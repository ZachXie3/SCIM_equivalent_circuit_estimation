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ELECTRICAL DESIGN\Design Database\TIC\Random Wound\4 Pole\SB440T\734250BQ\"/>
    </mc:Choice>
  </mc:AlternateContent>
  <xr:revisionPtr revIDLastSave="0" documentId="13_ncr:1_{0677E6E5-9FAF-462D-815B-DB7AEA767CC6}" xr6:coauthVersionLast="47" xr6:coauthVersionMax="47" xr10:uidLastSave="{00000000-0000-0000-0000-000000000000}"/>
  <bookViews>
    <workbookView xWindow="-120" yWindow="-120" windowWidth="29040" windowHeight="17520" tabRatio="687" activeTab="4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2" l="1"/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E68" i="7"/>
  <c r="D66" i="7"/>
  <c r="F50" i="7"/>
  <c r="B70" i="7" l="1"/>
  <c r="C70" i="7"/>
  <c r="B69" i="7"/>
  <c r="B75" i="7" s="1"/>
  <c r="C69" i="7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L38" i="2"/>
  <c r="N38" i="2" s="1"/>
  <c r="M33" i="2"/>
  <c r="M32" i="2"/>
  <c r="M31" i="2"/>
  <c r="M30" i="2"/>
  <c r="M29" i="2"/>
  <c r="M50" i="2"/>
  <c r="M49" i="2"/>
  <c r="M48" i="2"/>
  <c r="M46" i="2"/>
  <c r="M47" i="2"/>
  <c r="A72" i="7" l="1"/>
  <c r="C71" i="7"/>
  <c r="B71" i="7"/>
  <c r="N39" i="2"/>
  <c r="N41" i="2"/>
  <c r="N40" i="2"/>
  <c r="M53" i="2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<sst xmlns="http://schemas.openxmlformats.org/spreadsheetml/2006/main" count="932" uniqueCount="721">
  <si>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</si>
  <si>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</si>
  <si>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</si>
  <si>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</si>
  <si>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</si>
  <si>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</si>
  <si>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</si>
  <si>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</si>
  <si>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</si>
  <si>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</si>
  <si>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</si>
  <si>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</si>
  <si>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</si>
  <si>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</si>
  <si>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</si>
  <si>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</si>
  <si>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</si>
  <si>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</si>
  <si>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</si>
  <si>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</si>
  <si>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</si>
  <si>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</si>
  <si>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</si>
  <si>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</si>
  <si>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</si>
  <si>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</si>
  <si>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</si>
  <si>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</si>
  <si>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</si>
  <si>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</si>
  <si>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</si>
  <si>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</si>
  <si>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</si>
  <si>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</si>
  <si>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</si>
  <si>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</si>
  <si>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</si>
  <si>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</si>
  <si>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</si>
  <si>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</si>
  <si>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</si>
  <si>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</si>
  <si>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</si>
  <si>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</si>
  <si>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</si>
  <si>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</si>
  <si>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</si>
  <si>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</si>
  <si>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</si>
  <si>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</si>
  <si>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</si>
  <si>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</si>
  <si>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</si>
  <si>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</si>
  <si>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</si>
  <si>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</si>
  <si>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</si>
  <si>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</si>
  <si>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</si>
  <si>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</si>
  <si>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</si>
  <si>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</si>
  <si>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</si>
  <si>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</si>
  <si>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</si>
  <si>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</si>
  <si>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</si>
  <si>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</si>
  <si>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</si>
  <si>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</si>
  <si>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</si>
  <si>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</si>
  <si>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</si>
  <si>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</si>
  <si>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</si>
  <si>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</si>
  <si>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</si>
  <si>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</si>
  <si>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</si>
  <si>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</si>
  <si>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</si>
  <si>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</si>
  <si>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</si>
  <si>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</si>
  <si>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</si>
  <si>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</si>
  <si>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</si>
  <si>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</si>
  <si>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</si>
  <si>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</si>
  <si>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</si>
  <si>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</si>
  <si>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</si>
  <si>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</si>
  <si>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</si>
  <si>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</si>
  <si>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</si>
  <si>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</si>
  <si>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</si>
  <si>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</si>
  <si>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</si>
  <si>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</si>
  <si>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</si>
  <si>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</si>
  <si>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</si>
  <si>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</si>
  <si>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</si>
  <si>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</si>
  <si>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</si>
  <si>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</si>
  <si>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</si>
  <si>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</si>
  <si>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</si>
  <si>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</si>
  <si>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</si>
  <si>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</si>
  <si>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</si>
  <si>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</si>
  <si>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</si>
  <si>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</si>
  <si>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</si>
  <si>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</si>
  <si>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</si>
  <si>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</si>
  <si>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</si>
  <si>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</si>
  <si>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</si>
  <si>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</si>
  <si>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</si>
  <si>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</si>
  <si>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</si>
  <si>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</si>
  <si>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</si>
  <si>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</si>
  <si>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</si>
  <si>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</si>
  <si>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</si>
  <si>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</si>
  <si>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</si>
  <si>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</si>
  <si>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</si>
  <si>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</si>
  <si>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</si>
  <si>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</si>
  <si>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</si>
  <si>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</si>
  <si>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</si>
  <si>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</si>
  <si>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</si>
  <si>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</si>
  <si>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</si>
  <si>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</si>
  <si>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</si>
  <si>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</si>
  <si>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</si>
  <si>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</si>
  <si>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</si>
  <si>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</si>
  <si>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</si>
  <si>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</si>
  <si>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</si>
  <si>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</si>
  <si>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</si>
  <si>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</si>
  <si>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</si>
  <si>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</si>
  <si>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</si>
  <si>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</si>
  <si>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</si>
  <si>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</si>
  <si>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</si>
  <si>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</si>
  <si>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</si>
  <si>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</si>
  <si>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</si>
  <si>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</si>
  <si>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</si>
  <si>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</si>
  <si>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</si>
  <si>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</si>
  <si>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</si>
  <si>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</si>
  <si>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</si>
  <si>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</si>
  <si>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</si>
  <si>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</si>
  <si>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</si>
  <si>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</si>
  <si>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</si>
  <si>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</si>
  <si>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</si>
  <si>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</si>
  <si>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</si>
  <si>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</si>
  <si>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FCK1</t>
  </si>
  <si>
    <t>S447/9</t>
  </si>
  <si>
    <t>Semi - Flat</t>
  </si>
  <si>
    <t>Dbl - Closed</t>
  </si>
  <si>
    <t>14.05 - 9.34</t>
  </si>
  <si>
    <t>2.00 - 0.00</t>
  </si>
  <si>
    <t>1 ~ 16</t>
  </si>
  <si>
    <t>15.00 x 8</t>
  </si>
  <si>
    <t>16.00 x 9</t>
  </si>
  <si>
    <t>Delta</t>
  </si>
  <si>
    <t>(105°C)</t>
  </si>
  <si>
    <t>CU</t>
  </si>
  <si>
    <t>AL</t>
  </si>
  <si>
    <t>ERD1: 223.0</t>
  </si>
  <si>
    <t>ERD2: 336.5</t>
  </si>
  <si>
    <t>LB:  -</t>
  </si>
  <si>
    <t>LER:  -</t>
  </si>
  <si>
    <t>UB: 367.2</t>
  </si>
  <si>
    <t>UER: 1861.0</t>
  </si>
  <si>
    <t>ERT: 35.0</t>
  </si>
  <si>
    <t>(Coeff.: 0.0056)</t>
  </si>
  <si>
    <t>Skew R.: 0.00</t>
  </si>
  <si>
    <t>G:\DESPRO\RAT FILES\734250BQ_Rev2.rat</t>
  </si>
  <si>
    <t>2-1-2-0-2-3</t>
  </si>
  <si>
    <t>B.L.-1  P.F.-1</t>
  </si>
  <si>
    <t>1198.7 / 1346.5</t>
  </si>
  <si>
    <t>1073.0 / 1269.3</t>
  </si>
  <si>
    <t>5211.3 / 3180.0</t>
  </si>
  <si>
    <t>980.0 / 979.7</t>
  </si>
  <si>
    <t>4161.8 / 2057.4</t>
  </si>
  <si>
    <t>241.1 / 119.2</t>
  </si>
  <si>
    <t>3920.6 / 1938.2</t>
  </si>
  <si>
    <t>1.75 / 0.87</t>
  </si>
  <si>
    <t>68 / 68</t>
  </si>
  <si>
    <t>Temp. Rise @ 100%:</t>
  </si>
  <si>
    <t>Stray Loss</t>
  </si>
  <si>
    <t>0.891 / 0.891</t>
  </si>
  <si>
    <t>0.938 / 0.938</t>
  </si>
  <si>
    <t>0.956 / 0.956</t>
  </si>
  <si>
    <t>0.962 / 0.962</t>
  </si>
  <si>
    <t>0.965 / 0.965</t>
  </si>
  <si>
    <t>0.599 / 0.564</t>
  </si>
  <si>
    <t>0.787 / 0.740</t>
  </si>
  <si>
    <t>0.852 / 0.802</t>
  </si>
  <si>
    <t>0.876 / 0.824</t>
  </si>
  <si>
    <t>0.881 / 0.829</t>
  </si>
  <si>
    <t>109.60 / 116.46</t>
  </si>
  <si>
    <t>158.56 / 168.48</t>
  </si>
  <si>
    <t>215.60 / 229.10</t>
  </si>
  <si>
    <t>277.74 / 295.13</t>
  </si>
  <si>
    <t>344.32 / 365.88</t>
  </si>
  <si>
    <t>1.64 / 1.74</t>
  </si>
  <si>
    <t>UB: 1.38 / 1.47</t>
  </si>
  <si>
    <t>UER: 1.26 / 1.34</t>
  </si>
  <si>
    <t>1797.4 / 1795.4</t>
  </si>
  <si>
    <t>1795.1 / 1793.1</t>
  </si>
  <si>
    <t>1792.6 / 1790.6</t>
  </si>
  <si>
    <t>1790.0 / 1788.0</t>
  </si>
  <si>
    <t>1788.0 / 1786.0</t>
  </si>
  <si>
    <t>0.0014 / 0.0025</t>
  </si>
  <si>
    <t>0.0027 / 0.0038</t>
  </si>
  <si>
    <t>0.0041 / 0.0052</t>
  </si>
  <si>
    <t>0.0056 / 0.0067</t>
  </si>
  <si>
    <t>0.0067 / 0.0078</t>
  </si>
  <si>
    <t>44.616 / 62.174</t>
  </si>
  <si>
    <t>3.013 / 4.198</t>
  </si>
  <si>
    <t>77.45 / 107.93</t>
  </si>
  <si>
    <t>1634.0 / 1992.2</t>
  </si>
  <si>
    <t>588.3 / 717.3</t>
  </si>
  <si>
    <t>141.9 / 215.6</t>
  </si>
  <si>
    <t>139.8 / 212.5</t>
  </si>
  <si>
    <t>214.4 / 283.0</t>
  </si>
  <si>
    <t>Correlated to: 734250BQ_Lab3708.dat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</si>
  <si>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</si>
  <si>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</si>
  <si>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</si>
  <si>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</si>
  <si>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</si>
  <si>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</si>
  <si>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</si>
  <si>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</si>
  <si>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</si>
  <si>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</si>
  <si>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</si>
  <si>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</si>
  <si>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</si>
  <si>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</si>
  <si>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</si>
  <si>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</si>
  <si>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</si>
  <si>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</si>
  <si>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</si>
  <si>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</si>
  <si>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</si>
  <si>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</si>
  <si>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</si>
  <si>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</si>
  <si>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</si>
  <si>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</si>
  <si>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</si>
  <si>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</si>
  <si>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</si>
  <si>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</si>
  <si>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</si>
  <si>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</si>
  <si>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</si>
  <si>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</si>
  <si>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</si>
  <si>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</si>
  <si>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</si>
  <si>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</si>
  <si>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</si>
  <si>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</si>
  <si>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</si>
  <si>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</si>
  <si>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</si>
  <si>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</si>
  <si>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</si>
  <si>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</si>
  <si>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</si>
  <si>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</si>
  <si>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</si>
  <si>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</si>
  <si>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</si>
  <si>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</si>
  <si>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</si>
  <si>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</si>
  <si>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</si>
  <si>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</si>
  <si>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</si>
  <si>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</si>
  <si>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</si>
  <si>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</si>
  <si>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</si>
  <si>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</si>
  <si>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</si>
  <si>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</si>
  <si>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</si>
  <si>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</si>
  <si>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</si>
  <si>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</si>
  <si>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</si>
  <si>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</si>
  <si>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</si>
  <si>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</si>
  <si>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</si>
  <si>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</si>
  <si>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</si>
  <si>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</si>
  <si>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</si>
  <si>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</si>
  <si>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</si>
  <si>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</si>
  <si>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</si>
  <si>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</si>
  <si>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</si>
  <si>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</si>
  <si>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</si>
  <si>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</si>
  <si>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</si>
  <si>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</si>
  <si>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</si>
  <si>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</si>
  <si>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</si>
  <si>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</si>
  <si>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</si>
  <si>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</si>
  <si>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</si>
  <si>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</si>
  <si>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</si>
  <si>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</si>
  <si>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</si>
  <si>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</si>
  <si>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</si>
  <si>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</si>
  <si>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</si>
  <si>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</si>
  <si>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</si>
  <si>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</si>
  <si>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</si>
  <si>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</si>
  <si>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</si>
  <si>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</si>
  <si>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</si>
  <si>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</si>
  <si>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734250BQ_Rev2</t>
  </si>
  <si>
    <t>Type: TIKK - Form: FCK1 - 4 Pole - 250 HP - 460 V - 60 Hz - S447/9 - Class F</t>
  </si>
  <si>
    <t>4 x Delta</t>
  </si>
  <si>
    <t>68 / 90</t>
  </si>
  <si>
    <t>174 / 1175</t>
  </si>
  <si>
    <t>147 / 134</t>
  </si>
  <si>
    <t>69.8 /  -</t>
  </si>
  <si>
    <t>2504QDSB41A-R</t>
  </si>
  <si>
    <t>M-22 AU</t>
  </si>
  <si>
    <t>6,6,6,6,7,7</t>
  </si>
  <si>
    <t>S/N 230400924</t>
  </si>
  <si>
    <t>LAB 3708</t>
  </si>
  <si>
    <t>LINK:</t>
  </si>
  <si>
    <t>734250BQ_Rev2.rat with 734250BQ_Lab3708.dat</t>
  </si>
  <si>
    <t>SHernandez</t>
  </si>
  <si>
    <t>A.Gracia</t>
  </si>
  <si>
    <t>Outer Fan OD: 343mm TIPCA</t>
  </si>
  <si>
    <t>Rev.2 Re-do rat., dat., and data sheet per lab 3708. Z.X 6/29/23</t>
  </si>
  <si>
    <t>Rev.1 CHG MCL FROM 873. JROD 08/31/2021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</si>
  <si>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</si>
  <si>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</si>
  <si>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</si>
  <si>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</si>
  <si>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</si>
  <si>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</si>
  <si>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</si>
  <si>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</si>
  <si>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</si>
  <si>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171.4 kg.m²</t>
  </si>
  <si>
    <t>Acceleration Data (FV V)</t>
  </si>
  <si>
    <t>6.7 (s)</t>
  </si>
  <si>
    <t>101.5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</si>
  <si>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</si>
  <si>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</si>
  <si>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</si>
  <si>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</si>
  <si>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</si>
  <si>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</si>
  <si>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</si>
  <si>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</si>
  <si>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</si>
  <si>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</si>
  <si>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</si>
  <si>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</si>
  <si>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</si>
  <si>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</si>
  <si>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</si>
  <si>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</si>
  <si>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</si>
  <si>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</si>
  <si>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</si>
  <si>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</si>
  <si>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</si>
  <si>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</si>
  <si>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</si>
  <si>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</si>
  <si>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</si>
  <si>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</si>
  <si>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</si>
  <si>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</si>
  <si>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</si>
  <si>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</si>
  <si>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</si>
  <si>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</si>
  <si>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</si>
  <si>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</si>
  <si>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</si>
  <si>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</si>
  <si>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</si>
  <si>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</si>
  <si>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</si>
  <si>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- 250.0 HP - 1800 RPM - 460 V - 60 Hz</t>
  </si>
  <si>
    <t>0~180</t>
  </si>
  <si>
    <t>180~360</t>
  </si>
  <si>
    <t>360~540</t>
  </si>
  <si>
    <t>540~720</t>
  </si>
  <si>
    <t>720~900</t>
  </si>
  <si>
    <t>900~1080</t>
  </si>
  <si>
    <t>1080~1265</t>
  </si>
  <si>
    <t>1265~1450</t>
  </si>
  <si>
    <t>1450~1543</t>
  </si>
  <si>
    <t>1543~1635</t>
  </si>
  <si>
    <t>1635~1728</t>
  </si>
  <si>
    <t>1728~1786</t>
  </si>
  <si>
    <t>1786~1790</t>
  </si>
  <si>
    <t>Load Type: Fan / Pump - 1016.7 lb-ft²</t>
  </si>
  <si>
    <t>197.3</t>
  </si>
  <si>
    <t>176.9</t>
  </si>
  <si>
    <t>164.6</t>
  </si>
  <si>
    <t>157.3</t>
  </si>
  <si>
    <t>153.1</t>
  </si>
  <si>
    <t>150.8</t>
  </si>
  <si>
    <t>150.5</t>
  </si>
  <si>
    <t>153.0</t>
  </si>
  <si>
    <t>159.9</t>
  </si>
  <si>
    <t>179.7</t>
  </si>
  <si>
    <t>237.4</t>
  </si>
  <si>
    <t>221.7</t>
  </si>
  <si>
    <t>131.7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</si>
  <si>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</si>
  <si>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</si>
  <si>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</si>
  <si>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</si>
  <si>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</si>
  <si>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</si>
  <si>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</si>
  <si>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</si>
  <si>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</si>
  <si>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</si>
  <si>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</si>
  <si>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99.2</t>
  </si>
  <si>
    <t>0.523</t>
  </si>
  <si>
    <t>0.552</t>
  </si>
  <si>
    <t>0.580</t>
  </si>
  <si>
    <t>0.608</t>
  </si>
  <si>
    <t>0.643</t>
  </si>
  <si>
    <t>0.688</t>
  </si>
  <si>
    <t>0.766</t>
  </si>
  <si>
    <t>0.849</t>
  </si>
  <si>
    <t>0.457</t>
  </si>
  <si>
    <t>0.427</t>
  </si>
  <si>
    <t>0.304</t>
  </si>
  <si>
    <t>0.229</t>
  </si>
  <si>
    <t>0.068</t>
  </si>
  <si>
    <t>1982.2</t>
  </si>
  <si>
    <t>1961.3</t>
  </si>
  <si>
    <t>1937.1</t>
  </si>
  <si>
    <t>1908.4</t>
  </si>
  <si>
    <t>1873.6</t>
  </si>
  <si>
    <t>1830.7</t>
  </si>
  <si>
    <t>1776.7</t>
  </si>
  <si>
    <t>1706.9</t>
  </si>
  <si>
    <t>1642.0</t>
  </si>
  <si>
    <t>1578.5</t>
  </si>
  <si>
    <t>1436.9</t>
  </si>
  <si>
    <t>904.1</t>
  </si>
  <si>
    <t>351.7</t>
  </si>
  <si>
    <t>32.2</t>
  </si>
  <si>
    <t>33.4</t>
  </si>
  <si>
    <t>34.2</t>
  </si>
  <si>
    <t>34.9</t>
  </si>
  <si>
    <t>35.8</t>
  </si>
  <si>
    <t>36.7</t>
  </si>
  <si>
    <t>38.8</t>
  </si>
  <si>
    <t>40.2</t>
  </si>
  <si>
    <t>19.7</t>
  </si>
  <si>
    <t>17.3</t>
  </si>
  <si>
    <t>11.2</t>
  </si>
  <si>
    <t>6.3</t>
  </si>
  <si>
    <t>0.1</t>
  </si>
  <si>
    <t>194.0</t>
  </si>
  <si>
    <t>162.2</t>
  </si>
  <si>
    <t>138.7</t>
  </si>
  <si>
    <t>120.3</t>
  </si>
  <si>
    <t>105.4</t>
  </si>
  <si>
    <t>92.2</t>
  </si>
  <si>
    <t>79.0</t>
  </si>
  <si>
    <t>65.4</t>
  </si>
  <si>
    <t>47.3</t>
  </si>
  <si>
    <t>34.5</t>
  </si>
  <si>
    <t>18.6</t>
  </si>
  <si>
    <t>14.2</t>
  </si>
  <si>
    <t>4.5</t>
  </si>
  <si>
    <t>341 kW / s</t>
  </si>
  <si>
    <t>848 kW / s</t>
  </si>
  <si>
    <t>229 kW / s</t>
  </si>
  <si>
    <t>5°C</t>
  </si>
  <si>
    <t>38°C</t>
  </si>
  <si>
    <t>29°C</t>
  </si>
  <si>
    <t>10°C</t>
  </si>
  <si>
    <t>76°C</t>
  </si>
  <si>
    <t>58°C</t>
  </si>
  <si>
    <t>Acceleration Time:  6.7 s</t>
  </si>
  <si>
    <t>1.1°C / s</t>
  </si>
  <si>
    <t>13.8°C / s</t>
  </si>
  <si>
    <t>10.6°C / s</t>
  </si>
  <si>
    <t>71.9 kW</t>
  </si>
  <si>
    <t>308.4 kW</t>
  </si>
  <si>
    <t>83.3 kW</t>
  </si>
  <si>
    <t>149.5 s</t>
  </si>
  <si>
    <t>18.9 s</t>
  </si>
  <si>
    <t>17.0 s</t>
  </si>
  <si>
    <t>68°C    +</t>
  </si>
  <si>
    <t>91°C    +</t>
  </si>
  <si>
    <t>92°C    +</t>
  </si>
  <si>
    <t>169°C   +</t>
  </si>
  <si>
    <t>89°C   +</t>
  </si>
  <si>
    <t>85.9 s</t>
  </si>
  <si>
    <t>12.3 s</t>
  </si>
  <si>
    <t>8.4 s</t>
  </si>
  <si>
    <t>21.6 s</t>
  </si>
  <si>
    <t>10.7 s</t>
  </si>
  <si>
    <t>Speed Torque/Current Curve</t>
  </si>
  <si>
    <t>Model #:</t>
  </si>
  <si>
    <t>FLAmps:</t>
  </si>
  <si>
    <t>Enclosure:</t>
  </si>
  <si>
    <t>FBK1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</si>
  <si>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</si>
  <si>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</si>
  <si>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</si>
  <si>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</si>
  <si>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</si>
  <si>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</si>
  <si>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</si>
  <si>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</si>
  <si>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</si>
  <si>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</si>
  <si>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</si>
  <si>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</si>
  <si>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</si>
  <si>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</si>
  <si>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</si>
  <si>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</si>
  <si>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</si>
  <si>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128.8 lb-ft²</t>
  </si>
  <si>
    <t>1016.7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</si>
  <si>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</si>
  <si>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</si>
  <si>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</si>
  <si>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</si>
  <si>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</si>
  <si>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</si>
  <si>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</si>
  <si>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</si>
  <si>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</si>
  <si>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</si>
  <si>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</si>
  <si>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</si>
  <si>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</si>
  <si>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</si>
  <si>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</si>
  <si>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</si>
  <si>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</si>
  <si>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</si>
  <si>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</si>
  <si>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</si>
  <si>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</si>
  <si>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</si>
  <si>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</si>
  <si>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</si>
  <si>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</si>
  <si>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</si>
  <si>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</si>
  <si>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</si>
  <si>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</si>
  <si>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</si>
  <si>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</si>
  <si>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</si>
  <si>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</si>
  <si>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</si>
  <si>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</si>
  <si>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</si>
  <si>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</si>
  <si>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</si>
  <si>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</si>
  <si>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</si>
  <si>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</si>
  <si>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</si>
  <si>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</si>
  <si>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</si>
  <si>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</si>
  <si>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</si>
  <si>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</si>
  <si>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</si>
  <si>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</si>
  <si>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</si>
  <si>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</si>
  <si>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</si>
  <si>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</si>
  <si>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</si>
  <si>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</si>
  <si>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</si>
  <si>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</si>
  <si>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</si>
  <si>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</si>
  <si>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</si>
  <si>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</si>
  <si>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</si>
  <si>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</si>
  <si>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</si>
  <si>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</si>
  <si>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</si>
  <si>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</si>
  <si>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</si>
  <si>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</si>
  <si>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</si>
  <si>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</si>
  <si>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</si>
  <si>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</si>
  <si>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</si>
  <si>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</si>
  <si>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</si>
  <si>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</si>
  <si>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</si>
  <si>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</si>
  <si>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</si>
  <si>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</si>
  <si>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</si>
  <si>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</si>
  <si>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</si>
  <si>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</si>
  <si>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</si>
  <si>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</si>
  <si>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</si>
  <si>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</si>
  <si>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</si>
  <si>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</si>
  <si>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</si>
  <si>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</si>
  <si>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</si>
  <si>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</si>
  <si>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</si>
  <si>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</si>
  <si>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</si>
  <si>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</si>
  <si>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</si>
  <si>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</si>
  <si>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</si>
  <si>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</si>
  <si>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</si>
  <si>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</si>
  <si>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</si>
  <si>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</si>
  <si>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</si>
  <si>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</si>
  <si>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</si>
  <si>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</si>
  <si>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</si>
  <si>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</si>
  <si>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</si>
  <si>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60 Hz</t>
  </si>
  <si>
    <t>S449T</t>
  </si>
  <si>
    <t>TKKH</t>
  </si>
  <si>
    <t>1.15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</si>
  <si>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</si>
  <si>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</si>
  <si>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</si>
  <si>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</si>
  <si>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</si>
  <si>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</si>
  <si>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</si>
  <si>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734250BQ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</si>
</sst>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24" fillId="0" borderId="0"/>
    <xf numFmtId="0" fontId="1" fillId="0" borderId="0"/>
    <xf numFmtId="0" fontId="1" fillId="0" borderId="0"/>
    <xf numFmtId="172" fontId="64" fillId="0" borderId="0"/>
  </cellStyleXfs>
  <cellXfs count="67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0" fontId="24" fillId="0" borderId="0" xfId="1"/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1" fillId="5" borderId="72" xfId="1" applyFont="1" applyFill="1" applyBorder="1" applyAlignment="1">
      <alignment horizontal="left"/>
    </xf>
    <xf numFmtId="0" fontId="31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0" fillId="0" borderId="129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29" fillId="5" borderId="61" xfId="1" applyFont="1" applyFill="1" applyBorder="1"/>
    <xf numFmtId="0" fontId="29" fillId="5" borderId="62" xfId="1" applyFont="1" applyFill="1" applyBorder="1"/>
    <xf numFmtId="0" fontId="29" fillId="5" borderId="27" xfId="1" applyFont="1" applyFill="1" applyBorder="1" applyAlignment="1">
      <alignment horizontal="right"/>
    </xf>
    <xf numFmtId="0" fontId="29" fillId="0" borderId="80" xfId="1" applyFont="1" applyBorder="1"/>
    <xf numFmtId="0" fontId="29" fillId="0" borderId="81" xfId="1" applyFont="1" applyBorder="1"/>
    <xf numFmtId="0" fontId="29" fillId="0" borderId="82" xfId="1" applyFont="1" applyBorder="1"/>
    <xf numFmtId="0" fontId="29" fillId="5" borderId="120" xfId="1" applyFont="1" applyFill="1" applyBorder="1" applyAlignment="1">
      <alignment horizontal="center" shrinkToFit="1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3" applyFont="1" applyAlignment="1">
      <alignment horizontal="right"/>
    </xf>
    <xf numFmtId="0" fontId="1" fillId="0" borderId="0" xfId="3"/>
    <xf numFmtId="0" fontId="25" fillId="0" borderId="0" xfId="3" applyFont="1"/>
    <xf numFmtId="0" fontId="53" fillId="0" borderId="0" xfId="3" applyFont="1"/>
    <xf numFmtId="0" fontId="54" fillId="0" borderId="26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53" fillId="0" borderId="1" xfId="3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0" fontId="54" fillId="0" borderId="1" xfId="3" applyFont="1" applyBorder="1" applyAlignment="1">
      <alignment horizontal="right"/>
    </xf>
    <xf numFmtId="0" fontId="53" fillId="0" borderId="131" xfId="3" applyFont="1" applyBorder="1" applyAlignment="1">
      <alignment horizontal="center"/>
    </xf>
    <xf numFmtId="0" fontId="53" fillId="0" borderId="132" xfId="3" quotePrefix="1" applyFont="1" applyBorder="1" applyAlignment="1">
      <alignment horizontal="center"/>
    </xf>
    <xf numFmtId="0" fontId="53" fillId="0" borderId="132" xfId="3" applyFont="1" applyBorder="1" applyAlignment="1">
      <alignment horizontal="center"/>
    </xf>
    <xf numFmtId="0" fontId="54" fillId="0" borderId="0" xfId="3" applyFont="1" applyAlignment="1">
      <alignment horizontal="right"/>
    </xf>
    <xf numFmtId="0" fontId="56" fillId="0" borderId="61" xfId="3" applyFont="1" applyBorder="1"/>
    <xf numFmtId="0" fontId="56" fillId="0" borderId="62" xfId="3" applyFont="1" applyBorder="1"/>
    <xf numFmtId="0" fontId="56" fillId="0" borderId="38" xfId="3" applyFont="1" applyBorder="1"/>
    <xf numFmtId="0" fontId="57" fillId="0" borderId="83" xfId="3" applyFont="1" applyBorder="1" applyAlignment="1">
      <alignment horizontal="centerContinuous"/>
    </xf>
    <xf numFmtId="0" fontId="56" fillId="0" borderId="0" xfId="3" applyFont="1" applyAlignment="1">
      <alignment horizontal="centerContinuous"/>
    </xf>
    <xf numFmtId="0" fontId="56" fillId="0" borderId="108" xfId="3" applyFont="1" applyBorder="1" applyAlignment="1">
      <alignment horizontal="centerContinuous"/>
    </xf>
    <xf numFmtId="0" fontId="58" fillId="0" borderId="83" xfId="3" applyFont="1" applyBorder="1" applyAlignment="1">
      <alignment horizontal="centerContinuous"/>
    </xf>
    <xf numFmtId="0" fontId="56" fillId="0" borderId="83" xfId="3" applyFont="1" applyBorder="1"/>
    <xf numFmtId="0" fontId="56" fillId="0" borderId="0" xfId="3" applyFont="1"/>
    <xf numFmtId="0" fontId="56" fillId="0" borderId="108" xfId="3" applyFont="1" applyBorder="1"/>
    <xf numFmtId="0" fontId="59" fillId="0" borderId="1" xfId="3" applyFont="1" applyBorder="1" applyAlignment="1">
      <alignment horizontal="right"/>
    </xf>
    <xf numFmtId="0" fontId="56" fillId="0" borderId="1" xfId="3" applyFont="1" applyBorder="1" applyAlignment="1">
      <alignment horizontal="center"/>
    </xf>
    <xf numFmtId="14" fontId="56" fillId="0" borderId="1" xfId="3" applyNumberFormat="1" applyFont="1" applyBorder="1" applyAlignment="1">
      <alignment horizontal="center"/>
    </xf>
    <xf numFmtId="0" fontId="59" fillId="0" borderId="0" xfId="3" applyFont="1" applyAlignment="1">
      <alignment horizontal="right"/>
    </xf>
    <xf numFmtId="0" fontId="56" fillId="0" borderId="0" xfId="3" applyFont="1" applyAlignment="1">
      <alignment horizontal="center"/>
    </xf>
    <xf numFmtId="9" fontId="56" fillId="0" borderId="0" xfId="3" applyNumberFormat="1" applyFont="1" applyAlignment="1">
      <alignment horizontal="center"/>
    </xf>
    <xf numFmtId="0" fontId="59" fillId="0" borderId="83" xfId="3" applyFont="1" applyBorder="1" applyAlignment="1">
      <alignment horizontal="right"/>
    </xf>
    <xf numFmtId="0" fontId="56" fillId="0" borderId="40" xfId="3" applyFont="1" applyBorder="1"/>
    <xf numFmtId="0" fontId="56" fillId="0" borderId="39" xfId="3" applyFont="1" applyBorder="1" applyAlignment="1">
      <alignment horizontal="center"/>
    </xf>
    <xf numFmtId="0" fontId="56" fillId="0" borderId="85" xfId="3" applyFont="1" applyBorder="1"/>
    <xf numFmtId="0" fontId="59" fillId="0" borderId="17" xfId="3" applyFont="1" applyBorder="1" applyAlignment="1">
      <alignment horizontal="right"/>
    </xf>
    <xf numFmtId="0" fontId="56" fillId="0" borderId="132" xfId="3" applyFont="1" applyBorder="1"/>
    <xf numFmtId="167" fontId="3" fillId="0" borderId="0" xfId="3" quotePrefix="1" applyNumberFormat="1" applyFont="1" applyAlignment="1">
      <alignment horizontal="center"/>
    </xf>
    <xf numFmtId="167" fontId="2" fillId="0" borderId="0" xfId="3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1" fillId="0" borderId="0" xfId="3" applyFont="1"/>
    <xf numFmtId="0" fontId="62" fillId="0" borderId="0" xfId="3" applyFont="1"/>
    <xf numFmtId="0" fontId="2" fillId="0" borderId="1" xfId="3" applyFont="1" applyBorder="1" applyAlignment="1">
      <alignment horizontal="center"/>
    </xf>
    <xf numFmtId="1" fontId="2" fillId="5" borderId="1" xfId="3" applyNumberFormat="1" applyFont="1" applyFill="1" applyBorder="1" applyAlignment="1">
      <alignment horizontal="center"/>
    </xf>
    <xf numFmtId="2" fontId="2" fillId="5" borderId="1" xfId="3" applyNumberFormat="1" applyFon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63" fillId="0" borderId="0" xfId="3" applyFont="1"/>
    <xf numFmtId="167" fontId="3" fillId="0" borderId="135" xfId="3" quotePrefix="1" applyNumberFormat="1" applyFont="1" applyBorder="1" applyAlignment="1">
      <alignment horizontal="center"/>
    </xf>
    <xf numFmtId="167" fontId="2" fillId="0" borderId="39" xfId="3" applyNumberFormat="1" applyFont="1" applyBorder="1" applyAlignment="1">
      <alignment horizontal="center"/>
    </xf>
    <xf numFmtId="167" fontId="2" fillId="0" borderId="28" xfId="3" applyNumberFormat="1" applyFont="1" applyBorder="1" applyAlignment="1">
      <alignment horizontal="center"/>
    </xf>
    <xf numFmtId="167" fontId="2" fillId="0" borderId="136" xfId="3" applyNumberFormat="1" applyFont="1" applyBorder="1" applyAlignment="1">
      <alignment horizontal="center"/>
    </xf>
    <xf numFmtId="167" fontId="3" fillId="0" borderId="137" xfId="3" quotePrefix="1" applyNumberFormat="1" applyFont="1" applyBorder="1" applyAlignment="1">
      <alignment horizontal="center"/>
    </xf>
    <xf numFmtId="167" fontId="2" fillId="0" borderId="132" xfId="3" applyNumberFormat="1" applyFont="1" applyBorder="1" applyAlignment="1">
      <alignment horizontal="center"/>
    </xf>
    <xf numFmtId="167" fontId="2" fillId="0" borderId="1" xfId="3" applyNumberFormat="1" applyFont="1" applyBorder="1" applyAlignment="1">
      <alignment horizontal="center"/>
    </xf>
    <xf numFmtId="167" fontId="2" fillId="0" borderId="9" xfId="3" applyNumberFormat="1" applyFont="1" applyBorder="1" applyAlignment="1">
      <alignment horizontal="center"/>
    </xf>
    <xf numFmtId="167" fontId="3" fillId="0" borderId="25" xfId="3" quotePrefix="1" applyNumberFormat="1" applyFont="1" applyBorder="1" applyAlignment="1">
      <alignment horizontal="center"/>
    </xf>
    <xf numFmtId="167" fontId="2" fillId="0" borderId="133" xfId="3" applyNumberFormat="1" applyFont="1" applyBorder="1" applyAlignment="1">
      <alignment horizontal="center"/>
    </xf>
    <xf numFmtId="167" fontId="2" fillId="0" borderId="11" xfId="3" applyNumberFormat="1" applyFont="1" applyBorder="1" applyAlignment="1">
      <alignment horizontal="center"/>
    </xf>
    <xf numFmtId="167" fontId="2" fillId="0" borderId="33" xfId="3" applyNumberFormat="1" applyFont="1" applyBorder="1" applyAlignment="1">
      <alignment horizontal="center"/>
    </xf>
    <xf numFmtId="172" fontId="65" fillId="0" borderId="6" xfId="4" applyFont="1" applyBorder="1" applyAlignment="1">
      <alignment horizontal="centerContinuous"/>
    </xf>
    <xf numFmtId="172" fontId="65" fillId="0" borderId="7" xfId="4" applyFont="1" applyBorder="1" applyAlignment="1">
      <alignment horizontal="centerContinuous"/>
    </xf>
    <xf numFmtId="172" fontId="66" fillId="0" borderId="12" xfId="4" applyFont="1" applyBorder="1" applyAlignment="1">
      <alignment horizontal="left"/>
    </xf>
    <xf numFmtId="172" fontId="67" fillId="0" borderId="55" xfId="4" applyFont="1" applyBorder="1"/>
    <xf numFmtId="172" fontId="66" fillId="0" borderId="13" xfId="4" applyFont="1" applyBorder="1" applyAlignment="1">
      <alignment horizontal="centerContinuous"/>
    </xf>
    <xf numFmtId="172" fontId="67" fillId="0" borderId="14" xfId="4" applyFont="1" applyBorder="1" applyAlignment="1">
      <alignment horizontal="centerContinuous"/>
    </xf>
    <xf numFmtId="172" fontId="68" fillId="0" borderId="0" xfId="4" applyFont="1"/>
    <xf numFmtId="172" fontId="64" fillId="0" borderId="0" xfId="4"/>
    <xf numFmtId="172" fontId="65" fillId="0" borderId="45" xfId="4" applyFont="1" applyBorder="1" applyAlignment="1">
      <alignment horizontal="centerContinuous"/>
    </xf>
    <xf numFmtId="172" fontId="65" fillId="0" borderId="0" xfId="4" applyFont="1" applyAlignment="1">
      <alignment horizontal="centerContinuous"/>
    </xf>
    <xf numFmtId="172" fontId="66" fillId="0" borderId="109" xfId="4" applyFont="1" applyBorder="1" applyAlignment="1">
      <alignment horizontal="left"/>
    </xf>
    <xf numFmtId="172" fontId="67" fillId="0" borderId="39" xfId="4" applyFont="1" applyBorder="1"/>
    <xf numFmtId="172" fontId="66" fillId="0" borderId="40" xfId="4" applyFont="1" applyBorder="1" applyAlignment="1">
      <alignment horizontal="centerContinuous"/>
    </xf>
    <xf numFmtId="172" fontId="67" fillId="0" borderId="29" xfId="4" applyFont="1" applyBorder="1" applyAlignment="1">
      <alignment horizontal="centerContinuous"/>
    </xf>
    <xf numFmtId="172" fontId="67" fillId="0" borderId="45" xfId="4" applyFont="1" applyBorder="1" applyAlignment="1">
      <alignment horizontal="centerContinuous"/>
    </xf>
    <xf numFmtId="172" fontId="67" fillId="0" borderId="0" xfId="4" applyFont="1" applyAlignment="1">
      <alignment horizontal="centerContinuous"/>
    </xf>
    <xf numFmtId="172" fontId="66" fillId="0" borderId="40" xfId="4" quotePrefix="1" applyFont="1" applyBorder="1" applyAlignment="1">
      <alignment horizontal="centerContinuous"/>
    </xf>
    <xf numFmtId="172" fontId="69" fillId="0" borderId="45" xfId="4" applyFont="1" applyBorder="1" applyAlignment="1">
      <alignment horizontal="centerContinuous"/>
    </xf>
    <xf numFmtId="172" fontId="68" fillId="0" borderId="45" xfId="4" applyFont="1" applyBorder="1" applyAlignment="1">
      <alignment horizontal="centerContinuous"/>
    </xf>
    <xf numFmtId="172" fontId="68" fillId="0" borderId="46" xfId="4" applyFont="1" applyBorder="1" applyAlignment="1">
      <alignment horizontal="centerContinuous"/>
    </xf>
    <xf numFmtId="172" fontId="67" fillId="0" borderId="23" xfId="4" applyFont="1" applyBorder="1" applyAlignment="1">
      <alignment horizontal="centerContinuous"/>
    </xf>
    <xf numFmtId="172" fontId="66" fillId="0" borderId="46" xfId="4" applyFont="1" applyBorder="1" applyAlignment="1">
      <alignment horizontal="left"/>
    </xf>
    <xf numFmtId="172" fontId="67" fillId="0" borderId="48" xfId="4" applyFont="1" applyBorder="1"/>
    <xf numFmtId="172" fontId="70" fillId="0" borderId="23" xfId="4" applyFont="1" applyBorder="1" applyAlignment="1">
      <alignment horizontal="centerContinuous"/>
    </xf>
    <xf numFmtId="172" fontId="67" fillId="0" borderId="24" xfId="4" applyFont="1" applyBorder="1" applyAlignment="1">
      <alignment horizontal="centerContinuous"/>
    </xf>
    <xf numFmtId="172" fontId="68" fillId="0" borderId="0" xfId="4" applyFont="1" applyAlignment="1">
      <alignment horizontal="centerContinuous"/>
    </xf>
    <xf numFmtId="172" fontId="66" fillId="0" borderId="0" xfId="4" applyFont="1" applyAlignment="1">
      <alignment horizontal="left"/>
    </xf>
    <xf numFmtId="172" fontId="67" fillId="0" borderId="0" xfId="4" applyFont="1"/>
    <xf numFmtId="172" fontId="66" fillId="0" borderId="0" xfId="4" applyFont="1" applyAlignment="1">
      <alignment horizontal="centerContinuous"/>
    </xf>
    <xf numFmtId="172" fontId="71" fillId="0" borderId="0" xfId="4" applyFont="1"/>
    <xf numFmtId="172" fontId="71" fillId="0" borderId="0" xfId="4" applyFont="1" applyAlignment="1">
      <alignment horizontal="right"/>
    </xf>
    <xf numFmtId="172" fontId="71" fillId="0" borderId="0" xfId="4" applyFont="1" applyAlignment="1" applyProtection="1">
      <alignment horizontal="left"/>
      <protection locked="0"/>
    </xf>
    <xf numFmtId="172" fontId="71" fillId="0" borderId="0" xfId="4" applyFont="1" applyAlignment="1">
      <alignment horizontal="centerContinuous"/>
    </xf>
    <xf numFmtId="172" fontId="71" fillId="0" borderId="0" xfId="4" applyFont="1" applyAlignment="1">
      <alignment horizontal="left"/>
    </xf>
    <xf numFmtId="49" fontId="71" fillId="0" borderId="0" xfId="4" quotePrefix="1" applyNumberFormat="1" applyFont="1" applyAlignment="1" applyProtection="1">
      <alignment horizontal="left"/>
      <protection locked="0"/>
    </xf>
    <xf numFmtId="172" fontId="72" fillId="0" borderId="138" xfId="4" applyFont="1" applyBorder="1" applyAlignment="1">
      <alignment horizontal="centerContinuous"/>
    </xf>
    <xf numFmtId="172" fontId="68" fillId="0" borderId="139" xfId="4" applyFont="1" applyBorder="1" applyAlignment="1">
      <alignment horizontal="centerContinuous"/>
    </xf>
    <xf numFmtId="172" fontId="68" fillId="0" borderId="140" xfId="4" applyFont="1" applyBorder="1" applyAlignment="1">
      <alignment horizontal="centerContinuous"/>
    </xf>
    <xf numFmtId="172" fontId="71" fillId="0" borderId="45" xfId="4" applyFont="1" applyBorder="1"/>
    <xf numFmtId="172" fontId="71" fillId="0" borderId="0" xfId="4" applyFont="1" applyAlignment="1" applyProtection="1">
      <alignment horizontal="center"/>
      <protection locked="0"/>
    </xf>
    <xf numFmtId="172" fontId="71" fillId="0" borderId="21" xfId="4" applyFont="1" applyBorder="1" applyAlignment="1" applyProtection="1">
      <alignment horizontal="center"/>
      <protection locked="0"/>
    </xf>
    <xf numFmtId="172" fontId="71" fillId="0" borderId="0" xfId="4" applyFont="1" applyAlignment="1">
      <alignment horizontal="center"/>
    </xf>
    <xf numFmtId="49" fontId="71" fillId="0" borderId="0" xfId="4" applyNumberFormat="1" applyFont="1" applyAlignment="1">
      <alignment horizontal="center"/>
    </xf>
    <xf numFmtId="172" fontId="71" fillId="0" borderId="0" xfId="4" quotePrefix="1" applyFont="1" applyAlignment="1">
      <alignment horizontal="right"/>
    </xf>
    <xf numFmtId="172" fontId="71" fillId="0" borderId="0" xfId="4" quotePrefix="1" applyFont="1" applyAlignment="1" applyProtection="1">
      <alignment horizontal="center"/>
      <protection locked="0"/>
    </xf>
    <xf numFmtId="172" fontId="71" fillId="0" borderId="21" xfId="4" applyFont="1" applyBorder="1"/>
    <xf numFmtId="172" fontId="71" fillId="0" borderId="46" xfId="4" applyFont="1" applyBorder="1"/>
    <xf numFmtId="172" fontId="71" fillId="0" borderId="23" xfId="4" applyFont="1" applyBorder="1" applyAlignment="1">
      <alignment horizontal="right"/>
    </xf>
    <xf numFmtId="167" fontId="71" fillId="0" borderId="23" xfId="4" quotePrefix="1" applyNumberFormat="1" applyFont="1" applyBorder="1" applyAlignment="1" applyProtection="1">
      <alignment horizontal="center"/>
      <protection locked="0"/>
    </xf>
    <xf numFmtId="172" fontId="71" fillId="0" borderId="23" xfId="4" applyFont="1" applyBorder="1"/>
    <xf numFmtId="167" fontId="71" fillId="0" borderId="23" xfId="4" applyNumberFormat="1" applyFont="1" applyBorder="1"/>
    <xf numFmtId="172" fontId="71" fillId="0" borderId="24" xfId="4" applyFont="1" applyBorder="1"/>
    <xf numFmtId="172" fontId="73" fillId="0" borderId="45" xfId="4" quotePrefix="1" applyFont="1" applyBorder="1" applyAlignment="1">
      <alignment horizontal="left"/>
    </xf>
    <xf numFmtId="172" fontId="67" fillId="0" borderId="0" xfId="4" quotePrefix="1" applyFont="1" applyAlignment="1">
      <alignment horizontal="right"/>
    </xf>
    <xf numFmtId="172" fontId="67" fillId="0" borderId="108" xfId="4" applyFont="1" applyBorder="1"/>
    <xf numFmtId="172" fontId="73" fillId="0" borderId="0" xfId="4" applyFont="1" applyAlignment="1">
      <alignment horizontal="left"/>
    </xf>
    <xf numFmtId="172" fontId="67" fillId="0" borderId="0" xfId="4" applyFont="1" applyAlignment="1">
      <alignment horizontal="right"/>
    </xf>
    <xf numFmtId="172" fontId="67" fillId="0" borderId="108" xfId="4" applyFont="1" applyBorder="1" applyAlignment="1">
      <alignment horizontal="right"/>
    </xf>
    <xf numFmtId="172" fontId="73" fillId="0" borderId="0" xfId="4" quotePrefix="1" applyFont="1" applyAlignment="1">
      <alignment horizontal="left"/>
    </xf>
    <xf numFmtId="172" fontId="67" fillId="0" borderId="21" xfId="4" applyFont="1" applyBorder="1"/>
    <xf numFmtId="172" fontId="64" fillId="0" borderId="45" xfId="4" applyBorder="1"/>
    <xf numFmtId="172" fontId="71" fillId="0" borderId="108" xfId="4" applyFont="1" applyBorder="1" applyAlignment="1" applyProtection="1">
      <alignment horizontal="center"/>
      <protection locked="0"/>
    </xf>
    <xf numFmtId="0" fontId="71" fillId="0" borderId="108" xfId="4" applyNumberFormat="1" applyFont="1" applyBorder="1" applyAlignment="1">
      <alignment horizontal="center"/>
    </xf>
    <xf numFmtId="172" fontId="71" fillId="0" borderId="108" xfId="4" applyFont="1" applyBorder="1"/>
    <xf numFmtId="172" fontId="71" fillId="0" borderId="48" xfId="4" applyFont="1" applyBorder="1"/>
    <xf numFmtId="172" fontId="71" fillId="0" borderId="48" xfId="4" applyFont="1" applyBorder="1" applyAlignment="1">
      <alignment horizontal="left"/>
    </xf>
    <xf numFmtId="172" fontId="72" fillId="0" borderId="141" xfId="4" applyFont="1" applyBorder="1" applyAlignment="1">
      <alignment horizontal="centerContinuous"/>
    </xf>
    <xf numFmtId="172" fontId="68" fillId="0" borderId="142" xfId="4" applyFont="1" applyBorder="1" applyAlignment="1">
      <alignment horizontal="centerContinuous"/>
    </xf>
    <xf numFmtId="172" fontId="64" fillId="0" borderId="143" xfId="4" applyBorder="1"/>
    <xf numFmtId="172" fontId="68" fillId="0" borderId="144" xfId="4" applyFont="1" applyBorder="1" applyAlignment="1">
      <alignment horizontal="centerContinuous"/>
    </xf>
    <xf numFmtId="172" fontId="73" fillId="0" borderId="45" xfId="4" applyFont="1" applyBorder="1" applyAlignment="1">
      <alignment horizontal="left"/>
    </xf>
    <xf numFmtId="172" fontId="64" fillId="0" borderId="108" xfId="4" applyBorder="1"/>
    <xf numFmtId="167" fontId="71" fillId="0" borderId="0" xfId="4" applyNumberFormat="1" applyFont="1" applyAlignment="1" applyProtection="1">
      <alignment horizontal="center"/>
      <protection locked="0"/>
    </xf>
    <xf numFmtId="172" fontId="71" fillId="0" borderId="45" xfId="4" applyFont="1" applyBorder="1" applyAlignment="1">
      <alignment horizontal="left"/>
    </xf>
    <xf numFmtId="172" fontId="64" fillId="0" borderId="48" xfId="4" applyBorder="1"/>
    <xf numFmtId="172" fontId="68" fillId="0" borderId="0" xfId="4" applyFont="1" applyAlignment="1">
      <alignment horizontal="left"/>
    </xf>
    <xf numFmtId="172" fontId="68" fillId="0" borderId="141" xfId="4" applyFont="1" applyBorder="1"/>
    <xf numFmtId="172" fontId="67" fillId="0" borderId="142" xfId="4" applyFont="1" applyBorder="1" applyAlignment="1">
      <alignment horizontal="left"/>
    </xf>
    <xf numFmtId="172" fontId="67" fillId="0" borderId="144" xfId="4" applyFont="1" applyBorder="1" applyAlignment="1">
      <alignment horizontal="left"/>
    </xf>
    <xf numFmtId="172" fontId="71" fillId="0" borderId="45" xfId="4" quotePrefix="1" applyFont="1" applyBorder="1" applyAlignment="1">
      <alignment horizontal="left"/>
    </xf>
    <xf numFmtId="172" fontId="71" fillId="0" borderId="21" xfId="4" applyFont="1" applyBorder="1" applyAlignment="1">
      <alignment horizontal="left"/>
    </xf>
    <xf numFmtId="172" fontId="74" fillId="0" borderId="145" xfId="4" applyFont="1" applyBorder="1"/>
    <xf numFmtId="172" fontId="71" fillId="0" borderId="0" xfId="4" quotePrefix="1" applyFont="1" applyAlignment="1">
      <alignment horizontal="left"/>
    </xf>
    <xf numFmtId="172" fontId="71" fillId="0" borderId="146" xfId="4" quotePrefix="1" applyFont="1" applyBorder="1" applyAlignment="1">
      <alignment horizontal="left"/>
    </xf>
    <xf numFmtId="172" fontId="71" fillId="0" borderId="147" xfId="4" quotePrefix="1" applyFont="1" applyBorder="1" applyAlignment="1">
      <alignment horizontal="left"/>
    </xf>
    <xf numFmtId="172" fontId="71" fillId="0" borderId="46" xfId="4" applyFont="1" applyBorder="1" applyAlignment="1">
      <alignment horizontal="left"/>
    </xf>
    <xf numFmtId="172" fontId="71" fillId="0" borderId="23" xfId="4" applyFont="1" applyBorder="1" applyAlignment="1">
      <alignment horizontal="left"/>
    </xf>
    <xf numFmtId="172" fontId="71" fillId="0" borderId="24" xfId="4" applyFont="1" applyBorder="1" applyAlignment="1">
      <alignment horizontal="left"/>
    </xf>
    <xf numFmtId="172" fontId="67" fillId="0" borderId="0" xfId="4" applyFont="1" applyAlignment="1">
      <alignment horizontal="left"/>
    </xf>
    <xf numFmtId="172" fontId="75" fillId="0" borderId="0" xfId="4" applyFont="1" applyAlignment="1">
      <alignment horizontal="right"/>
    </xf>
    <xf numFmtId="172" fontId="64" fillId="0" borderId="0" xfId="4" applyAlignment="1">
      <alignment horizontal="right"/>
    </xf>
    <xf numFmtId="49" fontId="56" fillId="0" borderId="40" xfId="3" applyNumberFormat="1" applyFont="1" applyBorder="1"/>
    <xf numFmtId="0" fontId="1" fillId="0" borderId="0" xfId="3" applyAlignment="1">
      <alignment horizontal="center"/>
    </xf>
    <xf numFmtId="0" fontId="2" fillId="0" borderId="42" xfId="3" applyFont="1" applyBorder="1" applyAlignment="1">
      <alignment horizontal="center"/>
    </xf>
    <xf numFmtId="0" fontId="2" fillId="0" borderId="24" xfId="3" applyFont="1" applyBorder="1" applyAlignment="1">
      <alignment horizontal="center"/>
    </xf>
    <xf numFmtId="0" fontId="1" fillId="0" borderId="0" xfId="3" applyAlignment="1">
      <alignment horizontal="right"/>
    </xf>
    <xf numFmtId="0" fontId="1" fillId="6" borderId="0" xfId="3" applyFill="1"/>
    <xf numFmtId="0" fontId="1" fillId="7" borderId="0" xfId="3" applyFill="1"/>
    <xf numFmtId="167" fontId="1" fillId="0" borderId="0" xfId="3" applyNumberFormat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0" fontId="53" fillId="0" borderId="17" xfId="3" applyFont="1" applyBorder="1" applyAlignment="1">
      <alignment horizontal="right"/>
    </xf>
    <xf numFmtId="0" fontId="53" fillId="0" borderId="131" xfId="3" applyFont="1" applyBorder="1" applyAlignment="1">
      <alignment horizontal="right"/>
    </xf>
    <xf numFmtId="0" fontId="32" fillId="0" borderId="0" xfId="3" applyFont="1" applyAlignment="1">
      <alignment horizontal="center"/>
    </xf>
    <xf numFmtId="0" fontId="54" fillId="0" borderId="0" xfId="3" applyFont="1" applyAlignment="1">
      <alignment horizontal="right"/>
    </xf>
    <xf numFmtId="0" fontId="53" fillId="0" borderId="1" xfId="3" applyFont="1" applyBorder="1" applyAlignment="1">
      <alignment horizontal="center"/>
    </xf>
    <xf numFmtId="0" fontId="32" fillId="0" borderId="17" xfId="3" applyFont="1" applyBorder="1" applyAlignment="1">
      <alignment horizontal="center"/>
    </xf>
    <xf numFmtId="0" fontId="32" fillId="0" borderId="131" xfId="3" applyFont="1" applyBorder="1" applyAlignment="1">
      <alignment horizontal="center"/>
    </xf>
    <xf numFmtId="0" fontId="32" fillId="0" borderId="132" xfId="3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55" fillId="0" borderId="17" xfId="3" applyFont="1" applyBorder="1" applyAlignment="1">
      <alignment horizontal="center"/>
    </xf>
    <xf numFmtId="172" fontId="76" fillId="0" borderId="148" xfId="4" applyFont="1" applyBorder="1" applyAlignment="1" applyProtection="1">
      <alignment horizontal="center"/>
      <protection locked="0"/>
    </xf>
    <xf numFmtId="14" fontId="24" fillId="0" borderId="148" xfId="4" quotePrefix="1" applyNumberFormat="1" applyFont="1" applyBorder="1" applyAlignment="1" applyProtection="1">
      <alignment horizontal="center"/>
      <protection locked="0"/>
    </xf>
    <xf numFmtId="0" fontId="56" fillId="0" borderId="17" xfId="3" applyFont="1" applyBorder="1" applyAlignment="1">
      <alignment horizontal="center"/>
    </xf>
    <xf numFmtId="0" fontId="56" fillId="0" borderId="131" xfId="3" applyFont="1" applyBorder="1" applyAlignment="1">
      <alignment horizontal="center"/>
    </xf>
    <xf numFmtId="0" fontId="56" fillId="0" borderId="132" xfId="3" applyFont="1" applyBorder="1" applyAlignment="1">
      <alignment horizontal="center"/>
    </xf>
    <xf numFmtId="0" fontId="58" fillId="0" borderId="83" xfId="3" applyFont="1" applyBorder="1" applyAlignment="1">
      <alignment horizontal="center"/>
    </xf>
    <xf numFmtId="0" fontId="58" fillId="0" borderId="0" xfId="3" applyFont="1" applyAlignment="1">
      <alignment horizontal="center"/>
    </xf>
    <xf numFmtId="0" fontId="58" fillId="0" borderId="108" xfId="3" applyFont="1" applyBorder="1" applyAlignment="1">
      <alignment horizontal="center"/>
    </xf>
    <xf numFmtId="0" fontId="60" fillId="0" borderId="83" xfId="3" applyFont="1" applyBorder="1" applyAlignment="1">
      <alignment horizontal="center"/>
    </xf>
    <xf numFmtId="0" fontId="60" fillId="0" borderId="0" xfId="3" applyFont="1" applyAlignment="1">
      <alignment horizontal="center"/>
    </xf>
    <xf numFmtId="0" fontId="60" fillId="0" borderId="108" xfId="3" applyFont="1" applyBorder="1" applyAlignment="1">
      <alignment horizontal="center"/>
    </xf>
    <xf numFmtId="0" fontId="1" fillId="0" borderId="52" xfId="3" applyBorder="1" applyAlignment="1">
      <alignment horizontal="center"/>
    </xf>
    <xf numFmtId="0" fontId="1" fillId="0" borderId="53" xfId="3" applyBorder="1" applyAlignment="1">
      <alignment horizontal="center"/>
    </xf>
    <xf numFmtId="0" fontId="1" fillId="0" borderId="54" xfId="3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_PROJ_REV_HIST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163.42154382117516</c:v>
                </c:pt>
                <c:pt idx="2">
                  <c:v>280</c:v>
                </c:pt>
                <c:pt idx="3">
                  <c:v>194.70916460768657</c:v>
                </c:pt>
                <c:pt idx="4">
                  <c:v>164.64427604332786</c:v>
                </c:pt>
                <c:pt idx="5">
                  <c:v>155.11018917472214</c:v>
                </c:pt>
                <c:pt idx="6">
                  <c:v>150.96653277006465</c:v>
                </c:pt>
                <c:pt idx="7">
                  <c:v>150</c:v>
                </c:pt>
                <c:pt idx="8">
                  <c:v>151.61511204702089</c:v>
                </c:pt>
                <c:pt idx="9">
                  <c:v>154.64801497190263</c:v>
                </c:pt>
                <c:pt idx="10">
                  <c:v>159.96941117561579</c:v>
                </c:pt>
                <c:pt idx="11">
                  <c:v>169.16278509041658</c:v>
                </c:pt>
                <c:pt idx="12">
                  <c:v>184.54973131207873</c:v>
                </c:pt>
                <c:pt idx="13">
                  <c:v>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7F-4DBF-BD8A-67921413BDCC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7F-4DBF-BD8A-67921413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09335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0.26254606246948242</c:v>
                </c:pt>
                <c:pt idx="1">
                  <c:v>160.98391723632813</c:v>
                </c:pt>
                <c:pt idx="2">
                  <c:v>451.93539428710938</c:v>
                </c:pt>
                <c:pt idx="3">
                  <c:v>522.24322509765625</c:v>
                </c:pt>
                <c:pt idx="4">
                  <c:v>547.925537109375</c:v>
                </c:pt>
                <c:pt idx="5">
                  <c:v>565.26995849609375</c:v>
                </c:pt>
                <c:pt idx="6">
                  <c:v>591.97784423828125</c:v>
                </c:pt>
                <c:pt idx="7">
                  <c:v>612.564697265625</c:v>
                </c:pt>
                <c:pt idx="8">
                  <c:v>628.5677490234375</c:v>
                </c:pt>
                <c:pt idx="9">
                  <c:v>641.65509033203125</c:v>
                </c:pt>
                <c:pt idx="10">
                  <c:v>652.173828125</c:v>
                </c:pt>
                <c:pt idx="11">
                  <c:v>661.08428955078125</c:v>
                </c:pt>
                <c:pt idx="12">
                  <c:v>668.5777587890625</c:v>
                </c:pt>
                <c:pt idx="13">
                  <c:v>675.2542724609375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7F-4DBF-BD8A-67921413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3630933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6309335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163.42154382117516</c:v>
                </c:pt>
                <c:pt idx="2">
                  <c:v>280</c:v>
                </c:pt>
                <c:pt idx="3">
                  <c:v>194.70916460768657</c:v>
                </c:pt>
                <c:pt idx="4">
                  <c:v>164.64427604332786</c:v>
                </c:pt>
                <c:pt idx="5">
                  <c:v>155.11018917472214</c:v>
                </c:pt>
                <c:pt idx="6">
                  <c:v>150.96653277006465</c:v>
                </c:pt>
                <c:pt idx="7">
                  <c:v>150</c:v>
                </c:pt>
                <c:pt idx="8">
                  <c:v>151.61511204702089</c:v>
                </c:pt>
                <c:pt idx="9">
                  <c:v>154.64801497190263</c:v>
                </c:pt>
                <c:pt idx="10">
                  <c:v>159.96941117561579</c:v>
                </c:pt>
                <c:pt idx="11">
                  <c:v>169.16278509041658</c:v>
                </c:pt>
                <c:pt idx="12">
                  <c:v>184.54973131207873</c:v>
                </c:pt>
                <c:pt idx="13">
                  <c:v>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B-411D-9F36-4BD8F1E89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797624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1B-411D-9F36-4BD8F1E89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797624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0.26254606246948242</c:v>
                </c:pt>
                <c:pt idx="1">
                  <c:v>160.98391723632813</c:v>
                </c:pt>
                <c:pt idx="2">
                  <c:v>451.93539428710938</c:v>
                </c:pt>
                <c:pt idx="3">
                  <c:v>522.24322509765625</c:v>
                </c:pt>
                <c:pt idx="4">
                  <c:v>547.925537109375</c:v>
                </c:pt>
                <c:pt idx="5">
                  <c:v>565.26995849609375</c:v>
                </c:pt>
                <c:pt idx="6">
                  <c:v>591.97784423828125</c:v>
                </c:pt>
                <c:pt idx="7">
                  <c:v>612.564697265625</c:v>
                </c:pt>
                <c:pt idx="8">
                  <c:v>628.5677490234375</c:v>
                </c:pt>
                <c:pt idx="9">
                  <c:v>641.65509033203125</c:v>
                </c:pt>
                <c:pt idx="10">
                  <c:v>652.173828125</c:v>
                </c:pt>
                <c:pt idx="11">
                  <c:v>661.08428955078125</c:v>
                </c:pt>
                <c:pt idx="12">
                  <c:v>668.5777587890625</c:v>
                </c:pt>
                <c:pt idx="13">
                  <c:v>675.2542724609375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1B-411D-9F36-4BD8F1E89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7079762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079762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9036835224494282"/>
          <c:w val="0.23762674402541786"/>
          <c:h val="0.1096316477550572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675.25423728813564</c:v>
                </c:pt>
                <c:pt idx="1">
                  <c:v>584.17859999999996</c:v>
                </c:pt>
                <c:pt idx="2">
                  <c:v>493.07563728813562</c:v>
                </c:pt>
                <c:pt idx="3">
                  <c:v>402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30.787999289376398</c:v>
                </c:pt>
                <c:pt idx="1">
                  <c:v>41.136261200808761</c:v>
                </c:pt>
                <c:pt idx="2">
                  <c:v>57.741626697873251</c:v>
                </c:pt>
                <c:pt idx="3">
                  <c:v>86.868835139021215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6-402A-B350-1879E889A0B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675.25423728813564</c:v>
                </c:pt>
                <c:pt idx="1">
                  <c:v>584.17859999999996</c:v>
                </c:pt>
                <c:pt idx="2">
                  <c:v>493.07563728813562</c:v>
                </c:pt>
                <c:pt idx="3">
                  <c:v>402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20.041702359823248</c:v>
                </c:pt>
                <c:pt idx="2">
                  <c:v>28.131883216164706</c:v>
                </c:pt>
                <c:pt idx="3">
                  <c:v>42.322741235574156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6-402A-B350-1879E889A0B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302</c:v>
                </c:pt>
                <c:pt idx="1">
                  <c:v>202</c:v>
                </c:pt>
                <c:pt idx="2">
                  <c:v>280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87.238830033593473</c:v>
                </c:pt>
                <c:pt idx="3">
                  <c:v>211.09642822943601</c:v>
                </c:pt>
                <c:pt idx="4">
                  <c:v>325.30436502419627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6-402A-B350-1879E889A0B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675.25423728813564</c:v>
                </c:pt>
                <c:pt idx="1">
                  <c:v>671.93220338983053</c:v>
                </c:pt>
                <c:pt idx="2">
                  <c:v>664.84745762711862</c:v>
                </c:pt>
                <c:pt idx="3">
                  <c:v>656.64406779661022</c:v>
                </c:pt>
                <c:pt idx="4">
                  <c:v>646.91525423728808</c:v>
                </c:pt>
                <c:pt idx="5">
                  <c:v>635.11864406779659</c:v>
                </c:pt>
                <c:pt idx="6">
                  <c:v>620.57627118644064</c:v>
                </c:pt>
                <c:pt idx="7">
                  <c:v>602.27118644067798</c:v>
                </c:pt>
                <c:pt idx="8">
                  <c:v>578.61016949152543</c:v>
                </c:pt>
                <c:pt idx="9">
                  <c:v>556.61016949152543</c:v>
                </c:pt>
                <c:pt idx="10">
                  <c:v>535.08474576271192</c:v>
                </c:pt>
                <c:pt idx="11">
                  <c:v>487.08474576271186</c:v>
                </c:pt>
                <c:pt idx="12">
                  <c:v>306.47457627118644</c:v>
                </c:pt>
                <c:pt idx="13">
                  <c:v>119.16782434859215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0.52300000190734863</c:v>
                </c:pt>
                <c:pt idx="2">
                  <c:v>1.0750000476837158</c:v>
                </c:pt>
                <c:pt idx="3">
                  <c:v>1.6550000905990601</c:v>
                </c:pt>
                <c:pt idx="4">
                  <c:v>2.2630000114440918</c:v>
                </c:pt>
                <c:pt idx="5">
                  <c:v>2.9059998989105225</c:v>
                </c:pt>
                <c:pt idx="6">
                  <c:v>3.5939998626708984</c:v>
                </c:pt>
                <c:pt idx="7">
                  <c:v>4.3599996566772461</c:v>
                </c:pt>
                <c:pt idx="8">
                  <c:v>5.2089996337890625</c:v>
                </c:pt>
                <c:pt idx="9">
                  <c:v>5.6659994125366211</c:v>
                </c:pt>
                <c:pt idx="10">
                  <c:v>6.0929994583129883</c:v>
                </c:pt>
                <c:pt idx="11">
                  <c:v>6.3969993591308594</c:v>
                </c:pt>
                <c:pt idx="12">
                  <c:v>6.6259994506835938</c:v>
                </c:pt>
                <c:pt idx="13">
                  <c:v>6.6939992904663086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66-402A-B350-1879E889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441184"/>
        <c:axId val="1"/>
      </c:scatterChart>
      <c:valAx>
        <c:axId val="113144118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144118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89.099998474121094</c:v>
                </c:pt>
                <c:pt idx="2">
                  <c:v>93.800003051757813</c:v>
                </c:pt>
                <c:pt idx="3">
                  <c:v>95.599998474121094</c:v>
                </c:pt>
                <c:pt idx="4">
                  <c:v>96.200004577636719</c:v>
                </c:pt>
                <c:pt idx="5">
                  <c:v>96.5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98-4157-8878-A7D1E7D82853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56.400001525878906</c:v>
                </c:pt>
                <c:pt idx="1">
                  <c:v>74</c:v>
                </c:pt>
                <c:pt idx="2">
                  <c:v>80.199996948242188</c:v>
                </c:pt>
                <c:pt idx="3">
                  <c:v>82.400001525878906</c:v>
                </c:pt>
                <c:pt idx="4">
                  <c:v>82.900001525878906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98-4157-8878-A7D1E7D82853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84.400024414065911</c:v>
                </c:pt>
                <c:pt idx="2">
                  <c:v>70.599975585967059</c:v>
                </c:pt>
                <c:pt idx="3">
                  <c:v>55.599975585904524</c:v>
                </c:pt>
                <c:pt idx="4">
                  <c:v>40</c:v>
                </c:pt>
                <c:pt idx="5">
                  <c:v>27.9998779296875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98-4157-8878-A7D1E7D82853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0.53</c:v>
                </c:pt>
                <c:pt idx="1">
                  <c:v>8.7221416666666656</c:v>
                </c:pt>
                <c:pt idx="2">
                  <c:v>16.555690000000002</c:v>
                </c:pt>
                <c:pt idx="3">
                  <c:v>24.398700000000002</c:v>
                </c:pt>
                <c:pt idx="4">
                  <c:v>32.292950000000005</c:v>
                </c:pt>
                <c:pt idx="5">
                  <c:v>40.277299999999997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98-4157-8878-A7D1E7D82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41544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108</c:v>
                </c:pt>
                <c:pt idx="1">
                  <c:v>116.45999908447266</c:v>
                </c:pt>
                <c:pt idx="2">
                  <c:v>168.47999572753906</c:v>
                </c:pt>
                <c:pt idx="3">
                  <c:v>229.10000610351563</c:v>
                </c:pt>
                <c:pt idx="4">
                  <c:v>295.1300048828125</c:v>
                </c:pt>
                <c:pt idx="5">
                  <c:v>365.8800048828125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98-4157-8878-A7D1E7D82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544154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441544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2F7D25E0-F73E-363E-9190-782CE358C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136876</xdr:colOff>
      <xdr:row>53</xdr:row>
      <xdr:rowOff>70185</xdr:rowOff>
    </xdr:from>
    <xdr:to>
      <xdr:col>22</xdr:col>
      <xdr:colOff>210552</xdr:colOff>
      <xdr:row>76</xdr:row>
      <xdr:rowOff>128145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A124D-F9D4-85E9-5E46-6F4A2DEB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27297" y="10266948"/>
          <a:ext cx="4354913" cy="42589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EB9098C-63D6-49AF-BB20-B029264D27CC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3A4CCC-5DCC-486E-9731-40F0BB85007A}"/>
            </a:ext>
          </a:extLst>
        </xdr:cNvPr>
        <xdr:cNvSpPr>
          <a:spLocks noChangeArrowheads="1"/>
        </xdr:cNvSpPr>
      </xdr:nvSpPr>
      <xdr:spPr bwMode="auto">
        <a:xfrm>
          <a:off x="53244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EF1F876-CD20-4AAD-A20C-4DC5E0DB3448}"/>
            </a:ext>
          </a:extLst>
        </xdr:cNvPr>
        <xdr:cNvSpPr>
          <a:spLocks noChangeArrowheads="1"/>
        </xdr:cNvSpPr>
      </xdr:nvSpPr>
      <xdr:spPr bwMode="auto">
        <a:xfrm>
          <a:off x="53340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CF8F008-EF36-4687-A860-6DA02EDAEE12}"/>
            </a:ext>
          </a:extLst>
        </xdr:cNvPr>
        <xdr:cNvSpPr>
          <a:spLocks noChangeArrowheads="1"/>
        </xdr:cNvSpPr>
      </xdr:nvSpPr>
      <xdr:spPr bwMode="auto">
        <a:xfrm>
          <a:off x="53054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836B701-F837-4F01-A862-3E558AF53178}"/>
            </a:ext>
          </a:extLst>
        </xdr:cNvPr>
        <xdr:cNvSpPr>
          <a:spLocks noChangeArrowheads="1"/>
        </xdr:cNvSpPr>
      </xdr:nvSpPr>
      <xdr:spPr bwMode="auto">
        <a:xfrm>
          <a:off x="54483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304800</xdr:colOff>
      <xdr:row>29</xdr:row>
      <xdr:rowOff>28575</xdr:rowOff>
    </xdr:from>
    <xdr:to>
      <xdr:col>3</xdr:col>
      <xdr:colOff>95250</xdr:colOff>
      <xdr:row>29</xdr:row>
      <xdr:rowOff>133350</xdr:rowOff>
    </xdr:to>
    <xdr:sp macro="" textlink="">
      <xdr:nvSpPr>
        <xdr:cNvPr id="7" name="Bottom Width">
          <a:extLst>
            <a:ext uri="{FF2B5EF4-FFF2-40B4-BE49-F238E27FC236}">
              <a16:creationId xmlns:a16="http://schemas.microsoft.com/office/drawing/2014/main" id="{E985FD31-6093-4372-AC13-865043AB4021}"/>
            </a:ext>
          </a:extLst>
        </xdr:cNvPr>
        <xdr:cNvSpPr txBox="1">
          <a:spLocks noChangeArrowheads="1"/>
        </xdr:cNvSpPr>
      </xdr:nvSpPr>
      <xdr:spPr bwMode="auto">
        <a:xfrm>
          <a:off x="1504950" y="6724650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9.3</a:t>
          </a:r>
        </a:p>
      </xdr:txBody>
    </xdr:sp>
    <xdr:clientData/>
  </xdr:twoCellAnchor>
  <xdr:twoCellAnchor>
    <xdr:from>
      <xdr:col>2</xdr:col>
      <xdr:colOff>276225</xdr:colOff>
      <xdr:row>26</xdr:row>
      <xdr:rowOff>123825</xdr:rowOff>
    </xdr:from>
    <xdr:to>
      <xdr:col>3</xdr:col>
      <xdr:colOff>76200</xdr:colOff>
      <xdr:row>27</xdr:row>
      <xdr:rowOff>19050</xdr:rowOff>
    </xdr:to>
    <xdr:sp macro="" textlink="">
      <xdr:nvSpPr>
        <xdr:cNvPr id="8" name="Top">
          <a:extLst>
            <a:ext uri="{FF2B5EF4-FFF2-40B4-BE49-F238E27FC236}">
              <a16:creationId xmlns:a16="http://schemas.microsoft.com/office/drawing/2014/main" id="{E470842A-1F79-4A05-81B2-AD1D66978288}"/>
            </a:ext>
          </a:extLst>
        </xdr:cNvPr>
        <xdr:cNvSpPr txBox="1">
          <a:spLocks noChangeArrowheads="1"/>
        </xdr:cNvSpPr>
      </xdr:nvSpPr>
      <xdr:spPr bwMode="auto">
        <a:xfrm>
          <a:off x="1476375" y="613410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14.1</a:t>
          </a:r>
        </a:p>
      </xdr:txBody>
    </xdr:sp>
    <xdr:clientData/>
  </xdr:twoCellAnchor>
  <xdr:twoCellAnchor>
    <xdr:from>
      <xdr:col>2</xdr:col>
      <xdr:colOff>276225</xdr:colOff>
      <xdr:row>30</xdr:row>
      <xdr:rowOff>9525</xdr:rowOff>
    </xdr:from>
    <xdr:to>
      <xdr:col>3</xdr:col>
      <xdr:colOff>133350</xdr:colOff>
      <xdr:row>30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6ACF976-5E58-45F5-B158-78863D4CBFEE}"/>
            </a:ext>
          </a:extLst>
        </xdr:cNvPr>
        <xdr:cNvSpPr txBox="1">
          <a:spLocks noChangeArrowheads="1"/>
        </xdr:cNvSpPr>
      </xdr:nvSpPr>
      <xdr:spPr bwMode="auto">
        <a:xfrm>
          <a:off x="1476375" y="6934200"/>
          <a:ext cx="352425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3.4</a:t>
          </a:r>
        </a:p>
      </xdr:txBody>
    </xdr:sp>
    <xdr:clientData/>
  </xdr:twoCellAnchor>
  <xdr:twoCellAnchor>
    <xdr:from>
      <xdr:col>1</xdr:col>
      <xdr:colOff>342900</xdr:colOff>
      <xdr:row>30</xdr:row>
      <xdr:rowOff>47625</xdr:rowOff>
    </xdr:from>
    <xdr:to>
      <xdr:col>2</xdr:col>
      <xdr:colOff>209550</xdr:colOff>
      <xdr:row>30</xdr:row>
      <xdr:rowOff>171450</xdr:rowOff>
    </xdr:to>
    <xdr:sp macro="" textlink="">
      <xdr:nvSpPr>
        <xdr:cNvPr id="10" name="Tip">
          <a:extLst>
            <a:ext uri="{FF2B5EF4-FFF2-40B4-BE49-F238E27FC236}">
              <a16:creationId xmlns:a16="http://schemas.microsoft.com/office/drawing/2014/main" id="{B607002B-AC76-4128-B3AA-FFE3E7E95252}"/>
            </a:ext>
          </a:extLst>
        </xdr:cNvPr>
        <xdr:cNvSpPr txBox="1">
          <a:spLocks noChangeArrowheads="1"/>
        </xdr:cNvSpPr>
      </xdr:nvSpPr>
      <xdr:spPr bwMode="auto">
        <a:xfrm>
          <a:off x="1133475" y="6972300"/>
          <a:ext cx="27622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</a:t>
          </a:r>
        </a:p>
      </xdr:txBody>
    </xdr:sp>
    <xdr:clientData/>
  </xdr:twoCellAnchor>
  <xdr:twoCellAnchor>
    <xdr:from>
      <xdr:col>2</xdr:col>
      <xdr:colOff>381000</xdr:colOff>
      <xdr:row>27</xdr:row>
      <xdr:rowOff>171450</xdr:rowOff>
    </xdr:from>
    <xdr:to>
      <xdr:col>3</xdr:col>
      <xdr:colOff>190500</xdr:colOff>
      <xdr:row>28</xdr:row>
      <xdr:rowOff>47625</xdr:rowOff>
    </xdr:to>
    <xdr:sp macro="" textlink="">
      <xdr:nvSpPr>
        <xdr:cNvPr id="11" name="Radius">
          <a:extLst>
            <a:ext uri="{FF2B5EF4-FFF2-40B4-BE49-F238E27FC236}">
              <a16:creationId xmlns:a16="http://schemas.microsoft.com/office/drawing/2014/main" id="{4C9333CE-D49D-4B3A-8A89-14E2D4D0D95C}"/>
            </a:ext>
          </a:extLst>
        </xdr:cNvPr>
        <xdr:cNvSpPr txBox="1">
          <a:spLocks noChangeArrowheads="1"/>
        </xdr:cNvSpPr>
      </xdr:nvSpPr>
      <xdr:spPr bwMode="auto">
        <a:xfrm>
          <a:off x="1581150" y="6410325"/>
          <a:ext cx="3048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3</xdr:col>
      <xdr:colOff>9525</xdr:colOff>
      <xdr:row>42</xdr:row>
      <xdr:rowOff>219075</xdr:rowOff>
    </xdr:from>
    <xdr:to>
      <xdr:col>3</xdr:col>
      <xdr:colOff>352425</xdr:colOff>
      <xdr:row>43</xdr:row>
      <xdr:rowOff>104775</xdr:rowOff>
    </xdr:to>
    <xdr:sp macro="" textlink="">
      <xdr:nvSpPr>
        <xdr:cNvPr id="12" name="Area">
          <a:extLst>
            <a:ext uri="{FF2B5EF4-FFF2-40B4-BE49-F238E27FC236}">
              <a16:creationId xmlns:a16="http://schemas.microsoft.com/office/drawing/2014/main" id="{95663E90-1666-45E1-A480-8AD81FCFECE2}"/>
            </a:ext>
          </a:extLst>
        </xdr:cNvPr>
        <xdr:cNvSpPr txBox="1">
          <a:spLocks noChangeArrowheads="1"/>
        </xdr:cNvSpPr>
      </xdr:nvSpPr>
      <xdr:spPr bwMode="auto">
        <a:xfrm>
          <a:off x="1704975" y="98869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1861.0</a:t>
          </a:r>
        </a:p>
      </xdr:txBody>
    </xdr:sp>
    <xdr:clientData/>
  </xdr:twoCellAnchor>
  <xdr:twoCellAnchor>
    <xdr:from>
      <xdr:col>1</xdr:col>
      <xdr:colOff>333375</xdr:colOff>
      <xdr:row>41</xdr:row>
      <xdr:rowOff>0</xdr:rowOff>
    </xdr:from>
    <xdr:to>
      <xdr:col>2</xdr:col>
      <xdr:colOff>295275</xdr:colOff>
      <xdr:row>41</xdr:row>
      <xdr:rowOff>123825</xdr:rowOff>
    </xdr:to>
    <xdr:sp macro="" textlink="">
      <xdr:nvSpPr>
        <xdr:cNvPr id="13" name="OD">
          <a:extLst>
            <a:ext uri="{FF2B5EF4-FFF2-40B4-BE49-F238E27FC236}">
              <a16:creationId xmlns:a16="http://schemas.microsoft.com/office/drawing/2014/main" id="{4A9D18E1-BF0F-4127-A030-EAD3B9972467}"/>
            </a:ext>
          </a:extLst>
        </xdr:cNvPr>
        <xdr:cNvSpPr txBox="1">
          <a:spLocks noChangeArrowheads="1"/>
        </xdr:cNvSpPr>
      </xdr:nvSpPr>
      <xdr:spPr bwMode="auto">
        <a:xfrm>
          <a:off x="1123950" y="9439275"/>
          <a:ext cx="3714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336.5</a:t>
          </a:r>
        </a:p>
      </xdr:txBody>
    </xdr:sp>
    <xdr:clientData/>
  </xdr:twoCellAnchor>
  <xdr:twoCellAnchor>
    <xdr:from>
      <xdr:col>2</xdr:col>
      <xdr:colOff>114300</xdr:colOff>
      <xdr:row>40</xdr:row>
      <xdr:rowOff>95250</xdr:rowOff>
    </xdr:from>
    <xdr:to>
      <xdr:col>2</xdr:col>
      <xdr:colOff>390525</xdr:colOff>
      <xdr:row>40</xdr:row>
      <xdr:rowOff>190500</xdr:rowOff>
    </xdr:to>
    <xdr:sp macro="" textlink="">
      <xdr:nvSpPr>
        <xdr:cNvPr id="14" name="Height">
          <a:extLst>
            <a:ext uri="{FF2B5EF4-FFF2-40B4-BE49-F238E27FC236}">
              <a16:creationId xmlns:a16="http://schemas.microsoft.com/office/drawing/2014/main" id="{F559FFE2-D32C-463E-AF28-EB70480BBFC8}"/>
            </a:ext>
          </a:extLst>
        </xdr:cNvPr>
        <xdr:cNvSpPr txBox="1">
          <a:spLocks noChangeArrowheads="1"/>
        </xdr:cNvSpPr>
      </xdr:nvSpPr>
      <xdr:spPr bwMode="auto">
        <a:xfrm>
          <a:off x="1314450" y="93059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56.8</a:t>
          </a:r>
        </a:p>
      </xdr:txBody>
    </xdr:sp>
    <xdr:clientData/>
  </xdr:twoCellAnchor>
  <xdr:twoCellAnchor>
    <xdr:from>
      <xdr:col>2</xdr:col>
      <xdr:colOff>390525</xdr:colOff>
      <xdr:row>40</xdr:row>
      <xdr:rowOff>104775</xdr:rowOff>
    </xdr:from>
    <xdr:to>
      <xdr:col>3</xdr:col>
      <xdr:colOff>238125</xdr:colOff>
      <xdr:row>40</xdr:row>
      <xdr:rowOff>219075</xdr:rowOff>
    </xdr:to>
    <xdr:sp macro="" textlink="">
      <xdr:nvSpPr>
        <xdr:cNvPr id="15" name="Thickness">
          <a:extLst>
            <a:ext uri="{FF2B5EF4-FFF2-40B4-BE49-F238E27FC236}">
              <a16:creationId xmlns:a16="http://schemas.microsoft.com/office/drawing/2014/main" id="{42C1428D-915B-4A3C-B40B-87DC186D245C}"/>
            </a:ext>
          </a:extLst>
        </xdr:cNvPr>
        <xdr:cNvSpPr txBox="1">
          <a:spLocks noChangeArrowheads="1"/>
        </xdr:cNvSpPr>
      </xdr:nvSpPr>
      <xdr:spPr bwMode="auto">
        <a:xfrm>
          <a:off x="1590675" y="93154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1</xdr:col>
      <xdr:colOff>371475</xdr:colOff>
      <xdr:row>42</xdr:row>
      <xdr:rowOff>38100</xdr:rowOff>
    </xdr:from>
    <xdr:to>
      <xdr:col>2</xdr:col>
      <xdr:colOff>276225</xdr:colOff>
      <xdr:row>42</xdr:row>
      <xdr:rowOff>152400</xdr:rowOff>
    </xdr:to>
    <xdr:sp macro="" textlink="">
      <xdr:nvSpPr>
        <xdr:cNvPr id="16" name="ID">
          <a:extLst>
            <a:ext uri="{FF2B5EF4-FFF2-40B4-BE49-F238E27FC236}">
              <a16:creationId xmlns:a16="http://schemas.microsoft.com/office/drawing/2014/main" id="{56FF9B5D-5482-446F-A2C3-261E3EDE8842}"/>
            </a:ext>
          </a:extLst>
        </xdr:cNvPr>
        <xdr:cNvSpPr txBox="1">
          <a:spLocks noChangeArrowheads="1"/>
        </xdr:cNvSpPr>
      </xdr:nvSpPr>
      <xdr:spPr bwMode="auto">
        <a:xfrm>
          <a:off x="1162050" y="9705975"/>
          <a:ext cx="3143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223.0</a:t>
          </a:r>
        </a:p>
      </xdr:txBody>
    </xdr:sp>
    <xdr:clientData/>
  </xdr:twoCellAnchor>
  <xdr:twoCellAnchor>
    <xdr:from>
      <xdr:col>3</xdr:col>
      <xdr:colOff>123825</xdr:colOff>
      <xdr:row>32</xdr:row>
      <xdr:rowOff>76200</xdr:rowOff>
    </xdr:from>
    <xdr:to>
      <xdr:col>3</xdr:col>
      <xdr:colOff>371475</xdr:colOff>
      <xdr:row>32</xdr:row>
      <xdr:rowOff>190500</xdr:rowOff>
    </xdr:to>
    <xdr:sp macro="" textlink="">
      <xdr:nvSpPr>
        <xdr:cNvPr id="17" name="Tip2">
          <a:extLst>
            <a:ext uri="{FF2B5EF4-FFF2-40B4-BE49-F238E27FC236}">
              <a16:creationId xmlns:a16="http://schemas.microsoft.com/office/drawing/2014/main" id="{5E9A9E87-2807-4E54-85AD-252537E4BCEA}"/>
            </a:ext>
          </a:extLst>
        </xdr:cNvPr>
        <xdr:cNvSpPr txBox="1">
          <a:spLocks noChangeArrowheads="1"/>
        </xdr:cNvSpPr>
      </xdr:nvSpPr>
      <xdr:spPr bwMode="auto">
        <a:xfrm>
          <a:off x="1819275" y="745807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247650</xdr:colOff>
      <xdr:row>35</xdr:row>
      <xdr:rowOff>38100</xdr:rowOff>
    </xdr:from>
    <xdr:to>
      <xdr:col>3</xdr:col>
      <xdr:colOff>523875</xdr:colOff>
      <xdr:row>35</xdr:row>
      <xdr:rowOff>152400</xdr:rowOff>
    </xdr:to>
    <xdr:sp macro="" textlink="">
      <xdr:nvSpPr>
        <xdr:cNvPr id="18" name="Depth2">
          <a:extLst>
            <a:ext uri="{FF2B5EF4-FFF2-40B4-BE49-F238E27FC236}">
              <a16:creationId xmlns:a16="http://schemas.microsoft.com/office/drawing/2014/main" id="{FB6C1475-946C-431B-AC8A-1A6CD221C0DB}"/>
            </a:ext>
          </a:extLst>
        </xdr:cNvPr>
        <xdr:cNvSpPr txBox="1">
          <a:spLocks noChangeArrowheads="1"/>
        </xdr:cNvSpPr>
      </xdr:nvSpPr>
      <xdr:spPr bwMode="auto">
        <a:xfrm>
          <a:off x="1943100" y="8105775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55.80</a:t>
          </a:r>
        </a:p>
      </xdr:txBody>
    </xdr:sp>
    <xdr:clientData/>
  </xdr:twoCellAnchor>
  <xdr:twoCellAnchor>
    <xdr:from>
      <xdr:col>2</xdr:col>
      <xdr:colOff>466725</xdr:colOff>
      <xdr:row>33</xdr:row>
      <xdr:rowOff>123825</xdr:rowOff>
    </xdr:from>
    <xdr:to>
      <xdr:col>3</xdr:col>
      <xdr:colOff>228600</xdr:colOff>
      <xdr:row>34</xdr:row>
      <xdr:rowOff>0</xdr:rowOff>
    </xdr:to>
    <xdr:sp macro="" textlink="">
      <xdr:nvSpPr>
        <xdr:cNvPr id="19" name="Hat Depth">
          <a:extLst>
            <a:ext uri="{FF2B5EF4-FFF2-40B4-BE49-F238E27FC236}">
              <a16:creationId xmlns:a16="http://schemas.microsoft.com/office/drawing/2014/main" id="{8650868C-2DC1-44FA-825A-D22FED1559A7}"/>
            </a:ext>
          </a:extLst>
        </xdr:cNvPr>
        <xdr:cNvSpPr txBox="1">
          <a:spLocks noChangeArrowheads="1"/>
        </xdr:cNvSpPr>
      </xdr:nvSpPr>
      <xdr:spPr bwMode="auto">
        <a:xfrm>
          <a:off x="1666875" y="7734300"/>
          <a:ext cx="2571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</a:t>
          </a:r>
        </a:p>
      </xdr:txBody>
    </xdr:sp>
    <xdr:clientData/>
  </xdr:twoCellAnchor>
  <xdr:twoCellAnchor>
    <xdr:from>
      <xdr:col>2</xdr:col>
      <xdr:colOff>466725</xdr:colOff>
      <xdr:row>34</xdr:row>
      <xdr:rowOff>28575</xdr:rowOff>
    </xdr:from>
    <xdr:to>
      <xdr:col>3</xdr:col>
      <xdr:colOff>219075</xdr:colOff>
      <xdr:row>34</xdr:row>
      <xdr:rowOff>133350</xdr:rowOff>
    </xdr:to>
    <xdr:sp macro="" textlink="">
      <xdr:nvSpPr>
        <xdr:cNvPr id="20" name="Up Bar Depth">
          <a:extLst>
            <a:ext uri="{FF2B5EF4-FFF2-40B4-BE49-F238E27FC236}">
              <a16:creationId xmlns:a16="http://schemas.microsoft.com/office/drawing/2014/main" id="{05343E20-C189-411F-85B4-9FC03F35CE9A}"/>
            </a:ext>
          </a:extLst>
        </xdr:cNvPr>
        <xdr:cNvSpPr txBox="1">
          <a:spLocks noChangeArrowheads="1"/>
        </xdr:cNvSpPr>
      </xdr:nvSpPr>
      <xdr:spPr bwMode="auto">
        <a:xfrm>
          <a:off x="1666875" y="7867650"/>
          <a:ext cx="2476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</a:t>
          </a:r>
        </a:p>
      </xdr:txBody>
    </xdr:sp>
    <xdr:clientData/>
  </xdr:twoCellAnchor>
  <xdr:twoCellAnchor>
    <xdr:from>
      <xdr:col>1</xdr:col>
      <xdr:colOff>342900</xdr:colOff>
      <xdr:row>34</xdr:row>
      <xdr:rowOff>0</xdr:rowOff>
    </xdr:from>
    <xdr:to>
      <xdr:col>2</xdr:col>
      <xdr:colOff>209550</xdr:colOff>
      <xdr:row>34</xdr:row>
      <xdr:rowOff>152400</xdr:rowOff>
    </xdr:to>
    <xdr:sp macro="" textlink="">
      <xdr:nvSpPr>
        <xdr:cNvPr id="21" name="Up Bar Width">
          <a:extLst>
            <a:ext uri="{FF2B5EF4-FFF2-40B4-BE49-F238E27FC236}">
              <a16:creationId xmlns:a16="http://schemas.microsoft.com/office/drawing/2014/main" id="{4CFD28D7-15D7-4EEE-9B92-84F54F78551D}"/>
            </a:ext>
          </a:extLst>
        </xdr:cNvPr>
        <xdr:cNvSpPr txBox="1">
          <a:spLocks noChangeArrowheads="1"/>
        </xdr:cNvSpPr>
      </xdr:nvSpPr>
      <xdr:spPr bwMode="auto">
        <a:xfrm>
          <a:off x="1133475" y="7839075"/>
          <a:ext cx="2762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3.0</a:t>
          </a:r>
        </a:p>
      </xdr:txBody>
    </xdr:sp>
    <xdr:clientData/>
  </xdr:twoCellAnchor>
  <xdr:twoCellAnchor>
    <xdr:from>
      <xdr:col>2</xdr:col>
      <xdr:colOff>209550</xdr:colOff>
      <xdr:row>35</xdr:row>
      <xdr:rowOff>76200</xdr:rowOff>
    </xdr:from>
    <xdr:to>
      <xdr:col>3</xdr:col>
      <xdr:colOff>28575</xdr:colOff>
      <xdr:row>35</xdr:row>
      <xdr:rowOff>180975</xdr:rowOff>
    </xdr:to>
    <xdr:sp macro="" textlink="">
      <xdr:nvSpPr>
        <xdr:cNvPr id="22" name="Width2">
          <a:extLst>
            <a:ext uri="{FF2B5EF4-FFF2-40B4-BE49-F238E27FC236}">
              <a16:creationId xmlns:a16="http://schemas.microsoft.com/office/drawing/2014/main" id="{0AC95759-044F-4168-A362-1354DC0C3F19}"/>
            </a:ext>
          </a:extLst>
        </xdr:cNvPr>
        <xdr:cNvSpPr txBox="1">
          <a:spLocks noChangeArrowheads="1"/>
        </xdr:cNvSpPr>
      </xdr:nvSpPr>
      <xdr:spPr bwMode="auto">
        <a:xfrm>
          <a:off x="1409700" y="8143875"/>
          <a:ext cx="3143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10.01</a:t>
          </a:r>
        </a:p>
      </xdr:txBody>
    </xdr:sp>
    <xdr:clientData/>
  </xdr:twoCellAnchor>
  <xdr:twoCellAnchor>
    <xdr:from>
      <xdr:col>3</xdr:col>
      <xdr:colOff>47625</xdr:colOff>
      <xdr:row>36</xdr:row>
      <xdr:rowOff>9525</xdr:rowOff>
    </xdr:from>
    <xdr:to>
      <xdr:col>3</xdr:col>
      <xdr:colOff>371475</xdr:colOff>
      <xdr:row>36</xdr:row>
      <xdr:rowOff>114300</xdr:rowOff>
    </xdr:to>
    <xdr:sp macro="" textlink="">
      <xdr:nvSpPr>
        <xdr:cNvPr id="23" name="Low Bar Depth">
          <a:extLst>
            <a:ext uri="{FF2B5EF4-FFF2-40B4-BE49-F238E27FC236}">
              <a16:creationId xmlns:a16="http://schemas.microsoft.com/office/drawing/2014/main" id="{00C9EFF1-F948-4E5E-8592-51FFBD5526C3}"/>
            </a:ext>
          </a:extLst>
        </xdr:cNvPr>
        <xdr:cNvSpPr txBox="1">
          <a:spLocks noChangeArrowheads="1"/>
        </xdr:cNvSpPr>
      </xdr:nvSpPr>
      <xdr:spPr bwMode="auto">
        <a:xfrm>
          <a:off x="1743075" y="83058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44.00</a:t>
          </a:r>
        </a:p>
      </xdr:txBody>
    </xdr:sp>
    <xdr:clientData/>
  </xdr:twoCellAnchor>
  <xdr:twoCellAnchor>
    <xdr:from>
      <xdr:col>2</xdr:col>
      <xdr:colOff>228600</xdr:colOff>
      <xdr:row>36</xdr:row>
      <xdr:rowOff>142875</xdr:rowOff>
    </xdr:from>
    <xdr:to>
      <xdr:col>3</xdr:col>
      <xdr:colOff>28575</xdr:colOff>
      <xdr:row>37</xdr:row>
      <xdr:rowOff>19050</xdr:rowOff>
    </xdr:to>
    <xdr:sp macro="" textlink="">
      <xdr:nvSpPr>
        <xdr:cNvPr id="24" name="Width3">
          <a:extLst>
            <a:ext uri="{FF2B5EF4-FFF2-40B4-BE49-F238E27FC236}">
              <a16:creationId xmlns:a16="http://schemas.microsoft.com/office/drawing/2014/main" id="{3E73EB2C-FE6A-4628-A16F-6EE83A15E7D3}"/>
            </a:ext>
          </a:extLst>
        </xdr:cNvPr>
        <xdr:cNvSpPr txBox="1">
          <a:spLocks noChangeArrowheads="1"/>
        </xdr:cNvSpPr>
      </xdr:nvSpPr>
      <xdr:spPr bwMode="auto">
        <a:xfrm>
          <a:off x="1428750" y="843915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5.24</a:t>
          </a:r>
        </a:p>
      </xdr:txBody>
    </xdr:sp>
    <xdr:clientData/>
  </xdr:twoCellAnchor>
  <xdr:twoCellAnchor>
    <xdr:from>
      <xdr:col>1</xdr:col>
      <xdr:colOff>228600</xdr:colOff>
      <xdr:row>39</xdr:row>
      <xdr:rowOff>133350</xdr:rowOff>
    </xdr:from>
    <xdr:to>
      <xdr:col>3</xdr:col>
      <xdr:colOff>609600</xdr:colOff>
      <xdr:row>43</xdr:row>
      <xdr:rowOff>104775</xdr:rowOff>
    </xdr:to>
    <xdr:grpSp>
      <xdr:nvGrpSpPr>
        <xdr:cNvPr id="25" name="Group 492">
          <a:extLst>
            <a:ext uri="{FF2B5EF4-FFF2-40B4-BE49-F238E27FC236}">
              <a16:creationId xmlns:a16="http://schemas.microsoft.com/office/drawing/2014/main" id="{16B441F1-0F7F-4617-8C3A-90B323B118E4}"/>
            </a:ext>
          </a:extLst>
        </xdr:cNvPr>
        <xdr:cNvGrpSpPr>
          <a:grpSpLocks/>
        </xdr:cNvGrpSpPr>
      </xdr:nvGrpSpPr>
      <xdr:grpSpPr bwMode="auto">
        <a:xfrm>
          <a:off x="1019175" y="9115425"/>
          <a:ext cx="1285875" cy="885825"/>
          <a:chOff x="107" y="933"/>
          <a:chExt cx="133" cy="93"/>
        </a:xfrm>
      </xdr:grpSpPr>
      <xdr:sp macro="" textlink="">
        <xdr:nvSpPr>
          <xdr:cNvPr id="26" name="Line 459">
            <a:extLst>
              <a:ext uri="{FF2B5EF4-FFF2-40B4-BE49-F238E27FC236}">
                <a16:creationId xmlns:a16="http://schemas.microsoft.com/office/drawing/2014/main" id="{374158AB-728E-8A77-F51C-68190453321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6" y="993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60">
            <a:extLst>
              <a:ext uri="{FF2B5EF4-FFF2-40B4-BE49-F238E27FC236}">
                <a16:creationId xmlns:a16="http://schemas.microsoft.com/office/drawing/2014/main" id="{4845AB35-C69D-7533-5D64-0D32743C652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0" y="933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61">
            <a:extLst>
              <a:ext uri="{FF2B5EF4-FFF2-40B4-BE49-F238E27FC236}">
                <a16:creationId xmlns:a16="http://schemas.microsoft.com/office/drawing/2014/main" id="{0A917E69-2802-9A81-68CA-D95679F1BB7B}"/>
              </a:ext>
            </a:extLst>
          </xdr:cNvPr>
          <xdr:cNvSpPr>
            <a:spLocks noChangeShapeType="1"/>
          </xdr:cNvSpPr>
        </xdr:nvSpPr>
        <xdr:spPr bwMode="auto">
          <a:xfrm>
            <a:off x="168" y="933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62">
            <a:extLst>
              <a:ext uri="{FF2B5EF4-FFF2-40B4-BE49-F238E27FC236}">
                <a16:creationId xmlns:a16="http://schemas.microsoft.com/office/drawing/2014/main" id="{E461512A-B8A2-3F7C-66A5-AD01B4F4B80B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938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63">
            <a:extLst>
              <a:ext uri="{FF2B5EF4-FFF2-40B4-BE49-F238E27FC236}">
                <a16:creationId xmlns:a16="http://schemas.microsoft.com/office/drawing/2014/main" id="{040C4A0E-7D11-51BE-AE5E-A09CFE0083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40" y="938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464">
            <a:extLst>
              <a:ext uri="{FF2B5EF4-FFF2-40B4-BE49-F238E27FC236}">
                <a16:creationId xmlns:a16="http://schemas.microsoft.com/office/drawing/2014/main" id="{A0C24511-A532-43FC-AC60-BFA12DF18F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979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65">
            <a:extLst>
              <a:ext uri="{FF2B5EF4-FFF2-40B4-BE49-F238E27FC236}">
                <a16:creationId xmlns:a16="http://schemas.microsoft.com/office/drawing/2014/main" id="{BCBB3396-3ACB-05F0-EF51-73821E430C2E}"/>
              </a:ext>
            </a:extLst>
          </xdr:cNvPr>
          <xdr:cNvSpPr>
            <a:spLocks noChangeShapeType="1"/>
          </xdr:cNvSpPr>
        </xdr:nvSpPr>
        <xdr:spPr bwMode="auto">
          <a:xfrm>
            <a:off x="196" y="938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66">
            <a:extLst>
              <a:ext uri="{FF2B5EF4-FFF2-40B4-BE49-F238E27FC236}">
                <a16:creationId xmlns:a16="http://schemas.microsoft.com/office/drawing/2014/main" id="{DCBDD7BE-2C9C-2070-86D7-D521B76E49F9}"/>
              </a:ext>
            </a:extLst>
          </xdr:cNvPr>
          <xdr:cNvSpPr>
            <a:spLocks noChangeShapeType="1"/>
          </xdr:cNvSpPr>
        </xdr:nvSpPr>
        <xdr:spPr bwMode="auto">
          <a:xfrm flipH="1">
            <a:off x="135" y="938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467">
            <a:extLst>
              <a:ext uri="{FF2B5EF4-FFF2-40B4-BE49-F238E27FC236}">
                <a16:creationId xmlns:a16="http://schemas.microsoft.com/office/drawing/2014/main" id="{1AD9F7B2-219A-4C54-346C-DCE86453D2F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992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468">
            <a:extLst>
              <a:ext uri="{FF2B5EF4-FFF2-40B4-BE49-F238E27FC236}">
                <a16:creationId xmlns:a16="http://schemas.microsoft.com/office/drawing/2014/main" id="{00855863-D72F-7B6E-B021-C78EC71AC0B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938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69">
            <a:extLst>
              <a:ext uri="{FF2B5EF4-FFF2-40B4-BE49-F238E27FC236}">
                <a16:creationId xmlns:a16="http://schemas.microsoft.com/office/drawing/2014/main" id="{69696EEC-6B98-3C10-C662-73EA081EB8E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96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70">
            <a:extLst>
              <a:ext uri="{FF2B5EF4-FFF2-40B4-BE49-F238E27FC236}">
                <a16:creationId xmlns:a16="http://schemas.microsoft.com/office/drawing/2014/main" id="{F7FDF4AB-B02F-8D28-49AA-8850EADDCE2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939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71">
            <a:extLst>
              <a:ext uri="{FF2B5EF4-FFF2-40B4-BE49-F238E27FC236}">
                <a16:creationId xmlns:a16="http://schemas.microsoft.com/office/drawing/2014/main" id="{3F5CD073-8F20-F6E9-C102-55D9B69DD985}"/>
              </a:ext>
            </a:extLst>
          </xdr:cNvPr>
          <xdr:cNvSpPr>
            <a:spLocks noChangeShapeType="1"/>
          </xdr:cNvSpPr>
        </xdr:nvSpPr>
        <xdr:spPr bwMode="auto">
          <a:xfrm>
            <a:off x="168" y="970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Text 1067">
            <a:extLst>
              <a:ext uri="{FF2B5EF4-FFF2-40B4-BE49-F238E27FC236}">
                <a16:creationId xmlns:a16="http://schemas.microsoft.com/office/drawing/2014/main" id="{62B00FFD-F922-9948-5AB4-509C9F2F82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" y="1000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Text 1068">
            <a:extLst>
              <a:ext uri="{FF2B5EF4-FFF2-40B4-BE49-F238E27FC236}">
                <a16:creationId xmlns:a16="http://schemas.microsoft.com/office/drawing/2014/main" id="{CB95DACD-CB6F-5763-610D-AD2770811E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" y="1013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41" name="Text 1069">
            <a:extLst>
              <a:ext uri="{FF2B5EF4-FFF2-40B4-BE49-F238E27FC236}">
                <a16:creationId xmlns:a16="http://schemas.microsoft.com/office/drawing/2014/main" id="{4A8EE6C2-C1C7-1018-D4F6-79FB3EC907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9" y="1012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42" name="Line 475">
            <a:extLst>
              <a:ext uri="{FF2B5EF4-FFF2-40B4-BE49-F238E27FC236}">
                <a16:creationId xmlns:a16="http://schemas.microsoft.com/office/drawing/2014/main" id="{3DBF0F9F-71B6-F9D3-B1F0-E13088AF99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40" y="933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476">
            <a:extLst>
              <a:ext uri="{FF2B5EF4-FFF2-40B4-BE49-F238E27FC236}">
                <a16:creationId xmlns:a16="http://schemas.microsoft.com/office/drawing/2014/main" id="{246C1859-9B20-0FF4-6D71-A88FA39A85EC}"/>
              </a:ext>
            </a:extLst>
          </xdr:cNvPr>
          <xdr:cNvSpPr>
            <a:spLocks noChangeShapeType="1"/>
          </xdr:cNvSpPr>
        </xdr:nvSpPr>
        <xdr:spPr bwMode="auto">
          <a:xfrm>
            <a:off x="168" y="933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77">
            <a:extLst>
              <a:ext uri="{FF2B5EF4-FFF2-40B4-BE49-F238E27FC236}">
                <a16:creationId xmlns:a16="http://schemas.microsoft.com/office/drawing/2014/main" id="{65668020-78C6-543D-F4D3-404FB94DBEE1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938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478">
            <a:extLst>
              <a:ext uri="{FF2B5EF4-FFF2-40B4-BE49-F238E27FC236}">
                <a16:creationId xmlns:a16="http://schemas.microsoft.com/office/drawing/2014/main" id="{BBE3D6E3-DC1A-341D-AEDF-9DC47896F548}"/>
              </a:ext>
            </a:extLst>
          </xdr:cNvPr>
          <xdr:cNvSpPr>
            <a:spLocks noChangeShapeType="1"/>
          </xdr:cNvSpPr>
        </xdr:nvSpPr>
        <xdr:spPr bwMode="auto">
          <a:xfrm flipH="1">
            <a:off x="240" y="938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79">
            <a:extLst>
              <a:ext uri="{FF2B5EF4-FFF2-40B4-BE49-F238E27FC236}">
                <a16:creationId xmlns:a16="http://schemas.microsoft.com/office/drawing/2014/main" id="{2896DACE-1873-6D5A-322A-3AD3699377D6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979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480">
            <a:extLst>
              <a:ext uri="{FF2B5EF4-FFF2-40B4-BE49-F238E27FC236}">
                <a16:creationId xmlns:a16="http://schemas.microsoft.com/office/drawing/2014/main" id="{3B82F99F-ED99-A840-9BFD-89D1CAA342C7}"/>
              </a:ext>
            </a:extLst>
          </xdr:cNvPr>
          <xdr:cNvSpPr>
            <a:spLocks noChangeShapeType="1"/>
          </xdr:cNvSpPr>
        </xdr:nvSpPr>
        <xdr:spPr bwMode="auto">
          <a:xfrm>
            <a:off x="196" y="938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481">
            <a:extLst>
              <a:ext uri="{FF2B5EF4-FFF2-40B4-BE49-F238E27FC236}">
                <a16:creationId xmlns:a16="http://schemas.microsoft.com/office/drawing/2014/main" id="{80E94F57-D66B-24DF-5AED-423933CBD1F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5" y="938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482">
            <a:extLst>
              <a:ext uri="{FF2B5EF4-FFF2-40B4-BE49-F238E27FC236}">
                <a16:creationId xmlns:a16="http://schemas.microsoft.com/office/drawing/2014/main" id="{032E1AFC-7D84-3ED3-F573-8E9BF112180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992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483">
            <a:extLst>
              <a:ext uri="{FF2B5EF4-FFF2-40B4-BE49-F238E27FC236}">
                <a16:creationId xmlns:a16="http://schemas.microsoft.com/office/drawing/2014/main" id="{5C220F7B-B0B2-2754-AC0D-E91103B447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938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4">
            <a:extLst>
              <a:ext uri="{FF2B5EF4-FFF2-40B4-BE49-F238E27FC236}">
                <a16:creationId xmlns:a16="http://schemas.microsoft.com/office/drawing/2014/main" id="{3F1DF68B-1DEC-3844-6428-C7CB4824523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96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5">
            <a:extLst>
              <a:ext uri="{FF2B5EF4-FFF2-40B4-BE49-F238E27FC236}">
                <a16:creationId xmlns:a16="http://schemas.microsoft.com/office/drawing/2014/main" id="{B21B787B-054F-C1A9-08B8-E13C7F6FCFE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939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6">
            <a:extLst>
              <a:ext uri="{FF2B5EF4-FFF2-40B4-BE49-F238E27FC236}">
                <a16:creationId xmlns:a16="http://schemas.microsoft.com/office/drawing/2014/main" id="{C3161CD7-E96E-12C8-47D3-15C0148F0F98}"/>
              </a:ext>
            </a:extLst>
          </xdr:cNvPr>
          <xdr:cNvSpPr>
            <a:spLocks noChangeShapeType="1"/>
          </xdr:cNvSpPr>
        </xdr:nvSpPr>
        <xdr:spPr bwMode="auto">
          <a:xfrm>
            <a:off x="168" y="970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Text 1067">
            <a:extLst>
              <a:ext uri="{FF2B5EF4-FFF2-40B4-BE49-F238E27FC236}">
                <a16:creationId xmlns:a16="http://schemas.microsoft.com/office/drawing/2014/main" id="{29B4B456-68C6-7495-5ED8-52B52E4CFD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" y="1000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Text 1068">
            <a:extLst>
              <a:ext uri="{FF2B5EF4-FFF2-40B4-BE49-F238E27FC236}">
                <a16:creationId xmlns:a16="http://schemas.microsoft.com/office/drawing/2014/main" id="{59527477-4201-C38A-6251-ADAE8C87E2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" y="1013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56" name="Text 1069">
            <a:extLst>
              <a:ext uri="{FF2B5EF4-FFF2-40B4-BE49-F238E27FC236}">
                <a16:creationId xmlns:a16="http://schemas.microsoft.com/office/drawing/2014/main" id="{FEBF9D0A-4DA7-F27B-E577-AD5D2DF8CB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9" y="1012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57" name="Text 1071">
            <a:extLst>
              <a:ext uri="{FF2B5EF4-FFF2-40B4-BE49-F238E27FC236}">
                <a16:creationId xmlns:a16="http://schemas.microsoft.com/office/drawing/2014/main" id="{1E3C56E8-5078-823A-B926-84F1EA0A7C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" y="967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58" name="Text 1071">
            <a:extLst>
              <a:ext uri="{FF2B5EF4-FFF2-40B4-BE49-F238E27FC236}">
                <a16:creationId xmlns:a16="http://schemas.microsoft.com/office/drawing/2014/main" id="{28F2822F-FAC2-8490-99B9-D71E7B193B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" y="995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59" name="Rectangle 503">
          <a:extLst>
            <a:ext uri="{FF2B5EF4-FFF2-40B4-BE49-F238E27FC236}">
              <a16:creationId xmlns:a16="http://schemas.microsoft.com/office/drawing/2014/main" id="{D6838435-61B0-4A3D-BA7A-7AB84F857B9E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60" name="Rectangle 504">
          <a:extLst>
            <a:ext uri="{FF2B5EF4-FFF2-40B4-BE49-F238E27FC236}">
              <a16:creationId xmlns:a16="http://schemas.microsoft.com/office/drawing/2014/main" id="{E7F7E2AB-9AF4-4178-BF7A-1BFA1F487A97}"/>
            </a:ext>
          </a:extLst>
        </xdr:cNvPr>
        <xdr:cNvSpPr>
          <a:spLocks noChangeArrowheads="1"/>
        </xdr:cNvSpPr>
      </xdr:nvSpPr>
      <xdr:spPr bwMode="auto">
        <a:xfrm>
          <a:off x="53244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61" name="Rectangle 505">
          <a:extLst>
            <a:ext uri="{FF2B5EF4-FFF2-40B4-BE49-F238E27FC236}">
              <a16:creationId xmlns:a16="http://schemas.microsoft.com/office/drawing/2014/main" id="{0B33799C-6738-44EE-9479-E8A6268B68E3}"/>
            </a:ext>
          </a:extLst>
        </xdr:cNvPr>
        <xdr:cNvSpPr>
          <a:spLocks noChangeArrowheads="1"/>
        </xdr:cNvSpPr>
      </xdr:nvSpPr>
      <xdr:spPr bwMode="auto">
        <a:xfrm>
          <a:off x="53340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62" name="Rectangle 506">
          <a:extLst>
            <a:ext uri="{FF2B5EF4-FFF2-40B4-BE49-F238E27FC236}">
              <a16:creationId xmlns:a16="http://schemas.microsoft.com/office/drawing/2014/main" id="{3E23748B-6080-49AE-BB87-218731B36F68}"/>
            </a:ext>
          </a:extLst>
        </xdr:cNvPr>
        <xdr:cNvSpPr>
          <a:spLocks noChangeArrowheads="1"/>
        </xdr:cNvSpPr>
      </xdr:nvSpPr>
      <xdr:spPr bwMode="auto">
        <a:xfrm>
          <a:off x="53054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63" name="Rectangle 507">
          <a:extLst>
            <a:ext uri="{FF2B5EF4-FFF2-40B4-BE49-F238E27FC236}">
              <a16:creationId xmlns:a16="http://schemas.microsoft.com/office/drawing/2014/main" id="{AEC2FCC2-FCBB-4869-ADC2-0BB6300952E8}"/>
            </a:ext>
          </a:extLst>
        </xdr:cNvPr>
        <xdr:cNvSpPr>
          <a:spLocks noChangeArrowheads="1"/>
        </xdr:cNvSpPr>
      </xdr:nvSpPr>
      <xdr:spPr bwMode="auto">
        <a:xfrm>
          <a:off x="54483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32</xdr:row>
      <xdr:rowOff>171450</xdr:rowOff>
    </xdr:from>
    <xdr:to>
      <xdr:col>3</xdr:col>
      <xdr:colOff>371475</xdr:colOff>
      <xdr:row>37</xdr:row>
      <xdr:rowOff>142875</xdr:rowOff>
    </xdr:to>
    <xdr:grpSp>
      <xdr:nvGrpSpPr>
        <xdr:cNvPr id="64" name="Group 510">
          <a:extLst>
            <a:ext uri="{FF2B5EF4-FFF2-40B4-BE49-F238E27FC236}">
              <a16:creationId xmlns:a16="http://schemas.microsoft.com/office/drawing/2014/main" id="{88B2AF27-5AF8-43AF-A899-74C4CEA1386C}"/>
            </a:ext>
          </a:extLst>
        </xdr:cNvPr>
        <xdr:cNvGrpSpPr>
          <a:grpSpLocks/>
        </xdr:cNvGrpSpPr>
      </xdr:nvGrpSpPr>
      <xdr:grpSpPr bwMode="auto">
        <a:xfrm>
          <a:off x="1219200" y="7553325"/>
          <a:ext cx="847725" cy="1114425"/>
          <a:chOff x="774" y="670"/>
          <a:chExt cx="87" cy="117"/>
        </a:xfrm>
      </xdr:grpSpPr>
      <xdr:grpSp>
        <xdr:nvGrpSpPr>
          <xdr:cNvPr id="65" name="Group 511">
            <a:extLst>
              <a:ext uri="{FF2B5EF4-FFF2-40B4-BE49-F238E27FC236}">
                <a16:creationId xmlns:a16="http://schemas.microsoft.com/office/drawing/2014/main" id="{B5FC7DDC-154F-E663-F41E-E05EF6FC552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67" name="Line 512">
              <a:extLst>
                <a:ext uri="{FF2B5EF4-FFF2-40B4-BE49-F238E27FC236}">
                  <a16:creationId xmlns:a16="http://schemas.microsoft.com/office/drawing/2014/main" id="{E4F5EC20-4351-B232-2290-204D726BC42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Line 513">
              <a:extLst>
                <a:ext uri="{FF2B5EF4-FFF2-40B4-BE49-F238E27FC236}">
                  <a16:creationId xmlns:a16="http://schemas.microsoft.com/office/drawing/2014/main" id="{9F3188FE-F12B-F7A0-D8EF-81DCB95EE2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9" name="Line 514">
              <a:extLst>
                <a:ext uri="{FF2B5EF4-FFF2-40B4-BE49-F238E27FC236}">
                  <a16:creationId xmlns:a16="http://schemas.microsoft.com/office/drawing/2014/main" id="{0D80AC40-BD9A-CE0B-4244-7AA9F618678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0" name="Line 515">
              <a:extLst>
                <a:ext uri="{FF2B5EF4-FFF2-40B4-BE49-F238E27FC236}">
                  <a16:creationId xmlns:a16="http://schemas.microsoft.com/office/drawing/2014/main" id="{3CC6628B-58D9-C696-20D8-9A9D3964F7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" name="Line 516">
              <a:extLst>
                <a:ext uri="{FF2B5EF4-FFF2-40B4-BE49-F238E27FC236}">
                  <a16:creationId xmlns:a16="http://schemas.microsoft.com/office/drawing/2014/main" id="{DA07A943-3DD0-D311-4CED-10C368E6F26F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2" name="Line 517">
              <a:extLst>
                <a:ext uri="{FF2B5EF4-FFF2-40B4-BE49-F238E27FC236}">
                  <a16:creationId xmlns:a16="http://schemas.microsoft.com/office/drawing/2014/main" id="{FACEBBA1-D1CD-3BF9-DD3C-357789DDA0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518">
              <a:extLst>
                <a:ext uri="{FF2B5EF4-FFF2-40B4-BE49-F238E27FC236}">
                  <a16:creationId xmlns:a16="http://schemas.microsoft.com/office/drawing/2014/main" id="{BE7CE7D1-3FA5-E96E-5AE8-867A3F3ADB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4" name="Line 519">
              <a:extLst>
                <a:ext uri="{FF2B5EF4-FFF2-40B4-BE49-F238E27FC236}">
                  <a16:creationId xmlns:a16="http://schemas.microsoft.com/office/drawing/2014/main" id="{BA0A2C43-6D74-2C2E-BCAB-8A58C461352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Line 520">
              <a:extLst>
                <a:ext uri="{FF2B5EF4-FFF2-40B4-BE49-F238E27FC236}">
                  <a16:creationId xmlns:a16="http://schemas.microsoft.com/office/drawing/2014/main" id="{61CF1986-8596-50FF-9A9F-6F2A3F218C1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6" name="Line 521">
              <a:extLst>
                <a:ext uri="{FF2B5EF4-FFF2-40B4-BE49-F238E27FC236}">
                  <a16:creationId xmlns:a16="http://schemas.microsoft.com/office/drawing/2014/main" id="{A72ED50A-0DC4-1002-55AD-6EB1086F16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522">
              <a:extLst>
                <a:ext uri="{FF2B5EF4-FFF2-40B4-BE49-F238E27FC236}">
                  <a16:creationId xmlns:a16="http://schemas.microsoft.com/office/drawing/2014/main" id="{8F185595-360A-269E-F67F-EDA776BC1C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8" name="Line 523">
              <a:extLst>
                <a:ext uri="{FF2B5EF4-FFF2-40B4-BE49-F238E27FC236}">
                  <a16:creationId xmlns:a16="http://schemas.microsoft.com/office/drawing/2014/main" id="{13527AB8-192D-13AA-84AE-B7A08DDF8C2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Line 524">
              <a:extLst>
                <a:ext uri="{FF2B5EF4-FFF2-40B4-BE49-F238E27FC236}">
                  <a16:creationId xmlns:a16="http://schemas.microsoft.com/office/drawing/2014/main" id="{EC79488F-26B3-0B1C-66C0-871B111ADC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0" name="Line 525">
              <a:extLst>
                <a:ext uri="{FF2B5EF4-FFF2-40B4-BE49-F238E27FC236}">
                  <a16:creationId xmlns:a16="http://schemas.microsoft.com/office/drawing/2014/main" id="{C705C675-263A-AA66-636A-D3FC08E1862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Line 526">
              <a:extLst>
                <a:ext uri="{FF2B5EF4-FFF2-40B4-BE49-F238E27FC236}">
                  <a16:creationId xmlns:a16="http://schemas.microsoft.com/office/drawing/2014/main" id="{18DE74D9-BECB-A721-E760-345B0CAE10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2" name="Line 527">
              <a:extLst>
                <a:ext uri="{FF2B5EF4-FFF2-40B4-BE49-F238E27FC236}">
                  <a16:creationId xmlns:a16="http://schemas.microsoft.com/office/drawing/2014/main" id="{05D15729-C1B8-690D-7971-2A32D00FF9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3" name="Line 528">
              <a:extLst>
                <a:ext uri="{FF2B5EF4-FFF2-40B4-BE49-F238E27FC236}">
                  <a16:creationId xmlns:a16="http://schemas.microsoft.com/office/drawing/2014/main" id="{DFBEDCEB-8E1D-FA9D-F0F6-4B943315F0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Line 529">
              <a:extLst>
                <a:ext uri="{FF2B5EF4-FFF2-40B4-BE49-F238E27FC236}">
                  <a16:creationId xmlns:a16="http://schemas.microsoft.com/office/drawing/2014/main" id="{724123FE-FBBF-996E-0E4B-9ADF8E4F569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5" name="Line 530">
              <a:extLst>
                <a:ext uri="{FF2B5EF4-FFF2-40B4-BE49-F238E27FC236}">
                  <a16:creationId xmlns:a16="http://schemas.microsoft.com/office/drawing/2014/main" id="{123F9C4B-9E74-4857-9ED6-4D07CB2CB0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6" name="Line 531">
              <a:extLst>
                <a:ext uri="{FF2B5EF4-FFF2-40B4-BE49-F238E27FC236}">
                  <a16:creationId xmlns:a16="http://schemas.microsoft.com/office/drawing/2014/main" id="{74D18D1A-C337-9838-F27C-352506B24A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7" name="Line 532">
              <a:extLst>
                <a:ext uri="{FF2B5EF4-FFF2-40B4-BE49-F238E27FC236}">
                  <a16:creationId xmlns:a16="http://schemas.microsoft.com/office/drawing/2014/main" id="{D4701EEC-154A-16FD-AE82-4B91E2FEB1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8" name="Line 533">
              <a:extLst>
                <a:ext uri="{FF2B5EF4-FFF2-40B4-BE49-F238E27FC236}">
                  <a16:creationId xmlns:a16="http://schemas.microsoft.com/office/drawing/2014/main" id="{994276F6-0598-C882-7977-6AD492A1D7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9" name="Line 534">
              <a:extLst>
                <a:ext uri="{FF2B5EF4-FFF2-40B4-BE49-F238E27FC236}">
                  <a16:creationId xmlns:a16="http://schemas.microsoft.com/office/drawing/2014/main" id="{2AA23256-A8B2-1510-3B8A-E23A22887BF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0" name="Line 535">
              <a:extLst>
                <a:ext uri="{FF2B5EF4-FFF2-40B4-BE49-F238E27FC236}">
                  <a16:creationId xmlns:a16="http://schemas.microsoft.com/office/drawing/2014/main" id="{6A93A215-4216-B10E-8FF2-DB4BFCB25E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1" name="Line 536">
              <a:extLst>
                <a:ext uri="{FF2B5EF4-FFF2-40B4-BE49-F238E27FC236}">
                  <a16:creationId xmlns:a16="http://schemas.microsoft.com/office/drawing/2014/main" id="{C0CBDA98-AFAB-4618-0F74-40A9E445AB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537">
              <a:extLst>
                <a:ext uri="{FF2B5EF4-FFF2-40B4-BE49-F238E27FC236}">
                  <a16:creationId xmlns:a16="http://schemas.microsoft.com/office/drawing/2014/main" id="{B5DC754E-0E08-2B94-928D-8AE1F5C0522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538">
              <a:extLst>
                <a:ext uri="{FF2B5EF4-FFF2-40B4-BE49-F238E27FC236}">
                  <a16:creationId xmlns:a16="http://schemas.microsoft.com/office/drawing/2014/main" id="{7EBA8575-9F2A-0E7B-AB61-5F00E1E65AF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539">
              <a:extLst>
                <a:ext uri="{FF2B5EF4-FFF2-40B4-BE49-F238E27FC236}">
                  <a16:creationId xmlns:a16="http://schemas.microsoft.com/office/drawing/2014/main" id="{5DC6631C-3238-E535-E08D-474C59654AD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540">
              <a:extLst>
                <a:ext uri="{FF2B5EF4-FFF2-40B4-BE49-F238E27FC236}">
                  <a16:creationId xmlns:a16="http://schemas.microsoft.com/office/drawing/2014/main" id="{E8F2493F-3FEB-001B-4AFB-4D3077A12C1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541">
              <a:extLst>
                <a:ext uri="{FF2B5EF4-FFF2-40B4-BE49-F238E27FC236}">
                  <a16:creationId xmlns:a16="http://schemas.microsoft.com/office/drawing/2014/main" id="{68B966BD-C881-1B48-5F3C-142CF9C85A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542">
              <a:extLst>
                <a:ext uri="{FF2B5EF4-FFF2-40B4-BE49-F238E27FC236}">
                  <a16:creationId xmlns:a16="http://schemas.microsoft.com/office/drawing/2014/main" id="{FD109ABA-5D1F-1909-DF5B-2B59C4C966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66" name="Line 543">
            <a:extLst>
              <a:ext uri="{FF2B5EF4-FFF2-40B4-BE49-F238E27FC236}">
                <a16:creationId xmlns:a16="http://schemas.microsoft.com/office/drawing/2014/main" id="{74A43E34-D255-F2AB-D377-9F90618E76D1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19050</xdr:colOff>
      <xdr:row>26</xdr:row>
      <xdr:rowOff>114300</xdr:rowOff>
    </xdr:from>
    <xdr:to>
      <xdr:col>3</xdr:col>
      <xdr:colOff>371475</xdr:colOff>
      <xdr:row>31</xdr:row>
      <xdr:rowOff>209550</xdr:rowOff>
    </xdr:to>
    <xdr:grpSp>
      <xdr:nvGrpSpPr>
        <xdr:cNvPr id="98" name="Group 555">
          <a:extLst>
            <a:ext uri="{FF2B5EF4-FFF2-40B4-BE49-F238E27FC236}">
              <a16:creationId xmlns:a16="http://schemas.microsoft.com/office/drawing/2014/main" id="{086D6C44-AB11-491A-AFD2-67339F5C4BE1}"/>
            </a:ext>
          </a:extLst>
        </xdr:cNvPr>
        <xdr:cNvGrpSpPr>
          <a:grpSpLocks/>
        </xdr:cNvGrpSpPr>
      </xdr:nvGrpSpPr>
      <xdr:grpSpPr bwMode="auto">
        <a:xfrm>
          <a:off x="1219200" y="6124575"/>
          <a:ext cx="847725" cy="1238250"/>
          <a:chOff x="765" y="688"/>
          <a:chExt cx="89" cy="130"/>
        </a:xfrm>
      </xdr:grpSpPr>
      <xdr:sp macro="" textlink="">
        <xdr:nvSpPr>
          <xdr:cNvPr id="99" name="Line 556">
            <a:extLst>
              <a:ext uri="{FF2B5EF4-FFF2-40B4-BE49-F238E27FC236}">
                <a16:creationId xmlns:a16="http://schemas.microsoft.com/office/drawing/2014/main" id="{4393B766-CA49-C793-4975-CAD8A3CCE459}"/>
              </a:ext>
            </a:extLst>
          </xdr:cNvPr>
          <xdr:cNvSpPr>
            <a:spLocks noChangeShapeType="1"/>
          </xdr:cNvSpPr>
        </xdr:nvSpPr>
        <xdr:spPr bwMode="auto">
          <a:xfrm>
            <a:off x="788" y="710"/>
            <a:ext cx="4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Arc 557">
            <a:extLst>
              <a:ext uri="{FF2B5EF4-FFF2-40B4-BE49-F238E27FC236}">
                <a16:creationId xmlns:a16="http://schemas.microsoft.com/office/drawing/2014/main" id="{59547811-975F-5202-553B-5990BB737D87}"/>
              </a:ext>
            </a:extLst>
          </xdr:cNvPr>
          <xdr:cNvSpPr>
            <a:spLocks/>
          </xdr:cNvSpPr>
        </xdr:nvSpPr>
        <xdr:spPr bwMode="auto">
          <a:xfrm>
            <a:off x="828" y="710"/>
            <a:ext cx="6" cy="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1" name="Arc 558">
            <a:extLst>
              <a:ext uri="{FF2B5EF4-FFF2-40B4-BE49-F238E27FC236}">
                <a16:creationId xmlns:a16="http://schemas.microsoft.com/office/drawing/2014/main" id="{0239D5A1-7C7A-B521-40FB-3EDA4166E5CA}"/>
              </a:ext>
            </a:extLst>
          </xdr:cNvPr>
          <xdr:cNvSpPr>
            <a:spLocks/>
          </xdr:cNvSpPr>
        </xdr:nvSpPr>
        <xdr:spPr bwMode="auto">
          <a:xfrm flipH="1">
            <a:off x="783" y="710"/>
            <a:ext cx="8" cy="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" name="Line 559">
            <a:extLst>
              <a:ext uri="{FF2B5EF4-FFF2-40B4-BE49-F238E27FC236}">
                <a16:creationId xmlns:a16="http://schemas.microsoft.com/office/drawing/2014/main" id="{2745E5DF-EC80-F4B6-867E-15D2A6925373}"/>
              </a:ext>
            </a:extLst>
          </xdr:cNvPr>
          <xdr:cNvSpPr>
            <a:spLocks noChangeShapeType="1"/>
          </xdr:cNvSpPr>
        </xdr:nvSpPr>
        <xdr:spPr bwMode="auto">
          <a:xfrm flipH="1">
            <a:off x="831" y="718"/>
            <a:ext cx="3" cy="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560">
            <a:extLst>
              <a:ext uri="{FF2B5EF4-FFF2-40B4-BE49-F238E27FC236}">
                <a16:creationId xmlns:a16="http://schemas.microsoft.com/office/drawing/2014/main" id="{3DCA525E-F797-9E2A-2D92-DD100CC682AD}"/>
              </a:ext>
            </a:extLst>
          </xdr:cNvPr>
          <xdr:cNvSpPr>
            <a:spLocks noChangeShapeType="1"/>
          </xdr:cNvSpPr>
        </xdr:nvSpPr>
        <xdr:spPr bwMode="auto">
          <a:xfrm>
            <a:off x="783" y="717"/>
            <a:ext cx="5" cy="7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561">
            <a:extLst>
              <a:ext uri="{FF2B5EF4-FFF2-40B4-BE49-F238E27FC236}">
                <a16:creationId xmlns:a16="http://schemas.microsoft.com/office/drawing/2014/main" id="{5F5D1A67-DAEE-94F2-89CC-9B7EFD3AD345}"/>
              </a:ext>
            </a:extLst>
          </xdr:cNvPr>
          <xdr:cNvSpPr>
            <a:spLocks noChangeShapeType="1"/>
          </xdr:cNvSpPr>
        </xdr:nvSpPr>
        <xdr:spPr bwMode="auto">
          <a:xfrm>
            <a:off x="788" y="793"/>
            <a:ext cx="17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562">
            <a:extLst>
              <a:ext uri="{FF2B5EF4-FFF2-40B4-BE49-F238E27FC236}">
                <a16:creationId xmlns:a16="http://schemas.microsoft.com/office/drawing/2014/main" id="{19D55F7E-619E-297D-7FA1-3E8190992025}"/>
              </a:ext>
            </a:extLst>
          </xdr:cNvPr>
          <xdr:cNvSpPr>
            <a:spLocks noChangeShapeType="1"/>
          </xdr:cNvSpPr>
        </xdr:nvSpPr>
        <xdr:spPr bwMode="auto">
          <a:xfrm>
            <a:off x="805" y="801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563">
            <a:extLst>
              <a:ext uri="{FF2B5EF4-FFF2-40B4-BE49-F238E27FC236}">
                <a16:creationId xmlns:a16="http://schemas.microsoft.com/office/drawing/2014/main" id="{5457F99F-CB63-F1D8-42A4-143539713AB1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793"/>
            <a:ext cx="2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564">
            <a:extLst>
              <a:ext uri="{FF2B5EF4-FFF2-40B4-BE49-F238E27FC236}">
                <a16:creationId xmlns:a16="http://schemas.microsoft.com/office/drawing/2014/main" id="{705695F4-2C01-4606-9D36-918E1CAE3454}"/>
              </a:ext>
            </a:extLst>
          </xdr:cNvPr>
          <xdr:cNvSpPr>
            <a:spLocks noChangeShapeType="1"/>
          </xdr:cNvSpPr>
        </xdr:nvSpPr>
        <xdr:spPr bwMode="auto">
          <a:xfrm>
            <a:off x="805" y="801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565">
            <a:extLst>
              <a:ext uri="{FF2B5EF4-FFF2-40B4-BE49-F238E27FC236}">
                <a16:creationId xmlns:a16="http://schemas.microsoft.com/office/drawing/2014/main" id="{8BBA059C-85BF-2E4F-0A9D-0A568E95FC41}"/>
              </a:ext>
            </a:extLst>
          </xdr:cNvPr>
          <xdr:cNvSpPr>
            <a:spLocks noChangeShapeType="1"/>
          </xdr:cNvSpPr>
        </xdr:nvSpPr>
        <xdr:spPr bwMode="auto">
          <a:xfrm>
            <a:off x="811" y="801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566">
            <a:extLst>
              <a:ext uri="{FF2B5EF4-FFF2-40B4-BE49-F238E27FC236}">
                <a16:creationId xmlns:a16="http://schemas.microsoft.com/office/drawing/2014/main" id="{283C7485-B158-788B-7248-950A2FD75E34}"/>
              </a:ext>
            </a:extLst>
          </xdr:cNvPr>
          <xdr:cNvSpPr>
            <a:spLocks noChangeShapeType="1"/>
          </xdr:cNvSpPr>
        </xdr:nvSpPr>
        <xdr:spPr bwMode="auto">
          <a:xfrm>
            <a:off x="811" y="808"/>
            <a:ext cx="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567">
            <a:extLst>
              <a:ext uri="{FF2B5EF4-FFF2-40B4-BE49-F238E27FC236}">
                <a16:creationId xmlns:a16="http://schemas.microsoft.com/office/drawing/2014/main" id="{64BB0D8F-D3CF-A88E-4D64-F902D5E2E6B1}"/>
              </a:ext>
            </a:extLst>
          </xdr:cNvPr>
          <xdr:cNvSpPr>
            <a:spLocks noChangeShapeType="1"/>
          </xdr:cNvSpPr>
        </xdr:nvSpPr>
        <xdr:spPr bwMode="auto">
          <a:xfrm flipH="1">
            <a:off x="765" y="808"/>
            <a:ext cx="4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568">
            <a:extLst>
              <a:ext uri="{FF2B5EF4-FFF2-40B4-BE49-F238E27FC236}">
                <a16:creationId xmlns:a16="http://schemas.microsoft.com/office/drawing/2014/main" id="{549E17D2-4D26-AE61-5707-E21A471AA6D2}"/>
              </a:ext>
            </a:extLst>
          </xdr:cNvPr>
          <xdr:cNvSpPr>
            <a:spLocks noChangeShapeType="1"/>
          </xdr:cNvSpPr>
        </xdr:nvSpPr>
        <xdr:spPr bwMode="auto">
          <a:xfrm flipV="1">
            <a:off x="830" y="710"/>
            <a:ext cx="2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569">
            <a:extLst>
              <a:ext uri="{FF2B5EF4-FFF2-40B4-BE49-F238E27FC236}">
                <a16:creationId xmlns:a16="http://schemas.microsoft.com/office/drawing/2014/main" id="{DB009C2F-0B7D-04EB-E166-AB432DD492C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86" y="713"/>
            <a:ext cx="8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570">
            <a:extLst>
              <a:ext uri="{FF2B5EF4-FFF2-40B4-BE49-F238E27FC236}">
                <a16:creationId xmlns:a16="http://schemas.microsoft.com/office/drawing/2014/main" id="{FF956239-656D-E55F-1A61-CB16CD94DFAC}"/>
              </a:ext>
            </a:extLst>
          </xdr:cNvPr>
          <xdr:cNvSpPr>
            <a:spLocks noChangeShapeType="1"/>
          </xdr:cNvSpPr>
        </xdr:nvSpPr>
        <xdr:spPr bwMode="auto">
          <a:xfrm flipV="1">
            <a:off x="783" y="68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571">
            <a:extLst>
              <a:ext uri="{FF2B5EF4-FFF2-40B4-BE49-F238E27FC236}">
                <a16:creationId xmlns:a16="http://schemas.microsoft.com/office/drawing/2014/main" id="{C4F85F24-06DA-2238-8FAC-C70A580C1E32}"/>
              </a:ext>
            </a:extLst>
          </xdr:cNvPr>
          <xdr:cNvSpPr>
            <a:spLocks noChangeShapeType="1"/>
          </xdr:cNvSpPr>
        </xdr:nvSpPr>
        <xdr:spPr bwMode="auto">
          <a:xfrm flipV="1">
            <a:off x="834" y="689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Line 572">
            <a:extLst>
              <a:ext uri="{FF2B5EF4-FFF2-40B4-BE49-F238E27FC236}">
                <a16:creationId xmlns:a16="http://schemas.microsoft.com/office/drawing/2014/main" id="{3C1A0DD0-82DD-E954-C40B-5ABF70DB798C}"/>
              </a:ext>
            </a:extLst>
          </xdr:cNvPr>
          <xdr:cNvSpPr>
            <a:spLocks noChangeShapeType="1"/>
          </xdr:cNvSpPr>
        </xdr:nvSpPr>
        <xdr:spPr bwMode="auto">
          <a:xfrm flipH="1">
            <a:off x="805" y="789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573">
            <a:extLst>
              <a:ext uri="{FF2B5EF4-FFF2-40B4-BE49-F238E27FC236}">
                <a16:creationId xmlns:a16="http://schemas.microsoft.com/office/drawing/2014/main" id="{9DCBF3C3-705C-0F98-8D1C-F6CB1AD48661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789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Line 574">
            <a:extLst>
              <a:ext uri="{FF2B5EF4-FFF2-40B4-BE49-F238E27FC236}">
                <a16:creationId xmlns:a16="http://schemas.microsoft.com/office/drawing/2014/main" id="{B7D2423A-827E-7A3A-29B3-18A325228A8C}"/>
              </a:ext>
            </a:extLst>
          </xdr:cNvPr>
          <xdr:cNvSpPr>
            <a:spLocks noChangeShapeType="1"/>
          </xdr:cNvSpPr>
        </xdr:nvSpPr>
        <xdr:spPr bwMode="auto">
          <a:xfrm>
            <a:off x="797" y="794"/>
            <a:ext cx="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575">
            <a:extLst>
              <a:ext uri="{FF2B5EF4-FFF2-40B4-BE49-F238E27FC236}">
                <a16:creationId xmlns:a16="http://schemas.microsoft.com/office/drawing/2014/main" id="{D2BA76A4-0C19-5A3A-7C3D-1EF42F317432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79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576">
            <a:extLst>
              <a:ext uri="{FF2B5EF4-FFF2-40B4-BE49-F238E27FC236}">
                <a16:creationId xmlns:a16="http://schemas.microsoft.com/office/drawing/2014/main" id="{35DA3BEB-AEEB-4623-31C9-2FABA0761BCD}"/>
              </a:ext>
            </a:extLst>
          </xdr:cNvPr>
          <xdr:cNvSpPr>
            <a:spLocks noChangeShapeType="1"/>
          </xdr:cNvSpPr>
        </xdr:nvSpPr>
        <xdr:spPr bwMode="auto">
          <a:xfrm>
            <a:off x="805" y="794"/>
            <a:ext cx="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577">
            <a:extLst>
              <a:ext uri="{FF2B5EF4-FFF2-40B4-BE49-F238E27FC236}">
                <a16:creationId xmlns:a16="http://schemas.microsoft.com/office/drawing/2014/main" id="{18AA4466-217F-8788-B0D0-E3613AEC8DFF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794"/>
            <a:ext cx="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Line 578">
            <a:extLst>
              <a:ext uri="{FF2B5EF4-FFF2-40B4-BE49-F238E27FC236}">
                <a16:creationId xmlns:a16="http://schemas.microsoft.com/office/drawing/2014/main" id="{20820B07-1EBD-946A-7BF8-37C2CC11695B}"/>
              </a:ext>
            </a:extLst>
          </xdr:cNvPr>
          <xdr:cNvSpPr>
            <a:spLocks noChangeShapeType="1"/>
          </xdr:cNvSpPr>
        </xdr:nvSpPr>
        <xdr:spPr bwMode="auto">
          <a:xfrm flipH="1">
            <a:off x="765" y="801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579">
            <a:extLst>
              <a:ext uri="{FF2B5EF4-FFF2-40B4-BE49-F238E27FC236}">
                <a16:creationId xmlns:a16="http://schemas.microsoft.com/office/drawing/2014/main" id="{BAF797CB-8970-3368-E84C-D93D8AC4526A}"/>
              </a:ext>
            </a:extLst>
          </xdr:cNvPr>
          <xdr:cNvSpPr>
            <a:spLocks noChangeShapeType="1"/>
          </xdr:cNvSpPr>
        </xdr:nvSpPr>
        <xdr:spPr bwMode="auto">
          <a:xfrm>
            <a:off x="778" y="790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580">
            <a:extLst>
              <a:ext uri="{FF2B5EF4-FFF2-40B4-BE49-F238E27FC236}">
                <a16:creationId xmlns:a16="http://schemas.microsoft.com/office/drawing/2014/main" id="{E02B7E2E-4A70-C706-D74F-DE988C523D8C}"/>
              </a:ext>
            </a:extLst>
          </xdr:cNvPr>
          <xdr:cNvSpPr>
            <a:spLocks noChangeShapeType="1"/>
          </xdr:cNvSpPr>
        </xdr:nvSpPr>
        <xdr:spPr bwMode="auto">
          <a:xfrm flipV="1">
            <a:off x="778" y="80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581">
            <a:extLst>
              <a:ext uri="{FF2B5EF4-FFF2-40B4-BE49-F238E27FC236}">
                <a16:creationId xmlns:a16="http://schemas.microsoft.com/office/drawing/2014/main" id="{0239090F-8CB0-7797-B0B8-75FF1041A45C}"/>
              </a:ext>
            </a:extLst>
          </xdr:cNvPr>
          <xdr:cNvSpPr>
            <a:spLocks noChangeShapeType="1"/>
          </xdr:cNvSpPr>
        </xdr:nvSpPr>
        <xdr:spPr bwMode="auto">
          <a:xfrm flipV="1">
            <a:off x="788" y="754"/>
            <a:ext cx="0" cy="3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582">
            <a:extLst>
              <a:ext uri="{FF2B5EF4-FFF2-40B4-BE49-F238E27FC236}">
                <a16:creationId xmlns:a16="http://schemas.microsoft.com/office/drawing/2014/main" id="{82367F03-1708-CC81-8C6E-715E384A39F6}"/>
              </a:ext>
            </a:extLst>
          </xdr:cNvPr>
          <xdr:cNvSpPr>
            <a:spLocks noChangeShapeType="1"/>
          </xdr:cNvSpPr>
        </xdr:nvSpPr>
        <xdr:spPr bwMode="auto">
          <a:xfrm flipV="1">
            <a:off x="831" y="75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Text 184">
            <a:extLst>
              <a:ext uri="{FF2B5EF4-FFF2-40B4-BE49-F238E27FC236}">
                <a16:creationId xmlns:a16="http://schemas.microsoft.com/office/drawing/2014/main" id="{7A2B8618-8DE1-C560-0403-376DC6E767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93" y="718"/>
            <a:ext cx="20" cy="12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R</a:t>
            </a:r>
          </a:p>
        </xdr:txBody>
      </xdr:sp>
      <xdr:sp macro="" textlink="">
        <xdr:nvSpPr>
          <xdr:cNvPr id="127" name="Line 584">
            <a:extLst>
              <a:ext uri="{FF2B5EF4-FFF2-40B4-BE49-F238E27FC236}">
                <a16:creationId xmlns:a16="http://schemas.microsoft.com/office/drawing/2014/main" id="{56CAF384-66F7-7D3E-2EF3-0A8CCA5FE8DC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756"/>
            <a:ext cx="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585">
            <a:extLst>
              <a:ext uri="{FF2B5EF4-FFF2-40B4-BE49-F238E27FC236}">
                <a16:creationId xmlns:a16="http://schemas.microsoft.com/office/drawing/2014/main" id="{86F3BDBE-E9CB-5004-6851-7E82D52657C2}"/>
              </a:ext>
            </a:extLst>
          </xdr:cNvPr>
          <xdr:cNvSpPr>
            <a:spLocks noChangeShapeType="1"/>
          </xdr:cNvSpPr>
        </xdr:nvSpPr>
        <xdr:spPr bwMode="auto">
          <a:xfrm>
            <a:off x="818" y="756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586">
            <a:extLst>
              <a:ext uri="{FF2B5EF4-FFF2-40B4-BE49-F238E27FC236}">
                <a16:creationId xmlns:a16="http://schemas.microsoft.com/office/drawing/2014/main" id="{809822DB-5812-1E28-E264-FC82CEF3F73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83" y="695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587">
            <a:extLst>
              <a:ext uri="{FF2B5EF4-FFF2-40B4-BE49-F238E27FC236}">
                <a16:creationId xmlns:a16="http://schemas.microsoft.com/office/drawing/2014/main" id="{A4580A37-EE1F-B117-8C46-EA7C6C529258}"/>
              </a:ext>
            </a:extLst>
          </xdr:cNvPr>
          <xdr:cNvSpPr>
            <a:spLocks noChangeShapeType="1"/>
          </xdr:cNvSpPr>
        </xdr:nvSpPr>
        <xdr:spPr bwMode="auto">
          <a:xfrm>
            <a:off x="819" y="695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588">
            <a:extLst>
              <a:ext uri="{FF2B5EF4-FFF2-40B4-BE49-F238E27FC236}">
                <a16:creationId xmlns:a16="http://schemas.microsoft.com/office/drawing/2014/main" id="{35CABF0D-7ECE-E751-CD6C-FC439789ECF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846" y="710"/>
            <a:ext cx="0" cy="4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Line 589">
            <a:extLst>
              <a:ext uri="{FF2B5EF4-FFF2-40B4-BE49-F238E27FC236}">
                <a16:creationId xmlns:a16="http://schemas.microsoft.com/office/drawing/2014/main" id="{472D3783-9FD1-CE08-20B6-213C411149D8}"/>
              </a:ext>
            </a:extLst>
          </xdr:cNvPr>
          <xdr:cNvSpPr>
            <a:spLocks noChangeShapeType="1"/>
          </xdr:cNvSpPr>
        </xdr:nvSpPr>
        <xdr:spPr bwMode="auto">
          <a:xfrm>
            <a:off x="846" y="762"/>
            <a:ext cx="0" cy="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190500</xdr:colOff>
      <xdr:row>29</xdr:row>
      <xdr:rowOff>19050</xdr:rowOff>
    </xdr:from>
    <xdr:to>
      <xdr:col>3</xdr:col>
      <xdr:colOff>495300</xdr:colOff>
      <xdr:row>29</xdr:row>
      <xdr:rowOff>123825</xdr:rowOff>
    </xdr:to>
    <xdr:sp macro="" textlink="">
      <xdr:nvSpPr>
        <xdr:cNvPr id="133" name="Depth">
          <a:extLst>
            <a:ext uri="{FF2B5EF4-FFF2-40B4-BE49-F238E27FC236}">
              <a16:creationId xmlns:a16="http://schemas.microsoft.com/office/drawing/2014/main" id="{71662B3F-ABA4-4BA4-ABAF-35FDEBE2B7DE}"/>
            </a:ext>
          </a:extLst>
        </xdr:cNvPr>
        <xdr:cNvSpPr txBox="1">
          <a:spLocks noChangeArrowheads="1"/>
        </xdr:cNvSpPr>
      </xdr:nvSpPr>
      <xdr:spPr bwMode="auto">
        <a:xfrm>
          <a:off x="1885950" y="6715125"/>
          <a:ext cx="3048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54.00</a:t>
          </a:r>
        </a:p>
      </xdr:txBody>
    </xdr:sp>
    <xdr:clientData/>
  </xdr:twoCellAnchor>
  <xdr:twoCellAnchor>
    <xdr:from>
      <xdr:col>3</xdr:col>
      <xdr:colOff>685800</xdr:colOff>
      <xdr:row>28</xdr:row>
      <xdr:rowOff>171450</xdr:rowOff>
    </xdr:from>
    <xdr:to>
      <xdr:col>4</xdr:col>
      <xdr:colOff>788773</xdr:colOff>
      <xdr:row>29</xdr:row>
      <xdr:rowOff>104775</xdr:rowOff>
    </xdr:to>
    <xdr:sp macro="" textlink="">
      <xdr:nvSpPr>
        <xdr:cNvPr id="134" name="Text 219">
          <a:extLst>
            <a:ext uri="{FF2B5EF4-FFF2-40B4-BE49-F238E27FC236}">
              <a16:creationId xmlns:a16="http://schemas.microsoft.com/office/drawing/2014/main" id="{CCDC2561-6906-4308-B7A9-97AED21EF4D5}"/>
            </a:ext>
          </a:extLst>
        </xdr:cNvPr>
        <xdr:cNvSpPr txBox="1">
          <a:spLocks noChangeArrowheads="1"/>
        </xdr:cNvSpPr>
      </xdr:nvSpPr>
      <xdr:spPr bwMode="auto">
        <a:xfrm>
          <a:off x="2381250" y="66389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685800</xdr:colOff>
      <xdr:row>34</xdr:row>
      <xdr:rowOff>180975</xdr:rowOff>
    </xdr:from>
    <xdr:to>
      <xdr:col>4</xdr:col>
      <xdr:colOff>788773</xdr:colOff>
      <xdr:row>35</xdr:row>
      <xdr:rowOff>114300</xdr:rowOff>
    </xdr:to>
    <xdr:sp macro="" textlink="">
      <xdr:nvSpPr>
        <xdr:cNvPr id="135" name="Text 219">
          <a:extLst>
            <a:ext uri="{FF2B5EF4-FFF2-40B4-BE49-F238E27FC236}">
              <a16:creationId xmlns:a16="http://schemas.microsoft.com/office/drawing/2014/main" id="{84CA9893-88C4-4341-9F1D-DA6E4C4B84E9}"/>
            </a:ext>
          </a:extLst>
        </xdr:cNvPr>
        <xdr:cNvSpPr txBox="1">
          <a:spLocks noChangeArrowheads="1"/>
        </xdr:cNvSpPr>
      </xdr:nvSpPr>
      <xdr:spPr bwMode="auto">
        <a:xfrm>
          <a:off x="2381250" y="80200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685800</xdr:colOff>
      <xdr:row>40</xdr:row>
      <xdr:rowOff>123825</xdr:rowOff>
    </xdr:from>
    <xdr:to>
      <xdr:col>4</xdr:col>
      <xdr:colOff>788773</xdr:colOff>
      <xdr:row>41</xdr:row>
      <xdr:rowOff>57150</xdr:rowOff>
    </xdr:to>
    <xdr:sp macro="" textlink="">
      <xdr:nvSpPr>
        <xdr:cNvPr id="136" name="Text 219">
          <a:extLst>
            <a:ext uri="{FF2B5EF4-FFF2-40B4-BE49-F238E27FC236}">
              <a16:creationId xmlns:a16="http://schemas.microsoft.com/office/drawing/2014/main" id="{E58D48A3-F418-434A-995E-45CC0D6C7851}"/>
            </a:ext>
          </a:extLst>
        </xdr:cNvPr>
        <xdr:cNvSpPr txBox="1">
          <a:spLocks noChangeArrowheads="1"/>
        </xdr:cNvSpPr>
      </xdr:nvSpPr>
      <xdr:spPr bwMode="auto">
        <a:xfrm>
          <a:off x="2381250" y="93345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144BAC9-4CA3-47F4-8219-B438F0C8F712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0356849-7D45-44A3-BDC1-524888D5FD44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9EB24BF6-435B-4A72-9275-A344E2B4602C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5F2A2D1A-C45F-41FC-961D-D1653076E845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A341DCE8-395B-4110-B6F3-F68A21C78BB2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8CCC2-4958-4300-B3EA-DAA5259C2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47363-5710-48C1-B545-1A415F4AC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0.64857</cdr:x>
      <cdr:y>0.5859</cdr:y>
    </cdr:from>
    <cdr:to>
      <cdr:x>0.88442</cdr:x>
      <cdr:y>0.60659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3084" y="37725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0.64532</cdr:x>
      <cdr:y>0.52313</cdr:y>
    </cdr:from>
    <cdr:to>
      <cdr:x>0.92814</cdr:x>
      <cdr:y>0.54826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74034" y="33683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A4974-25D4-4B79-A863-06B9903F3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7926DDF4-3E79-41E8-AA4D-25BE6363A853}"/>
            </a:ext>
          </a:extLst>
        </xdr:cNvPr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BAB7F1F-EE2B-4485-B074-B57D9C7ED95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B9A858A5-A4F7-4749-BBFF-28C8752F2BC2}"/>
            </a:ext>
          </a:extLst>
        </xdr:cNvPr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E9CE808-EBE9-453A-ABD0-510623B7D99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129E3809-FC85-4B14-AA14-92BE9CFBAE1D}"/>
            </a:ext>
          </a:extLst>
        </xdr:cNvPr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99E015D-7479-45A5-A926-120335AC176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49C73CCE-BEF3-4B71-95C2-515150445078}"/>
            </a:ext>
          </a:extLst>
        </xdr:cNvPr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05D1615-7485-46F5-9A57-073EDF3D426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A6B745DB-5165-4BD7-90F8-C7CBF0D8C40F}"/>
            </a:ext>
          </a:extLst>
        </xdr:cNvPr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DE91B26-3057-4D02-89AC-B6CD21407F4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6E9F80DC-54FB-46C2-BEFD-10695D8129E7}"/>
            </a:ext>
          </a:extLst>
        </xdr:cNvPr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53EB84F-78CF-46F3-B7F9-1D34E664D3F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8DB06CFD-018D-4745-B9E2-B3C3D2143D95}"/>
            </a:ext>
          </a:extLst>
        </xdr:cNvPr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C989D53-E4BA-45B1-A08B-8711B707EA0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E525CB8-DB4E-4355-9F5E-7A42234EDE4B}"/>
            </a:ext>
          </a:extLst>
        </xdr:cNvPr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F87EC58-DEAA-4802-9BAF-C47BD154082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F2C7DCD-541B-439A-BED0-525422A17A39}"/>
            </a:ext>
          </a:extLst>
        </xdr:cNvPr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55699D0-6B9C-46F7-A05B-896097EE306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DC3451F9-CFAF-4D0D-AE1B-0F1CA9EEEC2D}"/>
            </a:ext>
          </a:extLst>
        </xdr:cNvPr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423F3D1-09E2-4851-BDEC-9BFA7E0887D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51335399-26AD-4D03-84E4-C3D28A04B4A8}"/>
            </a:ext>
          </a:extLst>
        </xdr:cNvPr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4244D9C-4DFA-46CF-9B70-B65AD7C0528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3E5962FF-26B4-4BEE-8419-32AA99A21A8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35161BE5-D058-4B8A-9E47-B819C736080B}"/>
            </a:ext>
          </a:extLst>
        </xdr:cNvPr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564E0B1-9664-4FBE-B3B1-515076EAEC4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A53A8166-5A5A-48C6-8AE9-120BB2D39BFD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0A0A28A-A130-4A49-8630-7A8BE487E67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1E64F4E1-B3B4-414B-8224-6B7A1C3372E0}"/>
            </a:ext>
          </a:extLst>
        </xdr:cNvPr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65D62EB-6916-438A-805F-D082232FE6B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DD83C4F8-88EA-4CB9-AC35-29D0876F0D6C}"/>
            </a:ext>
          </a:extLst>
        </xdr:cNvPr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CB32710-0C85-45B4-B4D4-FE214AB5A62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534AAF62-924A-4A94-8794-1FFCB015941C}"/>
            </a:ext>
          </a:extLst>
        </xdr:cNvPr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8E1FF99-78B2-4F85-97C0-3A7FDE79E5E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2BEC7FF6-FA0F-4376-868D-17E5E6CB22AE}"/>
            </a:ext>
          </a:extLst>
        </xdr:cNvPr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1392DFA-8317-4452-A812-BA35812948B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559AF43B-86B3-453E-A164-083C4A5AA313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B6CD27F6-C762-4BCB-B043-576FD104D9E6}"/>
            </a:ext>
          </a:extLst>
        </xdr:cNvPr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B694D20-7201-4D01-ABF3-836A8007D0C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6B3D61E-03D6-4891-8263-7142A86383E6}"/>
            </a:ext>
          </a:extLst>
        </xdr:cNvPr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B4A32C-4E8B-404F-8BC7-8D2B2291B28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420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9F62CCBC-5336-46E9-A0CC-807169F0D7F9}"/>
            </a:ext>
          </a:extLst>
        </xdr:cNvPr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BA2FBBB-6755-485C-8BB1-5408AA039AF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480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4EF112E8-381F-499A-A400-2FC194F5CA48}"/>
            </a:ext>
          </a:extLst>
        </xdr:cNvPr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55C9AD5-C74C-4D71-97AA-A014A021A66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540</a:t>
          </a:fld>
          <a:endParaRPr lang="en-US"/>
        </a:p>
      </xdr:txBody>
    </xdr:sp>
    <xdr:clientData/>
  </xdr:twoCellAnchor>
  <xdr:twoCellAnchor>
    <xdr:from>
      <xdr:col>2</xdr:col>
      <xdr:colOff>476250</xdr:colOff>
      <xdr:row>16</xdr:row>
      <xdr:rowOff>209550</xdr:rowOff>
    </xdr:from>
    <xdr:to>
      <xdr:col>2</xdr:col>
      <xdr:colOff>819150</xdr:colOff>
      <xdr:row>17</xdr:row>
      <xdr:rowOff>114300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A0B99C37-7C7D-413F-8DF9-2C1FC2CCA260}"/>
            </a:ext>
          </a:extLst>
        </xdr:cNvPr>
        <xdr:cNvSpPr txBox="1">
          <a:spLocks noChangeArrowheads="1"/>
        </xdr:cNvSpPr>
      </xdr:nvSpPr>
      <xdr:spPr bwMode="auto">
        <a:xfrm>
          <a:off x="2705100" y="41052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876300</xdr:colOff>
      <xdr:row>18</xdr:row>
      <xdr:rowOff>190500</xdr:rowOff>
    </xdr:from>
    <xdr:to>
      <xdr:col>4</xdr:col>
      <xdr:colOff>95250</xdr:colOff>
      <xdr:row>19</xdr:row>
      <xdr:rowOff>123825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FF765995-6698-4A34-9BE8-13ABA3B802FA}"/>
            </a:ext>
          </a:extLst>
        </xdr:cNvPr>
        <xdr:cNvSpPr txBox="1">
          <a:spLocks noChangeArrowheads="1"/>
        </xdr:cNvSpPr>
      </xdr:nvSpPr>
      <xdr:spPr bwMode="auto">
        <a:xfrm>
          <a:off x="4219575" y="456247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923925</xdr:colOff>
      <xdr:row>23</xdr:row>
      <xdr:rowOff>228600</xdr:rowOff>
    </xdr:from>
    <xdr:to>
      <xdr:col>3</xdr:col>
      <xdr:colOff>152400</xdr:colOff>
      <xdr:row>24</xdr:row>
      <xdr:rowOff>133350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FE083D6A-A9EC-4528-B975-A1C825916E67}"/>
            </a:ext>
          </a:extLst>
        </xdr:cNvPr>
        <xdr:cNvSpPr txBox="1">
          <a:spLocks noChangeArrowheads="1"/>
        </xdr:cNvSpPr>
      </xdr:nvSpPr>
      <xdr:spPr bwMode="auto">
        <a:xfrm>
          <a:off x="315277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180975</xdr:colOff>
      <xdr:row>29</xdr:row>
      <xdr:rowOff>19050</xdr:rowOff>
    </xdr:from>
    <xdr:to>
      <xdr:col>2</xdr:col>
      <xdr:colOff>619125</xdr:colOff>
      <xdr:row>29</xdr:row>
      <xdr:rowOff>171450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CF23827F-9412-493E-A43E-2DFEA85E4BE7}"/>
            </a:ext>
          </a:extLst>
        </xdr:cNvPr>
        <xdr:cNvSpPr txBox="1">
          <a:spLocks noChangeArrowheads="1"/>
        </xdr:cNvSpPr>
      </xdr:nvSpPr>
      <xdr:spPr bwMode="auto">
        <a:xfrm>
          <a:off x="2409825" y="70104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AADF9E61-ACAB-4377-8E68-9DFDDB79C44A}"/>
            </a:ext>
          </a:extLst>
        </xdr:cNvPr>
        <xdr:cNvSpPr txBox="1">
          <a:spLocks noChangeArrowheads="1"/>
        </xdr:cNvSpPr>
      </xdr:nvSpPr>
      <xdr:spPr bwMode="auto">
        <a:xfrm>
          <a:off x="3200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C644F4D3-21CD-4B01-AFB8-284FB2BF0B59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3AF0094-C56B-4170-9C64-533BE258F3E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V113"/>
  <sheetViews>
    <sheetView topLeftCell="A28" zoomScale="95" zoomScaleNormal="95" workbookViewId="0">
      <selection activeCell="D29" sqref="D2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217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218</v>
      </c>
    </row>
    <row r="3" spans="1:10" ht="15" customHeight="1" thickBot="1">
      <c r="A3" s="47" t="s">
        <v>1</v>
      </c>
      <c r="B3" s="94" t="s">
        <v>216</v>
      </c>
      <c r="C3" s="1"/>
      <c r="D3" s="47"/>
      <c r="E3" s="1"/>
      <c r="F3" s="1"/>
      <c r="G3" s="47" t="s">
        <v>2</v>
      </c>
      <c r="H3" s="172">
        <v>45106</v>
      </c>
      <c r="I3" s="47" t="s">
        <v>3</v>
      </c>
      <c r="J3" s="173">
        <v>0.33923611111111113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4</v>
      </c>
      <c r="B5" s="110">
        <v>250</v>
      </c>
      <c r="C5" s="138">
        <v>1800</v>
      </c>
      <c r="D5" s="48" t="s">
        <v>194</v>
      </c>
      <c r="E5" s="156">
        <v>460</v>
      </c>
      <c r="F5" s="138">
        <v>60</v>
      </c>
      <c r="G5" s="48">
        <v>105</v>
      </c>
      <c r="H5" s="76" t="s">
        <v>251</v>
      </c>
      <c r="I5" s="75" t="s">
        <v>256</v>
      </c>
      <c r="J5" s="48" t="s">
        <v>195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14.835286111111111</v>
      </c>
      <c r="J7" s="104" t="s">
        <v>19</v>
      </c>
    </row>
    <row r="8" spans="1:10" ht="15" customHeight="1">
      <c r="A8" s="9" t="s">
        <v>20</v>
      </c>
      <c r="B8" s="67">
        <v>1.2000000476837158</v>
      </c>
      <c r="C8" s="50"/>
      <c r="D8" s="5"/>
      <c r="E8" s="49"/>
      <c r="F8" s="3"/>
      <c r="G8" s="15"/>
      <c r="H8" s="9" t="s">
        <v>21</v>
      </c>
      <c r="I8" s="66">
        <v>18.286220408627493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200</v>
      </c>
      <c r="F9" s="105" t="s">
        <v>25</v>
      </c>
      <c r="G9" s="29"/>
      <c r="H9" s="9" t="s">
        <v>26</v>
      </c>
      <c r="I9" s="67">
        <v>16.560753259869301</v>
      </c>
      <c r="J9" s="102">
        <v>87.109258169802246</v>
      </c>
    </row>
    <row r="10" spans="1:10" ht="15" customHeight="1">
      <c r="A10" s="9" t="s">
        <v>27</v>
      </c>
      <c r="B10" s="67">
        <v>440</v>
      </c>
      <c r="C10" s="71">
        <v>440</v>
      </c>
      <c r="D10" s="5"/>
      <c r="E10" s="49"/>
      <c r="F10" s="114" t="s">
        <v>211</v>
      </c>
      <c r="G10" s="112" t="s">
        <v>212</v>
      </c>
      <c r="H10" s="9" t="s">
        <v>28</v>
      </c>
      <c r="I10" s="66">
        <v>13.611236700565971</v>
      </c>
      <c r="J10" s="101" t="s">
        <v>29</v>
      </c>
    </row>
    <row r="11" spans="1:10" ht="15" customHeight="1" thickBot="1">
      <c r="A11" s="9" t="s">
        <v>30</v>
      </c>
      <c r="B11" s="67">
        <v>520</v>
      </c>
      <c r="C11" s="71">
        <v>337.59999990463257</v>
      </c>
      <c r="D11" s="9" t="s">
        <v>31</v>
      </c>
      <c r="E11" s="66">
        <v>0.83324999999999994</v>
      </c>
      <c r="F11" s="115"/>
      <c r="G11" s="111" t="s">
        <v>213</v>
      </c>
      <c r="H11" s="9" t="s">
        <v>32</v>
      </c>
      <c r="I11" s="66">
        <v>18.286220408627493</v>
      </c>
      <c r="J11" s="102">
        <v>8759.8494871490057</v>
      </c>
    </row>
    <row r="12" spans="1:10" ht="15" customHeight="1">
      <c r="A12" s="9" t="s">
        <v>33</v>
      </c>
      <c r="B12" s="67">
        <v>340</v>
      </c>
      <c r="C12" s="71">
        <v>125</v>
      </c>
      <c r="D12" s="9" t="s">
        <v>34</v>
      </c>
      <c r="E12" s="151">
        <v>0.69799999999999995</v>
      </c>
      <c r="F12" s="121"/>
      <c r="G12" s="113" t="s">
        <v>207</v>
      </c>
      <c r="H12" s="9" t="s">
        <v>35</v>
      </c>
      <c r="I12" s="66">
        <v>1.0899293309985743</v>
      </c>
      <c r="J12" s="101" t="s">
        <v>36</v>
      </c>
    </row>
    <row r="13" spans="1:10" ht="15" customHeight="1" thickBot="1">
      <c r="A13" s="9" t="s">
        <v>37</v>
      </c>
      <c r="B13" s="67">
        <v>36</v>
      </c>
      <c r="C13" s="71">
        <v>50.500000715255737</v>
      </c>
      <c r="D13" s="9" t="s">
        <v>38</v>
      </c>
      <c r="E13" s="68">
        <v>12.699999809265137</v>
      </c>
      <c r="F13" s="121"/>
      <c r="G13" s="113" t="s">
        <v>208</v>
      </c>
      <c r="H13" s="9" t="s">
        <v>40</v>
      </c>
      <c r="I13" s="66">
        <v>1</v>
      </c>
      <c r="J13" s="102">
        <v>277.74298095703125</v>
      </c>
    </row>
    <row r="14" spans="1:10" ht="15" customHeight="1" thickBot="1">
      <c r="A14" s="158" t="s">
        <v>41</v>
      </c>
      <c r="B14" s="131">
        <v>409.20001220703125</v>
      </c>
      <c r="C14" s="132">
        <v>409.20001220703125</v>
      </c>
      <c r="D14" s="9" t="s">
        <v>42</v>
      </c>
      <c r="E14" s="49" t="s">
        <v>201</v>
      </c>
      <c r="F14" s="49"/>
      <c r="G14" s="113"/>
      <c r="H14" s="47" t="s">
        <v>43</v>
      </c>
      <c r="I14" s="66">
        <v>1.0899293309985743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202</v>
      </c>
      <c r="F15" s="49"/>
      <c r="G15" s="113"/>
      <c r="H15" s="9" t="s">
        <v>47</v>
      </c>
      <c r="I15" s="66">
        <v>0.96589165240170005</v>
      </c>
      <c r="J15" s="102">
        <v>12.073490994973936</v>
      </c>
    </row>
    <row r="16" spans="1:10" ht="15" customHeight="1">
      <c r="A16" s="9" t="s">
        <v>48</v>
      </c>
      <c r="B16" s="49">
        <v>72</v>
      </c>
      <c r="C16" s="50">
        <v>58</v>
      </c>
      <c r="D16" s="9" t="s">
        <v>49</v>
      </c>
      <c r="E16" s="49">
        <v>4</v>
      </c>
      <c r="F16" s="49"/>
      <c r="G16" s="113"/>
      <c r="H16" s="9" t="s">
        <v>50</v>
      </c>
      <c r="I16" s="66">
        <v>0.95596950205867326</v>
      </c>
      <c r="J16" s="103" t="s">
        <v>51</v>
      </c>
    </row>
    <row r="17" spans="1:22" ht="15" customHeight="1" thickBot="1">
      <c r="A17" s="9" t="s">
        <v>52</v>
      </c>
      <c r="B17" s="49" t="s">
        <v>196</v>
      </c>
      <c r="C17" s="50" t="s">
        <v>197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0.9233629619890823</v>
      </c>
      <c r="J17" s="102">
        <v>343.19663371836492</v>
      </c>
    </row>
    <row r="18" spans="1:22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859</v>
      </c>
      <c r="F18" s="68">
        <v>475</v>
      </c>
      <c r="G18" s="72"/>
      <c r="H18" s="12" t="s">
        <v>57</v>
      </c>
      <c r="I18" s="129" t="s">
        <v>214</v>
      </c>
      <c r="J18" s="130"/>
    </row>
    <row r="19" spans="1:22" ht="15" customHeight="1">
      <c r="A19" s="9" t="s">
        <v>58</v>
      </c>
      <c r="B19" s="67">
        <v>54</v>
      </c>
      <c r="C19" s="71">
        <v>55.799999237060547</v>
      </c>
      <c r="D19" s="9" t="s">
        <v>59</v>
      </c>
      <c r="E19" s="68">
        <v>76.19999885559082</v>
      </c>
      <c r="F19" s="49"/>
      <c r="G19" s="50"/>
      <c r="H19" s="141"/>
      <c r="I19" s="3" t="s">
        <v>60</v>
      </c>
      <c r="J19" s="30" t="s">
        <v>61</v>
      </c>
    </row>
    <row r="20" spans="1:22" ht="15" customHeight="1">
      <c r="A20" s="9" t="s">
        <v>62</v>
      </c>
      <c r="B20" s="67" t="s">
        <v>198</v>
      </c>
      <c r="C20" s="71"/>
      <c r="D20" s="9" t="s">
        <v>167</v>
      </c>
      <c r="E20" s="163">
        <v>1.1647585342276008E-2</v>
      </c>
      <c r="F20" s="49"/>
      <c r="G20" s="50"/>
      <c r="H20" s="9" t="s">
        <v>63</v>
      </c>
      <c r="I20" s="66">
        <v>17.003923416137695</v>
      </c>
      <c r="J20" s="70">
        <v>17.003923416137695</v>
      </c>
    </row>
    <row r="21" spans="1:22" ht="15" customHeight="1">
      <c r="A21" s="9" t="s">
        <v>64</v>
      </c>
      <c r="B21" s="67">
        <v>3.4000000953674316</v>
      </c>
      <c r="C21" s="71">
        <v>0</v>
      </c>
      <c r="D21" s="9" t="s">
        <v>204</v>
      </c>
      <c r="E21" s="65">
        <v>1.5537741546965441E-2</v>
      </c>
      <c r="F21" s="65">
        <v>1.4435179531574249E-2</v>
      </c>
      <c r="G21" s="69">
        <v>3.8970000316449998E-3</v>
      </c>
      <c r="H21" s="9" t="s">
        <v>65</v>
      </c>
      <c r="I21" s="66">
        <v>75.602973937988281</v>
      </c>
      <c r="J21" s="70">
        <v>34.203765869140625</v>
      </c>
    </row>
    <row r="22" spans="1:22" ht="15" customHeight="1">
      <c r="A22" s="9" t="s">
        <v>66</v>
      </c>
      <c r="B22" s="67">
        <v>1</v>
      </c>
      <c r="C22" s="71">
        <v>0.80000001192092896</v>
      </c>
      <c r="D22" s="9" t="s">
        <v>67</v>
      </c>
      <c r="E22" s="49" t="s">
        <v>205</v>
      </c>
      <c r="F22" s="49" t="s">
        <v>206</v>
      </c>
      <c r="G22" s="50" t="s">
        <v>206</v>
      </c>
      <c r="H22" s="9" t="s">
        <v>68</v>
      </c>
      <c r="I22" s="66">
        <v>15.56425952911377</v>
      </c>
      <c r="J22" s="70">
        <v>13.945422172546387</v>
      </c>
    </row>
    <row r="23" spans="1:22" ht="15" customHeight="1">
      <c r="A23" s="9" t="s">
        <v>69</v>
      </c>
      <c r="B23" s="67">
        <v>5.5</v>
      </c>
      <c r="C23" s="71">
        <v>7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12.265219331483715</v>
      </c>
      <c r="J23" s="15" t="s">
        <v>215</v>
      </c>
    </row>
    <row r="24" spans="1:22" ht="15" customHeight="1">
      <c r="A24" s="9" t="s">
        <v>72</v>
      </c>
      <c r="B24" s="67">
        <v>5</v>
      </c>
      <c r="C24" s="71">
        <v>1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8.2987122177961119</v>
      </c>
      <c r="J24" s="70">
        <v>7.7718169365313194</v>
      </c>
    </row>
    <row r="25" spans="1:22" ht="15" customHeight="1">
      <c r="A25" s="9" t="s">
        <v>75</v>
      </c>
      <c r="B25" s="49" t="s">
        <v>175</v>
      </c>
      <c r="C25" s="71">
        <v>1</v>
      </c>
      <c r="D25" s="107" t="s">
        <v>76</v>
      </c>
      <c r="E25" s="51"/>
      <c r="F25" s="51"/>
      <c r="G25" s="58"/>
      <c r="H25" s="9" t="s">
        <v>77</v>
      </c>
      <c r="I25" s="66">
        <v>3.3869922161102295E-2</v>
      </c>
      <c r="J25" s="70">
        <v>0.11354942619800568</v>
      </c>
    </row>
    <row r="26" spans="1:22" ht="15" customHeight="1">
      <c r="A26" s="9" t="s">
        <v>78</v>
      </c>
      <c r="B26" s="51" t="s">
        <v>199</v>
      </c>
      <c r="C26" s="58" t="s">
        <v>175</v>
      </c>
      <c r="D26" s="9" t="s">
        <v>79</v>
      </c>
      <c r="E26" s="67">
        <v>92.245818133562565</v>
      </c>
      <c r="F26" s="67">
        <v>25.017828991214991</v>
      </c>
      <c r="G26" s="71">
        <v>8.7729058656057166</v>
      </c>
      <c r="H26" s="9" t="s">
        <v>80</v>
      </c>
      <c r="I26" s="66">
        <v>0.71941018104553223</v>
      </c>
      <c r="J26" s="70">
        <v>0.47418895363807678</v>
      </c>
    </row>
    <row r="27" spans="1:22" ht="15" customHeight="1" thickBot="1">
      <c r="A27" s="9" t="s">
        <v>81</v>
      </c>
      <c r="B27" s="49" t="s">
        <v>175</v>
      </c>
      <c r="C27" s="50" t="s">
        <v>175</v>
      </c>
      <c r="D27" s="10" t="s">
        <v>82</v>
      </c>
      <c r="E27" s="78">
        <v>82.137706363251169</v>
      </c>
      <c r="F27" s="78" t="s">
        <v>175</v>
      </c>
      <c r="G27" s="80" t="s">
        <v>175</v>
      </c>
      <c r="H27" s="10" t="s">
        <v>83</v>
      </c>
      <c r="I27" s="77">
        <v>0.72020703554153442</v>
      </c>
      <c r="J27" s="79">
        <v>0.48759472370147705</v>
      </c>
      <c r="M27" s="169"/>
      <c r="N27" s="169"/>
      <c r="O27" s="169"/>
      <c r="P27" s="169"/>
      <c r="Q27" s="169"/>
      <c r="V27">
        <f>2000*745.7/0.9/460</f>
        <v>3602.4154589371979</v>
      </c>
    </row>
    <row r="28" spans="1:22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22" ht="15" customHeight="1">
      <c r="A29" s="6"/>
      <c r="B29" s="33" t="s">
        <v>87</v>
      </c>
      <c r="C29" s="73">
        <v>54.866503312561335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1786.0</v>
      </c>
      <c r="N29" s="169" t="s">
        <v>187</v>
      </c>
      <c r="O29" s="169"/>
      <c r="P29" s="3" t="s">
        <v>193</v>
      </c>
      <c r="Q29" s="169"/>
    </row>
    <row r="30" spans="1:22" ht="15" customHeight="1" thickBot="1">
      <c r="A30" s="7"/>
      <c r="B30" s="61" t="s">
        <v>94</v>
      </c>
      <c r="C30" s="74">
        <v>54.96176715165506</v>
      </c>
      <c r="D30" s="9" t="s">
        <v>95</v>
      </c>
      <c r="E30" s="164">
        <v>20.420335000000001</v>
      </c>
      <c r="F30" s="164">
        <v>294.62400878906249</v>
      </c>
      <c r="G30" s="164">
        <v>16.659350192442396</v>
      </c>
      <c r="H30" s="165">
        <v>176.84564613909578</v>
      </c>
      <c r="I30" s="68">
        <v>22399.225722473468</v>
      </c>
      <c r="J30" s="72">
        <v>1816.6990841948523</v>
      </c>
      <c r="M30" s="170" t="str">
        <f>RIGHT(E$41,SEARCH("/",E$41,1)-1)</f>
        <v xml:space="preserve"> 1788.0</v>
      </c>
      <c r="N30" s="169" t="s">
        <v>188</v>
      </c>
      <c r="O30" s="169"/>
      <c r="P30" s="171">
        <f>G30*6.4516</f>
        <v>107.47946370156136</v>
      </c>
      <c r="Q30" s="169"/>
    </row>
    <row r="31" spans="1:22" ht="15" customHeight="1">
      <c r="A31" s="22" t="s">
        <v>96</v>
      </c>
      <c r="B31" s="142"/>
      <c r="C31" s="26"/>
      <c r="D31" s="9" t="s">
        <v>97</v>
      </c>
      <c r="E31" s="164">
        <v>5.4</v>
      </c>
      <c r="F31" s="164">
        <v>405.10801208496093</v>
      </c>
      <c r="G31" s="164">
        <v>12.115891049049015</v>
      </c>
      <c r="H31" s="165">
        <v>68.161363308105507</v>
      </c>
      <c r="I31" s="68">
        <v>8750.3330610351568</v>
      </c>
      <c r="J31" s="72">
        <v>423.66657679357166</v>
      </c>
      <c r="M31" s="170" t="str">
        <f>RIGHT(D$41,SEARCH("/",D$41,1)-1)</f>
        <v xml:space="preserve"> 1790.6</v>
      </c>
      <c r="N31" s="169" t="s">
        <v>189</v>
      </c>
      <c r="O31" s="169"/>
      <c r="P31" s="171">
        <f>G31*6.4516</f>
        <v>78.166882692044624</v>
      </c>
      <c r="Q31" s="169"/>
    </row>
    <row r="32" spans="1:22" ht="15" customHeight="1">
      <c r="A32" s="5" t="s">
        <v>98</v>
      </c>
      <c r="B32" s="66" t="s">
        <v>258</v>
      </c>
      <c r="C32" s="108"/>
      <c r="D32" s="9" t="s">
        <v>99</v>
      </c>
      <c r="E32" s="164">
        <v>8.8749918061760074</v>
      </c>
      <c r="F32" s="164">
        <v>413.2920181827547</v>
      </c>
      <c r="G32" s="164">
        <v>11.875972246209285</v>
      </c>
      <c r="H32" s="165">
        <v>9.9376991046099103</v>
      </c>
      <c r="I32" s="8" t="s">
        <v>100</v>
      </c>
      <c r="J32" s="72">
        <v>2240.3656609884238</v>
      </c>
      <c r="M32" s="170" t="str">
        <f>RIGHT(C$41,SEARCH("/",C$41,1)-1)</f>
        <v xml:space="preserve"> 1793.1</v>
      </c>
      <c r="N32" s="169" t="s">
        <v>190</v>
      </c>
      <c r="O32" s="169"/>
      <c r="P32" s="171">
        <f>G32*6.4516</f>
        <v>76.619022543643823</v>
      </c>
      <c r="Q32" s="169"/>
    </row>
    <row r="33" spans="1:17" ht="15" customHeight="1">
      <c r="A33" s="5" t="s">
        <v>101</v>
      </c>
      <c r="B33" s="66" t="s">
        <v>259</v>
      </c>
      <c r="C33" s="109" t="s">
        <v>102</v>
      </c>
      <c r="D33" s="9" t="s">
        <v>97</v>
      </c>
      <c r="E33" s="164">
        <v>5.5799999237060547</v>
      </c>
      <c r="F33" s="164">
        <v>415.33801239013673</v>
      </c>
      <c r="G33" s="164">
        <v>11.817470087249777</v>
      </c>
      <c r="H33" s="165">
        <v>47.120762571682249</v>
      </c>
      <c r="I33" s="8" t="s">
        <v>103</v>
      </c>
      <c r="J33" s="71" t="s">
        <v>226</v>
      </c>
      <c r="M33" s="170" t="str">
        <f>RIGHT(B$41,SEARCH("/",B$41,1)-1)</f>
        <v xml:space="preserve"> 1795.4</v>
      </c>
      <c r="N33" s="169" t="s">
        <v>191</v>
      </c>
      <c r="O33" s="169"/>
      <c r="P33" s="171">
        <f>G33*6.4516</f>
        <v>76.241590014900666</v>
      </c>
      <c r="Q33" s="169"/>
    </row>
    <row r="34" spans="1:17" ht="15" customHeight="1" thickBot="1">
      <c r="A34" s="16" t="s">
        <v>104</v>
      </c>
      <c r="B34" s="77" t="s">
        <v>260</v>
      </c>
      <c r="C34" s="162">
        <v>4.9082445375182182</v>
      </c>
      <c r="D34" s="10" t="s">
        <v>20</v>
      </c>
      <c r="E34" s="166">
        <v>0.12000000476837158</v>
      </c>
      <c r="F34" s="167">
        <v>1078.0099466848251</v>
      </c>
      <c r="G34" s="167">
        <v>4.5530605284416996</v>
      </c>
      <c r="H34" s="168">
        <v>546.36728512368848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29.374525305294469</v>
      </c>
      <c r="Q34" s="169"/>
    </row>
    <row r="35" spans="1:17" ht="15" customHeight="1">
      <c r="A35" s="12" t="s">
        <v>106</v>
      </c>
      <c r="B35" s="13"/>
      <c r="C35" s="13"/>
      <c r="D35" s="133" t="s">
        <v>228</v>
      </c>
      <c r="E35" s="143" t="s">
        <v>227</v>
      </c>
      <c r="F35" s="14"/>
      <c r="G35" s="25" t="s">
        <v>107</v>
      </c>
      <c r="H35" s="83" t="s">
        <v>221</v>
      </c>
      <c r="I35" s="9" t="s">
        <v>108</v>
      </c>
      <c r="J35" s="72" t="s">
        <v>225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219</v>
      </c>
      <c r="I36" s="9" t="s">
        <v>111</v>
      </c>
      <c r="J36" s="72" t="s">
        <v>224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240</v>
      </c>
      <c r="C37" s="174" t="s">
        <v>241</v>
      </c>
      <c r="D37" s="174" t="s">
        <v>242</v>
      </c>
      <c r="E37" s="174" t="s">
        <v>243</v>
      </c>
      <c r="F37" s="175" t="s">
        <v>244</v>
      </c>
      <c r="G37" s="9" t="s">
        <v>113</v>
      </c>
      <c r="H37" s="72" t="s">
        <v>220</v>
      </c>
      <c r="I37" s="10" t="s">
        <v>114</v>
      </c>
      <c r="J37" s="81" t="s">
        <v>223</v>
      </c>
      <c r="O37" s="148"/>
    </row>
    <row r="38" spans="1:17" ht="15" customHeight="1" thickBot="1">
      <c r="A38" s="9" t="s">
        <v>115</v>
      </c>
      <c r="B38" s="176" t="s">
        <v>230</v>
      </c>
      <c r="C38" s="176" t="s">
        <v>231</v>
      </c>
      <c r="D38" s="176" t="s">
        <v>232</v>
      </c>
      <c r="E38" s="176" t="s">
        <v>233</v>
      </c>
      <c r="F38" s="177" t="s">
        <v>234</v>
      </c>
      <c r="G38" s="16" t="s">
        <v>116</v>
      </c>
      <c r="H38" s="81" t="s">
        <v>222</v>
      </c>
      <c r="I38" s="134" t="s">
        <v>229</v>
      </c>
      <c r="J38" s="82">
        <v>1615.4000244140625</v>
      </c>
      <c r="L38" t="str">
        <f>LEFT(E38,SEARCH("/",E38,1)-1)</f>
        <v xml:space="preserve">0.962 </v>
      </c>
      <c r="M38" t="str">
        <f>RIGHT(E38,SEARCH("/",E38,1)-1)</f>
        <v xml:space="preserve"> 0.962</v>
      </c>
      <c r="N38" s="149">
        <f>M38/L38</f>
        <v>1</v>
      </c>
      <c r="O38" s="148" t="s">
        <v>178</v>
      </c>
    </row>
    <row r="39" spans="1:17" ht="15" customHeight="1">
      <c r="A39" s="9" t="s">
        <v>117</v>
      </c>
      <c r="B39" s="176" t="s">
        <v>235</v>
      </c>
      <c r="C39" s="176" t="s">
        <v>236</v>
      </c>
      <c r="D39" s="176" t="s">
        <v>237</v>
      </c>
      <c r="E39" s="176" t="s">
        <v>238</v>
      </c>
      <c r="F39" s="177" t="s">
        <v>239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0.876 </v>
      </c>
      <c r="M39" t="str">
        <f>RIGHT(E39,SEARCH("/",E39,1)-1)</f>
        <v xml:space="preserve"> 0.824</v>
      </c>
      <c r="N39" s="149">
        <f>M39/L39</f>
        <v>0.94063926940639264</v>
      </c>
      <c r="O39" s="148" t="s">
        <v>179</v>
      </c>
    </row>
    <row r="40" spans="1:17" ht="15" customHeight="1">
      <c r="A40" s="9" t="s">
        <v>119</v>
      </c>
      <c r="B40" s="178" t="s">
        <v>253</v>
      </c>
      <c r="C40" s="178" t="s">
        <v>254</v>
      </c>
      <c r="D40" s="178" t="s">
        <v>255</v>
      </c>
      <c r="E40" s="178" t="s">
        <v>256</v>
      </c>
      <c r="F40" s="179" t="s">
        <v>257</v>
      </c>
      <c r="G40" s="34" t="s">
        <v>121</v>
      </c>
      <c r="H40" s="89" t="s">
        <v>261</v>
      </c>
      <c r="I40" s="53"/>
      <c r="J40" s="54"/>
      <c r="L40" t="str">
        <f>LEFT(E37,SEARCH("/",E37,1)-1)</f>
        <v xml:space="preserve">277.74 </v>
      </c>
      <c r="M40" t="str">
        <f>RIGHT(E37,SEARCH("/",E37,1)-1)</f>
        <v xml:space="preserve"> 295.13</v>
      </c>
      <c r="N40" s="149">
        <f>M40/L40</f>
        <v>1.0626125153020811</v>
      </c>
      <c r="O40" s="148" t="s">
        <v>177</v>
      </c>
    </row>
    <row r="41" spans="1:17" ht="15" customHeight="1">
      <c r="A41" s="9" t="s">
        <v>5</v>
      </c>
      <c r="B41" s="180" t="s">
        <v>248</v>
      </c>
      <c r="C41" s="180" t="s">
        <v>249</v>
      </c>
      <c r="D41" s="180" t="s">
        <v>250</v>
      </c>
      <c r="E41" s="180" t="s">
        <v>251</v>
      </c>
      <c r="F41" s="181" t="s">
        <v>252</v>
      </c>
      <c r="G41" s="35" t="s">
        <v>122</v>
      </c>
      <c r="H41" s="90" t="s">
        <v>262</v>
      </c>
      <c r="I41" s="55"/>
      <c r="J41" s="56"/>
      <c r="L41" t="str">
        <f>LEFT(E41,SEARCH("/",E41,1)-1)</f>
        <v xml:space="preserve">1790.0 </v>
      </c>
      <c r="M41" t="str">
        <f>RIGHT(E41,SEARCH("/",E41,1)-1)</f>
        <v xml:space="preserve"> 1788.0</v>
      </c>
      <c r="N41" s="149">
        <f>M41/L41</f>
        <v>0.99888268156424576</v>
      </c>
      <c r="O41" s="148" t="s">
        <v>5</v>
      </c>
    </row>
    <row r="42" spans="1:17" ht="15" customHeight="1">
      <c r="A42" s="9" t="s">
        <v>123</v>
      </c>
      <c r="B42" s="176">
        <v>1.2905225840783521</v>
      </c>
      <c r="C42" s="176">
        <v>1.0969550009402287</v>
      </c>
      <c r="D42" s="176">
        <v>0.99647985355180657</v>
      </c>
      <c r="E42" s="176">
        <v>0.93557227773746054</v>
      </c>
      <c r="F42" s="177">
        <v>0.89889916642850609</v>
      </c>
      <c r="G42" s="34" t="s">
        <v>124</v>
      </c>
      <c r="H42" s="89" t="s">
        <v>263</v>
      </c>
      <c r="I42" s="53"/>
      <c r="J42" s="95">
        <v>0.23288360039251613</v>
      </c>
    </row>
    <row r="43" spans="1:17" ht="15" customHeight="1" thickBot="1">
      <c r="A43" s="10" t="s">
        <v>125</v>
      </c>
      <c r="B43" s="182">
        <v>1.9547740992163785</v>
      </c>
      <c r="C43" s="183"/>
      <c r="D43" s="184" t="s">
        <v>266</v>
      </c>
      <c r="E43" s="184"/>
      <c r="F43" s="185"/>
      <c r="G43" s="35" t="s">
        <v>122</v>
      </c>
      <c r="H43" s="90" t="s">
        <v>264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402.16690536651737</v>
      </c>
      <c r="I44" s="88">
        <v>2.547629341016747E-2</v>
      </c>
      <c r="J44" s="95">
        <v>0.63502907124989882</v>
      </c>
    </row>
    <row r="45" spans="1:17" ht="15" customHeight="1">
      <c r="A45" s="9" t="s">
        <v>129</v>
      </c>
      <c r="B45" s="66">
        <v>0.31941652297973633</v>
      </c>
      <c r="C45" s="159" t="s">
        <v>130</v>
      </c>
      <c r="D45" s="70">
        <v>5.3667081519961357E-3</v>
      </c>
      <c r="E45" s="9" t="s">
        <v>131</v>
      </c>
      <c r="F45" s="72">
        <v>216.50942093811011</v>
      </c>
      <c r="G45" s="36" t="s">
        <v>122</v>
      </c>
      <c r="H45" s="84" t="s">
        <v>265</v>
      </c>
      <c r="I45" s="57"/>
      <c r="J45" s="58"/>
    </row>
    <row r="46" spans="1:17" ht="15" customHeight="1">
      <c r="A46" s="9" t="s">
        <v>132</v>
      </c>
      <c r="B46" s="66">
        <v>0.21845053136348724</v>
      </c>
      <c r="C46" s="159" t="s">
        <v>133</v>
      </c>
      <c r="D46" s="70">
        <v>5.5666076950728893E-3</v>
      </c>
      <c r="E46" s="9" t="s">
        <v>134</v>
      </c>
      <c r="F46" s="72">
        <v>440.66382475304977</v>
      </c>
      <c r="G46" s="35" t="s">
        <v>135</v>
      </c>
      <c r="H46" s="92">
        <v>774.61600960060014</v>
      </c>
      <c r="I46" s="55"/>
      <c r="J46" s="56"/>
      <c r="L46" s="144" t="s">
        <v>180</v>
      </c>
      <c r="M46" s="146">
        <f>B5^0.95</f>
        <v>189.68937615433973</v>
      </c>
    </row>
    <row r="47" spans="1:17" ht="15" customHeight="1">
      <c r="A47" s="9" t="s">
        <v>136</v>
      </c>
      <c r="B47" s="66">
        <v>0.53786706924438477</v>
      </c>
      <c r="C47" s="159" t="s">
        <v>137</v>
      </c>
      <c r="D47" s="70">
        <v>5.2546914666891098E-3</v>
      </c>
      <c r="E47" s="9" t="s">
        <v>138</v>
      </c>
      <c r="F47" s="72">
        <v>410.0730906514712</v>
      </c>
      <c r="G47" s="62" t="s">
        <v>139</v>
      </c>
      <c r="H47" s="91">
        <v>392.05441802594851</v>
      </c>
      <c r="I47" s="88">
        <v>2.4822214701205728E-2</v>
      </c>
      <c r="J47" s="93">
        <v>0.64366659084346212</v>
      </c>
      <c r="L47" s="144" t="s">
        <v>181</v>
      </c>
      <c r="M47" s="146">
        <f>B5^1.5</f>
        <v>3952.8470752104718</v>
      </c>
    </row>
    <row r="48" spans="1:17" ht="15" customHeight="1">
      <c r="A48" s="9" t="s">
        <v>140</v>
      </c>
      <c r="B48" s="66">
        <v>1.896209828555584E-2</v>
      </c>
      <c r="C48" s="159" t="s">
        <v>100</v>
      </c>
      <c r="D48" s="70">
        <v>3.5150106996297836E-2</v>
      </c>
      <c r="E48" s="9" t="s">
        <v>141</v>
      </c>
      <c r="F48" s="72">
        <v>5.3198750288428576</v>
      </c>
      <c r="G48" s="63" t="s">
        <v>122</v>
      </c>
      <c r="H48" s="84">
        <v>210.21684612651396</v>
      </c>
      <c r="I48" s="57"/>
      <c r="J48" s="58"/>
      <c r="L48" s="144" t="s">
        <v>182</v>
      </c>
      <c r="M48" s="145">
        <f>IF(A5="",0,(7200/(1000*A5))^2.4)</f>
        <v>4.0987743736515299</v>
      </c>
    </row>
    <row r="49" spans="1:19" ht="15" customHeight="1" thickBot="1">
      <c r="A49" s="7"/>
      <c r="B49" s="52"/>
      <c r="C49" s="160" t="s">
        <v>142</v>
      </c>
      <c r="D49" s="79">
        <v>0.96484988927841187</v>
      </c>
      <c r="E49" s="10" t="s">
        <v>143</v>
      </c>
      <c r="F49" s="81">
        <v>9.167616457449002</v>
      </c>
      <c r="G49" s="64" t="s">
        <v>135</v>
      </c>
      <c r="H49" s="92">
        <v>764.48104691655601</v>
      </c>
      <c r="I49" s="55"/>
      <c r="J49" s="59"/>
      <c r="L49" s="144" t="s">
        <v>183</v>
      </c>
      <c r="M49" s="145">
        <f>IF(A5="",0,(7200/(1000*A5))^1.8)</f>
        <v>2.8806500970683282</v>
      </c>
    </row>
    <row r="50" spans="1:19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24</v>
      </c>
    </row>
    <row r="51" spans="1:19" ht="15" customHeight="1">
      <c r="A51" s="9" t="s">
        <v>146</v>
      </c>
      <c r="B51" s="49">
        <v>58</v>
      </c>
      <c r="C51" s="8" t="s">
        <v>147</v>
      </c>
      <c r="D51" s="67">
        <v>3</v>
      </c>
      <c r="E51" s="8" t="s">
        <v>148</v>
      </c>
      <c r="F51" s="71">
        <v>7</v>
      </c>
      <c r="G51" s="8" t="s">
        <v>149</v>
      </c>
      <c r="H51" s="65">
        <v>1.4408642981613472E-2</v>
      </c>
      <c r="I51" s="43" t="s">
        <v>150</v>
      </c>
      <c r="J51" s="37"/>
      <c r="L51" s="144" t="s">
        <v>185</v>
      </c>
      <c r="M51" s="147">
        <v>6.8500000000000005E-2</v>
      </c>
    </row>
    <row r="52" spans="1:19" ht="15" customHeight="1">
      <c r="A52" s="9" t="s">
        <v>58</v>
      </c>
      <c r="B52" s="67">
        <v>55.799999237060547</v>
      </c>
      <c r="C52" s="8" t="s">
        <v>151</v>
      </c>
      <c r="D52" s="67">
        <v>8.9999992251396179</v>
      </c>
      <c r="E52" s="8" t="s">
        <v>152</v>
      </c>
      <c r="F52" s="71">
        <v>0</v>
      </c>
      <c r="G52" s="8" t="s">
        <v>169</v>
      </c>
      <c r="H52" s="67">
        <v>50148.454371667482</v>
      </c>
      <c r="I52" s="96" t="s">
        <v>245</v>
      </c>
      <c r="J52" s="60"/>
      <c r="L52" s="144" t="s">
        <v>192</v>
      </c>
      <c r="M52" s="161">
        <f>F5</f>
        <v>60</v>
      </c>
    </row>
    <row r="53" spans="1:19" ht="15" customHeight="1">
      <c r="A53" s="9" t="s">
        <v>64</v>
      </c>
      <c r="B53" s="67">
        <v>0</v>
      </c>
      <c r="C53" s="8" t="s">
        <v>153</v>
      </c>
      <c r="D53" s="67">
        <v>10.014289855957031</v>
      </c>
      <c r="E53" s="8" t="s">
        <v>154</v>
      </c>
      <c r="F53" s="71">
        <v>0</v>
      </c>
      <c r="G53" s="8" t="s">
        <v>170</v>
      </c>
      <c r="H53" s="66">
        <v>21.719309746311801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1016.7127117488285</v>
      </c>
      <c r="S53" s="169" t="s">
        <v>390</v>
      </c>
    </row>
    <row r="54" spans="1:19" ht="15" customHeight="1">
      <c r="A54" s="9" t="s">
        <v>66</v>
      </c>
      <c r="B54" s="67">
        <v>0.80000001192092896</v>
      </c>
      <c r="C54" s="8" t="s">
        <v>156</v>
      </c>
      <c r="D54" s="67">
        <v>5.2430724975807497</v>
      </c>
      <c r="E54" s="8" t="s">
        <v>154</v>
      </c>
      <c r="F54" s="71">
        <v>7</v>
      </c>
      <c r="G54" s="8" t="s">
        <v>171</v>
      </c>
      <c r="H54" s="68">
        <v>118976</v>
      </c>
      <c r="I54" s="97" t="s">
        <v>246</v>
      </c>
      <c r="J54" s="98" t="s">
        <v>209</v>
      </c>
    </row>
    <row r="55" spans="1:19" ht="15" customHeight="1">
      <c r="A55" s="9" t="s">
        <v>157</v>
      </c>
      <c r="B55" s="67">
        <v>3</v>
      </c>
      <c r="C55" s="8" t="s">
        <v>158</v>
      </c>
      <c r="D55" s="67">
        <v>44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9" ht="15" customHeight="1" thickBot="1">
      <c r="A56" s="10" t="s">
        <v>162</v>
      </c>
      <c r="B56" s="78">
        <v>1</v>
      </c>
      <c r="C56" s="20" t="s">
        <v>163</v>
      </c>
      <c r="D56" s="78">
        <v>14.982894476301608</v>
      </c>
      <c r="E56" s="20" t="s">
        <v>164</v>
      </c>
      <c r="F56" s="80">
        <v>0</v>
      </c>
      <c r="G56" s="20" t="s">
        <v>165</v>
      </c>
      <c r="H56" s="77">
        <v>0.87493749999999992</v>
      </c>
      <c r="I56" s="99" t="s">
        <v>247</v>
      </c>
      <c r="J56" s="59" t="s">
        <v>210</v>
      </c>
    </row>
    <row r="57" spans="1:19" ht="15" customHeight="1">
      <c r="A57" s="22" t="s">
        <v>400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9" ht="15" customHeight="1">
      <c r="A58" s="100" t="s">
        <v>119</v>
      </c>
      <c r="B58" s="3" t="s">
        <v>166</v>
      </c>
      <c r="C58" s="15" t="s">
        <v>398</v>
      </c>
      <c r="D58" s="3" t="s">
        <v>119</v>
      </c>
      <c r="E58" s="3" t="s">
        <v>166</v>
      </c>
      <c r="F58" s="15" t="s">
        <v>399</v>
      </c>
      <c r="G58" s="119"/>
      <c r="H58" s="31"/>
      <c r="I58" s="31"/>
      <c r="J58" s="44"/>
    </row>
    <row r="59" spans="1:19" ht="15" customHeight="1">
      <c r="A59" s="123">
        <v>0</v>
      </c>
      <c r="B59" s="84">
        <v>0</v>
      </c>
      <c r="C59" s="85">
        <v>0.26254606246948242</v>
      </c>
      <c r="D59" s="125">
        <v>0.69999998807907104</v>
      </c>
      <c r="E59" s="84">
        <v>159.96941117561579</v>
      </c>
      <c r="F59" s="85">
        <v>652.173828125</v>
      </c>
      <c r="G59" s="119"/>
      <c r="H59" s="31"/>
      <c r="I59" s="31"/>
      <c r="J59" s="44"/>
    </row>
    <row r="60" spans="1:19" ht="15" customHeight="1">
      <c r="A60" s="127">
        <v>7.9999994486570358E-3</v>
      </c>
      <c r="B60" s="84">
        <v>163.42154382117516</v>
      </c>
      <c r="C60" s="85">
        <v>160.98391723632813</v>
      </c>
      <c r="D60" s="125">
        <v>0.80000001192092896</v>
      </c>
      <c r="E60" s="84">
        <v>169.16278509041658</v>
      </c>
      <c r="F60" s="85">
        <v>661.08428955078125</v>
      </c>
      <c r="G60" s="119"/>
      <c r="H60" s="31"/>
      <c r="I60" s="31"/>
      <c r="J60" s="44"/>
    </row>
    <row r="61" spans="1:19" ht="15" customHeight="1">
      <c r="A61" s="127">
        <v>3.9999999105930328E-2</v>
      </c>
      <c r="B61" s="84">
        <v>280</v>
      </c>
      <c r="C61" s="85">
        <v>451.93539428710938</v>
      </c>
      <c r="D61" s="125">
        <v>0.89999997615814209</v>
      </c>
      <c r="E61" s="84">
        <v>184.54973131207873</v>
      </c>
      <c r="F61" s="85">
        <v>668.5777587890625</v>
      </c>
      <c r="G61" s="119"/>
      <c r="H61" s="31"/>
      <c r="I61" s="31"/>
      <c r="J61" s="44"/>
    </row>
    <row r="62" spans="1:19" ht="15" customHeight="1">
      <c r="A62" s="123">
        <v>9.1428570449352264E-2</v>
      </c>
      <c r="B62" s="84">
        <v>194.70916460768657</v>
      </c>
      <c r="C62" s="85">
        <v>522.24322509765625</v>
      </c>
      <c r="D62" s="126">
        <v>1</v>
      </c>
      <c r="E62" s="84">
        <v>210</v>
      </c>
      <c r="F62" s="85">
        <v>675.2542724609375</v>
      </c>
      <c r="G62" s="119"/>
      <c r="H62" s="31"/>
      <c r="I62" s="31"/>
      <c r="J62" s="44"/>
    </row>
    <row r="63" spans="1:19" ht="15" customHeight="1" thickBot="1">
      <c r="A63" s="123">
        <v>0.1428571492433548</v>
      </c>
      <c r="B63" s="84">
        <v>164.64427604332786</v>
      </c>
      <c r="C63" s="85">
        <v>547.925537109375</v>
      </c>
      <c r="D63" s="376"/>
      <c r="E63" s="86"/>
      <c r="F63" s="377"/>
      <c r="G63" s="119"/>
      <c r="H63" s="31"/>
      <c r="I63" s="31"/>
      <c r="J63" s="44"/>
    </row>
    <row r="64" spans="1:19" ht="15" customHeight="1">
      <c r="A64" s="123">
        <v>0.19428572058677673</v>
      </c>
      <c r="B64" s="84">
        <v>155.11018917472214</v>
      </c>
      <c r="C64" s="85">
        <v>565.26995849609375</v>
      </c>
      <c r="D64" s="378" t="s">
        <v>408</v>
      </c>
      <c r="E64" s="379"/>
      <c r="F64" s="379"/>
      <c r="G64" s="119"/>
      <c r="H64" s="31"/>
      <c r="I64" s="31"/>
      <c r="J64" s="44"/>
    </row>
    <row r="65" spans="1:10" ht="15" customHeight="1">
      <c r="A65" s="123">
        <v>0.29714286327362061</v>
      </c>
      <c r="B65" s="84">
        <v>150.96653277006465</v>
      </c>
      <c r="C65" s="85">
        <v>591.97784423828125</v>
      </c>
      <c r="D65" s="380" t="s">
        <v>402</v>
      </c>
      <c r="E65" s="382" t="s">
        <v>406</v>
      </c>
      <c r="F65" s="382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150</v>
      </c>
      <c r="C66" s="85">
        <v>612.564697265625</v>
      </c>
      <c r="D66" s="380" t="s">
        <v>403</v>
      </c>
      <c r="E66" s="382" t="s">
        <v>407</v>
      </c>
      <c r="F66" s="382"/>
      <c r="G66" s="119"/>
      <c r="H66" s="31"/>
      <c r="I66" s="31"/>
      <c r="J66" s="44"/>
    </row>
    <row r="67" spans="1:10" ht="15" customHeight="1">
      <c r="A67" s="123">
        <v>0.5</v>
      </c>
      <c r="B67" s="84">
        <v>151.61511204702089</v>
      </c>
      <c r="C67" s="85">
        <v>628.5677490234375</v>
      </c>
      <c r="D67" s="380" t="s">
        <v>404</v>
      </c>
      <c r="E67" s="382" t="s">
        <v>409</v>
      </c>
      <c r="F67" s="382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154.64801497190263</v>
      </c>
      <c r="C68" s="87">
        <v>641.65509033203125</v>
      </c>
      <c r="D68" s="381" t="s">
        <v>405</v>
      </c>
      <c r="E68" s="383" t="s">
        <v>410</v>
      </c>
      <c r="F68" s="383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5" t="s">
        <v>401</v>
      </c>
      <c r="B99" s="375"/>
      <c r="C99" s="375"/>
      <c r="D99" s="375"/>
      <c r="E99" s="375"/>
      <c r="F99" s="375"/>
      <c r="G99" s="375"/>
      <c r="H99" s="375"/>
      <c r="I99" s="375"/>
    </row>
    <row r="100" spans="1:9">
      <c r="A100" s="375">
        <v>100</v>
      </c>
      <c r="B100" s="375"/>
      <c r="C100" s="375"/>
      <c r="D100" s="375"/>
      <c r="E100" s="375"/>
      <c r="F100" s="375"/>
      <c r="G100" s="375"/>
      <c r="H100" s="375"/>
      <c r="I100" s="375"/>
    </row>
    <row r="101" spans="1:9">
      <c r="A101" s="375">
        <v>98.400001525878906</v>
      </c>
      <c r="B101" s="375"/>
      <c r="C101" s="375"/>
      <c r="D101" s="375"/>
      <c r="E101" s="375"/>
      <c r="F101" s="375"/>
      <c r="G101" s="375"/>
      <c r="H101" s="375"/>
      <c r="I101" s="375"/>
    </row>
    <row r="102" spans="1:9">
      <c r="A102" s="375">
        <v>89.75</v>
      </c>
      <c r="B102" s="375"/>
      <c r="C102" s="375"/>
      <c r="D102" s="375"/>
      <c r="E102" s="375"/>
      <c r="F102" s="375"/>
      <c r="G102" s="375"/>
      <c r="H102" s="375"/>
      <c r="I102" s="375"/>
    </row>
    <row r="103" spans="1:9">
      <c r="A103" s="375">
        <v>76.228569030761719</v>
      </c>
      <c r="B103" s="375"/>
      <c r="C103" s="375"/>
      <c r="D103" s="375"/>
      <c r="E103" s="375"/>
      <c r="F103" s="375"/>
      <c r="G103" s="375"/>
      <c r="H103" s="375"/>
      <c r="I103" s="375"/>
    </row>
    <row r="104" spans="1:9">
      <c r="A104" s="375">
        <v>62.857139587402344</v>
      </c>
      <c r="B104" s="375"/>
      <c r="C104" s="375"/>
      <c r="D104" s="375"/>
      <c r="E104" s="375"/>
      <c r="F104" s="375"/>
      <c r="G104" s="375"/>
      <c r="H104" s="375"/>
      <c r="I104" s="375"/>
    </row>
    <row r="105" spans="1:9">
      <c r="A105" s="375">
        <v>51.25714111328125</v>
      </c>
      <c r="B105" s="375"/>
      <c r="C105" s="375"/>
      <c r="D105" s="375"/>
      <c r="E105" s="375"/>
      <c r="F105" s="375"/>
      <c r="G105" s="375"/>
      <c r="H105" s="375"/>
      <c r="I105" s="375"/>
    </row>
    <row r="106" spans="1:9">
      <c r="A106" s="375">
        <v>33.485713958740234</v>
      </c>
      <c r="B106" s="375"/>
      <c r="C106" s="375"/>
      <c r="D106" s="375"/>
      <c r="E106" s="375"/>
      <c r="F106" s="375"/>
      <c r="G106" s="375"/>
      <c r="H106" s="375"/>
      <c r="I106" s="375"/>
    </row>
    <row r="107" spans="1:9">
      <c r="A107" s="375">
        <v>22</v>
      </c>
      <c r="B107" s="375"/>
      <c r="C107" s="375"/>
      <c r="D107" s="375"/>
      <c r="E107" s="375"/>
      <c r="F107" s="375"/>
      <c r="G107" s="375"/>
      <c r="H107" s="375"/>
      <c r="I107" s="375"/>
    </row>
    <row r="108" spans="1:9">
      <c r="A108" s="375">
        <v>14</v>
      </c>
      <c r="B108" s="375"/>
      <c r="C108" s="375"/>
      <c r="D108" s="375"/>
      <c r="E108" s="375"/>
      <c r="F108" s="375"/>
      <c r="G108" s="375"/>
      <c r="H108" s="375"/>
      <c r="I108" s="375"/>
    </row>
    <row r="109" spans="1:9">
      <c r="A109" s="375">
        <v>7.9999995231628418</v>
      </c>
      <c r="B109" s="375"/>
      <c r="C109" s="375"/>
      <c r="D109" s="375"/>
      <c r="E109" s="375"/>
      <c r="F109" s="375"/>
      <c r="G109" s="375"/>
      <c r="H109" s="375"/>
      <c r="I109" s="375"/>
    </row>
    <row r="110" spans="1:9">
      <c r="A110" s="375">
        <v>5.9999995231628418</v>
      </c>
      <c r="B110" s="375"/>
      <c r="C110" s="375"/>
      <c r="D110" s="375"/>
      <c r="E110" s="375"/>
      <c r="F110" s="375"/>
      <c r="G110" s="375"/>
      <c r="H110" s="375"/>
      <c r="I110" s="375"/>
    </row>
    <row r="111" spans="1:9">
      <c r="A111" s="375">
        <v>8.0000009536743164</v>
      </c>
      <c r="B111" s="375"/>
      <c r="C111" s="375"/>
      <c r="D111" s="375"/>
      <c r="E111" s="375"/>
      <c r="F111" s="375"/>
      <c r="G111" s="375"/>
      <c r="H111" s="375"/>
      <c r="I111" s="375"/>
    </row>
    <row r="112" spans="1:9">
      <c r="A112" s="375">
        <v>14.999996185302734</v>
      </c>
      <c r="B112" s="375"/>
      <c r="C112" s="375"/>
      <c r="D112" s="375"/>
      <c r="E112" s="375"/>
      <c r="F112" s="375"/>
      <c r="G112" s="375"/>
      <c r="H112" s="375"/>
      <c r="I112" s="375"/>
    </row>
    <row r="113" spans="1:9">
      <c r="A113" s="375">
        <v>30</v>
      </c>
      <c r="B113" s="375"/>
      <c r="C113" s="375"/>
      <c r="D113" s="375"/>
      <c r="E113" s="375"/>
      <c r="F113" s="375"/>
      <c r="G113" s="375"/>
      <c r="H113" s="375"/>
      <c r="I113" s="375"/>
    </row>
  </sheetData>
  <phoneticPr fontId="8" type="noConversion"/>
  <printOptions horizontalCentered="1"/>
  <pageMargins left="0.86614173228346503" right="0" top="0.23622047244094499" bottom="0.23622047244094499" header="0" footer="0"/>
  <pageSetup scale="77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workbookViewId="0">
      <selection activeCell="J3" sqref="J3:K3"/>
    </sheetView>
  </sheetViews>
  <sheetFormatPr defaultColWidth="9.140625" defaultRowHeight="15.75"/>
  <cols>
    <col min="1" max="1" width="11.85546875" style="329" customWidth="1"/>
    <col min="2" max="2" width="6.140625" style="329" customWidth="1"/>
    <col min="3" max="3" width="7.42578125" style="329" customWidth="1"/>
    <col min="4" max="4" width="12" style="329" customWidth="1"/>
    <col min="5" max="5" width="12.5703125" style="329" customWidth="1"/>
    <col min="6" max="6" width="9.42578125" style="329" customWidth="1"/>
    <col min="7" max="7" width="5.7109375" style="329" customWidth="1"/>
    <col min="8" max="8" width="7.85546875" style="329" customWidth="1"/>
    <col min="9" max="9" width="6.5703125" style="329" customWidth="1"/>
    <col min="10" max="11" width="12" style="329" customWidth="1"/>
    <col min="12" max="26" width="9.140625" style="186"/>
    <col min="27" max="16384" width="9.140625" style="187"/>
  </cols>
  <sheetData>
    <row r="1" spans="1:26" ht="20.25" customHeight="1">
      <c r="A1" s="605" t="s">
        <v>267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</row>
    <row r="2" spans="1:26" ht="20.25" customHeight="1">
      <c r="A2" s="606" t="s">
        <v>268</v>
      </c>
      <c r="B2" s="606"/>
      <c r="C2" s="606"/>
      <c r="D2" s="606"/>
      <c r="E2" s="606"/>
      <c r="F2" s="606"/>
      <c r="G2" s="606"/>
      <c r="H2" s="606"/>
      <c r="I2" s="606"/>
      <c r="J2" s="606"/>
      <c r="K2" s="606"/>
    </row>
    <row r="3" spans="1:26" ht="18.75" customHeight="1" thickBot="1">
      <c r="A3" s="189" t="s">
        <v>1</v>
      </c>
      <c r="B3" s="190" t="s">
        <v>379</v>
      </c>
      <c r="C3" s="191"/>
      <c r="D3" s="191"/>
      <c r="E3" s="191"/>
      <c r="F3" s="188"/>
      <c r="G3" s="191"/>
      <c r="H3" s="191"/>
      <c r="I3" s="189" t="s">
        <v>269</v>
      </c>
      <c r="J3" s="607" t="s">
        <v>386</v>
      </c>
      <c r="K3" s="607"/>
    </row>
    <row r="4" spans="1:26" s="200" customFormat="1" ht="18.399999999999999" customHeight="1" thickBot="1">
      <c r="A4" s="192" t="s">
        <v>380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270</v>
      </c>
      <c r="R4" s="198"/>
      <c r="S4" s="196"/>
      <c r="T4" s="197" t="s">
        <v>271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608" t="s">
        <v>272</v>
      </c>
      <c r="B5" s="609"/>
      <c r="C5" s="609"/>
      <c r="D5" s="201"/>
      <c r="E5" s="202"/>
      <c r="F5" s="203" t="s">
        <v>273</v>
      </c>
      <c r="G5" s="191"/>
      <c r="H5" s="191"/>
      <c r="I5" s="204"/>
      <c r="J5" s="205" t="s">
        <v>274</v>
      </c>
      <c r="K5" s="206" t="s">
        <v>275</v>
      </c>
      <c r="L5" s="196"/>
      <c r="M5" s="196"/>
      <c r="N5" s="196"/>
      <c r="O5" s="196"/>
      <c r="P5" s="196"/>
      <c r="Q5" s="207" t="s">
        <v>276</v>
      </c>
      <c r="R5" s="208"/>
      <c r="S5" s="196"/>
      <c r="T5" s="207" t="s">
        <v>277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10" t="s">
        <v>67</v>
      </c>
      <c r="B6" s="611"/>
      <c r="C6" s="611"/>
      <c r="D6" s="612" t="s">
        <v>387</v>
      </c>
      <c r="E6" s="613"/>
      <c r="F6" s="368" t="s">
        <v>279</v>
      </c>
      <c r="G6" s="369"/>
      <c r="H6" s="369"/>
      <c r="I6" s="369"/>
      <c r="J6" s="369"/>
      <c r="K6" s="370" t="s">
        <v>389</v>
      </c>
      <c r="L6" s="196"/>
      <c r="M6" s="196"/>
      <c r="N6" s="196"/>
      <c r="O6" s="196"/>
      <c r="P6" s="196"/>
      <c r="Q6" s="207" t="s">
        <v>280</v>
      </c>
      <c r="R6" s="208"/>
      <c r="S6" s="196"/>
      <c r="T6" s="207" t="s">
        <v>281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601" t="s">
        <v>20</v>
      </c>
      <c r="B7" s="602"/>
      <c r="C7" s="602"/>
      <c r="D7" s="603">
        <v>1.20000004768372</v>
      </c>
      <c r="E7" s="604"/>
      <c r="F7" s="210" t="s">
        <v>282</v>
      </c>
      <c r="G7" s="211"/>
      <c r="H7" s="212"/>
      <c r="I7" s="213"/>
      <c r="J7" s="214">
        <v>108</v>
      </c>
      <c r="K7" s="215">
        <v>105.8</v>
      </c>
      <c r="L7" s="196"/>
      <c r="M7" s="196"/>
      <c r="N7" s="196"/>
      <c r="O7" s="196"/>
      <c r="P7" s="196"/>
      <c r="Q7" s="207" t="s">
        <v>283</v>
      </c>
      <c r="R7" s="208"/>
      <c r="S7" s="196"/>
      <c r="T7" s="207" t="s">
        <v>278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601" t="s">
        <v>284</v>
      </c>
      <c r="B8" s="602"/>
      <c r="C8" s="602"/>
      <c r="D8" s="587">
        <v>440</v>
      </c>
      <c r="E8" s="583"/>
      <c r="F8" s="216" t="s">
        <v>285</v>
      </c>
      <c r="G8" s="217"/>
      <c r="H8" s="218"/>
      <c r="I8" s="219"/>
      <c r="J8" s="220">
        <v>3180</v>
      </c>
      <c r="K8" s="221">
        <v>4616</v>
      </c>
      <c r="L8" s="196"/>
      <c r="M8" s="196"/>
      <c r="N8" s="196"/>
      <c r="O8" s="196"/>
      <c r="P8" s="196"/>
      <c r="Q8" s="207" t="s">
        <v>286</v>
      </c>
      <c r="R8" s="208"/>
      <c r="S8" s="196"/>
      <c r="T8" s="207" t="s">
        <v>287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96" t="s">
        <v>288</v>
      </c>
      <c r="B9" s="597"/>
      <c r="C9" s="598"/>
      <c r="D9" s="587" t="s">
        <v>388</v>
      </c>
      <c r="E9" s="583"/>
      <c r="F9" s="210" t="s">
        <v>289</v>
      </c>
      <c r="G9" s="211"/>
      <c r="H9" s="222">
        <v>3</v>
      </c>
      <c r="I9" s="223" t="s">
        <v>290</v>
      </c>
      <c r="J9" s="224">
        <v>331</v>
      </c>
      <c r="K9" s="221">
        <v>364.7</v>
      </c>
      <c r="L9" s="196"/>
      <c r="M9" s="196"/>
      <c r="N9" s="196"/>
      <c r="O9" s="196"/>
      <c r="P9" s="196"/>
      <c r="Q9" s="207" t="s">
        <v>291</v>
      </c>
      <c r="R9" s="208"/>
      <c r="S9" s="196"/>
      <c r="T9" s="207" t="s">
        <v>292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96" t="s">
        <v>293</v>
      </c>
      <c r="B10" s="597"/>
      <c r="C10" s="598"/>
      <c r="D10" s="570" t="s">
        <v>201</v>
      </c>
      <c r="E10" s="571"/>
      <c r="F10" s="210" t="s">
        <v>294</v>
      </c>
      <c r="G10" s="211"/>
      <c r="H10" s="222">
        <v>3</v>
      </c>
      <c r="I10" s="223" t="s">
        <v>290</v>
      </c>
      <c r="J10" s="224">
        <v>104</v>
      </c>
      <c r="K10" s="221">
        <v>120</v>
      </c>
      <c r="L10" s="196"/>
      <c r="M10" s="196"/>
      <c r="N10" s="196"/>
      <c r="O10" s="196"/>
      <c r="P10" s="196"/>
      <c r="Q10" s="207" t="s">
        <v>295</v>
      </c>
      <c r="R10" s="208"/>
      <c r="S10" s="196"/>
      <c r="T10" s="225" t="s">
        <v>296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96" t="s">
        <v>297</v>
      </c>
      <c r="B11" s="597"/>
      <c r="C11" s="598"/>
      <c r="D11" s="565" t="s">
        <v>202</v>
      </c>
      <c r="E11" s="566"/>
      <c r="F11" s="227" t="s">
        <v>298</v>
      </c>
      <c r="G11" s="228"/>
      <c r="H11" s="229">
        <v>3</v>
      </c>
      <c r="I11" s="223" t="s">
        <v>290</v>
      </c>
      <c r="J11" s="230">
        <v>8312</v>
      </c>
      <c r="K11" s="231">
        <v>17243</v>
      </c>
      <c r="L11" s="196"/>
      <c r="M11" s="196"/>
      <c r="N11" s="196"/>
      <c r="O11" s="196"/>
      <c r="P11" s="196"/>
      <c r="Q11" s="207" t="s">
        <v>299</v>
      </c>
      <c r="R11" s="208"/>
      <c r="S11" s="196"/>
      <c r="T11" s="197" t="s">
        <v>300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301</v>
      </c>
      <c r="C12" s="233"/>
      <c r="D12" s="599" t="s">
        <v>385</v>
      </c>
      <c r="E12" s="600"/>
      <c r="F12" s="371" t="s">
        <v>302</v>
      </c>
      <c r="G12" s="372"/>
      <c r="H12" s="372"/>
      <c r="I12" s="372"/>
      <c r="J12" s="372"/>
      <c r="K12" s="373"/>
      <c r="L12" s="196"/>
      <c r="M12" s="196"/>
      <c r="N12" s="196"/>
      <c r="O12" s="196"/>
      <c r="P12" s="196"/>
      <c r="Q12" s="225" t="s">
        <v>303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96" t="s">
        <v>53</v>
      </c>
      <c r="B13" s="597"/>
      <c r="C13" s="598"/>
      <c r="D13" s="590" t="s">
        <v>381</v>
      </c>
      <c r="E13" s="591"/>
      <c r="F13" s="235"/>
      <c r="G13" s="236" t="s">
        <v>304</v>
      </c>
      <c r="H13" s="237"/>
      <c r="I13" s="238" t="s">
        <v>305</v>
      </c>
      <c r="J13" s="239" t="s">
        <v>382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96" t="s">
        <v>56</v>
      </c>
      <c r="B14" s="597"/>
      <c r="C14" s="598"/>
      <c r="D14" s="599">
        <v>859</v>
      </c>
      <c r="E14" s="600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84" t="s">
        <v>306</v>
      </c>
      <c r="B15" s="585"/>
      <c r="C15" s="586"/>
      <c r="D15" s="563" t="s">
        <v>175</v>
      </c>
      <c r="E15" s="564"/>
      <c r="F15" s="235"/>
      <c r="G15" s="241" t="s">
        <v>307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60" t="s">
        <v>308</v>
      </c>
      <c r="B16" s="561"/>
      <c r="C16" s="562"/>
      <c r="D16" s="563" t="s">
        <v>175</v>
      </c>
      <c r="E16" s="564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309</v>
      </c>
      <c r="B17" s="248"/>
      <c r="C17" s="249"/>
      <c r="D17" s="565" t="s">
        <v>175</v>
      </c>
      <c r="E17" s="566"/>
      <c r="F17" s="567" t="s">
        <v>310</v>
      </c>
      <c r="G17" s="568"/>
      <c r="H17" s="568"/>
      <c r="I17" s="568"/>
      <c r="J17" s="568"/>
      <c r="K17" s="569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311</v>
      </c>
      <c r="B18" s="251"/>
      <c r="C18" s="249"/>
      <c r="D18" s="570" t="s">
        <v>175</v>
      </c>
      <c r="E18" s="571"/>
      <c r="F18" s="572"/>
      <c r="G18" s="573"/>
      <c r="H18" s="252" t="s">
        <v>312</v>
      </c>
      <c r="I18" s="253"/>
      <c r="J18" s="220">
        <v>295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78" t="s">
        <v>313</v>
      </c>
      <c r="B19" s="579"/>
      <c r="C19" s="580"/>
      <c r="D19" s="581" t="s">
        <v>175</v>
      </c>
      <c r="E19" s="566"/>
      <c r="F19" s="574"/>
      <c r="G19" s="575"/>
      <c r="H19" s="252" t="s">
        <v>5</v>
      </c>
      <c r="I19" s="213"/>
      <c r="J19" s="220">
        <v>1788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314</v>
      </c>
      <c r="C20" s="255"/>
      <c r="D20" s="582" t="s">
        <v>200</v>
      </c>
      <c r="E20" s="583"/>
      <c r="F20" s="574"/>
      <c r="G20" s="575"/>
      <c r="H20" s="252" t="s">
        <v>315</v>
      </c>
      <c r="I20" s="213"/>
      <c r="J20" s="224" t="s">
        <v>360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84" t="s">
        <v>316</v>
      </c>
      <c r="B21" s="585"/>
      <c r="C21" s="586"/>
      <c r="D21" s="587" t="s">
        <v>175</v>
      </c>
      <c r="E21" s="583"/>
      <c r="F21" s="574"/>
      <c r="G21" s="575"/>
      <c r="H21" s="256" t="s">
        <v>317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318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319</v>
      </c>
      <c r="B22" s="257"/>
      <c r="C22" s="257"/>
      <c r="D22" s="588">
        <v>1.1599999852478504E-2</v>
      </c>
      <c r="E22" s="589"/>
      <c r="F22" s="574"/>
      <c r="G22" s="575"/>
      <c r="H22" s="252" t="s">
        <v>274</v>
      </c>
      <c r="I22" s="213"/>
      <c r="J22" s="224" t="s">
        <v>184</v>
      </c>
      <c r="K22" s="221"/>
      <c r="L22" s="196"/>
      <c r="M22" s="196"/>
      <c r="N22" s="196"/>
      <c r="O22" s="196"/>
      <c r="P22" s="196"/>
      <c r="Q22" s="207" t="s">
        <v>321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322</v>
      </c>
      <c r="B23" s="259" t="s">
        <v>323</v>
      </c>
      <c r="C23" s="260"/>
      <c r="D23" s="590">
        <v>202.9</v>
      </c>
      <c r="E23" s="591"/>
      <c r="F23" s="574"/>
      <c r="G23" s="575"/>
      <c r="H23" s="261" t="s">
        <v>324</v>
      </c>
      <c r="I23" s="262"/>
      <c r="J23" s="263">
        <v>96.2</v>
      </c>
      <c r="K23" s="264"/>
      <c r="L23" s="196"/>
      <c r="Q23" s="207" t="s">
        <v>325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326</v>
      </c>
      <c r="B24" s="266" t="s">
        <v>327</v>
      </c>
      <c r="C24" s="267"/>
      <c r="D24" s="592">
        <v>180.7</v>
      </c>
      <c r="E24" s="593"/>
      <c r="F24" s="574"/>
      <c r="G24" s="575"/>
      <c r="H24" s="252" t="s">
        <v>328</v>
      </c>
      <c r="I24" s="233"/>
      <c r="J24" s="268" t="s">
        <v>175</v>
      </c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329</v>
      </c>
      <c r="B25" s="273"/>
      <c r="C25" s="273"/>
      <c r="D25" s="274"/>
      <c r="E25" s="274" t="s">
        <v>330</v>
      </c>
      <c r="F25" s="574"/>
      <c r="G25" s="575"/>
      <c r="H25" s="252" t="s">
        <v>331</v>
      </c>
      <c r="I25" s="233"/>
      <c r="J25" s="275">
        <v>82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332</v>
      </c>
      <c r="B26" s="277"/>
      <c r="C26" s="278"/>
      <c r="D26" s="279" t="s">
        <v>383</v>
      </c>
      <c r="E26" s="279" t="s">
        <v>384</v>
      </c>
      <c r="F26" s="576"/>
      <c r="G26" s="577"/>
      <c r="H26" s="594"/>
      <c r="I26" s="595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41" t="s">
        <v>333</v>
      </c>
      <c r="B27" s="542"/>
      <c r="C27" s="542"/>
      <c r="D27" s="542"/>
      <c r="E27" s="542"/>
      <c r="F27" s="543" t="s">
        <v>334</v>
      </c>
      <c r="G27" s="544"/>
      <c r="H27" s="544"/>
      <c r="I27" s="544"/>
      <c r="J27" s="544"/>
      <c r="K27" s="545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48"/>
      <c r="B28" s="549"/>
      <c r="C28" s="549"/>
      <c r="D28" s="549"/>
      <c r="E28" s="550"/>
      <c r="F28" s="282"/>
      <c r="G28" s="283"/>
      <c r="H28" s="241" t="s">
        <v>335</v>
      </c>
      <c r="I28" s="284">
        <v>1974</v>
      </c>
      <c r="J28" s="220">
        <v>1992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48"/>
      <c r="B29" s="549"/>
      <c r="C29" s="549"/>
      <c r="D29" s="549"/>
      <c r="E29" s="550"/>
      <c r="F29" s="285"/>
      <c r="G29" s="286"/>
      <c r="H29" s="241" t="s">
        <v>336</v>
      </c>
      <c r="I29" s="287">
        <v>80</v>
      </c>
      <c r="J29" s="220">
        <v>212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48"/>
      <c r="B30" s="549"/>
      <c r="C30" s="549"/>
      <c r="D30" s="549"/>
      <c r="E30" s="550"/>
      <c r="F30" s="285"/>
      <c r="G30" s="286"/>
      <c r="H30" s="241" t="s">
        <v>337</v>
      </c>
      <c r="I30" s="287">
        <v>175</v>
      </c>
      <c r="J30" s="220">
        <v>283</v>
      </c>
      <c r="K30" s="215" t="s">
        <v>175</v>
      </c>
      <c r="L30" s="196"/>
      <c r="M30" s="288"/>
      <c r="N30" s="288"/>
      <c r="O30" s="288"/>
      <c r="P30" s="288"/>
      <c r="Q30" s="288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48"/>
      <c r="B31" s="549"/>
      <c r="C31" s="549"/>
      <c r="D31" s="549"/>
      <c r="E31" s="550"/>
      <c r="F31" s="285"/>
      <c r="G31" s="286"/>
      <c r="H31" s="241" t="s">
        <v>338</v>
      </c>
      <c r="I31" s="242"/>
      <c r="J31" s="289">
        <v>0.67</v>
      </c>
      <c r="K31" s="215" t="s">
        <v>175</v>
      </c>
      <c r="L31" s="196"/>
      <c r="M31" s="288"/>
      <c r="N31" s="288"/>
      <c r="O31" s="288"/>
      <c r="P31" s="288"/>
      <c r="Q31" s="288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51"/>
      <c r="B32" s="552"/>
      <c r="C32" s="552"/>
      <c r="D32" s="552"/>
      <c r="E32" s="553"/>
      <c r="F32" s="285"/>
      <c r="G32" s="290" t="s">
        <v>339</v>
      </c>
      <c r="H32" s="241" t="s">
        <v>340</v>
      </c>
      <c r="I32" s="291"/>
      <c r="J32" s="214">
        <v>96.2</v>
      </c>
      <c r="K32" s="215" t="s">
        <v>175</v>
      </c>
      <c r="L32" s="196"/>
      <c r="M32" s="288"/>
      <c r="N32" s="288"/>
      <c r="O32" s="288"/>
      <c r="P32" s="288"/>
      <c r="Q32" s="288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41" t="s">
        <v>341</v>
      </c>
      <c r="B33" s="542"/>
      <c r="C33" s="542"/>
      <c r="D33" s="542"/>
      <c r="E33" s="554"/>
      <c r="F33" s="292"/>
      <c r="G33" s="293"/>
      <c r="H33" s="294" t="s">
        <v>342</v>
      </c>
      <c r="I33" s="295"/>
      <c r="J33" s="296">
        <v>82.4</v>
      </c>
      <c r="K33" s="297" t="s">
        <v>175</v>
      </c>
      <c r="L33" s="196"/>
      <c r="M33" s="288"/>
      <c r="N33" s="288"/>
      <c r="O33" s="288"/>
      <c r="P33" s="288"/>
      <c r="Q33" s="288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48"/>
      <c r="B34" s="549"/>
      <c r="C34" s="549"/>
      <c r="D34" s="549"/>
      <c r="E34" s="550"/>
      <c r="F34" s="216" t="s">
        <v>343</v>
      </c>
      <c r="G34" s="298"/>
      <c r="H34" s="299" t="s">
        <v>14</v>
      </c>
      <c r="I34" s="300"/>
      <c r="J34" s="301">
        <v>1347</v>
      </c>
      <c r="K34" s="302" t="s">
        <v>175</v>
      </c>
      <c r="L34" s="303"/>
      <c r="M34" s="288"/>
      <c r="N34" s="288"/>
      <c r="O34" s="288"/>
      <c r="P34" s="288"/>
      <c r="Q34" s="288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48"/>
      <c r="B35" s="549"/>
      <c r="C35" s="549"/>
      <c r="D35" s="549"/>
      <c r="E35" s="550"/>
      <c r="F35" s="235"/>
      <c r="G35" s="304"/>
      <c r="H35" s="305" t="s">
        <v>15</v>
      </c>
      <c r="I35" s="243"/>
      <c r="J35" s="220">
        <v>1269</v>
      </c>
      <c r="K35" s="215" t="s">
        <v>175</v>
      </c>
      <c r="M35" s="288"/>
      <c r="N35" s="288"/>
      <c r="O35" s="288"/>
      <c r="P35" s="288"/>
      <c r="Q35" s="288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48"/>
      <c r="B36" s="549"/>
      <c r="C36" s="549"/>
      <c r="D36" s="549"/>
      <c r="E36" s="550"/>
      <c r="F36" s="235"/>
      <c r="G36" s="304"/>
      <c r="H36" s="305" t="s">
        <v>344</v>
      </c>
      <c r="I36" s="243"/>
      <c r="J36" s="220">
        <v>2057</v>
      </c>
      <c r="K36" s="215" t="s">
        <v>175</v>
      </c>
      <c r="M36" s="288"/>
      <c r="N36" s="288"/>
      <c r="O36" s="288"/>
      <c r="P36" s="288"/>
      <c r="Q36" s="288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48"/>
      <c r="B37" s="549"/>
      <c r="C37" s="549"/>
      <c r="D37" s="549"/>
      <c r="E37" s="550"/>
      <c r="F37" s="285"/>
      <c r="G37" s="304"/>
      <c r="H37" s="305" t="s">
        <v>345</v>
      </c>
      <c r="I37" s="243"/>
      <c r="J37" s="220">
        <v>980</v>
      </c>
      <c r="K37" s="215" t="s">
        <v>175</v>
      </c>
      <c r="M37" s="288"/>
      <c r="N37" s="288"/>
      <c r="O37" s="288"/>
      <c r="P37" s="288"/>
      <c r="Q37" s="288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51"/>
      <c r="B38" s="552"/>
      <c r="C38" s="552"/>
      <c r="D38" s="552"/>
      <c r="E38" s="553"/>
      <c r="F38" s="244"/>
      <c r="G38" s="306"/>
      <c r="H38" s="307" t="s">
        <v>346</v>
      </c>
      <c r="I38" s="308"/>
      <c r="J38" s="309">
        <v>1615</v>
      </c>
      <c r="K38" s="310" t="s">
        <v>175</v>
      </c>
      <c r="M38" s="288"/>
      <c r="N38" s="288"/>
      <c r="O38" s="288"/>
      <c r="P38" s="288"/>
      <c r="Q38" s="288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41" t="s">
        <v>347</v>
      </c>
      <c r="B39" s="542"/>
      <c r="C39" s="542"/>
      <c r="D39" s="542"/>
      <c r="E39" s="542"/>
      <c r="F39" s="311" t="s">
        <v>348</v>
      </c>
      <c r="G39" s="312"/>
      <c r="H39" s="312"/>
      <c r="I39" s="312"/>
      <c r="J39" s="312"/>
      <c r="K39" s="313"/>
      <c r="M39" s="288"/>
      <c r="N39" s="288"/>
      <c r="O39" s="288"/>
      <c r="P39" s="288"/>
      <c r="Q39" s="288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48"/>
      <c r="B40" s="549"/>
      <c r="C40" s="549"/>
      <c r="D40" s="549"/>
      <c r="E40" s="550"/>
      <c r="F40" s="314" t="s">
        <v>391</v>
      </c>
      <c r="G40" s="315" t="s">
        <v>392</v>
      </c>
      <c r="H40" s="315"/>
      <c r="I40" s="315"/>
      <c r="J40" s="315"/>
      <c r="K40" s="316"/>
      <c r="M40" s="288"/>
      <c r="N40" s="288"/>
      <c r="O40" s="288"/>
      <c r="P40" s="288"/>
      <c r="Q40" s="288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48"/>
      <c r="B41" s="549"/>
      <c r="C41" s="549"/>
      <c r="D41" s="549"/>
      <c r="E41" s="550"/>
      <c r="F41" s="314"/>
      <c r="G41" s="317" t="s">
        <v>395</v>
      </c>
      <c r="H41" s="317"/>
      <c r="I41" s="317"/>
      <c r="J41" s="317"/>
      <c r="K41" s="318"/>
      <c r="L41" s="319"/>
      <c r="M41" s="288"/>
      <c r="N41" s="288"/>
      <c r="O41" s="288"/>
      <c r="P41" s="288"/>
      <c r="Q41" s="288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48"/>
      <c r="B42" s="549"/>
      <c r="C42" s="549"/>
      <c r="D42" s="549"/>
      <c r="E42" s="550"/>
      <c r="F42" s="314"/>
      <c r="G42" s="317"/>
      <c r="H42" s="317"/>
      <c r="I42" s="317"/>
      <c r="J42" s="317"/>
      <c r="K42" s="318"/>
      <c r="L42" s="196"/>
      <c r="M42" s="288"/>
      <c r="N42" s="288"/>
      <c r="O42" s="288"/>
      <c r="P42" s="288"/>
      <c r="Q42" s="288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48"/>
      <c r="B43" s="549"/>
      <c r="C43" s="549"/>
      <c r="D43" s="549"/>
      <c r="E43" s="550"/>
      <c r="F43" s="314"/>
      <c r="G43" s="317"/>
      <c r="H43" s="317"/>
      <c r="I43" s="317"/>
      <c r="J43" s="317"/>
      <c r="K43" s="318"/>
      <c r="L43" s="196"/>
      <c r="M43" s="288"/>
      <c r="N43" s="288"/>
      <c r="O43" s="288"/>
      <c r="P43" s="288"/>
      <c r="Q43" s="288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55"/>
      <c r="B44" s="556"/>
      <c r="C44" s="556"/>
      <c r="D44" s="556"/>
      <c r="E44" s="557"/>
      <c r="F44" s="314"/>
      <c r="G44" s="317"/>
      <c r="H44" s="317"/>
      <c r="I44" s="317"/>
      <c r="J44" s="317"/>
      <c r="K44" s="318"/>
      <c r="L44" s="196"/>
      <c r="M44" s="288"/>
      <c r="N44" s="288"/>
      <c r="O44" s="288"/>
      <c r="P44" s="288"/>
      <c r="Q44" s="288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20" t="s">
        <v>349</v>
      </c>
      <c r="B45" s="558" t="s">
        <v>393</v>
      </c>
      <c r="C45" s="559"/>
      <c r="D45" s="321" t="s">
        <v>350</v>
      </c>
      <c r="E45" s="374" t="s">
        <v>394</v>
      </c>
      <c r="F45" s="322"/>
      <c r="G45" s="317" t="s">
        <v>396</v>
      </c>
      <c r="H45" s="317"/>
      <c r="I45" s="317"/>
      <c r="J45" s="317"/>
      <c r="K45" s="318"/>
      <c r="L45" s="196"/>
      <c r="M45" s="288"/>
      <c r="N45" s="288"/>
      <c r="O45" s="288"/>
      <c r="P45" s="288"/>
      <c r="Q45" s="288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3" t="s">
        <v>351</v>
      </c>
      <c r="B46" s="546">
        <v>44397</v>
      </c>
      <c r="C46" s="547"/>
      <c r="D46" s="324" t="s">
        <v>351</v>
      </c>
      <c r="E46" s="325">
        <v>44376</v>
      </c>
      <c r="F46" s="326"/>
      <c r="G46" s="327" t="s">
        <v>397</v>
      </c>
      <c r="H46" s="327"/>
      <c r="I46" s="327"/>
      <c r="J46" s="327"/>
      <c r="K46" s="328"/>
      <c r="L46" s="196"/>
      <c r="M46" s="288"/>
      <c r="N46" s="288"/>
      <c r="O46" s="288"/>
      <c r="P46" s="288"/>
      <c r="Q46" s="288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9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/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7">
    <mergeCell ref="A1:K1"/>
    <mergeCell ref="A2:K2"/>
    <mergeCell ref="J3:K3"/>
    <mergeCell ref="A5:C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90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35" customWidth="1"/>
    <col min="2" max="2" width="18.140625" style="335" customWidth="1"/>
    <col min="3" max="3" width="21.5703125" style="335" customWidth="1"/>
    <col min="4" max="4" width="21.28515625" style="335" bestFit="1" customWidth="1"/>
    <col min="5" max="5" width="6.85546875" style="335" bestFit="1" customWidth="1"/>
    <col min="6" max="6" width="29.85546875" style="335" customWidth="1"/>
    <col min="7" max="7" width="43.7109375" style="335" customWidth="1"/>
    <col min="8" max="8" width="17.140625" style="335" customWidth="1"/>
    <col min="9" max="9" width="7.85546875" style="335" customWidth="1"/>
    <col min="10" max="10" width="2.28515625" style="335" bestFit="1" customWidth="1"/>
    <col min="11" max="12" width="2.28515625" style="335" customWidth="1"/>
    <col min="13" max="13" width="2.5703125" style="335" bestFit="1" customWidth="1"/>
    <col min="14" max="14" width="2.28515625" style="335" bestFit="1" customWidth="1"/>
    <col min="15" max="16384" width="9.140625" style="335"/>
  </cols>
  <sheetData>
    <row r="1" spans="2:14" ht="12.75" customHeight="1">
      <c r="B1" s="330"/>
      <c r="C1" s="331"/>
      <c r="D1" s="331"/>
      <c r="E1" s="331"/>
      <c r="F1" s="331"/>
      <c r="G1" s="331"/>
      <c r="H1" s="332"/>
      <c r="I1" s="333"/>
      <c r="J1" s="334" t="s">
        <v>352</v>
      </c>
      <c r="K1" s="334" t="s">
        <v>353</v>
      </c>
      <c r="L1" s="334" t="s">
        <v>354</v>
      </c>
      <c r="M1" s="334" t="s">
        <v>353</v>
      </c>
      <c r="N1" s="334"/>
    </row>
    <row r="2" spans="2:14" ht="12.75" customHeight="1">
      <c r="B2" s="638" t="s">
        <v>355</v>
      </c>
      <c r="C2" s="639"/>
      <c r="D2" s="639"/>
      <c r="E2" s="639"/>
      <c r="F2" s="639"/>
      <c r="G2" s="639"/>
      <c r="H2" s="338"/>
      <c r="I2" s="339"/>
      <c r="J2" s="340" t="s">
        <v>356</v>
      </c>
      <c r="K2" s="340" t="s">
        <v>357</v>
      </c>
      <c r="L2" s="340" t="s">
        <v>358</v>
      </c>
      <c r="M2" s="340" t="s">
        <v>359</v>
      </c>
      <c r="N2" s="340" t="s">
        <v>360</v>
      </c>
    </row>
    <row r="3" spans="2:14" ht="12.75" customHeight="1">
      <c r="B3" s="638"/>
      <c r="C3" s="639"/>
      <c r="D3" s="639"/>
      <c r="E3" s="639"/>
      <c r="F3" s="639"/>
      <c r="G3" s="639"/>
      <c r="H3" s="338"/>
      <c r="I3" s="339"/>
      <c r="J3" s="340" t="s">
        <v>361</v>
      </c>
      <c r="K3" s="340"/>
      <c r="L3" s="340" t="s">
        <v>362</v>
      </c>
      <c r="M3" s="340" t="s">
        <v>352</v>
      </c>
      <c r="N3" s="340"/>
    </row>
    <row r="4" spans="2:14" ht="12.75" customHeight="1">
      <c r="B4" s="638"/>
      <c r="C4" s="639"/>
      <c r="D4" s="639"/>
      <c r="E4" s="639"/>
      <c r="F4" s="639"/>
      <c r="G4" s="639"/>
      <c r="H4" s="338"/>
      <c r="I4" s="339"/>
      <c r="J4" s="340" t="s">
        <v>363</v>
      </c>
      <c r="K4" s="340"/>
      <c r="L4" s="340" t="s">
        <v>358</v>
      </c>
      <c r="M4" s="340" t="s">
        <v>356</v>
      </c>
      <c r="N4" s="340"/>
    </row>
    <row r="5" spans="2:14" ht="12.75" customHeight="1">
      <c r="B5" s="336"/>
      <c r="C5" s="337"/>
      <c r="D5" s="337"/>
      <c r="E5" s="337"/>
      <c r="F5" s="337"/>
      <c r="G5" s="337"/>
      <c r="H5" s="338"/>
      <c r="I5" s="339"/>
      <c r="J5" s="340"/>
      <c r="K5" s="340" t="s">
        <v>364</v>
      </c>
      <c r="L5" s="340" t="s">
        <v>353</v>
      </c>
      <c r="M5" s="340"/>
      <c r="N5" s="340" t="s">
        <v>358</v>
      </c>
    </row>
    <row r="6" spans="2:14" ht="12" customHeight="1">
      <c r="B6" s="341"/>
      <c r="C6" s="342"/>
      <c r="D6" s="342"/>
      <c r="F6" s="342"/>
      <c r="H6" s="343"/>
      <c r="I6" s="339"/>
      <c r="J6" s="340" t="s">
        <v>357</v>
      </c>
      <c r="K6" s="340" t="s">
        <v>365</v>
      </c>
      <c r="L6" s="340"/>
      <c r="M6" s="340" t="s">
        <v>353</v>
      </c>
      <c r="N6" s="340" t="s">
        <v>366</v>
      </c>
    </row>
    <row r="7" spans="2:14" ht="12.75" customHeight="1">
      <c r="B7" s="341"/>
      <c r="D7" s="344"/>
      <c r="H7" s="343"/>
      <c r="I7" s="339"/>
      <c r="J7" s="340" t="s">
        <v>184</v>
      </c>
      <c r="K7" s="340" t="s">
        <v>361</v>
      </c>
      <c r="L7" s="340" t="s">
        <v>361</v>
      </c>
      <c r="M7" s="340" t="s">
        <v>356</v>
      </c>
      <c r="N7" s="340" t="s">
        <v>367</v>
      </c>
    </row>
    <row r="8" spans="2:14" ht="12.75" customHeight="1">
      <c r="B8" s="341"/>
      <c r="G8" s="344"/>
      <c r="H8" s="345"/>
      <c r="I8" s="340" t="s">
        <v>367</v>
      </c>
      <c r="J8" s="340" t="s">
        <v>353</v>
      </c>
      <c r="K8" s="340" t="s">
        <v>368</v>
      </c>
      <c r="L8" s="340" t="s">
        <v>356</v>
      </c>
      <c r="M8" s="340" t="s">
        <v>367</v>
      </c>
      <c r="N8" s="340" t="s">
        <v>365</v>
      </c>
    </row>
    <row r="9" spans="2:14">
      <c r="B9" s="340" t="s">
        <v>369</v>
      </c>
      <c r="C9" s="345" t="s">
        <v>370</v>
      </c>
      <c r="D9" s="345" t="s">
        <v>371</v>
      </c>
      <c r="E9" s="345" t="s">
        <v>372</v>
      </c>
      <c r="F9" s="340" t="s">
        <v>373</v>
      </c>
      <c r="G9" s="340" t="s">
        <v>374</v>
      </c>
      <c r="H9" s="340" t="s">
        <v>375</v>
      </c>
      <c r="I9" s="340" t="s">
        <v>363</v>
      </c>
      <c r="J9" s="340" t="s">
        <v>184</v>
      </c>
      <c r="K9" s="340" t="s">
        <v>356</v>
      </c>
      <c r="L9" s="340" t="s">
        <v>368</v>
      </c>
      <c r="M9" s="340" t="s">
        <v>353</v>
      </c>
      <c r="N9" s="340" t="s">
        <v>354</v>
      </c>
    </row>
    <row r="10" spans="2:14" ht="15" customHeight="1">
      <c r="B10" s="346"/>
      <c r="C10" s="347"/>
      <c r="D10" s="347"/>
      <c r="E10" s="347"/>
      <c r="F10" s="348"/>
      <c r="G10" s="349"/>
      <c r="H10" s="349"/>
      <c r="I10" s="350"/>
      <c r="J10" s="351"/>
      <c r="K10" s="351"/>
      <c r="L10" s="351"/>
      <c r="M10" s="351"/>
      <c r="N10" s="352"/>
    </row>
    <row r="11" spans="2:14" ht="15" customHeight="1">
      <c r="B11" s="346"/>
      <c r="C11" s="348"/>
      <c r="D11" s="348"/>
      <c r="E11" s="348"/>
      <c r="F11" s="348"/>
      <c r="G11" s="348"/>
      <c r="H11" s="348"/>
      <c r="I11" s="353"/>
      <c r="J11" s="351"/>
      <c r="K11" s="351"/>
      <c r="L11" s="351"/>
      <c r="M11" s="351"/>
      <c r="N11" s="352"/>
    </row>
    <row r="12" spans="2:14" ht="15" customHeight="1">
      <c r="B12" s="346"/>
      <c r="C12" s="348"/>
      <c r="D12" s="348"/>
      <c r="E12" s="348"/>
      <c r="F12" s="348"/>
      <c r="G12" s="348"/>
      <c r="H12" s="348"/>
      <c r="I12" s="353"/>
      <c r="J12" s="354"/>
      <c r="K12" s="351"/>
      <c r="L12" s="351"/>
      <c r="M12" s="351"/>
      <c r="N12" s="352"/>
    </row>
    <row r="13" spans="2:14" ht="15" customHeight="1">
      <c r="B13" s="346"/>
      <c r="C13" s="348"/>
      <c r="D13" s="348"/>
      <c r="E13" s="348"/>
      <c r="F13" s="348"/>
      <c r="G13" s="348"/>
      <c r="H13" s="348"/>
      <c r="I13" s="353"/>
      <c r="J13" s="351"/>
      <c r="K13" s="351"/>
      <c r="L13" s="351"/>
      <c r="M13" s="351"/>
      <c r="N13" s="352"/>
    </row>
    <row r="14" spans="2:14" ht="15" customHeight="1">
      <c r="B14" s="346"/>
      <c r="C14" s="348"/>
      <c r="D14" s="348"/>
      <c r="E14" s="348"/>
      <c r="F14" s="348"/>
      <c r="G14" s="348"/>
      <c r="H14" s="348"/>
      <c r="I14" s="353"/>
      <c r="J14" s="351"/>
      <c r="K14" s="351"/>
      <c r="L14" s="351"/>
      <c r="M14" s="351"/>
      <c r="N14" s="352"/>
    </row>
    <row r="15" spans="2:14" ht="15" customHeight="1">
      <c r="B15" s="346"/>
      <c r="C15" s="348"/>
      <c r="D15" s="348"/>
      <c r="E15" s="348"/>
      <c r="F15" s="348"/>
      <c r="G15" s="348"/>
      <c r="H15" s="348"/>
      <c r="I15" s="353"/>
      <c r="J15" s="351"/>
      <c r="K15" s="351"/>
      <c r="L15" s="351"/>
      <c r="M15" s="351"/>
      <c r="N15" s="352"/>
    </row>
    <row r="16" spans="2:14" ht="15" customHeight="1">
      <c r="B16" s="346"/>
      <c r="C16" s="348"/>
      <c r="D16" s="348"/>
      <c r="E16" s="348"/>
      <c r="F16" s="348"/>
      <c r="G16" s="348"/>
      <c r="H16" s="348"/>
      <c r="I16" s="353"/>
      <c r="J16" s="351"/>
      <c r="K16" s="351"/>
      <c r="L16" s="351"/>
      <c r="M16" s="351"/>
      <c r="N16" s="352"/>
    </row>
    <row r="17" spans="2:14" ht="15" customHeight="1">
      <c r="B17" s="346"/>
      <c r="C17" s="348"/>
      <c r="D17" s="348"/>
      <c r="E17" s="348"/>
      <c r="F17" s="348"/>
      <c r="G17" s="348"/>
      <c r="H17" s="348"/>
      <c r="I17" s="353"/>
      <c r="J17" s="351"/>
      <c r="K17" s="351"/>
      <c r="L17" s="351"/>
      <c r="M17" s="351"/>
      <c r="N17" s="352"/>
    </row>
    <row r="18" spans="2:14" ht="15" customHeight="1">
      <c r="B18" s="346"/>
      <c r="C18" s="348"/>
      <c r="D18" s="348"/>
      <c r="E18" s="348"/>
      <c r="F18" s="348"/>
      <c r="G18" s="348"/>
      <c r="H18" s="348"/>
      <c r="I18" s="353"/>
      <c r="J18" s="351"/>
      <c r="K18" s="351"/>
      <c r="L18" s="351"/>
      <c r="M18" s="351"/>
      <c r="N18" s="352"/>
    </row>
    <row r="19" spans="2:14" ht="15" customHeight="1">
      <c r="B19" s="346"/>
      <c r="C19" s="348"/>
      <c r="D19" s="348"/>
      <c r="E19" s="348"/>
      <c r="F19" s="348"/>
      <c r="G19" s="348"/>
      <c r="H19" s="348"/>
      <c r="I19" s="353"/>
      <c r="J19" s="351"/>
      <c r="K19" s="351"/>
      <c r="L19" s="351"/>
      <c r="M19" s="351"/>
      <c r="N19" s="352"/>
    </row>
    <row r="20" spans="2:14" ht="15" customHeight="1">
      <c r="B20" s="346"/>
      <c r="C20" s="348"/>
      <c r="D20" s="348"/>
      <c r="E20" s="348"/>
      <c r="F20" s="348"/>
      <c r="G20" s="348"/>
      <c r="H20" s="348"/>
      <c r="I20" s="353"/>
      <c r="J20" s="351"/>
      <c r="K20" s="351"/>
      <c r="L20" s="351"/>
      <c r="M20" s="351"/>
      <c r="N20" s="352"/>
    </row>
    <row r="21" spans="2:14" ht="15" customHeight="1">
      <c r="B21" s="346"/>
      <c r="C21" s="348"/>
      <c r="D21" s="348"/>
      <c r="E21" s="348"/>
      <c r="F21" s="348"/>
      <c r="G21" s="348"/>
      <c r="H21" s="348"/>
      <c r="I21" s="353"/>
      <c r="J21" s="351"/>
      <c r="K21" s="351"/>
      <c r="L21" s="351"/>
      <c r="M21" s="351"/>
      <c r="N21" s="352"/>
    </row>
    <row r="22" spans="2:14" ht="15" customHeight="1">
      <c r="B22" s="346"/>
      <c r="C22" s="348"/>
      <c r="D22" s="348"/>
      <c r="E22" s="348"/>
      <c r="F22" s="348"/>
      <c r="G22" s="348"/>
      <c r="H22" s="348"/>
      <c r="I22" s="353"/>
      <c r="J22" s="351"/>
      <c r="K22" s="351"/>
      <c r="L22" s="351"/>
      <c r="M22" s="351"/>
      <c r="N22" s="352"/>
    </row>
    <row r="23" spans="2:14" ht="15" customHeight="1">
      <c r="B23" s="346"/>
      <c r="C23" s="348"/>
      <c r="D23" s="348"/>
      <c r="E23" s="348"/>
      <c r="F23" s="348"/>
      <c r="G23" s="348"/>
      <c r="H23" s="348"/>
      <c r="I23" s="353"/>
      <c r="J23" s="351"/>
      <c r="K23" s="351"/>
      <c r="L23" s="351"/>
      <c r="M23" s="351"/>
      <c r="N23" s="352"/>
    </row>
    <row r="24" spans="2:14" ht="15" customHeight="1">
      <c r="B24" s="346"/>
      <c r="C24" s="348"/>
      <c r="D24" s="348"/>
      <c r="E24" s="348"/>
      <c r="F24" s="348"/>
      <c r="G24" s="348"/>
      <c r="H24" s="348"/>
      <c r="I24" s="353"/>
      <c r="J24" s="351"/>
      <c r="K24" s="351"/>
      <c r="L24" s="351"/>
      <c r="M24" s="351"/>
      <c r="N24" s="352"/>
    </row>
    <row r="25" spans="2:14" ht="15" customHeight="1">
      <c r="B25" s="346"/>
      <c r="C25" s="348"/>
      <c r="D25" s="348"/>
      <c r="E25" s="348"/>
      <c r="F25" s="348"/>
      <c r="G25" s="348"/>
      <c r="H25" s="348"/>
      <c r="I25" s="353"/>
      <c r="J25" s="351"/>
      <c r="K25" s="351"/>
      <c r="L25" s="351"/>
      <c r="M25" s="351"/>
      <c r="N25" s="352"/>
    </row>
    <row r="26" spans="2:14" ht="15" customHeight="1">
      <c r="B26" s="346"/>
      <c r="C26" s="348"/>
      <c r="D26" s="348"/>
      <c r="E26" s="348"/>
      <c r="F26" s="348"/>
      <c r="G26" s="348"/>
      <c r="H26" s="348"/>
      <c r="I26" s="353"/>
      <c r="J26" s="351"/>
      <c r="K26" s="351"/>
      <c r="L26" s="351"/>
      <c r="M26" s="351"/>
      <c r="N26" s="352"/>
    </row>
    <row r="27" spans="2:14" ht="15" customHeight="1">
      <c r="B27" s="346"/>
      <c r="C27" s="348"/>
      <c r="D27" s="348"/>
      <c r="E27" s="348"/>
      <c r="F27" s="348"/>
      <c r="G27" s="348"/>
      <c r="H27" s="348"/>
      <c r="I27" s="353"/>
      <c r="J27" s="351"/>
      <c r="K27" s="351"/>
      <c r="L27" s="351"/>
      <c r="M27" s="351"/>
      <c r="N27" s="352"/>
    </row>
    <row r="28" spans="2:14" ht="15" customHeight="1">
      <c r="B28" s="346"/>
      <c r="C28" s="348"/>
      <c r="D28" s="348"/>
      <c r="E28" s="348"/>
      <c r="F28" s="348"/>
      <c r="G28" s="348"/>
      <c r="H28" s="348"/>
      <c r="I28" s="353"/>
      <c r="J28" s="351"/>
      <c r="K28" s="351"/>
      <c r="L28" s="351"/>
      <c r="M28" s="351"/>
      <c r="N28" s="352"/>
    </row>
    <row r="29" spans="2:14" ht="15" customHeight="1">
      <c r="B29" s="346"/>
      <c r="C29" s="348"/>
      <c r="D29" s="348"/>
      <c r="E29" s="348"/>
      <c r="F29" s="348"/>
      <c r="G29" s="348"/>
      <c r="H29" s="348"/>
      <c r="I29" s="353"/>
      <c r="J29" s="351"/>
      <c r="K29" s="351"/>
      <c r="L29" s="351"/>
      <c r="M29" s="351"/>
      <c r="N29" s="352"/>
    </row>
    <row r="30" spans="2:14" ht="15" customHeight="1">
      <c r="B30" s="346"/>
      <c r="C30" s="348"/>
      <c r="D30" s="348"/>
      <c r="E30" s="348"/>
      <c r="F30" s="348"/>
      <c r="G30" s="348"/>
      <c r="H30" s="348"/>
      <c r="I30" s="353"/>
      <c r="J30" s="351"/>
      <c r="K30" s="351"/>
      <c r="L30" s="351"/>
      <c r="M30" s="351"/>
      <c r="N30" s="352"/>
    </row>
    <row r="31" spans="2:14" ht="15" customHeight="1">
      <c r="B31" s="346"/>
      <c r="C31" s="348"/>
      <c r="D31" s="348"/>
      <c r="E31" s="348"/>
      <c r="F31" s="348"/>
      <c r="G31" s="348"/>
      <c r="H31" s="348"/>
      <c r="I31" s="353"/>
      <c r="J31" s="351"/>
      <c r="K31" s="351"/>
      <c r="L31" s="351"/>
      <c r="M31" s="351"/>
      <c r="N31" s="352"/>
    </row>
    <row r="32" spans="2:14" ht="15" customHeight="1">
      <c r="B32" s="346"/>
      <c r="C32" s="348"/>
      <c r="D32" s="348"/>
      <c r="E32" s="348"/>
      <c r="F32" s="348"/>
      <c r="G32" s="348"/>
      <c r="H32" s="348"/>
      <c r="I32" s="353"/>
      <c r="J32" s="351"/>
      <c r="K32" s="351"/>
      <c r="L32" s="351"/>
      <c r="M32" s="351"/>
      <c r="N32" s="352"/>
    </row>
    <row r="33" spans="2:14" ht="15" customHeight="1">
      <c r="B33" s="346"/>
      <c r="C33" s="348"/>
      <c r="D33" s="348"/>
      <c r="E33" s="348"/>
      <c r="F33" s="348"/>
      <c r="G33" s="348"/>
      <c r="H33" s="348"/>
      <c r="I33" s="353"/>
      <c r="J33" s="351"/>
      <c r="K33" s="351"/>
      <c r="L33" s="351"/>
      <c r="M33" s="351"/>
      <c r="N33" s="352"/>
    </row>
    <row r="34" spans="2:14" ht="15" customHeight="1">
      <c r="B34" s="346"/>
      <c r="C34" s="348"/>
      <c r="D34" s="348"/>
      <c r="E34" s="348"/>
      <c r="F34" s="348"/>
      <c r="G34" s="348"/>
      <c r="H34" s="348"/>
      <c r="I34" s="353"/>
      <c r="J34" s="351"/>
      <c r="K34" s="351"/>
      <c r="L34" s="351"/>
      <c r="M34" s="351"/>
      <c r="N34" s="352"/>
    </row>
    <row r="35" spans="2:14" ht="15" customHeight="1">
      <c r="B35" s="346"/>
      <c r="C35" s="348"/>
      <c r="D35" s="348"/>
      <c r="E35" s="348"/>
      <c r="F35" s="348"/>
      <c r="G35" s="348"/>
      <c r="H35" s="348"/>
      <c r="I35" s="353"/>
      <c r="J35" s="351"/>
      <c r="K35" s="351"/>
      <c r="L35" s="351"/>
      <c r="M35" s="351"/>
      <c r="N35" s="352"/>
    </row>
    <row r="36" spans="2:14" ht="15" customHeight="1">
      <c r="B36" s="346"/>
      <c r="C36" s="348"/>
      <c r="D36" s="348"/>
      <c r="E36" s="348"/>
      <c r="F36" s="348"/>
      <c r="G36" s="348"/>
      <c r="H36" s="348"/>
      <c r="I36" s="353"/>
      <c r="J36" s="351"/>
      <c r="K36" s="351"/>
      <c r="L36" s="351"/>
      <c r="M36" s="351"/>
      <c r="N36" s="352"/>
    </row>
    <row r="37" spans="2:14" ht="15" customHeight="1">
      <c r="B37" s="346"/>
      <c r="C37" s="348"/>
      <c r="D37" s="348"/>
      <c r="E37" s="348"/>
      <c r="F37" s="348"/>
      <c r="G37" s="348"/>
      <c r="H37" s="348"/>
      <c r="I37" s="353"/>
      <c r="J37" s="351"/>
      <c r="K37" s="351"/>
      <c r="L37" s="351"/>
      <c r="M37" s="351"/>
      <c r="N37" s="352"/>
    </row>
    <row r="38" spans="2:14" ht="15" customHeight="1">
      <c r="B38" s="346"/>
      <c r="C38" s="348"/>
      <c r="D38" s="348"/>
      <c r="E38" s="348"/>
      <c r="F38" s="348"/>
      <c r="G38" s="348"/>
      <c r="H38" s="348"/>
      <c r="I38" s="353"/>
      <c r="J38" s="351"/>
      <c r="K38" s="351"/>
      <c r="L38" s="351"/>
      <c r="M38" s="351"/>
      <c r="N38" s="352"/>
    </row>
    <row r="39" spans="2:14" ht="15" customHeight="1">
      <c r="B39" s="346"/>
      <c r="C39" s="348"/>
      <c r="D39" s="348"/>
      <c r="E39" s="348"/>
      <c r="F39" s="348"/>
      <c r="G39" s="348"/>
      <c r="H39" s="348"/>
      <c r="I39" s="353"/>
      <c r="J39" s="351"/>
      <c r="K39" s="351"/>
      <c r="L39" s="351"/>
      <c r="M39" s="351"/>
      <c r="N39" s="352"/>
    </row>
    <row r="40" spans="2:14" ht="15" customHeight="1">
      <c r="B40" s="346"/>
      <c r="C40" s="348"/>
      <c r="D40" s="348"/>
      <c r="E40" s="348"/>
      <c r="F40" s="348"/>
      <c r="G40" s="348"/>
      <c r="H40" s="348"/>
      <c r="I40" s="353"/>
      <c r="J40" s="351"/>
      <c r="K40" s="351"/>
      <c r="L40" s="351"/>
      <c r="M40" s="351"/>
      <c r="N40" s="352"/>
    </row>
    <row r="41" spans="2:14" ht="15" customHeight="1">
      <c r="B41" s="346"/>
      <c r="C41" s="348"/>
      <c r="D41" s="348"/>
      <c r="E41" s="348"/>
      <c r="F41" s="348"/>
      <c r="G41" s="348"/>
      <c r="H41" s="348"/>
      <c r="I41" s="353"/>
      <c r="J41" s="351"/>
      <c r="K41" s="351"/>
      <c r="L41" s="351"/>
      <c r="M41" s="351"/>
      <c r="N41" s="352"/>
    </row>
    <row r="42" spans="2:14" ht="15" customHeight="1">
      <c r="B42" s="346"/>
      <c r="C42" s="348"/>
      <c r="D42" s="348"/>
      <c r="E42" s="348"/>
      <c r="F42" s="348"/>
      <c r="G42" s="348"/>
      <c r="H42" s="348"/>
      <c r="I42" s="353"/>
      <c r="J42" s="351"/>
      <c r="K42" s="351"/>
      <c r="L42" s="351"/>
      <c r="M42" s="351"/>
      <c r="N42" s="352"/>
    </row>
    <row r="43" spans="2:14" ht="15" customHeight="1">
      <c r="B43" s="346"/>
      <c r="C43" s="348"/>
      <c r="D43" s="348"/>
      <c r="E43" s="348"/>
      <c r="F43" s="348"/>
      <c r="G43" s="348"/>
      <c r="H43" s="348"/>
      <c r="I43" s="353"/>
      <c r="J43" s="351"/>
      <c r="K43" s="351"/>
      <c r="L43" s="351"/>
      <c r="M43" s="351"/>
      <c r="N43" s="352"/>
    </row>
    <row r="44" spans="2:14" ht="15" customHeight="1">
      <c r="B44" s="346"/>
      <c r="C44" s="348"/>
      <c r="D44" s="348"/>
      <c r="E44" s="348"/>
      <c r="F44" s="348"/>
      <c r="G44" s="348"/>
      <c r="H44" s="348"/>
      <c r="I44" s="353"/>
      <c r="J44" s="351"/>
      <c r="K44" s="351"/>
      <c r="L44" s="351"/>
      <c r="M44" s="351"/>
      <c r="N44" s="352"/>
    </row>
    <row r="45" spans="2:14" ht="15" customHeight="1">
      <c r="B45" s="346"/>
      <c r="C45" s="348"/>
      <c r="D45" s="348"/>
      <c r="E45" s="348"/>
      <c r="F45" s="348"/>
      <c r="G45" s="348"/>
      <c r="H45" s="348"/>
      <c r="I45" s="353"/>
      <c r="J45" s="351"/>
      <c r="K45" s="351"/>
      <c r="L45" s="351"/>
      <c r="M45" s="351"/>
      <c r="N45" s="352"/>
    </row>
    <row r="46" spans="2:14" ht="15" customHeight="1">
      <c r="B46" s="346"/>
      <c r="C46" s="348"/>
      <c r="D46" s="348"/>
      <c r="E46" s="348"/>
      <c r="F46" s="348"/>
      <c r="G46" s="348"/>
      <c r="H46" s="348"/>
      <c r="I46" s="353"/>
      <c r="J46" s="351"/>
      <c r="K46" s="351"/>
      <c r="L46" s="351"/>
      <c r="M46" s="351"/>
      <c r="N46" s="352"/>
    </row>
    <row r="47" spans="2:14" ht="15" customHeight="1">
      <c r="B47" s="346"/>
      <c r="C47" s="348"/>
      <c r="D47" s="348"/>
      <c r="E47" s="348"/>
      <c r="F47" s="348"/>
      <c r="G47" s="348"/>
      <c r="H47" s="348"/>
      <c r="I47" s="353"/>
      <c r="J47" s="351"/>
      <c r="K47" s="351"/>
      <c r="L47" s="351"/>
      <c r="M47" s="351"/>
      <c r="N47" s="352"/>
    </row>
    <row r="48" spans="2:14" ht="15" customHeight="1">
      <c r="B48" s="346"/>
      <c r="C48" s="348"/>
      <c r="D48" s="348"/>
      <c r="E48" s="348"/>
      <c r="F48" s="348"/>
      <c r="G48" s="348"/>
      <c r="H48" s="348"/>
      <c r="I48" s="353"/>
      <c r="J48" s="351"/>
      <c r="K48" s="351"/>
      <c r="L48" s="351"/>
      <c r="M48" s="351"/>
      <c r="N48" s="352"/>
    </row>
    <row r="49" spans="2:14" ht="15" customHeight="1">
      <c r="B49" s="346"/>
      <c r="C49" s="348"/>
      <c r="D49" s="348"/>
      <c r="E49" s="348"/>
      <c r="F49" s="348"/>
      <c r="G49" s="348"/>
      <c r="H49" s="348"/>
      <c r="I49" s="353"/>
      <c r="J49" s="351"/>
      <c r="K49" s="351"/>
      <c r="L49" s="351"/>
      <c r="M49" s="351"/>
      <c r="N49" s="352"/>
    </row>
    <row r="50" spans="2:14" ht="15" customHeight="1">
      <c r="B50" s="346"/>
      <c r="C50" s="348"/>
      <c r="D50" s="348"/>
      <c r="E50" s="348"/>
      <c r="F50" s="348"/>
      <c r="G50" s="348"/>
      <c r="H50" s="348"/>
      <c r="I50" s="353"/>
      <c r="J50" s="351"/>
      <c r="K50" s="351"/>
      <c r="L50" s="351"/>
      <c r="M50" s="351"/>
      <c r="N50" s="352"/>
    </row>
    <row r="51" spans="2:14" ht="15" customHeight="1">
      <c r="B51" s="346"/>
      <c r="C51" s="348"/>
      <c r="D51" s="348"/>
      <c r="E51" s="348"/>
      <c r="F51" s="348"/>
      <c r="G51" s="348"/>
      <c r="H51" s="348"/>
      <c r="I51" s="353"/>
      <c r="J51" s="351"/>
      <c r="K51" s="351"/>
      <c r="L51" s="351"/>
      <c r="M51" s="351"/>
      <c r="N51" s="352"/>
    </row>
    <row r="52" spans="2:14" ht="15" customHeight="1" thickBot="1">
      <c r="B52" s="355"/>
      <c r="C52" s="356"/>
      <c r="D52" s="356"/>
      <c r="E52" s="356"/>
      <c r="F52" s="356"/>
      <c r="G52" s="356"/>
      <c r="H52" s="356"/>
      <c r="I52" s="357"/>
      <c r="J52" s="358"/>
      <c r="K52" s="358"/>
      <c r="L52" s="358"/>
      <c r="M52" s="358"/>
      <c r="N52" s="359"/>
    </row>
    <row r="53" spans="2:14" ht="20.25" customHeight="1" thickBot="1">
      <c r="B53" s="640" t="s">
        <v>376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</row>
    <row r="54" spans="2:14" ht="15" customHeight="1" thickBot="1">
      <c r="B54" s="360" t="s">
        <v>377</v>
      </c>
      <c r="C54" s="641" t="s">
        <v>374</v>
      </c>
      <c r="D54" s="642"/>
      <c r="E54" s="642"/>
      <c r="F54" s="642"/>
      <c r="G54" s="642"/>
      <c r="H54" s="361"/>
      <c r="I54" s="641" t="s">
        <v>369</v>
      </c>
      <c r="J54" s="642"/>
      <c r="K54" s="643"/>
      <c r="L54" s="641" t="s">
        <v>378</v>
      </c>
      <c r="M54" s="642"/>
      <c r="N54" s="644"/>
    </row>
    <row r="55" spans="2:14" ht="15" customHeight="1">
      <c r="B55" s="362"/>
      <c r="C55" s="630"/>
      <c r="D55" s="631"/>
      <c r="E55" s="631"/>
      <c r="F55" s="631"/>
      <c r="G55" s="631"/>
      <c r="H55" s="363"/>
      <c r="I55" s="632"/>
      <c r="J55" s="633"/>
      <c r="K55" s="634"/>
      <c r="L55" s="635"/>
      <c r="M55" s="636"/>
      <c r="N55" s="637"/>
    </row>
    <row r="56" spans="2:14" ht="15" customHeight="1">
      <c r="B56" s="364"/>
      <c r="C56" s="614"/>
      <c r="D56" s="615"/>
      <c r="E56" s="615"/>
      <c r="F56" s="615"/>
      <c r="G56" s="615"/>
      <c r="H56" s="365"/>
      <c r="I56" s="616"/>
      <c r="J56" s="617"/>
      <c r="K56" s="618"/>
      <c r="L56" s="619"/>
      <c r="M56" s="620"/>
      <c r="N56" s="621"/>
    </row>
    <row r="57" spans="2:14" ht="15" customHeight="1">
      <c r="B57" s="364"/>
      <c r="C57" s="614"/>
      <c r="D57" s="615"/>
      <c r="E57" s="615"/>
      <c r="F57" s="615"/>
      <c r="G57" s="615"/>
      <c r="H57" s="365"/>
      <c r="I57" s="616"/>
      <c r="J57" s="617"/>
      <c r="K57" s="618"/>
      <c r="L57" s="619"/>
      <c r="M57" s="620"/>
      <c r="N57" s="621"/>
    </row>
    <row r="58" spans="2:14" ht="15" customHeight="1">
      <c r="B58" s="364"/>
      <c r="C58" s="614"/>
      <c r="D58" s="615"/>
      <c r="E58" s="615"/>
      <c r="F58" s="615"/>
      <c r="G58" s="615"/>
      <c r="H58" s="365"/>
      <c r="I58" s="616"/>
      <c r="J58" s="617"/>
      <c r="K58" s="618"/>
      <c r="L58" s="619"/>
      <c r="M58" s="620"/>
      <c r="N58" s="621"/>
    </row>
    <row r="59" spans="2:14" ht="15" customHeight="1">
      <c r="B59" s="364"/>
      <c r="C59" s="614"/>
      <c r="D59" s="615"/>
      <c r="E59" s="615"/>
      <c r="F59" s="615"/>
      <c r="G59" s="615"/>
      <c r="H59" s="365"/>
      <c r="I59" s="616"/>
      <c r="J59" s="617"/>
      <c r="K59" s="618"/>
      <c r="L59" s="619"/>
      <c r="M59" s="620"/>
      <c r="N59" s="621"/>
    </row>
    <row r="60" spans="2:14" ht="15" customHeight="1">
      <c r="B60" s="364"/>
      <c r="C60" s="614"/>
      <c r="D60" s="615"/>
      <c r="E60" s="615"/>
      <c r="F60" s="615"/>
      <c r="G60" s="615"/>
      <c r="H60" s="365"/>
      <c r="I60" s="616"/>
      <c r="J60" s="617"/>
      <c r="K60" s="618"/>
      <c r="L60" s="619"/>
      <c r="M60" s="620"/>
      <c r="N60" s="621"/>
    </row>
    <row r="61" spans="2:14" ht="15" customHeight="1">
      <c r="B61" s="364"/>
      <c r="C61" s="614"/>
      <c r="D61" s="615"/>
      <c r="E61" s="615"/>
      <c r="F61" s="615"/>
      <c r="G61" s="615"/>
      <c r="H61" s="365"/>
      <c r="I61" s="616"/>
      <c r="J61" s="617"/>
      <c r="K61" s="618"/>
      <c r="L61" s="619"/>
      <c r="M61" s="620"/>
      <c r="N61" s="621"/>
    </row>
    <row r="62" spans="2:14" ht="15" customHeight="1">
      <c r="B62" s="364"/>
      <c r="C62" s="614"/>
      <c r="D62" s="615"/>
      <c r="E62" s="615"/>
      <c r="F62" s="615"/>
      <c r="G62" s="615"/>
      <c r="H62" s="365"/>
      <c r="I62" s="616"/>
      <c r="J62" s="617"/>
      <c r="K62" s="618"/>
      <c r="L62" s="619"/>
      <c r="M62" s="620"/>
      <c r="N62" s="621"/>
    </row>
    <row r="63" spans="2:14" ht="15" customHeight="1">
      <c r="B63" s="364"/>
      <c r="C63" s="614"/>
      <c r="D63" s="615"/>
      <c r="E63" s="615"/>
      <c r="F63" s="615"/>
      <c r="G63" s="615"/>
      <c r="H63" s="365"/>
      <c r="I63" s="616"/>
      <c r="J63" s="617"/>
      <c r="K63" s="618"/>
      <c r="L63" s="619"/>
      <c r="M63" s="620"/>
      <c r="N63" s="621"/>
    </row>
    <row r="64" spans="2:14" ht="15" customHeight="1">
      <c r="B64" s="364"/>
      <c r="C64" s="614"/>
      <c r="D64" s="615"/>
      <c r="E64" s="615"/>
      <c r="F64" s="615"/>
      <c r="G64" s="615"/>
      <c r="H64" s="365"/>
      <c r="I64" s="616"/>
      <c r="J64" s="617"/>
      <c r="K64" s="618"/>
      <c r="L64" s="619"/>
      <c r="M64" s="620"/>
      <c r="N64" s="621"/>
    </row>
    <row r="65" spans="2:14" ht="15" customHeight="1">
      <c r="B65" s="364"/>
      <c r="C65" s="614"/>
      <c r="D65" s="615"/>
      <c r="E65" s="615"/>
      <c r="F65" s="615"/>
      <c r="G65" s="615"/>
      <c r="H65" s="365"/>
      <c r="I65" s="616"/>
      <c r="J65" s="617"/>
      <c r="K65" s="618"/>
      <c r="L65" s="619"/>
      <c r="M65" s="620"/>
      <c r="N65" s="621"/>
    </row>
    <row r="66" spans="2:14" ht="15" customHeight="1">
      <c r="B66" s="364"/>
      <c r="C66" s="614"/>
      <c r="D66" s="615"/>
      <c r="E66" s="615"/>
      <c r="F66" s="615"/>
      <c r="G66" s="615"/>
      <c r="H66" s="365"/>
      <c r="I66" s="616"/>
      <c r="J66" s="617"/>
      <c r="K66" s="618"/>
      <c r="L66" s="619"/>
      <c r="M66" s="620"/>
      <c r="N66" s="621"/>
    </row>
    <row r="67" spans="2:14" ht="15" customHeight="1">
      <c r="B67" s="364"/>
      <c r="C67" s="614"/>
      <c r="D67" s="615"/>
      <c r="E67" s="615"/>
      <c r="F67" s="615"/>
      <c r="G67" s="615"/>
      <c r="H67" s="365"/>
      <c r="I67" s="616"/>
      <c r="J67" s="617"/>
      <c r="K67" s="618"/>
      <c r="L67" s="619"/>
      <c r="M67" s="620"/>
      <c r="N67" s="621"/>
    </row>
    <row r="68" spans="2:14" ht="15" customHeight="1">
      <c r="B68" s="364"/>
      <c r="C68" s="614"/>
      <c r="D68" s="615"/>
      <c r="E68" s="615"/>
      <c r="F68" s="615"/>
      <c r="G68" s="615"/>
      <c r="H68" s="365"/>
      <c r="I68" s="616"/>
      <c r="J68" s="617"/>
      <c r="K68" s="618"/>
      <c r="L68" s="619"/>
      <c r="M68" s="620"/>
      <c r="N68" s="621"/>
    </row>
    <row r="69" spans="2:14" ht="15" customHeight="1">
      <c r="B69" s="364"/>
      <c r="C69" s="614"/>
      <c r="D69" s="615"/>
      <c r="E69" s="615"/>
      <c r="F69" s="615"/>
      <c r="G69" s="615"/>
      <c r="H69" s="365"/>
      <c r="I69" s="616"/>
      <c r="J69" s="617"/>
      <c r="K69" s="618"/>
      <c r="L69" s="619"/>
      <c r="M69" s="620"/>
      <c r="N69" s="621"/>
    </row>
    <row r="70" spans="2:14" ht="15" customHeight="1">
      <c r="B70" s="364"/>
      <c r="C70" s="614"/>
      <c r="D70" s="615"/>
      <c r="E70" s="615"/>
      <c r="F70" s="615"/>
      <c r="G70" s="615"/>
      <c r="H70" s="365"/>
      <c r="I70" s="616"/>
      <c r="J70" s="617"/>
      <c r="K70" s="618"/>
      <c r="L70" s="619"/>
      <c r="M70" s="620"/>
      <c r="N70" s="621"/>
    </row>
    <row r="71" spans="2:14" ht="15" customHeight="1">
      <c r="B71" s="364"/>
      <c r="C71" s="614"/>
      <c r="D71" s="615"/>
      <c r="E71" s="615"/>
      <c r="F71" s="615"/>
      <c r="G71" s="615"/>
      <c r="H71" s="365"/>
      <c r="I71" s="616"/>
      <c r="J71" s="617"/>
      <c r="K71" s="618"/>
      <c r="L71" s="619"/>
      <c r="M71" s="620"/>
      <c r="N71" s="621"/>
    </row>
    <row r="72" spans="2:14">
      <c r="B72" s="364"/>
      <c r="C72" s="614"/>
      <c r="D72" s="615"/>
      <c r="E72" s="615"/>
      <c r="F72" s="615"/>
      <c r="G72" s="615"/>
      <c r="H72" s="365"/>
      <c r="I72" s="616"/>
      <c r="J72" s="617"/>
      <c r="K72" s="618"/>
      <c r="L72" s="619"/>
      <c r="M72" s="620"/>
      <c r="N72" s="621"/>
    </row>
    <row r="73" spans="2:14">
      <c r="B73" s="364"/>
      <c r="C73" s="614"/>
      <c r="D73" s="615"/>
      <c r="E73" s="615"/>
      <c r="F73" s="615"/>
      <c r="G73" s="615"/>
      <c r="H73" s="365"/>
      <c r="I73" s="616"/>
      <c r="J73" s="617"/>
      <c r="K73" s="618"/>
      <c r="L73" s="619"/>
      <c r="M73" s="620"/>
      <c r="N73" s="621"/>
    </row>
    <row r="74" spans="2:14">
      <c r="B74" s="364"/>
      <c r="C74" s="614"/>
      <c r="D74" s="615"/>
      <c r="E74" s="615"/>
      <c r="F74" s="615"/>
      <c r="G74" s="615"/>
      <c r="H74" s="365"/>
      <c r="I74" s="616"/>
      <c r="J74" s="617"/>
      <c r="K74" s="618"/>
      <c r="L74" s="619"/>
      <c r="M74" s="620"/>
      <c r="N74" s="621"/>
    </row>
    <row r="75" spans="2:14">
      <c r="B75" s="364"/>
      <c r="C75" s="614"/>
      <c r="D75" s="615"/>
      <c r="E75" s="615"/>
      <c r="F75" s="615"/>
      <c r="G75" s="615"/>
      <c r="H75" s="365"/>
      <c r="I75" s="616"/>
      <c r="J75" s="617"/>
      <c r="K75" s="618"/>
      <c r="L75" s="619"/>
      <c r="M75" s="620"/>
      <c r="N75" s="621"/>
    </row>
    <row r="76" spans="2:14">
      <c r="B76" s="364"/>
      <c r="C76" s="614"/>
      <c r="D76" s="615"/>
      <c r="E76" s="615"/>
      <c r="F76" s="615"/>
      <c r="G76" s="615"/>
      <c r="H76" s="365"/>
      <c r="I76" s="616"/>
      <c r="J76" s="617"/>
      <c r="K76" s="618"/>
      <c r="L76" s="619"/>
      <c r="M76" s="620"/>
      <c r="N76" s="621"/>
    </row>
    <row r="77" spans="2:14">
      <c r="B77" s="364"/>
      <c r="C77" s="614"/>
      <c r="D77" s="615"/>
      <c r="E77" s="615"/>
      <c r="F77" s="615"/>
      <c r="G77" s="615"/>
      <c r="H77" s="365"/>
      <c r="I77" s="616"/>
      <c r="J77" s="617"/>
      <c r="K77" s="618"/>
      <c r="L77" s="619"/>
      <c r="M77" s="620"/>
      <c r="N77" s="621"/>
    </row>
    <row r="78" spans="2:14">
      <c r="B78" s="364"/>
      <c r="C78" s="614"/>
      <c r="D78" s="615"/>
      <c r="E78" s="615"/>
      <c r="F78" s="615"/>
      <c r="G78" s="615"/>
      <c r="H78" s="365"/>
      <c r="I78" s="616"/>
      <c r="J78" s="617"/>
      <c r="K78" s="618"/>
      <c r="L78" s="619"/>
      <c r="M78" s="620"/>
      <c r="N78" s="621"/>
    </row>
    <row r="79" spans="2:14" ht="13.5" thickBot="1">
      <c r="B79" s="366"/>
      <c r="C79" s="622"/>
      <c r="D79" s="623"/>
      <c r="E79" s="623"/>
      <c r="F79" s="623"/>
      <c r="G79" s="623"/>
      <c r="H79" s="367"/>
      <c r="I79" s="624"/>
      <c r="J79" s="625"/>
      <c r="K79" s="626"/>
      <c r="L79" s="627"/>
      <c r="M79" s="628"/>
      <c r="N79" s="629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85" customWidth="1"/>
    <col min="2" max="7" width="10.7109375" style="385" customWidth="1"/>
    <col min="8" max="16384" width="9.140625" style="385"/>
  </cols>
  <sheetData>
    <row r="1" spans="1:12" ht="21" customHeight="1">
      <c r="A1" s="384" t="s">
        <v>411</v>
      </c>
      <c r="B1" s="654" t="s">
        <v>450</v>
      </c>
      <c r="C1" s="654"/>
      <c r="D1" s="654"/>
      <c r="E1" s="654"/>
      <c r="F1" s="654"/>
      <c r="G1" s="654"/>
    </row>
    <row r="2" spans="1:12" ht="15" customHeight="1"/>
    <row r="3" spans="1:12" ht="20.25">
      <c r="A3" s="386" t="s">
        <v>412</v>
      </c>
    </row>
    <row r="4" spans="1:12" ht="12" customHeight="1">
      <c r="A4" s="387"/>
      <c r="B4" s="387"/>
      <c r="C4" s="387"/>
      <c r="D4" s="387" t="s">
        <v>464</v>
      </c>
      <c r="E4" s="387"/>
      <c r="F4" s="387"/>
      <c r="G4" s="387"/>
      <c r="H4" s="387"/>
      <c r="I4" s="387"/>
      <c r="J4" s="387"/>
      <c r="K4" s="387"/>
      <c r="L4" s="387"/>
    </row>
    <row r="5" spans="1:12" ht="15.6" customHeight="1">
      <c r="A5" s="388" t="s">
        <v>5</v>
      </c>
      <c r="B5" s="388" t="s">
        <v>413</v>
      </c>
      <c r="C5" s="388" t="s">
        <v>414</v>
      </c>
      <c r="D5" s="388" t="s">
        <v>415</v>
      </c>
      <c r="E5" s="388" t="s">
        <v>416</v>
      </c>
      <c r="F5" s="388" t="s">
        <v>417</v>
      </c>
      <c r="G5" s="388" t="s">
        <v>418</v>
      </c>
      <c r="H5" s="387"/>
      <c r="I5" s="387"/>
      <c r="J5" s="387"/>
      <c r="K5" s="387"/>
      <c r="L5" s="387"/>
    </row>
    <row r="6" spans="1:12" ht="15.6" customHeight="1">
      <c r="A6" s="389" t="s">
        <v>419</v>
      </c>
      <c r="B6" s="389" t="s">
        <v>166</v>
      </c>
      <c r="C6" s="389" t="s">
        <v>166</v>
      </c>
      <c r="D6" s="389" t="s">
        <v>420</v>
      </c>
      <c r="E6" s="389" t="s">
        <v>135</v>
      </c>
      <c r="F6" s="389" t="s">
        <v>421</v>
      </c>
      <c r="G6" s="389" t="s">
        <v>421</v>
      </c>
      <c r="H6" s="387"/>
      <c r="I6" s="387"/>
      <c r="J6" s="387"/>
      <c r="K6" s="387"/>
      <c r="L6" s="387"/>
    </row>
    <row r="7" spans="1:12" ht="15.95" customHeight="1">
      <c r="A7" s="390" t="s">
        <v>451</v>
      </c>
      <c r="B7" s="390" t="s">
        <v>465</v>
      </c>
      <c r="C7" s="390" t="s">
        <v>478</v>
      </c>
      <c r="D7" s="390" t="s">
        <v>490</v>
      </c>
      <c r="E7" s="390" t="s">
        <v>503</v>
      </c>
      <c r="F7" s="390" t="s">
        <v>516</v>
      </c>
      <c r="G7" s="390" t="s">
        <v>529</v>
      </c>
      <c r="H7" s="387"/>
      <c r="I7" s="387"/>
      <c r="J7" s="387"/>
      <c r="K7" s="387"/>
      <c r="L7" s="387"/>
    </row>
    <row r="8" spans="1:12" ht="15.95" customHeight="1">
      <c r="A8" s="390" t="s">
        <v>452</v>
      </c>
      <c r="B8" s="390" t="s">
        <v>466</v>
      </c>
      <c r="C8" s="390" t="s">
        <v>479</v>
      </c>
      <c r="D8" s="390" t="s">
        <v>491</v>
      </c>
      <c r="E8" s="390" t="s">
        <v>504</v>
      </c>
      <c r="F8" s="390" t="s">
        <v>517</v>
      </c>
      <c r="G8" s="390" t="s">
        <v>530</v>
      </c>
      <c r="H8" s="387"/>
      <c r="I8" s="387"/>
      <c r="J8" s="387"/>
      <c r="K8" s="387"/>
      <c r="L8" s="387"/>
    </row>
    <row r="9" spans="1:12" ht="15.95" customHeight="1">
      <c r="A9" s="390" t="s">
        <v>453</v>
      </c>
      <c r="B9" s="390" t="s">
        <v>467</v>
      </c>
      <c r="C9" s="390" t="s">
        <v>480</v>
      </c>
      <c r="D9" s="390" t="s">
        <v>492</v>
      </c>
      <c r="E9" s="390" t="s">
        <v>505</v>
      </c>
      <c r="F9" s="390" t="s">
        <v>518</v>
      </c>
      <c r="G9" s="390" t="s">
        <v>531</v>
      </c>
      <c r="H9" s="387"/>
      <c r="I9" s="387"/>
      <c r="J9" s="387"/>
      <c r="K9" s="387"/>
      <c r="L9" s="387"/>
    </row>
    <row r="10" spans="1:12" ht="15.95" customHeight="1">
      <c r="A10" s="390" t="s">
        <v>454</v>
      </c>
      <c r="B10" s="390" t="s">
        <v>468</v>
      </c>
      <c r="C10" s="390" t="s">
        <v>480</v>
      </c>
      <c r="D10" s="390" t="s">
        <v>493</v>
      </c>
      <c r="E10" s="390" t="s">
        <v>506</v>
      </c>
      <c r="F10" s="390" t="s">
        <v>519</v>
      </c>
      <c r="G10" s="390" t="s">
        <v>532</v>
      </c>
      <c r="H10" s="387"/>
      <c r="I10" s="387"/>
      <c r="J10" s="387"/>
      <c r="K10" s="387"/>
      <c r="L10" s="387"/>
    </row>
    <row r="11" spans="1:12" ht="15.95" customHeight="1">
      <c r="A11" s="390" t="s">
        <v>455</v>
      </c>
      <c r="B11" s="390" t="s">
        <v>469</v>
      </c>
      <c r="C11" s="390" t="s">
        <v>481</v>
      </c>
      <c r="D11" s="390" t="s">
        <v>494</v>
      </c>
      <c r="E11" s="390" t="s">
        <v>507</v>
      </c>
      <c r="F11" s="390" t="s">
        <v>520</v>
      </c>
      <c r="G11" s="390" t="s">
        <v>533</v>
      </c>
      <c r="H11" s="387"/>
      <c r="I11" s="387"/>
      <c r="J11" s="387"/>
      <c r="K11" s="387"/>
      <c r="L11" s="387"/>
    </row>
    <row r="12" spans="1:12" ht="15.95" customHeight="1">
      <c r="A12" s="390" t="s">
        <v>456</v>
      </c>
      <c r="B12" s="390" t="s">
        <v>470</v>
      </c>
      <c r="C12" s="390" t="s">
        <v>482</v>
      </c>
      <c r="D12" s="390" t="s">
        <v>495</v>
      </c>
      <c r="E12" s="390" t="s">
        <v>508</v>
      </c>
      <c r="F12" s="390" t="s">
        <v>521</v>
      </c>
      <c r="G12" s="390" t="s">
        <v>534</v>
      </c>
      <c r="H12" s="387"/>
      <c r="I12" s="387"/>
      <c r="J12" s="387"/>
      <c r="K12" s="387"/>
      <c r="L12" s="387"/>
    </row>
    <row r="13" spans="1:12" ht="15.95" customHeight="1">
      <c r="A13" s="390" t="s">
        <v>457</v>
      </c>
      <c r="B13" s="390" t="s">
        <v>471</v>
      </c>
      <c r="C13" s="390" t="s">
        <v>483</v>
      </c>
      <c r="D13" s="390" t="s">
        <v>496</v>
      </c>
      <c r="E13" s="390" t="s">
        <v>509</v>
      </c>
      <c r="F13" s="390" t="s">
        <v>522</v>
      </c>
      <c r="G13" s="390" t="s">
        <v>535</v>
      </c>
      <c r="H13" s="387"/>
      <c r="I13" s="387"/>
      <c r="J13" s="387"/>
      <c r="K13" s="387"/>
      <c r="L13" s="387"/>
    </row>
    <row r="14" spans="1:12" ht="15.95" customHeight="1">
      <c r="A14" s="390" t="s">
        <v>458</v>
      </c>
      <c r="B14" s="390" t="s">
        <v>472</v>
      </c>
      <c r="C14" s="390" t="s">
        <v>484</v>
      </c>
      <c r="D14" s="390" t="s">
        <v>497</v>
      </c>
      <c r="E14" s="390" t="s">
        <v>510</v>
      </c>
      <c r="F14" s="390" t="s">
        <v>523</v>
      </c>
      <c r="G14" s="390" t="s">
        <v>536</v>
      </c>
      <c r="H14" s="387"/>
      <c r="I14" s="387"/>
      <c r="J14" s="387"/>
      <c r="K14" s="387"/>
      <c r="L14" s="387"/>
    </row>
    <row r="15" spans="1:12" ht="15.95" customHeight="1">
      <c r="A15" s="390" t="s">
        <v>459</v>
      </c>
      <c r="B15" s="390" t="s">
        <v>473</v>
      </c>
      <c r="C15" s="390" t="s">
        <v>485</v>
      </c>
      <c r="D15" s="390" t="s">
        <v>498</v>
      </c>
      <c r="E15" s="390" t="s">
        <v>511</v>
      </c>
      <c r="F15" s="390" t="s">
        <v>524</v>
      </c>
      <c r="G15" s="390" t="s">
        <v>537</v>
      </c>
      <c r="H15" s="387"/>
      <c r="I15" s="387"/>
      <c r="J15" s="387"/>
      <c r="K15" s="387"/>
      <c r="L15" s="387"/>
    </row>
    <row r="16" spans="1:12" ht="15.95" customHeight="1">
      <c r="A16" s="390" t="s">
        <v>460</v>
      </c>
      <c r="B16" s="390" t="s">
        <v>474</v>
      </c>
      <c r="C16" s="390" t="s">
        <v>486</v>
      </c>
      <c r="D16" s="390" t="s">
        <v>499</v>
      </c>
      <c r="E16" s="390" t="s">
        <v>512</v>
      </c>
      <c r="F16" s="390" t="s">
        <v>525</v>
      </c>
      <c r="G16" s="390" t="s">
        <v>538</v>
      </c>
      <c r="H16" s="387"/>
      <c r="I16" s="387"/>
      <c r="J16" s="387"/>
      <c r="K16" s="387"/>
      <c r="L16" s="387"/>
    </row>
    <row r="17" spans="1:12" ht="15.95" customHeight="1">
      <c r="A17" s="390" t="s">
        <v>461</v>
      </c>
      <c r="B17" s="390" t="s">
        <v>475</v>
      </c>
      <c r="C17" s="390" t="s">
        <v>487</v>
      </c>
      <c r="D17" s="390" t="s">
        <v>500</v>
      </c>
      <c r="E17" s="390" t="s">
        <v>513</v>
      </c>
      <c r="F17" s="390" t="s">
        <v>526</v>
      </c>
      <c r="G17" s="390" t="s">
        <v>539</v>
      </c>
      <c r="H17" s="387"/>
      <c r="I17" s="387"/>
      <c r="J17" s="387"/>
      <c r="K17" s="387"/>
      <c r="L17" s="387"/>
    </row>
    <row r="18" spans="1:12" ht="15.95" customHeight="1">
      <c r="A18" s="390" t="s">
        <v>462</v>
      </c>
      <c r="B18" s="390" t="s">
        <v>476</v>
      </c>
      <c r="C18" s="390" t="s">
        <v>488</v>
      </c>
      <c r="D18" s="390" t="s">
        <v>501</v>
      </c>
      <c r="E18" s="390" t="s">
        <v>514</v>
      </c>
      <c r="F18" s="390" t="s">
        <v>527</v>
      </c>
      <c r="G18" s="390" t="s">
        <v>540</v>
      </c>
      <c r="H18" s="387"/>
      <c r="I18" s="387"/>
      <c r="J18" s="387"/>
      <c r="K18" s="387"/>
      <c r="L18" s="387"/>
    </row>
    <row r="19" spans="1:12" ht="15.95" customHeight="1">
      <c r="A19" s="390" t="s">
        <v>463</v>
      </c>
      <c r="B19" s="390" t="s">
        <v>477</v>
      </c>
      <c r="C19" s="390" t="s">
        <v>489</v>
      </c>
      <c r="D19" s="390" t="s">
        <v>502</v>
      </c>
      <c r="E19" s="390" t="s">
        <v>515</v>
      </c>
      <c r="F19" s="390" t="s">
        <v>528</v>
      </c>
      <c r="G19" s="390" t="s">
        <v>541</v>
      </c>
      <c r="H19" s="387"/>
      <c r="I19" s="387"/>
      <c r="J19" s="387"/>
      <c r="K19" s="387"/>
      <c r="L19" s="387"/>
    </row>
    <row r="20" spans="1:12" ht="15.75">
      <c r="A20" s="387"/>
      <c r="B20" s="387"/>
      <c r="C20" s="387"/>
      <c r="D20" s="387"/>
      <c r="E20" s="387"/>
      <c r="F20" s="387"/>
      <c r="G20" s="387"/>
      <c r="H20" s="387"/>
      <c r="I20" s="387"/>
      <c r="J20" s="387"/>
      <c r="K20" s="387"/>
      <c r="L20" s="387"/>
    </row>
    <row r="21" spans="1:12" ht="15.75">
      <c r="A21" s="387"/>
      <c r="B21" s="387"/>
      <c r="C21" s="387"/>
      <c r="D21" s="655" t="s">
        <v>551</v>
      </c>
      <c r="E21" s="651"/>
      <c r="F21" s="651"/>
      <c r="G21" s="652"/>
      <c r="H21" s="387"/>
      <c r="I21" s="387"/>
      <c r="J21" s="387"/>
      <c r="K21" s="387"/>
      <c r="L21" s="387"/>
    </row>
    <row r="22" spans="1:12" ht="17.25" customHeight="1">
      <c r="A22" s="387"/>
      <c r="B22" s="653" t="s">
        <v>422</v>
      </c>
      <c r="C22" s="653"/>
      <c r="D22" s="653" t="s">
        <v>423</v>
      </c>
      <c r="E22" s="653"/>
      <c r="F22" s="653" t="s">
        <v>424</v>
      </c>
      <c r="G22" s="653"/>
      <c r="H22" s="387"/>
      <c r="I22" s="387"/>
      <c r="J22" s="387"/>
      <c r="K22" s="387"/>
      <c r="L22" s="387"/>
    </row>
    <row r="23" spans="1:12" ht="15.75">
      <c r="A23" s="392" t="s">
        <v>425</v>
      </c>
      <c r="B23" s="649" t="s">
        <v>542</v>
      </c>
      <c r="C23" s="649"/>
      <c r="D23" s="649" t="s">
        <v>545</v>
      </c>
      <c r="E23" s="649"/>
      <c r="F23" s="649" t="s">
        <v>548</v>
      </c>
      <c r="G23" s="649"/>
      <c r="H23" s="387"/>
      <c r="I23" s="387"/>
      <c r="J23" s="387"/>
      <c r="K23" s="387"/>
      <c r="L23" s="387"/>
    </row>
    <row r="24" spans="1:12" ht="18" customHeight="1">
      <c r="A24" s="392" t="s">
        <v>426</v>
      </c>
      <c r="B24" s="649" t="s">
        <v>543</v>
      </c>
      <c r="C24" s="649"/>
      <c r="D24" s="649" t="s">
        <v>546</v>
      </c>
      <c r="E24" s="649"/>
      <c r="F24" s="649" t="s">
        <v>549</v>
      </c>
      <c r="G24" s="649"/>
      <c r="H24" s="387"/>
      <c r="I24" s="387"/>
      <c r="J24" s="387"/>
      <c r="K24" s="387"/>
      <c r="L24" s="387"/>
    </row>
    <row r="25" spans="1:12" ht="15.75">
      <c r="A25" s="392" t="s">
        <v>427</v>
      </c>
      <c r="B25" s="649" t="s">
        <v>544</v>
      </c>
      <c r="C25" s="649"/>
      <c r="D25" s="649" t="s">
        <v>547</v>
      </c>
      <c r="E25" s="649"/>
      <c r="F25" s="649" t="s">
        <v>550</v>
      </c>
      <c r="G25" s="649"/>
      <c r="H25" s="387"/>
      <c r="I25" s="387"/>
      <c r="J25" s="387"/>
      <c r="K25" s="387"/>
      <c r="L25" s="387"/>
    </row>
    <row r="26" spans="1:12" ht="15.75">
      <c r="A26" s="387"/>
      <c r="B26" s="387"/>
      <c r="C26" s="387"/>
      <c r="D26" s="387"/>
      <c r="E26" s="387"/>
      <c r="F26" s="387"/>
      <c r="G26" s="387"/>
      <c r="H26" s="387"/>
      <c r="I26" s="387"/>
      <c r="J26" s="387"/>
      <c r="K26" s="387"/>
      <c r="L26" s="387"/>
    </row>
    <row r="27" spans="1:12" ht="20.25">
      <c r="A27" s="386" t="s">
        <v>428</v>
      </c>
      <c r="B27" s="387"/>
      <c r="C27" s="387"/>
      <c r="D27" s="387"/>
      <c r="E27" s="387"/>
      <c r="F27" s="387"/>
      <c r="G27" s="387"/>
      <c r="H27" s="387"/>
      <c r="I27" s="387"/>
      <c r="J27" s="387"/>
      <c r="K27" s="387"/>
      <c r="L27" s="387"/>
    </row>
    <row r="28" spans="1:12" ht="15.75">
      <c r="A28" s="387"/>
      <c r="B28" s="387"/>
      <c r="C28" s="387"/>
      <c r="D28" s="387"/>
      <c r="E28" s="650" t="s">
        <v>429</v>
      </c>
      <c r="F28" s="651"/>
      <c r="G28" s="652"/>
      <c r="H28" s="387"/>
      <c r="I28" s="387"/>
      <c r="J28" s="387"/>
      <c r="K28" s="387"/>
      <c r="L28" s="387"/>
    </row>
    <row r="29" spans="1:12" ht="15.75">
      <c r="A29" s="387"/>
      <c r="B29" s="653" t="s">
        <v>430</v>
      </c>
      <c r="C29" s="653"/>
      <c r="D29" s="391" t="s">
        <v>431</v>
      </c>
      <c r="E29" s="391" t="s">
        <v>432</v>
      </c>
      <c r="F29" s="653" t="s">
        <v>433</v>
      </c>
      <c r="G29" s="653"/>
      <c r="H29" s="387"/>
      <c r="I29" s="387"/>
      <c r="J29" s="387"/>
      <c r="K29" s="387"/>
      <c r="L29" s="387"/>
    </row>
    <row r="30" spans="1:12" ht="15.75">
      <c r="A30" s="392" t="s">
        <v>434</v>
      </c>
      <c r="B30" s="649" t="s">
        <v>552</v>
      </c>
      <c r="C30" s="649"/>
      <c r="D30" s="390" t="s">
        <v>555</v>
      </c>
      <c r="E30" s="390" t="s">
        <v>435</v>
      </c>
      <c r="F30" s="649" t="s">
        <v>558</v>
      </c>
      <c r="G30" s="649"/>
      <c r="H30" s="387"/>
      <c r="I30" s="387"/>
      <c r="J30" s="387"/>
      <c r="K30" s="387"/>
      <c r="L30" s="387"/>
    </row>
    <row r="31" spans="1:12" ht="15.75">
      <c r="A31" s="392" t="s">
        <v>436</v>
      </c>
      <c r="B31" s="649" t="s">
        <v>553</v>
      </c>
      <c r="C31" s="649"/>
      <c r="D31" s="390" t="s">
        <v>556</v>
      </c>
      <c r="E31" s="390" t="s">
        <v>437</v>
      </c>
      <c r="F31" s="649" t="s">
        <v>559</v>
      </c>
      <c r="G31" s="649"/>
      <c r="H31" s="387"/>
      <c r="I31" s="387"/>
      <c r="J31" s="387"/>
      <c r="K31" s="387"/>
      <c r="L31" s="387"/>
    </row>
    <row r="32" spans="1:12" ht="15.75">
      <c r="A32" s="392" t="s">
        <v>438</v>
      </c>
      <c r="B32" s="649" t="s">
        <v>554</v>
      </c>
      <c r="C32" s="649"/>
      <c r="D32" s="390" t="s">
        <v>557</v>
      </c>
      <c r="E32" s="390" t="s">
        <v>439</v>
      </c>
      <c r="F32" s="649" t="s">
        <v>560</v>
      </c>
      <c r="G32" s="649"/>
      <c r="H32" s="387"/>
      <c r="I32" s="387"/>
      <c r="J32" s="387"/>
      <c r="K32" s="387"/>
      <c r="L32" s="387"/>
    </row>
    <row r="33" spans="1:12" ht="15.75">
      <c r="A33" s="387"/>
      <c r="B33" s="387"/>
      <c r="C33" s="387"/>
      <c r="D33" s="387"/>
      <c r="E33" s="387"/>
      <c r="F33" s="387"/>
      <c r="G33" s="387"/>
      <c r="H33" s="387"/>
      <c r="I33" s="387"/>
      <c r="J33" s="387"/>
      <c r="K33" s="387"/>
      <c r="L33" s="387"/>
    </row>
    <row r="34" spans="1:12" ht="15.75">
      <c r="A34" s="387"/>
      <c r="B34" s="387"/>
      <c r="C34" s="387"/>
      <c r="D34" s="387"/>
      <c r="E34" s="650" t="s">
        <v>440</v>
      </c>
      <c r="F34" s="651"/>
      <c r="G34" s="652"/>
      <c r="H34" s="387"/>
      <c r="I34" s="387"/>
      <c r="J34" s="387"/>
      <c r="K34" s="387"/>
      <c r="L34" s="387"/>
    </row>
    <row r="35" spans="1:12" ht="15.75">
      <c r="A35" s="387"/>
      <c r="B35" s="653" t="s">
        <v>441</v>
      </c>
      <c r="C35" s="653"/>
      <c r="D35" s="391" t="s">
        <v>432</v>
      </c>
      <c r="E35" s="391" t="s">
        <v>442</v>
      </c>
      <c r="F35" s="391" t="s">
        <v>100</v>
      </c>
      <c r="G35" s="391" t="s">
        <v>443</v>
      </c>
      <c r="H35" s="387"/>
      <c r="I35" s="387"/>
      <c r="J35" s="387"/>
      <c r="K35" s="387"/>
      <c r="L35" s="387"/>
    </row>
    <row r="36" spans="1:12" ht="15.75">
      <c r="A36" s="392" t="s">
        <v>434</v>
      </c>
      <c r="B36" s="645" t="s">
        <v>561</v>
      </c>
      <c r="C36" s="646"/>
      <c r="D36" s="393" t="s">
        <v>563</v>
      </c>
      <c r="E36" s="393" t="s">
        <v>444</v>
      </c>
      <c r="F36" s="394" t="s">
        <v>445</v>
      </c>
      <c r="G36" s="390" t="s">
        <v>566</v>
      </c>
      <c r="H36" s="387"/>
      <c r="I36" s="387"/>
      <c r="J36" s="387"/>
      <c r="K36" s="387"/>
      <c r="L36" s="387"/>
    </row>
    <row r="37" spans="1:12" ht="15.75">
      <c r="A37" s="392" t="s">
        <v>436</v>
      </c>
      <c r="B37" s="645" t="s">
        <v>562</v>
      </c>
      <c r="C37" s="646"/>
      <c r="D37" s="393" t="s">
        <v>564</v>
      </c>
      <c r="E37" s="393" t="s">
        <v>444</v>
      </c>
      <c r="F37" s="394" t="s">
        <v>446</v>
      </c>
      <c r="G37" s="395" t="s">
        <v>567</v>
      </c>
      <c r="H37" s="387"/>
      <c r="I37" s="387"/>
      <c r="J37" s="387"/>
      <c r="K37" s="387"/>
      <c r="L37" s="387"/>
    </row>
    <row r="38" spans="1:12" ht="15.75">
      <c r="A38" s="392" t="s">
        <v>438</v>
      </c>
      <c r="B38" s="645" t="s">
        <v>562</v>
      </c>
      <c r="C38" s="646"/>
      <c r="D38" s="393" t="s">
        <v>565</v>
      </c>
      <c r="E38" s="393" t="s">
        <v>444</v>
      </c>
      <c r="F38" s="394" t="s">
        <v>447</v>
      </c>
      <c r="G38" s="390" t="s">
        <v>568</v>
      </c>
      <c r="H38" s="387"/>
      <c r="I38" s="387"/>
      <c r="J38" s="387"/>
      <c r="K38" s="387"/>
      <c r="L38" s="387"/>
    </row>
    <row r="39" spans="1:12" ht="15.75">
      <c r="A39" s="387"/>
      <c r="B39" s="387"/>
      <c r="C39" s="387"/>
      <c r="D39" s="387"/>
      <c r="E39" s="387"/>
      <c r="F39" s="387"/>
      <c r="G39" s="387"/>
      <c r="H39" s="387"/>
      <c r="I39" s="387"/>
      <c r="J39" s="387"/>
      <c r="K39" s="387"/>
      <c r="L39" s="387"/>
    </row>
    <row r="40" spans="1:12" ht="15.75">
      <c r="A40" s="396" t="s">
        <v>448</v>
      </c>
      <c r="B40" s="647" t="s">
        <v>569</v>
      </c>
      <c r="C40" s="647"/>
      <c r="D40" s="648" t="s">
        <v>449</v>
      </c>
      <c r="E40" s="648"/>
      <c r="F40" s="647" t="s">
        <v>570</v>
      </c>
      <c r="G40" s="647"/>
      <c r="H40" s="387"/>
      <c r="I40" s="387"/>
      <c r="J40" s="387"/>
      <c r="K40" s="387"/>
      <c r="L40" s="387"/>
    </row>
    <row r="41" spans="1:12" ht="15.75">
      <c r="A41" s="387"/>
      <c r="B41" s="387"/>
      <c r="C41" s="387"/>
      <c r="D41" s="387"/>
      <c r="E41" s="387"/>
      <c r="F41" s="387"/>
      <c r="G41" s="387"/>
      <c r="H41" s="387"/>
      <c r="I41" s="387"/>
      <c r="J41" s="387"/>
      <c r="K41" s="387"/>
      <c r="L41" s="387"/>
    </row>
    <row r="42" spans="1:12" ht="15.75">
      <c r="A42" s="387"/>
      <c r="B42" s="387"/>
      <c r="C42" s="387"/>
      <c r="D42" s="387"/>
      <c r="E42" s="387"/>
      <c r="F42" s="387"/>
      <c r="G42" s="387"/>
      <c r="H42" s="387"/>
      <c r="I42" s="387"/>
      <c r="J42" s="387"/>
      <c r="K42" s="387"/>
      <c r="L42" s="387"/>
    </row>
    <row r="43" spans="1:12" ht="15.75">
      <c r="A43" s="387"/>
      <c r="B43" s="387"/>
      <c r="C43" s="387"/>
      <c r="D43" s="387"/>
      <c r="E43" s="387"/>
      <c r="F43" s="387"/>
      <c r="G43" s="387"/>
      <c r="H43" s="387"/>
      <c r="I43" s="387"/>
      <c r="J43" s="387"/>
      <c r="K43" s="387"/>
      <c r="L43" s="387"/>
    </row>
    <row r="44" spans="1:12" ht="15.75">
      <c r="A44" s="387"/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</row>
    <row r="45" spans="1:12" ht="15.75">
      <c r="A45" s="387"/>
      <c r="B45" s="387"/>
      <c r="C45" s="387"/>
      <c r="D45" s="387"/>
      <c r="E45" s="387"/>
      <c r="F45" s="387"/>
      <c r="G45" s="387"/>
      <c r="H45" s="387"/>
      <c r="I45" s="387"/>
      <c r="J45" s="387"/>
      <c r="K45" s="387"/>
      <c r="L45" s="387"/>
    </row>
    <row r="46" spans="1:12" ht="15.75">
      <c r="A46" s="387"/>
      <c r="B46" s="387"/>
      <c r="C46" s="387"/>
      <c r="D46" s="387"/>
      <c r="E46" s="387"/>
      <c r="F46" s="387"/>
      <c r="G46" s="387"/>
      <c r="H46" s="387"/>
      <c r="I46" s="387"/>
      <c r="J46" s="387"/>
      <c r="K46" s="387"/>
      <c r="L46" s="387"/>
    </row>
    <row r="47" spans="1:12" ht="15.75">
      <c r="A47" s="387"/>
      <c r="B47" s="387"/>
      <c r="C47" s="387"/>
      <c r="D47" s="387"/>
      <c r="E47" s="387"/>
      <c r="F47" s="387"/>
      <c r="G47" s="387"/>
      <c r="H47" s="387"/>
      <c r="I47" s="387"/>
      <c r="J47" s="387"/>
      <c r="K47" s="387"/>
      <c r="L47" s="387"/>
    </row>
    <row r="48" spans="1:12" ht="15.75">
      <c r="A48" s="387"/>
      <c r="B48" s="387"/>
      <c r="C48" s="387"/>
      <c r="D48" s="387"/>
      <c r="E48" s="387"/>
      <c r="F48" s="387"/>
      <c r="G48" s="387"/>
      <c r="H48" s="387"/>
      <c r="I48" s="387"/>
      <c r="J48" s="387"/>
      <c r="K48" s="387"/>
      <c r="L48" s="387"/>
    </row>
    <row r="49" spans="1:12" ht="15.75">
      <c r="A49" s="387"/>
      <c r="B49" s="387"/>
      <c r="C49" s="387"/>
      <c r="D49" s="387"/>
      <c r="E49" s="387"/>
      <c r="F49" s="387"/>
      <c r="G49" s="387"/>
      <c r="H49" s="387"/>
      <c r="I49" s="387"/>
      <c r="J49" s="387"/>
      <c r="K49" s="387"/>
      <c r="L49" s="387"/>
    </row>
    <row r="50" spans="1:12" ht="15.75">
      <c r="A50" s="387"/>
      <c r="B50" s="387"/>
      <c r="C50" s="387"/>
      <c r="D50" s="387"/>
      <c r="E50" s="387"/>
      <c r="F50" s="387"/>
      <c r="G50" s="387"/>
      <c r="H50" s="387"/>
      <c r="I50" s="387"/>
      <c r="J50" s="387"/>
      <c r="K50" s="387"/>
      <c r="L50" s="387"/>
    </row>
    <row r="51" spans="1:12" ht="15.75">
      <c r="A51" s="387"/>
      <c r="B51" s="387"/>
      <c r="C51" s="387"/>
      <c r="D51" s="387"/>
      <c r="E51" s="387"/>
      <c r="F51" s="387"/>
      <c r="G51" s="387"/>
      <c r="H51" s="387"/>
      <c r="I51" s="387"/>
      <c r="J51" s="387"/>
      <c r="K51" s="387"/>
      <c r="L51" s="387"/>
    </row>
    <row r="52" spans="1:12" ht="15.75">
      <c r="A52" s="387"/>
      <c r="B52" s="387"/>
      <c r="C52" s="387"/>
      <c r="D52" s="387"/>
      <c r="E52" s="387"/>
      <c r="F52" s="387"/>
      <c r="G52" s="387"/>
      <c r="H52" s="387"/>
      <c r="I52" s="387"/>
      <c r="J52" s="387"/>
      <c r="K52" s="387"/>
      <c r="L52" s="387"/>
    </row>
    <row r="53" spans="1:12" ht="15.75">
      <c r="A53" s="387"/>
      <c r="B53" s="387"/>
      <c r="C53" s="387"/>
      <c r="D53" s="387"/>
      <c r="E53" s="387"/>
      <c r="F53" s="387"/>
      <c r="G53" s="387"/>
      <c r="H53" s="387"/>
      <c r="I53" s="387"/>
      <c r="J53" s="387"/>
      <c r="K53" s="387"/>
      <c r="L53" s="387"/>
    </row>
    <row r="54" spans="1:12" ht="15.75">
      <c r="A54" s="387"/>
      <c r="B54" s="387"/>
      <c r="C54" s="387"/>
      <c r="D54" s="387"/>
      <c r="E54" s="387"/>
      <c r="F54" s="387"/>
      <c r="G54" s="387"/>
      <c r="H54" s="387"/>
      <c r="I54" s="387"/>
      <c r="J54" s="387"/>
      <c r="K54" s="387"/>
      <c r="L54" s="387"/>
    </row>
    <row r="55" spans="1:12" ht="15.75">
      <c r="A55" s="387"/>
      <c r="B55" s="387"/>
      <c r="C55" s="387"/>
      <c r="D55" s="387"/>
      <c r="E55" s="387"/>
      <c r="F55" s="387"/>
      <c r="G55" s="387"/>
      <c r="H55" s="387"/>
      <c r="I55" s="387"/>
      <c r="J55" s="387"/>
      <c r="K55" s="387"/>
      <c r="L55" s="387"/>
    </row>
    <row r="56" spans="1:12" ht="15.75">
      <c r="A56" s="387"/>
      <c r="B56" s="387"/>
      <c r="C56" s="387"/>
      <c r="D56" s="387"/>
      <c r="E56" s="387"/>
      <c r="F56" s="387"/>
      <c r="G56" s="387"/>
      <c r="H56" s="387"/>
      <c r="I56" s="387"/>
      <c r="J56" s="387"/>
      <c r="K56" s="387"/>
      <c r="L56" s="387"/>
    </row>
    <row r="57" spans="1:12" ht="15.75">
      <c r="A57" s="387"/>
      <c r="B57" s="387"/>
      <c r="C57" s="387"/>
      <c r="D57" s="387"/>
      <c r="E57" s="387"/>
      <c r="F57" s="387"/>
      <c r="G57" s="387"/>
      <c r="H57" s="387"/>
      <c r="I57" s="387"/>
      <c r="J57" s="387"/>
      <c r="K57" s="387"/>
      <c r="L57" s="387"/>
    </row>
    <row r="58" spans="1:12" ht="15.75">
      <c r="A58" s="387"/>
      <c r="B58" s="387"/>
      <c r="C58" s="387"/>
      <c r="D58" s="387"/>
      <c r="E58" s="387"/>
      <c r="F58" s="387"/>
      <c r="G58" s="387"/>
      <c r="H58" s="387"/>
      <c r="I58" s="387"/>
      <c r="J58" s="387"/>
      <c r="K58" s="387"/>
      <c r="L58" s="387"/>
    </row>
    <row r="59" spans="1:12" ht="15.75">
      <c r="A59" s="387"/>
      <c r="B59" s="387"/>
      <c r="C59" s="387"/>
      <c r="D59" s="387"/>
      <c r="E59" s="387"/>
      <c r="F59" s="387"/>
      <c r="G59" s="387"/>
      <c r="H59" s="387"/>
      <c r="I59" s="387"/>
      <c r="J59" s="387"/>
      <c r="K59" s="387"/>
      <c r="L59" s="387"/>
    </row>
    <row r="60" spans="1:12" ht="15.75">
      <c r="A60" s="387"/>
      <c r="B60" s="387"/>
      <c r="C60" s="387"/>
      <c r="D60" s="387"/>
      <c r="E60" s="387"/>
      <c r="F60" s="387"/>
      <c r="G60" s="387"/>
      <c r="H60" s="387"/>
      <c r="I60" s="387"/>
      <c r="J60" s="387"/>
      <c r="K60" s="387"/>
      <c r="L60" s="387"/>
    </row>
    <row r="61" spans="1:12" ht="15.75">
      <c r="A61" s="387"/>
      <c r="B61" s="387"/>
      <c r="C61" s="387"/>
      <c r="D61" s="387"/>
      <c r="E61" s="387"/>
      <c r="F61" s="387"/>
      <c r="G61" s="387"/>
      <c r="H61" s="387"/>
      <c r="I61" s="387"/>
      <c r="J61" s="387"/>
      <c r="K61" s="387"/>
      <c r="L61" s="387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horizontalDpi="12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8" transitionEvaluation="1"/>
  <dimension ref="A1:N120"/>
  <sheetViews>
    <sheetView showGridLines="0" tabSelected="1" topLeftCell="A8" zoomScaleNormal="100" workbookViewId="0">
      <selection activeCell="C17" sqref="C17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267</v>
      </c>
      <c r="B1" s="443"/>
      <c r="C1" s="443"/>
      <c r="D1" s="443"/>
      <c r="E1" s="443"/>
      <c r="F1" s="443"/>
      <c r="G1" s="443"/>
      <c r="H1" s="443"/>
      <c r="I1" s="443"/>
      <c r="J1" s="444" t="s">
        <v>604</v>
      </c>
      <c r="K1" s="445"/>
      <c r="L1" s="446" t="s">
        <v>605</v>
      </c>
      <c r="M1" s="447"/>
      <c r="N1" s="448"/>
    </row>
    <row r="2" spans="1:14" ht="17.100000000000001" customHeight="1">
      <c r="A2" s="450" t="s">
        <v>606</v>
      </c>
      <c r="B2" s="451"/>
      <c r="C2" s="451"/>
      <c r="D2" s="451"/>
      <c r="E2" s="451"/>
      <c r="F2" s="451"/>
      <c r="G2" s="451"/>
      <c r="H2" s="451"/>
      <c r="I2" s="451"/>
      <c r="J2" s="452" t="s">
        <v>607</v>
      </c>
      <c r="K2" s="453"/>
      <c r="L2" s="454" t="s">
        <v>608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609</v>
      </c>
      <c r="K3" s="453"/>
      <c r="L3" s="458" t="s">
        <v>610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611</v>
      </c>
      <c r="K4" s="453"/>
      <c r="L4" s="458" t="s">
        <v>612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613</v>
      </c>
      <c r="K5" s="453"/>
      <c r="L5" s="454">
        <v>2</v>
      </c>
      <c r="M5" s="455"/>
      <c r="N5" s="448"/>
    </row>
    <row r="6" spans="1:14" ht="15.95" customHeight="1">
      <c r="A6" s="460" t="s">
        <v>614</v>
      </c>
      <c r="B6" s="457"/>
      <c r="C6" s="457"/>
      <c r="D6" s="457"/>
      <c r="E6" s="457"/>
      <c r="F6" s="457"/>
      <c r="G6" s="457"/>
      <c r="H6" s="457"/>
      <c r="I6" s="457"/>
      <c r="J6" s="452" t="s">
        <v>615</v>
      </c>
      <c r="K6" s="453"/>
      <c r="L6" s="454" t="s">
        <v>616</v>
      </c>
      <c r="M6" s="455"/>
      <c r="N6" s="448"/>
    </row>
    <row r="7" spans="1:14" ht="15.95" customHeight="1" thickBot="1">
      <c r="A7" s="461" t="s">
        <v>617</v>
      </c>
      <c r="B7" s="462"/>
      <c r="C7" s="462"/>
      <c r="D7" s="462"/>
      <c r="E7" s="462"/>
      <c r="F7" s="462"/>
      <c r="G7" s="462"/>
      <c r="H7" s="462"/>
      <c r="I7" s="462"/>
      <c r="J7" s="463" t="s">
        <v>618</v>
      </c>
      <c r="K7" s="464"/>
      <c r="L7" s="465" t="s">
        <v>619</v>
      </c>
      <c r="M7" s="466"/>
      <c r="N7" s="448"/>
    </row>
    <row r="8" spans="1:14" ht="15.95" customHeight="1">
      <c r="A8" s="467"/>
      <c r="B8" s="457"/>
      <c r="C8" s="457"/>
      <c r="D8" s="457"/>
      <c r="E8" s="457"/>
      <c r="F8" s="457"/>
      <c r="G8" s="457"/>
      <c r="H8" s="457"/>
      <c r="I8" s="457"/>
      <c r="J8" s="457"/>
      <c r="K8" s="468"/>
      <c r="L8" s="469"/>
      <c r="M8" s="470"/>
      <c r="N8" s="457"/>
    </row>
    <row r="9" spans="1:14" ht="12" customHeight="1">
      <c r="A9" s="471"/>
      <c r="B9" s="472" t="s">
        <v>620</v>
      </c>
      <c r="C9" s="473" t="s">
        <v>175</v>
      </c>
      <c r="D9" s="474"/>
      <c r="E9" s="474"/>
      <c r="F9" s="474"/>
      <c r="G9" s="474"/>
      <c r="H9" s="474"/>
      <c r="I9" s="474"/>
      <c r="J9" s="474"/>
      <c r="K9" s="475"/>
      <c r="L9" s="471"/>
      <c r="M9" s="474"/>
      <c r="N9" s="457"/>
    </row>
    <row r="10" spans="1:14" ht="12" customHeight="1">
      <c r="A10" s="471"/>
      <c r="B10" s="472" t="s">
        <v>621</v>
      </c>
      <c r="C10" s="476" t="s">
        <v>175</v>
      </c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469"/>
    </row>
    <row r="11" spans="1:14" ht="16.5" thickBot="1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</row>
    <row r="12" spans="1:14" ht="20.100000000000001" customHeight="1" thickBot="1">
      <c r="A12" s="477" t="s">
        <v>622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9"/>
      <c r="N12" s="448"/>
    </row>
    <row r="13" spans="1:14" ht="12.95" customHeight="1" thickTop="1">
      <c r="A13" s="480"/>
      <c r="B13" s="472" t="s">
        <v>623</v>
      </c>
      <c r="C13" s="481">
        <v>250</v>
      </c>
      <c r="D13" s="471"/>
      <c r="E13" s="472" t="s">
        <v>624</v>
      </c>
      <c r="F13" s="481">
        <v>460</v>
      </c>
      <c r="G13" s="471"/>
      <c r="H13" s="472" t="s">
        <v>625</v>
      </c>
      <c r="I13" s="481" t="s">
        <v>709</v>
      </c>
      <c r="J13" s="471"/>
      <c r="K13" s="471"/>
      <c r="L13" s="472" t="s">
        <v>626</v>
      </c>
      <c r="M13" s="482">
        <v>1800</v>
      </c>
      <c r="N13" s="448"/>
    </row>
    <row r="14" spans="1:14" ht="12.95" customHeight="1">
      <c r="A14" s="480"/>
      <c r="B14" s="472" t="s">
        <v>627</v>
      </c>
      <c r="C14" s="481" t="s">
        <v>710</v>
      </c>
      <c r="D14" s="471"/>
      <c r="E14" s="472" t="s">
        <v>628</v>
      </c>
      <c r="F14" s="483" t="s">
        <v>669</v>
      </c>
      <c r="G14" s="471"/>
      <c r="H14" s="472" t="s">
        <v>629</v>
      </c>
      <c r="I14" s="481">
        <v>295</v>
      </c>
      <c r="J14" s="471"/>
      <c r="K14" s="471"/>
      <c r="L14" s="472" t="s">
        <v>584</v>
      </c>
      <c r="M14" s="482">
        <v>1788</v>
      </c>
      <c r="N14" s="448"/>
    </row>
    <row r="15" spans="1:14" ht="12.95" customHeight="1">
      <c r="A15" s="480"/>
      <c r="B15" s="472" t="s">
        <v>630</v>
      </c>
      <c r="C15" s="481" t="s">
        <v>575</v>
      </c>
      <c r="D15" s="471"/>
      <c r="E15" s="472" t="s">
        <v>631</v>
      </c>
      <c r="F15" s="484" t="s">
        <v>712</v>
      </c>
      <c r="G15" s="471"/>
      <c r="H15" s="472" t="s">
        <v>632</v>
      </c>
      <c r="I15" s="483" t="s">
        <v>184</v>
      </c>
      <c r="J15" s="471"/>
      <c r="K15" s="471"/>
      <c r="L15" s="472" t="s">
        <v>633</v>
      </c>
      <c r="M15" s="482" t="s">
        <v>363</v>
      </c>
      <c r="N15" s="448"/>
    </row>
    <row r="16" spans="1:14" ht="12.95" customHeight="1">
      <c r="A16" s="480"/>
      <c r="B16" s="472" t="s">
        <v>634</v>
      </c>
      <c r="C16" s="481" t="s">
        <v>711</v>
      </c>
      <c r="D16" s="471"/>
      <c r="E16" s="472" t="s">
        <v>635</v>
      </c>
      <c r="F16" s="481" t="s">
        <v>444</v>
      </c>
      <c r="G16" s="471"/>
      <c r="H16" s="485" t="s">
        <v>636</v>
      </c>
      <c r="I16" s="486" t="s">
        <v>360</v>
      </c>
      <c r="J16" s="471"/>
      <c r="K16" s="471"/>
      <c r="L16" s="472" t="s">
        <v>637</v>
      </c>
      <c r="M16" s="482" t="s">
        <v>638</v>
      </c>
      <c r="N16" s="448"/>
    </row>
    <row r="17" spans="1:14" ht="12.95" customHeight="1">
      <c r="A17" s="480"/>
      <c r="B17" s="472" t="s">
        <v>639</v>
      </c>
      <c r="C17" s="473" t="s">
        <v>386</v>
      </c>
      <c r="D17" s="471"/>
      <c r="E17" s="472"/>
      <c r="F17" s="483"/>
      <c r="G17" s="471"/>
      <c r="H17" s="472" t="s">
        <v>640</v>
      </c>
      <c r="I17" s="486">
        <v>186</v>
      </c>
      <c r="J17" s="471"/>
      <c r="K17" s="471"/>
      <c r="L17" s="472"/>
      <c r="M17" s="487"/>
      <c r="N17" s="448"/>
    </row>
    <row r="18" spans="1:14" ht="12.95" customHeight="1" thickBot="1">
      <c r="A18" s="488"/>
      <c r="B18" s="489" t="s">
        <v>641</v>
      </c>
      <c r="C18" s="490">
        <v>96.2</v>
      </c>
      <c r="D18" s="491"/>
      <c r="E18" s="489" t="s">
        <v>642</v>
      </c>
      <c r="F18" s="490" t="s">
        <v>175</v>
      </c>
      <c r="G18" s="492"/>
      <c r="H18" s="489" t="s">
        <v>643</v>
      </c>
      <c r="I18" s="490">
        <v>82</v>
      </c>
      <c r="J18" s="491"/>
      <c r="K18" s="491"/>
      <c r="L18" s="491"/>
      <c r="M18" s="493"/>
      <c r="N18" s="448"/>
    </row>
    <row r="19" spans="1:14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14" ht="20.100000000000001" customHeight="1" thickBot="1">
      <c r="A20" s="477"/>
      <c r="B20" s="478"/>
      <c r="C20" s="478"/>
      <c r="D20" s="478"/>
      <c r="E20" s="478"/>
      <c r="F20" s="478"/>
      <c r="G20" s="478"/>
      <c r="H20" s="478"/>
      <c r="I20" s="478"/>
      <c r="J20" s="478"/>
      <c r="K20" s="478"/>
      <c r="L20" s="478"/>
      <c r="M20" s="479"/>
    </row>
    <row r="21" spans="1:14" ht="15.95" customHeight="1" thickTop="1">
      <c r="A21" s="494" t="s">
        <v>644</v>
      </c>
      <c r="B21" s="495"/>
      <c r="C21" s="469"/>
      <c r="D21" s="496"/>
      <c r="E21" s="497" t="s">
        <v>645</v>
      </c>
      <c r="F21" s="498"/>
      <c r="G21" s="498"/>
      <c r="H21" s="499"/>
      <c r="I21" s="500" t="s">
        <v>646</v>
      </c>
      <c r="J21" s="498"/>
      <c r="K21" s="498"/>
      <c r="L21" s="469"/>
      <c r="M21" s="501"/>
    </row>
    <row r="22" spans="1:14" ht="15.95" customHeight="1">
      <c r="A22" s="502"/>
      <c r="B22" s="471"/>
      <c r="C22" s="472" t="s">
        <v>647</v>
      </c>
      <c r="D22" s="503">
        <v>1992</v>
      </c>
      <c r="E22" s="472"/>
      <c r="G22" s="485" t="s">
        <v>648</v>
      </c>
      <c r="H22" s="504">
        <v>734</v>
      </c>
      <c r="I22" s="472"/>
      <c r="J22" s="471"/>
      <c r="K22" s="472" t="s">
        <v>649</v>
      </c>
      <c r="L22" s="471" t="s">
        <v>650</v>
      </c>
      <c r="M22" s="487"/>
    </row>
    <row r="23" spans="1:14" ht="15.95" customHeight="1">
      <c r="A23" s="502"/>
      <c r="B23" s="472"/>
      <c r="C23" s="475"/>
      <c r="D23" s="505"/>
      <c r="E23" s="472"/>
      <c r="G23" s="472" t="s">
        <v>651</v>
      </c>
      <c r="H23" s="503">
        <v>210</v>
      </c>
      <c r="I23" s="471"/>
      <c r="J23" s="471"/>
      <c r="K23" s="472" t="s">
        <v>652</v>
      </c>
      <c r="L23" s="471" t="s">
        <v>650</v>
      </c>
      <c r="M23" s="487"/>
    </row>
    <row r="24" spans="1:14" ht="15.95" customHeight="1">
      <c r="A24" s="480"/>
      <c r="B24" s="472"/>
      <c r="C24" s="471"/>
      <c r="D24" s="505"/>
      <c r="E24" s="472"/>
      <c r="G24" s="485" t="s">
        <v>653</v>
      </c>
      <c r="H24" s="503">
        <v>280</v>
      </c>
      <c r="I24" s="471"/>
      <c r="J24" s="472"/>
      <c r="K24" s="471"/>
      <c r="L24" s="471"/>
      <c r="M24" s="487"/>
    </row>
    <row r="25" spans="1:14" ht="15.95" customHeight="1" thickBot="1">
      <c r="A25" s="488"/>
      <c r="B25" s="489"/>
      <c r="C25" s="491"/>
      <c r="D25" s="506"/>
      <c r="E25" s="489"/>
      <c r="F25" s="489"/>
      <c r="G25" s="489"/>
      <c r="H25" s="507"/>
      <c r="I25" s="491"/>
      <c r="J25" s="489"/>
      <c r="K25" s="491"/>
      <c r="L25" s="491"/>
      <c r="M25" s="493"/>
    </row>
    <row r="26" spans="1:14" ht="18.95" customHeight="1" thickBot="1">
      <c r="A26" s="467"/>
      <c r="B26" s="467"/>
      <c r="C26" s="467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</row>
    <row r="27" spans="1:14" ht="20.100000000000001" customHeight="1" thickBot="1">
      <c r="A27" s="508"/>
      <c r="B27" s="509"/>
      <c r="C27" s="509"/>
      <c r="D27" s="509"/>
      <c r="E27" s="509"/>
      <c r="F27" s="509"/>
      <c r="G27" s="510"/>
      <c r="H27" s="509"/>
      <c r="I27" s="509"/>
      <c r="J27" s="509"/>
      <c r="K27" s="509"/>
      <c r="L27" s="509"/>
      <c r="M27" s="511"/>
    </row>
    <row r="28" spans="1:14" ht="15.95" customHeight="1" thickTop="1">
      <c r="A28" s="512" t="s">
        <v>654</v>
      </c>
      <c r="B28" s="495"/>
      <c r="C28" s="469"/>
      <c r="D28" s="469"/>
      <c r="E28" s="498"/>
      <c r="F28" s="498"/>
      <c r="G28" s="513"/>
      <c r="H28" s="497" t="s">
        <v>655</v>
      </c>
      <c r="I28" s="498"/>
      <c r="J28" s="498"/>
      <c r="K28" s="497"/>
      <c r="L28" s="498"/>
      <c r="M28" s="501"/>
    </row>
    <row r="29" spans="1:14" ht="15.95" customHeight="1">
      <c r="A29" s="480"/>
      <c r="B29" s="472"/>
      <c r="C29" s="472" t="s">
        <v>656</v>
      </c>
      <c r="D29" s="514">
        <v>96.2</v>
      </c>
      <c r="E29" s="472"/>
      <c r="F29" s="472"/>
      <c r="G29" s="513"/>
      <c r="H29" s="485"/>
      <c r="I29" s="472"/>
      <c r="J29" s="472" t="s">
        <v>656</v>
      </c>
      <c r="K29" s="514">
        <v>82.4</v>
      </c>
      <c r="L29" s="471"/>
      <c r="M29" s="487"/>
    </row>
    <row r="30" spans="1:14" ht="15.95" customHeight="1">
      <c r="A30" s="515"/>
      <c r="B30" s="471"/>
      <c r="C30" s="472" t="s">
        <v>657</v>
      </c>
      <c r="D30" s="514">
        <v>95.6</v>
      </c>
      <c r="E30" s="472"/>
      <c r="F30" s="472"/>
      <c r="G30" s="513"/>
      <c r="H30" s="472"/>
      <c r="I30" s="471"/>
      <c r="J30" s="472" t="s">
        <v>657</v>
      </c>
      <c r="K30" s="514">
        <v>80.099999999999994</v>
      </c>
      <c r="L30" s="471"/>
      <c r="M30" s="487"/>
    </row>
    <row r="31" spans="1:14" ht="15.95" customHeight="1">
      <c r="A31" s="480"/>
      <c r="B31" s="472"/>
      <c r="C31" s="472" t="s">
        <v>658</v>
      </c>
      <c r="D31" s="514">
        <v>93.8</v>
      </c>
      <c r="E31" s="472"/>
      <c r="F31" s="472"/>
      <c r="G31" s="513"/>
      <c r="H31" s="472"/>
      <c r="I31" s="471"/>
      <c r="J31" s="472" t="s">
        <v>658</v>
      </c>
      <c r="K31" s="514">
        <v>74</v>
      </c>
      <c r="L31" s="472"/>
      <c r="M31" s="487"/>
    </row>
    <row r="32" spans="1:14" ht="15.95" customHeight="1" thickBot="1">
      <c r="A32" s="488"/>
      <c r="B32" s="489"/>
      <c r="C32" s="491"/>
      <c r="D32" s="491"/>
      <c r="E32" s="489"/>
      <c r="F32" s="489"/>
      <c r="G32" s="516"/>
      <c r="H32" s="489"/>
      <c r="I32" s="491"/>
      <c r="J32" s="489"/>
      <c r="K32" s="491"/>
      <c r="L32" s="489"/>
      <c r="M32" s="493"/>
    </row>
    <row r="33" spans="1:14" ht="20.100000000000001" customHeight="1" thickBot="1">
      <c r="A33" s="517"/>
      <c r="B33" s="517"/>
      <c r="C33" s="517"/>
      <c r="D33" s="517"/>
      <c r="E33" s="517"/>
      <c r="F33" s="517"/>
      <c r="G33" s="517"/>
      <c r="H33" s="517"/>
      <c r="I33" s="517"/>
      <c r="J33" s="517"/>
      <c r="K33" s="517"/>
      <c r="L33" s="517"/>
      <c r="M33" s="517"/>
      <c r="N33" s="517"/>
    </row>
    <row r="34" spans="1:14" ht="20.100000000000001" customHeight="1" thickBot="1">
      <c r="A34" s="518"/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20"/>
    </row>
    <row r="35" spans="1:14" ht="15.95" customHeight="1" thickTop="1">
      <c r="A35" s="521" t="s">
        <v>659</v>
      </c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522"/>
    </row>
    <row r="36" spans="1:14" ht="15.95" customHeight="1">
      <c r="A36" s="515" t="s">
        <v>660</v>
      </c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522"/>
    </row>
    <row r="37" spans="1:14" ht="15.95" customHeight="1">
      <c r="A37" s="523" t="s">
        <v>661</v>
      </c>
      <c r="B37" s="475"/>
      <c r="C37" s="475"/>
      <c r="D37" s="475"/>
      <c r="E37" s="524"/>
      <c r="F37" s="475"/>
      <c r="G37" s="475"/>
      <c r="H37" s="475"/>
      <c r="I37" s="475"/>
      <c r="J37" s="475"/>
      <c r="K37" s="475"/>
      <c r="L37" s="475"/>
      <c r="M37" s="522"/>
    </row>
    <row r="38" spans="1:14" ht="15.95" customHeight="1">
      <c r="A38" s="525" t="s">
        <v>662</v>
      </c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522"/>
    </row>
    <row r="39" spans="1:14" ht="15.95" customHeight="1">
      <c r="A39" s="526" t="s">
        <v>663</v>
      </c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522"/>
    </row>
    <row r="40" spans="1:14" ht="15.95" customHeight="1" thickBot="1">
      <c r="A40" s="527" t="s">
        <v>664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8"/>
      <c r="L40" s="528"/>
      <c r="M40" s="529"/>
    </row>
    <row r="41" spans="1:14" ht="15.95" customHeight="1"/>
    <row r="42" spans="1:14" ht="18">
      <c r="A42" s="530"/>
      <c r="B42" s="530"/>
      <c r="C42" s="530"/>
      <c r="D42" s="530"/>
      <c r="E42" s="530"/>
      <c r="F42" s="530"/>
      <c r="G42" s="530"/>
      <c r="H42" s="448"/>
      <c r="I42" s="448"/>
      <c r="J42" s="531" t="s">
        <v>665</v>
      </c>
      <c r="K42" s="656" t="s">
        <v>666</v>
      </c>
      <c r="L42" s="656"/>
      <c r="M42" s="656"/>
      <c r="N42" s="530"/>
    </row>
    <row r="43" spans="1:14" ht="7.5" customHeight="1">
      <c r="H43" s="448"/>
      <c r="I43" s="448"/>
      <c r="J43" s="448"/>
      <c r="K43" s="448"/>
      <c r="L43" s="448"/>
      <c r="M43" s="448"/>
    </row>
    <row r="44" spans="1:14" ht="16.5">
      <c r="H44" s="448"/>
      <c r="I44" s="448"/>
      <c r="J44" s="531" t="s">
        <v>667</v>
      </c>
      <c r="K44" s="657">
        <v>45106</v>
      </c>
      <c r="L44" s="657"/>
      <c r="M44" s="657"/>
    </row>
    <row r="59" spans="1:5">
      <c r="A59" s="449" t="s">
        <v>175</v>
      </c>
      <c r="B59" s="449" t="s">
        <v>668</v>
      </c>
      <c r="D59" s="449">
        <v>1</v>
      </c>
      <c r="E59" s="532" t="s">
        <v>175</v>
      </c>
    </row>
    <row r="60" spans="1:5">
      <c r="A60" s="449" t="s">
        <v>669</v>
      </c>
      <c r="B60" s="449" t="s">
        <v>670</v>
      </c>
      <c r="D60" s="449">
        <v>1.1499999999999999</v>
      </c>
      <c r="E60" s="532" t="s">
        <v>184</v>
      </c>
    </row>
    <row r="61" spans="1:5">
      <c r="A61" s="449" t="s">
        <v>671</v>
      </c>
      <c r="B61" s="449" t="s">
        <v>672</v>
      </c>
      <c r="E61" s="532" t="s">
        <v>320</v>
      </c>
    </row>
    <row r="62" spans="1:5">
      <c r="B62" s="449" t="s">
        <v>673</v>
      </c>
    </row>
    <row r="63" spans="1:5">
      <c r="B63" s="449" t="s">
        <v>674</v>
      </c>
    </row>
    <row r="64" spans="1:5">
      <c r="B64" s="449" t="s">
        <v>675</v>
      </c>
    </row>
    <row r="65" spans="2:2">
      <c r="B65" s="449" t="s">
        <v>676</v>
      </c>
    </row>
    <row r="66" spans="2:2">
      <c r="B66" s="449" t="s">
        <v>677</v>
      </c>
    </row>
    <row r="67" spans="2:2">
      <c r="B67" s="449" t="s">
        <v>678</v>
      </c>
    </row>
    <row r="68" spans="2:2">
      <c r="B68" s="449" t="s">
        <v>679</v>
      </c>
    </row>
    <row r="69" spans="2:2">
      <c r="B69" s="449" t="s">
        <v>680</v>
      </c>
    </row>
    <row r="70" spans="2:2">
      <c r="B70" s="449" t="s">
        <v>681</v>
      </c>
    </row>
    <row r="71" spans="2:2">
      <c r="B71" s="449" t="s">
        <v>682</v>
      </c>
    </row>
    <row r="72" spans="2:2">
      <c r="B72" s="449" t="s">
        <v>683</v>
      </c>
    </row>
    <row r="73" spans="2:2">
      <c r="B73" s="449" t="s">
        <v>684</v>
      </c>
    </row>
    <row r="74" spans="2:2">
      <c r="B74" s="449" t="s">
        <v>685</v>
      </c>
    </row>
    <row r="75" spans="2:2">
      <c r="B75" s="449" t="s">
        <v>686</v>
      </c>
    </row>
    <row r="76" spans="2:2">
      <c r="B76" s="449" t="s">
        <v>687</v>
      </c>
    </row>
    <row r="77" spans="2:2">
      <c r="B77" s="449" t="s">
        <v>688</v>
      </c>
    </row>
    <row r="78" spans="2:2">
      <c r="B78" s="449" t="s">
        <v>689</v>
      </c>
    </row>
    <row r="79" spans="2:2">
      <c r="B79" s="449" t="s">
        <v>690</v>
      </c>
    </row>
    <row r="80" spans="2:2">
      <c r="B80" s="449">
        <v>6312</v>
      </c>
    </row>
    <row r="81" spans="2:2">
      <c r="B81" s="449" t="s">
        <v>691</v>
      </c>
    </row>
    <row r="82" spans="2:2">
      <c r="B82" s="449" t="s">
        <v>692</v>
      </c>
    </row>
    <row r="83" spans="2:2">
      <c r="B83" s="449" t="s">
        <v>693</v>
      </c>
    </row>
    <row r="84" spans="2:2">
      <c r="B84" s="449" t="s">
        <v>694</v>
      </c>
    </row>
    <row r="85" spans="2:2">
      <c r="B85" s="449">
        <v>6313</v>
      </c>
    </row>
    <row r="86" spans="2:2">
      <c r="B86" s="449" t="s">
        <v>695</v>
      </c>
    </row>
    <row r="87" spans="2:2">
      <c r="B87" s="449" t="s">
        <v>696</v>
      </c>
    </row>
    <row r="88" spans="2:2">
      <c r="B88" s="449" t="s">
        <v>697</v>
      </c>
    </row>
    <row r="89" spans="2:2">
      <c r="B89" s="449">
        <v>6314</v>
      </c>
    </row>
    <row r="90" spans="2:2">
      <c r="B90" s="449" t="s">
        <v>698</v>
      </c>
    </row>
    <row r="91" spans="2:2">
      <c r="B91" s="449">
        <v>6317</v>
      </c>
    </row>
    <row r="92" spans="2:2">
      <c r="B92" s="449" t="s">
        <v>699</v>
      </c>
    </row>
    <row r="93" spans="2:2">
      <c r="B93" s="449">
        <v>6318</v>
      </c>
    </row>
    <row r="94" spans="2:2">
      <c r="B94" s="449" t="s">
        <v>700</v>
      </c>
    </row>
    <row r="95" spans="2:2">
      <c r="B95" s="449" t="s">
        <v>701</v>
      </c>
    </row>
    <row r="96" spans="2:2">
      <c r="B96" s="449" t="s">
        <v>702</v>
      </c>
    </row>
    <row r="97" spans="2:2">
      <c r="B97" s="449">
        <v>6320</v>
      </c>
    </row>
    <row r="98" spans="2:2">
      <c r="B98" s="449" t="s">
        <v>703</v>
      </c>
    </row>
    <row r="99" spans="2:2">
      <c r="B99" s="449" t="s">
        <v>704</v>
      </c>
    </row>
    <row r="100" spans="2:2">
      <c r="B100" s="449" t="s">
        <v>705</v>
      </c>
    </row>
    <row r="101" spans="2:2">
      <c r="B101" s="449" t="s">
        <v>706</v>
      </c>
    </row>
    <row r="102" spans="2:2">
      <c r="B102" s="449" t="s">
        <v>706</v>
      </c>
    </row>
    <row r="118" spans="2:2">
      <c r="B118" s="449" t="s">
        <v>707</v>
      </c>
    </row>
    <row r="120" spans="2:2">
      <c r="B120" s="449" t="s">
        <v>708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L30" sqref="L30"/>
    </sheetView>
  </sheetViews>
  <sheetFormatPr defaultColWidth="9.140625" defaultRowHeight="12.75"/>
  <cols>
    <col min="1" max="6" width="16.7109375" style="385" customWidth="1"/>
    <col min="7" max="16384" width="9.140625" style="385"/>
  </cols>
  <sheetData>
    <row r="1" spans="1:6" ht="18.95" customHeight="1">
      <c r="A1" s="397"/>
      <c r="B1" s="398"/>
      <c r="C1" s="398"/>
      <c r="D1" s="398"/>
      <c r="E1" s="398"/>
      <c r="F1" s="399"/>
    </row>
    <row r="2" spans="1:6" ht="26.1" customHeight="1">
      <c r="A2" s="400" t="s">
        <v>267</v>
      </c>
      <c r="B2" s="401"/>
      <c r="C2" s="401"/>
      <c r="D2" s="401"/>
      <c r="E2" s="401"/>
      <c r="F2" s="402"/>
    </row>
    <row r="3" spans="1:6" ht="18.95" customHeight="1">
      <c r="A3" s="403" t="s">
        <v>571</v>
      </c>
      <c r="B3" s="401"/>
      <c r="C3" s="401"/>
      <c r="D3" s="401"/>
      <c r="E3" s="401"/>
      <c r="F3" s="402"/>
    </row>
    <row r="4" spans="1:6" ht="18.95" customHeight="1">
      <c r="A4" s="404"/>
      <c r="B4" s="405"/>
      <c r="C4" s="405"/>
      <c r="D4" s="405"/>
      <c r="E4" s="405"/>
      <c r="F4" s="406"/>
    </row>
    <row r="5" spans="1:6" ht="18.95" customHeight="1">
      <c r="A5" s="404"/>
      <c r="B5" s="405"/>
      <c r="C5" s="405"/>
      <c r="D5" s="405"/>
      <c r="E5" s="405"/>
      <c r="F5" s="406"/>
    </row>
    <row r="6" spans="1:6" ht="18.95" customHeight="1">
      <c r="A6" s="407" t="s">
        <v>572</v>
      </c>
      <c r="B6" s="658" t="str">
        <f>'Performance Data Sheet'!C17</f>
        <v>2504QDSB41A-R</v>
      </c>
      <c r="C6" s="659"/>
      <c r="D6" s="660"/>
      <c r="E6" s="407" t="s">
        <v>573</v>
      </c>
      <c r="F6" s="408">
        <f>'Performance Data Sheet'!I14</f>
        <v>295</v>
      </c>
    </row>
    <row r="7" spans="1:6" ht="18.95" customHeight="1">
      <c r="A7" s="407" t="s">
        <v>574</v>
      </c>
      <c r="B7" s="408" t="str">
        <f>'Performance Data Sheet'!F14</f>
        <v>TEFC</v>
      </c>
      <c r="C7" s="407" t="s">
        <v>576</v>
      </c>
      <c r="D7" s="408" t="str">
        <f>'Performance Data Sheet'!F13 &amp; " V"</f>
        <v>460 V</v>
      </c>
      <c r="E7" s="407" t="s">
        <v>577</v>
      </c>
      <c r="F7" s="408" t="str">
        <f>'Performance Data Sheet'!C14</f>
        <v>S449T</v>
      </c>
    </row>
    <row r="8" spans="1:6" ht="18.95" customHeight="1">
      <c r="A8" s="407" t="s">
        <v>578</v>
      </c>
      <c r="B8" s="408">
        <v>4</v>
      </c>
      <c r="C8" s="407" t="s">
        <v>579</v>
      </c>
      <c r="D8" s="408" t="s">
        <v>580</v>
      </c>
      <c r="E8" s="407" t="s">
        <v>581</v>
      </c>
      <c r="F8" s="408" t="str">
        <f>'Performance Data Sheet'!M15</f>
        <v>F</v>
      </c>
    </row>
    <row r="9" spans="1:6" ht="18.95" customHeight="1">
      <c r="A9" s="407" t="s">
        <v>582</v>
      </c>
      <c r="B9" s="408">
        <f>'Performance Data Sheet'!C13</f>
        <v>250</v>
      </c>
      <c r="C9" s="407" t="s">
        <v>583</v>
      </c>
      <c r="D9" s="408" t="s">
        <v>593</v>
      </c>
      <c r="E9" s="407" t="s">
        <v>2</v>
      </c>
      <c r="F9" s="409">
        <f>'Performance Data Sheet'!K44</f>
        <v>45106</v>
      </c>
    </row>
    <row r="10" spans="1:6" ht="18.95" customHeight="1">
      <c r="A10" s="407" t="s">
        <v>584</v>
      </c>
      <c r="B10" s="408">
        <f>'Performance Data Sheet'!M14</f>
        <v>1788</v>
      </c>
      <c r="C10" s="407" t="s">
        <v>403</v>
      </c>
      <c r="D10" s="408" t="s">
        <v>594</v>
      </c>
      <c r="E10" s="407" t="s">
        <v>1</v>
      </c>
      <c r="F10" s="408" t="s">
        <v>720</v>
      </c>
    </row>
    <row r="11" spans="1:6" ht="18.95" customHeight="1">
      <c r="A11" s="404"/>
      <c r="B11" s="405"/>
      <c r="C11" s="405"/>
      <c r="D11" s="405"/>
      <c r="E11" s="405"/>
      <c r="F11" s="406"/>
    </row>
    <row r="12" spans="1:6" ht="18.95" customHeight="1">
      <c r="A12" s="404"/>
      <c r="B12" s="410" t="s">
        <v>585</v>
      </c>
      <c r="C12" s="411" t="str">
        <f>'Performance Data Sheet'!D22 &amp; " A"</f>
        <v>1992 A</v>
      </c>
      <c r="D12" s="410" t="s">
        <v>402</v>
      </c>
      <c r="E12" s="411" t="s">
        <v>406</v>
      </c>
      <c r="F12" s="406"/>
    </row>
    <row r="13" spans="1:6" ht="18.95" customHeight="1">
      <c r="A13" s="404"/>
      <c r="B13" s="410" t="s">
        <v>586</v>
      </c>
      <c r="C13" s="412">
        <f>'Performance Data Sheet'!H23/100</f>
        <v>2.1</v>
      </c>
      <c r="D13" s="410" t="s">
        <v>587</v>
      </c>
      <c r="E13" s="411" t="s">
        <v>595</v>
      </c>
      <c r="F13" s="406"/>
    </row>
    <row r="14" spans="1:6" ht="18.95" customHeight="1">
      <c r="A14" s="404"/>
      <c r="B14" s="410" t="s">
        <v>588</v>
      </c>
      <c r="C14" s="412">
        <v>2.8</v>
      </c>
      <c r="D14" s="410" t="s">
        <v>404</v>
      </c>
      <c r="E14" s="411" t="s">
        <v>409</v>
      </c>
      <c r="F14" s="406"/>
    </row>
    <row r="15" spans="1:6" ht="18.95" customHeight="1">
      <c r="A15" s="404"/>
      <c r="B15" s="410" t="s">
        <v>405</v>
      </c>
      <c r="C15" s="411" t="str">
        <f>'Performance Data Sheet'!H22 &amp; " lb-ft"</f>
        <v>734 lb-ft</v>
      </c>
      <c r="D15" s="405"/>
      <c r="E15" s="405"/>
      <c r="F15" s="406"/>
    </row>
    <row r="16" spans="1:6" ht="18.95" customHeight="1">
      <c r="A16" s="404"/>
      <c r="B16" s="405"/>
      <c r="C16" s="405"/>
      <c r="D16" s="405"/>
      <c r="E16" s="405"/>
      <c r="F16" s="406"/>
    </row>
    <row r="17" spans="1:6" ht="18.95" customHeight="1">
      <c r="A17" s="404"/>
      <c r="B17" s="405"/>
      <c r="C17" s="405"/>
      <c r="D17" s="405"/>
      <c r="E17" s="405"/>
      <c r="F17" s="406"/>
    </row>
    <row r="18" spans="1:6" ht="18.95" customHeight="1">
      <c r="A18" s="404"/>
      <c r="B18" s="405"/>
      <c r="C18" s="405"/>
      <c r="D18" s="405"/>
      <c r="E18" s="405"/>
      <c r="F18" s="406"/>
    </row>
    <row r="19" spans="1:6" ht="18.95" customHeight="1">
      <c r="A19" s="404"/>
      <c r="B19" s="405"/>
      <c r="C19" s="405"/>
      <c r="D19" s="405"/>
      <c r="E19" s="405"/>
      <c r="F19" s="406"/>
    </row>
    <row r="20" spans="1:6" ht="18.95" customHeight="1">
      <c r="A20" s="404"/>
      <c r="B20" s="405"/>
      <c r="C20" s="405"/>
      <c r="D20" s="405"/>
      <c r="E20" s="405"/>
      <c r="F20" s="406"/>
    </row>
    <row r="21" spans="1:6" ht="18.95" customHeight="1">
      <c r="A21" s="404"/>
      <c r="B21" s="405"/>
      <c r="C21" s="405"/>
      <c r="D21" s="405"/>
      <c r="E21" s="405"/>
      <c r="F21" s="406"/>
    </row>
    <row r="22" spans="1:6" ht="18.95" customHeight="1">
      <c r="A22" s="404"/>
      <c r="B22" s="405"/>
      <c r="C22" s="405"/>
      <c r="D22" s="405"/>
      <c r="E22" s="405"/>
      <c r="F22" s="406"/>
    </row>
    <row r="23" spans="1:6" ht="18.95" customHeight="1">
      <c r="A23" s="404"/>
      <c r="B23" s="405"/>
      <c r="C23" s="405"/>
      <c r="D23" s="405"/>
      <c r="E23" s="405"/>
      <c r="F23" s="406"/>
    </row>
    <row r="24" spans="1:6" ht="18.95" customHeight="1">
      <c r="A24" s="404"/>
      <c r="B24" s="405"/>
      <c r="C24" s="405"/>
      <c r="D24" s="405"/>
      <c r="E24" s="405"/>
      <c r="F24" s="406"/>
    </row>
    <row r="25" spans="1:6" ht="18.95" customHeight="1">
      <c r="A25" s="404"/>
      <c r="B25" s="405"/>
      <c r="C25" s="405"/>
      <c r="D25" s="405"/>
      <c r="E25" s="405"/>
      <c r="F25" s="406"/>
    </row>
    <row r="26" spans="1:6" ht="18.95" customHeight="1">
      <c r="A26" s="404"/>
      <c r="B26" s="405"/>
      <c r="C26" s="405"/>
      <c r="D26" s="405"/>
      <c r="E26" s="405"/>
      <c r="F26" s="406"/>
    </row>
    <row r="27" spans="1:6" ht="18.95" customHeight="1">
      <c r="A27" s="404"/>
      <c r="B27" s="405"/>
      <c r="C27" s="405"/>
      <c r="D27" s="405"/>
      <c r="E27" s="405"/>
      <c r="F27" s="406"/>
    </row>
    <row r="28" spans="1:6" ht="18.95" customHeight="1">
      <c r="A28" s="404"/>
      <c r="B28" s="405"/>
      <c r="C28" s="405"/>
      <c r="D28" s="405"/>
      <c r="E28" s="405"/>
      <c r="F28" s="406"/>
    </row>
    <row r="29" spans="1:6" ht="18.95" customHeight="1">
      <c r="A29" s="404"/>
      <c r="B29" s="405"/>
      <c r="C29" s="405"/>
      <c r="D29" s="405"/>
      <c r="E29" s="405"/>
      <c r="F29" s="406"/>
    </row>
    <row r="30" spans="1:6" ht="18.95" customHeight="1">
      <c r="A30" s="404"/>
      <c r="B30" s="405"/>
      <c r="C30" s="405"/>
      <c r="D30" s="405"/>
      <c r="E30" s="405"/>
      <c r="F30" s="406"/>
    </row>
    <row r="31" spans="1:6" ht="18.95" customHeight="1">
      <c r="A31" s="404"/>
      <c r="B31" s="405"/>
      <c r="C31" s="405"/>
      <c r="D31" s="405"/>
      <c r="E31" s="405"/>
      <c r="F31" s="406"/>
    </row>
    <row r="32" spans="1:6" ht="18.95" customHeight="1">
      <c r="A32" s="404"/>
      <c r="B32" s="405"/>
      <c r="C32" s="405"/>
      <c r="D32" s="405"/>
      <c r="E32" s="405"/>
      <c r="F32" s="406"/>
    </row>
    <row r="33" spans="1:6" ht="18.95" customHeight="1">
      <c r="A33" s="404"/>
      <c r="B33" s="405"/>
      <c r="C33" s="405"/>
      <c r="D33" s="405"/>
      <c r="E33" s="405"/>
      <c r="F33" s="406"/>
    </row>
    <row r="34" spans="1:6" ht="18.95" customHeight="1">
      <c r="A34" s="404"/>
      <c r="B34" s="405"/>
      <c r="C34" s="405"/>
      <c r="D34" s="405"/>
      <c r="E34" s="405"/>
      <c r="F34" s="406"/>
    </row>
    <row r="35" spans="1:6" ht="18.95" customHeight="1">
      <c r="A35" s="404"/>
      <c r="B35" s="405"/>
      <c r="C35" s="405"/>
      <c r="D35" s="405"/>
      <c r="E35" s="405"/>
      <c r="F35" s="406"/>
    </row>
    <row r="36" spans="1:6" ht="18.95" customHeight="1">
      <c r="A36" s="404"/>
      <c r="B36" s="405"/>
      <c r="C36" s="405"/>
      <c r="D36" s="405"/>
      <c r="E36" s="405"/>
      <c r="F36" s="406"/>
    </row>
    <row r="37" spans="1:6" ht="18.95" customHeight="1">
      <c r="A37" s="404"/>
      <c r="B37" s="405"/>
      <c r="C37" s="405"/>
      <c r="D37" s="405"/>
      <c r="E37" s="405"/>
      <c r="F37" s="406"/>
    </row>
    <row r="38" spans="1:6" ht="18.95" customHeight="1">
      <c r="A38" s="404"/>
      <c r="B38" s="405"/>
      <c r="C38" s="405"/>
      <c r="D38" s="405"/>
      <c r="E38" s="405"/>
      <c r="F38" s="406"/>
    </row>
    <row r="39" spans="1:6" ht="18.95" customHeight="1">
      <c r="A39" s="413" t="s">
        <v>589</v>
      </c>
      <c r="B39" s="414" t="s">
        <v>370</v>
      </c>
      <c r="C39" s="533" t="str">
        <f>'Performance Data Sheet'!C10</f>
        <v>-</v>
      </c>
      <c r="D39" s="405"/>
      <c r="E39" s="410" t="s">
        <v>590</v>
      </c>
      <c r="F39" s="415" t="str">
        <f>F10</f>
        <v>734250BQ</v>
      </c>
    </row>
    <row r="40" spans="1:6" ht="18.95" customHeight="1">
      <c r="A40" s="404"/>
      <c r="B40" s="414"/>
      <c r="C40" s="414"/>
      <c r="D40" s="405"/>
      <c r="E40" s="405"/>
      <c r="F40" s="406"/>
    </row>
    <row r="41" spans="1:6" ht="18.95" customHeight="1">
      <c r="A41" s="404"/>
      <c r="B41" s="414"/>
      <c r="C41" s="414"/>
      <c r="D41" s="405"/>
      <c r="E41" s="405"/>
      <c r="F41" s="406"/>
    </row>
    <row r="42" spans="1:6" ht="18.95" customHeight="1">
      <c r="A42" s="404"/>
      <c r="B42" s="405"/>
      <c r="C42" s="405"/>
      <c r="D42" s="405"/>
      <c r="E42" s="405"/>
      <c r="F42" s="406"/>
    </row>
    <row r="43" spans="1:6" ht="18.95" customHeight="1">
      <c r="A43" s="416"/>
      <c r="B43" s="414"/>
      <c r="C43" s="417" t="s">
        <v>591</v>
      </c>
      <c r="D43" s="418" t="str">
        <f>'Performance Data Sheet'!K42</f>
        <v>Zichao Xie</v>
      </c>
      <c r="E43" s="417" t="s">
        <v>592</v>
      </c>
      <c r="F43" s="418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5" t="s">
        <v>401</v>
      </c>
      <c r="E53" s="375"/>
      <c r="F53" s="375"/>
      <c r="G53" s="375"/>
      <c r="H53" s="375"/>
      <c r="I53" s="375"/>
      <c r="J53" s="375"/>
      <c r="K53" s="375"/>
      <c r="L53" s="375"/>
    </row>
    <row r="54" spans="1:12" ht="15" customHeight="1">
      <c r="A54" s="421">
        <v>100</v>
      </c>
      <c r="B54" s="375">
        <v>0</v>
      </c>
      <c r="C54" s="375">
        <v>0.26254606246948242</v>
      </c>
      <c r="D54" s="375">
        <v>100</v>
      </c>
      <c r="E54" s="375"/>
      <c r="F54" s="375"/>
      <c r="G54" s="375"/>
      <c r="H54" s="375"/>
      <c r="I54" s="375"/>
      <c r="J54" s="375"/>
      <c r="K54" s="375"/>
      <c r="L54" s="375"/>
    </row>
    <row r="55" spans="1:12" ht="15" customHeight="1">
      <c r="A55" s="421">
        <v>99.200000055134296</v>
      </c>
      <c r="B55" s="375">
        <v>163.42154382117516</v>
      </c>
      <c r="C55" s="375">
        <v>160.98391723632813</v>
      </c>
      <c r="D55" s="375">
        <v>98.400001525878906</v>
      </c>
      <c r="E55" s="375"/>
      <c r="F55" s="375"/>
      <c r="G55" s="375"/>
      <c r="H55" s="375"/>
      <c r="I55" s="375"/>
      <c r="J55" s="375"/>
      <c r="K55" s="375"/>
      <c r="L55" s="375"/>
    </row>
    <row r="56" spans="1:12" ht="15" customHeight="1">
      <c r="A56" s="421">
        <v>96.000000089406967</v>
      </c>
      <c r="B56" s="375">
        <v>280</v>
      </c>
      <c r="C56" s="375">
        <v>451.93539428710938</v>
      </c>
      <c r="D56" s="375">
        <v>89.75</v>
      </c>
      <c r="E56" s="375"/>
      <c r="F56" s="375"/>
      <c r="G56" s="375"/>
      <c r="H56" s="375"/>
      <c r="I56" s="375"/>
      <c r="J56" s="375"/>
      <c r="K56" s="375"/>
      <c r="L56" s="375"/>
    </row>
    <row r="57" spans="1:12">
      <c r="A57" s="421">
        <v>90.857142955064774</v>
      </c>
      <c r="B57" s="375">
        <v>194.70916460768657</v>
      </c>
      <c r="C57" s="375">
        <v>522.24322509765625</v>
      </c>
      <c r="D57" s="375">
        <v>76.228569030761719</v>
      </c>
      <c r="E57" s="375"/>
      <c r="F57" s="375"/>
      <c r="G57" s="375"/>
      <c r="H57" s="375"/>
      <c r="I57" s="375"/>
      <c r="J57" s="375"/>
      <c r="K57" s="375"/>
      <c r="L57" s="375"/>
    </row>
    <row r="58" spans="1:12">
      <c r="A58" s="421">
        <v>85.71428507566452</v>
      </c>
      <c r="B58" s="375">
        <v>164.64427604332786</v>
      </c>
      <c r="C58" s="375">
        <v>547.925537109375</v>
      </c>
      <c r="D58" s="375">
        <v>62.857139587402344</v>
      </c>
      <c r="E58" s="375"/>
      <c r="F58" s="375"/>
      <c r="G58" s="375"/>
      <c r="H58" s="375"/>
      <c r="I58" s="375"/>
      <c r="J58" s="375"/>
      <c r="K58" s="375"/>
      <c r="L58" s="375"/>
    </row>
    <row r="59" spans="1:12">
      <c r="A59" s="421">
        <v>80.571427941322327</v>
      </c>
      <c r="B59" s="375">
        <v>155.11018917472214</v>
      </c>
      <c r="C59" s="375">
        <v>565.26995849609375</v>
      </c>
      <c r="D59" s="375">
        <v>51.25714111328125</v>
      </c>
      <c r="E59" s="375"/>
      <c r="F59" s="375"/>
      <c r="G59" s="375"/>
      <c r="H59" s="375"/>
      <c r="I59" s="375"/>
      <c r="J59" s="375"/>
      <c r="K59" s="375"/>
      <c r="L59" s="375"/>
    </row>
    <row r="60" spans="1:12">
      <c r="A60" s="421">
        <v>70.285713672637939</v>
      </c>
      <c r="B60" s="375">
        <v>150.96653277006465</v>
      </c>
      <c r="C60" s="375">
        <v>591.97784423828125</v>
      </c>
      <c r="D60" s="375">
        <v>33.485713958740234</v>
      </c>
      <c r="E60" s="375"/>
      <c r="F60" s="375"/>
      <c r="G60" s="375"/>
      <c r="H60" s="375"/>
      <c r="I60" s="375"/>
      <c r="J60" s="375"/>
      <c r="K60" s="375"/>
      <c r="L60" s="375"/>
    </row>
    <row r="61" spans="1:12">
      <c r="A61" s="421">
        <v>59.999999403953552</v>
      </c>
      <c r="B61" s="375">
        <v>150</v>
      </c>
      <c r="C61" s="375">
        <v>612.564697265625</v>
      </c>
      <c r="D61" s="375">
        <v>22</v>
      </c>
      <c r="E61" s="375"/>
      <c r="F61" s="375"/>
      <c r="G61" s="375"/>
      <c r="H61" s="375"/>
      <c r="I61" s="375"/>
      <c r="J61" s="375"/>
      <c r="K61" s="375"/>
      <c r="L61" s="375"/>
    </row>
    <row r="62" spans="1:12">
      <c r="A62" s="421">
        <v>50</v>
      </c>
      <c r="B62" s="375">
        <v>151.61511204702089</v>
      </c>
      <c r="C62" s="375">
        <v>628.5677490234375</v>
      </c>
      <c r="D62" s="375">
        <v>14</v>
      </c>
      <c r="E62" s="375"/>
      <c r="F62" s="375"/>
      <c r="G62" s="375"/>
      <c r="H62" s="375"/>
      <c r="I62" s="375"/>
      <c r="J62" s="375"/>
      <c r="K62" s="375"/>
      <c r="L62" s="375"/>
    </row>
    <row r="63" spans="1:12">
      <c r="A63" s="421">
        <v>39.999997615814209</v>
      </c>
      <c r="B63" s="375">
        <v>154.64801497190263</v>
      </c>
      <c r="C63" s="375">
        <v>641.65509033203125</v>
      </c>
      <c r="D63" s="375">
        <v>7.9999995231628418</v>
      </c>
      <c r="E63" s="375"/>
      <c r="F63" s="375"/>
      <c r="G63" s="375"/>
      <c r="H63" s="375"/>
      <c r="I63" s="375"/>
      <c r="J63" s="375"/>
      <c r="K63" s="375"/>
      <c r="L63" s="375"/>
    </row>
    <row r="64" spans="1:12">
      <c r="A64" s="421">
        <v>30.000001192092896</v>
      </c>
      <c r="B64" s="375">
        <v>159.96941117561579</v>
      </c>
      <c r="C64" s="375">
        <v>652.173828125</v>
      </c>
      <c r="D64" s="375">
        <v>5.9999995231628418</v>
      </c>
      <c r="E64" s="375"/>
      <c r="F64" s="375"/>
      <c r="G64" s="375"/>
      <c r="H64" s="375"/>
      <c r="I64" s="375"/>
      <c r="J64" s="375"/>
      <c r="K64" s="375"/>
      <c r="L64" s="375"/>
    </row>
    <row r="65" spans="1:12">
      <c r="A65" s="421">
        <v>19.999998807907104</v>
      </c>
      <c r="B65" s="375">
        <v>169.16278509041658</v>
      </c>
      <c r="C65" s="375">
        <v>661.08428955078125</v>
      </c>
      <c r="D65" s="375">
        <v>8.0000009536743164</v>
      </c>
      <c r="E65" s="375"/>
      <c r="F65" s="375"/>
      <c r="G65" s="375"/>
      <c r="H65" s="375"/>
      <c r="I65" s="375"/>
      <c r="J65" s="375"/>
      <c r="K65" s="375"/>
      <c r="L65" s="375"/>
    </row>
    <row r="66" spans="1:12">
      <c r="A66" s="421">
        <v>10.000002384185791</v>
      </c>
      <c r="B66" s="375">
        <v>184.54973131207873</v>
      </c>
      <c r="C66" s="375">
        <v>668.5777587890625</v>
      </c>
      <c r="D66" s="375">
        <v>14.999996185302734</v>
      </c>
      <c r="E66" s="375"/>
      <c r="F66" s="375"/>
      <c r="G66" s="375"/>
      <c r="H66" s="375"/>
      <c r="I66" s="375"/>
      <c r="J66" s="375"/>
      <c r="K66" s="375"/>
      <c r="L66" s="375"/>
    </row>
    <row r="67" spans="1:12">
      <c r="A67" s="422">
        <v>0</v>
      </c>
      <c r="B67" s="375">
        <v>210</v>
      </c>
      <c r="C67" s="375">
        <v>675.2542724609375</v>
      </c>
      <c r="D67" s="375">
        <v>30</v>
      </c>
      <c r="E67" s="375"/>
      <c r="F67" s="375"/>
      <c r="G67" s="375"/>
      <c r="H67" s="375"/>
      <c r="I67" s="375"/>
      <c r="J67" s="375"/>
      <c r="K67" s="375"/>
      <c r="L67" s="375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91" orientation="portrait" horizontalDpi="12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37" workbookViewId="0">
      <selection activeCell="L21" sqref="L21"/>
    </sheetView>
  </sheetViews>
  <sheetFormatPr defaultColWidth="9.140625" defaultRowHeight="12.75"/>
  <cols>
    <col min="1" max="6" width="16.7109375" style="385" customWidth="1"/>
    <col min="7" max="16384" width="9.140625" style="385"/>
  </cols>
  <sheetData>
    <row r="1" spans="1:6" ht="18.95" customHeight="1">
      <c r="A1" s="397"/>
      <c r="B1" s="398"/>
      <c r="C1" s="398"/>
      <c r="D1" s="398"/>
      <c r="E1" s="398"/>
      <c r="F1" s="399"/>
    </row>
    <row r="2" spans="1:6" ht="26.1" customHeight="1">
      <c r="A2" s="400" t="s">
        <v>267</v>
      </c>
      <c r="B2" s="401"/>
      <c r="C2" s="401"/>
      <c r="D2" s="401"/>
      <c r="E2" s="401"/>
      <c r="F2" s="402"/>
    </row>
    <row r="3" spans="1:6" ht="18.95" customHeight="1">
      <c r="A3" s="661" t="s">
        <v>596</v>
      </c>
      <c r="B3" s="662"/>
      <c r="C3" s="662"/>
      <c r="D3" s="662"/>
      <c r="E3" s="662"/>
      <c r="F3" s="663"/>
    </row>
    <row r="4" spans="1:6" ht="18.95" customHeight="1">
      <c r="A4" s="664" t="s">
        <v>597</v>
      </c>
      <c r="B4" s="665"/>
      <c r="C4" s="665"/>
      <c r="D4" s="665"/>
      <c r="E4" s="665"/>
      <c r="F4" s="666"/>
    </row>
    <row r="5" spans="1:6" ht="18.95" customHeight="1">
      <c r="A5" s="404"/>
      <c r="B5" s="405"/>
      <c r="C5" s="405"/>
      <c r="D5" s="405"/>
      <c r="E5" s="405"/>
      <c r="F5" s="406"/>
    </row>
    <row r="6" spans="1:6" ht="18.95" customHeight="1">
      <c r="A6" s="407" t="s">
        <v>572</v>
      </c>
      <c r="B6" s="658" t="str">
        <f>'Performance Data Sheet'!C17</f>
        <v>2504QDSB41A-R</v>
      </c>
      <c r="C6" s="659"/>
      <c r="D6" s="660"/>
      <c r="E6" s="407" t="s">
        <v>573</v>
      </c>
      <c r="F6" s="408">
        <f>'Performance Data Sheet'!I14</f>
        <v>295</v>
      </c>
    </row>
    <row r="7" spans="1:6" ht="18.95" customHeight="1">
      <c r="A7" s="407" t="s">
        <v>574</v>
      </c>
      <c r="B7" s="408" t="str">
        <f>'Performance Data Sheet'!F14</f>
        <v>TEFC</v>
      </c>
      <c r="C7" s="407" t="s">
        <v>576</v>
      </c>
      <c r="D7" s="408" t="str">
        <f>'Performance Data Sheet'!F13 &amp; " V"</f>
        <v>460 V</v>
      </c>
      <c r="E7" s="407" t="s">
        <v>577</v>
      </c>
      <c r="F7" s="408" t="str">
        <f>'Performance Data Sheet'!C14</f>
        <v>S449T</v>
      </c>
    </row>
    <row r="8" spans="1:6" ht="18.95" customHeight="1">
      <c r="A8" s="407" t="s">
        <v>578</v>
      </c>
      <c r="B8" s="408">
        <v>4</v>
      </c>
      <c r="C8" s="407" t="s">
        <v>579</v>
      </c>
      <c r="D8" s="408" t="s">
        <v>580</v>
      </c>
      <c r="E8" s="407" t="s">
        <v>581</v>
      </c>
      <c r="F8" s="408" t="str">
        <f>'Performance Data Sheet'!M15</f>
        <v>F</v>
      </c>
    </row>
    <row r="9" spans="1:6" ht="18.95" customHeight="1">
      <c r="A9" s="407" t="s">
        <v>582</v>
      </c>
      <c r="B9" s="408">
        <f>'Performance Data Sheet'!C13</f>
        <v>250</v>
      </c>
      <c r="C9" s="407" t="s">
        <v>583</v>
      </c>
      <c r="D9" s="408" t="s">
        <v>593</v>
      </c>
      <c r="E9" s="407" t="s">
        <v>2</v>
      </c>
      <c r="F9" s="409">
        <f>'Performance Data Sheet'!K44</f>
        <v>45106</v>
      </c>
    </row>
    <row r="10" spans="1:6" ht="18.95" customHeight="1">
      <c r="A10" s="407" t="s">
        <v>584</v>
      </c>
      <c r="B10" s="408">
        <f>'Performance Data Sheet'!M14</f>
        <v>1788</v>
      </c>
      <c r="C10" s="407" t="s">
        <v>403</v>
      </c>
      <c r="D10" s="408" t="s">
        <v>594</v>
      </c>
      <c r="E10" s="407" t="s">
        <v>1</v>
      </c>
      <c r="F10" s="408" t="s">
        <v>720</v>
      </c>
    </row>
    <row r="11" spans="1:6" ht="18.95" customHeight="1">
      <c r="A11" s="404"/>
      <c r="B11" s="405"/>
      <c r="C11" s="405"/>
      <c r="D11" s="405"/>
      <c r="E11" s="405"/>
      <c r="F11" s="406"/>
    </row>
    <row r="12" spans="1:6" ht="18.95" customHeight="1">
      <c r="A12" s="404"/>
      <c r="B12" s="410"/>
      <c r="C12" s="411" t="str">
        <f>'Performance Data Sheet'!D22 &amp; " A"</f>
        <v>1992 A</v>
      </c>
      <c r="D12" s="410"/>
      <c r="E12" s="411"/>
      <c r="F12" s="406"/>
    </row>
    <row r="13" spans="1:6" ht="18.95" customHeight="1">
      <c r="A13" s="404"/>
      <c r="B13" s="410"/>
      <c r="C13" s="412">
        <f>'Performance Data Sheet'!H23/100</f>
        <v>2.1</v>
      </c>
      <c r="D13" s="410"/>
      <c r="E13" s="411"/>
      <c r="F13" s="406"/>
    </row>
    <row r="14" spans="1:6" ht="18.95" customHeight="1">
      <c r="A14" s="404"/>
      <c r="B14" s="410"/>
      <c r="C14" s="412"/>
      <c r="D14" s="410"/>
      <c r="E14" s="411"/>
      <c r="F14" s="406"/>
    </row>
    <row r="15" spans="1:6" ht="18.95" customHeight="1">
      <c r="A15" s="404"/>
      <c r="B15" s="410"/>
      <c r="C15" s="411" t="str">
        <f>'Performance Data Sheet'!H22 &amp; " lb-ft"</f>
        <v>734 lb-ft</v>
      </c>
      <c r="D15" s="405"/>
      <c r="E15" s="405"/>
      <c r="F15" s="406"/>
    </row>
    <row r="16" spans="1:6" ht="18.95" customHeight="1">
      <c r="A16" s="404"/>
      <c r="B16" s="405"/>
      <c r="C16" s="405"/>
      <c r="D16" s="405"/>
      <c r="E16" s="405"/>
      <c r="F16" s="406"/>
    </row>
    <row r="17" spans="1:6" ht="18.95" customHeight="1">
      <c r="A17" s="404"/>
      <c r="B17" s="405"/>
      <c r="C17" s="405"/>
      <c r="D17" s="405"/>
      <c r="E17" s="405"/>
      <c r="F17" s="406"/>
    </row>
    <row r="18" spans="1:6" ht="18.95" customHeight="1">
      <c r="A18" s="404"/>
      <c r="B18" s="405"/>
      <c r="C18" s="405"/>
      <c r="D18" s="405"/>
      <c r="E18" s="405"/>
      <c r="F18" s="406"/>
    </row>
    <row r="19" spans="1:6" ht="18.95" customHeight="1">
      <c r="A19" s="404"/>
      <c r="B19" s="405"/>
      <c r="C19" s="405"/>
      <c r="D19" s="405"/>
      <c r="E19" s="405"/>
      <c r="F19" s="406"/>
    </row>
    <row r="20" spans="1:6" ht="18.95" customHeight="1">
      <c r="A20" s="404"/>
      <c r="B20" s="405"/>
      <c r="C20" s="405"/>
      <c r="D20" s="405"/>
      <c r="E20" s="405"/>
      <c r="F20" s="406"/>
    </row>
    <row r="21" spans="1:6" ht="18.95" customHeight="1">
      <c r="A21" s="404"/>
      <c r="B21" s="405"/>
      <c r="C21" s="405"/>
      <c r="D21" s="405"/>
      <c r="E21" s="405"/>
      <c r="F21" s="406"/>
    </row>
    <row r="22" spans="1:6" ht="18.95" customHeight="1">
      <c r="A22" s="404"/>
      <c r="B22" s="405"/>
      <c r="C22" s="405"/>
      <c r="D22" s="405"/>
      <c r="E22" s="405"/>
      <c r="F22" s="406"/>
    </row>
    <row r="23" spans="1:6" ht="18.95" customHeight="1">
      <c r="A23" s="404"/>
      <c r="B23" s="405"/>
      <c r="C23" s="405"/>
      <c r="D23" s="405"/>
      <c r="E23" s="405"/>
      <c r="F23" s="406"/>
    </row>
    <row r="24" spans="1:6" ht="18.95" customHeight="1">
      <c r="A24" s="404"/>
      <c r="B24" s="405"/>
      <c r="C24" s="405"/>
      <c r="D24" s="405"/>
      <c r="E24" s="405"/>
      <c r="F24" s="406"/>
    </row>
    <row r="25" spans="1:6" ht="18.95" customHeight="1">
      <c r="A25" s="404"/>
      <c r="B25" s="405"/>
      <c r="C25" s="405"/>
      <c r="D25" s="405"/>
      <c r="E25" s="405"/>
      <c r="F25" s="406"/>
    </row>
    <row r="26" spans="1:6" ht="18.95" customHeight="1">
      <c r="A26" s="404"/>
      <c r="B26" s="405"/>
      <c r="C26" s="405"/>
      <c r="D26" s="405"/>
      <c r="E26" s="405"/>
      <c r="F26" s="406"/>
    </row>
    <row r="27" spans="1:6" ht="18.95" customHeight="1">
      <c r="A27" s="404"/>
      <c r="B27" s="405"/>
      <c r="C27" s="405"/>
      <c r="D27" s="405"/>
      <c r="E27" s="405"/>
      <c r="F27" s="406"/>
    </row>
    <row r="28" spans="1:6" ht="18.95" customHeight="1">
      <c r="A28" s="404"/>
      <c r="B28" s="405"/>
      <c r="C28" s="405"/>
      <c r="D28" s="405"/>
      <c r="E28" s="405"/>
      <c r="F28" s="406"/>
    </row>
    <row r="29" spans="1:6" ht="18.95" customHeight="1">
      <c r="A29" s="404"/>
      <c r="B29" s="405"/>
      <c r="C29" s="405"/>
      <c r="D29" s="405"/>
      <c r="E29" s="405"/>
      <c r="F29" s="406"/>
    </row>
    <row r="30" spans="1:6" ht="18.95" customHeight="1">
      <c r="A30" s="404"/>
      <c r="B30" s="405"/>
      <c r="C30" s="405"/>
      <c r="D30" s="405"/>
      <c r="E30" s="405"/>
      <c r="F30" s="406"/>
    </row>
    <row r="31" spans="1:6" ht="18.95" customHeight="1">
      <c r="A31" s="404"/>
      <c r="B31" s="405"/>
      <c r="C31" s="405"/>
      <c r="D31" s="405"/>
      <c r="E31" s="405"/>
      <c r="F31" s="406"/>
    </row>
    <row r="32" spans="1:6" ht="18.95" customHeight="1">
      <c r="A32" s="404"/>
      <c r="B32" s="405"/>
      <c r="C32" s="405"/>
      <c r="D32" s="405"/>
      <c r="E32" s="405"/>
      <c r="F32" s="406"/>
    </row>
    <row r="33" spans="1:6" ht="18.95" customHeight="1">
      <c r="A33" s="404"/>
      <c r="B33" s="405"/>
      <c r="C33" s="405"/>
      <c r="D33" s="405"/>
      <c r="E33" s="405"/>
      <c r="F33" s="406"/>
    </row>
    <row r="34" spans="1:6" ht="18.95" customHeight="1">
      <c r="A34" s="404"/>
      <c r="B34" s="405"/>
      <c r="C34" s="405"/>
      <c r="D34" s="405"/>
      <c r="E34" s="405"/>
      <c r="F34" s="406"/>
    </row>
    <row r="35" spans="1:6" ht="18.95" customHeight="1">
      <c r="A35" s="404"/>
      <c r="B35" s="405"/>
      <c r="C35" s="405"/>
      <c r="D35" s="405"/>
      <c r="E35" s="405"/>
      <c r="F35" s="406"/>
    </row>
    <row r="36" spans="1:6" ht="18.95" customHeight="1">
      <c r="A36" s="404"/>
      <c r="B36" s="405"/>
      <c r="C36" s="405"/>
      <c r="D36" s="405"/>
      <c r="E36" s="405"/>
      <c r="F36" s="406"/>
    </row>
    <row r="37" spans="1:6" ht="18.95" customHeight="1">
      <c r="A37" s="404"/>
      <c r="B37" s="405"/>
      <c r="C37" s="405"/>
      <c r="D37" s="405"/>
      <c r="E37" s="405"/>
      <c r="F37" s="406"/>
    </row>
    <row r="38" spans="1:6" ht="18.95" customHeight="1">
      <c r="A38" s="404"/>
      <c r="B38" s="405"/>
      <c r="C38" s="405"/>
      <c r="D38" s="405"/>
      <c r="E38" s="405"/>
      <c r="F38" s="406"/>
    </row>
    <row r="39" spans="1:6" ht="18.95" customHeight="1">
      <c r="A39" s="413" t="s">
        <v>589</v>
      </c>
      <c r="B39" s="414" t="s">
        <v>370</v>
      </c>
      <c r="C39" s="533" t="str">
        <f>'Performance Data Sheet'!C10</f>
        <v>-</v>
      </c>
      <c r="D39" s="405"/>
      <c r="E39" s="410" t="s">
        <v>590</v>
      </c>
      <c r="F39" s="415" t="str">
        <f>F10</f>
        <v>734250BQ</v>
      </c>
    </row>
    <row r="40" spans="1:6" ht="18.95" customHeight="1">
      <c r="A40" s="404"/>
      <c r="B40" s="414"/>
      <c r="C40" s="414"/>
      <c r="D40" s="405"/>
      <c r="E40" s="405"/>
      <c r="F40" s="406"/>
    </row>
    <row r="41" spans="1:6" ht="18.95" customHeight="1">
      <c r="A41" s="404"/>
      <c r="B41" s="414"/>
      <c r="C41" s="414"/>
      <c r="D41" s="405"/>
      <c r="E41" s="405"/>
      <c r="F41" s="406"/>
    </row>
    <row r="42" spans="1:6" ht="18.95" customHeight="1">
      <c r="A42" s="404"/>
      <c r="B42" s="405"/>
      <c r="C42" s="405"/>
      <c r="D42" s="405"/>
      <c r="E42" s="405"/>
      <c r="F42" s="406"/>
    </row>
    <row r="43" spans="1:6" ht="18.95" customHeight="1">
      <c r="A43" s="416"/>
      <c r="B43" s="414"/>
      <c r="C43" s="417" t="s">
        <v>591</v>
      </c>
      <c r="D43" s="418" t="str">
        <f>'Performance Data Sheet'!K42</f>
        <v>Zichao Xie</v>
      </c>
      <c r="E43" s="417" t="s">
        <v>592</v>
      </c>
      <c r="F43" s="418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3" t="e">
        <f>5252.1*B50/D53</f>
        <v>#DIV/0!</v>
      </c>
      <c r="G50" s="423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4"/>
    </row>
    <row r="63" spans="6:9">
      <c r="I63" s="385" t="s">
        <v>39</v>
      </c>
    </row>
    <row r="66" spans="1:6">
      <c r="D66" s="423" t="e">
        <f>D65/D64</f>
        <v>#DIV/0!</v>
      </c>
    </row>
    <row r="67" spans="1:6">
      <c r="A67" s="425" t="s">
        <v>398</v>
      </c>
      <c r="B67" s="425" t="s">
        <v>598</v>
      </c>
      <c r="C67" s="425" t="s">
        <v>599</v>
      </c>
      <c r="E67" s="425" t="s">
        <v>600</v>
      </c>
      <c r="F67" s="425" t="s">
        <v>601</v>
      </c>
    </row>
    <row r="68" spans="1:6">
      <c r="A68" s="426">
        <v>675.25423728813564</v>
      </c>
      <c r="B68" s="427">
        <v>30.787999289376398</v>
      </c>
      <c r="C68" s="427">
        <v>15</v>
      </c>
      <c r="E68" s="426">
        <f>A68</f>
        <v>675.25423728813564</v>
      </c>
      <c r="F68" s="427">
        <v>1E-4</v>
      </c>
    </row>
    <row r="69" spans="1:6">
      <c r="A69" s="426">
        <v>584.17859999999996</v>
      </c>
      <c r="B69" s="427">
        <f>((A68/A69)^2)*B68</f>
        <v>41.136261200808761</v>
      </c>
      <c r="C69" s="427">
        <f>((A68/A69)^2)*C68</f>
        <v>20.041702359823248</v>
      </c>
      <c r="E69" s="426">
        <v>671.93220338983053</v>
      </c>
      <c r="F69" s="427">
        <v>0.52300000190734863</v>
      </c>
    </row>
    <row r="70" spans="1:6">
      <c r="A70" s="426">
        <v>493.07563728813562</v>
      </c>
      <c r="B70" s="427">
        <f>((A68/A70)^2)*B68</f>
        <v>57.741626697873251</v>
      </c>
      <c r="C70" s="427">
        <f>((A68/A70)^2)*C68</f>
        <v>28.131883216164706</v>
      </c>
      <c r="E70" s="426">
        <v>664.84745762711862</v>
      </c>
      <c r="F70" s="427">
        <v>1.0750000476837158</v>
      </c>
    </row>
    <row r="71" spans="1:6">
      <c r="A71" s="426">
        <v>402</v>
      </c>
      <c r="B71" s="427">
        <f>((A68/A71)^2)*B68</f>
        <v>86.868835139021215</v>
      </c>
      <c r="C71" s="427">
        <f>((A68/A71)^2)*C68</f>
        <v>42.322741235574156</v>
      </c>
      <c r="E71" s="426">
        <v>656.64406779661022</v>
      </c>
      <c r="F71" s="427">
        <v>1.6550000905990601</v>
      </c>
    </row>
    <row r="72" spans="1:6">
      <c r="A72" s="426">
        <f>A71-100</f>
        <v>302</v>
      </c>
      <c r="B72" s="427">
        <f>((A68/A72)^2)*B68</f>
        <v>153.92253885582198</v>
      </c>
      <c r="C72" s="427"/>
      <c r="E72" s="426">
        <v>646.91525423728808</v>
      </c>
      <c r="F72" s="427">
        <v>2.2630000114440918</v>
      </c>
    </row>
    <row r="73" spans="1:6">
      <c r="A73" s="426">
        <f>A72-100</f>
        <v>202</v>
      </c>
      <c r="B73" s="427">
        <f>((A68/A73)^2)*B68</f>
        <v>344.04350636717936</v>
      </c>
      <c r="C73" s="427"/>
      <c r="E73" s="426">
        <v>635.11864406779659</v>
      </c>
      <c r="F73" s="427">
        <v>2.9059998989105225</v>
      </c>
    </row>
    <row r="74" spans="1:6">
      <c r="A74" s="426">
        <v>280</v>
      </c>
      <c r="B74" s="427">
        <f>((A68/A74)^2)*B68</f>
        <v>179.06060247202026</v>
      </c>
      <c r="C74" s="427">
        <f>((A68/A74)^2)*C68</f>
        <v>87.238830033593473</v>
      </c>
      <c r="E74" s="426">
        <v>620.57627118644064</v>
      </c>
      <c r="F74" s="427">
        <v>3.5939998626708984</v>
      </c>
    </row>
    <row r="75" spans="1:6">
      <c r="A75" s="428">
        <v>180</v>
      </c>
      <c r="B75" s="427">
        <f>((A68/A75)^2)*B69</f>
        <v>578.91452068025728</v>
      </c>
      <c r="C75" s="427">
        <f>((A68/A75)^2)*C68</f>
        <v>211.09642822943601</v>
      </c>
      <c r="E75" s="426">
        <v>602.27118644067798</v>
      </c>
      <c r="F75" s="427">
        <v>4.3599996566772461</v>
      </c>
    </row>
    <row r="76" spans="1:6">
      <c r="A76" s="428">
        <v>145</v>
      </c>
      <c r="B76" s="427">
        <f>((A68/A76)^2)*B68</f>
        <v>667.69803727973306</v>
      </c>
      <c r="C76" s="427">
        <f>((A68/A76)^2)*C68</f>
        <v>325.30436502419627</v>
      </c>
      <c r="E76" s="426">
        <v>578.61016949152543</v>
      </c>
      <c r="F76" s="427">
        <v>5.2089996337890625</v>
      </c>
    </row>
    <row r="77" spans="1:6">
      <c r="A77" s="428">
        <v>125</v>
      </c>
      <c r="B77" s="427"/>
      <c r="C77" s="426">
        <f>CEILING(C76*2,100)</f>
        <v>700</v>
      </c>
      <c r="E77" s="426">
        <v>556.61016949152543</v>
      </c>
      <c r="F77" s="427">
        <v>5.6659994125366211</v>
      </c>
    </row>
    <row r="78" spans="1:6">
      <c r="A78" s="428">
        <v>125</v>
      </c>
      <c r="B78" s="427"/>
      <c r="C78" s="426">
        <f>2*C77</f>
        <v>1400</v>
      </c>
      <c r="E78" s="426">
        <v>535.08474576271192</v>
      </c>
      <c r="F78" s="427">
        <v>6.0929994583129883</v>
      </c>
    </row>
    <row r="79" spans="1:6">
      <c r="A79" s="428">
        <v>125</v>
      </c>
      <c r="B79" s="428"/>
      <c r="C79" s="428">
        <v>10000</v>
      </c>
      <c r="E79" s="426">
        <v>487.08474576271186</v>
      </c>
      <c r="F79" s="427">
        <v>6.3969993591308594</v>
      </c>
    </row>
    <row r="80" spans="1:6">
      <c r="E80" s="426">
        <v>306.47457627118644</v>
      </c>
      <c r="F80" s="427">
        <v>6.6259994506835938</v>
      </c>
    </row>
    <row r="81" spans="5:6">
      <c r="E81" s="426">
        <v>119.16782434859215</v>
      </c>
      <c r="F81" s="427">
        <v>6.6939992904663086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91" orientation="portrait" horizontalDpi="12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topLeftCell="A35" workbookViewId="0">
      <selection activeCell="Q56" sqref="Q56"/>
    </sheetView>
  </sheetViews>
  <sheetFormatPr defaultColWidth="9.140625" defaultRowHeight="12.75"/>
  <cols>
    <col min="1" max="6" width="16.7109375" style="385" customWidth="1"/>
    <col min="7" max="16384" width="9.140625" style="385"/>
  </cols>
  <sheetData>
    <row r="1" spans="1:6" ht="18.95" customHeight="1">
      <c r="A1" s="397"/>
      <c r="B1" s="398"/>
      <c r="C1" s="398"/>
      <c r="D1" s="398"/>
      <c r="E1" s="398"/>
      <c r="F1" s="399"/>
    </row>
    <row r="2" spans="1:6" ht="26.1" customHeight="1">
      <c r="A2" s="400" t="s">
        <v>267</v>
      </c>
      <c r="B2" s="401"/>
      <c r="C2" s="401"/>
      <c r="D2" s="401"/>
      <c r="E2" s="401"/>
      <c r="F2" s="402"/>
    </row>
    <row r="3" spans="1:6" ht="18.95" customHeight="1">
      <c r="A3" s="403" t="s">
        <v>602</v>
      </c>
      <c r="B3" s="401"/>
      <c r="C3" s="401"/>
      <c r="D3" s="401"/>
      <c r="E3" s="401"/>
      <c r="F3" s="402"/>
    </row>
    <row r="4" spans="1:6" ht="18.95" customHeight="1">
      <c r="A4" s="664" t="s">
        <v>597</v>
      </c>
      <c r="B4" s="665"/>
      <c r="C4" s="665"/>
      <c r="D4" s="665"/>
      <c r="E4" s="665"/>
      <c r="F4" s="666"/>
    </row>
    <row r="5" spans="1:6" ht="18.95" customHeight="1">
      <c r="A5" s="404"/>
      <c r="B5" s="405"/>
      <c r="C5" s="405"/>
      <c r="D5" s="405"/>
      <c r="E5" s="405"/>
      <c r="F5" s="406"/>
    </row>
    <row r="6" spans="1:6" ht="18.95" customHeight="1">
      <c r="A6" s="407" t="s">
        <v>572</v>
      </c>
      <c r="B6" s="658" t="str">
        <f>'Performance Data Sheet'!C17</f>
        <v>2504QDSB41A-R</v>
      </c>
      <c r="C6" s="659"/>
      <c r="D6" s="660"/>
      <c r="E6" s="407" t="s">
        <v>573</v>
      </c>
      <c r="F6" s="408">
        <f>'Performance Data Sheet'!I14</f>
        <v>295</v>
      </c>
    </row>
    <row r="7" spans="1:6" ht="18.95" customHeight="1">
      <c r="A7" s="407" t="s">
        <v>574</v>
      </c>
      <c r="B7" s="408" t="str">
        <f>'Performance Data Sheet'!F14</f>
        <v>TEFC</v>
      </c>
      <c r="C7" s="407" t="s">
        <v>576</v>
      </c>
      <c r="D7" s="408" t="str">
        <f>'Performance Data Sheet'!F13 &amp; " V"</f>
        <v>460 V</v>
      </c>
      <c r="E7" s="407" t="s">
        <v>577</v>
      </c>
      <c r="F7" s="408" t="str">
        <f>'Performance Data Sheet'!C14</f>
        <v>S449T</v>
      </c>
    </row>
    <row r="8" spans="1:6" ht="18.95" customHeight="1">
      <c r="A8" s="407" t="s">
        <v>578</v>
      </c>
      <c r="B8" s="408">
        <v>4</v>
      </c>
      <c r="C8" s="407" t="s">
        <v>579</v>
      </c>
      <c r="D8" s="408" t="s">
        <v>580</v>
      </c>
      <c r="E8" s="407" t="s">
        <v>581</v>
      </c>
      <c r="F8" s="408" t="str">
        <f>'Performance Data Sheet'!M15</f>
        <v>F</v>
      </c>
    </row>
    <row r="9" spans="1:6" ht="18.95" customHeight="1">
      <c r="A9" s="407" t="s">
        <v>582</v>
      </c>
      <c r="B9" s="408">
        <f>'Performance Data Sheet'!C13</f>
        <v>250</v>
      </c>
      <c r="C9" s="407" t="s">
        <v>583</v>
      </c>
      <c r="D9" s="408" t="s">
        <v>593</v>
      </c>
      <c r="E9" s="407" t="s">
        <v>2</v>
      </c>
      <c r="F9" s="409">
        <f>'Performance Data Sheet'!K44</f>
        <v>45106</v>
      </c>
    </row>
    <row r="10" spans="1:6" ht="18.95" customHeight="1">
      <c r="A10" s="407" t="s">
        <v>584</v>
      </c>
      <c r="B10" s="408">
        <f>'Performance Data Sheet'!M14</f>
        <v>1788</v>
      </c>
      <c r="C10" s="407" t="s">
        <v>403</v>
      </c>
      <c r="D10" s="408" t="s">
        <v>594</v>
      </c>
      <c r="E10" s="407" t="s">
        <v>1</v>
      </c>
      <c r="F10" s="408" t="s">
        <v>720</v>
      </c>
    </row>
    <row r="11" spans="1:6" ht="18.95" customHeight="1">
      <c r="A11" s="404"/>
      <c r="B11" s="405"/>
      <c r="C11" s="405"/>
      <c r="D11" s="405"/>
      <c r="E11" s="405"/>
      <c r="F11" s="406"/>
    </row>
    <row r="12" spans="1:6" ht="18.95" customHeight="1">
      <c r="A12" s="404"/>
      <c r="B12" s="410" t="s">
        <v>585</v>
      </c>
      <c r="C12" s="411" t="str">
        <f>'Performance Data Sheet'!D22 &amp; " A"</f>
        <v>1992 A</v>
      </c>
      <c r="D12" s="410" t="s">
        <v>402</v>
      </c>
      <c r="E12" s="411" t="s">
        <v>406</v>
      </c>
      <c r="F12" s="406"/>
    </row>
    <row r="13" spans="1:6" ht="18.95" customHeight="1">
      <c r="A13" s="404"/>
      <c r="B13" s="410" t="s">
        <v>586</v>
      </c>
      <c r="C13" s="412">
        <f>'Performance Data Sheet'!H23/100</f>
        <v>2.1</v>
      </c>
      <c r="D13" s="410" t="s">
        <v>587</v>
      </c>
      <c r="E13" s="411" t="s">
        <v>595</v>
      </c>
      <c r="F13" s="406"/>
    </row>
    <row r="14" spans="1:6" ht="18.95" customHeight="1">
      <c r="A14" s="404"/>
      <c r="B14" s="410" t="s">
        <v>588</v>
      </c>
      <c r="C14" s="412">
        <v>2.8</v>
      </c>
      <c r="D14" s="410" t="s">
        <v>404</v>
      </c>
      <c r="E14" s="411" t="s">
        <v>409</v>
      </c>
      <c r="F14" s="406"/>
    </row>
    <row r="15" spans="1:6" ht="18.95" customHeight="1">
      <c r="A15" s="404"/>
      <c r="B15" s="410" t="s">
        <v>405</v>
      </c>
      <c r="C15" s="411" t="str">
        <f>'Performance Data Sheet'!H22 &amp; " lb-ft"</f>
        <v>734 lb-ft</v>
      </c>
      <c r="D15" s="405"/>
      <c r="E15" s="405"/>
      <c r="F15" s="406"/>
    </row>
    <row r="16" spans="1:6" ht="18.95" customHeight="1">
      <c r="A16" s="404"/>
      <c r="B16" s="405"/>
      <c r="C16" s="405"/>
      <c r="D16" s="405"/>
      <c r="E16" s="405"/>
      <c r="F16" s="406"/>
    </row>
    <row r="17" spans="1:8" ht="18.95" customHeight="1">
      <c r="A17" s="404"/>
      <c r="B17" s="405"/>
      <c r="C17" s="405"/>
      <c r="D17" s="405"/>
      <c r="E17" s="405"/>
      <c r="F17" s="406"/>
    </row>
    <row r="18" spans="1:8" ht="18.95" customHeight="1">
      <c r="A18" s="404"/>
      <c r="B18" s="405"/>
      <c r="C18" s="405"/>
      <c r="D18" s="405"/>
      <c r="E18" s="405"/>
      <c r="F18" s="406"/>
    </row>
    <row r="19" spans="1:8" ht="18.95" customHeight="1">
      <c r="A19" s="404"/>
      <c r="B19" s="405"/>
      <c r="C19" s="405"/>
      <c r="D19" s="405"/>
      <c r="E19" s="405"/>
      <c r="F19" s="406"/>
    </row>
    <row r="20" spans="1:8" ht="18.95" customHeight="1">
      <c r="A20" s="404"/>
      <c r="B20" s="405"/>
      <c r="C20" s="405"/>
      <c r="D20" s="405"/>
      <c r="E20" s="405"/>
      <c r="F20" s="406"/>
    </row>
    <row r="21" spans="1:8" ht="18.95" customHeight="1">
      <c r="A21" s="404"/>
      <c r="B21" s="405"/>
      <c r="C21" s="405"/>
      <c r="D21" s="405"/>
      <c r="E21" s="405"/>
      <c r="F21" s="406"/>
    </row>
    <row r="22" spans="1:8" ht="18.95" customHeight="1">
      <c r="A22" s="404"/>
      <c r="B22" s="405"/>
      <c r="C22" s="405"/>
      <c r="D22" s="405"/>
      <c r="E22" s="405"/>
      <c r="F22" s="406"/>
    </row>
    <row r="23" spans="1:8" ht="18.95" customHeight="1">
      <c r="A23" s="404"/>
      <c r="B23" s="405"/>
      <c r="C23" s="405"/>
      <c r="D23" s="405"/>
      <c r="E23" s="405"/>
      <c r="F23" s="406"/>
    </row>
    <row r="24" spans="1:8" ht="18.95" customHeight="1">
      <c r="A24" s="404"/>
      <c r="B24" s="405"/>
      <c r="C24" s="405"/>
      <c r="D24" s="405"/>
      <c r="E24" s="405"/>
      <c r="F24" s="406"/>
      <c r="H24" s="429"/>
    </row>
    <row r="25" spans="1:8" ht="18.95" customHeight="1">
      <c r="A25" s="404"/>
      <c r="B25" s="405"/>
      <c r="C25" s="405"/>
      <c r="D25" s="405"/>
      <c r="E25" s="405"/>
      <c r="F25" s="406"/>
    </row>
    <row r="26" spans="1:8" ht="18.95" customHeight="1">
      <c r="A26" s="404"/>
      <c r="B26" s="405"/>
      <c r="C26" s="405"/>
      <c r="D26" s="405"/>
      <c r="E26" s="405"/>
      <c r="F26" s="406"/>
    </row>
    <row r="27" spans="1:8" ht="18.95" customHeight="1">
      <c r="A27" s="404"/>
      <c r="B27" s="405"/>
      <c r="C27" s="405"/>
      <c r="D27" s="405"/>
      <c r="E27" s="405"/>
      <c r="F27" s="406"/>
    </row>
    <row r="28" spans="1:8" ht="18.95" customHeight="1">
      <c r="A28" s="404"/>
      <c r="B28" s="405"/>
      <c r="C28" s="405"/>
      <c r="D28" s="405"/>
      <c r="E28" s="405"/>
      <c r="F28" s="406"/>
    </row>
    <row r="29" spans="1:8" ht="18.95" customHeight="1">
      <c r="A29" s="404"/>
      <c r="B29" s="405"/>
      <c r="C29" s="405"/>
      <c r="D29" s="405"/>
      <c r="E29" s="405"/>
      <c r="F29" s="406"/>
    </row>
    <row r="30" spans="1:8" ht="18.95" customHeight="1">
      <c r="A30" s="404"/>
      <c r="B30" s="405"/>
      <c r="C30" s="405"/>
      <c r="D30" s="405"/>
      <c r="E30" s="405"/>
      <c r="F30" s="406"/>
    </row>
    <row r="31" spans="1:8" ht="18.95" customHeight="1">
      <c r="A31" s="404"/>
      <c r="B31" s="405"/>
      <c r="C31" s="405"/>
      <c r="D31" s="405"/>
      <c r="E31" s="405"/>
      <c r="F31" s="406"/>
    </row>
    <row r="32" spans="1:8" ht="18.95" customHeight="1">
      <c r="A32" s="404"/>
      <c r="B32" s="405"/>
      <c r="C32" s="405"/>
      <c r="D32" s="405"/>
      <c r="E32" s="405"/>
      <c r="F32" s="406"/>
    </row>
    <row r="33" spans="1:15" ht="18.95" customHeight="1">
      <c r="A33" s="404"/>
      <c r="B33" s="405"/>
      <c r="C33" s="405"/>
      <c r="D33" s="405"/>
      <c r="E33" s="405"/>
      <c r="F33" s="406"/>
    </row>
    <row r="34" spans="1:15" ht="18.95" customHeight="1">
      <c r="A34" s="404"/>
      <c r="B34" s="405"/>
      <c r="C34" s="405"/>
      <c r="D34" s="405"/>
      <c r="E34" s="405"/>
      <c r="F34" s="406"/>
    </row>
    <row r="35" spans="1:15" ht="18.95" customHeight="1">
      <c r="A35" s="404"/>
      <c r="B35" s="405"/>
      <c r="C35" s="405"/>
      <c r="D35" s="405"/>
      <c r="E35" s="405"/>
      <c r="F35" s="406"/>
    </row>
    <row r="36" spans="1:15" ht="18.95" customHeight="1">
      <c r="A36" s="404"/>
      <c r="B36" s="405"/>
      <c r="C36" s="405"/>
      <c r="D36" s="405"/>
      <c r="E36" s="405"/>
      <c r="F36" s="406"/>
      <c r="N36" s="534" t="s">
        <v>718</v>
      </c>
      <c r="O36" s="534" t="s">
        <v>719</v>
      </c>
    </row>
    <row r="37" spans="1:15" ht="18.95" customHeight="1">
      <c r="A37" s="404"/>
      <c r="B37" s="405"/>
      <c r="C37" s="405"/>
      <c r="D37" s="405"/>
      <c r="E37" s="405"/>
      <c r="F37" s="406"/>
      <c r="N37" s="534">
        <f xml:space="preserve"> L43 - (L43-L44) / 10 * 0</f>
        <v>1800</v>
      </c>
      <c r="O37" s="534">
        <f xml:space="preserve"> L45 / 10 * 10</f>
        <v>600</v>
      </c>
    </row>
    <row r="38" spans="1:15" ht="18.95" customHeight="1">
      <c r="A38" s="404"/>
      <c r="B38" s="405"/>
      <c r="C38" s="405"/>
      <c r="D38" s="405"/>
      <c r="E38" s="405"/>
      <c r="F38" s="406"/>
      <c r="N38" s="534">
        <f xml:space="preserve"> L43 - (L43-L44) / 10 * 1</f>
        <v>1798</v>
      </c>
      <c r="O38" s="534">
        <f xml:space="preserve"> L45 / 10 * 9</f>
        <v>540</v>
      </c>
    </row>
    <row r="39" spans="1:15" ht="18.95" customHeight="1">
      <c r="A39" s="413" t="s">
        <v>589</v>
      </c>
      <c r="B39" s="414" t="s">
        <v>370</v>
      </c>
      <c r="C39" s="533" t="str">
        <f>'Performance Data Sheet'!C10</f>
        <v>-</v>
      </c>
      <c r="D39" s="405"/>
      <c r="E39" s="410" t="s">
        <v>590</v>
      </c>
      <c r="F39" s="415" t="str">
        <f>F10</f>
        <v>734250BQ</v>
      </c>
      <c r="N39" s="534">
        <f xml:space="preserve"> L43 - (L43-L44) / 10 * 2</f>
        <v>1796</v>
      </c>
      <c r="O39" s="534">
        <f xml:space="preserve"> L45 / 10 * 8</f>
        <v>480</v>
      </c>
    </row>
    <row r="40" spans="1:15" ht="18.95" customHeight="1">
      <c r="A40" s="404"/>
      <c r="B40" s="414"/>
      <c r="C40" s="414"/>
      <c r="D40" s="405"/>
      <c r="E40" s="405"/>
      <c r="F40" s="406"/>
      <c r="N40" s="534">
        <f xml:space="preserve"> L43 - (L43-L44) / 10 * 3</f>
        <v>1794</v>
      </c>
      <c r="O40" s="534">
        <f xml:space="preserve"> L45 / 10 * 7</f>
        <v>420</v>
      </c>
    </row>
    <row r="41" spans="1:15" ht="18.95" customHeight="1">
      <c r="A41" s="404"/>
      <c r="B41" s="414"/>
      <c r="C41" s="414"/>
      <c r="D41" s="405"/>
      <c r="E41" s="405"/>
      <c r="F41" s="406"/>
      <c r="N41" s="534">
        <f xml:space="preserve"> L43 - (L43-L44) / 10 * 4</f>
        <v>1792</v>
      </c>
      <c r="O41" s="534">
        <f xml:space="preserve"> L45 / 10 * 6</f>
        <v>360</v>
      </c>
    </row>
    <row r="42" spans="1:15" ht="18.95" customHeight="1">
      <c r="A42" s="404"/>
      <c r="B42" s="405"/>
      <c r="C42" s="405"/>
      <c r="D42" s="405"/>
      <c r="E42" s="405"/>
      <c r="F42" s="406"/>
      <c r="N42" s="534">
        <f xml:space="preserve"> L43 - (L43-L44) / 10 * 5</f>
        <v>1790</v>
      </c>
      <c r="O42" s="534">
        <f xml:space="preserve"> L45 / 10 * 5</f>
        <v>300</v>
      </c>
    </row>
    <row r="43" spans="1:15" ht="18.95" customHeight="1">
      <c r="A43" s="416"/>
      <c r="B43" s="414"/>
      <c r="C43" s="417" t="s">
        <v>591</v>
      </c>
      <c r="D43" s="418" t="str">
        <f>'Performance Data Sheet'!K42</f>
        <v>Zichao Xie</v>
      </c>
      <c r="E43" s="417" t="s">
        <v>592</v>
      </c>
      <c r="F43" s="418"/>
      <c r="K43" s="537" t="s">
        <v>715</v>
      </c>
      <c r="L43" s="538">
        <v>1800</v>
      </c>
      <c r="N43" s="534">
        <f xml:space="preserve"> L43 - (L43-L44) / 10 * 6</f>
        <v>1788</v>
      </c>
      <c r="O43" s="534">
        <f xml:space="preserve"> L45 / 10 * 4</f>
        <v>240</v>
      </c>
    </row>
    <row r="44" spans="1:15" ht="15" customHeight="1">
      <c r="K44" s="537" t="s">
        <v>716</v>
      </c>
      <c r="L44" s="539">
        <v>1780</v>
      </c>
      <c r="N44" s="534">
        <f xml:space="preserve"> L43 - (L43-L44) / 10 * 7</f>
        <v>1786</v>
      </c>
      <c r="O44" s="534">
        <f xml:space="preserve"> L45 / 10 * 3</f>
        <v>180</v>
      </c>
    </row>
    <row r="45" spans="1:15" ht="15" customHeight="1">
      <c r="K45" s="537" t="s">
        <v>717</v>
      </c>
      <c r="L45" s="539">
        <v>600</v>
      </c>
      <c r="N45" s="534">
        <f xml:space="preserve"> L43 - (L43-L44) / 10 * 8</f>
        <v>1784</v>
      </c>
      <c r="O45" s="534">
        <f xml:space="preserve"> L45 / 10 * 2</f>
        <v>120</v>
      </c>
    </row>
    <row r="46" spans="1:15" ht="15" customHeight="1">
      <c r="N46" s="534">
        <f xml:space="preserve"> L43 - (L43-L44) / 10 * 9</f>
        <v>1782</v>
      </c>
      <c r="O46" s="534">
        <f xml:space="preserve"> L45 / 10 * 1</f>
        <v>60</v>
      </c>
    </row>
    <row r="47" spans="1:15" ht="15" customHeight="1">
      <c r="N47" s="534">
        <f xml:space="preserve"> L43 - (L43-L44) / 10 * 10</f>
        <v>1780</v>
      </c>
      <c r="O47" s="540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67" t="s">
        <v>713</v>
      </c>
      <c r="B52" s="668"/>
      <c r="C52" s="668"/>
      <c r="D52" s="668"/>
      <c r="E52" s="668"/>
      <c r="F52" s="669"/>
    </row>
    <row r="53" spans="1:6" ht="15" customHeight="1" thickBot="1">
      <c r="A53" s="535" t="s">
        <v>401</v>
      </c>
      <c r="B53" s="535" t="s">
        <v>142</v>
      </c>
      <c r="C53" s="535" t="s">
        <v>120</v>
      </c>
      <c r="D53" s="535" t="s">
        <v>135</v>
      </c>
      <c r="E53" s="535" t="s">
        <v>5</v>
      </c>
      <c r="F53" s="536" t="s">
        <v>603</v>
      </c>
    </row>
    <row r="54" spans="1:6" ht="15" customHeight="1">
      <c r="A54" s="430">
        <v>0</v>
      </c>
      <c r="B54" s="431"/>
      <c r="C54" s="432"/>
      <c r="D54" s="432">
        <v>108</v>
      </c>
      <c r="E54" s="432">
        <v>100</v>
      </c>
      <c r="F54" s="433">
        <f>3180/(L45*1000) * 100</f>
        <v>0.53</v>
      </c>
    </row>
    <row r="55" spans="1:6" ht="15" customHeight="1">
      <c r="A55" s="434">
        <v>25</v>
      </c>
      <c r="B55" s="435">
        <v>89.099998474121094</v>
      </c>
      <c r="C55" s="436">
        <v>56.400001525878906</v>
      </c>
      <c r="D55" s="436">
        <v>116.45999908447266</v>
      </c>
      <c r="E55" s="436">
        <f xml:space="preserve"> (1.0049664456839*B10-L44)/(L43-L44)*100</f>
        <v>84.400024414065911</v>
      </c>
      <c r="F55" s="437">
        <f xml:space="preserve"> 52332.85/(L45*1000)*100</f>
        <v>8.7221416666666656</v>
      </c>
    </row>
    <row r="56" spans="1:6" ht="15" customHeight="1">
      <c r="A56" s="434">
        <v>50</v>
      </c>
      <c r="B56" s="435">
        <v>93.800003051757813</v>
      </c>
      <c r="C56" s="436">
        <v>74</v>
      </c>
      <c r="D56" s="436">
        <v>168.47999572753906</v>
      </c>
      <c r="E56" s="436">
        <f xml:space="preserve"> (1.00342281606107*B10-L44)/(L43-L44)*100</f>
        <v>70.599975585967059</v>
      </c>
      <c r="F56" s="437">
        <f xml:space="preserve"> 99334.14/(L45*1000)*100</f>
        <v>16.555690000000002</v>
      </c>
    </row>
    <row r="57" spans="1:6">
      <c r="A57" s="434">
        <v>75</v>
      </c>
      <c r="B57" s="435">
        <v>95.599998474121094</v>
      </c>
      <c r="C57" s="436">
        <v>80.199996948242188</v>
      </c>
      <c r="D57" s="436">
        <v>229.10000610351563</v>
      </c>
      <c r="E57" s="436">
        <f xml:space="preserve"> (1.00174496371207*B10-L44)/(L43-L44)*100</f>
        <v>55.599975585904524</v>
      </c>
      <c r="F57" s="437">
        <f xml:space="preserve"> 146392.2/(L45*1000)*100</f>
        <v>24.398700000000002</v>
      </c>
    </row>
    <row r="58" spans="1:6">
      <c r="A58" s="434">
        <v>100</v>
      </c>
      <c r="B58" s="435">
        <v>96.200004577636719</v>
      </c>
      <c r="C58" s="436">
        <v>82.400001525878906</v>
      </c>
      <c r="D58" s="436">
        <v>295.1300048828125</v>
      </c>
      <c r="E58" s="436">
        <f xml:space="preserve"> (1*B10-L44)/(L43-L44)*100</f>
        <v>40</v>
      </c>
      <c r="F58" s="437">
        <f xml:space="preserve"> 193757.7/(L45*1000)*100</f>
        <v>32.292950000000005</v>
      </c>
    </row>
    <row r="59" spans="1:6" ht="13.5" thickBot="1">
      <c r="A59" s="438">
        <v>125</v>
      </c>
      <c r="B59" s="439">
        <v>96.5</v>
      </c>
      <c r="C59" s="440">
        <v>82.900001525878906</v>
      </c>
      <c r="D59" s="440">
        <v>365.8800048828125</v>
      </c>
      <c r="E59" s="440">
        <f xml:space="preserve"> (0.998657704466408*B10-L44)/(L43-L44)*100</f>
        <v>27.9998779296875</v>
      </c>
      <c r="F59" s="441">
        <f xml:space="preserve"> 241663.8/(L45*1000)*100</f>
        <v>40.277299999999997</v>
      </c>
    </row>
    <row r="60" spans="1:6">
      <c r="A60" s="419"/>
      <c r="B60" s="420"/>
      <c r="C60" s="420"/>
    </row>
    <row r="61" spans="1:6" ht="13.5" thickBot="1">
      <c r="A61" s="419"/>
      <c r="B61" s="420"/>
      <c r="C61" s="420"/>
    </row>
    <row r="62" spans="1:6" ht="13.5" thickBot="1">
      <c r="A62" s="667" t="s">
        <v>714</v>
      </c>
      <c r="B62" s="668"/>
      <c r="C62" s="668"/>
      <c r="D62" s="668"/>
      <c r="E62" s="668"/>
      <c r="F62" s="669"/>
    </row>
    <row r="63" spans="1:6" ht="13.5" thickBot="1">
      <c r="A63" s="535" t="s">
        <v>401</v>
      </c>
      <c r="B63" s="535" t="s">
        <v>142</v>
      </c>
      <c r="C63" s="535" t="s">
        <v>120</v>
      </c>
      <c r="D63" s="535" t="s">
        <v>135</v>
      </c>
      <c r="E63" s="535" t="s">
        <v>5</v>
      </c>
      <c r="F63" s="536" t="s">
        <v>603</v>
      </c>
    </row>
    <row r="64" spans="1:6">
      <c r="A64" s="430">
        <v>0</v>
      </c>
      <c r="B64" s="431"/>
      <c r="C64" s="432"/>
      <c r="D64" s="432">
        <v>82.299526866907954</v>
      </c>
      <c r="E64" s="432">
        <v>100</v>
      </c>
      <c r="F64" s="433">
        <v>0.53</v>
      </c>
    </row>
    <row r="65" spans="1:6">
      <c r="A65" s="434">
        <v>25</v>
      </c>
      <c r="B65" s="435">
        <v>89.064643859863281</v>
      </c>
      <c r="C65" s="436">
        <v>56.387165069580078</v>
      </c>
      <c r="D65" s="436">
        <v>116.45885467529297</v>
      </c>
      <c r="E65" s="436">
        <v>77.25441827600028</v>
      </c>
      <c r="F65" s="437">
        <v>8.7198140393820225</v>
      </c>
    </row>
    <row r="66" spans="1:6">
      <c r="A66" s="434">
        <v>50</v>
      </c>
      <c r="B66" s="435">
        <v>93.823745727539063</v>
      </c>
      <c r="C66" s="436">
        <v>73.998924255371094</v>
      </c>
      <c r="D66" s="436">
        <v>168.48060607910156</v>
      </c>
      <c r="E66" s="436">
        <v>65.513182963265947</v>
      </c>
      <c r="F66" s="437">
        <v>16.555022777165654</v>
      </c>
    </row>
    <row r="67" spans="1:6">
      <c r="A67" s="434">
        <v>75</v>
      </c>
      <c r="B67" s="435">
        <v>95.561569213867188</v>
      </c>
      <c r="C67" s="436">
        <v>80.144134521484375</v>
      </c>
      <c r="D67" s="436">
        <v>229.099609375</v>
      </c>
      <c r="E67" s="436">
        <v>53.200388535507429</v>
      </c>
      <c r="F67" s="437">
        <v>24.380946048857968</v>
      </c>
    </row>
    <row r="68" spans="1:6">
      <c r="A68" s="434">
        <v>100</v>
      </c>
      <c r="B68" s="435">
        <v>96.228874206542969</v>
      </c>
      <c r="C68" s="436">
        <v>82.375816345214844</v>
      </c>
      <c r="D68" s="436">
        <v>295.12969970703125</v>
      </c>
      <c r="E68" s="436">
        <v>40.055606872893165</v>
      </c>
      <c r="F68" s="437">
        <v>32.282497333165082</v>
      </c>
    </row>
    <row r="69" spans="1:6" ht="13.5" thickBot="1">
      <c r="A69" s="438">
        <v>125</v>
      </c>
      <c r="B69" s="439">
        <v>96.467437744140625</v>
      </c>
      <c r="C69" s="440">
        <v>82.853630065917969</v>
      </c>
      <c r="D69" s="440">
        <v>365.87759399414063</v>
      </c>
      <c r="E69" s="440">
        <v>30.092800607121102</v>
      </c>
      <c r="F69" s="441">
        <v>40.253331058305996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91" orientation="portrait" horizontalDpi="12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2026-04-13T19:47:43Z</dcterms:modified>
</cp:coreProperties>
</file>