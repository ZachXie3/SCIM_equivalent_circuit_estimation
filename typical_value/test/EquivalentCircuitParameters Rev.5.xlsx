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zxie-code\equivalent_circuit_estimation\Typical Equivalent Circuit\"/>
    </mc:Choice>
  </mc:AlternateContent>
  <xr:revisionPtr revIDLastSave="0" documentId="13_ncr:1_{FF48239B-2006-4A6C-9951-21E7D5BE41C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qCircut" sheetId="1" r:id="rId1"/>
  </sheets>
  <externalReferences>
    <externalReference r:id="rId2"/>
  </externalReferences>
  <definedNames>
    <definedName name="_xlnm.Print_Area" localSheetId="0">EqCircut!$A$9:$K$32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G41" i="1"/>
  <c r="B47" i="1" s="1"/>
  <c r="B58" i="1" s="1"/>
  <c r="E41" i="1"/>
  <c r="C41" i="1"/>
  <c r="J8" i="1"/>
  <c r="J7" i="1"/>
  <c r="J6" i="1"/>
  <c r="J5" i="1"/>
  <c r="J4" i="1"/>
  <c r="J3" i="1"/>
  <c r="B52" i="1" l="1"/>
  <c r="B45" i="1"/>
  <c r="B54" i="1" s="1"/>
  <c r="B50" i="1"/>
  <c r="B51" i="1"/>
  <c r="B46" i="1"/>
  <c r="B55" i="1" s="1"/>
  <c r="D7" i="1"/>
  <c r="B49" i="1" s="1"/>
  <c r="D5" i="1"/>
  <c r="B61" i="1" s="1"/>
  <c r="E3" i="1"/>
  <c r="E2" i="1"/>
  <c r="D13" i="1" l="1"/>
  <c r="F13" i="1" s="1"/>
  <c r="D20" i="1"/>
  <c r="F20" i="1" s="1"/>
  <c r="C43" i="1"/>
  <c r="B53" i="1" s="1"/>
  <c r="D15" i="1" l="1"/>
  <c r="F15" i="1" s="1"/>
  <c r="D14" i="1"/>
  <c r="F14" i="1" s="1"/>
  <c r="D16" i="1" l="1"/>
  <c r="B57" i="1"/>
  <c r="B48" i="1"/>
  <c r="B59" i="1" s="1"/>
  <c r="B60" i="1" s="1"/>
  <c r="D18" i="1" l="1"/>
  <c r="F18" i="1" s="1"/>
  <c r="B68" i="1"/>
  <c r="D30" i="1" s="1"/>
  <c r="F30" i="1" s="1"/>
  <c r="B66" i="1"/>
  <c r="D26" i="1" s="1"/>
  <c r="F26" i="1" s="1"/>
  <c r="F16" i="1"/>
  <c r="D19" i="1"/>
  <c r="F19" i="1" s="1"/>
  <c r="B69" i="1"/>
  <c r="D31" i="1" s="1"/>
  <c r="F31" i="1" s="1"/>
  <c r="B56" i="1"/>
  <c r="B64" i="1" s="1"/>
  <c r="B67" i="1" l="1"/>
  <c r="D29" i="1" s="1"/>
  <c r="F29" i="1" s="1"/>
  <c r="B63" i="1"/>
  <c r="D23" i="1" s="1"/>
  <c r="F23" i="1" s="1"/>
  <c r="D24" i="1"/>
  <c r="F24" i="1" s="1"/>
  <c r="L3" i="1"/>
  <c r="B65" i="1"/>
  <c r="D25" i="1" s="1"/>
  <c r="F25" i="1" s="1"/>
  <c r="B62" i="1"/>
  <c r="D17" i="1"/>
  <c r="D22" i="1" l="1"/>
  <c r="F22" i="1" s="1"/>
  <c r="B72" i="1"/>
  <c r="F17" i="1"/>
</calcChain>
</file>

<file path=xl/sharedStrings.xml><?xml version="1.0" encoding="utf-8"?>
<sst xmlns="http://schemas.openxmlformats.org/spreadsheetml/2006/main" count="102" uniqueCount="99">
  <si>
    <t xml:space="preserve">What is the % BDT before Correlation ? </t>
  </si>
  <si>
    <t>Voltage :</t>
  </si>
  <si>
    <t xml:space="preserve">What is the % BDT after Correlation ? </t>
  </si>
  <si>
    <t>Frequency :</t>
  </si>
  <si>
    <t>No-Load Current:</t>
  </si>
  <si>
    <t xml:space="preserve">what are the No Load Amps? </t>
  </si>
  <si>
    <t>Full Load Current:</t>
  </si>
  <si>
    <t>Breakdown Torque:</t>
  </si>
  <si>
    <t>What are the Full load Amps?</t>
  </si>
  <si>
    <t>Wc:</t>
  </si>
  <si>
    <t>Wf:</t>
  </si>
  <si>
    <t xml:space="preserve">TOSHIBA INTERNATIONAL CORPORATION </t>
  </si>
  <si>
    <t>VALUE (OHMS)</t>
  </si>
  <si>
    <t xml:space="preserve">PER UNIT </t>
  </si>
  <si>
    <t>BASE IMPEDANCE PER UNIT</t>
  </si>
  <si>
    <t>PRIMARY REISTANCE (R1)</t>
  </si>
  <si>
    <t>SECONDARY RESISTANCE (R2)</t>
  </si>
  <si>
    <t>STARTING RESISTANCE (R3)</t>
  </si>
  <si>
    <t>PRIMARY REACTANCE (X1)</t>
  </si>
  <si>
    <t>SECONDARY REACTANCE (X2)</t>
  </si>
  <si>
    <t>STARTING REACTANCE (X3)</t>
  </si>
  <si>
    <t>MAGNETIZING REACTANCE (XM)</t>
  </si>
  <si>
    <t>SHORT CIRCUIT TIME CONSTANT</t>
  </si>
  <si>
    <t>SUB TRANSIENT TIME CONSTANT</t>
  </si>
  <si>
    <t>OPEN CIRCUIT TIME CONSTANT</t>
  </si>
  <si>
    <t>INDUCTANCES (HENRIES)</t>
  </si>
  <si>
    <t>STATOR INDUCTANCE (L1)</t>
  </si>
  <si>
    <t>ROTOR INDUCTANCE (L2)</t>
  </si>
  <si>
    <t>STARTING INDUCTANCE (L3)</t>
  </si>
  <si>
    <t>Jcon  =</t>
  </si>
  <si>
    <t xml:space="preserve">Wo = </t>
  </si>
  <si>
    <t xml:space="preserve">Xcorr = </t>
  </si>
  <si>
    <t xml:space="preserve">X BDT = </t>
  </si>
  <si>
    <t xml:space="preserve">pacop = </t>
  </si>
  <si>
    <t>pacop2=</t>
  </si>
  <si>
    <t xml:space="preserve">pac11p = </t>
  </si>
  <si>
    <t xml:space="preserve">pac12p = </t>
  </si>
  <si>
    <t xml:space="preserve">base = </t>
  </si>
  <si>
    <t xml:space="preserve">r1 = </t>
  </si>
  <si>
    <t xml:space="preserve">r2 = </t>
  </si>
  <si>
    <t xml:space="preserve">r3 = </t>
  </si>
  <si>
    <t xml:space="preserve">xs = </t>
  </si>
  <si>
    <t xml:space="preserve">x1r = </t>
  </si>
  <si>
    <t xml:space="preserve">x2r = </t>
  </si>
  <si>
    <t xml:space="preserve">x1 = </t>
  </si>
  <si>
    <t xml:space="preserve">x2 = </t>
  </si>
  <si>
    <t xml:space="preserve">x1s = </t>
  </si>
  <si>
    <t xml:space="preserve">x2s = </t>
  </si>
  <si>
    <t xml:space="preserve">x3 = </t>
  </si>
  <si>
    <t xml:space="preserve">xm= </t>
  </si>
  <si>
    <t xml:space="preserve">tx = </t>
  </si>
  <si>
    <t xml:space="preserve">stx = </t>
  </si>
  <si>
    <t xml:space="preserve">sctc = </t>
  </si>
  <si>
    <t xml:space="preserve">sttc = </t>
  </si>
  <si>
    <t xml:space="preserve">octo = </t>
  </si>
  <si>
    <t xml:space="preserve">l1 = </t>
  </si>
  <si>
    <t>l2 =</t>
  </si>
  <si>
    <t>l3 =</t>
  </si>
  <si>
    <t>TRANSIENT REACTANCE (Xd')</t>
  </si>
  <si>
    <t>SUB TRANSIENT REACTANCE (Xd")</t>
  </si>
  <si>
    <t>ALL VALUES ARE IN EQULIVALENT Y</t>
  </si>
  <si>
    <t>.</t>
  </si>
  <si>
    <t>First Cycle Inrush</t>
  </si>
  <si>
    <t>Project or Lab:</t>
  </si>
  <si>
    <t>Stator Slot Reactance + 1/2 Zigzag Reactance + 1/2 Belt Leakage Reactance + Xcorr * Coil End Reactance</t>
  </si>
  <si>
    <t>Rotor Slot Reactance + 1/2 Zigzag Reactance + 1/2 Belt Leakage Reactance + (1-Xcorr) * Coil End Reactance</t>
  </si>
  <si>
    <t>Xcorr * Coil End Reactance</t>
  </si>
  <si>
    <t>(1-Xcorr) * Coil End Reactance</t>
  </si>
  <si>
    <t>Primary Resistance</t>
  </si>
  <si>
    <t>Seconadry Resistance</t>
  </si>
  <si>
    <t>Starting Secondary Resistance</t>
  </si>
  <si>
    <t>Secondary Reactance</t>
  </si>
  <si>
    <t>[Starting Stator Slot Reactance + 1/2 Starting Zigzag Reactance + Xcorr * Coil End Reactance] / Jconn</t>
  </si>
  <si>
    <t>[Starting Rotor Slot Reactance + 1/2 Starting Zigzag Reactance + (1-Xcorr) * Coil End Reactance] / Jconn</t>
  </si>
  <si>
    <t>Magnetizing Reactance</t>
  </si>
  <si>
    <t>Primary Reactance</t>
  </si>
  <si>
    <t>Transient Reactance = Primary Reactance + Secondary Reactance // Magnetizing Reactance</t>
  </si>
  <si>
    <t>Starting Rotor Reactance</t>
  </si>
  <si>
    <t>Sub Transient Reactance = Primary Reactance + Secondary Reactance // Magnetizing Reactance // Starting Secondary Reactance</t>
  </si>
  <si>
    <t>???</t>
  </si>
  <si>
    <t>Impedance (not used)</t>
  </si>
  <si>
    <t>Total Reactance</t>
  </si>
  <si>
    <t>2*pi*f</t>
  </si>
  <si>
    <t>Primary Inductance</t>
  </si>
  <si>
    <t>Secondary Inductance</t>
  </si>
  <si>
    <t>Starting Rotor Inductance</t>
  </si>
  <si>
    <t>sub transient time constant = (X3 + X1//X2//Xm) / (2*pi*f * r3)</t>
  </si>
  <si>
    <t>open circuit time constant = (Xm + X2) / (2*pi*f * r2)</t>
  </si>
  <si>
    <t>Short circuit time constant = (X2 + X1//Xm) / (2*pi*f * r2)</t>
  </si>
  <si>
    <t>NEMA MG1 way of short circuit AC time constant</t>
  </si>
  <si>
    <t>Short circuit time constant = (X1 + X2//Xm) / (X1+Xm) * T''do</t>
  </si>
  <si>
    <t>Rev.2 Corrections to calculations &amp; added first cycle inrush      1/28/09 JR &amp; MDC</t>
  </si>
  <si>
    <t>Rev.3 Corrected Calculation for R3            MDC  12/9/09</t>
  </si>
  <si>
    <t xml:space="preserve">Rev.4 Correction to short circuit time constant. </t>
  </si>
  <si>
    <t>Rev.1 Added Starting Reactance. 11/18/04    MDC</t>
  </si>
  <si>
    <t>Used to be "=(B57+((B56*B61)/(B56 * B61))/(B51*E41))"</t>
  </si>
  <si>
    <t>Z.X 10/25/2019</t>
  </si>
  <si>
    <t>Rev.5 Correction to short circuit time contstant. Used to be "=(B57+((B56*B61)/(B56+B61))/(B51*E41))"   Z.X 12/14/2021</t>
  </si>
  <si>
    <t>RF2500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</si>
</sst>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0"/>
    <numFmt numFmtId="166" formatCode="0.000"/>
  </numFmts>
  <fonts count="5" x14ac:knownFonts="1">
    <font>
      <sz val="10"/>
      <name val="Arial"/>
    </font>
    <font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1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shrinkToFit="1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right"/>
    </xf>
    <xf numFmtId="0" fontId="0" fillId="0" borderId="18" xfId="0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164" fontId="0" fillId="0" borderId="22" xfId="0" applyNumberFormat="1" applyBorder="1" applyAlignment="1">
      <alignment horizontal="center"/>
    </xf>
    <xf numFmtId="164" fontId="0" fillId="0" borderId="23" xfId="0" applyNumberFormat="1" applyBorder="1" applyAlignment="1">
      <alignment horizontal="center"/>
    </xf>
    <xf numFmtId="166" fontId="0" fillId="0" borderId="22" xfId="0" applyNumberFormat="1" applyBorder="1" applyAlignment="1">
      <alignment horizontal="center"/>
    </xf>
    <xf numFmtId="166" fontId="0" fillId="0" borderId="23" xfId="0" applyNumberFormat="1" applyBorder="1" applyAlignment="1">
      <alignment horizontal="center"/>
    </xf>
    <xf numFmtId="0" fontId="2" fillId="0" borderId="18" xfId="0" applyFont="1" applyBorder="1" applyAlignment="1">
      <alignment horizontal="center"/>
    </xf>
    <xf numFmtId="166" fontId="0" fillId="0" borderId="18" xfId="0" applyNumberFormat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166" fontId="0" fillId="0" borderId="6" xfId="0" applyNumberFormat="1" applyBorder="1" applyAlignment="1">
      <alignment horizontal="center"/>
    </xf>
    <xf numFmtId="166" fontId="0" fillId="0" borderId="19" xfId="0" applyNumberFormat="1" applyBorder="1" applyAlignment="1">
      <alignment horizontal="center"/>
    </xf>
    <xf numFmtId="166" fontId="0" fillId="0" borderId="20" xfId="0" applyNumberFormat="1" applyBorder="1" applyAlignment="1">
      <alignment horizontal="center"/>
    </xf>
    <xf numFmtId="166" fontId="0" fillId="2" borderId="19" xfId="0" applyNumberFormat="1" applyFill="1" applyBorder="1" applyAlignment="1">
      <alignment horizontal="center"/>
    </xf>
    <xf numFmtId="166" fontId="0" fillId="2" borderId="20" xfId="0" applyNumberForma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2" fontId="0" fillId="0" borderId="16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0" fontId="0" fillId="0" borderId="10" xfId="0" applyBorder="1" applyAlignment="1">
      <alignment horizontal="right"/>
    </xf>
    <xf numFmtId="0" fontId="0" fillId="0" borderId="1" xfId="0" applyBorder="1" applyAlignment="1">
      <alignment horizontal="right"/>
    </xf>
    <xf numFmtId="165" fontId="0" fillId="0" borderId="1" xfId="0" applyNumberFormat="1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0" fontId="0" fillId="0" borderId="12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Alignment="1">
      <alignment horizontal="center" wrapText="1"/>
    </xf>
    <xf numFmtId="165" fontId="0" fillId="0" borderId="7" xfId="0" applyNumberForma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0" fontId="0" fillId="0" borderId="7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142875</xdr:colOff>
      <xdr:row>64</xdr:row>
      <xdr:rowOff>85725</xdr:rowOff>
    </xdr:from>
    <xdr:to>
      <xdr:col>15</xdr:col>
      <xdr:colOff>466456</xdr:colOff>
      <xdr:row>77</xdr:row>
      <xdr:rowOff>104510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58075" y="10525125"/>
          <a:ext cx="2152381" cy="212381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734250BQ_Re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Sheet"/>
      <sheetName val="Data Sheet"/>
      <sheetName val="LoginSheet"/>
      <sheetName val="StallTime"/>
      <sheetName val="Performance Data Sheet"/>
      <sheetName val="STCurve"/>
      <sheetName val="Thermdam"/>
      <sheetName val="Performance"/>
    </sheetNames>
    <sheetDataSet>
      <sheetData sheetId="0">
        <row r="5">
          <cell r="A5">
            <v>4</v>
          </cell>
          <cell r="E5">
            <v>460</v>
          </cell>
          <cell r="F5">
            <v>60</v>
          </cell>
        </row>
        <row r="17">
          <cell r="E17" t="str">
            <v>Delta</v>
          </cell>
        </row>
        <row r="20">
          <cell r="I20">
            <v>17.003923416137695</v>
          </cell>
          <cell r="J20">
            <v>17.003923416137695</v>
          </cell>
        </row>
        <row r="21">
          <cell r="E21">
            <v>1.5537741546965441E-2</v>
          </cell>
          <cell r="F21">
            <v>1.4435179531574249E-2</v>
          </cell>
          <cell r="G21">
            <v>3.8970000316449998E-3</v>
          </cell>
          <cell r="I21">
            <v>75.602973937988281</v>
          </cell>
          <cell r="J21">
            <v>34.203765869140625</v>
          </cell>
        </row>
        <row r="22">
          <cell r="I22">
            <v>15.56425952911377</v>
          </cell>
          <cell r="J22">
            <v>13.945422172546387</v>
          </cell>
        </row>
        <row r="23">
          <cell r="I23">
            <v>12.265219331483715</v>
          </cell>
        </row>
        <row r="24">
          <cell r="I24">
            <v>8.2987122177961119</v>
          </cell>
        </row>
        <row r="25">
          <cell r="J25">
            <v>0.11354942619800568</v>
          </cell>
        </row>
        <row r="26">
          <cell r="I26">
            <v>0.71941018104553223</v>
          </cell>
          <cell r="J26">
            <v>0.47418895363807678</v>
          </cell>
        </row>
        <row r="34">
          <cell r="B34" t="str">
            <v>77.45 / 107.93</v>
          </cell>
        </row>
        <row r="37">
          <cell r="E37" t="str">
            <v>277.74 / 295.13</v>
          </cell>
          <cell r="J37" t="str">
            <v>4161.8 / 2057.4</v>
          </cell>
        </row>
        <row r="38">
          <cell r="H38" t="str">
            <v>980.0 / 979.7</v>
          </cell>
        </row>
        <row r="45">
          <cell r="H45" t="str">
            <v>214.4 / 283.0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1"/>
  <dimension ref="A1:S72"/>
  <sheetViews>
    <sheetView tabSelected="1" zoomScaleNormal="100" workbookViewId="0">
      <selection activeCell="M14" sqref="M14"/>
    </sheetView>
  </sheetViews>
  <sheetFormatPr defaultRowHeight="12.75" x14ac:dyDescent="0.2"/>
  <sheetData>
    <row r="1" spans="1:17" ht="13.5" thickBot="1" x14ac:dyDescent="0.25">
      <c r="B1" t="s">
        <v>61</v>
      </c>
    </row>
    <row r="2" spans="1:17" x14ac:dyDescent="0.2">
      <c r="A2" t="s">
        <v>0</v>
      </c>
      <c r="E2" s="1" t="str">
        <f>LEFT(J6,SEARCH("/",J6,1)-1)</f>
        <v xml:space="preserve">214.4 </v>
      </c>
      <c r="H2" s="34" t="s">
        <v>1</v>
      </c>
      <c r="I2" s="35"/>
      <c r="J2" s="36">
        <f>[1]DesignSheet!E5</f>
        <v>460</v>
      </c>
      <c r="K2" s="37"/>
      <c r="L2" t="s">
        <v>62</v>
      </c>
    </row>
    <row r="3" spans="1:17" x14ac:dyDescent="0.2">
      <c r="A3" t="s">
        <v>2</v>
      </c>
      <c r="E3" s="2" t="str">
        <f>RIGHT(J6,SEARCH("/",J6,1)-2)</f>
        <v>283.0</v>
      </c>
      <c r="H3" s="38" t="s">
        <v>3</v>
      </c>
      <c r="I3" s="39"/>
      <c r="J3" s="40">
        <f>[1]DesignSheet!F5</f>
        <v>60</v>
      </c>
      <c r="K3" s="41"/>
      <c r="L3">
        <f>1.25*SQRT(2)*(1+EXP((-PI()*D16)/D19))</f>
        <v>2.3499994262923631</v>
      </c>
    </row>
    <row r="4" spans="1:17" x14ac:dyDescent="0.2">
      <c r="H4" s="38" t="s">
        <v>4</v>
      </c>
      <c r="I4" s="39"/>
      <c r="J4" s="40" t="str">
        <f>[1]DesignSheet!B34</f>
        <v>77.45 / 107.93</v>
      </c>
      <c r="K4" s="41"/>
    </row>
    <row r="5" spans="1:17" x14ac:dyDescent="0.2">
      <c r="A5" t="s">
        <v>5</v>
      </c>
      <c r="D5" s="2" t="str">
        <f>RIGHT(J4,SEARCH("/",J4,1)-2)</f>
        <v>07.93</v>
      </c>
      <c r="H5" s="38" t="s">
        <v>6</v>
      </c>
      <c r="I5" s="39"/>
      <c r="J5" s="40" t="str">
        <f>[1]DesignSheet!E37</f>
        <v>277.74 / 295.13</v>
      </c>
      <c r="K5" s="41"/>
    </row>
    <row r="6" spans="1:17" x14ac:dyDescent="0.2">
      <c r="H6" s="38" t="s">
        <v>7</v>
      </c>
      <c r="I6" s="39"/>
      <c r="J6" s="42" t="str">
        <f>[1]DesignSheet!H45</f>
        <v>214.4 / 283.0</v>
      </c>
      <c r="K6" s="43"/>
    </row>
    <row r="7" spans="1:17" x14ac:dyDescent="0.2">
      <c r="A7" t="s">
        <v>8</v>
      </c>
      <c r="D7" s="2" t="str">
        <f>RIGHT(J5,SEARCH("/",J5,1)-2)</f>
        <v>295.13</v>
      </c>
      <c r="H7" s="38" t="s">
        <v>9</v>
      </c>
      <c r="I7" s="39"/>
      <c r="J7" s="46" t="str">
        <f>[1]DesignSheet!J37</f>
        <v>4161.8 / 2057.4</v>
      </c>
      <c r="K7" s="47"/>
    </row>
    <row r="8" spans="1:17" ht="13.5" thickBot="1" x14ac:dyDescent="0.25">
      <c r="H8" s="44" t="s">
        <v>10</v>
      </c>
      <c r="I8" s="45"/>
      <c r="J8" s="48" t="str">
        <f>[1]DesignSheet!H38</f>
        <v>980.0 / 979.7</v>
      </c>
      <c r="K8" s="49"/>
    </row>
    <row r="9" spans="1:17" ht="12.75" customHeight="1" x14ac:dyDescent="0.2">
      <c r="A9" s="50" t="s">
        <v>11</v>
      </c>
      <c r="B9" s="50"/>
      <c r="C9" s="50"/>
      <c r="D9" s="50"/>
      <c r="E9" s="50"/>
      <c r="F9" s="50"/>
      <c r="G9" s="50"/>
      <c r="H9" s="50"/>
      <c r="I9" s="50"/>
      <c r="J9" s="3"/>
      <c r="K9" s="3"/>
    </row>
    <row r="10" spans="1:17" x14ac:dyDescent="0.2">
      <c r="A10" s="50" t="s">
        <v>60</v>
      </c>
      <c r="B10" s="50"/>
      <c r="C10" s="50"/>
      <c r="D10" s="50"/>
      <c r="E10" s="50"/>
      <c r="F10" s="50"/>
      <c r="G10" s="50"/>
      <c r="H10" s="50"/>
      <c r="I10" s="50"/>
      <c r="J10" s="3"/>
      <c r="K10" s="3"/>
    </row>
    <row r="11" spans="1:17" ht="13.5" thickBot="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7" x14ac:dyDescent="0.2">
      <c r="A12" s="53"/>
      <c r="B12" s="54"/>
      <c r="C12" s="55"/>
      <c r="D12" s="51" t="s">
        <v>12</v>
      </c>
      <c r="E12" s="52"/>
      <c r="F12" s="56" t="s">
        <v>13</v>
      </c>
      <c r="G12" s="57"/>
    </row>
    <row r="13" spans="1:17" x14ac:dyDescent="0.2">
      <c r="A13" s="28" t="s">
        <v>14</v>
      </c>
      <c r="B13" s="29"/>
      <c r="C13" s="30"/>
      <c r="D13" s="22">
        <f>B49</f>
        <v>0.89987843942407708</v>
      </c>
      <c r="E13" s="23"/>
      <c r="F13" s="22">
        <f>D13/B49</f>
        <v>1</v>
      </c>
      <c r="G13" s="23"/>
    </row>
    <row r="14" spans="1:17" x14ac:dyDescent="0.2">
      <c r="A14" s="28" t="s">
        <v>15</v>
      </c>
      <c r="B14" s="29"/>
      <c r="C14" s="30"/>
      <c r="D14" s="22">
        <f>B50</f>
        <v>5.1792471823218136E-3</v>
      </c>
      <c r="E14" s="23"/>
      <c r="F14" s="22">
        <f>D14/B49</f>
        <v>5.7554964708750392E-3</v>
      </c>
      <c r="G14" s="23"/>
      <c r="I14" s="7"/>
      <c r="Q14" s="9"/>
    </row>
    <row r="15" spans="1:17" x14ac:dyDescent="0.2">
      <c r="A15" s="28" t="s">
        <v>16</v>
      </c>
      <c r="B15" s="29"/>
      <c r="C15" s="30"/>
      <c r="D15" s="22">
        <f>B51</f>
        <v>6.1107265210730835E-3</v>
      </c>
      <c r="E15" s="23"/>
      <c r="F15" s="22">
        <f>D15/B49</f>
        <v>6.7906133243774052E-3</v>
      </c>
      <c r="G15" s="23"/>
      <c r="I15" t="s">
        <v>63</v>
      </c>
      <c r="Q15" s="9"/>
    </row>
    <row r="16" spans="1:17" x14ac:dyDescent="0.2">
      <c r="A16" s="28" t="s">
        <v>17</v>
      </c>
      <c r="B16" s="29"/>
      <c r="C16" s="30"/>
      <c r="D16" s="22">
        <f>B52</f>
        <v>3.2670561550346741E-2</v>
      </c>
      <c r="E16" s="23"/>
      <c r="F16" s="22">
        <f>D16/B49</f>
        <v>3.6305527634661328E-2</v>
      </c>
      <c r="G16" s="23"/>
      <c r="I16" s="58" t="s">
        <v>98</v>
      </c>
      <c r="J16" s="59"/>
    </row>
    <row r="17" spans="1:7" x14ac:dyDescent="0.2">
      <c r="A17" s="28" t="s">
        <v>18</v>
      </c>
      <c r="B17" s="29"/>
      <c r="C17" s="30"/>
      <c r="D17" s="22">
        <f>B56</f>
        <v>5.2373752819579435E-2</v>
      </c>
      <c r="E17" s="23"/>
      <c r="F17" s="22">
        <f>D17/B49</f>
        <v>5.8200919729890048E-2</v>
      </c>
      <c r="G17" s="23"/>
    </row>
    <row r="18" spans="1:7" x14ac:dyDescent="0.2">
      <c r="A18" s="28" t="s">
        <v>19</v>
      </c>
      <c r="B18" s="29"/>
      <c r="C18" s="30"/>
      <c r="D18" s="22">
        <f>B57</f>
        <v>0.12930062034433357</v>
      </c>
      <c r="E18" s="23"/>
      <c r="F18" s="22">
        <f>D18/B49</f>
        <v>0.14368676332226168</v>
      </c>
      <c r="G18" s="23"/>
    </row>
    <row r="19" spans="1:7" x14ac:dyDescent="0.2">
      <c r="A19" s="28" t="s">
        <v>20</v>
      </c>
      <c r="B19" s="29"/>
      <c r="C19" s="30"/>
      <c r="D19" s="22">
        <f>B60</f>
        <v>9.2416130550312378E-2</v>
      </c>
      <c r="E19" s="23"/>
      <c r="F19" s="22">
        <f>D19/B49</f>
        <v>0.10269846070482451</v>
      </c>
      <c r="G19" s="23"/>
    </row>
    <row r="20" spans="1:7" ht="13.5" thickBot="1" x14ac:dyDescent="0.25">
      <c r="A20" s="31" t="s">
        <v>21</v>
      </c>
      <c r="B20" s="32"/>
      <c r="C20" s="33"/>
      <c r="D20" s="26">
        <f>B61</f>
        <v>33.490683963080436</v>
      </c>
      <c r="E20" s="27"/>
      <c r="F20" s="24">
        <f>D20/B49</f>
        <v>37.216897856242113</v>
      </c>
      <c r="G20" s="25"/>
    </row>
    <row r="21" spans="1:7" ht="13.5" thickBot="1" x14ac:dyDescent="0.25">
      <c r="A21" s="4"/>
      <c r="B21" s="4"/>
      <c r="C21" s="4"/>
      <c r="D21" s="8"/>
      <c r="E21" s="8"/>
      <c r="F21" s="8"/>
      <c r="G21" s="8"/>
    </row>
    <row r="22" spans="1:7" x14ac:dyDescent="0.2">
      <c r="A22" s="20" t="s">
        <v>58</v>
      </c>
      <c r="B22" s="20"/>
      <c r="C22" s="20"/>
      <c r="D22" s="21">
        <f>B62</f>
        <v>0.18117709005600605</v>
      </c>
      <c r="E22" s="21"/>
      <c r="F22" s="21">
        <f>D22/B49</f>
        <v>0.20133507162585151</v>
      </c>
      <c r="G22" s="21"/>
    </row>
    <row r="23" spans="1:7" x14ac:dyDescent="0.2">
      <c r="A23" s="14" t="s">
        <v>59</v>
      </c>
      <c r="B23" s="14"/>
      <c r="C23" s="14"/>
      <c r="D23" s="18">
        <f>B63</f>
        <v>0.1061823355290939</v>
      </c>
      <c r="E23" s="18"/>
      <c r="F23" s="18">
        <f>D23/B49</f>
        <v>0.11799631025391683</v>
      </c>
      <c r="G23" s="18"/>
    </row>
    <row r="24" spans="1:7" x14ac:dyDescent="0.2">
      <c r="A24" s="14" t="s">
        <v>22</v>
      </c>
      <c r="B24" s="14"/>
      <c r="C24" s="14"/>
      <c r="D24" s="18">
        <f>B64</f>
        <v>7.8826850352323341E-2</v>
      </c>
      <c r="E24" s="18"/>
      <c r="F24" s="18">
        <f>D24/B49</f>
        <v>8.7597220801036851E-2</v>
      </c>
      <c r="G24" s="18"/>
    </row>
    <row r="25" spans="1:7" x14ac:dyDescent="0.2">
      <c r="A25" s="14" t="s">
        <v>23</v>
      </c>
      <c r="B25" s="14"/>
      <c r="C25" s="14"/>
      <c r="D25" s="18">
        <f>B65</f>
        <v>1.0526515122012352E-2</v>
      </c>
      <c r="E25" s="18"/>
      <c r="F25" s="18">
        <f>D25/B49</f>
        <v>1.16977078912451E-2</v>
      </c>
      <c r="G25" s="18"/>
    </row>
    <row r="26" spans="1:7" ht="13.5" thickBot="1" x14ac:dyDescent="0.25">
      <c r="A26" s="15" t="s">
        <v>24</v>
      </c>
      <c r="B26" s="15"/>
      <c r="C26" s="15"/>
      <c r="D26" s="19">
        <f>B66</f>
        <v>14.593973167983018</v>
      </c>
      <c r="E26" s="19"/>
      <c r="F26" s="19">
        <f>D26/B49</f>
        <v>16.217716225452822</v>
      </c>
      <c r="G26" s="19"/>
    </row>
    <row r="27" spans="1:7" ht="13.5" thickBot="1" x14ac:dyDescent="0.25"/>
    <row r="28" spans="1:7" x14ac:dyDescent="0.2">
      <c r="A28" s="13" t="s">
        <v>25</v>
      </c>
      <c r="B28" s="13"/>
      <c r="C28" s="13"/>
      <c r="D28" s="13"/>
      <c r="E28" s="13"/>
      <c r="F28" s="13"/>
      <c r="G28" s="13"/>
    </row>
    <row r="29" spans="1:7" x14ac:dyDescent="0.2">
      <c r="A29" s="14" t="s">
        <v>26</v>
      </c>
      <c r="B29" s="14"/>
      <c r="C29" s="14"/>
      <c r="D29" s="16">
        <f>B67</f>
        <v>1.3892569415848598E-4</v>
      </c>
      <c r="E29" s="16"/>
      <c r="F29" s="16">
        <f>D29/B49</f>
        <v>1.5438273445844366E-4</v>
      </c>
      <c r="G29" s="16"/>
    </row>
    <row r="30" spans="1:7" x14ac:dyDescent="0.2">
      <c r="A30" s="14" t="s">
        <v>27</v>
      </c>
      <c r="B30" s="14"/>
      <c r="C30" s="14"/>
      <c r="D30" s="16">
        <f>B68</f>
        <v>3.4298054787748627E-4</v>
      </c>
      <c r="E30" s="16"/>
      <c r="F30" s="16">
        <f>D30/B49</f>
        <v>3.811409773268866E-4</v>
      </c>
      <c r="G30" s="16"/>
    </row>
    <row r="31" spans="1:7" ht="13.5" thickBot="1" x14ac:dyDescent="0.25">
      <c r="A31" s="15" t="s">
        <v>28</v>
      </c>
      <c r="B31" s="15"/>
      <c r="C31" s="15"/>
      <c r="D31" s="17">
        <f>B69</f>
        <v>2.4514139997513563E-4</v>
      </c>
      <c r="E31" s="17"/>
      <c r="F31" s="17">
        <f>D31/B49</f>
        <v>2.7241612781835989E-4</v>
      </c>
      <c r="G31" s="17"/>
    </row>
    <row r="32" spans="1:7" x14ac:dyDescent="0.2">
      <c r="F32" s="5"/>
    </row>
    <row r="34" spans="1:12" x14ac:dyDescent="0.2">
      <c r="A34" t="s">
        <v>94</v>
      </c>
    </row>
    <row r="35" spans="1:12" x14ac:dyDescent="0.2">
      <c r="A35" t="s">
        <v>91</v>
      </c>
    </row>
    <row r="36" spans="1:12" x14ac:dyDescent="0.2">
      <c r="A36" t="s">
        <v>92</v>
      </c>
    </row>
    <row r="37" spans="1:12" x14ac:dyDescent="0.2">
      <c r="A37" t="s">
        <v>93</v>
      </c>
      <c r="F37" t="s">
        <v>95</v>
      </c>
      <c r="L37" t="s">
        <v>96</v>
      </c>
    </row>
    <row r="38" spans="1:12" x14ac:dyDescent="0.2">
      <c r="A38" t="s">
        <v>97</v>
      </c>
    </row>
    <row r="40" spans="1:12" x14ac:dyDescent="0.2">
      <c r="E40" t="s">
        <v>82</v>
      </c>
    </row>
    <row r="41" spans="1:12" x14ac:dyDescent="0.2">
      <c r="B41" s="12" t="s">
        <v>29</v>
      </c>
      <c r="C41" s="6" t="str">
        <f>IF([1]DesignSheet!E17= "Delta", "3", "1")</f>
        <v>3</v>
      </c>
      <c r="D41" s="12" t="s">
        <v>30</v>
      </c>
      <c r="E41" s="6">
        <f>2*PI()*[1]DesignSheet!F5</f>
        <v>376.99111843077515</v>
      </c>
      <c r="F41" s="12" t="s">
        <v>31</v>
      </c>
      <c r="G41" s="6" t="str">
        <f>IF([1]DesignSheet!A5&gt;4, ".5",".666666666666666666666666")</f>
        <v>.666666666666666666666666</v>
      </c>
    </row>
    <row r="43" spans="1:12" x14ac:dyDescent="0.2">
      <c r="B43" t="s">
        <v>32</v>
      </c>
      <c r="C43">
        <f>E3/E2</f>
        <v>1.3199626865671641</v>
      </c>
    </row>
    <row r="45" spans="1:12" x14ac:dyDescent="0.2">
      <c r="A45" t="s">
        <v>33</v>
      </c>
      <c r="B45">
        <f>[1]DesignSheet!I23*EqCircut!G41</f>
        <v>8.1768128876558013</v>
      </c>
      <c r="D45" t="s">
        <v>66</v>
      </c>
    </row>
    <row r="46" spans="1:12" x14ac:dyDescent="0.2">
      <c r="A46" t="s">
        <v>34</v>
      </c>
      <c r="B46">
        <f>[1]DesignSheet!I23*(1-EqCircut!G41)</f>
        <v>4.088406443827914</v>
      </c>
      <c r="D46" t="s">
        <v>67</v>
      </c>
    </row>
    <row r="47" spans="1:12" x14ac:dyDescent="0.2">
      <c r="A47" t="s">
        <v>35</v>
      </c>
      <c r="B47">
        <f>[1]DesignSheet!I23*EqCircut!G41</f>
        <v>8.1768128876558013</v>
      </c>
      <c r="D47" t="s">
        <v>66</v>
      </c>
    </row>
    <row r="48" spans="1:12" x14ac:dyDescent="0.2">
      <c r="A48" t="s">
        <v>36</v>
      </c>
      <c r="B48">
        <f>B46</f>
        <v>4.088406443827914</v>
      </c>
      <c r="D48" t="s">
        <v>67</v>
      </c>
    </row>
    <row r="49" spans="1:16" x14ac:dyDescent="0.2">
      <c r="A49" t="s">
        <v>37</v>
      </c>
      <c r="B49">
        <f>[1]DesignSheet!E5/(SQRT(3)*EqCircut!D7)</f>
        <v>0.89987843942407708</v>
      </c>
      <c r="D49" t="s">
        <v>80</v>
      </c>
    </row>
    <row r="50" spans="1:16" x14ac:dyDescent="0.2">
      <c r="A50" t="s">
        <v>38</v>
      </c>
      <c r="B50">
        <f>[1]DesignSheet!E21/C41</f>
        <v>5.1792471823218136E-3</v>
      </c>
      <c r="D50" t="s">
        <v>68</v>
      </c>
    </row>
    <row r="51" spans="1:16" x14ac:dyDescent="0.2">
      <c r="A51" t="s">
        <v>39</v>
      </c>
      <c r="B51">
        <f>([1]DesignSheet!F21+[1]DesignSheet!G21)/C41</f>
        <v>6.1107265210730835E-3</v>
      </c>
      <c r="D51" t="s">
        <v>69</v>
      </c>
    </row>
    <row r="52" spans="1:16" x14ac:dyDescent="0.2">
      <c r="A52" t="s">
        <v>40</v>
      </c>
      <c r="B52">
        <f>[1]DesignSheet!J25/EqCircut!C41-EqCircut!B50</f>
        <v>3.2670561550346741E-2</v>
      </c>
      <c r="D52" t="s">
        <v>70</v>
      </c>
    </row>
    <row r="53" spans="1:16" x14ac:dyDescent="0.2">
      <c r="A53" t="s">
        <v>41</v>
      </c>
      <c r="B53">
        <f>[1]DesignSheet!I26/EqCircut!C43</f>
        <v>0.54502311949173898</v>
      </c>
      <c r="D53" t="s">
        <v>81</v>
      </c>
    </row>
    <row r="54" spans="1:16" x14ac:dyDescent="0.2">
      <c r="A54" t="s">
        <v>42</v>
      </c>
      <c r="B54">
        <f>([1]DesignSheet!I20+[1]DesignSheet!I22/2+[1]DesignSheet!I24/2+EqCircut!B45)</f>
        <v>37.112222177248434</v>
      </c>
      <c r="D54" t="s">
        <v>64</v>
      </c>
    </row>
    <row r="55" spans="1:16" x14ac:dyDescent="0.2">
      <c r="A55" t="s">
        <v>43</v>
      </c>
      <c r="B55">
        <f>([1]DesignSheet!I21+[1]DesignSheet!I22/2+[1]DesignSheet!I24/2+EqCircut!B46)</f>
        <v>91.622866255271134</v>
      </c>
      <c r="D55" t="s">
        <v>65</v>
      </c>
    </row>
    <row r="56" spans="1:16" x14ac:dyDescent="0.2">
      <c r="A56" t="s">
        <v>44</v>
      </c>
      <c r="B56">
        <f>(B53*(B54/(B54+B55)))/C41</f>
        <v>5.2373752819579435E-2</v>
      </c>
      <c r="D56" t="s">
        <v>75</v>
      </c>
    </row>
    <row r="57" spans="1:16" x14ac:dyDescent="0.2">
      <c r="A57" t="s">
        <v>45</v>
      </c>
      <c r="B57">
        <f>(B53*(B55/(B54+B55)))/C41</f>
        <v>0.12930062034433357</v>
      </c>
      <c r="D57" t="s">
        <v>71</v>
      </c>
    </row>
    <row r="58" spans="1:16" x14ac:dyDescent="0.2">
      <c r="A58" t="s">
        <v>46</v>
      </c>
      <c r="B58">
        <f>([1]DesignSheet!J20+[1]DesignSheet!J22/2+EqCircut!B47)/C41</f>
        <v>10.717815796688896</v>
      </c>
      <c r="D58" t="s">
        <v>72</v>
      </c>
    </row>
    <row r="59" spans="1:16" x14ac:dyDescent="0.2">
      <c r="A59" t="s">
        <v>47</v>
      </c>
      <c r="B59">
        <f>([1]DesignSheet!J21+[1]DesignSheet!J22/2+EqCircut!B48)/C41</f>
        <v>15.088294466413911</v>
      </c>
      <c r="D59" t="s">
        <v>73</v>
      </c>
    </row>
    <row r="60" spans="1:16" x14ac:dyDescent="0.2">
      <c r="A60" t="s">
        <v>48</v>
      </c>
      <c r="B60">
        <f>([1]DesignSheet!J26*(EqCircut!B59/(EqCircut!B58+EqCircut!B59)))/C41</f>
        <v>9.2416130550312378E-2</v>
      </c>
      <c r="D60" t="s">
        <v>77</v>
      </c>
    </row>
    <row r="61" spans="1:16" x14ac:dyDescent="0.2">
      <c r="A61" t="s">
        <v>49</v>
      </c>
      <c r="B61">
        <f>([1]DesignSheet!E5/(SQRT(3)*EqCircut!D5))</f>
        <v>33.490683963080436</v>
      </c>
      <c r="D61" t="s">
        <v>74</v>
      </c>
    </row>
    <row r="62" spans="1:16" x14ac:dyDescent="0.2">
      <c r="A62" t="s">
        <v>50</v>
      </c>
      <c r="B62">
        <f>B56+((B61*B57)/(B61+B57))</f>
        <v>0.18117709005600605</v>
      </c>
      <c r="D62" t="s">
        <v>76</v>
      </c>
    </row>
    <row r="63" spans="1:16" x14ac:dyDescent="0.2">
      <c r="A63" t="s">
        <v>51</v>
      </c>
      <c r="B63">
        <f>B56+((B61*B57*B60)/((B61*B57)+(B57*B60)+(B60*B61)))</f>
        <v>0.1061823355290939</v>
      </c>
      <c r="D63" t="s">
        <v>78</v>
      </c>
      <c r="P63" t="s">
        <v>79</v>
      </c>
    </row>
    <row r="64" spans="1:16" x14ac:dyDescent="0.2">
      <c r="A64" t="s">
        <v>52</v>
      </c>
      <c r="B64">
        <f>(B57+(B56*B61)/(B56+B61))/(B51*E41)</f>
        <v>7.8826850352323341E-2</v>
      </c>
      <c r="D64" s="10" t="s">
        <v>88</v>
      </c>
    </row>
    <row r="65" spans="1:19" x14ac:dyDescent="0.2">
      <c r="A65" t="s">
        <v>53</v>
      </c>
      <c r="B65">
        <f>(B60+((B56*B57*B61)/((B56*B57)+(B57*B61)+(B61*B56))))/(B52*E41)</f>
        <v>1.0526515122012352E-2</v>
      </c>
      <c r="D65" s="10" t="s">
        <v>86</v>
      </c>
      <c r="S65" s="10"/>
    </row>
    <row r="66" spans="1:19" x14ac:dyDescent="0.2">
      <c r="A66" t="s">
        <v>54</v>
      </c>
      <c r="B66">
        <f>(B57+B61)/(B51*E41)</f>
        <v>14.593973167983018</v>
      </c>
      <c r="D66" s="10" t="s">
        <v>87</v>
      </c>
    </row>
    <row r="67" spans="1:19" x14ac:dyDescent="0.2">
      <c r="A67" t="s">
        <v>55</v>
      </c>
      <c r="B67">
        <f>B56/E41</f>
        <v>1.3892569415848598E-4</v>
      </c>
      <c r="D67" t="s">
        <v>83</v>
      </c>
    </row>
    <row r="68" spans="1:19" x14ac:dyDescent="0.2">
      <c r="A68" t="s">
        <v>56</v>
      </c>
      <c r="B68">
        <f>B57/E41</f>
        <v>3.4298054787748627E-4</v>
      </c>
      <c r="D68" t="s">
        <v>84</v>
      </c>
    </row>
    <row r="69" spans="1:19" x14ac:dyDescent="0.2">
      <c r="A69" t="s">
        <v>57</v>
      </c>
      <c r="B69">
        <f>B60/E41</f>
        <v>2.4514139997513563E-4</v>
      </c>
      <c r="D69" t="s">
        <v>85</v>
      </c>
    </row>
    <row r="71" spans="1:19" x14ac:dyDescent="0.2">
      <c r="A71" s="10" t="s">
        <v>89</v>
      </c>
      <c r="H71" s="11"/>
    </row>
    <row r="72" spans="1:19" x14ac:dyDescent="0.2">
      <c r="A72" t="s">
        <v>52</v>
      </c>
      <c r="B72">
        <f>B62/(B56+B61)*B66</f>
        <v>7.8826850352323341E-2</v>
      </c>
      <c r="D72" s="10" t="s">
        <v>90</v>
      </c>
    </row>
  </sheetData>
  <mergeCells count="69">
    <mergeCell ref="I16:J16"/>
    <mergeCell ref="A19:C19"/>
    <mergeCell ref="D19:E19"/>
    <mergeCell ref="F19:G19"/>
    <mergeCell ref="A16:C16"/>
    <mergeCell ref="F16:G16"/>
    <mergeCell ref="A17:C17"/>
    <mergeCell ref="D16:E16"/>
    <mergeCell ref="D17:E17"/>
    <mergeCell ref="F17:G17"/>
    <mergeCell ref="F13:G13"/>
    <mergeCell ref="A9:I9"/>
    <mergeCell ref="A10:I10"/>
    <mergeCell ref="D12:E12"/>
    <mergeCell ref="A12:C12"/>
    <mergeCell ref="F12:G12"/>
    <mergeCell ref="A13:C13"/>
    <mergeCell ref="D13:E13"/>
    <mergeCell ref="H5:I5"/>
    <mergeCell ref="J5:K5"/>
    <mergeCell ref="J6:K6"/>
    <mergeCell ref="H7:I7"/>
    <mergeCell ref="H8:I8"/>
    <mergeCell ref="J7:K7"/>
    <mergeCell ref="J8:K8"/>
    <mergeCell ref="H6:I6"/>
    <mergeCell ref="H2:I2"/>
    <mergeCell ref="J2:K2"/>
    <mergeCell ref="H3:I3"/>
    <mergeCell ref="J3:K3"/>
    <mergeCell ref="H4:I4"/>
    <mergeCell ref="J4:K4"/>
    <mergeCell ref="A14:C14"/>
    <mergeCell ref="D14:E14"/>
    <mergeCell ref="F14:G14"/>
    <mergeCell ref="A15:C15"/>
    <mergeCell ref="F15:G15"/>
    <mergeCell ref="D15:E15"/>
    <mergeCell ref="A22:C22"/>
    <mergeCell ref="D22:E22"/>
    <mergeCell ref="F22:G22"/>
    <mergeCell ref="F18:G18"/>
    <mergeCell ref="F20:G20"/>
    <mergeCell ref="D18:E18"/>
    <mergeCell ref="D20:E20"/>
    <mergeCell ref="A18:C18"/>
    <mergeCell ref="A20:C20"/>
    <mergeCell ref="A23:C23"/>
    <mergeCell ref="D23:E23"/>
    <mergeCell ref="F23:G23"/>
    <mergeCell ref="A24:C24"/>
    <mergeCell ref="D24:E24"/>
    <mergeCell ref="F24:G24"/>
    <mergeCell ref="A25:C25"/>
    <mergeCell ref="D25:E25"/>
    <mergeCell ref="F25:G25"/>
    <mergeCell ref="A26:C26"/>
    <mergeCell ref="D26:E26"/>
    <mergeCell ref="F26:G26"/>
    <mergeCell ref="A28:G28"/>
    <mergeCell ref="A29:C29"/>
    <mergeCell ref="A30:C30"/>
    <mergeCell ref="A31:C31"/>
    <mergeCell ref="D29:E29"/>
    <mergeCell ref="F29:G29"/>
    <mergeCell ref="D30:E30"/>
    <mergeCell ref="F30:G30"/>
    <mergeCell ref="F31:G31"/>
    <mergeCell ref="D31:E31"/>
  </mergeCells>
  <phoneticPr fontId="0" type="noConversion"/>
  <pageMargins left="0.75" right="0.75" top="1" bottom="1" header="0.5" footer="0.5"/>
  <pageSetup orientation="landscape" r:id="rId1"/>
  <headerFooter alignWithMargins="0"/>
  <drawing r:id="rId2"/>
</worksheet>
</file>

<file path=docMetadata/LabelInfo.xml><?xml version="1.0" encoding="utf-8"?>
<clbl:labelList xmlns:clbl="http://schemas.microsoft.com/office/2020/mipLabelMetadata">
  <clbl:label id="{1b537a48-0e7e-4dce-9025-0f3e5b8b4496}" enabled="0" method="" siteId="{1b537a48-0e7e-4dce-9025-0f3e5b8b449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EqCircut</vt:lpstr>
      <vt:lpstr>EqCircut!Print_Area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Campbell</dc:creator>
  <cp:lastModifiedBy>Xie, Zichao (TIC)</cp:lastModifiedBy>
  <cp:lastPrinted>2018-01-24T14:49:32Z</cp:lastPrinted>
  <dcterms:created xsi:type="dcterms:W3CDTF">2005-08-09T16:28:41Z</dcterms:created>
  <dcterms:modified xsi:type="dcterms:W3CDTF">2026-07-27T21:42:43Z</dcterms:modified>
</cp:coreProperties>
</file>