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28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<sst xmlns="http://schemas.openxmlformats.org/spreadsheetml/2006/main" count="993" uniqueCount="756">
  <si>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</si>
  <si>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</si>
  <si>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</si>
  <si>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</si>
  <si>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</si>
  <si>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</si>
  <si>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</si>
  <si>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</si>
  <si>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</si>
  <si>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</si>
  <si>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</si>
  <si>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</si>
  <si>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</si>
  <si>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</si>
  <si>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</si>
  <si>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</si>
  <si>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</si>
  <si>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</si>
  <si>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</si>
  <si>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</si>
  <si>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</si>
  <si>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</si>
  <si>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</si>
  <si>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</si>
  <si>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</si>
  <si>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</si>
  <si>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</si>
  <si>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</si>
  <si>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</si>
  <si>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</si>
  <si>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</si>
  <si>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</si>
  <si>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</si>
  <si>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</si>
  <si>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</si>
  <si>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</si>
  <si>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</si>
  <si>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</si>
  <si>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</si>
  <si>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</si>
  <si>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</si>
  <si>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</si>
  <si>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</si>
  <si>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</si>
  <si>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</si>
  <si>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</si>
  <si>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</si>
  <si>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</si>
  <si>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</si>
  <si>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</si>
  <si>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</si>
  <si>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</si>
  <si>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</si>
  <si>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</si>
  <si>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</si>
  <si>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</si>
  <si>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</si>
  <si>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</si>
  <si>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</si>
  <si>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</si>
  <si>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</si>
  <si>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</si>
  <si>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</si>
  <si>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</si>
  <si>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</si>
  <si>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</si>
  <si>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</si>
  <si>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</si>
  <si>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</si>
  <si>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</si>
  <si>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</si>
  <si>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</si>
  <si>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</si>
  <si>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</si>
  <si>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</si>
  <si>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</si>
  <si>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</si>
  <si>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</si>
  <si>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</si>
  <si>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</si>
  <si>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</si>
  <si>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</si>
  <si>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</si>
  <si>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</si>
  <si>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</si>
  <si>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</si>
  <si>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</si>
  <si>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</si>
  <si>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</si>
  <si>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</si>
  <si>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</si>
  <si>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</si>
  <si>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</si>
  <si>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</si>
  <si>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</si>
  <si>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</si>
  <si>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</si>
  <si>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</si>
  <si>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</si>
  <si>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</si>
  <si>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</si>
  <si>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</si>
  <si>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</si>
  <si>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</si>
  <si>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</si>
  <si>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</si>
  <si>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</si>
  <si>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</si>
  <si>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</si>
  <si>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</si>
  <si>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</si>
  <si>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</si>
  <si>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</si>
  <si>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</si>
  <si>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</si>
  <si>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</si>
  <si>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</si>
  <si>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</si>
  <si>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</si>
  <si>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</si>
  <si>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</si>
  <si>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</si>
  <si>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</si>
  <si>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</si>
  <si>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</si>
  <si>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</si>
  <si>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</si>
  <si>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</si>
  <si>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</si>
  <si>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</si>
  <si>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</si>
  <si>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</si>
  <si>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</si>
  <si>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</si>
  <si>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</si>
  <si>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</si>
  <si>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</si>
  <si>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</si>
  <si>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</si>
  <si>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</si>
  <si>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</si>
  <si>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</si>
  <si>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</si>
  <si>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</si>
  <si>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</si>
  <si>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</si>
  <si>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</si>
  <si>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</si>
  <si>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</si>
  <si>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</si>
  <si>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</si>
  <si>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</si>
  <si>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</si>
  <si>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</si>
  <si>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</si>
  <si>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</si>
  <si>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</si>
  <si>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</si>
  <si>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</si>
  <si>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</si>
  <si>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</si>
  <si>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</si>
  <si>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</si>
  <si>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</si>
  <si>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</si>
  <si>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</si>
  <si>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</si>
  <si>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</si>
  <si>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</si>
  <si>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</si>
  <si>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</si>
  <si>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</si>
  <si>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</si>
  <si>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</si>
  <si>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</si>
  <si>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</si>
  <si>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</si>
  <si>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</si>
  <si>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</si>
  <si>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</si>
  <si>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</si>
  <si>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</si>
  <si>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30 x 6</t>
  </si>
  <si>
    <t>1 ~ 16</t>
  </si>
  <si>
    <t>(.091"x.204")x1</t>
  </si>
  <si>
    <t>(.091"x.229")x1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</si>
  <si>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</si>
  <si>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</si>
  <si>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</si>
  <si>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</si>
  <si>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</si>
  <si>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</si>
  <si>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</si>
  <si>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</si>
  <si>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</si>
  <si>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</si>
  <si>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</si>
  <si>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</si>
  <si>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</si>
  <si>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0.0282)</t>
  </si>
  <si>
    <t>Skew R.: 0.00</t>
  </si>
  <si>
    <t>Z:\Motor R&amp;D\Active Projects\6810 Development\Electrical Design\TEAAC\4P\Series\BS4M50U.rat</t>
  </si>
  <si>
    <t>2-2-2-0-1-2</t>
  </si>
  <si>
    <t>B.L.-1  P.F.-1</t>
  </si>
  <si>
    <t>14467.1 / 13213.0</t>
  </si>
  <si>
    <t>12232.7 / 16457.9</t>
  </si>
  <si>
    <t>31994.7 / 22105.2</t>
  </si>
  <si>
    <t>9000.0 / 10095.0</t>
  </si>
  <si>
    <t>22256.8 / 9805.8</t>
  </si>
  <si>
    <t>5228.8 / 2303.7</t>
  </si>
  <si>
    <t>17028.0 / 7502.1</t>
  </si>
  <si>
    <t>1.75 / 0.77</t>
  </si>
  <si>
    <t>58 / 57</t>
  </si>
  <si>
    <t>Temp. Rise @ 100%:</t>
  </si>
  <si>
    <t>Stray Loss</t>
  </si>
  <si>
    <t>0.932 / 0.924</t>
  </si>
  <si>
    <t>0.961 / 0.952</t>
  </si>
  <si>
    <t>0.968 / 0.960</t>
  </si>
  <si>
    <t>0.971 / 0.962</t>
  </si>
  <si>
    <t>0.970 / 0.962</t>
  </si>
  <si>
    <t>0.638 / 0.637</t>
  </si>
  <si>
    <t>0.827 / 0.826</t>
  </si>
  <si>
    <t>0.882 / 0.881</t>
  </si>
  <si>
    <t>0.900 / 0.898</t>
  </si>
  <si>
    <t>0.902 / 0.900</t>
  </si>
  <si>
    <t>113.16 / 114.28</t>
  </si>
  <si>
    <t>169.49 / 171.16</t>
  </si>
  <si>
    <t>236.29 / 238.63</t>
  </si>
  <si>
    <t>308.30 / 311.35</t>
  </si>
  <si>
    <t>384.54 / 388.34</t>
  </si>
  <si>
    <t>3.11 / 3.14</t>
  </si>
  <si>
    <t>UB: 4.18 / 4.22</t>
  </si>
  <si>
    <t>UER: 2.17 / 2.19</t>
  </si>
  <si>
    <t>1797.2 / 1793.0</t>
  </si>
  <si>
    <t>1794.4 / 1790.2</t>
  </si>
  <si>
    <t>1791.5 / 1787.4</t>
  </si>
  <si>
    <t>1788.6 / 1784.5</t>
  </si>
  <si>
    <t>1785.7 / 1781.5</t>
  </si>
  <si>
    <t>0.0016 / 0.0039</t>
  </si>
  <si>
    <t>0.0031 / 0.0054</t>
  </si>
  <si>
    <t>0.0047 / 0.0070</t>
  </si>
  <si>
    <t>0.0063 / 0.0086</t>
  </si>
  <si>
    <t>0.0080 / 0.0103</t>
  </si>
  <si>
    <t>80.418 / 70.556</t>
  </si>
  <si>
    <t>3.209 / 2.816</t>
  </si>
  <si>
    <t>80.48 / 70.61</t>
  </si>
  <si>
    <t>1646.6 / 1744.3</t>
  </si>
  <si>
    <t>534.1 / 565.8</t>
  </si>
  <si>
    <t>758.1 / 785.1</t>
  </si>
  <si>
    <t>74.6 / 77.3</t>
  </si>
  <si>
    <t>250.5 / 234.2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</si>
  <si>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</si>
  <si>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</si>
  <si>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</si>
  <si>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</si>
  <si>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</si>
  <si>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</si>
  <si>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</si>
  <si>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</si>
  <si>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</si>
  <si>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</si>
  <si>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</si>
  <si>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</si>
  <si>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</si>
  <si>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</si>
  <si>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</si>
  <si>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</si>
  <si>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</si>
  <si>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</si>
  <si>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</si>
  <si>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</si>
  <si>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</si>
  <si>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</si>
  <si>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</si>
  <si>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</si>
  <si>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</si>
  <si>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</si>
  <si>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</si>
  <si>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</si>
  <si>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</si>
  <si>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</si>
  <si>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</si>
  <si>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</si>
  <si>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</si>
  <si>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</si>
  <si>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</si>
  <si>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</si>
  <si>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</si>
  <si>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</si>
  <si>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</si>
  <si>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</si>
  <si>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</si>
  <si>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</si>
  <si>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</si>
  <si>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</si>
  <si>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</si>
  <si>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</si>
  <si>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</si>
  <si>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</si>
  <si>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</si>
  <si>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</si>
  <si>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</si>
  <si>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</si>
  <si>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</si>
  <si>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</si>
  <si>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</si>
  <si>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</si>
  <si>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</si>
  <si>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</si>
  <si>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</si>
  <si>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</si>
  <si>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</si>
  <si>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</si>
  <si>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</si>
  <si>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</si>
  <si>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</si>
  <si>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</si>
  <si>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</si>
  <si>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</si>
  <si>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</si>
  <si>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</si>
  <si>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</si>
  <si>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</si>
  <si>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</si>
  <si>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</si>
  <si>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</si>
  <si>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</si>
  <si>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</si>
  <si>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</si>
  <si>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</si>
  <si>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</si>
  <si>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</si>
  <si>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</si>
  <si>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</si>
  <si>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</si>
  <si>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</si>
  <si>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</si>
  <si>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</si>
  <si>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</si>
  <si>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</si>
  <si>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</si>
  <si>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</si>
  <si>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</si>
  <si>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</si>
  <si>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</si>
  <si>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</si>
  <si>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</si>
  <si>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</si>
  <si>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</si>
  <si>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</si>
  <si>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</si>
  <si>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</si>
  <si>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</si>
  <si>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</si>
  <si>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</si>
  <si>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</si>
  <si>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</si>
  <si>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</si>
  <si>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</si>
  <si>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</si>
  <si>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</si>
  <si>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</si>
  <si>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</si>
  <si>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BS4M50U</t>
  </si>
  <si>
    <t>22 x 2</t>
  </si>
  <si>
    <t>4 x Wye</t>
  </si>
  <si>
    <t xml:space="preserve"> - </t>
  </si>
  <si>
    <t>314 / 1761</t>
  </si>
  <si>
    <t>422 / 219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</si>
  <si>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</si>
  <si>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</si>
  <si>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</si>
  <si>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</si>
  <si>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</si>
  <si>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</si>
  <si>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</si>
  <si>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</si>
  <si>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</si>
  <si>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</si>
  <si>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</si>
  <si>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</si>
  <si>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1641.0</t>
  </si>
  <si>
    <t xml:space="preserve">11T: </t>
  </si>
  <si>
    <t/>
  </si>
  <si>
    <t>0.0261 ~ 0.0251</t>
  </si>
  <si>
    <t>AWG. (1/0 x 2) x 3</t>
  </si>
  <si>
    <t>0.00063</t>
  </si>
  <si>
    <t>11T: 27.63</t>
  </si>
  <si>
    <t>11T: 11.40</t>
  </si>
  <si>
    <t>15.30 ~ 14.90</t>
  </si>
  <si>
    <t>17.10</t>
  </si>
  <si>
    <t>3.80</t>
  </si>
  <si>
    <t xml:space="preserve"> (.091"x.204")x 1: </t>
  </si>
  <si>
    <t xml:space="preserve"> (.091"x.229")x 1: </t>
  </si>
  <si>
    <t>610 lbs.</t>
  </si>
  <si>
    <t>685 lbs.</t>
  </si>
  <si>
    <t xml:space="preserve">1-2, 2-3, 3-1: </t>
  </si>
  <si>
    <t>0.080 ~ 0.076</t>
  </si>
  <si>
    <t>57 / 77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</si>
  <si>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</si>
  <si>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</si>
  <si>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</si>
  <si>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</si>
  <si>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</si>
  <si>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</si>
  <si>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</si>
  <si>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</si>
  <si>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</si>
  <si>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</si>
  <si>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</si>
  <si>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</si>
  <si>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</si>
  <si>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</si>
  <si>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</si>
  <si>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</si>
  <si>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</si>
  <si>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</si>
  <si>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</si>
  <si>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</si>
  <si>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</si>
  <si>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</si>
  <si>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</si>
  <si>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</si>
  <si>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</si>
  <si>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</si>
  <si>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</si>
  <si>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</si>
  <si>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</si>
  <si>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</si>
  <si>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1251.7 lb-ft²</t>
  </si>
  <si>
    <t>1744 A</t>
  </si>
  <si>
    <t>Load</t>
  </si>
  <si>
    <t>Fan / Pump</t>
  </si>
  <si>
    <t>1167.7 kg.m²</t>
  </si>
  <si>
    <t>Acceleration Data (FV V)</t>
  </si>
  <si>
    <t>12.2 (s)</t>
  </si>
  <si>
    <t>1015.6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</si>
  <si>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</si>
  <si>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</si>
  <si>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</si>
  <si>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</si>
  <si>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</si>
  <si>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</si>
  <si>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</si>
  <si>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</si>
  <si>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</si>
  <si>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</si>
  <si>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</si>
  <si>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</si>
  <si>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</si>
  <si>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</si>
  <si>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</si>
  <si>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</si>
  <si>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</si>
  <si>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</si>
  <si>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</si>
  <si>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</si>
  <si>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</si>
  <si>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</si>
  <si>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</si>
  <si>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</si>
  <si>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</si>
  <si>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</si>
  <si>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</si>
  <si>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</si>
  <si>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</si>
  <si>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</si>
  <si>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</si>
  <si>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</si>
  <si>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</si>
  <si>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</si>
  <si>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</si>
  <si>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</si>
  <si>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</si>
  <si>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</si>
  <si>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</si>
  <si>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- 2500.0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</si>
  <si>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</si>
  <si>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</si>
  <si>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</si>
  <si>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</si>
  <si>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</si>
  <si>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</si>
  <si>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</si>
  <si>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</si>
  <si>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</si>
  <si>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</si>
  <si>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</si>
  <si>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</si>
  <si>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</si>
  <si>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- 6927.0 lb-ft²</t>
  </si>
  <si>
    <t>75.1</t>
  </si>
  <si>
    <t>75.2</t>
  </si>
  <si>
    <t>75.6</t>
  </si>
  <si>
    <t>76.1</t>
  </si>
  <si>
    <t>77.1</t>
  </si>
  <si>
    <t>78.6</t>
  </si>
  <si>
    <t>81.2</t>
  </si>
  <si>
    <t>86.5</t>
  </si>
  <si>
    <t>96.0</t>
  </si>
  <si>
    <t>115.4</t>
  </si>
  <si>
    <t>179.5</t>
  </si>
  <si>
    <t>176.9</t>
  </si>
  <si>
    <t>111.9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</si>
  <si>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</si>
  <si>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</si>
  <si>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</si>
  <si>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</si>
  <si>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</si>
  <si>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</si>
  <si>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</si>
  <si>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</si>
  <si>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</si>
  <si>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90.9</t>
  </si>
  <si>
    <t>98.8</t>
  </si>
  <si>
    <t>99.8</t>
  </si>
  <si>
    <t>1.288</t>
  </si>
  <si>
    <t>1.061</t>
  </si>
  <si>
    <t>0.991</t>
  </si>
  <si>
    <t>1.049</t>
  </si>
  <si>
    <t>1.163</t>
  </si>
  <si>
    <t>1.363</t>
  </si>
  <si>
    <t>1.750</t>
  </si>
  <si>
    <t>1.058</t>
  </si>
  <si>
    <t>0.884</t>
  </si>
  <si>
    <t>0.383</t>
  </si>
  <si>
    <t>0.067</t>
  </si>
  <si>
    <t>0.108</t>
  </si>
  <si>
    <t>1738.9</t>
  </si>
  <si>
    <t>1727.8</t>
  </si>
  <si>
    <t>1714.5</t>
  </si>
  <si>
    <t>1698.1</t>
  </si>
  <si>
    <t>1677.6</t>
  </si>
  <si>
    <t>1651.9</t>
  </si>
  <si>
    <t>1619.8</t>
  </si>
  <si>
    <t>1578.9</t>
  </si>
  <si>
    <t>1539.0</t>
  </si>
  <si>
    <t>1491.0</t>
  </si>
  <si>
    <t>1355.3</t>
  </si>
  <si>
    <t>838.1</t>
  </si>
  <si>
    <t>337.8</t>
  </si>
  <si>
    <t>596.5</t>
  </si>
  <si>
    <t>485.5</t>
  </si>
  <si>
    <t>447.3</t>
  </si>
  <si>
    <t>439.7</t>
  </si>
  <si>
    <t>455.7</t>
  </si>
  <si>
    <t>491.3</t>
  </si>
  <si>
    <t>556.6</t>
  </si>
  <si>
    <t>683.6</t>
  </si>
  <si>
    <t>389.7</t>
  </si>
  <si>
    <t>311.8</t>
  </si>
  <si>
    <t>124.3</t>
  </si>
  <si>
    <t>15.9</t>
  </si>
  <si>
    <t>1.6</t>
  </si>
  <si>
    <t>1700.5</t>
  </si>
  <si>
    <t>1256.5</t>
  </si>
  <si>
    <t>1040.7</t>
  </si>
  <si>
    <t>908.7</t>
  </si>
  <si>
    <t>823.8</t>
  </si>
  <si>
    <t>761.0</t>
  </si>
  <si>
    <t>715.4</t>
  </si>
  <si>
    <t>690.4</t>
  </si>
  <si>
    <t>557.8</t>
  </si>
  <si>
    <t>362.1</t>
  </si>
  <si>
    <t>108.0</t>
  </si>
  <si>
    <t>35.2</t>
  </si>
  <si>
    <t>77.4</t>
  </si>
  <si>
    <t>5000 kW / s</t>
  </si>
  <si>
    <t>8161 kW / s</t>
  </si>
  <si>
    <t>877 kW / s</t>
  </si>
  <si>
    <t>23°C</t>
  </si>
  <si>
    <t>84°C</t>
  </si>
  <si>
    <t>45°C</t>
  </si>
  <si>
    <t>167°C</t>
  </si>
  <si>
    <t>46°C</t>
  </si>
  <si>
    <t>Acceleration Time:  12.2 s</t>
  </si>
  <si>
    <t>2.4°C / s</t>
  </si>
  <si>
    <t>12.9°C / s</t>
  </si>
  <si>
    <t>3.5°C / s</t>
  </si>
  <si>
    <t>520.0 kW</t>
  </si>
  <si>
    <t>1263.1 kW</t>
  </si>
  <si>
    <t>135.7 kW</t>
  </si>
  <si>
    <t>67.9 s</t>
  </si>
  <si>
    <t>20.1 s</t>
  </si>
  <si>
    <t>51.1 s</t>
  </si>
  <si>
    <t>57°C    +</t>
  </si>
  <si>
    <t>74°C    +</t>
  </si>
  <si>
    <t>103°C    +</t>
  </si>
  <si>
    <t>186°C   +</t>
  </si>
  <si>
    <t>106°C   +</t>
  </si>
  <si>
    <t>43.7 s</t>
  </si>
  <si>
    <t>14.4 s</t>
  </si>
  <si>
    <t>30.1 s</t>
  </si>
  <si>
    <t>40.4 s</t>
  </si>
  <si>
    <t>23.8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</si>
  <si>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</si>
  <si>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</si>
  <si>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</si>
  <si>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</si>
  <si>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</si>
  <si>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</si>
  <si>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6927.0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</si>
  <si>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</si>
  <si>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</si>
  <si>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</si>
  <si>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</si>
  <si>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</si>
  <si>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</si>
  <si>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</si>
  <si>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</si>
  <si>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</si>
  <si>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</si>
  <si>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</si>
  <si>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</si>
  <si>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</si>
  <si>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</si>
  <si>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</si>
  <si>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</si>
  <si>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</si>
  <si>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</si>
  <si>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</si>
  <si>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</si>
  <si>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</si>
  <si>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</si>
  <si>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1849.0 Hz</t>
  </si>
  <si>
    <t>1620.0 Hz</t>
  </si>
  <si>
    <t>1609.0 Hz</t>
  </si>
  <si>
    <t>1740.0 Hz</t>
  </si>
  <si>
    <t>1729.0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</si>
  <si>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</si>
  <si>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</si>
  <si>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</si>
  <si>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</si>
  <si>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</si>
  <si>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</si>
  <si>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</si>
  <si>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</si>
  <si>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</si>
  <si>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</si>
  <si>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</si>
  <si>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</si>
  <si>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</si>
  <si>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</si>
  <si>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</si>
  <si>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</si>
  <si>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</si>
  <si>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</si>
  <si>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</si>
  <si>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</si>
  <si>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</si>
  <si>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</si>
  <si>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</si>
  <si>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</si>
  <si>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</si>
  <si>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</si>
  <si>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</si>
  <si>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</si>
  <si>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</si>
  <si>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</si>
  <si>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</si>
  <si>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</si>
  <si>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</si>
  <si>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</si>
  <si>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</si>
  <si>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</si>
  <si>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</si>
  <si>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</si>
  <si>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</si>
  <si>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</si>
  <si>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</si>
  <si>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</si>
  <si>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</si>
  <si>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</si>
  <si>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</si>
  <si>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</si>
  <si>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</si>
  <si>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</si>
  <si>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</si>
  <si>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</si>
  <si>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</si>
  <si>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</si>
  <si>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</si>
  <si>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</si>
  <si>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</si>
  <si>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</si>
  <si>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</si>
  <si>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</si>
  <si>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</si>
  <si>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</si>
  <si>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</si>
  <si>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</si>
  <si>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</si>
  <si>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</si>
  <si>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</si>
  <si>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</si>
  <si>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</si>
  <si>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</si>
  <si>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</si>
  <si>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</si>
  <si>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</si>
  <si>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</si>
  <si>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</si>
  <si>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</si>
  <si>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</si>
  <si>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</si>
  <si>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</si>
  <si>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</si>
  <si>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</si>
  <si>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</si>
  <si>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</si>
  <si>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</si>
  <si>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</si>
  <si>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</si>
  <si>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</si>
  <si>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</si>
  <si>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</si>
  <si>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</si>
  <si>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</si>
  <si>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</si>
  <si>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</si>
  <si>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</si>
  <si>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</si>
  <si>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</si>
  <si>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</si>
  <si>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</si>
  <si>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</si>
  <si>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</si>
  <si>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</si>
  <si>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</si>
  <si>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</si>
  <si>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</si>
  <si>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</si>
  <si>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</si>
  <si>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</si>
  <si>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</si>
  <si>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</si>
  <si>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</si>
  <si>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</si>
  <si>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</si>
  <si>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</si>
  <si>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</si>
  <si>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</si>
  <si>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</si>
  <si>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</si>
  <si>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</si>
  <si>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</si>
  <si>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TEAAC</t>
  </si>
  <si>
    <t>M11-125 INS</t>
  </si>
  <si>
    <t>7360 lb-ft</t>
  </si>
  <si>
    <t>Outer Fan: T530</t>
  </si>
  <si>
    <t>Rev 0: First Issue</t>
  </si>
  <si>
    <t>Limits: BS4M50U</t>
  </si>
  <si>
    <t>6813US</t>
  </si>
  <si>
    <t>Type: TIKE - Form: FCW4 - 4 Pole - 2500 HP - 4000 V - 60 Hz - 6813US - Class F</t>
  </si>
  <si>
    <t>M505TCQL11E-C</t>
  </si>
  <si>
    <t>F &amp; W(Sleeve Brg)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</si>
</sst>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55" fillId="0" borderId="0"/>
    <xf numFmtId="0" fontId="55" fillId="0" borderId="0"/>
    <xf numFmtId="0" fontId="55" fillId="0" borderId="0"/>
  </cellStyleXfs>
  <cellXfs count="719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1" fontId="31" fillId="2" borderId="69" xfId="1" quotePrefix="1" applyNumberFormat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9" xfId="1" quotePrefix="1" applyNumberFormat="1" applyFont="1" applyFill="1" applyBorder="1" applyAlignment="1">
      <alignment horizontal="center"/>
    </xf>
    <xf numFmtId="0" fontId="31" fillId="2" borderId="69" xfId="1" quotePrefix="1" applyFont="1" applyFill="1" applyBorder="1" applyAlignment="1">
      <alignment horizontal="center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09" xfId="1" applyFont="1" applyFill="1" applyBorder="1"/>
    <xf numFmtId="0" fontId="29" fillId="2" borderId="110" xfId="1" applyFont="1" applyFill="1" applyBorder="1"/>
    <xf numFmtId="0" fontId="29" fillId="2" borderId="111" xfId="1" applyFont="1" applyFill="1" applyBorder="1"/>
    <xf numFmtId="0" fontId="36" fillId="2" borderId="111" xfId="1" applyFont="1" applyFill="1" applyBorder="1"/>
    <xf numFmtId="166" fontId="31" fillId="2" borderId="111" xfId="1" applyNumberFormat="1" applyFont="1" applyFill="1" applyBorder="1" applyAlignment="1">
      <alignment horizontal="center"/>
    </xf>
    <xf numFmtId="0" fontId="31" fillId="2" borderId="112" xfId="1" quotePrefix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31" fillId="2" borderId="113" xfId="1" applyFont="1" applyFill="1" applyBorder="1" applyAlignment="1">
      <alignment horizontal="center"/>
    </xf>
    <xf numFmtId="0" fontId="41" fillId="0" borderId="0" xfId="1" applyFont="1" applyFill="1" applyAlignment="1">
      <alignment horizontal="right"/>
    </xf>
    <xf numFmtId="2" fontId="26" fillId="0" borderId="0" xfId="2" applyNumberFormat="1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26" fillId="0" borderId="0" xfId="1" applyFont="1" applyFill="1" applyAlignment="1">
      <alignment horizontal="right"/>
    </xf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5" xfId="1" applyFont="1" applyFill="1" applyBorder="1"/>
    <xf numFmtId="0" fontId="29" fillId="2" borderId="118" xfId="1" applyFont="1" applyFill="1" applyBorder="1"/>
    <xf numFmtId="0" fontId="43" fillId="2" borderId="119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20" xfId="1" applyFont="1" applyFill="1" applyBorder="1"/>
    <xf numFmtId="0" fontId="29" fillId="2" borderId="23" xfId="1" applyFont="1" applyFill="1" applyBorder="1"/>
    <xf numFmtId="14" fontId="24" fillId="2" borderId="123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4" xfId="1" applyFont="1" applyFill="1" applyBorder="1" applyAlignment="1">
      <alignment horizontal="left"/>
    </xf>
    <xf numFmtId="0" fontId="22" fillId="2" borderId="125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6" fillId="0" borderId="126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6" xfId="3" applyBorder="1"/>
    <xf numFmtId="0" fontId="46" fillId="0" borderId="0" xfId="3" applyFont="1"/>
    <xf numFmtId="0" fontId="46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6" fillId="0" borderId="128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4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55" fillId="0" borderId="0" xfId="4"/>
    <xf numFmtId="0" fontId="16" fillId="0" borderId="0" xfId="4" applyFont="1"/>
    <xf numFmtId="0" fontId="49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49" fillId="0" borderId="130" xfId="4" applyFont="1" applyBorder="1" applyAlignment="1">
      <alignment horizontal="center"/>
    </xf>
    <xf numFmtId="0" fontId="49" fillId="0" borderId="131" xfId="4" quotePrefix="1" applyFont="1" applyBorder="1" applyAlignment="1">
      <alignment horizontal="center"/>
    </xf>
    <xf numFmtId="0" fontId="49" fillId="0" borderId="131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1" xfId="4" applyFont="1" applyBorder="1" applyAlignment="1">
      <alignment horizontal="right"/>
    </xf>
    <xf numFmtId="0" fontId="52" fillId="0" borderId="1" xfId="4" applyFont="1" applyBorder="1" applyAlignment="1">
      <alignment horizontal="center"/>
    </xf>
    <xf numFmtId="14" fontId="52" fillId="0" borderId="1" xfId="4" applyNumberFormat="1" applyFont="1" applyBorder="1" applyAlignment="1">
      <alignment horizontal="center"/>
    </xf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0" fillId="0" borderId="82" xfId="4" applyFont="1" applyBorder="1" applyAlignment="1">
      <alignment horizontal="right"/>
    </xf>
    <xf numFmtId="0" fontId="52" fillId="0" borderId="40" xfId="4" applyFont="1" applyBorder="1"/>
    <xf numFmtId="0" fontId="52" fillId="0" borderId="39" xfId="4" applyFont="1" applyBorder="1" applyAlignment="1">
      <alignment horizontal="center"/>
    </xf>
    <xf numFmtId="0" fontId="52" fillId="0" borderId="84" xfId="4" applyFont="1" applyBorder="1"/>
    <xf numFmtId="0" fontId="50" fillId="0" borderId="17" xfId="4" applyFont="1" applyBorder="1" applyAlignment="1">
      <alignment horizontal="right"/>
    </xf>
    <xf numFmtId="0" fontId="52" fillId="0" borderId="131" xfId="4" applyFont="1" applyBorder="1"/>
    <xf numFmtId="0" fontId="58" fillId="0" borderId="0" xfId="4" applyFont="1"/>
    <xf numFmtId="0" fontId="55" fillId="0" borderId="0" xfId="4" applyBorder="1"/>
    <xf numFmtId="0" fontId="59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31" xfId="4" applyFont="1" applyBorder="1" applyAlignment="1">
      <alignment horizontal="left"/>
    </xf>
    <xf numFmtId="0" fontId="23" fillId="0" borderId="131" xfId="4" quotePrefix="1" applyFont="1" applyBorder="1" applyAlignment="1">
      <alignment horizontal="left"/>
    </xf>
    <xf numFmtId="0" fontId="54" fillId="0" borderId="82" xfId="4" applyFont="1" applyBorder="1" applyAlignment="1">
      <alignment horizontal="centerContinuous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7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66" fontId="7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7" fillId="0" borderId="0" xfId="4" applyNumberFormat="1" applyFont="1" applyBorder="1" applyAlignment="1">
      <alignment horizontal="center"/>
    </xf>
    <xf numFmtId="171" fontId="63" fillId="0" borderId="6" xfId="5" applyFont="1" applyBorder="1" applyAlignment="1" applyProtection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 applyProtection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 applyProtection="1">
      <alignment horizontal="centerContinuous"/>
    </xf>
    <xf numFmtId="171" fontId="63" fillId="0" borderId="0" xfId="5" applyFont="1" applyBorder="1" applyAlignment="1">
      <alignment horizontal="centerContinuous"/>
    </xf>
    <xf numFmtId="171" fontId="64" fillId="0" borderId="108" xfId="5" applyFont="1" applyBorder="1" applyAlignment="1" applyProtection="1">
      <alignment horizontal="left"/>
    </xf>
    <xf numFmtId="171" fontId="65" fillId="0" borderId="39" xfId="5" applyFont="1" applyBorder="1"/>
    <xf numFmtId="171" fontId="64" fillId="0" borderId="40" xfId="5" applyFont="1" applyBorder="1" applyAlignment="1" applyProtection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Border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 applyProtection="1">
      <alignment horizontal="centerContinuous"/>
    </xf>
    <xf numFmtId="171" fontId="64" fillId="0" borderId="40" xfId="5" quotePrefix="1" applyFont="1" applyBorder="1" applyAlignment="1" applyProtection="1">
      <alignment horizontal="centerContinuous"/>
    </xf>
    <xf numFmtId="171" fontId="66" fillId="0" borderId="45" xfId="5" applyFont="1" applyBorder="1" applyAlignment="1">
      <alignment horizontal="centerContinuous"/>
    </xf>
    <xf numFmtId="171" fontId="64" fillId="0" borderId="40" xfId="5" applyFont="1" applyBorder="1" applyAlignment="1">
      <alignment horizontal="centerContinuous"/>
    </xf>
    <xf numFmtId="171" fontId="66" fillId="0" borderId="46" xfId="5" applyFont="1" applyBorder="1" applyAlignment="1" applyProtection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Border="1" applyAlignment="1" applyProtection="1">
      <alignment horizontal="centerContinuous"/>
    </xf>
    <xf numFmtId="171" fontId="64" fillId="0" borderId="0" xfId="5" applyFont="1" applyBorder="1" applyAlignment="1" applyProtection="1">
      <alignment horizontal="left"/>
    </xf>
    <xf numFmtId="171" fontId="65" fillId="0" borderId="0" xfId="5" applyFont="1" applyBorder="1"/>
    <xf numFmtId="171" fontId="64" fillId="0" borderId="0" xfId="5" applyFont="1" applyBorder="1" applyAlignment="1">
      <alignment horizontal="centerContinuous"/>
    </xf>
    <xf numFmtId="171" fontId="69" fillId="0" borderId="0" xfId="5" applyFont="1"/>
    <xf numFmtId="171" fontId="69" fillId="0" borderId="0" xfId="5" applyFont="1" applyAlignment="1" applyProtection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Border="1" applyAlignment="1">
      <alignment horizontal="centerContinuous"/>
    </xf>
    <xf numFmtId="171" fontId="69" fillId="0" borderId="0" xfId="5" applyFont="1" applyBorder="1" applyAlignment="1" applyProtection="1">
      <alignment horizontal="left"/>
    </xf>
    <xf numFmtId="171" fontId="69" fillId="0" borderId="0" xfId="5" applyFont="1" applyBorder="1"/>
    <xf numFmtId="171" fontId="69" fillId="0" borderId="0" xfId="5" quotePrefix="1" applyFont="1" applyAlignment="1" applyProtection="1">
      <alignment horizontal="left"/>
      <protection locked="0"/>
    </xf>
    <xf numFmtId="171" fontId="65" fillId="0" borderId="0" xfId="5" applyFont="1"/>
    <xf numFmtId="171" fontId="70" fillId="0" borderId="139" xfId="5" applyFont="1" applyBorder="1" applyAlignment="1" applyProtection="1">
      <alignment horizontal="centerContinuous"/>
    </xf>
    <xf numFmtId="171" fontId="66" fillId="0" borderId="140" xfId="5" applyFont="1" applyBorder="1" applyAlignment="1">
      <alignment horizontal="centerContinuous"/>
    </xf>
    <xf numFmtId="171" fontId="66" fillId="0" borderId="141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Border="1" applyAlignment="1" applyProtection="1">
      <alignment horizontal="right"/>
    </xf>
    <xf numFmtId="171" fontId="69" fillId="0" borderId="0" xfId="5" applyFont="1" applyBorder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center"/>
      <protection locked="0"/>
    </xf>
    <xf numFmtId="171" fontId="69" fillId="0" borderId="0" xfId="5" applyFont="1" applyBorder="1" applyAlignment="1" applyProtection="1">
      <alignment horizontal="left"/>
      <protection locked="0"/>
    </xf>
    <xf numFmtId="171" fontId="69" fillId="0" borderId="0" xfId="5" applyFont="1" applyBorder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 applyProtection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71" fontId="69" fillId="0" borderId="23" xfId="5" applyFont="1" applyBorder="1" applyAlignment="1">
      <alignment horizontal="right"/>
    </xf>
    <xf numFmtId="166" fontId="69" fillId="0" borderId="23" xfId="5" applyNumberFormat="1" applyFont="1" applyBorder="1" applyProtection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Border="1" applyAlignment="1" applyProtection="1">
      <alignment horizontal="right"/>
    </xf>
    <xf numFmtId="171" fontId="65" fillId="0" borderId="107" xfId="5" applyFont="1" applyBorder="1"/>
    <xf numFmtId="171" fontId="71" fillId="0" borderId="0" xfId="5" applyFont="1" applyBorder="1" applyAlignment="1" applyProtection="1">
      <alignment horizontal="left"/>
    </xf>
    <xf numFmtId="171" fontId="65" fillId="0" borderId="0" xfId="5" applyFont="1" applyBorder="1" applyAlignment="1" applyProtection="1">
      <alignment horizontal="right"/>
    </xf>
    <xf numFmtId="171" fontId="65" fillId="0" borderId="107" xfId="5" applyFont="1" applyBorder="1" applyAlignment="1" applyProtection="1">
      <alignment horizontal="right"/>
    </xf>
    <xf numFmtId="171" fontId="71" fillId="0" borderId="0" xfId="5" quotePrefix="1" applyFont="1" applyBorder="1" applyAlignment="1" applyProtection="1">
      <alignment horizontal="left"/>
    </xf>
    <xf numFmtId="171" fontId="65" fillId="0" borderId="0" xfId="5" applyFont="1" applyBorder="1" applyAlignment="1">
      <alignment horizontal="right"/>
    </xf>
    <xf numFmtId="171" fontId="65" fillId="0" borderId="21" xfId="5" applyFont="1" applyBorder="1"/>
    <xf numFmtId="171" fontId="62" fillId="0" borderId="45" xfId="5" applyBorder="1"/>
    <xf numFmtId="171" fontId="69" fillId="0" borderId="0" xfId="5" applyFont="1" applyBorder="1" applyAlignment="1">
      <alignment horizontal="right"/>
    </xf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0" xfId="5" applyFont="1" applyBorder="1" applyAlignment="1">
      <alignment horizontal="left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66" fillId="0" borderId="0" xfId="5" applyFont="1" applyBorder="1" applyAlignment="1">
      <alignment horizontal="centerContinuous"/>
    </xf>
    <xf numFmtId="171" fontId="66" fillId="0" borderId="0" xfId="5" applyFont="1" applyBorder="1"/>
    <xf numFmtId="171" fontId="70" fillId="0" borderId="142" xfId="5" applyFont="1" applyBorder="1" applyAlignment="1" applyProtection="1">
      <alignment horizontal="centerContinuous"/>
    </xf>
    <xf numFmtId="171" fontId="66" fillId="0" borderId="143" xfId="5" applyFont="1" applyBorder="1" applyAlignment="1">
      <alignment horizontal="centerContinuous"/>
    </xf>
    <xf numFmtId="171" fontId="62" fillId="0" borderId="144" xfId="5" applyBorder="1"/>
    <xf numFmtId="171" fontId="66" fillId="0" borderId="145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Border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Border="1" applyAlignment="1">
      <alignment horizontal="left"/>
    </xf>
    <xf numFmtId="171" fontId="66" fillId="0" borderId="0" xfId="5" applyFont="1" applyAlignment="1">
      <alignment horizontal="left"/>
    </xf>
    <xf numFmtId="171" fontId="66" fillId="0" borderId="142" xfId="5" applyFont="1" applyBorder="1"/>
    <xf numFmtId="171" fontId="65" fillId="0" borderId="143" xfId="5" applyFont="1" applyBorder="1" applyAlignment="1">
      <alignment horizontal="left"/>
    </xf>
    <xf numFmtId="171" fontId="65" fillId="0" borderId="145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6" xfId="5" applyFont="1" applyBorder="1"/>
    <xf numFmtId="171" fontId="69" fillId="0" borderId="0" xfId="5" quotePrefix="1" applyFont="1" applyBorder="1" applyAlignment="1" applyProtection="1">
      <alignment horizontal="left"/>
    </xf>
    <xf numFmtId="171" fontId="69" fillId="0" borderId="147" xfId="5" quotePrefix="1" applyFont="1" applyBorder="1" applyAlignment="1" applyProtection="1">
      <alignment horizontal="left"/>
    </xf>
    <xf numFmtId="171" fontId="69" fillId="0" borderId="148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 applyProtection="1">
      <alignment horizontal="right"/>
    </xf>
    <xf numFmtId="171" fontId="62" fillId="0" borderId="0" xfId="5" applyAlignment="1">
      <alignment horizontal="right"/>
    </xf>
    <xf numFmtId="0" fontId="22" fillId="2" borderId="67" xfId="1" applyFont="1" applyFill="1" applyBorder="1" applyAlignment="1">
      <alignment horizontal="left"/>
    </xf>
    <xf numFmtId="0" fontId="22" fillId="2" borderId="124" xfId="1" applyFont="1" applyFill="1" applyBorder="1" applyAlignment="1">
      <alignment horizontal="left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1" xfId="1" applyNumberFormat="1" applyFont="1" applyFill="1" applyBorder="1" applyAlignment="1">
      <alignment horizontal="center"/>
    </xf>
    <xf numFmtId="14" fontId="24" fillId="2" borderId="122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6" xfId="1" applyFont="1" applyFill="1" applyBorder="1" applyAlignment="1">
      <alignment horizontal="center"/>
    </xf>
    <xf numFmtId="0" fontId="26" fillId="0" borderId="23" xfId="1" applyFont="1" applyFill="1" applyBorder="1" applyAlignment="1">
      <alignment horizontal="center"/>
    </xf>
    <xf numFmtId="0" fontId="26" fillId="0" borderId="48" xfId="1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8" fillId="0" borderId="135" xfId="0" applyFont="1" applyBorder="1" applyAlignment="1">
      <alignment horizontal="right"/>
    </xf>
    <xf numFmtId="0" fontId="8" fillId="0" borderId="132" xfId="0" applyFont="1" applyBorder="1" applyAlignment="1">
      <alignment horizontal="right"/>
    </xf>
    <xf numFmtId="0" fontId="23" fillId="0" borderId="132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4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52" fillId="0" borderId="130" xfId="4" applyFont="1" applyBorder="1" applyAlignment="1">
      <alignment horizontal="center"/>
    </xf>
    <xf numFmtId="0" fontId="52" fillId="0" borderId="131" xfId="4" applyFont="1" applyBorder="1" applyAlignment="1">
      <alignment horizontal="center"/>
    </xf>
    <xf numFmtId="0" fontId="49" fillId="0" borderId="17" xfId="4" applyFont="1" applyBorder="1" applyAlignment="1">
      <alignment horizontal="right"/>
    </xf>
    <xf numFmtId="0" fontId="49" fillId="0" borderId="130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49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1" fillId="0" borderId="17" xfId="4" applyFont="1" applyBorder="1" applyAlignment="1">
      <alignment horizontal="center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107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31" xfId="4" applyFont="1" applyBorder="1" applyAlignment="1">
      <alignment horizontal="center"/>
    </xf>
    <xf numFmtId="0" fontId="60" fillId="0" borderId="0" xfId="4" applyFont="1" applyAlignment="1">
      <alignment horizontal="center"/>
    </xf>
    <xf numFmtId="171" fontId="69" fillId="0" borderId="0" xfId="5" applyFont="1" applyBorder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9" xfId="5" applyFont="1" applyBorder="1" applyAlignment="1" applyProtection="1">
      <alignment horizontal="center"/>
      <protection locked="0"/>
    </xf>
    <xf numFmtId="14" fontId="15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123.7748326551235</c:v>
                </c:pt>
                <c:pt idx="2">
                  <c:v>230</c:v>
                </c:pt>
                <c:pt idx="3">
                  <c:v>128.9640926857615</c:v>
                </c:pt>
                <c:pt idx="4">
                  <c:v>101.89908064984033</c:v>
                </c:pt>
                <c:pt idx="5">
                  <c:v>90.101868525324676</c:v>
                </c:pt>
                <c:pt idx="6">
                  <c:v>82.870072397589141</c:v>
                </c:pt>
                <c:pt idx="7">
                  <c:v>79.561296477130497</c:v>
                </c:pt>
                <c:pt idx="8">
                  <c:v>77.653524299071364</c:v>
                </c:pt>
                <c:pt idx="9">
                  <c:v>76.487394001008653</c:v>
                </c:pt>
                <c:pt idx="10">
                  <c:v>75.781419877181705</c:v>
                </c:pt>
                <c:pt idx="11">
                  <c:v>75.364406636556851</c:v>
                </c:pt>
                <c:pt idx="12">
                  <c:v>75.127626230705431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57664"/>
        <c:axId val="22545958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0.25878378748893738</c:v>
                </c:pt>
                <c:pt idx="1">
                  <c:v>136.7520751953125</c:v>
                </c:pt>
                <c:pt idx="2">
                  <c:v>402.19052124023437</c:v>
                </c:pt>
                <c:pt idx="3">
                  <c:v>469.37911987304687</c:v>
                </c:pt>
                <c:pt idx="4">
                  <c:v>489.4566650390625</c:v>
                </c:pt>
                <c:pt idx="5">
                  <c:v>500.27899169921875</c:v>
                </c:pt>
                <c:pt idx="6">
                  <c:v>515.12158203125</c:v>
                </c:pt>
                <c:pt idx="7">
                  <c:v>526.5609130859375</c:v>
                </c:pt>
                <c:pt idx="8">
                  <c:v>535.76446533203125</c:v>
                </c:pt>
                <c:pt idx="9">
                  <c:v>543.07061767578125</c:v>
                </c:pt>
                <c:pt idx="10">
                  <c:v>548.92425537109375</c:v>
                </c:pt>
                <c:pt idx="11">
                  <c:v>553.62530517578125</c:v>
                </c:pt>
                <c:pt idx="12">
                  <c:v>557.50726318359375</c:v>
                </c:pt>
                <c:pt idx="13">
                  <c:v>560.771728515625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61760"/>
        <c:axId val="225463296"/>
      </c:scatterChart>
      <c:valAx>
        <c:axId val="22545766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459584"/>
        <c:crossesAt val="0"/>
        <c:crossBetween val="midCat"/>
        <c:majorUnit val="0.2"/>
        <c:minorUnit val="0.2"/>
      </c:valAx>
      <c:valAx>
        <c:axId val="22545958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457664"/>
        <c:crosses val="max"/>
        <c:crossBetween val="midCat"/>
        <c:majorUnit val="50"/>
        <c:minorUnit val="50"/>
      </c:valAx>
      <c:valAx>
        <c:axId val="22546176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25463296"/>
        <c:crosses val="autoZero"/>
        <c:crossBetween val="midCat"/>
      </c:valAx>
      <c:valAx>
        <c:axId val="2254632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46176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123.7748326551235</c:v>
                </c:pt>
                <c:pt idx="2">
                  <c:v>230</c:v>
                </c:pt>
                <c:pt idx="3">
                  <c:v>128.9640926857615</c:v>
                </c:pt>
                <c:pt idx="4">
                  <c:v>101.89908064984033</c:v>
                </c:pt>
                <c:pt idx="5">
                  <c:v>90.101868525324676</c:v>
                </c:pt>
                <c:pt idx="6">
                  <c:v>82.870072397589141</c:v>
                </c:pt>
                <c:pt idx="7">
                  <c:v>79.561296477130497</c:v>
                </c:pt>
                <c:pt idx="8">
                  <c:v>77.653524299071364</c:v>
                </c:pt>
                <c:pt idx="9">
                  <c:v>76.487394001008653</c:v>
                </c:pt>
                <c:pt idx="10">
                  <c:v>75.781419877181705</c:v>
                </c:pt>
                <c:pt idx="11">
                  <c:v>75.364406636556851</c:v>
                </c:pt>
                <c:pt idx="12">
                  <c:v>75.127626230705431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94304"/>
        <c:axId val="22739622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0.25878378748893738</c:v>
                </c:pt>
                <c:pt idx="1">
                  <c:v>136.7520751953125</c:v>
                </c:pt>
                <c:pt idx="2">
                  <c:v>402.19052124023437</c:v>
                </c:pt>
                <c:pt idx="3">
                  <c:v>469.37911987304687</c:v>
                </c:pt>
                <c:pt idx="4">
                  <c:v>489.4566650390625</c:v>
                </c:pt>
                <c:pt idx="5">
                  <c:v>500.27899169921875</c:v>
                </c:pt>
                <c:pt idx="6">
                  <c:v>515.12158203125</c:v>
                </c:pt>
                <c:pt idx="7">
                  <c:v>526.5609130859375</c:v>
                </c:pt>
                <c:pt idx="8">
                  <c:v>535.76446533203125</c:v>
                </c:pt>
                <c:pt idx="9">
                  <c:v>543.07061767578125</c:v>
                </c:pt>
                <c:pt idx="10">
                  <c:v>548.92425537109375</c:v>
                </c:pt>
                <c:pt idx="11">
                  <c:v>553.62530517578125</c:v>
                </c:pt>
                <c:pt idx="12">
                  <c:v>557.50726318359375</c:v>
                </c:pt>
                <c:pt idx="13">
                  <c:v>560.771728515625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98400"/>
        <c:axId val="227399936"/>
      </c:scatterChart>
      <c:valAx>
        <c:axId val="22739430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396224"/>
        <c:crosses val="autoZero"/>
        <c:crossBetween val="midCat"/>
        <c:majorUnit val="20"/>
        <c:minorUnit val="20"/>
      </c:valAx>
      <c:valAx>
        <c:axId val="227396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394304"/>
        <c:crosses val="autoZero"/>
        <c:crossBetween val="midCat"/>
      </c:valAx>
      <c:valAx>
        <c:axId val="22739840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7399936"/>
        <c:crosses val="autoZero"/>
        <c:crossBetween val="midCat"/>
      </c:valAx>
      <c:valAx>
        <c:axId val="22739993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39840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560.77170418006426</c:v>
                </c:pt>
                <c:pt idx="1">
                  <c:v>491.18809517684883</c:v>
                </c:pt>
                <c:pt idx="2">
                  <c:v>421.58360900321543</c:v>
                </c:pt>
                <c:pt idx="3">
                  <c:v>352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45.618874135889463</c:v>
                </c:pt>
                <c:pt idx="2">
                  <c:v>61.925966401568274</c:v>
                </c:pt>
                <c:pt idx="3">
                  <c:v>88.829026079186093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560.77170418006426</c:v>
                </c:pt>
                <c:pt idx="1">
                  <c:v>491.18809517684883</c:v>
                </c:pt>
                <c:pt idx="2">
                  <c:v>421.58360900321543</c:v>
                </c:pt>
                <c:pt idx="3">
                  <c:v>352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19.550946058238342</c:v>
                </c:pt>
                <c:pt idx="2">
                  <c:v>26.539699886386405</c:v>
                </c:pt>
                <c:pt idx="3">
                  <c:v>38.069582605365468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252</c:v>
                </c:pt>
                <c:pt idx="1">
                  <c:v>152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89.167742214276032</c:v>
                </c:pt>
                <c:pt idx="3">
                  <c:v>145.58560380046924</c:v>
                </c:pt>
                <c:pt idx="4">
                  <c:v>224.35070454864223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560.77170418006426</c:v>
                </c:pt>
                <c:pt idx="1">
                  <c:v>559.13183279742771</c:v>
                </c:pt>
                <c:pt idx="2">
                  <c:v>555.56270096463027</c:v>
                </c:pt>
                <c:pt idx="3">
                  <c:v>551.28617363344051</c:v>
                </c:pt>
                <c:pt idx="4">
                  <c:v>546.01286173633446</c:v>
                </c:pt>
                <c:pt idx="5">
                  <c:v>539.4212218649518</c:v>
                </c:pt>
                <c:pt idx="6">
                  <c:v>531.15755627009651</c:v>
                </c:pt>
                <c:pt idx="7">
                  <c:v>520.83601286173632</c:v>
                </c:pt>
                <c:pt idx="8">
                  <c:v>507.6848874598071</c:v>
                </c:pt>
                <c:pt idx="9">
                  <c:v>494.85530546623795</c:v>
                </c:pt>
                <c:pt idx="10">
                  <c:v>479.42122186495175</c:v>
                </c:pt>
                <c:pt idx="11">
                  <c:v>435.78778135048231</c:v>
                </c:pt>
                <c:pt idx="12">
                  <c:v>269.48553054662381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1.2879999876022339</c:v>
                </c:pt>
                <c:pt idx="2">
                  <c:v>2.3489999771118164</c:v>
                </c:pt>
                <c:pt idx="3">
                  <c:v>3.3399999141693115</c:v>
                </c:pt>
                <c:pt idx="4">
                  <c:v>4.3309998512268066</c:v>
                </c:pt>
                <c:pt idx="5">
                  <c:v>5.3799996376037598</c:v>
                </c:pt>
                <c:pt idx="6">
                  <c:v>6.5429997444152832</c:v>
                </c:pt>
                <c:pt idx="7">
                  <c:v>7.9059996604919434</c:v>
                </c:pt>
                <c:pt idx="8">
                  <c:v>9.6560001373291016</c:v>
                </c:pt>
                <c:pt idx="9">
                  <c:v>10.71399974822998</c:v>
                </c:pt>
                <c:pt idx="10">
                  <c:v>11.597999572753906</c:v>
                </c:pt>
                <c:pt idx="11">
                  <c:v>11.980999946594238</c:v>
                </c:pt>
                <c:pt idx="12">
                  <c:v>12.048000335693359</c:v>
                </c:pt>
                <c:pt idx="13">
                  <c:v>12.156000137329102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259328"/>
        <c:axId val="228261248"/>
      </c:scatterChart>
      <c:valAx>
        <c:axId val="2282593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261248"/>
        <c:crossesAt val="0.1"/>
        <c:crossBetween val="midCat"/>
        <c:majorUnit val="100"/>
      </c:valAx>
      <c:valAx>
        <c:axId val="22826124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2593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92.360267639160156</c:v>
                </c:pt>
                <c:pt idx="2">
                  <c:v>95.168876647949219</c:v>
                </c:pt>
                <c:pt idx="3">
                  <c:v>95.931549072265625</c:v>
                </c:pt>
                <c:pt idx="4">
                  <c:v>96.151046752929688</c:v>
                </c:pt>
                <c:pt idx="5">
                  <c:v>96.144828796386719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63.650657653808594</c:v>
                </c:pt>
                <c:pt idx="1">
                  <c:v>82.484909057617188</c:v>
                </c:pt>
                <c:pt idx="2">
                  <c:v>88.040275573730469</c:v>
                </c:pt>
                <c:pt idx="3">
                  <c:v>89.764572143554688</c:v>
                </c:pt>
                <c:pt idx="4">
                  <c:v>89.964118957519531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65.209548649751099</c:v>
                </c:pt>
                <c:pt idx="2">
                  <c:v>51.309124772384635</c:v>
                </c:pt>
                <c:pt idx="3">
                  <c:v>37.09889774362393</c:v>
                </c:pt>
                <c:pt idx="4">
                  <c:v>22.487870002566378</c:v>
                </c:pt>
                <c:pt idx="5">
                  <c:v>7.8109568119612227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0.34151599999999999</c:v>
                </c:pt>
                <c:pt idx="1">
                  <c:v>8.3988062502821741</c:v>
                </c:pt>
                <c:pt idx="2">
                  <c:v>16.301884871907401</c:v>
                </c:pt>
                <c:pt idx="3">
                  <c:v>24.258425191354437</c:v>
                </c:pt>
                <c:pt idx="4">
                  <c:v>32.270728679570844</c:v>
                </c:pt>
                <c:pt idx="5">
                  <c:v>40.341017079260247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04064"/>
        <c:axId val="22811443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81.277960725472951</c:v>
                </c:pt>
                <c:pt idx="1">
                  <c:v>114.27679443359375</c:v>
                </c:pt>
                <c:pt idx="2">
                  <c:v>171.1617431640625</c:v>
                </c:pt>
                <c:pt idx="3">
                  <c:v>238.6297607421875</c:v>
                </c:pt>
                <c:pt idx="4">
                  <c:v>311.34878540039062</c:v>
                </c:pt>
                <c:pt idx="5">
                  <c:v>388.34783935546875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16352"/>
        <c:axId val="228117888"/>
      </c:scatterChart>
      <c:valAx>
        <c:axId val="2281040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114432"/>
        <c:crossesAt val="0"/>
        <c:crossBetween val="midCat"/>
        <c:majorUnit val="25"/>
        <c:minorUnit val="12.5"/>
      </c:valAx>
      <c:valAx>
        <c:axId val="22811443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104064"/>
        <c:crosses val="autoZero"/>
        <c:crossBetween val="midCat"/>
        <c:majorUnit val="10"/>
        <c:minorUnit val="5"/>
      </c:valAx>
      <c:valAx>
        <c:axId val="22811635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8117888"/>
        <c:crosses val="autoZero"/>
        <c:crossBetween val="midCat"/>
      </c:valAx>
      <c:valAx>
        <c:axId val="228117888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116352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161925</xdr:colOff>
      <xdr:row>39</xdr:row>
      <xdr:rowOff>180975</xdr:rowOff>
    </xdr:from>
    <xdr:to>
      <xdr:col>3</xdr:col>
      <xdr:colOff>756371</xdr:colOff>
      <xdr:row>43</xdr:row>
      <xdr:rowOff>28575</xdr:rowOff>
    </xdr:to>
    <xdr:grpSp>
      <xdr:nvGrpSpPr>
        <xdr:cNvPr id="96" name="Group 95"/>
        <xdr:cNvGrpSpPr/>
      </xdr:nvGrpSpPr>
      <xdr:grpSpPr>
        <a:xfrm>
          <a:off x="971550" y="9163050"/>
          <a:ext cx="1518371" cy="762000"/>
          <a:chOff x="0" y="8982075"/>
          <a:chExt cx="1518371" cy="762000"/>
        </a:xfrm>
      </xdr:grpSpPr>
      <xdr:sp macro="" textlink="">
        <xdr:nvSpPr>
          <xdr:cNvPr id="97" name="Radius"/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/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/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/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/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/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/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/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/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/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/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/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/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/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/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/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/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/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762000</xdr:colOff>
      <xdr:row>39</xdr:row>
      <xdr:rowOff>180975</xdr:rowOff>
    </xdr:from>
    <xdr:to>
      <xdr:col>4</xdr:col>
      <xdr:colOff>779161</xdr:colOff>
      <xdr:row>40</xdr:row>
      <xdr:rowOff>114300</xdr:rowOff>
    </xdr:to>
    <xdr:sp macro="" textlink="">
      <xdr:nvSpPr>
        <xdr:cNvPr id="115" name="Text 219"/>
        <xdr:cNvSpPr txBox="1">
          <a:spLocks noChangeArrowheads="1"/>
        </xdr:cNvSpPr>
      </xdr:nvSpPr>
      <xdr:spPr bwMode="auto">
        <a:xfrm>
          <a:off x="2495550" y="9163050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822960</xdr:colOff>
      <xdr:row>33</xdr:row>
      <xdr:rowOff>152400</xdr:rowOff>
    </xdr:from>
    <xdr:to>
      <xdr:col>4</xdr:col>
      <xdr:colOff>596293</xdr:colOff>
      <xdr:row>34</xdr:row>
      <xdr:rowOff>95250</xdr:rowOff>
    </xdr:to>
    <xdr:sp macro="" textlink="">
      <xdr:nvSpPr>
        <xdr:cNvPr id="116" name="Text 219"/>
        <xdr:cNvSpPr txBox="1">
          <a:spLocks noChangeArrowheads="1"/>
        </xdr:cNvSpPr>
      </xdr:nvSpPr>
      <xdr:spPr bwMode="auto">
        <a:xfrm>
          <a:off x="2556510" y="776287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822960</xdr:colOff>
      <xdr:row>27</xdr:row>
      <xdr:rowOff>104775</xdr:rowOff>
    </xdr:from>
    <xdr:to>
      <xdr:col>4</xdr:col>
      <xdr:colOff>596293</xdr:colOff>
      <xdr:row>28</xdr:row>
      <xdr:rowOff>47625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556510" y="63436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28574</xdr:colOff>
      <xdr:row>17</xdr:row>
      <xdr:rowOff>85724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19049</xdr:colOff>
      <xdr:row>19</xdr:row>
      <xdr:rowOff>28574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9524</xdr:colOff>
      <xdr:row>20</xdr:row>
      <xdr:rowOff>200024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9524</xdr:colOff>
      <xdr:row>22</xdr:row>
      <xdr:rowOff>133349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19049</xdr:colOff>
      <xdr:row>24</xdr:row>
      <xdr:rowOff>66674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19049</xdr:colOff>
      <xdr:row>25</xdr:row>
      <xdr:rowOff>238124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9524</xdr:colOff>
      <xdr:row>27</xdr:row>
      <xdr:rowOff>171449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1114424</xdr:colOff>
      <xdr:row>29</xdr:row>
      <xdr:rowOff>104774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1114424</xdr:colOff>
      <xdr:row>31</xdr:row>
      <xdr:rowOff>47624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1114424</xdr:colOff>
      <xdr:row>32</xdr:row>
      <xdr:rowOff>219074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9524</xdr:colOff>
      <xdr:row>34</xdr:row>
      <xdr:rowOff>152399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95299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323850</xdr:colOff>
      <xdr:row>16</xdr:row>
      <xdr:rowOff>85725</xdr:rowOff>
    </xdr:from>
    <xdr:to>
      <xdr:col>5</xdr:col>
      <xdr:colOff>819149</xdr:colOff>
      <xdr:row>17</xdr:row>
      <xdr:rowOff>38099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5" y="3981450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348761</xdr:colOff>
      <xdr:row>25</xdr:row>
      <xdr:rowOff>1</xdr:rowOff>
    </xdr:from>
    <xdr:to>
      <xdr:col>5</xdr:col>
      <xdr:colOff>907560</xdr:colOff>
      <xdr:row>25</xdr:row>
      <xdr:rowOff>200025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6" y="6038851"/>
          <a:ext cx="558799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342900</xdr:colOff>
      <xdr:row>26</xdr:row>
      <xdr:rowOff>180975</xdr:rowOff>
    </xdr:from>
    <xdr:to>
      <xdr:col>5</xdr:col>
      <xdr:colOff>838199</xdr:colOff>
      <xdr:row>27</xdr:row>
      <xdr:rowOff>133349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5" y="6457950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352425</xdr:colOff>
      <xdr:row>28</xdr:row>
      <xdr:rowOff>114300</xdr:rowOff>
    </xdr:from>
    <xdr:to>
      <xdr:col>5</xdr:col>
      <xdr:colOff>847724</xdr:colOff>
      <xdr:row>29</xdr:row>
      <xdr:rowOff>66674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0" y="6867525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342900</xdr:colOff>
      <xdr:row>30</xdr:row>
      <xdr:rowOff>38100</xdr:rowOff>
    </xdr:from>
    <xdr:to>
      <xdr:col>5</xdr:col>
      <xdr:colOff>838199</xdr:colOff>
      <xdr:row>30</xdr:row>
      <xdr:rowOff>228599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5" y="7267575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342900</xdr:colOff>
      <xdr:row>31</xdr:row>
      <xdr:rowOff>219075</xdr:rowOff>
    </xdr:from>
    <xdr:to>
      <xdr:col>5</xdr:col>
      <xdr:colOff>838199</xdr:colOff>
      <xdr:row>32</xdr:row>
      <xdr:rowOff>171449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5" y="7686675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723900</xdr:colOff>
      <xdr:row>23</xdr:row>
      <xdr:rowOff>9525</xdr:rowOff>
    </xdr:from>
    <xdr:to>
      <xdr:col>5</xdr:col>
      <xdr:colOff>942975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9602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342900</xdr:colOff>
      <xdr:row>23</xdr:row>
      <xdr:rowOff>66675</xdr:rowOff>
    </xdr:from>
    <xdr:to>
      <xdr:col>5</xdr:col>
      <xdr:colOff>838199</xdr:colOff>
      <xdr:row>24</xdr:row>
      <xdr:rowOff>19049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5" y="5629275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5</xdr:col>
      <xdr:colOff>342900</xdr:colOff>
      <xdr:row>21</xdr:row>
      <xdr:rowOff>133350</xdr:rowOff>
    </xdr:from>
    <xdr:to>
      <xdr:col>5</xdr:col>
      <xdr:colOff>838199</xdr:colOff>
      <xdr:row>22</xdr:row>
      <xdr:rowOff>85724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5" y="5219700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4200</a:t>
          </a:r>
        </a:p>
      </xdr:txBody>
    </xdr:sp>
    <xdr:clientData/>
  </xdr:twoCellAnchor>
  <xdr:twoCellAnchor>
    <xdr:from>
      <xdr:col>5</xdr:col>
      <xdr:colOff>333375</xdr:colOff>
      <xdr:row>19</xdr:row>
      <xdr:rowOff>200025</xdr:rowOff>
    </xdr:from>
    <xdr:to>
      <xdr:col>5</xdr:col>
      <xdr:colOff>828674</xdr:colOff>
      <xdr:row>20</xdr:row>
      <xdr:rowOff>152399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0" y="4810125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333375</xdr:colOff>
      <xdr:row>18</xdr:row>
      <xdr:rowOff>28575</xdr:rowOff>
    </xdr:from>
    <xdr:to>
      <xdr:col>5</xdr:col>
      <xdr:colOff>828674</xdr:colOff>
      <xdr:row>18</xdr:row>
      <xdr:rowOff>219074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0" y="4400550"/>
          <a:ext cx="495299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5400</a:t>
          </a:r>
        </a:p>
      </xdr:txBody>
    </xdr:sp>
    <xdr:clientData/>
  </xdr:twoCellAnchor>
  <xdr:twoCellAnchor>
    <xdr:from>
      <xdr:col>2</xdr:col>
      <xdr:colOff>466725</xdr:colOff>
      <xdr:row>17</xdr:row>
      <xdr:rowOff>0</xdr:rowOff>
    </xdr:from>
    <xdr:to>
      <xdr:col>2</xdr:col>
      <xdr:colOff>809625</xdr:colOff>
      <xdr:row>17</xdr:row>
      <xdr:rowOff>142875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695575" y="41338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876300</xdr:colOff>
      <xdr:row>19</xdr:row>
      <xdr:rowOff>133350</xdr:rowOff>
    </xdr:from>
    <xdr:to>
      <xdr:col>3</xdr:col>
      <xdr:colOff>95250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105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485775</xdr:colOff>
      <xdr:row>23</xdr:row>
      <xdr:rowOff>200025</xdr:rowOff>
    </xdr:from>
    <xdr:to>
      <xdr:col>2</xdr:col>
      <xdr:colOff>828675</xdr:colOff>
      <xdr:row>24</xdr:row>
      <xdr:rowOff>104775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714625" y="5762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895350</xdr:colOff>
      <xdr:row>28</xdr:row>
      <xdr:rowOff>38100</xdr:rowOff>
    </xdr:from>
    <xdr:to>
      <xdr:col>2</xdr:col>
      <xdr:colOff>219075</xdr:colOff>
      <xdr:row>28</xdr:row>
      <xdr:rowOff>190500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009775" y="67913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695325</xdr:colOff>
      <xdr:row>31</xdr:row>
      <xdr:rowOff>171450</xdr:rowOff>
    </xdr:from>
    <xdr:to>
      <xdr:col>3</xdr:col>
      <xdr:colOff>85725</xdr:colOff>
      <xdr:row>32</xdr:row>
      <xdr:rowOff>85725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924175" y="76390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142876</xdr:rowOff>
    </xdr:from>
    <xdr:to>
      <xdr:col>5</xdr:col>
      <xdr:colOff>852608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86726"/>
          <a:ext cx="520698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J6" sqref="J6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41982</v>
      </c>
      <c r="I3" s="51" t="s">
        <v>3</v>
      </c>
      <c r="J3" s="152">
        <v>0.60533564814814811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2500</v>
      </c>
      <c r="C5" s="145">
        <v>1800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752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23.125593055555555</v>
      </c>
      <c r="J7" s="108" t="s">
        <v>19</v>
      </c>
    </row>
    <row r="8" spans="1:10" ht="15" customHeight="1">
      <c r="A8" s="7" t="s">
        <v>20</v>
      </c>
      <c r="B8" s="71">
        <v>3.309999942779541</v>
      </c>
      <c r="C8" s="54"/>
      <c r="D8" s="7"/>
      <c r="E8" s="53"/>
      <c r="F8" s="4"/>
      <c r="G8" s="17"/>
      <c r="H8" s="11" t="s">
        <v>21</v>
      </c>
      <c r="I8" s="70">
        <v>28.349058182060801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25.737325618808178</v>
      </c>
      <c r="J9" s="106">
        <v>748.94097022208007</v>
      </c>
    </row>
    <row r="10" spans="1:10" ht="15" customHeight="1">
      <c r="A10" s="7" t="s">
        <v>27</v>
      </c>
      <c r="B10" s="71">
        <v>920</v>
      </c>
      <c r="C10" s="75">
        <v>920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15.409848104495472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523.38000011444092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27.246162587611465</v>
      </c>
      <c r="J11" s="106">
        <v>63481.612827988087</v>
      </c>
    </row>
    <row r="12" spans="1:10" ht="15" customHeight="1">
      <c r="A12" s="7" t="s">
        <v>33</v>
      </c>
      <c r="B12" s="71">
        <v>530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1.500702206714756</v>
      </c>
      <c r="J12" s="105" t="s">
        <v>36</v>
      </c>
    </row>
    <row r="13" spans="1:10" ht="15" customHeight="1" thickBot="1">
      <c r="A13" s="7" t="s">
        <v>37</v>
      </c>
      <c r="B13" s="71">
        <v>66.5</v>
      </c>
      <c r="C13" s="75">
        <v>71.140000820159912</v>
      </c>
      <c r="D13" s="7" t="s">
        <v>38</v>
      </c>
      <c r="E13" s="72">
        <v>22</v>
      </c>
      <c r="F13" s="126"/>
      <c r="G13" s="118" t="s">
        <v>191</v>
      </c>
      <c r="H13" s="11" t="s">
        <v>40</v>
      </c>
      <c r="I13" s="70">
        <v>1.0404789331673008</v>
      </c>
      <c r="J13" s="106">
        <v>308.29879760742187</v>
      </c>
    </row>
    <row r="14" spans="1:10" ht="15" customHeight="1" thickBot="1">
      <c r="A14" s="136" t="s">
        <v>41</v>
      </c>
      <c r="B14" s="137">
        <v>688.20001220703125</v>
      </c>
      <c r="C14" s="138">
        <v>688.20001220703125</v>
      </c>
      <c r="D14" s="7" t="s">
        <v>42</v>
      </c>
      <c r="E14" s="53" t="s">
        <v>184</v>
      </c>
      <c r="F14" s="53" t="s">
        <v>193</v>
      </c>
      <c r="G14" s="118" t="s">
        <v>192</v>
      </c>
      <c r="H14" s="51" t="s">
        <v>43</v>
      </c>
      <c r="I14" s="70">
        <v>1.5614490310443834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185</v>
      </c>
      <c r="F15" s="53"/>
      <c r="G15" s="118"/>
      <c r="H15" s="11" t="s">
        <v>47</v>
      </c>
      <c r="I15" s="70">
        <v>0.96589165240170005</v>
      </c>
      <c r="J15" s="106">
        <v>34.991950757575758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4</v>
      </c>
      <c r="F16" s="53"/>
      <c r="G16" s="118"/>
      <c r="H16" s="11" t="s">
        <v>50</v>
      </c>
      <c r="I16" s="70">
        <v>0.95596950205867326</v>
      </c>
      <c r="J16" s="107" t="s">
        <v>51</v>
      </c>
    </row>
    <row r="17" spans="1:10" ht="15" customHeight="1" thickBot="1">
      <c r="A17" s="7" t="s">
        <v>52</v>
      </c>
      <c r="B17" s="53" t="s">
        <v>177</v>
      </c>
      <c r="C17" s="54" t="s">
        <v>178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0.9233629619890823</v>
      </c>
      <c r="J17" s="106">
        <v>733.23239009149177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1641</v>
      </c>
      <c r="F18" s="72">
        <v>1096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76</v>
      </c>
      <c r="C19" s="75">
        <v>40.549999237060547</v>
      </c>
      <c r="D19" s="7" t="s">
        <v>59</v>
      </c>
      <c r="E19" s="72">
        <v>132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179</v>
      </c>
      <c r="C20" s="75">
        <v>12.050000190734863</v>
      </c>
      <c r="D20" s="7" t="s">
        <v>166</v>
      </c>
      <c r="E20" s="69">
        <v>3.8033232919856809E-2</v>
      </c>
      <c r="F20" s="53"/>
      <c r="G20" s="54"/>
      <c r="H20" s="11" t="s">
        <v>63</v>
      </c>
      <c r="I20" s="70">
        <v>14.760526657104492</v>
      </c>
      <c r="J20" s="74">
        <v>14.760526657104492</v>
      </c>
    </row>
    <row r="21" spans="1:10" ht="15" customHeight="1">
      <c r="A21" s="7" t="s">
        <v>64</v>
      </c>
      <c r="B21" s="71">
        <v>15.199999809265137</v>
      </c>
      <c r="C21" s="75">
        <v>5</v>
      </c>
      <c r="D21" s="11" t="s">
        <v>187</v>
      </c>
      <c r="E21" s="69">
        <v>5.0735884386213695E-2</v>
      </c>
      <c r="F21" s="69">
        <v>4.7398112714290619E-2</v>
      </c>
      <c r="G21" s="73">
        <v>5.0915960200897462E-3</v>
      </c>
      <c r="H21" s="11" t="s">
        <v>65</v>
      </c>
      <c r="I21" s="70">
        <v>20.271615982055664</v>
      </c>
      <c r="J21" s="74">
        <v>14.824084281921387</v>
      </c>
    </row>
    <row r="22" spans="1:10" ht="15" customHeight="1">
      <c r="A22" s="7" t="s">
        <v>66</v>
      </c>
      <c r="B22" s="71">
        <v>3.6500000953674316</v>
      </c>
      <c r="C22" s="75">
        <v>5.5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4.4184255599975586</v>
      </c>
      <c r="J22" s="74">
        <v>4.0020089149475098</v>
      </c>
    </row>
    <row r="23" spans="1:10" ht="15" customHeight="1">
      <c r="A23" s="7" t="s">
        <v>69</v>
      </c>
      <c r="B23" s="71">
        <v>7.925593376159668</v>
      </c>
      <c r="C23" s="75">
        <v>11.912208557128906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12.549242665032232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3.2736440920171521</v>
      </c>
      <c r="J24" s="74">
        <v>3.0243219948128903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0.10322559624910355</v>
      </c>
      <c r="J25" s="74">
        <v>0.22262966632843018</v>
      </c>
    </row>
    <row r="26" spans="1:10" ht="15" customHeight="1">
      <c r="A26" s="7" t="s">
        <v>78</v>
      </c>
      <c r="B26" s="55" t="s">
        <v>180</v>
      </c>
      <c r="C26" s="62" t="s">
        <v>181</v>
      </c>
      <c r="D26" s="11" t="s">
        <v>79</v>
      </c>
      <c r="E26" s="71">
        <v>269.61970408432154</v>
      </c>
      <c r="F26" s="71">
        <v>253.5922381934738</v>
      </c>
      <c r="G26" s="75">
        <v>99.984177484690463</v>
      </c>
      <c r="H26" s="11" t="s">
        <v>80</v>
      </c>
      <c r="I26" s="70">
        <v>1.5588819980621338</v>
      </c>
      <c r="J26" s="74">
        <v>1.3847991228103638</v>
      </c>
    </row>
    <row r="27" spans="1:10" ht="15" customHeight="1" thickBot="1">
      <c r="A27" s="7" t="s">
        <v>81</v>
      </c>
      <c r="B27" s="53" t="s">
        <v>182</v>
      </c>
      <c r="C27" s="54" t="s">
        <v>182</v>
      </c>
      <c r="D27" s="12" t="s">
        <v>82</v>
      </c>
      <c r="E27" s="82">
        <v>303.53645084810194</v>
      </c>
      <c r="F27" s="82" t="s">
        <v>174</v>
      </c>
      <c r="G27" s="84" t="s">
        <v>174</v>
      </c>
      <c r="H27" s="12" t="s">
        <v>83</v>
      </c>
      <c r="I27" s="81">
        <v>1.5622959136962891</v>
      </c>
      <c r="J27" s="83">
        <v>1.402580738067627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32.004948124999999</v>
      </c>
      <c r="F30" s="71">
        <v>915.30601623535154</v>
      </c>
      <c r="G30" s="71">
        <v>15.541579952889283</v>
      </c>
      <c r="H30" s="76">
        <v>436.26976116565282</v>
      </c>
      <c r="I30" s="72">
        <v>107616.19481586482</v>
      </c>
      <c r="J30" s="76">
        <v>7799.4457238656523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7.6000000000000005</v>
      </c>
      <c r="F31" s="71">
        <v>981.79082247978897</v>
      </c>
      <c r="G31" s="71">
        <v>14.489136898583235</v>
      </c>
      <c r="H31" s="76">
        <v>75.107943549622263</v>
      </c>
      <c r="I31" s="72">
        <v>29846.441003385586</v>
      </c>
      <c r="J31" s="76">
        <v>1930.8359006132498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17.368280379415154</v>
      </c>
      <c r="F32" s="71">
        <v>979.17098865684534</v>
      </c>
      <c r="G32" s="71">
        <v>14.527903499464903</v>
      </c>
      <c r="H32" s="76">
        <v>173.55581280811109</v>
      </c>
      <c r="I32" s="10" t="s">
        <v>100</v>
      </c>
      <c r="J32" s="76">
        <v>9730.2816244789028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4.0549999237060552</v>
      </c>
      <c r="F33" s="71">
        <v>1188.7074007921783</v>
      </c>
      <c r="G33" s="71">
        <v>11.96703379082377</v>
      </c>
      <c r="H33" s="76">
        <v>22.508143637628507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14.225301632682291</v>
      </c>
      <c r="D34" s="12" t="s">
        <v>20</v>
      </c>
      <c r="E34" s="81">
        <v>0.33099999427795412</v>
      </c>
      <c r="F34" s="82">
        <v>1972.7374597297651</v>
      </c>
      <c r="G34" s="82">
        <v>7.2109451577154831</v>
      </c>
      <c r="H34" s="85">
        <v>1899.3748435843522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23503.103515625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3.2385117437758124</v>
      </c>
      <c r="C42" s="70">
        <v>3.2385117437758124</v>
      </c>
      <c r="D42" s="70">
        <v>3.2385117437758124</v>
      </c>
      <c r="E42" s="70">
        <v>3.2385117437758124</v>
      </c>
      <c r="F42" s="74">
        <v>3.2385117437758124</v>
      </c>
      <c r="G42" s="37" t="s">
        <v>124</v>
      </c>
      <c r="H42" s="93" t="s">
        <v>248</v>
      </c>
      <c r="I42" s="57"/>
      <c r="J42" s="99">
        <v>0.15873332268695539</v>
      </c>
    </row>
    <row r="43" spans="1:10" ht="15" customHeight="1" thickBot="1">
      <c r="A43" s="18" t="s">
        <v>125</v>
      </c>
      <c r="B43" s="81">
        <v>3.2385117437758124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4701.8628948594514</v>
      </c>
      <c r="I44" s="92">
        <v>3.3653561042832798E-2</v>
      </c>
      <c r="J44" s="99">
        <v>0.63645349427712283</v>
      </c>
    </row>
    <row r="45" spans="1:10" ht="15" customHeight="1">
      <c r="A45" s="7" t="s">
        <v>129</v>
      </c>
      <c r="B45" s="70">
        <v>0.28852778673171997</v>
      </c>
      <c r="C45" s="5" t="s">
        <v>130</v>
      </c>
      <c r="D45" s="74">
        <v>6.7516281269490719E-3</v>
      </c>
      <c r="E45" s="7" t="s">
        <v>131</v>
      </c>
      <c r="F45" s="76">
        <v>1423.7388362176521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0.18813319504261017</v>
      </c>
      <c r="C46" s="5" t="s">
        <v>133</v>
      </c>
      <c r="D46" s="74">
        <v>6.3347043469548225E-3</v>
      </c>
      <c r="E46" s="7" t="s">
        <v>134</v>
      </c>
      <c r="F46" s="76">
        <v>2022.6999341506391</v>
      </c>
      <c r="G46" s="38" t="s">
        <v>135</v>
      </c>
      <c r="H46" s="96">
        <v>1030.3927437895672</v>
      </c>
      <c r="I46" s="59"/>
      <c r="J46" s="60"/>
    </row>
    <row r="47" spans="1:10" ht="15" customHeight="1">
      <c r="A47" s="7" t="s">
        <v>136</v>
      </c>
      <c r="B47" s="70">
        <v>0.47666096687316895</v>
      </c>
      <c r="C47" s="5" t="s">
        <v>137</v>
      </c>
      <c r="D47" s="74">
        <v>4.825737327337265E-3</v>
      </c>
      <c r="E47" s="7" t="s">
        <v>138</v>
      </c>
      <c r="F47" s="76">
        <v>1313.8804775026538</v>
      </c>
      <c r="G47" s="66" t="s">
        <v>139</v>
      </c>
      <c r="H47" s="95">
        <v>4546.3738712514942</v>
      </c>
      <c r="I47" s="92">
        <v>3.2505681880375309E-2</v>
      </c>
      <c r="J47" s="97">
        <v>0.64817384452104099</v>
      </c>
    </row>
    <row r="48" spans="1:10" ht="15" customHeight="1">
      <c r="A48" s="7" t="s">
        <v>140</v>
      </c>
      <c r="B48" s="70">
        <v>1.0442133061587811E-2</v>
      </c>
      <c r="C48" s="5" t="s">
        <v>100</v>
      </c>
      <c r="D48" s="74">
        <v>2.8354203328490257E-2</v>
      </c>
      <c r="E48" s="7" t="s">
        <v>141</v>
      </c>
      <c r="F48" s="76">
        <v>523.86968493095151</v>
      </c>
      <c r="G48" s="67" t="s">
        <v>122</v>
      </c>
      <c r="H48" s="88">
        <v>243.77339792233212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0.9716457724571228</v>
      </c>
      <c r="E49" s="18" t="s">
        <v>143</v>
      </c>
      <c r="F49" s="85">
        <v>1317.1276165673785</v>
      </c>
      <c r="G49" s="68" t="s">
        <v>135</v>
      </c>
      <c r="H49" s="96">
        <v>1012.3724082205523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6.5575250712921709E-2</v>
      </c>
      <c r="I51" s="46" t="s">
        <v>149</v>
      </c>
      <c r="J51" s="40"/>
    </row>
    <row r="52" spans="1:10" ht="15" customHeight="1">
      <c r="A52" s="11" t="s">
        <v>58</v>
      </c>
      <c r="B52" s="71">
        <v>40.549999237060547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202705.7021446462</v>
      </c>
      <c r="I52" s="100" t="s">
        <v>230</v>
      </c>
      <c r="J52" s="64"/>
    </row>
    <row r="53" spans="1:10" ht="15" customHeight="1">
      <c r="A53" s="11" t="s">
        <v>64</v>
      </c>
      <c r="B53" s="71">
        <v>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211.00065463800055</v>
      </c>
      <c r="I53" s="45" t="s">
        <v>154</v>
      </c>
      <c r="J53" s="40"/>
    </row>
    <row r="54" spans="1:10" ht="15" customHeight="1">
      <c r="A54" s="11" t="s">
        <v>66</v>
      </c>
      <c r="B54" s="71">
        <v>5.5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491526.5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399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400</v>
      </c>
      <c r="D58" s="4" t="s">
        <v>119</v>
      </c>
      <c r="E58" s="4" t="s">
        <v>165</v>
      </c>
      <c r="F58" s="17" t="s">
        <v>401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0.25878378748893738</v>
      </c>
      <c r="D59" s="130">
        <v>0.68736839294433594</v>
      </c>
      <c r="E59" s="88">
        <v>75.781419877181705</v>
      </c>
      <c r="F59" s="89">
        <v>548.92425537109375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123.7748326551235</v>
      </c>
      <c r="C60" s="89">
        <v>136.7520751953125</v>
      </c>
      <c r="D60" s="130">
        <v>0.79157894849777222</v>
      </c>
      <c r="E60" s="88">
        <v>75.364406636556851</v>
      </c>
      <c r="F60" s="89">
        <v>553.62530517578125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230</v>
      </c>
      <c r="C61" s="89">
        <v>402.19052124023437</v>
      </c>
      <c r="D61" s="130">
        <v>0.89578944444656372</v>
      </c>
      <c r="E61" s="88">
        <v>75.127626230705431</v>
      </c>
      <c r="F61" s="89">
        <v>557.50726318359375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128.9640926857615</v>
      </c>
      <c r="C62" s="89">
        <v>469.37911987304687</v>
      </c>
      <c r="D62" s="131">
        <v>1</v>
      </c>
      <c r="E62" s="88">
        <v>75</v>
      </c>
      <c r="F62" s="89">
        <v>560.771728515625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101.89908064984033</v>
      </c>
      <c r="C63" s="89">
        <v>489.4566650390625</v>
      </c>
      <c r="D63" s="378"/>
      <c r="E63" s="379"/>
      <c r="F63" s="380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90.101868525324676</v>
      </c>
      <c r="C64" s="89">
        <v>500.27899169921875</v>
      </c>
      <c r="D64" s="381" t="s">
        <v>434</v>
      </c>
      <c r="E64" s="382"/>
      <c r="F64" s="382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82.870072397589141</v>
      </c>
      <c r="C65" s="89">
        <v>515.12158203125</v>
      </c>
      <c r="D65" s="383" t="s">
        <v>418</v>
      </c>
      <c r="E65" s="385" t="s">
        <v>432</v>
      </c>
      <c r="F65" s="386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79.561296477130497</v>
      </c>
      <c r="C66" s="89">
        <v>526.5609130859375</v>
      </c>
      <c r="D66" s="383" t="s">
        <v>415</v>
      </c>
      <c r="E66" s="385" t="s">
        <v>433</v>
      </c>
      <c r="F66" s="386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77.653524299071364</v>
      </c>
      <c r="C67" s="89">
        <v>535.76446533203125</v>
      </c>
      <c r="D67" s="383" t="s">
        <v>422</v>
      </c>
      <c r="E67" s="385" t="s">
        <v>435</v>
      </c>
      <c r="F67" s="386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76.487394001008653</v>
      </c>
      <c r="C68" s="91">
        <v>543.07061767578125</v>
      </c>
      <c r="D68" s="384" t="s">
        <v>423</v>
      </c>
      <c r="E68" s="387" t="s">
        <v>436</v>
      </c>
      <c r="F68" s="387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7" t="s">
        <v>431</v>
      </c>
      <c r="B99" s="377"/>
      <c r="C99" s="377"/>
      <c r="D99" s="377"/>
      <c r="E99" s="377"/>
      <c r="F99" s="377"/>
      <c r="G99" s="377"/>
      <c r="H99" s="377"/>
      <c r="I99" s="377"/>
    </row>
    <row r="100" spans="1:9">
      <c r="A100" s="377">
        <v>100</v>
      </c>
      <c r="B100" s="377"/>
      <c r="C100" s="377"/>
      <c r="D100" s="377"/>
      <c r="E100" s="377"/>
      <c r="F100" s="377"/>
      <c r="G100" s="377"/>
      <c r="H100" s="377"/>
      <c r="I100" s="377"/>
    </row>
    <row r="101" spans="1:9">
      <c r="A101" s="377">
        <v>99.599998474121094</v>
      </c>
      <c r="B101" s="377"/>
      <c r="C101" s="377"/>
      <c r="D101" s="377"/>
      <c r="E101" s="377"/>
      <c r="F101" s="377"/>
      <c r="G101" s="377"/>
      <c r="H101" s="377"/>
      <c r="I101" s="377"/>
    </row>
    <row r="102" spans="1:9">
      <c r="A102" s="377">
        <v>98</v>
      </c>
      <c r="B102" s="377"/>
      <c r="C102" s="377"/>
      <c r="D102" s="377"/>
      <c r="E102" s="377"/>
      <c r="F102" s="377"/>
      <c r="G102" s="377"/>
      <c r="H102" s="377"/>
      <c r="I102" s="377"/>
    </row>
    <row r="103" spans="1:9">
      <c r="A103" s="377">
        <v>83.852630615234375</v>
      </c>
      <c r="B103" s="377"/>
      <c r="C103" s="377"/>
      <c r="D103" s="377"/>
      <c r="E103" s="377"/>
      <c r="F103" s="377"/>
      <c r="G103" s="377"/>
      <c r="H103" s="377"/>
      <c r="I103" s="377"/>
    </row>
    <row r="104" spans="1:9">
      <c r="A104" s="377">
        <v>70.305259704589844</v>
      </c>
      <c r="B104" s="377"/>
      <c r="C104" s="377"/>
      <c r="D104" s="377"/>
      <c r="E104" s="377"/>
      <c r="F104" s="377"/>
      <c r="G104" s="377"/>
      <c r="H104" s="377"/>
      <c r="I104" s="377"/>
    </row>
    <row r="105" spans="1:9">
      <c r="A105" s="377">
        <v>57.410526275634766</v>
      </c>
      <c r="B105" s="377"/>
      <c r="C105" s="377"/>
      <c r="D105" s="377"/>
      <c r="E105" s="377"/>
      <c r="F105" s="377"/>
      <c r="G105" s="377"/>
      <c r="H105" s="377"/>
      <c r="I105" s="377"/>
    </row>
    <row r="106" spans="1:9">
      <c r="A106" s="377">
        <v>38.010524749755859</v>
      </c>
      <c r="B106" s="377"/>
      <c r="C106" s="377"/>
      <c r="D106" s="377"/>
      <c r="E106" s="377"/>
      <c r="F106" s="377"/>
      <c r="G106" s="377"/>
      <c r="H106" s="377"/>
      <c r="I106" s="377"/>
    </row>
    <row r="107" spans="1:9">
      <c r="A107" s="377">
        <v>24.778947830200195</v>
      </c>
      <c r="B107" s="377"/>
      <c r="C107" s="377"/>
      <c r="D107" s="377"/>
      <c r="E107" s="377"/>
      <c r="F107" s="377"/>
      <c r="G107" s="377"/>
      <c r="H107" s="377"/>
      <c r="I107" s="377"/>
    </row>
    <row r="108" spans="1:9">
      <c r="A108" s="377">
        <v>15.684209823608398</v>
      </c>
      <c r="B108" s="377"/>
      <c r="C108" s="377"/>
      <c r="D108" s="377"/>
      <c r="E108" s="377"/>
      <c r="F108" s="377"/>
      <c r="G108" s="377"/>
      <c r="H108" s="377"/>
      <c r="I108" s="377"/>
    </row>
    <row r="109" spans="1:9">
      <c r="A109" s="377">
        <v>9.0105257034301758</v>
      </c>
      <c r="B109" s="377"/>
      <c r="C109" s="377"/>
      <c r="D109" s="377"/>
      <c r="E109" s="377"/>
      <c r="F109" s="377"/>
      <c r="G109" s="377"/>
      <c r="H109" s="377"/>
      <c r="I109" s="377"/>
    </row>
    <row r="110" spans="1:9">
      <c r="A110" s="377">
        <v>6.2526321411132813</v>
      </c>
      <c r="B110" s="377"/>
      <c r="C110" s="377"/>
      <c r="D110" s="377"/>
      <c r="E110" s="377"/>
      <c r="F110" s="377"/>
      <c r="G110" s="377"/>
      <c r="H110" s="377"/>
      <c r="I110" s="377"/>
    </row>
    <row r="111" spans="1:9">
      <c r="A111" s="377">
        <v>7.8315787315368652</v>
      </c>
      <c r="B111" s="377"/>
      <c r="C111" s="377"/>
      <c r="D111" s="377"/>
      <c r="E111" s="377"/>
      <c r="F111" s="377"/>
      <c r="G111" s="377"/>
      <c r="H111" s="377"/>
      <c r="I111" s="377"/>
    </row>
    <row r="112" spans="1:9">
      <c r="A112" s="377">
        <v>14.70526123046875</v>
      </c>
      <c r="B112" s="377"/>
      <c r="C112" s="377"/>
      <c r="D112" s="377"/>
      <c r="E112" s="377"/>
      <c r="F112" s="377"/>
      <c r="G112" s="377"/>
      <c r="H112" s="377"/>
      <c r="I112" s="377"/>
    </row>
    <row r="113" spans="1:9">
      <c r="A113" s="377">
        <v>30</v>
      </c>
      <c r="B113" s="377"/>
      <c r="C113" s="377"/>
      <c r="D113" s="377"/>
      <c r="E113" s="377"/>
      <c r="F113" s="377"/>
      <c r="G113" s="377"/>
      <c r="H113" s="377"/>
      <c r="I113" s="377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3" workbookViewId="0">
      <selection activeCell="K35" sqref="K35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8.285156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26" t="s">
        <v>252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</row>
    <row r="2" spans="1:26" ht="20.25" customHeight="1">
      <c r="A2" s="627" t="s">
        <v>253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254</v>
      </c>
      <c r="J3" s="628" t="s">
        <v>754</v>
      </c>
      <c r="K3" s="628"/>
    </row>
    <row r="4" spans="1:26" s="167" customFormat="1" ht="18.399999999999999" customHeight="1" thickBot="1">
      <c r="A4" s="159" t="s">
        <v>753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29" t="s">
        <v>257</v>
      </c>
      <c r="B5" s="630"/>
      <c r="C5" s="630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1" t="s">
        <v>67</v>
      </c>
      <c r="B6" s="632"/>
      <c r="C6" s="632"/>
      <c r="D6" s="633" t="s">
        <v>266</v>
      </c>
      <c r="E6" s="634"/>
      <c r="F6" s="564" t="s">
        <v>264</v>
      </c>
      <c r="G6" s="565"/>
      <c r="H6" s="565"/>
      <c r="I6" s="565"/>
      <c r="J6" s="565"/>
      <c r="K6" s="566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2" t="s">
        <v>20</v>
      </c>
      <c r="B7" s="623"/>
      <c r="C7" s="623"/>
      <c r="D7" s="624">
        <v>3.3099999427795401</v>
      </c>
      <c r="E7" s="625"/>
      <c r="F7" s="178" t="s">
        <v>267</v>
      </c>
      <c r="G7" s="179"/>
      <c r="H7" s="180"/>
      <c r="I7" s="181"/>
      <c r="J7" s="182">
        <v>71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2" t="s">
        <v>269</v>
      </c>
      <c r="B8" s="623"/>
      <c r="C8" s="623"/>
      <c r="D8" s="608">
        <v>920</v>
      </c>
      <c r="E8" s="604"/>
      <c r="F8" s="184" t="s">
        <v>270</v>
      </c>
      <c r="G8" s="185"/>
      <c r="H8" s="186"/>
      <c r="I8" s="187"/>
      <c r="J8" s="188">
        <v>20491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17" t="s">
        <v>273</v>
      </c>
      <c r="B9" s="618"/>
      <c r="C9" s="619"/>
      <c r="D9" s="608">
        <v>11</v>
      </c>
      <c r="E9" s="604"/>
      <c r="F9" s="178" t="s">
        <v>274</v>
      </c>
      <c r="G9" s="179"/>
      <c r="H9" s="190">
        <v>3</v>
      </c>
      <c r="I9" s="191" t="s">
        <v>275</v>
      </c>
      <c r="J9" s="192">
        <v>425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17" t="s">
        <v>278</v>
      </c>
      <c r="B10" s="618"/>
      <c r="C10" s="619"/>
      <c r="D10" s="591" t="s">
        <v>184</v>
      </c>
      <c r="E10" s="592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17" t="s">
        <v>282</v>
      </c>
      <c r="B11" s="618"/>
      <c r="C11" s="619"/>
      <c r="D11" s="586" t="s">
        <v>185</v>
      </c>
      <c r="E11" s="587"/>
      <c r="F11" s="195" t="s">
        <v>283</v>
      </c>
      <c r="G11" s="196"/>
      <c r="H11" s="197">
        <v>3</v>
      </c>
      <c r="I11" s="191" t="s">
        <v>275</v>
      </c>
      <c r="J11" s="198">
        <v>115006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20" t="s">
        <v>174</v>
      </c>
      <c r="E12" s="621"/>
      <c r="F12" s="588" t="s">
        <v>286</v>
      </c>
      <c r="G12" s="589"/>
      <c r="H12" s="589"/>
      <c r="I12" s="589"/>
      <c r="J12" s="589"/>
      <c r="K12" s="590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17" t="s">
        <v>53</v>
      </c>
      <c r="B13" s="618"/>
      <c r="C13" s="619"/>
      <c r="D13" s="611" t="s">
        <v>365</v>
      </c>
      <c r="E13" s="612"/>
      <c r="F13" s="203"/>
      <c r="G13" s="204" t="s">
        <v>287</v>
      </c>
      <c r="H13" s="205"/>
      <c r="I13" s="206" t="s">
        <v>288</v>
      </c>
      <c r="J13" s="207" t="s">
        <v>398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17" t="s">
        <v>56</v>
      </c>
      <c r="B14" s="618"/>
      <c r="C14" s="619"/>
      <c r="D14" s="620">
        <v>1641</v>
      </c>
      <c r="E14" s="621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5" t="s">
        <v>289</v>
      </c>
      <c r="B15" s="606"/>
      <c r="C15" s="607"/>
      <c r="D15" s="584">
        <v>17.099201202392578</v>
      </c>
      <c r="E15" s="585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1" t="s">
        <v>291</v>
      </c>
      <c r="B16" s="582"/>
      <c r="C16" s="583"/>
      <c r="D16" s="584">
        <v>3.8017997741699219</v>
      </c>
      <c r="E16" s="585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86" t="s">
        <v>364</v>
      </c>
      <c r="E17" s="587"/>
      <c r="F17" s="588" t="s">
        <v>293</v>
      </c>
      <c r="G17" s="589"/>
      <c r="H17" s="589"/>
      <c r="I17" s="589"/>
      <c r="J17" s="589"/>
      <c r="K17" s="590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1" t="s">
        <v>174</v>
      </c>
      <c r="E18" s="592"/>
      <c r="F18" s="593"/>
      <c r="G18" s="594"/>
      <c r="H18" s="219" t="s">
        <v>295</v>
      </c>
      <c r="I18" s="220"/>
      <c r="J18" s="188">
        <v>311</v>
      </c>
      <c r="K18" s="189"/>
      <c r="L18" s="163"/>
      <c r="M18" s="163">
        <f>J18*6.5</f>
        <v>2021.5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599" t="s">
        <v>296</v>
      </c>
      <c r="B19" s="600"/>
      <c r="C19" s="601"/>
      <c r="D19" s="602" t="s">
        <v>174</v>
      </c>
      <c r="E19" s="587"/>
      <c r="F19" s="595"/>
      <c r="G19" s="596"/>
      <c r="H19" s="219" t="s">
        <v>5</v>
      </c>
      <c r="I19" s="181"/>
      <c r="J19" s="188">
        <v>1784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03" t="s">
        <v>183</v>
      </c>
      <c r="E20" s="604"/>
      <c r="F20" s="595"/>
      <c r="G20" s="596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5" t="s">
        <v>299</v>
      </c>
      <c r="B21" s="606"/>
      <c r="C21" s="607"/>
      <c r="D21" s="608" t="s">
        <v>174</v>
      </c>
      <c r="E21" s="604"/>
      <c r="F21" s="595"/>
      <c r="G21" s="596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09">
        <v>3.9E-2</v>
      </c>
      <c r="E22" s="610"/>
      <c r="F22" s="595"/>
      <c r="G22" s="596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1">
        <v>610</v>
      </c>
      <c r="E23" s="612"/>
      <c r="F23" s="595"/>
      <c r="G23" s="596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3">
        <v>685</v>
      </c>
      <c r="E24" s="614"/>
      <c r="F24" s="595"/>
      <c r="G24" s="596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595"/>
      <c r="G25" s="596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367</v>
      </c>
      <c r="E26" s="246" t="s">
        <v>368</v>
      </c>
      <c r="F26" s="597"/>
      <c r="G26" s="598"/>
      <c r="H26" s="615"/>
      <c r="I26" s="616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2" t="s">
        <v>316</v>
      </c>
      <c r="B27" s="563"/>
      <c r="C27" s="563"/>
      <c r="D27" s="563"/>
      <c r="E27" s="563"/>
      <c r="F27" s="564" t="s">
        <v>317</v>
      </c>
      <c r="G27" s="565"/>
      <c r="H27" s="565"/>
      <c r="I27" s="565"/>
      <c r="J27" s="565"/>
      <c r="K27" s="566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69"/>
      <c r="B28" s="570"/>
      <c r="C28" s="570"/>
      <c r="D28" s="570"/>
      <c r="E28" s="571"/>
      <c r="F28" s="249"/>
      <c r="G28" s="250"/>
      <c r="H28" s="209" t="s">
        <v>318</v>
      </c>
      <c r="I28" s="251" t="s">
        <v>366</v>
      </c>
      <c r="J28" s="188">
        <v>1744</v>
      </c>
      <c r="K28" s="252" t="s">
        <v>174</v>
      </c>
      <c r="M28" s="167">
        <f>(J28/J18)*100</f>
        <v>560.77170418006426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69"/>
      <c r="B29" s="570"/>
      <c r="C29" s="570"/>
      <c r="D29" s="570"/>
      <c r="E29" s="571"/>
      <c r="F29" s="254"/>
      <c r="G29" s="255"/>
      <c r="H29" s="209" t="s">
        <v>319</v>
      </c>
      <c r="I29" s="256">
        <v>60</v>
      </c>
      <c r="J29" s="188">
        <v>77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69"/>
      <c r="B30" s="570"/>
      <c r="C30" s="570"/>
      <c r="D30" s="570"/>
      <c r="E30" s="571"/>
      <c r="F30" s="254"/>
      <c r="G30" s="255"/>
      <c r="H30" s="209" t="s">
        <v>320</v>
      </c>
      <c r="I30" s="256">
        <v>175</v>
      </c>
      <c r="J30" s="188">
        <v>234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69"/>
      <c r="B31" s="570"/>
      <c r="C31" s="570"/>
      <c r="D31" s="570"/>
      <c r="E31" s="571"/>
      <c r="F31" s="254"/>
      <c r="G31" s="255"/>
      <c r="H31" s="209" t="s">
        <v>321</v>
      </c>
      <c r="I31" s="210"/>
      <c r="J31" s="259">
        <v>0.86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2"/>
      <c r="B32" s="573"/>
      <c r="C32" s="573"/>
      <c r="D32" s="573"/>
      <c r="E32" s="574"/>
      <c r="F32" s="254"/>
      <c r="G32" s="260" t="s">
        <v>322</v>
      </c>
      <c r="H32" s="209" t="s">
        <v>323</v>
      </c>
      <c r="I32" s="261"/>
      <c r="J32" s="182">
        <v>96.2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62" t="s">
        <v>324</v>
      </c>
      <c r="B33" s="563"/>
      <c r="C33" s="563"/>
      <c r="D33" s="563"/>
      <c r="E33" s="575"/>
      <c r="F33" s="263"/>
      <c r="G33" s="264"/>
      <c r="H33" s="265" t="s">
        <v>325</v>
      </c>
      <c r="I33" s="266"/>
      <c r="J33" s="267">
        <v>89.8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69"/>
      <c r="B34" s="570"/>
      <c r="C34" s="570"/>
      <c r="D34" s="570"/>
      <c r="E34" s="571"/>
      <c r="F34" s="184" t="s">
        <v>326</v>
      </c>
      <c r="G34" s="269"/>
      <c r="H34" s="270" t="s">
        <v>14</v>
      </c>
      <c r="I34" s="271"/>
      <c r="J34" s="272">
        <v>13213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69"/>
      <c r="B35" s="570"/>
      <c r="C35" s="570"/>
      <c r="D35" s="570"/>
      <c r="E35" s="571"/>
      <c r="F35" s="203"/>
      <c r="G35" s="276"/>
      <c r="H35" s="277" t="s">
        <v>15</v>
      </c>
      <c r="I35" s="278"/>
      <c r="J35" s="188">
        <v>16458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69"/>
      <c r="B36" s="570"/>
      <c r="C36" s="570"/>
      <c r="D36" s="570"/>
      <c r="E36" s="571"/>
      <c r="F36" s="203"/>
      <c r="G36" s="276"/>
      <c r="H36" s="277" t="s">
        <v>327</v>
      </c>
      <c r="I36" s="278"/>
      <c r="J36" s="188">
        <v>9806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69"/>
      <c r="B37" s="570"/>
      <c r="C37" s="570"/>
      <c r="D37" s="570"/>
      <c r="E37" s="571"/>
      <c r="F37" s="254"/>
      <c r="G37" s="276"/>
      <c r="H37" s="277" t="s">
        <v>755</v>
      </c>
      <c r="I37" s="278"/>
      <c r="J37" s="188">
        <v>10768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2"/>
      <c r="B38" s="573"/>
      <c r="C38" s="573"/>
      <c r="D38" s="573"/>
      <c r="E38" s="574"/>
      <c r="F38" s="211"/>
      <c r="G38" s="280"/>
      <c r="H38" s="281" t="s">
        <v>328</v>
      </c>
      <c r="I38" s="282"/>
      <c r="J38" s="283">
        <v>23503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62" t="s">
        <v>329</v>
      </c>
      <c r="B39" s="563"/>
      <c r="C39" s="563"/>
      <c r="D39" s="563"/>
      <c r="E39" s="563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69"/>
      <c r="B40" s="570"/>
      <c r="C40" s="570"/>
      <c r="D40" s="570"/>
      <c r="E40" s="571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69"/>
      <c r="B41" s="570"/>
      <c r="C41" s="570"/>
      <c r="D41" s="570"/>
      <c r="E41" s="571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69"/>
      <c r="B42" s="570"/>
      <c r="C42" s="570"/>
      <c r="D42" s="570"/>
      <c r="E42" s="571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69"/>
      <c r="B43" s="570"/>
      <c r="C43" s="570"/>
      <c r="D43" s="570"/>
      <c r="E43" s="571"/>
      <c r="F43" s="288"/>
      <c r="G43" s="560" t="s">
        <v>749</v>
      </c>
      <c r="H43" s="560"/>
      <c r="I43" s="560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76"/>
      <c r="B44" s="577"/>
      <c r="C44" s="577"/>
      <c r="D44" s="577"/>
      <c r="E44" s="578"/>
      <c r="F44" s="288"/>
      <c r="G44" s="560" t="s">
        <v>751</v>
      </c>
      <c r="H44" s="560"/>
      <c r="I44" s="560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579"/>
      <c r="C45" s="580"/>
      <c r="D45" s="295" t="s">
        <v>332</v>
      </c>
      <c r="E45" s="296" t="s">
        <v>333</v>
      </c>
      <c r="F45" s="297"/>
      <c r="G45" s="560"/>
      <c r="H45" s="560"/>
      <c r="I45" s="560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567"/>
      <c r="C46" s="568"/>
      <c r="D46" s="299" t="s">
        <v>334</v>
      </c>
      <c r="E46" s="300">
        <v>41982</v>
      </c>
      <c r="F46" s="301"/>
      <c r="G46" s="561" t="s">
        <v>750</v>
      </c>
      <c r="H46" s="561"/>
      <c r="I46" s="561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59" t="s">
        <v>338</v>
      </c>
      <c r="C2" s="660"/>
      <c r="D2" s="660"/>
      <c r="E2" s="660"/>
      <c r="F2" s="660"/>
      <c r="G2" s="660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59"/>
      <c r="C3" s="660"/>
      <c r="D3" s="660"/>
      <c r="E3" s="660"/>
      <c r="F3" s="660"/>
      <c r="G3" s="660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59"/>
      <c r="C4" s="660"/>
      <c r="D4" s="660"/>
      <c r="E4" s="660"/>
      <c r="F4" s="660"/>
      <c r="G4" s="660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1" t="s">
        <v>360</v>
      </c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</row>
    <row r="54" spans="2:14" ht="15" customHeight="1" thickBot="1">
      <c r="B54" s="336" t="s">
        <v>361</v>
      </c>
      <c r="C54" s="662" t="s">
        <v>358</v>
      </c>
      <c r="D54" s="663"/>
      <c r="E54" s="663"/>
      <c r="F54" s="663"/>
      <c r="G54" s="663"/>
      <c r="H54" s="337"/>
      <c r="I54" s="662" t="s">
        <v>353</v>
      </c>
      <c r="J54" s="663"/>
      <c r="K54" s="664"/>
      <c r="L54" s="662" t="s">
        <v>362</v>
      </c>
      <c r="M54" s="663"/>
      <c r="N54" s="665"/>
    </row>
    <row r="55" spans="2:14" ht="15" customHeight="1">
      <c r="B55" s="338"/>
      <c r="C55" s="651"/>
      <c r="D55" s="652"/>
      <c r="E55" s="652"/>
      <c r="F55" s="652"/>
      <c r="G55" s="652"/>
      <c r="H55" s="339"/>
      <c r="I55" s="653"/>
      <c r="J55" s="654"/>
      <c r="K55" s="655"/>
      <c r="L55" s="656"/>
      <c r="M55" s="657"/>
      <c r="N55" s="658"/>
    </row>
    <row r="56" spans="2:14" ht="15" customHeight="1">
      <c r="B56" s="340"/>
      <c r="C56" s="635"/>
      <c r="D56" s="636"/>
      <c r="E56" s="636"/>
      <c r="F56" s="636"/>
      <c r="G56" s="636"/>
      <c r="H56" s="341"/>
      <c r="I56" s="637"/>
      <c r="J56" s="638"/>
      <c r="K56" s="639"/>
      <c r="L56" s="640"/>
      <c r="M56" s="641"/>
      <c r="N56" s="642"/>
    </row>
    <row r="57" spans="2:14" ht="15" customHeight="1">
      <c r="B57" s="340"/>
      <c r="C57" s="635"/>
      <c r="D57" s="636"/>
      <c r="E57" s="636"/>
      <c r="F57" s="636"/>
      <c r="G57" s="636"/>
      <c r="H57" s="341"/>
      <c r="I57" s="637"/>
      <c r="J57" s="638"/>
      <c r="K57" s="639"/>
      <c r="L57" s="640"/>
      <c r="M57" s="641"/>
      <c r="N57" s="642"/>
    </row>
    <row r="58" spans="2:14" ht="15" customHeight="1">
      <c r="B58" s="340"/>
      <c r="C58" s="635"/>
      <c r="D58" s="636"/>
      <c r="E58" s="636"/>
      <c r="F58" s="636"/>
      <c r="G58" s="636"/>
      <c r="H58" s="341"/>
      <c r="I58" s="637"/>
      <c r="J58" s="638"/>
      <c r="K58" s="639"/>
      <c r="L58" s="640"/>
      <c r="M58" s="641"/>
      <c r="N58" s="642"/>
    </row>
    <row r="59" spans="2:14" ht="15" customHeight="1">
      <c r="B59" s="340"/>
      <c r="C59" s="635"/>
      <c r="D59" s="636"/>
      <c r="E59" s="636"/>
      <c r="F59" s="636"/>
      <c r="G59" s="636"/>
      <c r="H59" s="341"/>
      <c r="I59" s="637"/>
      <c r="J59" s="638"/>
      <c r="K59" s="639"/>
      <c r="L59" s="640"/>
      <c r="M59" s="641"/>
      <c r="N59" s="642"/>
    </row>
    <row r="60" spans="2:14" ht="15" customHeight="1">
      <c r="B60" s="340"/>
      <c r="C60" s="635"/>
      <c r="D60" s="636"/>
      <c r="E60" s="636"/>
      <c r="F60" s="636"/>
      <c r="G60" s="636"/>
      <c r="H60" s="341"/>
      <c r="I60" s="637"/>
      <c r="J60" s="638"/>
      <c r="K60" s="639"/>
      <c r="L60" s="640"/>
      <c r="M60" s="641"/>
      <c r="N60" s="642"/>
    </row>
    <row r="61" spans="2:14" ht="15" customHeight="1">
      <c r="B61" s="340"/>
      <c r="C61" s="635"/>
      <c r="D61" s="636"/>
      <c r="E61" s="636"/>
      <c r="F61" s="636"/>
      <c r="G61" s="636"/>
      <c r="H61" s="341"/>
      <c r="I61" s="637"/>
      <c r="J61" s="638"/>
      <c r="K61" s="639"/>
      <c r="L61" s="640"/>
      <c r="M61" s="641"/>
      <c r="N61" s="642"/>
    </row>
    <row r="62" spans="2:14" ht="15" customHeight="1">
      <c r="B62" s="340"/>
      <c r="C62" s="635"/>
      <c r="D62" s="636"/>
      <c r="E62" s="636"/>
      <c r="F62" s="636"/>
      <c r="G62" s="636"/>
      <c r="H62" s="341"/>
      <c r="I62" s="637"/>
      <c r="J62" s="638"/>
      <c r="K62" s="639"/>
      <c r="L62" s="640"/>
      <c r="M62" s="641"/>
      <c r="N62" s="642"/>
    </row>
    <row r="63" spans="2:14" ht="15" customHeight="1">
      <c r="B63" s="340"/>
      <c r="C63" s="635"/>
      <c r="D63" s="636"/>
      <c r="E63" s="636"/>
      <c r="F63" s="636"/>
      <c r="G63" s="636"/>
      <c r="H63" s="341"/>
      <c r="I63" s="637"/>
      <c r="J63" s="638"/>
      <c r="K63" s="639"/>
      <c r="L63" s="640"/>
      <c r="M63" s="641"/>
      <c r="N63" s="642"/>
    </row>
    <row r="64" spans="2:14" ht="15" customHeight="1">
      <c r="B64" s="340"/>
      <c r="C64" s="635"/>
      <c r="D64" s="636"/>
      <c r="E64" s="636"/>
      <c r="F64" s="636"/>
      <c r="G64" s="636"/>
      <c r="H64" s="341"/>
      <c r="I64" s="637"/>
      <c r="J64" s="638"/>
      <c r="K64" s="639"/>
      <c r="L64" s="640"/>
      <c r="M64" s="641"/>
      <c r="N64" s="642"/>
    </row>
    <row r="65" spans="2:14" ht="15" customHeight="1">
      <c r="B65" s="340"/>
      <c r="C65" s="635"/>
      <c r="D65" s="636"/>
      <c r="E65" s="636"/>
      <c r="F65" s="636"/>
      <c r="G65" s="636"/>
      <c r="H65" s="341"/>
      <c r="I65" s="637"/>
      <c r="J65" s="638"/>
      <c r="K65" s="639"/>
      <c r="L65" s="640"/>
      <c r="M65" s="641"/>
      <c r="N65" s="642"/>
    </row>
    <row r="66" spans="2:14" ht="15" customHeight="1">
      <c r="B66" s="340"/>
      <c r="C66" s="635"/>
      <c r="D66" s="636"/>
      <c r="E66" s="636"/>
      <c r="F66" s="636"/>
      <c r="G66" s="636"/>
      <c r="H66" s="341"/>
      <c r="I66" s="637"/>
      <c r="J66" s="638"/>
      <c r="K66" s="639"/>
      <c r="L66" s="640"/>
      <c r="M66" s="641"/>
      <c r="N66" s="642"/>
    </row>
    <row r="67" spans="2:14" ht="15" customHeight="1">
      <c r="B67" s="340"/>
      <c r="C67" s="635"/>
      <c r="D67" s="636"/>
      <c r="E67" s="636"/>
      <c r="F67" s="636"/>
      <c r="G67" s="636"/>
      <c r="H67" s="341"/>
      <c r="I67" s="637"/>
      <c r="J67" s="638"/>
      <c r="K67" s="639"/>
      <c r="L67" s="640"/>
      <c r="M67" s="641"/>
      <c r="N67" s="642"/>
    </row>
    <row r="68" spans="2:14" ht="15" customHeight="1">
      <c r="B68" s="340"/>
      <c r="C68" s="635"/>
      <c r="D68" s="636"/>
      <c r="E68" s="636"/>
      <c r="F68" s="636"/>
      <c r="G68" s="636"/>
      <c r="H68" s="341"/>
      <c r="I68" s="637"/>
      <c r="J68" s="638"/>
      <c r="K68" s="639"/>
      <c r="L68" s="640"/>
      <c r="M68" s="641"/>
      <c r="N68" s="642"/>
    </row>
    <row r="69" spans="2:14" ht="15" customHeight="1">
      <c r="B69" s="340"/>
      <c r="C69" s="635"/>
      <c r="D69" s="636"/>
      <c r="E69" s="636"/>
      <c r="F69" s="636"/>
      <c r="G69" s="636"/>
      <c r="H69" s="341"/>
      <c r="I69" s="637"/>
      <c r="J69" s="638"/>
      <c r="K69" s="639"/>
      <c r="L69" s="640"/>
      <c r="M69" s="641"/>
      <c r="N69" s="642"/>
    </row>
    <row r="70" spans="2:14" ht="15" customHeight="1">
      <c r="B70" s="340"/>
      <c r="C70" s="635"/>
      <c r="D70" s="636"/>
      <c r="E70" s="636"/>
      <c r="F70" s="636"/>
      <c r="G70" s="636"/>
      <c r="H70" s="341"/>
      <c r="I70" s="637"/>
      <c r="J70" s="638"/>
      <c r="K70" s="639"/>
      <c r="L70" s="640"/>
      <c r="M70" s="641"/>
      <c r="N70" s="642"/>
    </row>
    <row r="71" spans="2:14" ht="15" customHeight="1">
      <c r="B71" s="340"/>
      <c r="C71" s="635"/>
      <c r="D71" s="636"/>
      <c r="E71" s="636"/>
      <c r="F71" s="636"/>
      <c r="G71" s="636"/>
      <c r="H71" s="341"/>
      <c r="I71" s="637"/>
      <c r="J71" s="638"/>
      <c r="K71" s="639"/>
      <c r="L71" s="640"/>
      <c r="M71" s="641"/>
      <c r="N71" s="642"/>
    </row>
    <row r="72" spans="2:14">
      <c r="B72" s="340"/>
      <c r="C72" s="635"/>
      <c r="D72" s="636"/>
      <c r="E72" s="636"/>
      <c r="F72" s="636"/>
      <c r="G72" s="636"/>
      <c r="H72" s="341"/>
      <c r="I72" s="637"/>
      <c r="J72" s="638"/>
      <c r="K72" s="639"/>
      <c r="L72" s="640"/>
      <c r="M72" s="641"/>
      <c r="N72" s="642"/>
    </row>
    <row r="73" spans="2:14">
      <c r="B73" s="340"/>
      <c r="C73" s="635"/>
      <c r="D73" s="636"/>
      <c r="E73" s="636"/>
      <c r="F73" s="636"/>
      <c r="G73" s="636"/>
      <c r="H73" s="341"/>
      <c r="I73" s="637"/>
      <c r="J73" s="638"/>
      <c r="K73" s="639"/>
      <c r="L73" s="640"/>
      <c r="M73" s="641"/>
      <c r="N73" s="642"/>
    </row>
    <row r="74" spans="2:14">
      <c r="B74" s="340"/>
      <c r="C74" s="635"/>
      <c r="D74" s="636"/>
      <c r="E74" s="636"/>
      <c r="F74" s="636"/>
      <c r="G74" s="636"/>
      <c r="H74" s="341"/>
      <c r="I74" s="637"/>
      <c r="J74" s="638"/>
      <c r="K74" s="639"/>
      <c r="L74" s="640"/>
      <c r="M74" s="641"/>
      <c r="N74" s="642"/>
    </row>
    <row r="75" spans="2:14">
      <c r="B75" s="340"/>
      <c r="C75" s="635"/>
      <c r="D75" s="636"/>
      <c r="E75" s="636"/>
      <c r="F75" s="636"/>
      <c r="G75" s="636"/>
      <c r="H75" s="341"/>
      <c r="I75" s="637"/>
      <c r="J75" s="638"/>
      <c r="K75" s="639"/>
      <c r="L75" s="640"/>
      <c r="M75" s="641"/>
      <c r="N75" s="642"/>
    </row>
    <row r="76" spans="2:14">
      <c r="B76" s="340"/>
      <c r="C76" s="635"/>
      <c r="D76" s="636"/>
      <c r="E76" s="636"/>
      <c r="F76" s="636"/>
      <c r="G76" s="636"/>
      <c r="H76" s="341"/>
      <c r="I76" s="637"/>
      <c r="J76" s="638"/>
      <c r="K76" s="639"/>
      <c r="L76" s="640"/>
      <c r="M76" s="641"/>
      <c r="N76" s="642"/>
    </row>
    <row r="77" spans="2:14">
      <c r="B77" s="340"/>
      <c r="C77" s="635"/>
      <c r="D77" s="636"/>
      <c r="E77" s="636"/>
      <c r="F77" s="636"/>
      <c r="G77" s="636"/>
      <c r="H77" s="341"/>
      <c r="I77" s="637"/>
      <c r="J77" s="638"/>
      <c r="K77" s="639"/>
      <c r="L77" s="640"/>
      <c r="M77" s="641"/>
      <c r="N77" s="642"/>
    </row>
    <row r="78" spans="2:14">
      <c r="B78" s="340"/>
      <c r="C78" s="635"/>
      <c r="D78" s="636"/>
      <c r="E78" s="636"/>
      <c r="F78" s="636"/>
      <c r="G78" s="636"/>
      <c r="H78" s="341"/>
      <c r="I78" s="637"/>
      <c r="J78" s="638"/>
      <c r="K78" s="639"/>
      <c r="L78" s="640"/>
      <c r="M78" s="641"/>
      <c r="N78" s="642"/>
    </row>
    <row r="79" spans="2:14" ht="13.5" thickBot="1">
      <c r="B79" s="342"/>
      <c r="C79" s="643"/>
      <c r="D79" s="644"/>
      <c r="E79" s="644"/>
      <c r="F79" s="644"/>
      <c r="G79" s="644"/>
      <c r="H79" s="343"/>
      <c r="I79" s="645"/>
      <c r="J79" s="646"/>
      <c r="K79" s="647"/>
      <c r="L79" s="648"/>
      <c r="M79" s="649"/>
      <c r="N79" s="650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37" sqref="B37"/>
    </sheetView>
  </sheetViews>
  <sheetFormatPr defaultRowHeight="12.75"/>
  <cols>
    <col min="1" max="6" width="14.7109375" customWidth="1"/>
  </cols>
  <sheetData>
    <row r="1" spans="1:7" ht="20.25">
      <c r="A1" s="686" t="s">
        <v>369</v>
      </c>
      <c r="B1" s="686"/>
      <c r="C1" s="686"/>
      <c r="D1" s="686"/>
      <c r="E1" s="686"/>
      <c r="F1" s="686"/>
    </row>
    <row r="2" spans="1:7" ht="19.5" thickBot="1">
      <c r="A2" s="344"/>
      <c r="B2" s="344"/>
      <c r="C2" s="687" t="s">
        <v>381</v>
      </c>
      <c r="D2" s="687"/>
      <c r="E2" s="344"/>
      <c r="F2" s="344"/>
      <c r="G2" s="344"/>
    </row>
    <row r="3" spans="1:7" ht="19.5">
      <c r="A3" s="674" t="s">
        <v>370</v>
      </c>
      <c r="B3" s="675"/>
      <c r="C3" s="676"/>
      <c r="D3" s="674" t="s">
        <v>371</v>
      </c>
      <c r="E3" s="675"/>
      <c r="F3" s="676"/>
      <c r="G3" s="344"/>
    </row>
    <row r="4" spans="1:7" ht="15.75">
      <c r="A4" s="345" t="s">
        <v>382</v>
      </c>
      <c r="B4" s="688" t="s">
        <v>384</v>
      </c>
      <c r="C4" s="681"/>
      <c r="D4" s="689" t="s">
        <v>385</v>
      </c>
      <c r="E4" s="690"/>
      <c r="F4" s="691"/>
      <c r="G4" s="344"/>
    </row>
    <row r="5" spans="1:7" ht="16.5" thickBot="1">
      <c r="A5" s="346" t="s">
        <v>383</v>
      </c>
      <c r="B5" s="669" t="s">
        <v>383</v>
      </c>
      <c r="C5" s="670"/>
      <c r="D5" s="671" t="s">
        <v>386</v>
      </c>
      <c r="E5" s="672"/>
      <c r="F5" s="673"/>
      <c r="G5" s="344"/>
    </row>
    <row r="6" spans="1:7" ht="19.5">
      <c r="A6" s="674" t="s">
        <v>372</v>
      </c>
      <c r="B6" s="675"/>
      <c r="C6" s="675"/>
      <c r="D6" s="675"/>
      <c r="E6" s="675"/>
      <c r="F6" s="676"/>
      <c r="G6" s="344"/>
    </row>
    <row r="7" spans="1:7" ht="15.75">
      <c r="A7" s="347" t="s">
        <v>373</v>
      </c>
      <c r="B7" s="348" t="s">
        <v>387</v>
      </c>
      <c r="C7" s="349" t="s">
        <v>374</v>
      </c>
      <c r="D7" s="350" t="s">
        <v>388</v>
      </c>
      <c r="E7" s="677" t="s">
        <v>375</v>
      </c>
      <c r="F7" s="678"/>
      <c r="G7" s="344"/>
    </row>
    <row r="8" spans="1:7" ht="16.5" thickBot="1">
      <c r="A8" s="351"/>
      <c r="B8" s="352" t="s">
        <v>383</v>
      </c>
      <c r="C8" s="353"/>
      <c r="D8" s="354" t="s">
        <v>383</v>
      </c>
      <c r="E8" s="679" t="s">
        <v>389</v>
      </c>
      <c r="F8" s="673"/>
      <c r="G8" s="344"/>
    </row>
    <row r="9" spans="1:7" ht="19.5">
      <c r="A9" s="674" t="s">
        <v>376</v>
      </c>
      <c r="B9" s="675"/>
      <c r="C9" s="676"/>
      <c r="D9" s="674" t="s">
        <v>377</v>
      </c>
      <c r="E9" s="675"/>
      <c r="F9" s="676"/>
      <c r="G9" s="344"/>
    </row>
    <row r="10" spans="1:7" ht="15.75">
      <c r="A10" s="355" t="s">
        <v>378</v>
      </c>
      <c r="B10" s="680" t="s">
        <v>390</v>
      </c>
      <c r="C10" s="681"/>
      <c r="D10" s="682" t="s">
        <v>392</v>
      </c>
      <c r="E10" s="683"/>
      <c r="F10" s="356" t="s">
        <v>394</v>
      </c>
      <c r="G10" s="344"/>
    </row>
    <row r="11" spans="1:7" ht="16.5" thickBot="1">
      <c r="A11" s="357" t="s">
        <v>379</v>
      </c>
      <c r="B11" s="672" t="s">
        <v>391</v>
      </c>
      <c r="C11" s="673"/>
      <c r="D11" s="684" t="s">
        <v>393</v>
      </c>
      <c r="E11" s="685"/>
      <c r="F11" s="358" t="s">
        <v>395</v>
      </c>
      <c r="G11" s="344"/>
    </row>
    <row r="12" spans="1:7" ht="19.5">
      <c r="A12" s="674" t="s">
        <v>380</v>
      </c>
      <c r="B12" s="675"/>
      <c r="C12" s="675"/>
      <c r="D12" s="675"/>
      <c r="E12" s="675"/>
      <c r="F12" s="676"/>
      <c r="G12" s="344"/>
    </row>
    <row r="13" spans="1:7" ht="16.5" thickBot="1">
      <c r="A13" s="666" t="s">
        <v>396</v>
      </c>
      <c r="B13" s="667"/>
      <c r="C13" s="668" t="s">
        <v>397</v>
      </c>
      <c r="D13" s="668"/>
      <c r="E13" s="668"/>
      <c r="F13" s="359"/>
      <c r="G13" s="344"/>
    </row>
    <row r="14" spans="1:7" ht="18.95" customHeight="1">
      <c r="A14" s="360"/>
      <c r="B14" s="360"/>
      <c r="C14" s="360"/>
      <c r="D14" s="360"/>
      <c r="E14" s="360"/>
      <c r="F14" s="360"/>
      <c r="G14" s="344"/>
    </row>
    <row r="15" spans="1:7" ht="15.75">
      <c r="G15" s="344"/>
    </row>
    <row r="16" spans="1:7" ht="15.75">
      <c r="G16" s="344"/>
    </row>
    <row r="17" spans="7:7" ht="15.75">
      <c r="G17" s="344"/>
    </row>
    <row r="18" spans="7:7" ht="15.75">
      <c r="G18" s="344"/>
    </row>
    <row r="19" spans="7:7" ht="15.75">
      <c r="G19" s="344"/>
    </row>
    <row r="20" spans="7:7" ht="15.75">
      <c r="G20" s="344"/>
    </row>
    <row r="21" spans="7:7" ht="15.75">
      <c r="G21" s="344"/>
    </row>
    <row r="22" spans="7:7" ht="15.75">
      <c r="G22" s="344"/>
    </row>
    <row r="23" spans="7:7" ht="15.75">
      <c r="G23" s="344"/>
    </row>
    <row r="24" spans="7:7" ht="15.75">
      <c r="G24" s="344"/>
    </row>
    <row r="25" spans="7:7" ht="15.75">
      <c r="G25" s="344"/>
    </row>
    <row r="26" spans="7:7" ht="15.75">
      <c r="G26" s="344"/>
    </row>
    <row r="27" spans="7:7" ht="18.95" customHeight="1">
      <c r="G27" s="344"/>
    </row>
    <row r="28" spans="7:7" ht="15.75">
      <c r="G28" s="344"/>
    </row>
    <row r="29" spans="7:7" ht="15.75">
      <c r="G29" s="344"/>
    </row>
    <row r="30" spans="7:7" ht="15.75">
      <c r="G30" s="344"/>
    </row>
    <row r="31" spans="7:7" ht="15.75">
      <c r="G31" s="344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D11" sqref="D11"/>
    </sheetView>
  </sheetViews>
  <sheetFormatPr defaultRowHeight="12.75"/>
  <cols>
    <col min="1" max="6" width="16.7109375" customWidth="1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368" t="s">
        <v>402</v>
      </c>
      <c r="B3" s="366"/>
      <c r="C3" s="366"/>
      <c r="D3" s="366"/>
      <c r="E3" s="366"/>
      <c r="F3" s="367"/>
    </row>
    <row r="4" spans="1:6" ht="18.95" customHeight="1">
      <c r="A4" s="369"/>
      <c r="B4" s="370"/>
      <c r="C4" s="370"/>
      <c r="D4" s="370"/>
      <c r="E4" s="370"/>
      <c r="F4" s="37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410" t="s">
        <v>403</v>
      </c>
      <c r="B6" s="692" t="str">
        <f>'Performance Data Sheet'!C17</f>
        <v>M505TCQL11E-C</v>
      </c>
      <c r="C6" s="693"/>
      <c r="D6" s="694"/>
      <c r="E6" s="410" t="s">
        <v>404</v>
      </c>
      <c r="F6" s="411">
        <v>311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6813US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2500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41982</v>
      </c>
    </row>
    <row r="10" spans="1:6" ht="18.95" customHeight="1">
      <c r="A10" s="410" t="s">
        <v>414</v>
      </c>
      <c r="B10" s="411">
        <v>1784</v>
      </c>
      <c r="C10" s="410" t="s">
        <v>415</v>
      </c>
      <c r="D10" s="411" t="s">
        <v>416</v>
      </c>
      <c r="E10" s="410" t="s">
        <v>1</v>
      </c>
      <c r="F10" s="411" t="s">
        <v>363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2" t="s">
        <v>417</v>
      </c>
      <c r="C12" s="373" t="s">
        <v>430</v>
      </c>
      <c r="D12" s="372" t="s">
        <v>418</v>
      </c>
      <c r="E12" s="373" t="s">
        <v>416</v>
      </c>
      <c r="F12" s="371"/>
    </row>
    <row r="13" spans="1:6" ht="18.95" customHeight="1">
      <c r="A13" s="369"/>
      <c r="B13" s="372" t="s">
        <v>419</v>
      </c>
      <c r="C13" s="374">
        <v>0.75</v>
      </c>
      <c r="D13" s="372" t="s">
        <v>420</v>
      </c>
      <c r="E13" s="373" t="s">
        <v>416</v>
      </c>
      <c r="F13" s="371"/>
    </row>
    <row r="14" spans="1:6" ht="18.95" customHeight="1">
      <c r="A14" s="369"/>
      <c r="B14" s="372" t="s">
        <v>421</v>
      </c>
      <c r="C14" s="374">
        <v>2.2999999999999998</v>
      </c>
      <c r="D14" s="372" t="s">
        <v>422</v>
      </c>
      <c r="E14" s="373" t="s">
        <v>416</v>
      </c>
      <c r="F14" s="371"/>
    </row>
    <row r="15" spans="1:6" ht="18.95" customHeight="1">
      <c r="A15" s="369"/>
      <c r="B15" s="372" t="s">
        <v>423</v>
      </c>
      <c r="C15" s="373" t="s">
        <v>748</v>
      </c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363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5">
        <v>100</v>
      </c>
      <c r="B54" s="361">
        <v>0</v>
      </c>
      <c r="C54" s="361">
        <v>0.25878378748893738</v>
      </c>
    </row>
    <row r="55" spans="1:3" ht="15" customHeight="1">
      <c r="A55" s="375">
        <v>99.799999967217445</v>
      </c>
      <c r="B55" s="361">
        <v>123.7748326551235</v>
      </c>
      <c r="C55" s="361">
        <v>136.7520751953125</v>
      </c>
    </row>
    <row r="56" spans="1:3" ht="15" customHeight="1">
      <c r="A56" s="375">
        <v>98.999999836087227</v>
      </c>
      <c r="B56" s="361">
        <v>230</v>
      </c>
      <c r="C56" s="361">
        <v>402.19052124023437</v>
      </c>
    </row>
    <row r="57" spans="1:3">
      <c r="A57" s="375">
        <v>93.789473548531532</v>
      </c>
      <c r="B57" s="361">
        <v>128.9640926857615</v>
      </c>
      <c r="C57" s="361">
        <v>469.37911987304687</v>
      </c>
    </row>
    <row r="58" spans="1:3">
      <c r="A58" s="375">
        <v>88.578946888446808</v>
      </c>
      <c r="B58" s="361">
        <v>101.89908064984033</v>
      </c>
      <c r="C58" s="361">
        <v>489.4566650390625</v>
      </c>
    </row>
    <row r="59" spans="1:3">
      <c r="A59" s="375">
        <v>83.368420600891113</v>
      </c>
      <c r="B59" s="361">
        <v>90.101868525324676</v>
      </c>
      <c r="C59" s="361">
        <v>500.27899169921875</v>
      </c>
    </row>
    <row r="60" spans="1:3">
      <c r="A60" s="375">
        <v>72.947368025779724</v>
      </c>
      <c r="B60" s="361">
        <v>82.870072397589141</v>
      </c>
      <c r="C60" s="361">
        <v>515.12158203125</v>
      </c>
    </row>
    <row r="61" spans="1:3">
      <c r="A61" s="375">
        <v>62.526315450668335</v>
      </c>
      <c r="B61" s="361">
        <v>79.561296477130497</v>
      </c>
      <c r="C61" s="361">
        <v>526.5609130859375</v>
      </c>
    </row>
    <row r="62" spans="1:3">
      <c r="A62" s="375">
        <v>52.105262875556946</v>
      </c>
      <c r="B62" s="361">
        <v>77.653524299071364</v>
      </c>
      <c r="C62" s="361">
        <v>535.76446533203125</v>
      </c>
    </row>
    <row r="63" spans="1:3">
      <c r="A63" s="375">
        <v>41.684210300445557</v>
      </c>
      <c r="B63" s="361">
        <v>76.487394001008653</v>
      </c>
      <c r="C63" s="361">
        <v>543.07061767578125</v>
      </c>
    </row>
    <row r="64" spans="1:3">
      <c r="A64" s="375">
        <v>31.263160705566406</v>
      </c>
      <c r="B64" s="361">
        <v>75.781419877181705</v>
      </c>
      <c r="C64" s="361">
        <v>548.92425537109375</v>
      </c>
    </row>
    <row r="65" spans="1:3">
      <c r="A65" s="375">
        <v>20.842105150222778</v>
      </c>
      <c r="B65" s="361">
        <v>75.364406636556851</v>
      </c>
      <c r="C65" s="361">
        <v>553.62530517578125</v>
      </c>
    </row>
    <row r="66" spans="1:3">
      <c r="A66" s="375">
        <v>10.421055555343628</v>
      </c>
      <c r="B66" s="361">
        <v>75.127626230705431</v>
      </c>
      <c r="C66" s="361">
        <v>557.50726318359375</v>
      </c>
    </row>
    <row r="67" spans="1:3">
      <c r="A67" s="376">
        <v>0</v>
      </c>
      <c r="B67" s="361">
        <v>75</v>
      </c>
      <c r="C67" s="361">
        <v>560.771728515625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89" customWidth="1"/>
    <col min="2" max="7" width="10.7109375" style="389" customWidth="1"/>
    <col min="8" max="16384" width="9.140625" style="389"/>
  </cols>
  <sheetData>
    <row r="1" spans="1:12" ht="21" customHeight="1">
      <c r="A1" s="388" t="s">
        <v>437</v>
      </c>
      <c r="B1" s="704" t="s">
        <v>476</v>
      </c>
      <c r="C1" s="704"/>
      <c r="D1" s="704"/>
      <c r="E1" s="704"/>
      <c r="F1" s="704"/>
      <c r="G1" s="704"/>
    </row>
    <row r="2" spans="1:12" ht="15" customHeight="1"/>
    <row r="3" spans="1:12" ht="20.25">
      <c r="A3" s="390" t="s">
        <v>438</v>
      </c>
    </row>
    <row r="4" spans="1:12" ht="12" customHeight="1">
      <c r="A4" s="391"/>
      <c r="B4" s="391"/>
      <c r="C4" s="391"/>
      <c r="D4" s="391" t="s">
        <v>490</v>
      </c>
      <c r="E4" s="391"/>
      <c r="F4" s="391"/>
      <c r="G4" s="391"/>
      <c r="H4" s="391"/>
      <c r="I4" s="391"/>
      <c r="J4" s="391"/>
      <c r="K4" s="391"/>
      <c r="L4" s="391"/>
    </row>
    <row r="5" spans="1:12" ht="15.6" customHeight="1">
      <c r="A5" s="392" t="s">
        <v>5</v>
      </c>
      <c r="B5" s="392" t="s">
        <v>439</v>
      </c>
      <c r="C5" s="392" t="s">
        <v>440</v>
      </c>
      <c r="D5" s="392" t="s">
        <v>441</v>
      </c>
      <c r="E5" s="392" t="s">
        <v>442</v>
      </c>
      <c r="F5" s="392" t="s">
        <v>443</v>
      </c>
      <c r="G5" s="392" t="s">
        <v>444</v>
      </c>
      <c r="H5" s="391"/>
      <c r="I5" s="391"/>
      <c r="J5" s="391"/>
      <c r="K5" s="391"/>
      <c r="L5" s="391"/>
    </row>
    <row r="6" spans="1:12" ht="15.6" customHeight="1">
      <c r="A6" s="393" t="s">
        <v>445</v>
      </c>
      <c r="B6" s="393" t="s">
        <v>165</v>
      </c>
      <c r="C6" s="393" t="s">
        <v>165</v>
      </c>
      <c r="D6" s="393" t="s">
        <v>446</v>
      </c>
      <c r="E6" s="393" t="s">
        <v>135</v>
      </c>
      <c r="F6" s="393" t="s">
        <v>447</v>
      </c>
      <c r="G6" s="393" t="s">
        <v>447</v>
      </c>
      <c r="H6" s="391"/>
      <c r="I6" s="391"/>
      <c r="J6" s="391"/>
      <c r="K6" s="391"/>
      <c r="L6" s="391"/>
    </row>
    <row r="7" spans="1:12" ht="15.95" customHeight="1">
      <c r="A7" s="394" t="s">
        <v>477</v>
      </c>
      <c r="B7" s="394" t="s">
        <v>491</v>
      </c>
      <c r="C7" s="394" t="s">
        <v>504</v>
      </c>
      <c r="D7" s="394" t="s">
        <v>516</v>
      </c>
      <c r="E7" s="394" t="s">
        <v>528</v>
      </c>
      <c r="F7" s="394" t="s">
        <v>541</v>
      </c>
      <c r="G7" s="394" t="s">
        <v>554</v>
      </c>
      <c r="H7" s="391"/>
      <c r="I7" s="391"/>
      <c r="J7" s="391"/>
      <c r="K7" s="391"/>
      <c r="L7" s="391"/>
    </row>
    <row r="8" spans="1:12" ht="15.95" customHeight="1">
      <c r="A8" s="394" t="s">
        <v>478</v>
      </c>
      <c r="B8" s="394" t="s">
        <v>492</v>
      </c>
      <c r="C8" s="394" t="s">
        <v>505</v>
      </c>
      <c r="D8" s="394" t="s">
        <v>517</v>
      </c>
      <c r="E8" s="394" t="s">
        <v>529</v>
      </c>
      <c r="F8" s="394" t="s">
        <v>542</v>
      </c>
      <c r="G8" s="394" t="s">
        <v>555</v>
      </c>
      <c r="H8" s="391"/>
      <c r="I8" s="391"/>
      <c r="J8" s="391"/>
      <c r="K8" s="391"/>
      <c r="L8" s="391"/>
    </row>
    <row r="9" spans="1:12" ht="15.95" customHeight="1">
      <c r="A9" s="394" t="s">
        <v>479</v>
      </c>
      <c r="B9" s="394" t="s">
        <v>493</v>
      </c>
      <c r="C9" s="394" t="s">
        <v>506</v>
      </c>
      <c r="D9" s="394" t="s">
        <v>518</v>
      </c>
      <c r="E9" s="394" t="s">
        <v>530</v>
      </c>
      <c r="F9" s="394" t="s">
        <v>543</v>
      </c>
      <c r="G9" s="394" t="s">
        <v>556</v>
      </c>
      <c r="H9" s="391"/>
      <c r="I9" s="391"/>
      <c r="J9" s="391"/>
      <c r="K9" s="391"/>
      <c r="L9" s="391"/>
    </row>
    <row r="10" spans="1:12" ht="15.95" customHeight="1">
      <c r="A10" s="394" t="s">
        <v>480</v>
      </c>
      <c r="B10" s="394" t="s">
        <v>494</v>
      </c>
      <c r="C10" s="394" t="s">
        <v>507</v>
      </c>
      <c r="D10" s="394" t="s">
        <v>518</v>
      </c>
      <c r="E10" s="394" t="s">
        <v>531</v>
      </c>
      <c r="F10" s="394" t="s">
        <v>544</v>
      </c>
      <c r="G10" s="394" t="s">
        <v>557</v>
      </c>
      <c r="H10" s="391"/>
      <c r="I10" s="391"/>
      <c r="J10" s="391"/>
      <c r="K10" s="391"/>
      <c r="L10" s="391"/>
    </row>
    <row r="11" spans="1:12" ht="15.95" customHeight="1">
      <c r="A11" s="394" t="s">
        <v>481</v>
      </c>
      <c r="B11" s="394" t="s">
        <v>495</v>
      </c>
      <c r="C11" s="394" t="s">
        <v>508</v>
      </c>
      <c r="D11" s="394" t="s">
        <v>519</v>
      </c>
      <c r="E11" s="394" t="s">
        <v>532</v>
      </c>
      <c r="F11" s="394" t="s">
        <v>545</v>
      </c>
      <c r="G11" s="394" t="s">
        <v>558</v>
      </c>
      <c r="H11" s="391"/>
      <c r="I11" s="391"/>
      <c r="J11" s="391"/>
      <c r="K11" s="391"/>
      <c r="L11" s="391"/>
    </row>
    <row r="12" spans="1:12" ht="15.95" customHeight="1">
      <c r="A12" s="394" t="s">
        <v>482</v>
      </c>
      <c r="B12" s="394" t="s">
        <v>496</v>
      </c>
      <c r="C12" s="394" t="s">
        <v>509</v>
      </c>
      <c r="D12" s="394" t="s">
        <v>520</v>
      </c>
      <c r="E12" s="394" t="s">
        <v>533</v>
      </c>
      <c r="F12" s="394" t="s">
        <v>546</v>
      </c>
      <c r="G12" s="394" t="s">
        <v>559</v>
      </c>
      <c r="H12" s="391"/>
      <c r="I12" s="391"/>
      <c r="J12" s="391"/>
      <c r="K12" s="391"/>
      <c r="L12" s="391"/>
    </row>
    <row r="13" spans="1:12" ht="15.95" customHeight="1">
      <c r="A13" s="394" t="s">
        <v>483</v>
      </c>
      <c r="B13" s="394" t="s">
        <v>497</v>
      </c>
      <c r="C13" s="394" t="s">
        <v>510</v>
      </c>
      <c r="D13" s="394" t="s">
        <v>521</v>
      </c>
      <c r="E13" s="394" t="s">
        <v>534</v>
      </c>
      <c r="F13" s="394" t="s">
        <v>547</v>
      </c>
      <c r="G13" s="394" t="s">
        <v>560</v>
      </c>
      <c r="H13" s="391"/>
      <c r="I13" s="391"/>
      <c r="J13" s="391"/>
      <c r="K13" s="391"/>
      <c r="L13" s="391"/>
    </row>
    <row r="14" spans="1:12" ht="15.95" customHeight="1">
      <c r="A14" s="394" t="s">
        <v>484</v>
      </c>
      <c r="B14" s="394" t="s">
        <v>498</v>
      </c>
      <c r="C14" s="394" t="s">
        <v>511</v>
      </c>
      <c r="D14" s="394" t="s">
        <v>522</v>
      </c>
      <c r="E14" s="394" t="s">
        <v>535</v>
      </c>
      <c r="F14" s="394" t="s">
        <v>548</v>
      </c>
      <c r="G14" s="394" t="s">
        <v>561</v>
      </c>
      <c r="H14" s="391"/>
      <c r="I14" s="391"/>
      <c r="J14" s="391"/>
      <c r="K14" s="391"/>
      <c r="L14" s="391"/>
    </row>
    <row r="15" spans="1:12" ht="15.95" customHeight="1">
      <c r="A15" s="394" t="s">
        <v>485</v>
      </c>
      <c r="B15" s="394" t="s">
        <v>499</v>
      </c>
      <c r="C15" s="394" t="s">
        <v>512</v>
      </c>
      <c r="D15" s="394" t="s">
        <v>523</v>
      </c>
      <c r="E15" s="394" t="s">
        <v>536</v>
      </c>
      <c r="F15" s="394" t="s">
        <v>549</v>
      </c>
      <c r="G15" s="394" t="s">
        <v>562</v>
      </c>
      <c r="H15" s="391"/>
      <c r="I15" s="391"/>
      <c r="J15" s="391"/>
      <c r="K15" s="391"/>
      <c r="L15" s="391"/>
    </row>
    <row r="16" spans="1:12" ht="15.95" customHeight="1">
      <c r="A16" s="394" t="s">
        <v>486</v>
      </c>
      <c r="B16" s="394" t="s">
        <v>500</v>
      </c>
      <c r="C16" s="394" t="s">
        <v>495</v>
      </c>
      <c r="D16" s="394" t="s">
        <v>524</v>
      </c>
      <c r="E16" s="394" t="s">
        <v>537</v>
      </c>
      <c r="F16" s="394" t="s">
        <v>550</v>
      </c>
      <c r="G16" s="394" t="s">
        <v>563</v>
      </c>
      <c r="H16" s="391"/>
      <c r="I16" s="391"/>
      <c r="J16" s="391"/>
      <c r="K16" s="391"/>
      <c r="L16" s="391"/>
    </row>
    <row r="17" spans="1:12" ht="15.95" customHeight="1">
      <c r="A17" s="394" t="s">
        <v>487</v>
      </c>
      <c r="B17" s="394" t="s">
        <v>501</v>
      </c>
      <c r="C17" s="394" t="s">
        <v>513</v>
      </c>
      <c r="D17" s="394" t="s">
        <v>525</v>
      </c>
      <c r="E17" s="394" t="s">
        <v>538</v>
      </c>
      <c r="F17" s="394" t="s">
        <v>551</v>
      </c>
      <c r="G17" s="394" t="s">
        <v>564</v>
      </c>
      <c r="H17" s="391"/>
      <c r="I17" s="391"/>
      <c r="J17" s="391"/>
      <c r="K17" s="391"/>
      <c r="L17" s="391"/>
    </row>
    <row r="18" spans="1:12" ht="15.95" customHeight="1">
      <c r="A18" s="394" t="s">
        <v>488</v>
      </c>
      <c r="B18" s="394" t="s">
        <v>502</v>
      </c>
      <c r="C18" s="394" t="s">
        <v>514</v>
      </c>
      <c r="D18" s="394" t="s">
        <v>526</v>
      </c>
      <c r="E18" s="394" t="s">
        <v>539</v>
      </c>
      <c r="F18" s="394" t="s">
        <v>552</v>
      </c>
      <c r="G18" s="394" t="s">
        <v>565</v>
      </c>
      <c r="H18" s="391"/>
      <c r="I18" s="391"/>
      <c r="J18" s="391"/>
      <c r="K18" s="391"/>
      <c r="L18" s="391"/>
    </row>
    <row r="19" spans="1:12" ht="15.95" customHeight="1">
      <c r="A19" s="394" t="s">
        <v>489</v>
      </c>
      <c r="B19" s="394" t="s">
        <v>503</v>
      </c>
      <c r="C19" s="394" t="s">
        <v>515</v>
      </c>
      <c r="D19" s="394" t="s">
        <v>527</v>
      </c>
      <c r="E19" s="394" t="s">
        <v>540</v>
      </c>
      <c r="F19" s="394" t="s">
        <v>553</v>
      </c>
      <c r="G19" s="394" t="s">
        <v>566</v>
      </c>
      <c r="H19" s="391"/>
      <c r="I19" s="391"/>
      <c r="J19" s="391"/>
      <c r="K19" s="391"/>
      <c r="L19" s="391"/>
    </row>
    <row r="20" spans="1:12" ht="15.75">
      <c r="A20" s="391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</row>
    <row r="21" spans="1:12" ht="15.75">
      <c r="A21" s="391"/>
      <c r="B21" s="391"/>
      <c r="C21" s="391"/>
      <c r="D21" s="705" t="s">
        <v>575</v>
      </c>
      <c r="E21" s="701"/>
      <c r="F21" s="701"/>
      <c r="G21" s="702"/>
      <c r="H21" s="391"/>
      <c r="I21" s="391"/>
      <c r="J21" s="391"/>
      <c r="K21" s="391"/>
      <c r="L21" s="391"/>
    </row>
    <row r="22" spans="1:12" ht="17.25" customHeight="1">
      <c r="A22" s="391"/>
      <c r="B22" s="703" t="s">
        <v>448</v>
      </c>
      <c r="C22" s="703"/>
      <c r="D22" s="703" t="s">
        <v>449</v>
      </c>
      <c r="E22" s="703"/>
      <c r="F22" s="703" t="s">
        <v>450</v>
      </c>
      <c r="G22" s="703"/>
      <c r="H22" s="391"/>
      <c r="I22" s="391"/>
      <c r="J22" s="391"/>
      <c r="K22" s="391"/>
      <c r="L22" s="391"/>
    </row>
    <row r="23" spans="1:12" ht="15.75">
      <c r="A23" s="395" t="s">
        <v>451</v>
      </c>
      <c r="B23" s="699" t="s">
        <v>567</v>
      </c>
      <c r="C23" s="699"/>
      <c r="D23" s="699" t="s">
        <v>570</v>
      </c>
      <c r="E23" s="699"/>
      <c r="F23" s="699" t="s">
        <v>572</v>
      </c>
      <c r="G23" s="699"/>
      <c r="H23" s="391"/>
      <c r="I23" s="391"/>
      <c r="J23" s="391"/>
      <c r="K23" s="391"/>
      <c r="L23" s="391"/>
    </row>
    <row r="24" spans="1:12" ht="18" customHeight="1">
      <c r="A24" s="395" t="s">
        <v>452</v>
      </c>
      <c r="B24" s="699" t="s">
        <v>568</v>
      </c>
      <c r="C24" s="699"/>
      <c r="D24" s="699" t="s">
        <v>571</v>
      </c>
      <c r="E24" s="699"/>
      <c r="F24" s="699" t="s">
        <v>573</v>
      </c>
      <c r="G24" s="699"/>
      <c r="H24" s="391"/>
      <c r="I24" s="391"/>
      <c r="J24" s="391"/>
      <c r="K24" s="391"/>
      <c r="L24" s="391"/>
    </row>
    <row r="25" spans="1:12" ht="15.75">
      <c r="A25" s="395" t="s">
        <v>453</v>
      </c>
      <c r="B25" s="699" t="s">
        <v>569</v>
      </c>
      <c r="C25" s="699"/>
      <c r="D25" s="699" t="s">
        <v>570</v>
      </c>
      <c r="E25" s="699"/>
      <c r="F25" s="699" t="s">
        <v>574</v>
      </c>
      <c r="G25" s="699"/>
      <c r="H25" s="391"/>
      <c r="I25" s="391"/>
      <c r="J25" s="391"/>
      <c r="K25" s="391"/>
      <c r="L25" s="391"/>
    </row>
    <row r="26" spans="1:12" ht="15.75">
      <c r="A26" s="391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</row>
    <row r="27" spans="1:12" ht="20.25">
      <c r="A27" s="390" t="s">
        <v>454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</row>
    <row r="28" spans="1:12" ht="15.75">
      <c r="A28" s="391"/>
      <c r="B28" s="391"/>
      <c r="C28" s="391"/>
      <c r="D28" s="391"/>
      <c r="E28" s="700" t="s">
        <v>455</v>
      </c>
      <c r="F28" s="701"/>
      <c r="G28" s="702"/>
      <c r="H28" s="391"/>
      <c r="I28" s="391"/>
      <c r="J28" s="391"/>
      <c r="K28" s="391"/>
      <c r="L28" s="391"/>
    </row>
    <row r="29" spans="1:12" ht="15.75">
      <c r="A29" s="391"/>
      <c r="B29" s="703" t="s">
        <v>456</v>
      </c>
      <c r="C29" s="703"/>
      <c r="D29" s="396" t="s">
        <v>457</v>
      </c>
      <c r="E29" s="396" t="s">
        <v>458</v>
      </c>
      <c r="F29" s="703" t="s">
        <v>459</v>
      </c>
      <c r="G29" s="703"/>
      <c r="H29" s="391"/>
      <c r="I29" s="391"/>
      <c r="J29" s="391"/>
      <c r="K29" s="391"/>
      <c r="L29" s="391"/>
    </row>
    <row r="30" spans="1:12" ht="15.75">
      <c r="A30" s="395" t="s">
        <v>460</v>
      </c>
      <c r="B30" s="699" t="s">
        <v>576</v>
      </c>
      <c r="C30" s="699"/>
      <c r="D30" s="394" t="s">
        <v>579</v>
      </c>
      <c r="E30" s="394" t="s">
        <v>461</v>
      </c>
      <c r="F30" s="699" t="s">
        <v>582</v>
      </c>
      <c r="G30" s="699"/>
      <c r="H30" s="391"/>
      <c r="I30" s="391"/>
      <c r="J30" s="391"/>
      <c r="K30" s="391"/>
      <c r="L30" s="391"/>
    </row>
    <row r="31" spans="1:12" ht="15.75">
      <c r="A31" s="395" t="s">
        <v>462</v>
      </c>
      <c r="B31" s="699" t="s">
        <v>577</v>
      </c>
      <c r="C31" s="699"/>
      <c r="D31" s="394" t="s">
        <v>580</v>
      </c>
      <c r="E31" s="394" t="s">
        <v>463</v>
      </c>
      <c r="F31" s="699" t="s">
        <v>583</v>
      </c>
      <c r="G31" s="699"/>
      <c r="H31" s="391"/>
      <c r="I31" s="391"/>
      <c r="J31" s="391"/>
      <c r="K31" s="391"/>
      <c r="L31" s="391"/>
    </row>
    <row r="32" spans="1:12" ht="15.75">
      <c r="A32" s="395" t="s">
        <v>464</v>
      </c>
      <c r="B32" s="699" t="s">
        <v>578</v>
      </c>
      <c r="C32" s="699"/>
      <c r="D32" s="394" t="s">
        <v>581</v>
      </c>
      <c r="E32" s="394" t="s">
        <v>465</v>
      </c>
      <c r="F32" s="699" t="s">
        <v>584</v>
      </c>
      <c r="G32" s="699"/>
      <c r="H32" s="391"/>
      <c r="I32" s="391"/>
      <c r="J32" s="391"/>
      <c r="K32" s="391"/>
      <c r="L32" s="391"/>
    </row>
    <row r="33" spans="1:12" ht="15.75">
      <c r="A33" s="391"/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</row>
    <row r="34" spans="1:12" ht="15.75">
      <c r="A34" s="391"/>
      <c r="B34" s="391"/>
      <c r="C34" s="391"/>
      <c r="D34" s="391"/>
      <c r="E34" s="700" t="s">
        <v>466</v>
      </c>
      <c r="F34" s="701"/>
      <c r="G34" s="702"/>
      <c r="H34" s="391"/>
      <c r="I34" s="391"/>
      <c r="J34" s="391"/>
      <c r="K34" s="391"/>
      <c r="L34" s="391"/>
    </row>
    <row r="35" spans="1:12" ht="15.75">
      <c r="A35" s="391"/>
      <c r="B35" s="703" t="s">
        <v>467</v>
      </c>
      <c r="C35" s="703"/>
      <c r="D35" s="396" t="s">
        <v>458</v>
      </c>
      <c r="E35" s="396" t="s">
        <v>468</v>
      </c>
      <c r="F35" s="396" t="s">
        <v>100</v>
      </c>
      <c r="G35" s="396" t="s">
        <v>469</v>
      </c>
      <c r="H35" s="391"/>
      <c r="I35" s="391"/>
      <c r="J35" s="391"/>
      <c r="K35" s="391"/>
      <c r="L35" s="391"/>
    </row>
    <row r="36" spans="1:12" ht="15.75">
      <c r="A36" s="395" t="s">
        <v>460</v>
      </c>
      <c r="B36" s="695" t="s">
        <v>585</v>
      </c>
      <c r="C36" s="696"/>
      <c r="D36" s="397" t="s">
        <v>587</v>
      </c>
      <c r="E36" s="397" t="s">
        <v>470</v>
      </c>
      <c r="F36" s="398" t="s">
        <v>471</v>
      </c>
      <c r="G36" s="394" t="s">
        <v>590</v>
      </c>
      <c r="H36" s="391"/>
      <c r="I36" s="391"/>
      <c r="J36" s="391"/>
      <c r="K36" s="391"/>
      <c r="L36" s="391"/>
    </row>
    <row r="37" spans="1:12" ht="15.75">
      <c r="A37" s="395" t="s">
        <v>462</v>
      </c>
      <c r="B37" s="695" t="s">
        <v>586</v>
      </c>
      <c r="C37" s="696"/>
      <c r="D37" s="397" t="s">
        <v>588</v>
      </c>
      <c r="E37" s="397" t="s">
        <v>470</v>
      </c>
      <c r="F37" s="398" t="s">
        <v>472</v>
      </c>
      <c r="G37" s="399" t="s">
        <v>591</v>
      </c>
      <c r="H37" s="391"/>
      <c r="I37" s="391"/>
      <c r="J37" s="391"/>
      <c r="K37" s="391"/>
      <c r="L37" s="391"/>
    </row>
    <row r="38" spans="1:12" ht="15.75">
      <c r="A38" s="395" t="s">
        <v>464</v>
      </c>
      <c r="B38" s="695" t="s">
        <v>586</v>
      </c>
      <c r="C38" s="696"/>
      <c r="D38" s="397" t="s">
        <v>589</v>
      </c>
      <c r="E38" s="397" t="s">
        <v>470</v>
      </c>
      <c r="F38" s="398" t="s">
        <v>473</v>
      </c>
      <c r="G38" s="394" t="s">
        <v>592</v>
      </c>
      <c r="H38" s="391"/>
      <c r="I38" s="391"/>
      <c r="J38" s="391"/>
      <c r="K38" s="391"/>
      <c r="L38" s="391"/>
    </row>
    <row r="39" spans="1:12" ht="15.75">
      <c r="A39" s="391"/>
      <c r="B39" s="391"/>
      <c r="C39" s="391"/>
      <c r="D39" s="391"/>
      <c r="E39" s="391"/>
      <c r="F39" s="391"/>
      <c r="G39" s="391"/>
      <c r="H39" s="391"/>
      <c r="I39" s="391"/>
      <c r="J39" s="391"/>
      <c r="K39" s="391"/>
      <c r="L39" s="391"/>
    </row>
    <row r="40" spans="1:12" ht="15.75">
      <c r="A40" s="400" t="s">
        <v>474</v>
      </c>
      <c r="B40" s="697" t="s">
        <v>593</v>
      </c>
      <c r="C40" s="697"/>
      <c r="D40" s="698" t="s">
        <v>475</v>
      </c>
      <c r="E40" s="698"/>
      <c r="F40" s="697" t="s">
        <v>594</v>
      </c>
      <c r="G40" s="697"/>
      <c r="H40" s="391"/>
      <c r="I40" s="391"/>
      <c r="J40" s="391"/>
      <c r="K40" s="391"/>
      <c r="L40" s="391"/>
    </row>
    <row r="41" spans="1:12" ht="15.75">
      <c r="A41" s="391"/>
      <c r="B41" s="391"/>
      <c r="C41" s="391"/>
      <c r="D41" s="391"/>
      <c r="E41" s="391"/>
      <c r="F41" s="391"/>
      <c r="G41" s="391"/>
      <c r="H41" s="391"/>
      <c r="I41" s="391"/>
      <c r="J41" s="391"/>
      <c r="K41" s="391"/>
      <c r="L41" s="391"/>
    </row>
    <row r="42" spans="1:12" ht="15.75">
      <c r="A42" s="391"/>
      <c r="B42" s="391"/>
      <c r="C42" s="391"/>
      <c r="D42" s="391"/>
      <c r="E42" s="391"/>
      <c r="F42" s="391"/>
      <c r="G42" s="391"/>
      <c r="H42" s="391"/>
      <c r="I42" s="391"/>
      <c r="J42" s="391"/>
      <c r="K42" s="391"/>
      <c r="L42" s="391"/>
    </row>
    <row r="43" spans="1:12" ht="15.75">
      <c r="A43" s="391"/>
      <c r="B43" s="391"/>
      <c r="C43" s="391"/>
      <c r="D43" s="391"/>
      <c r="E43" s="391"/>
      <c r="F43" s="391"/>
      <c r="G43" s="391"/>
      <c r="H43" s="391"/>
      <c r="I43" s="391"/>
      <c r="J43" s="391"/>
      <c r="K43" s="391"/>
      <c r="L43" s="391"/>
    </row>
    <row r="44" spans="1:12" ht="15.75">
      <c r="A44" s="391"/>
      <c r="B44" s="391"/>
      <c r="C44" s="391"/>
      <c r="D44" s="391"/>
      <c r="E44" s="391"/>
      <c r="F44" s="391"/>
      <c r="G44" s="391"/>
      <c r="H44" s="391"/>
      <c r="I44" s="391"/>
      <c r="J44" s="391"/>
      <c r="K44" s="391"/>
      <c r="L44" s="391"/>
    </row>
    <row r="45" spans="1:12" ht="15.75">
      <c r="A45" s="391"/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391"/>
    </row>
    <row r="46" spans="1:12" ht="15.75">
      <c r="A46" s="391"/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</row>
    <row r="47" spans="1:12" ht="15.75">
      <c r="A47" s="391"/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</row>
    <row r="48" spans="1:12" ht="15.75">
      <c r="A48" s="391"/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</row>
    <row r="49" spans="1:12" ht="15.75">
      <c r="A49" s="391"/>
      <c r="B49" s="391"/>
      <c r="C49" s="391"/>
      <c r="D49" s="391"/>
      <c r="E49" s="391"/>
      <c r="F49" s="391"/>
      <c r="G49" s="391"/>
      <c r="H49" s="391"/>
      <c r="I49" s="391"/>
      <c r="J49" s="391"/>
      <c r="K49" s="391"/>
      <c r="L49" s="391"/>
    </row>
    <row r="50" spans="1:12" ht="15.75">
      <c r="A50" s="391"/>
      <c r="B50" s="391"/>
      <c r="C50" s="391"/>
      <c r="D50" s="391"/>
      <c r="E50" s="391"/>
      <c r="F50" s="391"/>
      <c r="G50" s="391"/>
      <c r="H50" s="391"/>
      <c r="I50" s="391"/>
      <c r="J50" s="391"/>
      <c r="K50" s="391"/>
      <c r="L50" s="391"/>
    </row>
    <row r="51" spans="1:12" ht="15.75">
      <c r="A51" s="391"/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</row>
    <row r="52" spans="1:12" ht="15.75">
      <c r="A52" s="391"/>
      <c r="B52" s="391"/>
      <c r="C52" s="391"/>
      <c r="D52" s="391"/>
      <c r="E52" s="391"/>
      <c r="F52" s="391"/>
      <c r="G52" s="391"/>
      <c r="H52" s="391"/>
      <c r="I52" s="391"/>
      <c r="J52" s="391"/>
      <c r="K52" s="391"/>
      <c r="L52" s="391"/>
    </row>
    <row r="53" spans="1:12" ht="15.75">
      <c r="A53" s="391"/>
      <c r="B53" s="391"/>
      <c r="C53" s="391"/>
      <c r="D53" s="391"/>
      <c r="E53" s="391"/>
      <c r="F53" s="391"/>
      <c r="G53" s="391"/>
      <c r="H53" s="391"/>
      <c r="I53" s="391"/>
      <c r="J53" s="391"/>
      <c r="K53" s="391"/>
      <c r="L53" s="391"/>
    </row>
    <row r="54" spans="1:12" ht="15.75">
      <c r="A54" s="391"/>
      <c r="B54" s="391"/>
      <c r="C54" s="391"/>
      <c r="D54" s="391"/>
      <c r="E54" s="391"/>
      <c r="F54" s="391"/>
      <c r="G54" s="391"/>
      <c r="H54" s="391"/>
      <c r="I54" s="391"/>
      <c r="J54" s="391"/>
      <c r="K54" s="391"/>
      <c r="L54" s="391"/>
    </row>
    <row r="55" spans="1:12" ht="15.75">
      <c r="A55" s="391"/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</row>
    <row r="56" spans="1:12" ht="15.75">
      <c r="A56" s="391"/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</row>
    <row r="57" spans="1:12" ht="15.75">
      <c r="A57" s="391"/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</row>
    <row r="58" spans="1:12" ht="15.75">
      <c r="A58" s="391"/>
      <c r="B58" s="3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</row>
    <row r="59" spans="1:12" ht="15.75">
      <c r="A59" s="391"/>
      <c r="B59" s="3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</row>
    <row r="60" spans="1:12" ht="15.75">
      <c r="A60" s="391"/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</row>
    <row r="61" spans="1:12" ht="15.75">
      <c r="A61" s="391"/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A39" sqref="A39:F43"/>
    </sheetView>
  </sheetViews>
  <sheetFormatPr defaultRowHeight="12.75"/>
  <cols>
    <col min="1" max="6" width="16.7109375" style="389" customWidth="1"/>
    <col min="7" max="16384" width="9.140625" style="389"/>
  </cols>
  <sheetData>
    <row r="1" spans="1:6" ht="18.95" customHeight="1">
      <c r="A1" s="401"/>
      <c r="B1" s="402"/>
      <c r="C1" s="402"/>
      <c r="D1" s="402"/>
      <c r="E1" s="402"/>
      <c r="F1" s="403"/>
    </row>
    <row r="2" spans="1:6" ht="26.1" customHeight="1">
      <c r="A2" s="404" t="s">
        <v>252</v>
      </c>
      <c r="B2" s="405"/>
      <c r="C2" s="405"/>
      <c r="D2" s="405"/>
      <c r="E2" s="405"/>
      <c r="F2" s="406"/>
    </row>
    <row r="3" spans="1:6" ht="18.95" customHeight="1">
      <c r="A3" s="706" t="s">
        <v>595</v>
      </c>
      <c r="B3" s="707"/>
      <c r="C3" s="707"/>
      <c r="D3" s="707"/>
      <c r="E3" s="707"/>
      <c r="F3" s="708"/>
    </row>
    <row r="4" spans="1:6" ht="18.95" customHeight="1">
      <c r="A4" s="709" t="s">
        <v>596</v>
      </c>
      <c r="B4" s="710"/>
      <c r="C4" s="710"/>
      <c r="D4" s="710"/>
      <c r="E4" s="710"/>
      <c r="F4" s="711"/>
    </row>
    <row r="5" spans="1:6" ht="18.95" customHeight="1">
      <c r="A5" s="407"/>
      <c r="B5" s="408"/>
      <c r="C5" s="408"/>
      <c r="D5" s="408"/>
      <c r="E5" s="408"/>
      <c r="F5" s="409"/>
    </row>
    <row r="6" spans="1:6" ht="18.95" customHeight="1">
      <c r="A6" s="410" t="s">
        <v>403</v>
      </c>
      <c r="B6" s="692" t="str">
        <f>'Performance Data Sheet'!C17</f>
        <v>M505TCQL11E-C</v>
      </c>
      <c r="C6" s="693"/>
      <c r="D6" s="694"/>
      <c r="E6" s="410" t="s">
        <v>404</v>
      </c>
      <c r="F6" s="411">
        <v>311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6813US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2500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41982</v>
      </c>
    </row>
    <row r="10" spans="1:6" ht="18.95" customHeight="1">
      <c r="A10" s="410" t="s">
        <v>414</v>
      </c>
      <c r="B10" s="411">
        <v>1784</v>
      </c>
      <c r="C10" s="410" t="s">
        <v>415</v>
      </c>
      <c r="D10" s="411" t="s">
        <v>601</v>
      </c>
      <c r="E10" s="410" t="s">
        <v>1</v>
      </c>
      <c r="F10" s="411" t="s">
        <v>363</v>
      </c>
    </row>
    <row r="11" spans="1:6" ht="18.95" customHeight="1">
      <c r="A11" s="407"/>
      <c r="B11" s="408"/>
      <c r="C11" s="408"/>
      <c r="D11" s="408"/>
      <c r="E11" s="408"/>
      <c r="F11" s="409"/>
    </row>
    <row r="12" spans="1:6" ht="18.95" customHeight="1">
      <c r="A12" s="407"/>
      <c r="B12" s="413"/>
      <c r="C12" s="414"/>
      <c r="D12" s="413"/>
      <c r="E12" s="414"/>
      <c r="F12" s="409"/>
    </row>
    <row r="13" spans="1:6" ht="18.95" customHeight="1">
      <c r="A13" s="407"/>
      <c r="B13" s="413"/>
      <c r="C13" s="415"/>
      <c r="D13" s="413"/>
      <c r="E13" s="414"/>
      <c r="F13" s="409"/>
    </row>
    <row r="14" spans="1:6" ht="18.95" customHeight="1">
      <c r="A14" s="407"/>
      <c r="B14" s="413"/>
      <c r="C14" s="415"/>
      <c r="D14" s="413"/>
      <c r="E14" s="414"/>
      <c r="F14" s="409"/>
    </row>
    <row r="15" spans="1:6" ht="18.95" customHeight="1">
      <c r="A15" s="407"/>
      <c r="B15" s="413"/>
      <c r="C15" s="414"/>
      <c r="D15" s="408"/>
      <c r="E15" s="408"/>
      <c r="F15" s="409"/>
    </row>
    <row r="16" spans="1:6" ht="18.95" customHeight="1">
      <c r="A16" s="407"/>
      <c r="B16" s="408"/>
      <c r="C16" s="408"/>
      <c r="D16" s="408"/>
      <c r="E16" s="408"/>
      <c r="F16" s="409"/>
    </row>
    <row r="17" spans="1:6" ht="18.95" customHeight="1">
      <c r="A17" s="407"/>
      <c r="B17" s="408"/>
      <c r="C17" s="408"/>
      <c r="D17" s="408"/>
      <c r="E17" s="408"/>
      <c r="F17" s="409"/>
    </row>
    <row r="18" spans="1:6" ht="18.95" customHeight="1">
      <c r="A18" s="407"/>
      <c r="B18" s="408"/>
      <c r="C18" s="408"/>
      <c r="D18" s="408"/>
      <c r="E18" s="408"/>
      <c r="F18" s="409"/>
    </row>
    <row r="19" spans="1:6" ht="18.95" customHeight="1">
      <c r="A19" s="407"/>
      <c r="B19" s="408"/>
      <c r="C19" s="408"/>
      <c r="D19" s="408"/>
      <c r="E19" s="408"/>
      <c r="F19" s="409"/>
    </row>
    <row r="20" spans="1:6" ht="18.95" customHeight="1">
      <c r="A20" s="407"/>
      <c r="B20" s="408"/>
      <c r="C20" s="408"/>
      <c r="D20" s="408"/>
      <c r="E20" s="408"/>
      <c r="F20" s="409"/>
    </row>
    <row r="21" spans="1:6" ht="18.95" customHeight="1">
      <c r="A21" s="407"/>
      <c r="B21" s="408"/>
      <c r="C21" s="408"/>
      <c r="D21" s="408"/>
      <c r="E21" s="408"/>
      <c r="F21" s="409"/>
    </row>
    <row r="22" spans="1:6" ht="18.95" customHeight="1">
      <c r="A22" s="407"/>
      <c r="B22" s="408"/>
      <c r="C22" s="408"/>
      <c r="D22" s="408"/>
      <c r="E22" s="408"/>
      <c r="F22" s="409"/>
    </row>
    <row r="23" spans="1:6" ht="18.95" customHeight="1">
      <c r="A23" s="407"/>
      <c r="B23" s="408"/>
      <c r="C23" s="408"/>
      <c r="D23" s="408"/>
      <c r="E23" s="408"/>
      <c r="F23" s="409"/>
    </row>
    <row r="24" spans="1:6" ht="18.95" customHeight="1">
      <c r="A24" s="407"/>
      <c r="B24" s="408"/>
      <c r="C24" s="408"/>
      <c r="D24" s="408"/>
      <c r="E24" s="408"/>
      <c r="F24" s="409"/>
    </row>
    <row r="25" spans="1:6" ht="18.95" customHeight="1">
      <c r="A25" s="407"/>
      <c r="B25" s="408"/>
      <c r="C25" s="408"/>
      <c r="D25" s="408"/>
      <c r="E25" s="408"/>
      <c r="F25" s="409"/>
    </row>
    <row r="26" spans="1:6" ht="18.95" customHeight="1">
      <c r="A26" s="407"/>
      <c r="B26" s="408"/>
      <c r="C26" s="408"/>
      <c r="D26" s="408"/>
      <c r="E26" s="408"/>
      <c r="F26" s="409"/>
    </row>
    <row r="27" spans="1:6" ht="18.95" customHeight="1">
      <c r="A27" s="407"/>
      <c r="B27" s="408"/>
      <c r="C27" s="408"/>
      <c r="D27" s="408"/>
      <c r="E27" s="408"/>
      <c r="F27" s="409"/>
    </row>
    <row r="28" spans="1:6" ht="18.95" customHeight="1">
      <c r="A28" s="407"/>
      <c r="B28" s="408"/>
      <c r="C28" s="408"/>
      <c r="D28" s="408"/>
      <c r="E28" s="408"/>
      <c r="F28" s="409"/>
    </row>
    <row r="29" spans="1:6" ht="18.95" customHeight="1">
      <c r="A29" s="407"/>
      <c r="B29" s="408"/>
      <c r="C29" s="408"/>
      <c r="D29" s="408"/>
      <c r="E29" s="408"/>
      <c r="F29" s="409"/>
    </row>
    <row r="30" spans="1:6" ht="18.95" customHeight="1">
      <c r="A30" s="407"/>
      <c r="B30" s="408"/>
      <c r="C30" s="408"/>
      <c r="D30" s="408"/>
      <c r="E30" s="408"/>
      <c r="F30" s="409"/>
    </row>
    <row r="31" spans="1:6" ht="18.95" customHeight="1">
      <c r="A31" s="407"/>
      <c r="B31" s="408"/>
      <c r="C31" s="408"/>
      <c r="D31" s="408"/>
      <c r="E31" s="408"/>
      <c r="F31" s="409"/>
    </row>
    <row r="32" spans="1:6" ht="18.95" customHeight="1">
      <c r="A32" s="407"/>
      <c r="B32" s="408"/>
      <c r="C32" s="408"/>
      <c r="D32" s="408"/>
      <c r="E32" s="408"/>
      <c r="F32" s="409"/>
    </row>
    <row r="33" spans="1:6" ht="18.95" customHeight="1">
      <c r="A33" s="407"/>
      <c r="B33" s="408"/>
      <c r="C33" s="408"/>
      <c r="D33" s="408"/>
      <c r="E33" s="408"/>
      <c r="F33" s="409"/>
    </row>
    <row r="34" spans="1:6" ht="18.95" customHeight="1">
      <c r="A34" s="407"/>
      <c r="B34" s="408"/>
      <c r="C34" s="408"/>
      <c r="D34" s="408"/>
      <c r="E34" s="408"/>
      <c r="F34" s="409"/>
    </row>
    <row r="35" spans="1:6" ht="18.95" customHeight="1">
      <c r="A35" s="407"/>
      <c r="B35" s="408"/>
      <c r="C35" s="408"/>
      <c r="D35" s="408"/>
      <c r="E35" s="408"/>
      <c r="F35" s="409"/>
    </row>
    <row r="36" spans="1:6" ht="18.95" customHeight="1">
      <c r="A36" s="407"/>
      <c r="B36" s="408"/>
      <c r="C36" s="408"/>
      <c r="D36" s="408"/>
      <c r="E36" s="408"/>
      <c r="F36" s="409"/>
    </row>
    <row r="37" spans="1:6" ht="18.95" customHeight="1">
      <c r="A37" s="407"/>
      <c r="B37" s="408"/>
      <c r="C37" s="408"/>
      <c r="D37" s="408"/>
      <c r="E37" s="408"/>
      <c r="F37" s="409"/>
    </row>
    <row r="38" spans="1:6" ht="18.95" customHeight="1">
      <c r="A38" s="407"/>
      <c r="B38" s="408"/>
      <c r="C38" s="408"/>
      <c r="D38" s="408"/>
      <c r="E38" s="408"/>
      <c r="F38" s="409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363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2" t="e">
        <f>5252.1*B50/D53</f>
        <v>#DIV/0!</v>
      </c>
      <c r="G50" s="422"/>
    </row>
    <row r="51" spans="6:9" ht="15" customHeight="1">
      <c r="G51" s="42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4"/>
    </row>
    <row r="63" spans="6:9">
      <c r="I63" s="425" t="s">
        <v>39</v>
      </c>
    </row>
    <row r="64" spans="6:9">
      <c r="I64" s="425"/>
    </row>
    <row r="65" spans="1:9">
      <c r="I65" s="425"/>
    </row>
    <row r="66" spans="1:9">
      <c r="D66" s="422" t="e">
        <f>D65/D64</f>
        <v>#DIV/0!</v>
      </c>
    </row>
    <row r="67" spans="1:9">
      <c r="A67" s="426" t="s">
        <v>400</v>
      </c>
      <c r="B67" s="426" t="s">
        <v>597</v>
      </c>
      <c r="C67" s="426" t="s">
        <v>598</v>
      </c>
      <c r="E67" s="426" t="s">
        <v>599</v>
      </c>
      <c r="F67" s="426" t="s">
        <v>600</v>
      </c>
    </row>
    <row r="68" spans="1:9">
      <c r="A68" s="427">
        <v>560.77170418006426</v>
      </c>
      <c r="B68" s="428">
        <v>35</v>
      </c>
      <c r="C68" s="428">
        <v>15</v>
      </c>
      <c r="E68" s="427">
        <f>A68</f>
        <v>560.77170418006426</v>
      </c>
      <c r="F68" s="428">
        <v>1E-4</v>
      </c>
    </row>
    <row r="69" spans="1:9">
      <c r="A69" s="427">
        <v>491.18809517684883</v>
      </c>
      <c r="B69" s="428">
        <f>((A68/A69)^2)*B68</f>
        <v>45.618874135889463</v>
      </c>
      <c r="C69" s="428">
        <f>((A68/A69)^2)*C68</f>
        <v>19.550946058238342</v>
      </c>
      <c r="E69" s="427">
        <v>559.13183279742771</v>
      </c>
      <c r="F69" s="428">
        <v>1.2879999876022339</v>
      </c>
    </row>
    <row r="70" spans="1:9">
      <c r="A70" s="427">
        <v>421.58360900321543</v>
      </c>
      <c r="B70" s="428">
        <f>((A68/A70)^2)*B68</f>
        <v>61.925966401568274</v>
      </c>
      <c r="C70" s="428">
        <f>((A68/A70)^2)*C68</f>
        <v>26.539699886386405</v>
      </c>
      <c r="E70" s="427">
        <v>555.56270096463027</v>
      </c>
      <c r="F70" s="428">
        <v>2.3489999771118164</v>
      </c>
    </row>
    <row r="71" spans="1:9">
      <c r="A71" s="427">
        <v>352</v>
      </c>
      <c r="B71" s="428">
        <f>((A68/A71)^2)*B68</f>
        <v>88.829026079186093</v>
      </c>
      <c r="C71" s="428">
        <f>((A68/A71)^2)*C68</f>
        <v>38.069582605365468</v>
      </c>
      <c r="E71" s="427">
        <v>551.28617363344051</v>
      </c>
      <c r="F71" s="428">
        <v>3.3399999141693115</v>
      </c>
    </row>
    <row r="72" spans="1:9">
      <c r="A72" s="427">
        <f>A71-100</f>
        <v>252</v>
      </c>
      <c r="B72" s="428">
        <f>((A68/A72)^2)*B68</f>
        <v>173.31619500055857</v>
      </c>
      <c r="C72" s="428"/>
      <c r="E72" s="427">
        <v>546.01286173633446</v>
      </c>
      <c r="F72" s="428">
        <v>4.3309998512268066</v>
      </c>
    </row>
    <row r="73" spans="1:9">
      <c r="A73" s="427">
        <f>A72-100</f>
        <v>152</v>
      </c>
      <c r="B73" s="428">
        <f>((A68/A73)^2)*B68</f>
        <v>476.37948611995631</v>
      </c>
      <c r="C73" s="428"/>
      <c r="E73" s="427">
        <v>539.4212218649518</v>
      </c>
      <c r="F73" s="428">
        <v>5.3799996376037598</v>
      </c>
    </row>
    <row r="74" spans="1:9">
      <c r="A74" s="427">
        <v>230</v>
      </c>
      <c r="B74" s="428">
        <f>((A68/A74)^2)*B68</f>
        <v>208.05806516664407</v>
      </c>
      <c r="C74" s="428">
        <f>((A68/A74)^2)*C68</f>
        <v>89.167742214276032</v>
      </c>
      <c r="E74" s="427">
        <v>531.15755627009651</v>
      </c>
      <c r="F74" s="428">
        <v>6.5429997444152832</v>
      </c>
    </row>
    <row r="75" spans="1:9">
      <c r="A75" s="429">
        <v>180</v>
      </c>
      <c r="B75" s="428">
        <f>((A68/A75)^2)*B69</f>
        <v>442.76342238473848</v>
      </c>
      <c r="C75" s="428">
        <f>((A68/A75)^2)*C68</f>
        <v>145.58560380046924</v>
      </c>
      <c r="E75" s="427">
        <v>520.83601286173632</v>
      </c>
      <c r="F75" s="428">
        <v>7.9059996604919434</v>
      </c>
    </row>
    <row r="76" spans="1:9">
      <c r="A76" s="429">
        <v>145</v>
      </c>
      <c r="B76" s="428">
        <f>((A68/A76)^2)*B68</f>
        <v>523.48497728016525</v>
      </c>
      <c r="C76" s="428">
        <f>((A68/A76)^2)*C68</f>
        <v>224.35070454864223</v>
      </c>
      <c r="E76" s="427">
        <v>507.6848874598071</v>
      </c>
      <c r="F76" s="428">
        <v>9.6560001373291016</v>
      </c>
    </row>
    <row r="77" spans="1:9">
      <c r="A77" s="429">
        <v>125</v>
      </c>
      <c r="B77" s="428"/>
      <c r="C77" s="427">
        <f>CEILING(C76*2,100)</f>
        <v>500</v>
      </c>
      <c r="E77" s="427">
        <v>494.85530546623795</v>
      </c>
      <c r="F77" s="428">
        <v>10.71399974822998</v>
      </c>
    </row>
    <row r="78" spans="1:9">
      <c r="A78" s="429">
        <v>125</v>
      </c>
      <c r="B78" s="428"/>
      <c r="C78" s="427">
        <f>2*C77</f>
        <v>1000</v>
      </c>
      <c r="E78" s="427">
        <v>479.42122186495175</v>
      </c>
      <c r="F78" s="428">
        <v>11.597999572753906</v>
      </c>
    </row>
    <row r="79" spans="1:9">
      <c r="A79" s="429">
        <v>125</v>
      </c>
      <c r="B79" s="429"/>
      <c r="C79" s="429">
        <v>10000</v>
      </c>
      <c r="E79" s="427">
        <v>435.78778135048231</v>
      </c>
      <c r="F79" s="428">
        <v>11.980999946594238</v>
      </c>
    </row>
    <row r="80" spans="1:9">
      <c r="E80" s="427">
        <v>269.48553054662381</v>
      </c>
      <c r="F80" s="428">
        <v>12.048000335693359</v>
      </c>
    </row>
    <row r="81" spans="5:6">
      <c r="E81" s="427">
        <v>0</v>
      </c>
      <c r="F81" s="428">
        <v>12.156000137329102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4" workbookViewId="0">
      <selection sqref="A1:K1"/>
    </sheetView>
  </sheetViews>
  <sheetFormatPr defaultRowHeight="12.75"/>
  <cols>
    <col min="1" max="1" width="9.5703125" style="389" customWidth="1"/>
    <col min="2" max="11" width="7.7109375" style="389" customWidth="1"/>
    <col min="12" max="16384" width="9.140625" style="389"/>
  </cols>
  <sheetData>
    <row r="1" spans="1:12" ht="20.25">
      <c r="A1" s="714" t="s">
        <v>602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391"/>
    </row>
    <row r="2" spans="1:12" ht="30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</row>
    <row r="3" spans="1:12" ht="19.5">
      <c r="A3" s="430" t="s">
        <v>437</v>
      </c>
      <c r="B3" s="431" t="s">
        <v>476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</row>
    <row r="4" spans="1:12" ht="12" customHeight="1">
      <c r="A4" s="391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</row>
    <row r="5" spans="1:12" ht="19.5">
      <c r="A5" s="432" t="s">
        <v>603</v>
      </c>
      <c r="B5" s="433"/>
      <c r="C5" s="433"/>
      <c r="D5" s="433"/>
      <c r="E5" s="433"/>
      <c r="F5" s="391"/>
      <c r="G5" s="391"/>
      <c r="H5" s="391"/>
      <c r="I5" s="391"/>
      <c r="J5" s="391"/>
      <c r="K5" s="391"/>
      <c r="L5" s="391"/>
    </row>
    <row r="6" spans="1:12" ht="17.25" customHeight="1">
      <c r="A6" s="391"/>
      <c r="B6" s="391"/>
      <c r="C6" s="391"/>
      <c r="D6" s="391"/>
      <c r="E6" s="391"/>
      <c r="F6" s="391"/>
      <c r="G6" s="391"/>
      <c r="H6" s="391"/>
      <c r="I6" s="391"/>
      <c r="J6" s="391"/>
      <c r="K6" s="391"/>
      <c r="L6" s="391"/>
    </row>
    <row r="7" spans="1:12" ht="15.75">
      <c r="A7" s="391"/>
      <c r="B7" s="434" t="s">
        <v>604</v>
      </c>
      <c r="C7" s="435">
        <v>0</v>
      </c>
      <c r="D7" s="434" t="s">
        <v>604</v>
      </c>
      <c r="E7" s="436" t="s">
        <v>605</v>
      </c>
      <c r="F7" s="434" t="s">
        <v>604</v>
      </c>
      <c r="G7" s="436" t="s">
        <v>606</v>
      </c>
      <c r="H7" s="434" t="s">
        <v>607</v>
      </c>
      <c r="I7" s="436">
        <v>0</v>
      </c>
      <c r="J7" s="434" t="s">
        <v>607</v>
      </c>
      <c r="K7" s="436">
        <v>6.0000000000000001E-3</v>
      </c>
      <c r="L7" s="391"/>
    </row>
    <row r="8" spans="1:12" ht="15.75">
      <c r="A8" s="394" t="s">
        <v>608</v>
      </c>
      <c r="B8" s="699">
        <v>10</v>
      </c>
      <c r="C8" s="699"/>
      <c r="D8" s="699">
        <v>22</v>
      </c>
      <c r="E8" s="699"/>
      <c r="F8" s="699">
        <v>2</v>
      </c>
      <c r="G8" s="699"/>
      <c r="H8" s="699" t="s">
        <v>623</v>
      </c>
      <c r="I8" s="699"/>
      <c r="J8" s="699" t="s">
        <v>624</v>
      </c>
      <c r="K8" s="699"/>
      <c r="L8" s="391"/>
    </row>
    <row r="9" spans="1:12" ht="15.75">
      <c r="A9" s="394" t="s">
        <v>609</v>
      </c>
      <c r="B9" s="699">
        <v>18</v>
      </c>
      <c r="C9" s="699"/>
      <c r="D9" s="699">
        <v>30</v>
      </c>
      <c r="E9" s="699"/>
      <c r="F9" s="699">
        <v>6</v>
      </c>
      <c r="G9" s="699"/>
      <c r="H9" s="699" t="s">
        <v>625</v>
      </c>
      <c r="I9" s="699"/>
      <c r="J9" s="699" t="s">
        <v>626</v>
      </c>
      <c r="K9" s="699"/>
      <c r="L9" s="391"/>
    </row>
    <row r="10" spans="1:12" ht="15.75">
      <c r="A10" s="394" t="s">
        <v>610</v>
      </c>
      <c r="B10" s="699">
        <v>14</v>
      </c>
      <c r="C10" s="699"/>
      <c r="D10" s="699">
        <v>26</v>
      </c>
      <c r="E10" s="699"/>
      <c r="F10" s="699">
        <v>2</v>
      </c>
      <c r="G10" s="699"/>
      <c r="H10" s="699" t="s">
        <v>627</v>
      </c>
      <c r="I10" s="699"/>
      <c r="J10" s="699" t="s">
        <v>628</v>
      </c>
      <c r="K10" s="699"/>
      <c r="L10" s="391"/>
    </row>
    <row r="11" spans="1:12" ht="26.25" customHeight="1">
      <c r="A11" s="391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</row>
    <row r="12" spans="1:12" ht="19.5">
      <c r="A12" s="432" t="s">
        <v>611</v>
      </c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</row>
    <row r="13" spans="1:12" ht="15.75">
      <c r="A13" s="391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</row>
    <row r="14" spans="1:12" ht="15.75">
      <c r="A14" s="391"/>
      <c r="B14" s="712" t="s">
        <v>612</v>
      </c>
      <c r="C14" s="695"/>
      <c r="D14" s="713" t="s">
        <v>629</v>
      </c>
      <c r="E14" s="699"/>
      <c r="F14" s="712" t="s">
        <v>613</v>
      </c>
      <c r="G14" s="695"/>
      <c r="H14" s="713" t="s">
        <v>634</v>
      </c>
      <c r="I14" s="699"/>
      <c r="J14" s="391"/>
      <c r="K14" s="391"/>
      <c r="L14" s="391"/>
    </row>
    <row r="15" spans="1:12" ht="15.75">
      <c r="A15" s="391"/>
      <c r="B15" s="712" t="s">
        <v>614</v>
      </c>
      <c r="C15" s="695"/>
      <c r="D15" s="713" t="s">
        <v>630</v>
      </c>
      <c r="E15" s="699"/>
      <c r="F15" s="712" t="s">
        <v>615</v>
      </c>
      <c r="G15" s="695"/>
      <c r="H15" s="713" t="s">
        <v>635</v>
      </c>
      <c r="I15" s="699"/>
      <c r="J15" s="391"/>
      <c r="K15" s="391"/>
      <c r="L15" s="391"/>
    </row>
    <row r="16" spans="1:12" ht="15.75">
      <c r="A16" s="391"/>
      <c r="B16" s="712" t="s">
        <v>616</v>
      </c>
      <c r="C16" s="695"/>
      <c r="D16" s="713" t="s">
        <v>631</v>
      </c>
      <c r="E16" s="699"/>
      <c r="F16" s="712" t="s">
        <v>617</v>
      </c>
      <c r="G16" s="695"/>
      <c r="H16" s="713" t="s">
        <v>636</v>
      </c>
      <c r="I16" s="699"/>
      <c r="J16" s="391"/>
      <c r="K16" s="391"/>
      <c r="L16" s="391"/>
    </row>
    <row r="17" spans="1:12" ht="15.75">
      <c r="A17" s="391"/>
      <c r="B17" s="712" t="s">
        <v>618</v>
      </c>
      <c r="C17" s="695"/>
      <c r="D17" s="713" t="s">
        <v>632</v>
      </c>
      <c r="E17" s="699"/>
      <c r="F17" s="712" t="s">
        <v>619</v>
      </c>
      <c r="G17" s="695"/>
      <c r="H17" s="713" t="s">
        <v>637</v>
      </c>
      <c r="I17" s="699"/>
      <c r="J17" s="391"/>
      <c r="K17" s="391"/>
      <c r="L17" s="391"/>
    </row>
    <row r="18" spans="1:12" ht="15.75">
      <c r="A18" s="391"/>
      <c r="B18" s="712" t="s">
        <v>620</v>
      </c>
      <c r="C18" s="695"/>
      <c r="D18" s="713" t="s">
        <v>633</v>
      </c>
      <c r="E18" s="699"/>
      <c r="F18" s="712" t="s">
        <v>621</v>
      </c>
      <c r="G18" s="695"/>
      <c r="H18" s="713" t="s">
        <v>638</v>
      </c>
      <c r="I18" s="699"/>
      <c r="J18" s="391"/>
      <c r="K18" s="391"/>
      <c r="L18" s="391"/>
    </row>
    <row r="19" spans="1:12" ht="27" customHeight="1">
      <c r="A19" s="391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</row>
    <row r="20" spans="1:12" ht="19.5">
      <c r="A20" s="432" t="s">
        <v>622</v>
      </c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</row>
    <row r="21" spans="1:12" ht="15.75">
      <c r="A21" s="391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</row>
    <row r="22" spans="1:12" ht="19.5">
      <c r="A22" s="391"/>
      <c r="B22" s="432" t="s">
        <v>639</v>
      </c>
      <c r="C22" s="391"/>
      <c r="D22" s="391"/>
      <c r="E22" s="391"/>
      <c r="F22" s="391"/>
      <c r="G22" s="391"/>
      <c r="H22" s="391"/>
      <c r="I22" s="391"/>
      <c r="J22" s="391"/>
      <c r="K22" s="391"/>
      <c r="L22" s="391"/>
    </row>
    <row r="23" spans="1:12" ht="15.75">
      <c r="A23" s="391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</row>
    <row r="24" spans="1:12" ht="15.75">
      <c r="A24" s="391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</row>
    <row r="25" spans="1:12" ht="15.75">
      <c r="A25" s="391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</row>
    <row r="26" spans="1:12" ht="15.75">
      <c r="A26" s="391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</row>
    <row r="27" spans="1:12" ht="15.75">
      <c r="A27" s="391"/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</row>
    <row r="28" spans="1:12" ht="15.75">
      <c r="A28" s="391"/>
      <c r="B28" s="391"/>
      <c r="C28" s="391"/>
      <c r="D28" s="391"/>
      <c r="E28" s="391"/>
      <c r="F28" s="391"/>
      <c r="G28" s="391"/>
      <c r="H28" s="391"/>
      <c r="I28" s="391"/>
      <c r="J28" s="391"/>
      <c r="K28" s="391"/>
      <c r="L28" s="391"/>
    </row>
    <row r="29" spans="1:12" ht="15.75">
      <c r="A29" s="391"/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</row>
    <row r="30" spans="1:12" ht="15.75">
      <c r="A30" s="391"/>
      <c r="B30" s="391"/>
      <c r="C30" s="391"/>
      <c r="D30" s="391"/>
      <c r="E30" s="391"/>
      <c r="F30" s="391"/>
      <c r="G30" s="391"/>
      <c r="H30" s="391"/>
      <c r="I30" s="391"/>
      <c r="J30" s="391"/>
      <c r="K30" s="391"/>
      <c r="L30" s="391"/>
    </row>
    <row r="31" spans="1:12" ht="15.75">
      <c r="A31" s="391"/>
      <c r="B31" s="391"/>
      <c r="C31" s="391"/>
      <c r="D31" s="391"/>
      <c r="E31" s="391"/>
      <c r="F31" s="391"/>
      <c r="G31" s="391"/>
      <c r="H31" s="391"/>
      <c r="I31" s="391"/>
      <c r="J31" s="391"/>
      <c r="K31" s="391"/>
      <c r="L31" s="391"/>
    </row>
    <row r="32" spans="1:12" ht="15.75">
      <c r="A32" s="391"/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1:12" ht="15.75">
      <c r="A33" s="391"/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0" workbookViewId="0">
      <selection activeCell="H26" sqref="H26"/>
    </sheetView>
  </sheetViews>
  <sheetFormatPr defaultRowHeight="12.75"/>
  <cols>
    <col min="1" max="6" width="16.7109375" style="389" customWidth="1"/>
    <col min="7" max="16384" width="9.140625" style="389"/>
  </cols>
  <sheetData>
    <row r="1" spans="1:6" ht="18.95" customHeight="1">
      <c r="A1" s="401"/>
      <c r="B1" s="402"/>
      <c r="C1" s="402"/>
      <c r="D1" s="402"/>
      <c r="E1" s="402"/>
      <c r="F1" s="403"/>
    </row>
    <row r="2" spans="1:6" ht="26.1" customHeight="1">
      <c r="A2" s="404" t="s">
        <v>252</v>
      </c>
      <c r="B2" s="405"/>
      <c r="C2" s="405"/>
      <c r="D2" s="405"/>
      <c r="E2" s="405"/>
      <c r="F2" s="406"/>
    </row>
    <row r="3" spans="1:6" ht="18.95" customHeight="1">
      <c r="A3" s="437" t="s">
        <v>640</v>
      </c>
      <c r="B3" s="405"/>
      <c r="C3" s="405"/>
      <c r="D3" s="405"/>
      <c r="E3" s="405"/>
      <c r="F3" s="406"/>
    </row>
    <row r="4" spans="1:6" ht="18.95" customHeight="1">
      <c r="A4" s="709" t="s">
        <v>596</v>
      </c>
      <c r="B4" s="710"/>
      <c r="C4" s="710"/>
      <c r="D4" s="710"/>
      <c r="E4" s="710"/>
      <c r="F4" s="711"/>
    </row>
    <row r="5" spans="1:6" ht="18.95" customHeight="1">
      <c r="A5" s="407"/>
      <c r="B5" s="408"/>
      <c r="C5" s="408"/>
      <c r="D5" s="408"/>
      <c r="E5" s="408"/>
      <c r="F5" s="409"/>
    </row>
    <row r="6" spans="1:6" ht="18.95" customHeight="1">
      <c r="A6" s="410" t="s">
        <v>403</v>
      </c>
      <c r="B6" s="692" t="str">
        <f>'Performance Data Sheet'!C17</f>
        <v>M505TCQL11E-C</v>
      </c>
      <c r="C6" s="693"/>
      <c r="D6" s="694"/>
      <c r="E6" s="410" t="s">
        <v>404</v>
      </c>
      <c r="F6" s="411">
        <v>311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6813US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2500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41982</v>
      </c>
    </row>
    <row r="10" spans="1:6" ht="18.95" customHeight="1">
      <c r="A10" s="410" t="s">
        <v>414</v>
      </c>
      <c r="B10" s="411">
        <v>1784</v>
      </c>
      <c r="C10" s="410" t="s">
        <v>415</v>
      </c>
      <c r="D10" s="411" t="s">
        <v>416</v>
      </c>
      <c r="E10" s="410" t="s">
        <v>1</v>
      </c>
      <c r="F10" s="411" t="s">
        <v>363</v>
      </c>
    </row>
    <row r="11" spans="1:6" ht="18.95" customHeight="1">
      <c r="A11" s="407"/>
      <c r="B11" s="408"/>
      <c r="C11" s="408"/>
      <c r="D11" s="408"/>
      <c r="E11" s="408"/>
      <c r="F11" s="409"/>
    </row>
    <row r="12" spans="1:6" ht="18.95" customHeight="1">
      <c r="A12" s="369"/>
      <c r="B12" s="372" t="s">
        <v>417</v>
      </c>
      <c r="C12" s="373" t="s">
        <v>430</v>
      </c>
      <c r="D12" s="372" t="s">
        <v>418</v>
      </c>
      <c r="E12" s="373" t="s">
        <v>416</v>
      </c>
      <c r="F12" s="409"/>
    </row>
    <row r="13" spans="1:6" ht="18.95" customHeight="1">
      <c r="A13" s="369"/>
      <c r="B13" s="372" t="s">
        <v>419</v>
      </c>
      <c r="C13" s="374">
        <v>0.75</v>
      </c>
      <c r="D13" s="372" t="s">
        <v>420</v>
      </c>
      <c r="E13" s="373" t="s">
        <v>416</v>
      </c>
      <c r="F13" s="409"/>
    </row>
    <row r="14" spans="1:6" ht="18.95" customHeight="1">
      <c r="A14" s="369"/>
      <c r="B14" s="372" t="s">
        <v>421</v>
      </c>
      <c r="C14" s="374">
        <v>2.2999999999999998</v>
      </c>
      <c r="D14" s="372" t="s">
        <v>422</v>
      </c>
      <c r="E14" s="373" t="s">
        <v>416</v>
      </c>
      <c r="F14" s="409"/>
    </row>
    <row r="15" spans="1:6" ht="18.95" customHeight="1">
      <c r="A15" s="369"/>
      <c r="B15" s="372" t="s">
        <v>423</v>
      </c>
      <c r="C15" s="373" t="s">
        <v>748</v>
      </c>
      <c r="D15" s="370"/>
      <c r="E15" s="370"/>
      <c r="F15" s="409"/>
    </row>
    <row r="16" spans="1:6" ht="18.95" customHeight="1">
      <c r="A16" s="407"/>
      <c r="B16" s="408"/>
      <c r="C16" s="408"/>
      <c r="D16" s="408"/>
      <c r="E16" s="408"/>
      <c r="F16" s="409"/>
    </row>
    <row r="17" spans="1:8" ht="18.95" customHeight="1">
      <c r="A17" s="407"/>
      <c r="B17" s="408"/>
      <c r="C17" s="408"/>
      <c r="D17" s="408"/>
      <c r="E17" s="408"/>
      <c r="F17" s="409"/>
    </row>
    <row r="18" spans="1:8" ht="18.95" customHeight="1">
      <c r="A18" s="407"/>
      <c r="B18" s="408"/>
      <c r="C18" s="408"/>
      <c r="D18" s="408"/>
      <c r="E18" s="408"/>
      <c r="F18" s="409"/>
    </row>
    <row r="19" spans="1:8" ht="18.95" customHeight="1">
      <c r="A19" s="407"/>
      <c r="B19" s="408"/>
      <c r="C19" s="408"/>
      <c r="D19" s="408"/>
      <c r="E19" s="408"/>
      <c r="F19" s="409"/>
    </row>
    <row r="20" spans="1:8" ht="18.95" customHeight="1">
      <c r="A20" s="407"/>
      <c r="B20" s="408"/>
      <c r="C20" s="408"/>
      <c r="D20" s="408"/>
      <c r="E20" s="408"/>
      <c r="F20" s="409"/>
    </row>
    <row r="21" spans="1:8" ht="18.95" customHeight="1">
      <c r="A21" s="407"/>
      <c r="B21" s="408"/>
      <c r="C21" s="408"/>
      <c r="D21" s="408"/>
      <c r="E21" s="408"/>
      <c r="F21" s="409"/>
    </row>
    <row r="22" spans="1:8" ht="18.95" customHeight="1">
      <c r="A22" s="407"/>
      <c r="B22" s="408"/>
      <c r="C22" s="408"/>
      <c r="D22" s="408"/>
      <c r="E22" s="408"/>
      <c r="F22" s="409"/>
    </row>
    <row r="23" spans="1:8" ht="18.95" customHeight="1">
      <c r="A23" s="407"/>
      <c r="B23" s="408"/>
      <c r="C23" s="408"/>
      <c r="D23" s="408"/>
      <c r="E23" s="408"/>
      <c r="F23" s="409"/>
    </row>
    <row r="24" spans="1:8" ht="18.95" customHeight="1">
      <c r="A24" s="407"/>
      <c r="B24" s="408"/>
      <c r="C24" s="408"/>
      <c r="D24" s="408"/>
      <c r="E24" s="408"/>
      <c r="F24" s="409"/>
      <c r="H24" s="438"/>
    </row>
    <row r="25" spans="1:8" ht="18.95" customHeight="1">
      <c r="A25" s="407"/>
      <c r="B25" s="408"/>
      <c r="C25" s="408"/>
      <c r="D25" s="408"/>
      <c r="E25" s="408"/>
      <c r="F25" s="409"/>
    </row>
    <row r="26" spans="1:8" ht="18.95" customHeight="1">
      <c r="A26" s="407"/>
      <c r="B26" s="408"/>
      <c r="C26" s="408"/>
      <c r="D26" s="408"/>
      <c r="E26" s="408"/>
      <c r="F26" s="409"/>
    </row>
    <row r="27" spans="1:8" ht="18.95" customHeight="1">
      <c r="A27" s="407"/>
      <c r="B27" s="408"/>
      <c r="C27" s="408"/>
      <c r="D27" s="408"/>
      <c r="E27" s="408"/>
      <c r="F27" s="409"/>
    </row>
    <row r="28" spans="1:8" ht="18.95" customHeight="1">
      <c r="A28" s="407"/>
      <c r="B28" s="408"/>
      <c r="C28" s="408"/>
      <c r="D28" s="408"/>
      <c r="E28" s="408"/>
      <c r="F28" s="409"/>
    </row>
    <row r="29" spans="1:8" ht="18.95" customHeight="1">
      <c r="A29" s="407"/>
      <c r="B29" s="408"/>
      <c r="C29" s="408"/>
      <c r="D29" s="408"/>
      <c r="E29" s="408"/>
      <c r="F29" s="409"/>
    </row>
    <row r="30" spans="1:8" ht="18.95" customHeight="1">
      <c r="A30" s="407"/>
      <c r="B30" s="408"/>
      <c r="C30" s="408"/>
      <c r="D30" s="408"/>
      <c r="E30" s="408"/>
      <c r="F30" s="409"/>
    </row>
    <row r="31" spans="1:8" ht="18.95" customHeight="1">
      <c r="A31" s="407"/>
      <c r="B31" s="408"/>
      <c r="C31" s="408"/>
      <c r="D31" s="408"/>
      <c r="E31" s="408"/>
      <c r="F31" s="409"/>
    </row>
    <row r="32" spans="1:8" ht="18.95" customHeight="1">
      <c r="A32" s="407"/>
      <c r="B32" s="408"/>
      <c r="C32" s="408"/>
      <c r="D32" s="408"/>
      <c r="E32" s="408"/>
      <c r="F32" s="409"/>
    </row>
    <row r="33" spans="1:6" ht="18.95" customHeight="1">
      <c r="A33" s="407"/>
      <c r="B33" s="408"/>
      <c r="C33" s="408"/>
      <c r="D33" s="408"/>
      <c r="E33" s="408"/>
      <c r="F33" s="409"/>
    </row>
    <row r="34" spans="1:6" ht="18.95" customHeight="1">
      <c r="A34" s="407"/>
      <c r="B34" s="408"/>
      <c r="C34" s="408"/>
      <c r="D34" s="408"/>
      <c r="E34" s="408"/>
      <c r="F34" s="409"/>
    </row>
    <row r="35" spans="1:6" ht="18.95" customHeight="1">
      <c r="A35" s="407"/>
      <c r="B35" s="408"/>
      <c r="C35" s="408"/>
      <c r="D35" s="408"/>
      <c r="E35" s="408"/>
      <c r="F35" s="409"/>
    </row>
    <row r="36" spans="1:6" ht="18.95" customHeight="1">
      <c r="A36" s="407"/>
      <c r="B36" s="408"/>
      <c r="C36" s="408"/>
      <c r="D36" s="408"/>
      <c r="E36" s="408"/>
      <c r="F36" s="409"/>
    </row>
    <row r="37" spans="1:6" ht="18.95" customHeight="1">
      <c r="A37" s="407"/>
      <c r="B37" s="408"/>
      <c r="C37" s="408"/>
      <c r="D37" s="408"/>
      <c r="E37" s="408"/>
      <c r="F37" s="409"/>
    </row>
    <row r="38" spans="1:6" ht="18.95" customHeight="1">
      <c r="A38" s="407"/>
      <c r="B38" s="408"/>
      <c r="C38" s="408"/>
      <c r="D38" s="408"/>
      <c r="E38" s="408"/>
      <c r="F38" s="409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363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9" t="s">
        <v>431</v>
      </c>
      <c r="B53" s="439" t="s">
        <v>142</v>
      </c>
      <c r="C53" s="439" t="s">
        <v>120</v>
      </c>
      <c r="D53" s="439" t="s">
        <v>135</v>
      </c>
      <c r="E53" s="439" t="s">
        <v>5</v>
      </c>
      <c r="F53" s="440" t="s">
        <v>641</v>
      </c>
    </row>
    <row r="54" spans="1:6" ht="15" customHeight="1">
      <c r="A54" s="441">
        <v>0</v>
      </c>
      <c r="B54" s="442"/>
      <c r="C54" s="443"/>
      <c r="D54" s="443">
        <v>81.277960725472951</v>
      </c>
      <c r="E54" s="443">
        <v>100</v>
      </c>
      <c r="F54" s="444">
        <v>0.34151599999999999</v>
      </c>
    </row>
    <row r="55" spans="1:6" ht="15" customHeight="1">
      <c r="A55" s="445">
        <v>25</v>
      </c>
      <c r="B55" s="446">
        <v>92.360267639160156</v>
      </c>
      <c r="C55" s="447">
        <v>63.650657653808594</v>
      </c>
      <c r="D55" s="447">
        <v>114.27679443359375</v>
      </c>
      <c r="E55" s="447">
        <v>65.209548649751099</v>
      </c>
      <c r="F55" s="448">
        <v>8.3988062502821741</v>
      </c>
    </row>
    <row r="56" spans="1:6" ht="15" customHeight="1">
      <c r="A56" s="445">
        <v>50</v>
      </c>
      <c r="B56" s="446">
        <v>95.168876647949219</v>
      </c>
      <c r="C56" s="447">
        <v>82.484909057617188</v>
      </c>
      <c r="D56" s="447">
        <v>171.1617431640625</v>
      </c>
      <c r="E56" s="447">
        <v>51.309124772384635</v>
      </c>
      <c r="F56" s="448">
        <v>16.301884871907401</v>
      </c>
    </row>
    <row r="57" spans="1:6">
      <c r="A57" s="445">
        <v>75</v>
      </c>
      <c r="B57" s="446">
        <v>95.931549072265625</v>
      </c>
      <c r="C57" s="447">
        <v>88.040275573730469</v>
      </c>
      <c r="D57" s="447">
        <v>238.6297607421875</v>
      </c>
      <c r="E57" s="447">
        <v>37.09889774362393</v>
      </c>
      <c r="F57" s="448">
        <v>24.258425191354437</v>
      </c>
    </row>
    <row r="58" spans="1:6">
      <c r="A58" s="445">
        <v>100</v>
      </c>
      <c r="B58" s="446">
        <v>96.151046752929688</v>
      </c>
      <c r="C58" s="447">
        <v>89.764572143554688</v>
      </c>
      <c r="D58" s="447">
        <v>311.34878540039062</v>
      </c>
      <c r="E58" s="447">
        <v>22.487870002566378</v>
      </c>
      <c r="F58" s="448">
        <v>32.270728679570844</v>
      </c>
    </row>
    <row r="59" spans="1:6" ht="13.5" thickBot="1">
      <c r="A59" s="449">
        <v>125</v>
      </c>
      <c r="B59" s="450">
        <v>96.144828796386719</v>
      </c>
      <c r="C59" s="451">
        <v>89.964118957519531</v>
      </c>
      <c r="D59" s="451">
        <v>388.34783935546875</v>
      </c>
      <c r="E59" s="451">
        <v>7.8109568119612227</v>
      </c>
      <c r="F59" s="452">
        <v>40.341017079260247</v>
      </c>
    </row>
    <row r="60" spans="1:6">
      <c r="A60" s="453"/>
      <c r="B60" s="454"/>
      <c r="C60" s="454"/>
    </row>
    <row r="61" spans="1:6">
      <c r="A61" s="453"/>
      <c r="B61" s="454"/>
      <c r="C61" s="454"/>
    </row>
    <row r="62" spans="1:6">
      <c r="A62" s="453"/>
      <c r="B62" s="454"/>
      <c r="C62" s="454"/>
    </row>
    <row r="63" spans="1:6">
      <c r="A63" s="453"/>
      <c r="B63" s="454"/>
      <c r="C63" s="454"/>
    </row>
    <row r="64" spans="1:6">
      <c r="A64" s="453"/>
      <c r="B64" s="454"/>
      <c r="C64" s="454"/>
    </row>
    <row r="65" spans="1:3">
      <c r="A65" s="453"/>
      <c r="B65" s="454"/>
      <c r="C65" s="454"/>
    </row>
    <row r="66" spans="1:3">
      <c r="A66" s="453"/>
      <c r="B66" s="454"/>
      <c r="C66" s="454"/>
    </row>
    <row r="67" spans="1:3">
      <c r="A67" s="455"/>
      <c r="B67" s="454"/>
      <c r="C67" s="454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1"/>
  <sheetViews>
    <sheetView showGridLines="0" zoomScale="90" workbookViewId="0">
      <selection activeCell="P13" sqref="P13"/>
    </sheetView>
  </sheetViews>
  <sheetFormatPr defaultColWidth="12.5703125" defaultRowHeight="15.75"/>
  <cols>
    <col min="1" max="13" width="7" style="463" customWidth="1"/>
    <col min="14" max="14" width="7.140625" style="463" customWidth="1"/>
    <col min="15" max="16384" width="12.5703125" style="463"/>
  </cols>
  <sheetData>
    <row r="1" spans="1:14" ht="17.100000000000001" customHeight="1">
      <c r="A1" s="456" t="s">
        <v>252</v>
      </c>
      <c r="B1" s="457"/>
      <c r="C1" s="457"/>
      <c r="D1" s="457"/>
      <c r="E1" s="457"/>
      <c r="F1" s="457"/>
      <c r="G1" s="457"/>
      <c r="H1" s="457"/>
      <c r="I1" s="457"/>
      <c r="J1" s="458" t="s">
        <v>642</v>
      </c>
      <c r="K1" s="459"/>
      <c r="L1" s="460" t="s">
        <v>643</v>
      </c>
      <c r="M1" s="461"/>
      <c r="N1" s="462"/>
    </row>
    <row r="2" spans="1:14" ht="17.100000000000001" customHeight="1">
      <c r="A2" s="464" t="s">
        <v>644</v>
      </c>
      <c r="B2" s="465"/>
      <c r="C2" s="465"/>
      <c r="D2" s="465"/>
      <c r="E2" s="465"/>
      <c r="F2" s="465"/>
      <c r="G2" s="465"/>
      <c r="H2" s="465"/>
      <c r="I2" s="465"/>
      <c r="J2" s="466" t="s">
        <v>645</v>
      </c>
      <c r="K2" s="467"/>
      <c r="L2" s="468" t="s">
        <v>646</v>
      </c>
      <c r="M2" s="469"/>
      <c r="N2" s="462"/>
    </row>
    <row r="3" spans="1:14" ht="15.95" customHeight="1">
      <c r="A3" s="470"/>
      <c r="B3" s="471"/>
      <c r="C3" s="471"/>
      <c r="D3" s="471"/>
      <c r="E3" s="471"/>
      <c r="F3" s="471"/>
      <c r="G3" s="471"/>
      <c r="H3" s="471"/>
      <c r="I3" s="471"/>
      <c r="J3" s="466" t="s">
        <v>647</v>
      </c>
      <c r="K3" s="467"/>
      <c r="L3" s="472" t="s">
        <v>648</v>
      </c>
      <c r="M3" s="469"/>
      <c r="N3" s="462"/>
    </row>
    <row r="4" spans="1:14" ht="15.95" customHeight="1">
      <c r="A4" s="473"/>
      <c r="B4" s="471"/>
      <c r="C4" s="471"/>
      <c r="D4" s="471"/>
      <c r="E4" s="471"/>
      <c r="F4" s="471"/>
      <c r="G4" s="471"/>
      <c r="H4" s="471"/>
      <c r="I4" s="471"/>
      <c r="J4" s="466" t="s">
        <v>649</v>
      </c>
      <c r="K4" s="467"/>
      <c r="L4" s="474" t="s">
        <v>650</v>
      </c>
      <c r="M4" s="469"/>
      <c r="N4" s="462"/>
    </row>
    <row r="5" spans="1:14" ht="15.95" customHeight="1">
      <c r="A5" s="470"/>
      <c r="B5" s="471"/>
      <c r="C5" s="471"/>
      <c r="D5" s="471"/>
      <c r="E5" s="471"/>
      <c r="F5" s="471"/>
      <c r="G5" s="471"/>
      <c r="H5" s="471"/>
      <c r="I5" s="471"/>
      <c r="J5" s="466" t="s">
        <v>651</v>
      </c>
      <c r="K5" s="467"/>
      <c r="L5" s="468">
        <v>1</v>
      </c>
      <c r="M5" s="469"/>
      <c r="N5" s="462"/>
    </row>
    <row r="6" spans="1:14" ht="15.95" customHeight="1">
      <c r="A6" s="475" t="s">
        <v>652</v>
      </c>
      <c r="B6" s="471"/>
      <c r="C6" s="471"/>
      <c r="D6" s="471"/>
      <c r="E6" s="471"/>
      <c r="F6" s="471"/>
      <c r="G6" s="471"/>
      <c r="H6" s="471"/>
      <c r="I6" s="471"/>
      <c r="J6" s="466" t="s">
        <v>653</v>
      </c>
      <c r="K6" s="467"/>
      <c r="L6" s="476" t="s">
        <v>654</v>
      </c>
      <c r="M6" s="469"/>
      <c r="N6" s="462"/>
    </row>
    <row r="7" spans="1:14" ht="15.95" customHeight="1" thickBot="1">
      <c r="A7" s="477" t="s">
        <v>655</v>
      </c>
      <c r="B7" s="478"/>
      <c r="C7" s="478"/>
      <c r="D7" s="478"/>
      <c r="E7" s="478"/>
      <c r="F7" s="478"/>
      <c r="G7" s="478"/>
      <c r="H7" s="478"/>
      <c r="I7" s="478"/>
      <c r="J7" s="479" t="s">
        <v>656</v>
      </c>
      <c r="K7" s="480"/>
      <c r="L7" s="481" t="s">
        <v>657</v>
      </c>
      <c r="M7" s="482"/>
      <c r="N7" s="462"/>
    </row>
    <row r="8" spans="1:14" ht="15.95" customHeight="1">
      <c r="A8" s="483"/>
      <c r="B8" s="471"/>
      <c r="C8" s="471"/>
      <c r="D8" s="471"/>
      <c r="E8" s="471"/>
      <c r="F8" s="471"/>
      <c r="G8" s="471"/>
      <c r="H8" s="471"/>
      <c r="I8" s="471"/>
      <c r="J8" s="471"/>
      <c r="K8" s="484"/>
      <c r="L8" s="485"/>
      <c r="M8" s="486"/>
      <c r="N8" s="471"/>
    </row>
    <row r="9" spans="1:14" ht="12" customHeight="1">
      <c r="A9" s="487"/>
      <c r="B9" s="488" t="s">
        <v>658</v>
      </c>
      <c r="C9" s="489"/>
      <c r="D9" s="490"/>
      <c r="E9" s="490"/>
      <c r="F9" s="490"/>
      <c r="G9" s="490"/>
      <c r="H9" s="490"/>
      <c r="I9" s="490"/>
      <c r="J9" s="490"/>
      <c r="K9" s="491"/>
      <c r="L9" s="492"/>
      <c r="M9" s="490"/>
      <c r="N9" s="471"/>
    </row>
    <row r="10" spans="1:14" ht="12" customHeight="1">
      <c r="A10" s="487"/>
      <c r="B10" s="488" t="s">
        <v>659</v>
      </c>
      <c r="C10" s="493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85"/>
    </row>
    <row r="11" spans="1:14" ht="16.5" thickBot="1">
      <c r="A11" s="494"/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</row>
    <row r="12" spans="1:14" ht="20.100000000000001" customHeight="1" thickBot="1">
      <c r="A12" s="495" t="s">
        <v>660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7"/>
      <c r="N12" s="462"/>
    </row>
    <row r="13" spans="1:14" ht="12.95" customHeight="1" thickTop="1">
      <c r="A13" s="498"/>
      <c r="B13" s="499" t="s">
        <v>661</v>
      </c>
      <c r="C13" s="500">
        <v>2500</v>
      </c>
      <c r="D13" s="492"/>
      <c r="E13" s="499" t="s">
        <v>662</v>
      </c>
      <c r="F13" s="500">
        <v>4000</v>
      </c>
      <c r="G13" s="492"/>
      <c r="H13" s="499" t="s">
        <v>663</v>
      </c>
      <c r="I13" s="500" t="s">
        <v>745</v>
      </c>
      <c r="J13" s="492"/>
      <c r="K13" s="492"/>
      <c r="L13" s="499" t="s">
        <v>664</v>
      </c>
      <c r="M13" s="501">
        <v>1800</v>
      </c>
      <c r="N13" s="462"/>
    </row>
    <row r="14" spans="1:14" ht="12.95" customHeight="1">
      <c r="A14" s="498"/>
      <c r="B14" s="499" t="s">
        <v>665</v>
      </c>
      <c r="C14" s="500" t="s">
        <v>752</v>
      </c>
      <c r="D14" s="492"/>
      <c r="E14" s="499" t="s">
        <v>666</v>
      </c>
      <c r="F14" s="500" t="s">
        <v>746</v>
      </c>
      <c r="G14" s="492"/>
      <c r="H14" s="499" t="s">
        <v>667</v>
      </c>
      <c r="I14" s="500">
        <v>311</v>
      </c>
      <c r="J14" s="492"/>
      <c r="K14" s="492"/>
      <c r="L14" s="499" t="s">
        <v>414</v>
      </c>
      <c r="M14" s="501">
        <v>1784</v>
      </c>
      <c r="N14" s="462"/>
    </row>
    <row r="15" spans="1:14" ht="12.95" customHeight="1">
      <c r="A15" s="498"/>
      <c r="B15" s="499" t="s">
        <v>668</v>
      </c>
      <c r="C15" s="500" t="s">
        <v>176</v>
      </c>
      <c r="D15" s="492"/>
      <c r="E15" s="499" t="s">
        <v>669</v>
      </c>
      <c r="F15" s="500">
        <v>1.1499999999999999</v>
      </c>
      <c r="G15" s="492"/>
      <c r="H15" s="502" t="s">
        <v>670</v>
      </c>
      <c r="I15" s="500" t="s">
        <v>174</v>
      </c>
      <c r="J15" s="492"/>
      <c r="K15" s="492"/>
      <c r="L15" s="499" t="s">
        <v>671</v>
      </c>
      <c r="M15" s="501" t="s">
        <v>346</v>
      </c>
      <c r="N15" s="462"/>
    </row>
    <row r="16" spans="1:14" ht="12.95" customHeight="1">
      <c r="A16" s="498"/>
      <c r="B16" s="499" t="s">
        <v>672</v>
      </c>
      <c r="C16" s="500" t="s">
        <v>744</v>
      </c>
      <c r="D16" s="492"/>
      <c r="E16" s="499" t="s">
        <v>673</v>
      </c>
      <c r="F16" s="500" t="s">
        <v>470</v>
      </c>
      <c r="G16" s="492"/>
      <c r="H16" s="503" t="s">
        <v>674</v>
      </c>
      <c r="I16" s="504" t="s">
        <v>339</v>
      </c>
      <c r="J16" s="492"/>
      <c r="K16" s="492"/>
      <c r="L16" s="499" t="s">
        <v>675</v>
      </c>
      <c r="M16" s="501" t="s">
        <v>676</v>
      </c>
      <c r="N16" s="462"/>
    </row>
    <row r="17" spans="1:14" ht="12.95" customHeight="1">
      <c r="A17" s="498"/>
      <c r="B17" s="499" t="s">
        <v>677</v>
      </c>
      <c r="C17" s="505" t="s">
        <v>754</v>
      </c>
      <c r="D17" s="492"/>
      <c r="E17" s="499"/>
      <c r="F17" s="506"/>
      <c r="G17" s="492"/>
      <c r="H17" s="499" t="s">
        <v>678</v>
      </c>
      <c r="I17" s="504"/>
      <c r="J17" s="492"/>
      <c r="K17" s="492"/>
      <c r="L17" s="499"/>
      <c r="M17" s="507"/>
      <c r="N17" s="462"/>
    </row>
    <row r="18" spans="1:14" ht="12.95" customHeight="1" thickBot="1">
      <c r="A18" s="508"/>
      <c r="B18" s="509" t="s">
        <v>679</v>
      </c>
      <c r="C18" s="510" t="s">
        <v>174</v>
      </c>
      <c r="D18" s="511"/>
      <c r="E18" s="512" t="s">
        <v>680</v>
      </c>
      <c r="F18" s="510" t="s">
        <v>174</v>
      </c>
      <c r="G18" s="513"/>
      <c r="H18" s="512" t="s">
        <v>681</v>
      </c>
      <c r="I18" s="510" t="s">
        <v>174</v>
      </c>
      <c r="J18" s="511"/>
      <c r="K18" s="511"/>
      <c r="L18" s="511"/>
      <c r="M18" s="514"/>
      <c r="N18" s="462"/>
    </row>
    <row r="19" spans="1:14" ht="16.5" thickBot="1">
      <c r="A19" s="462"/>
      <c r="B19" s="462"/>
      <c r="C19" s="462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</row>
    <row r="20" spans="1:14" ht="20.100000000000001" customHeight="1" thickBot="1">
      <c r="A20" s="495"/>
      <c r="B20" s="496"/>
      <c r="C20" s="496"/>
      <c r="D20" s="496"/>
      <c r="E20" s="496"/>
      <c r="F20" s="496"/>
      <c r="G20" s="496"/>
      <c r="H20" s="496"/>
      <c r="I20" s="496"/>
      <c r="J20" s="496"/>
      <c r="K20" s="496"/>
      <c r="L20" s="496"/>
      <c r="M20" s="497"/>
    </row>
    <row r="21" spans="1:14" ht="15.95" customHeight="1" thickTop="1">
      <c r="A21" s="515" t="s">
        <v>682</v>
      </c>
      <c r="B21" s="516"/>
      <c r="C21" s="485"/>
      <c r="D21" s="517"/>
      <c r="E21" s="518" t="s">
        <v>683</v>
      </c>
      <c r="F21" s="519"/>
      <c r="G21" s="519"/>
      <c r="H21" s="520"/>
      <c r="I21" s="521" t="s">
        <v>684</v>
      </c>
      <c r="J21" s="522"/>
      <c r="K21" s="522"/>
      <c r="L21" s="485"/>
      <c r="M21" s="523"/>
    </row>
    <row r="22" spans="1:14" ht="15.95" customHeight="1">
      <c r="A22" s="524"/>
      <c r="B22" s="492"/>
      <c r="C22" s="525" t="s">
        <v>685</v>
      </c>
      <c r="D22" s="526">
        <v>1744</v>
      </c>
      <c r="E22" s="499"/>
      <c r="G22" s="503" t="s">
        <v>686</v>
      </c>
      <c r="H22" s="527">
        <v>7360</v>
      </c>
      <c r="I22" s="525"/>
      <c r="J22" s="492"/>
      <c r="K22" s="525" t="s">
        <v>687</v>
      </c>
      <c r="L22" s="715" t="s">
        <v>747</v>
      </c>
      <c r="M22" s="716"/>
    </row>
    <row r="23" spans="1:14" ht="15.95" customHeight="1">
      <c r="A23" s="524"/>
      <c r="B23" s="525"/>
      <c r="C23" s="528"/>
      <c r="D23" s="529"/>
      <c r="E23" s="499"/>
      <c r="G23" s="499" t="s">
        <v>688</v>
      </c>
      <c r="H23" s="526">
        <v>75</v>
      </c>
      <c r="I23" s="492"/>
      <c r="J23" s="492"/>
      <c r="K23" s="499" t="s">
        <v>689</v>
      </c>
      <c r="L23" s="715" t="s">
        <v>747</v>
      </c>
      <c r="M23" s="716"/>
    </row>
    <row r="24" spans="1:14" ht="15.95" customHeight="1">
      <c r="A24" s="498"/>
      <c r="B24" s="499"/>
      <c r="C24" s="492"/>
      <c r="D24" s="529"/>
      <c r="E24" s="499"/>
      <c r="G24" s="503" t="s">
        <v>690</v>
      </c>
      <c r="H24" s="526">
        <v>230</v>
      </c>
      <c r="I24" s="492"/>
      <c r="J24" s="499"/>
      <c r="K24" s="492"/>
      <c r="L24" s="492"/>
      <c r="M24" s="507"/>
    </row>
    <row r="25" spans="1:14" ht="15.95" customHeight="1" thickBot="1">
      <c r="A25" s="508"/>
      <c r="B25" s="509"/>
      <c r="C25" s="511"/>
      <c r="D25" s="530"/>
      <c r="E25" s="512"/>
      <c r="F25" s="512"/>
      <c r="G25" s="512"/>
      <c r="H25" s="531"/>
      <c r="I25" s="511"/>
      <c r="J25" s="512"/>
      <c r="K25" s="511"/>
      <c r="L25" s="511"/>
      <c r="M25" s="514"/>
    </row>
    <row r="26" spans="1:14" ht="18.95" customHeight="1" thickBot="1">
      <c r="A26" s="532"/>
      <c r="B26" s="532"/>
      <c r="C26" s="532"/>
      <c r="D26" s="533"/>
      <c r="E26" s="533"/>
      <c r="F26" s="533"/>
      <c r="G26" s="533"/>
      <c r="H26" s="533"/>
      <c r="I26" s="533"/>
      <c r="J26" s="533"/>
      <c r="K26" s="533"/>
      <c r="L26" s="533"/>
      <c r="M26" s="462"/>
      <c r="N26" s="462"/>
    </row>
    <row r="27" spans="1:14" ht="20.100000000000001" customHeight="1" thickBot="1">
      <c r="A27" s="534"/>
      <c r="B27" s="535"/>
      <c r="C27" s="535"/>
      <c r="D27" s="535"/>
      <c r="E27" s="535"/>
      <c r="F27" s="535"/>
      <c r="G27" s="536"/>
      <c r="H27" s="535"/>
      <c r="I27" s="535"/>
      <c r="J27" s="535"/>
      <c r="K27" s="535"/>
      <c r="L27" s="535"/>
      <c r="M27" s="537"/>
    </row>
    <row r="28" spans="1:14" ht="15.95" customHeight="1" thickTop="1">
      <c r="A28" s="538" t="s">
        <v>691</v>
      </c>
      <c r="B28" s="516"/>
      <c r="C28" s="485"/>
      <c r="D28" s="485"/>
      <c r="E28" s="519"/>
      <c r="F28" s="519"/>
      <c r="G28" s="539"/>
      <c r="H28" s="518" t="s">
        <v>692</v>
      </c>
      <c r="I28" s="519"/>
      <c r="J28" s="522"/>
      <c r="K28" s="518"/>
      <c r="L28" s="522"/>
      <c r="M28" s="523"/>
    </row>
    <row r="29" spans="1:14" ht="15.95" customHeight="1">
      <c r="A29" s="498"/>
      <c r="B29" s="525"/>
      <c r="C29" s="525" t="s">
        <v>693</v>
      </c>
      <c r="D29" s="540">
        <v>96.2</v>
      </c>
      <c r="E29" s="499"/>
      <c r="F29" s="499"/>
      <c r="G29" s="539"/>
      <c r="H29" s="503"/>
      <c r="I29" s="525"/>
      <c r="J29" s="525" t="s">
        <v>693</v>
      </c>
      <c r="K29" s="540">
        <v>89.8</v>
      </c>
      <c r="L29" s="492"/>
      <c r="M29" s="507"/>
    </row>
    <row r="30" spans="1:14" ht="15.95" customHeight="1">
      <c r="A30" s="541"/>
      <c r="B30" s="492"/>
      <c r="C30" s="525" t="s">
        <v>694</v>
      </c>
      <c r="D30" s="540">
        <v>96</v>
      </c>
      <c r="E30" s="499"/>
      <c r="F30" s="499"/>
      <c r="G30" s="539"/>
      <c r="H30" s="499"/>
      <c r="I30" s="492"/>
      <c r="J30" s="525" t="s">
        <v>694</v>
      </c>
      <c r="K30" s="540">
        <v>88.1</v>
      </c>
      <c r="L30" s="492"/>
      <c r="M30" s="507"/>
    </row>
    <row r="31" spans="1:14" ht="15.95" customHeight="1">
      <c r="A31" s="498"/>
      <c r="B31" s="499"/>
      <c r="C31" s="525" t="s">
        <v>695</v>
      </c>
      <c r="D31" s="540">
        <v>95.2</v>
      </c>
      <c r="E31" s="499"/>
      <c r="F31" s="499"/>
      <c r="G31" s="539"/>
      <c r="H31" s="499"/>
      <c r="I31" s="492"/>
      <c r="J31" s="525" t="s">
        <v>695</v>
      </c>
      <c r="K31" s="540">
        <v>82.6</v>
      </c>
      <c r="L31" s="499"/>
      <c r="M31" s="507"/>
    </row>
    <row r="32" spans="1:14" ht="15.95" customHeight="1" thickBot="1">
      <c r="A32" s="508"/>
      <c r="B32" s="509"/>
      <c r="C32" s="511"/>
      <c r="D32" s="511"/>
      <c r="E32" s="512"/>
      <c r="F32" s="512"/>
      <c r="G32" s="542"/>
      <c r="H32" s="512"/>
      <c r="I32" s="511"/>
      <c r="J32" s="512"/>
      <c r="K32" s="511"/>
      <c r="L32" s="512"/>
      <c r="M32" s="514"/>
    </row>
    <row r="33" spans="1:14" ht="20.100000000000001" customHeight="1" thickBot="1">
      <c r="A33" s="543"/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4"/>
      <c r="N33" s="544"/>
    </row>
    <row r="34" spans="1:14" ht="20.100000000000001" customHeight="1" thickBot="1">
      <c r="A34" s="545"/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7"/>
    </row>
    <row r="35" spans="1:14" ht="15.95" customHeight="1" thickTop="1">
      <c r="A35" s="548" t="s">
        <v>696</v>
      </c>
      <c r="B35" s="528"/>
      <c r="C35" s="528"/>
      <c r="D35" s="528"/>
      <c r="E35" s="528"/>
      <c r="F35" s="528"/>
      <c r="G35" s="528"/>
      <c r="H35" s="528"/>
      <c r="I35" s="528"/>
      <c r="J35" s="528"/>
      <c r="K35" s="528"/>
      <c r="L35" s="528"/>
      <c r="M35" s="549"/>
    </row>
    <row r="36" spans="1:14" ht="15.95" customHeight="1">
      <c r="A36" s="541" t="s">
        <v>697</v>
      </c>
      <c r="B36" s="528"/>
      <c r="C36" s="528"/>
      <c r="D36" s="528"/>
      <c r="E36" s="528"/>
      <c r="F36" s="528"/>
      <c r="G36" s="528"/>
      <c r="H36" s="528"/>
      <c r="I36" s="528"/>
      <c r="J36" s="528"/>
      <c r="K36" s="528"/>
      <c r="L36" s="528"/>
      <c r="M36" s="549"/>
    </row>
    <row r="37" spans="1:14" ht="15.95" customHeight="1">
      <c r="A37" s="550" t="s">
        <v>698</v>
      </c>
      <c r="B37" s="528"/>
      <c r="C37" s="528"/>
      <c r="D37" s="528"/>
      <c r="E37" s="551"/>
      <c r="F37" s="528"/>
      <c r="G37" s="528"/>
      <c r="H37" s="528"/>
      <c r="I37" s="528"/>
      <c r="J37" s="528"/>
      <c r="K37" s="528"/>
      <c r="L37" s="528"/>
      <c r="M37" s="549"/>
    </row>
    <row r="38" spans="1:14" ht="15.95" customHeight="1">
      <c r="A38" s="552" t="s">
        <v>699</v>
      </c>
      <c r="B38" s="528"/>
      <c r="C38" s="528"/>
      <c r="D38" s="528"/>
      <c r="E38" s="528"/>
      <c r="F38" s="528"/>
      <c r="G38" s="528"/>
      <c r="H38" s="528"/>
      <c r="I38" s="528"/>
      <c r="J38" s="528"/>
      <c r="K38" s="528"/>
      <c r="L38" s="528"/>
      <c r="M38" s="549"/>
    </row>
    <row r="39" spans="1:14" ht="15.95" customHeight="1">
      <c r="A39" s="553" t="s">
        <v>700</v>
      </c>
      <c r="B39" s="528"/>
      <c r="C39" s="528"/>
      <c r="D39" s="528"/>
      <c r="E39" s="528"/>
      <c r="F39" s="528"/>
      <c r="G39" s="528"/>
      <c r="H39" s="528"/>
      <c r="I39" s="528"/>
      <c r="J39" s="528"/>
      <c r="K39" s="528"/>
      <c r="L39" s="528"/>
      <c r="M39" s="549"/>
    </row>
    <row r="40" spans="1:14" ht="15.95" customHeight="1" thickBot="1">
      <c r="A40" s="554" t="s">
        <v>701</v>
      </c>
      <c r="B40" s="555"/>
      <c r="C40" s="555"/>
      <c r="D40" s="555"/>
      <c r="E40" s="555"/>
      <c r="F40" s="555"/>
      <c r="G40" s="555"/>
      <c r="H40" s="555"/>
      <c r="I40" s="555"/>
      <c r="J40" s="555"/>
      <c r="K40" s="555"/>
      <c r="L40" s="555"/>
      <c r="M40" s="556"/>
    </row>
    <row r="41" spans="1:14" ht="15.95" customHeight="1">
      <c r="A41" s="528"/>
      <c r="B41" s="528"/>
      <c r="C41" s="528"/>
      <c r="D41" s="528"/>
      <c r="E41" s="528"/>
      <c r="F41" s="528"/>
      <c r="G41" s="528"/>
      <c r="H41" s="528"/>
      <c r="I41" s="528"/>
      <c r="J41" s="528"/>
      <c r="K41" s="528"/>
      <c r="L41" s="528"/>
      <c r="M41" s="528"/>
    </row>
    <row r="42" spans="1:14" ht="15.95" customHeight="1"/>
    <row r="43" spans="1:14" ht="18">
      <c r="A43" s="557"/>
      <c r="B43" s="557"/>
      <c r="C43" s="557"/>
      <c r="D43" s="557"/>
      <c r="E43" s="557"/>
      <c r="F43" s="557"/>
      <c r="G43" s="557"/>
      <c r="H43" s="462"/>
      <c r="I43" s="462"/>
      <c r="J43" s="558" t="s">
        <v>702</v>
      </c>
      <c r="K43" s="717" t="s">
        <v>333</v>
      </c>
      <c r="L43" s="717"/>
      <c r="M43" s="717"/>
      <c r="N43" s="557"/>
    </row>
    <row r="44" spans="1:14" ht="7.5" customHeight="1">
      <c r="H44" s="462"/>
      <c r="I44" s="462"/>
      <c r="J44" s="462"/>
      <c r="K44" s="462"/>
      <c r="L44" s="462"/>
      <c r="M44" s="462"/>
    </row>
    <row r="45" spans="1:14" ht="16.5">
      <c r="H45" s="462"/>
      <c r="I45" s="462"/>
      <c r="J45" s="558" t="s">
        <v>703</v>
      </c>
      <c r="K45" s="718">
        <v>41982</v>
      </c>
      <c r="L45" s="718"/>
      <c r="M45" s="718"/>
    </row>
    <row r="60" spans="1:5">
      <c r="A60" s="463" t="s">
        <v>174</v>
      </c>
      <c r="B60" s="463" t="s">
        <v>747</v>
      </c>
      <c r="D60" s="463">
        <v>1</v>
      </c>
      <c r="E60" s="559" t="s">
        <v>174</v>
      </c>
    </row>
    <row r="61" spans="1:5">
      <c r="A61" s="463" t="s">
        <v>704</v>
      </c>
      <c r="B61" s="463" t="s">
        <v>705</v>
      </c>
      <c r="D61" s="463">
        <v>1.1499999999999999</v>
      </c>
      <c r="E61" s="559" t="s">
        <v>350</v>
      </c>
    </row>
    <row r="62" spans="1:5">
      <c r="A62" s="463" t="s">
        <v>706</v>
      </c>
      <c r="B62" s="463" t="s">
        <v>707</v>
      </c>
      <c r="E62" s="559" t="s">
        <v>303</v>
      </c>
    </row>
    <row r="63" spans="1:5">
      <c r="B63" s="463" t="s">
        <v>708</v>
      </c>
    </row>
    <row r="64" spans="1:5">
      <c r="B64" s="463" t="s">
        <v>709</v>
      </c>
    </row>
    <row r="65" spans="2:2">
      <c r="B65" s="463" t="s">
        <v>710</v>
      </c>
    </row>
    <row r="66" spans="2:2">
      <c r="B66" s="463" t="s">
        <v>711</v>
      </c>
    </row>
    <row r="67" spans="2:2">
      <c r="B67" s="463" t="s">
        <v>712</v>
      </c>
    </row>
    <row r="68" spans="2:2">
      <c r="B68" s="463" t="s">
        <v>713</v>
      </c>
    </row>
    <row r="69" spans="2:2">
      <c r="B69" s="463" t="s">
        <v>714</v>
      </c>
    </row>
    <row r="70" spans="2:2">
      <c r="B70" s="463" t="s">
        <v>715</v>
      </c>
    </row>
    <row r="71" spans="2:2">
      <c r="B71" s="463" t="s">
        <v>716</v>
      </c>
    </row>
    <row r="72" spans="2:2">
      <c r="B72" s="463" t="s">
        <v>717</v>
      </c>
    </row>
    <row r="73" spans="2:2">
      <c r="B73" s="463" t="s">
        <v>718</v>
      </c>
    </row>
    <row r="74" spans="2:2">
      <c r="B74" s="463" t="s">
        <v>719</v>
      </c>
    </row>
    <row r="75" spans="2:2">
      <c r="B75" s="463" t="s">
        <v>720</v>
      </c>
    </row>
    <row r="76" spans="2:2">
      <c r="B76" s="463" t="s">
        <v>721</v>
      </c>
    </row>
    <row r="77" spans="2:2">
      <c r="B77" s="463" t="s">
        <v>722</v>
      </c>
    </row>
    <row r="78" spans="2:2">
      <c r="B78" s="463" t="s">
        <v>723</v>
      </c>
    </row>
    <row r="79" spans="2:2">
      <c r="B79" s="463" t="s">
        <v>724</v>
      </c>
    </row>
    <row r="80" spans="2:2">
      <c r="B80" s="463" t="s">
        <v>725</v>
      </c>
    </row>
    <row r="81" spans="2:2">
      <c r="B81" s="463">
        <v>6312</v>
      </c>
    </row>
    <row r="82" spans="2:2">
      <c r="B82" s="463" t="s">
        <v>726</v>
      </c>
    </row>
    <row r="83" spans="2:2">
      <c r="B83" s="463" t="s">
        <v>727</v>
      </c>
    </row>
    <row r="84" spans="2:2">
      <c r="B84" s="463" t="s">
        <v>728</v>
      </c>
    </row>
    <row r="85" spans="2:2">
      <c r="B85" s="463" t="s">
        <v>729</v>
      </c>
    </row>
    <row r="86" spans="2:2">
      <c r="B86" s="463">
        <v>6313</v>
      </c>
    </row>
    <row r="87" spans="2:2">
      <c r="B87" s="463" t="s">
        <v>730</v>
      </c>
    </row>
    <row r="88" spans="2:2">
      <c r="B88" s="463" t="s">
        <v>731</v>
      </c>
    </row>
    <row r="89" spans="2:2">
      <c r="B89" s="463" t="s">
        <v>732</v>
      </c>
    </row>
    <row r="90" spans="2:2">
      <c r="B90" s="463">
        <v>6314</v>
      </c>
    </row>
    <row r="91" spans="2:2">
      <c r="B91" s="463" t="s">
        <v>733</v>
      </c>
    </row>
    <row r="92" spans="2:2">
      <c r="B92" s="463">
        <v>6317</v>
      </c>
    </row>
    <row r="93" spans="2:2">
      <c r="B93" s="463" t="s">
        <v>734</v>
      </c>
    </row>
    <row r="94" spans="2:2">
      <c r="B94" s="463">
        <v>6318</v>
      </c>
    </row>
    <row r="95" spans="2:2">
      <c r="B95" s="463" t="s">
        <v>735</v>
      </c>
    </row>
    <row r="96" spans="2:2">
      <c r="B96" s="463" t="s">
        <v>736</v>
      </c>
    </row>
    <row r="97" spans="2:2">
      <c r="B97" s="463" t="s">
        <v>737</v>
      </c>
    </row>
    <row r="98" spans="2:2">
      <c r="B98" s="463">
        <v>6320</v>
      </c>
    </row>
    <row r="99" spans="2:2">
      <c r="B99" s="463" t="s">
        <v>738</v>
      </c>
    </row>
    <row r="100" spans="2:2">
      <c r="B100" s="463" t="s">
        <v>739</v>
      </c>
    </row>
    <row r="101" spans="2:2">
      <c r="B101" s="463" t="s">
        <v>740</v>
      </c>
    </row>
    <row r="102" spans="2:2">
      <c r="B102" s="463" t="s">
        <v>741</v>
      </c>
    </row>
    <row r="103" spans="2:2">
      <c r="B103" s="463" t="s">
        <v>741</v>
      </c>
    </row>
    <row r="119" spans="2:2">
      <c r="B119" s="463" t="s">
        <v>742</v>
      </c>
    </row>
    <row r="121" spans="2:2">
      <c r="B121" s="463" t="s">
        <v>743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2014-12-15T21:40:18Z</cp:lastPrinted>
  <dcterms:created xsi:type="dcterms:W3CDTF">1997-10-03T20:37:30Z</dcterms:created>
  <dcterms:modified xsi:type="dcterms:W3CDTF">2015-02-23T21:02:28Z</dcterms:modified>
</cp:coreProperties>
</file>