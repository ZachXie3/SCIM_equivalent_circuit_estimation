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N:\ELECTRICAL DESIGN\Design Database\TIC\Form Wound\4 Pole\BS4900U, BW4900U\"/>
    </mc:Choice>
  </mc:AlternateContent>
  <bookViews>
    <workbookView xWindow="3165" yWindow="1080" windowWidth="4800" windowHeight="5190" activeTab="1"/>
  </bookViews>
  <sheets>
    <sheet name="DesignSheet" sheetId="2" r:id="rId1"/>
    <sheet name="Data Sheet" sheetId="3" r:id="rId2"/>
    <sheet name="LoginSheet" sheetId="4" r:id="rId3"/>
    <sheet name="StallTime" sheetId="10" r:id="rId4"/>
    <sheet name="Performance Data Sheet" sheetId="9" r:id="rId5"/>
    <sheet name="STCurve" sheetId="11" r:id="rId6"/>
    <sheet name="Thermdam" sheetId="12" r:id="rId7"/>
    <sheet name="Performance" sheetId="8" r:id="rId8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M8" i="3" l="1"/>
  <c r="M9" i="3"/>
  <c r="M10" i="3"/>
  <c r="M11" i="3"/>
  <c r="M7" i="3"/>
  <c r="F59" i="8" l="1"/>
  <c r="E59" i="8"/>
  <c r="F58" i="8"/>
  <c r="E58" i="8"/>
  <c r="F57" i="8"/>
  <c r="E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12"/>
  <c r="D43" i="11"/>
  <c r="C39" i="8"/>
  <c r="C39" i="12"/>
  <c r="C39" i="11"/>
  <c r="C15" i="8"/>
  <c r="C15" i="12"/>
  <c r="C15" i="11"/>
  <c r="C13" i="8"/>
  <c r="C13" i="12"/>
  <c r="C13" i="11"/>
  <c r="C12" i="8"/>
  <c r="C12" i="12"/>
  <c r="C12" i="11"/>
  <c r="F39" i="8"/>
  <c r="F39" i="12"/>
  <c r="F39" i="11"/>
  <c r="F9" i="8"/>
  <c r="F9" i="12"/>
  <c r="F9" i="11"/>
  <c r="F8" i="8"/>
  <c r="F8" i="12"/>
  <c r="F8" i="11"/>
  <c r="F7" i="8"/>
  <c r="F7" i="12"/>
  <c r="F7" i="11"/>
  <c r="F6" i="8"/>
  <c r="F6" i="12"/>
  <c r="F6" i="11"/>
  <c r="D7" i="8"/>
  <c r="D7" i="12"/>
  <c r="D7" i="11"/>
  <c r="B10" i="8"/>
  <c r="B10" i="12"/>
  <c r="B10" i="11"/>
  <c r="B9" i="8"/>
  <c r="B9" i="12"/>
  <c r="B9" i="11"/>
  <c r="B7" i="8"/>
  <c r="B7" i="12"/>
  <c r="B7" i="11"/>
  <c r="B6" i="8"/>
  <c r="B6" i="12"/>
  <c r="B6" i="11"/>
  <c r="C76" i="12"/>
  <c r="C77" i="12" s="1"/>
  <c r="C78" i="12" s="1"/>
  <c r="B76" i="12"/>
  <c r="C75" i="12"/>
  <c r="C74" i="12"/>
  <c r="B74" i="12"/>
  <c r="C69" i="12"/>
  <c r="E68" i="12"/>
  <c r="D66" i="12"/>
  <c r="F50" i="12"/>
  <c r="M28" i="3"/>
  <c r="M18" i="3"/>
  <c r="P31" i="2"/>
  <c r="P32" i="2"/>
  <c r="P33" i="2"/>
  <c r="P34" i="2"/>
  <c r="P30" i="2"/>
  <c r="M52" i="2"/>
  <c r="M41" i="2"/>
  <c r="L41" i="2"/>
  <c r="M40" i="2"/>
  <c r="L40" i="2"/>
  <c r="M39" i="2"/>
  <c r="L39" i="2"/>
  <c r="M38" i="2"/>
  <c r="N38" i="2" s="1"/>
  <c r="L38" i="2"/>
  <c r="M33" i="2"/>
  <c r="M32" i="2"/>
  <c r="M31" i="2"/>
  <c r="M30" i="2"/>
  <c r="M29" i="2"/>
  <c r="M50" i="2"/>
  <c r="M53" i="2" s="1"/>
  <c r="M49" i="2"/>
  <c r="M48" i="2"/>
  <c r="M46" i="2"/>
  <c r="M47" i="2"/>
  <c r="B69" i="12" l="1"/>
  <c r="B75" i="12" s="1"/>
  <c r="N41" i="2"/>
  <c r="N40" i="2"/>
  <c r="N39" i="2"/>
  <c r="B70" i="12" l="1"/>
  <c r="C70" i="12"/>
  <c r="A72" i="12" l="1"/>
  <c r="B71" i="12"/>
  <c r="C71" i="12"/>
  <c r="A73" i="12" l="1"/>
  <c r="B73" i="12" s="1"/>
  <c r="B72" i="12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<sst xmlns="http://schemas.openxmlformats.org/spreadsheetml/2006/main" count="952" uniqueCount="722">
  <si>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</si>
  <si>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</si>
  <si>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</si>
  <si>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</si>
  <si>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</si>
  <si>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</si>
  <si>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</si>
  <si>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</si>
  <si>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</si>
  <si>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</si>
  <si>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</si>
  <si>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</si>
  <si>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</si>
  <si>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</si>
  <si>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</si>
  <si>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</si>
  <si>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</si>
  <si>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</si>
  <si>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</si>
  <si>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</si>
  <si>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</si>
  <si>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</si>
  <si>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</si>
  <si>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</si>
  <si>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</si>
  <si>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</si>
  <si>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</si>
  <si>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</si>
  <si>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</si>
  <si>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</si>
  <si>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</si>
  <si>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</si>
  <si>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</si>
  <si>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</si>
  <si>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</si>
  <si>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</si>
  <si>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</si>
  <si>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</si>
  <si>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</si>
  <si>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</si>
  <si>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</si>
  <si>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</si>
  <si>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</si>
  <si>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</si>
  <si>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</si>
  <si>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</si>
  <si>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</si>
  <si>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</si>
  <si>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</si>
  <si>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</si>
  <si>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</si>
  <si>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</si>
  <si>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</si>
  <si>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</si>
  <si>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</si>
  <si>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</si>
  <si>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</si>
  <si>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</si>
  <si>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</si>
  <si>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</si>
  <si>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</si>
  <si>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</si>
  <si>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</si>
  <si>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</si>
  <si>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</si>
  <si>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</si>
  <si>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</si>
  <si>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</si>
  <si>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</si>
  <si>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</si>
  <si>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</si>
  <si>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</si>
  <si>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</si>
  <si>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</si>
  <si>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</si>
  <si>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</si>
  <si>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</si>
  <si>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</si>
  <si>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</si>
  <si>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</si>
  <si>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</si>
  <si>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</si>
  <si>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</si>
  <si>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</si>
  <si>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</si>
  <si>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</si>
  <si>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</si>
  <si>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</si>
  <si>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</si>
  <si>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</si>
  <si>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</si>
  <si>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</si>
  <si>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</si>
  <si>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</si>
  <si>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</si>
  <si>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</si>
  <si>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</si>
  <si>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</si>
  <si>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</si>
  <si>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</si>
  <si>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</si>
  <si>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</si>
  <si>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</si>
  <si>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</si>
  <si>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</si>
  <si>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</si>
  <si>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</si>
  <si>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</si>
  <si>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</si>
  <si>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</si>
  <si>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</si>
  <si>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</si>
  <si>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</si>
  <si>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</si>
  <si>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</si>
  <si>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</si>
  <si>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</si>
  <si>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</si>
  <si>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</si>
  <si>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</si>
  <si>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</si>
  <si>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</si>
  <si>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</si>
  <si>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</si>
  <si>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</si>
  <si>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</si>
  <si>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</si>
  <si>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</si>
  <si>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</si>
  <si>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</si>
  <si>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</si>
  <si>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</si>
  <si>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</si>
  <si>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</si>
  <si>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</si>
  <si>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</si>
  <si>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</si>
  <si>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</si>
  <si>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</si>
  <si>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</si>
  <si>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</si>
  <si>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</si>
  <si>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</si>
  <si>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</si>
  <si>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</si>
  <si>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</si>
  <si>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</si>
  <si>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</si>
  <si>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</si>
  <si>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</si>
  <si>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</si>
  <si>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</si>
  <si>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</si>
  <si>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</si>
  <si>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</si>
  <si>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</si>
  <si>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</si>
  <si>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</si>
  <si>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</si>
  <si>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</si>
  <si>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</si>
  <si>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</si>
  <si>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</si>
  <si>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</si>
  <si>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</si>
  <si>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</si>
  <si>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</si>
  <si>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</si>
  <si>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</si>
  <si>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</si>
  <si>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</si>
  <si>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</si>
  <si>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</si>
  <si>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</si>
  <si>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</si>
  <si>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</si>
  <si>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</si>
  <si>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</si>
  <si>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</si>
  <si>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</si>
  <si>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</si>
  <si>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</si>
  <si>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</si>
  <si>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</si>
  <si>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</si>
  <si>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</si>
  <si>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</si>
  <si>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</si>
  <si>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</si>
  <si>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</si>
  <si>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</si>
  <si>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</si>
  <si>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</si>
  <si>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FCK</t>
  </si>
  <si>
    <t>5811/12</t>
  </si>
  <si>
    <t>Open</t>
  </si>
  <si>
    <t>Rectang</t>
  </si>
  <si>
    <t>8.79 - 8.79</t>
  </si>
  <si>
    <t>2.40 - 2.00</t>
  </si>
  <si>
    <t>Magnetic</t>
  </si>
  <si>
    <t>12 x 10</t>
  </si>
  <si>
    <t>1 ~ 14</t>
  </si>
  <si>
    <t>(.081"x.182")x2</t>
  </si>
  <si>
    <t>Delta</t>
  </si>
  <si>
    <t>(105°C)</t>
  </si>
  <si>
    <t>CU</t>
  </si>
  <si>
    <t>ERD1: 286.7</t>
  </si>
  <si>
    <t>EBL: 45.0</t>
  </si>
  <si>
    <t>ERT: 60.00</t>
  </si>
  <si>
    <t>ERH: 30.00</t>
  </si>
  <si>
    <t>(10 x 35)</t>
  </si>
  <si>
    <t>LB:  -</t>
  </si>
  <si>
    <t>LER:  -</t>
  </si>
  <si>
    <t>Single Cage Data</t>
  </si>
  <si>
    <t>UB: 345.0</t>
  </si>
  <si>
    <t>UER: 1800.0</t>
  </si>
  <si>
    <t>(Coeff.: 0.1965)</t>
  </si>
  <si>
    <t>Skew R.: 0.00</t>
  </si>
  <si>
    <t>G:\DESPRO\RAT FILES\BW4900U.rat</t>
  </si>
  <si>
    <t>2-2-2-0-1-2</t>
  </si>
  <si>
    <t>B.L.-1  P.F.-1</t>
  </si>
  <si>
    <t>6719.7 / 6872.0</t>
  </si>
  <si>
    <t>5050.3 / 5520.0</t>
  </si>
  <si>
    <t>13393.0 / 7846.0</t>
  </si>
  <si>
    <t>5500.0 / 4450.0</t>
  </si>
  <si>
    <t>7585.7 / 3580.0</t>
  </si>
  <si>
    <t>1327.0 / 626.3</t>
  </si>
  <si>
    <t>6258.6 / 2953.7</t>
  </si>
  <si>
    <t>1.50 / 0.71</t>
  </si>
  <si>
    <t>66 / 66</t>
  </si>
  <si>
    <t>Temp. Rise @ 100%:</t>
  </si>
  <si>
    <t>Stray Loss</t>
  </si>
  <si>
    <t>0.922 / 0.909</t>
  </si>
  <si>
    <t>0.954 / 0.941</t>
  </si>
  <si>
    <t>0.963 / 0.950</t>
  </si>
  <si>
    <t>0.965 / 0.952</t>
  </si>
  <si>
    <t>0.664 / 0.653</t>
  </si>
  <si>
    <t>0.843 / 0.828</t>
  </si>
  <si>
    <t>0.893 / 0.878</t>
  </si>
  <si>
    <t>0.909 / 0.893</t>
  </si>
  <si>
    <t>0.911 / 0.895</t>
  </si>
  <si>
    <t>39.55 / 40.81</t>
  </si>
  <si>
    <t>60.27 / 62.20</t>
  </si>
  <si>
    <t>84.50 / 87.20</t>
  </si>
  <si>
    <t>110.48 / 114.01</t>
  </si>
  <si>
    <t>137.89 / 142.30</t>
  </si>
  <si>
    <t>3.47 / 3.58</t>
  </si>
  <si>
    <t>UB: 4.31 / 4.44</t>
  </si>
  <si>
    <t>UER: 2.90 / 2.99</t>
  </si>
  <si>
    <t>1796.7 / 1794.7</t>
  </si>
  <si>
    <t>1793.6 / 1791.6</t>
  </si>
  <si>
    <t>1790.3 / 1788.3</t>
  </si>
  <si>
    <t>1787.0 / 1785.0</t>
  </si>
  <si>
    <t>1783.7 / 1781.7</t>
  </si>
  <si>
    <t>0.0018 / 0.0029</t>
  </si>
  <si>
    <t>0.0036 / 0.0047</t>
  </si>
  <si>
    <t>0.0054 / 0.0065</t>
  </si>
  <si>
    <t>0.0072 / 0.0083</t>
  </si>
  <si>
    <t>0.0091 / 0.0102</t>
  </si>
  <si>
    <t>15.757 / 15.000</t>
  </si>
  <si>
    <t>0.632 / 0.601</t>
  </si>
  <si>
    <t>27.31 / 26.00</t>
  </si>
  <si>
    <t>656.0 / 756.0</t>
  </si>
  <si>
    <t>593.8 / 684.3</t>
  </si>
  <si>
    <t>394.7 / 439.1</t>
  </si>
  <si>
    <t>107.9 / 120.0</t>
  </si>
  <si>
    <t>260.6 / 275.0</t>
  </si>
  <si>
    <t>Correlated to: BW4900U SLEEVE BEARING.dat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</si>
  <si>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</si>
  <si>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</si>
  <si>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</si>
  <si>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</si>
  <si>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</si>
  <si>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</si>
  <si>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</si>
  <si>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</si>
  <si>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</si>
  <si>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</si>
  <si>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</si>
  <si>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</si>
  <si>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</si>
  <si>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</si>
  <si>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</si>
  <si>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</si>
  <si>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</si>
  <si>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</si>
  <si>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</si>
  <si>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</si>
  <si>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</si>
  <si>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</si>
  <si>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</si>
  <si>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</si>
  <si>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</si>
  <si>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</si>
  <si>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</si>
  <si>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</si>
  <si>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</si>
  <si>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</si>
  <si>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</si>
  <si>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</si>
  <si>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</si>
  <si>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</si>
  <si>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</si>
  <si>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</si>
  <si>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</si>
  <si>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</si>
  <si>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</si>
  <si>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</si>
  <si>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</si>
  <si>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</si>
  <si>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</si>
  <si>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</si>
  <si>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</si>
  <si>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</si>
  <si>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</si>
  <si>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</si>
  <si>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</si>
  <si>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</si>
  <si>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</si>
  <si>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</si>
  <si>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</si>
  <si>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</si>
  <si>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</si>
  <si>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</si>
  <si>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</si>
  <si>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</si>
  <si>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</si>
  <si>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</si>
  <si>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</si>
  <si>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</si>
  <si>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</si>
  <si>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</si>
  <si>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</si>
  <si>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</si>
  <si>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</si>
  <si>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</si>
  <si>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</si>
  <si>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</si>
  <si>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</si>
  <si>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</si>
  <si>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</si>
  <si>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</si>
  <si>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</si>
  <si>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</si>
  <si>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</si>
  <si>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</si>
  <si>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</si>
  <si>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</si>
  <si>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</si>
  <si>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</si>
  <si>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</si>
  <si>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</si>
  <si>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</si>
  <si>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</si>
  <si>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</si>
  <si>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</si>
  <si>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</si>
  <si>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</si>
  <si>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</si>
  <si>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</si>
  <si>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</si>
  <si>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</si>
  <si>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</si>
  <si>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</si>
  <si>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</si>
  <si>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</si>
  <si>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</si>
  <si>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</si>
  <si>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</si>
  <si>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</si>
  <si>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</si>
  <si>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</si>
  <si>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</si>
  <si>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</si>
  <si>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</si>
  <si>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</si>
  <si>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</si>
  <si>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</si>
  <si>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</si>
  <si>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</si>
  <si>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BW4900U</t>
  </si>
  <si>
    <t>Type: TIKE - Form: FCK - 4 Pole - 900 HP - 4000 V - 60 Hz - 5811/12 - Class F</t>
  </si>
  <si>
    <t>20 x 2</t>
  </si>
  <si>
    <t>1 x Delta</t>
  </si>
  <si>
    <t xml:space="preserve"> - </t>
  </si>
  <si>
    <t>66 / 87</t>
  </si>
  <si>
    <t>358 / 2374</t>
  </si>
  <si>
    <t>G</t>
  </si>
  <si>
    <t>444 / 299</t>
  </si>
  <si>
    <t>BS4900U</t>
  </si>
  <si>
    <t>A. GRACIA</t>
  </si>
  <si>
    <t>TOP HAT TEAAC, SLEEVE BRG., CU BAR.</t>
  </si>
  <si>
    <t>F&amp;W Losses for A/F brg.: 3990 W</t>
  </si>
  <si>
    <t xml:space="preserve">Efficiency for A/F brg.: 95.2 % </t>
  </si>
  <si>
    <t>REV.0 DATA PACK BY Z.X 04/13/22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</si>
  <si>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</si>
  <si>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</si>
  <si>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</si>
  <si>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</si>
  <si>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</si>
  <si>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</si>
  <si>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</si>
  <si>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</si>
  <si>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</si>
  <si>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524.0 kg.m²</t>
  </si>
  <si>
    <t>Acceleration Data (FV V)</t>
  </si>
  <si>
    <t>7.1 (s)</t>
  </si>
  <si>
    <t>365.9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</si>
  <si>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</si>
  <si>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</si>
  <si>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</si>
  <si>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</si>
  <si>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</si>
  <si>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</si>
  <si>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</si>
  <si>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</si>
  <si>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</si>
  <si>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</si>
  <si>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</si>
  <si>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</si>
  <si>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</si>
  <si>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</si>
  <si>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</si>
  <si>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</si>
  <si>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</si>
  <si>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</si>
  <si>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</si>
  <si>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</si>
  <si>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</si>
  <si>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</si>
  <si>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</si>
  <si>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</si>
  <si>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</si>
  <si>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</si>
  <si>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</si>
  <si>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</si>
  <si>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</si>
  <si>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</si>
  <si>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</si>
  <si>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</si>
  <si>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</si>
  <si>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</si>
  <si>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</si>
  <si>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</si>
  <si>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</si>
  <si>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</si>
  <si>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</si>
  <si>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- 900.0 HP - 1800 RPM - 4000 V - 60 Hz</t>
  </si>
  <si>
    <t>Load Type: Fan / Pump - 3108.4 lb-ft²</t>
  </si>
  <si>
    <t>120.1</t>
  </si>
  <si>
    <t>197.2</t>
  </si>
  <si>
    <t>109.7</t>
  </si>
  <si>
    <t>7.0</t>
  </si>
  <si>
    <t>753.1</t>
  </si>
  <si>
    <t>746.7</t>
  </si>
  <si>
    <t>739.1</t>
  </si>
  <si>
    <t>729.7</t>
  </si>
  <si>
    <t>718.0</t>
  </si>
  <si>
    <t>703.4</t>
  </si>
  <si>
    <t>685.6</t>
  </si>
  <si>
    <t>662.9</t>
  </si>
  <si>
    <t>640.4</t>
  </si>
  <si>
    <t>612.9</t>
  </si>
  <si>
    <t>539.6</t>
  </si>
  <si>
    <t>316.4</t>
  </si>
  <si>
    <t>89.8</t>
  </si>
  <si>
    <t>12°C</t>
  </si>
  <si>
    <t>Acceleration Time:  7.1 s</t>
  </si>
  <si>
    <t>4.4°C / s</t>
  </si>
  <si>
    <t>18.9°C / s</t>
  </si>
  <si>
    <t>2.9°C / s</t>
  </si>
  <si>
    <t>364.4 kW</t>
  </si>
  <si>
    <t>769.8 kW</t>
  </si>
  <si>
    <t>35.9 kW</t>
  </si>
  <si>
    <t>36.2 s</t>
  </si>
  <si>
    <t>13.8 s</t>
  </si>
  <si>
    <t>61.5 s</t>
  </si>
  <si>
    <t>66°C    +</t>
  </si>
  <si>
    <t>88°C    +</t>
  </si>
  <si>
    <t>94°C    +</t>
  </si>
  <si>
    <t>172°C   +</t>
  </si>
  <si>
    <t>92°C   +</t>
  </si>
  <si>
    <t>21.3 s</t>
  </si>
  <si>
    <t>9.1 s</t>
  </si>
  <si>
    <t>31.6 s</t>
  </si>
  <si>
    <t>26.7 s</t>
  </si>
  <si>
    <t>13.7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</si>
  <si>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</si>
  <si>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</si>
  <si>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</si>
  <si>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</si>
  <si>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</si>
  <si>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</si>
  <si>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</si>
  <si>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</si>
  <si>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</si>
  <si>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</si>
  <si>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</si>
  <si>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</si>
  <si>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</si>
  <si>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</si>
  <si>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</si>
  <si>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</si>
  <si>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</si>
  <si>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</si>
  <si>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</si>
  <si>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</si>
  <si>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</si>
  <si>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321.6 lb-ft²</t>
  </si>
  <si>
    <t>3108.4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</si>
  <si>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</si>
  <si>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</si>
  <si>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</si>
  <si>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</si>
  <si>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</si>
  <si>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</si>
  <si>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</si>
  <si>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</si>
  <si>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</si>
  <si>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</si>
  <si>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</si>
  <si>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</si>
  <si>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</si>
  <si>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</si>
  <si>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</si>
  <si>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</si>
  <si>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</si>
  <si>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</si>
  <si>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</si>
  <si>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</si>
  <si>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</si>
  <si>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</si>
  <si>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</si>
  <si>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</si>
  <si>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</si>
  <si>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</si>
  <si>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</si>
  <si>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</si>
  <si>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</si>
  <si>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</si>
  <si>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</si>
  <si>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</si>
  <si>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</si>
  <si>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</si>
  <si>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</si>
  <si>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</si>
  <si>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</si>
  <si>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</si>
  <si>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</si>
  <si>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</si>
  <si>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</si>
  <si>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</si>
  <si>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</si>
  <si>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</si>
  <si>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</si>
  <si>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</si>
  <si>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</si>
  <si>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</si>
  <si>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</si>
  <si>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</si>
  <si>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</si>
  <si>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</si>
  <si>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</si>
  <si>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</si>
  <si>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</si>
  <si>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</si>
  <si>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</si>
  <si>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</si>
  <si>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</si>
  <si>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</si>
  <si>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</si>
  <si>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</si>
  <si>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</si>
  <si>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</si>
  <si>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</si>
  <si>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</si>
  <si>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</si>
  <si>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</si>
  <si>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</si>
  <si>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</si>
  <si>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</si>
  <si>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</si>
  <si>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</si>
  <si>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</si>
  <si>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</si>
  <si>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</si>
  <si>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</si>
  <si>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</si>
  <si>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</si>
  <si>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</si>
  <si>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</si>
  <si>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</si>
  <si>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</si>
  <si>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</si>
  <si>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</si>
  <si>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</si>
  <si>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</si>
  <si>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</si>
  <si>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</si>
  <si>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</si>
  <si>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</si>
  <si>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</si>
  <si>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</si>
  <si>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</si>
  <si>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</si>
  <si>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</si>
  <si>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</si>
  <si>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</si>
  <si>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</si>
  <si>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</si>
  <si>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</si>
  <si>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</si>
  <si>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</si>
  <si>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</si>
  <si>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</si>
  <si>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</si>
  <si>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</si>
  <si>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</si>
  <si>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</si>
  <si>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</si>
  <si>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</si>
  <si>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</si>
  <si>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</si>
  <si>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</si>
  <si>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</si>
  <si>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</si>
  <si>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RED STICK ARMATURE</t>
  </si>
  <si>
    <t>2253405.4</t>
  </si>
  <si>
    <t>TC-10126027</t>
  </si>
  <si>
    <t>FCKW4</t>
  </si>
  <si>
    <t>5812US</t>
  </si>
  <si>
    <t>TEAAC</t>
  </si>
  <si>
    <t>1.15</t>
  </si>
  <si>
    <t>0~174</t>
  </si>
  <si>
    <t>174~349</t>
  </si>
  <si>
    <t>349~523</t>
  </si>
  <si>
    <t>523~697</t>
  </si>
  <si>
    <t>697~872</t>
  </si>
  <si>
    <t>872~1046</t>
  </si>
  <si>
    <t>1046~1220</t>
  </si>
  <si>
    <t>1220~1395</t>
  </si>
  <si>
    <t>1395~1482</t>
  </si>
  <si>
    <t>1482~1569</t>
  </si>
  <si>
    <t>1569~1656</t>
  </si>
  <si>
    <t>1656~1771</t>
  </si>
  <si>
    <t>1771~1787</t>
  </si>
  <si>
    <t>120.6</t>
  </si>
  <si>
    <t>121.3</t>
  </si>
  <si>
    <t>122.6</t>
  </si>
  <si>
    <t>124.6</t>
  </si>
  <si>
    <t>127.7</t>
  </si>
  <si>
    <t>132.9</t>
  </si>
  <si>
    <t>143.4</t>
  </si>
  <si>
    <t>162.6</t>
  </si>
  <si>
    <t>201.4</t>
  </si>
  <si>
    <t>251.6</t>
  </si>
  <si>
    <t>22.7</t>
  </si>
  <si>
    <t>12.0</t>
  </si>
  <si>
    <t>7.4</t>
  </si>
  <si>
    <t>10.4</t>
  </si>
  <si>
    <t>16.7</t>
  </si>
  <si>
    <t>25.2</t>
  </si>
  <si>
    <t>37.6</t>
  </si>
  <si>
    <t>48.7</t>
  </si>
  <si>
    <t>57.1</t>
  </si>
  <si>
    <t>66.8</t>
  </si>
  <si>
    <t>83.0</t>
  </si>
  <si>
    <t>97.0</t>
  </si>
  <si>
    <t>0.754</t>
  </si>
  <si>
    <t>0.676</t>
  </si>
  <si>
    <t>0.644</t>
  </si>
  <si>
    <t>0.636</t>
  </si>
  <si>
    <t>0.643</t>
  </si>
  <si>
    <t>0.661</t>
  </si>
  <si>
    <t>0.682</t>
  </si>
  <si>
    <t>0.694</t>
  </si>
  <si>
    <t>0.322</t>
  </si>
  <si>
    <t>0.254</t>
  </si>
  <si>
    <t>0.199</t>
  </si>
  <si>
    <t>0.425</t>
  </si>
  <si>
    <t>0.524</t>
  </si>
  <si>
    <t>237.3</t>
  </si>
  <si>
    <t>209.5</t>
  </si>
  <si>
    <t>195.9</t>
  </si>
  <si>
    <t>189.1</t>
  </si>
  <si>
    <t>185.8</t>
  </si>
  <si>
    <t>184.2</t>
  </si>
  <si>
    <t>181.6</t>
  </si>
  <si>
    <t>174.5</t>
  </si>
  <si>
    <t>75.0</t>
  </si>
  <si>
    <t>55.8</t>
  </si>
  <si>
    <t>38.7</t>
  </si>
  <si>
    <t>54.8</t>
  </si>
  <si>
    <t>3.7</t>
  </si>
  <si>
    <t>585.7</t>
  </si>
  <si>
    <t>475.6</t>
  </si>
  <si>
    <t>406.3</t>
  </si>
  <si>
    <t>355.6</t>
  </si>
  <si>
    <t>314.5</t>
  </si>
  <si>
    <t>277.6</t>
  </si>
  <si>
    <t>239.8</t>
  </si>
  <si>
    <t>197.1</t>
  </si>
  <si>
    <t>141.6</t>
  </si>
  <si>
    <t>101.7</t>
  </si>
  <si>
    <t>75.4</t>
  </si>
  <si>
    <t>91.5</t>
  </si>
  <si>
    <t>32.3</t>
  </si>
  <si>
    <t>1786 kW / s</t>
  </si>
  <si>
    <t>3148 kW / s</t>
  </si>
  <si>
    <t>147 kW / s</t>
  </si>
  <si>
    <t>22°C</t>
  </si>
  <si>
    <t>77°C</t>
  </si>
  <si>
    <t>43°C</t>
  </si>
  <si>
    <t>154°C</t>
  </si>
  <si>
    <t>24°C</t>
  </si>
  <si>
    <t>ADJUSTED</t>
  </si>
  <si>
    <t>ORIGINAL</t>
  </si>
  <si>
    <t>SYNC SPEED</t>
  </si>
  <si>
    <t>NEW SPEED LOWER RANGE</t>
  </si>
  <si>
    <t>NEW kW UPPER RANGE</t>
  </si>
  <si>
    <t>SPEED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</si>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</sst>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0"/>
      <color indexed="8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172" fontId="66" fillId="0" borderId="0"/>
  </cellStyleXfs>
  <cellXfs count="69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65" fontId="2" fillId="0" borderId="0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 applyFill="1"/>
    <xf numFmtId="0" fontId="27" fillId="0" borderId="0" xfId="1" applyFont="1" applyFill="1"/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 applyFill="1"/>
    <xf numFmtId="0" fontId="33" fillId="0" borderId="52" xfId="1" applyFont="1" applyFill="1" applyBorder="1"/>
    <xf numFmtId="0" fontId="19" fillId="0" borderId="54" xfId="1" applyFont="1" applyFill="1" applyBorder="1"/>
    <xf numFmtId="0" fontId="33" fillId="0" borderId="54" xfId="1" applyFont="1" applyFill="1" applyBorder="1"/>
    <xf numFmtId="0" fontId="34" fillId="0" borderId="0" xfId="1" applyFont="1" applyFill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Border="1" applyAlignment="1">
      <alignment horizontal="left"/>
    </xf>
    <xf numFmtId="0" fontId="31" fillId="5" borderId="0" xfId="1" applyFont="1" applyFill="1" applyBorder="1"/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Fill="1" applyBorder="1"/>
    <xf numFmtId="0" fontId="19" fillId="0" borderId="21" xfId="1" applyFont="1" applyFill="1" applyBorder="1"/>
    <xf numFmtId="0" fontId="33" fillId="0" borderId="21" xfId="1" applyFont="1" applyFill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Fill="1" applyBorder="1"/>
    <xf numFmtId="0" fontId="33" fillId="0" borderId="24" xfId="1" applyFont="1" applyFill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Fill="1" applyBorder="1"/>
    <xf numFmtId="0" fontId="19" fillId="0" borderId="24" xfId="1" applyFont="1" applyFill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Fill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Fill="1" applyBorder="1"/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3" fillId="0" borderId="24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Fill="1" applyBorder="1"/>
    <xf numFmtId="0" fontId="34" fillId="0" borderId="79" xfId="1" applyFont="1" applyFill="1" applyBorder="1"/>
    <xf numFmtId="0" fontId="34" fillId="0" borderId="87" xfId="1" applyFont="1" applyFill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1" fontId="38" fillId="5" borderId="70" xfId="1" quotePrefix="1" applyNumberFormat="1" applyFont="1" applyFill="1" applyBorder="1" applyAlignment="1">
      <alignment horizontal="center"/>
    </xf>
    <xf numFmtId="2" fontId="34" fillId="0" borderId="0" xfId="1" applyNumberFormat="1" applyFont="1" applyFill="1"/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45" fillId="0" borderId="0" xfId="1" applyFont="1" applyFill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6" fillId="0" borderId="0" xfId="1" applyFont="1" applyFill="1" applyAlignment="1">
      <alignment horizontal="right"/>
    </xf>
    <xf numFmtId="2" fontId="34" fillId="0" borderId="0" xfId="2" applyNumberFormat="1" applyFont="1" applyFill="1"/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4" fillId="0" borderId="0" xfId="1" applyFont="1" applyFill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31" fillId="5" borderId="83" xfId="1" applyFont="1" applyFill="1" applyBorder="1"/>
    <xf numFmtId="0" fontId="47" fillId="0" borderId="0" xfId="1" applyFont="1" applyFill="1"/>
    <xf numFmtId="0" fontId="36" fillId="0" borderId="116" xfId="1" applyFont="1" applyFill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0" fontId="31" fillId="0" borderId="23" xfId="1" applyFont="1" applyFill="1" applyBorder="1"/>
    <xf numFmtId="0" fontId="31" fillId="0" borderId="0" xfId="1" applyFont="1" applyFill="1"/>
    <xf numFmtId="0" fontId="3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51" fillId="0" borderId="41" xfId="3" applyFont="1" applyBorder="1" applyAlignment="1">
      <alignment horizontal="center"/>
    </xf>
    <xf numFmtId="0" fontId="1" fillId="0" borderId="0" xfId="3"/>
    <xf numFmtId="0" fontId="52" fillId="0" borderId="127" xfId="3" applyFont="1" applyBorder="1" applyAlignment="1">
      <alignment horizontal="center"/>
    </xf>
    <xf numFmtId="0" fontId="1" fillId="0" borderId="127" xfId="3" applyBorder="1" applyAlignment="1">
      <alignment horizontal="center"/>
    </xf>
    <xf numFmtId="0" fontId="51" fillId="0" borderId="127" xfId="3" applyFont="1" applyBorder="1" applyAlignment="1">
      <alignment horizontal="center"/>
    </xf>
    <xf numFmtId="0" fontId="52" fillId="0" borderId="45" xfId="3" applyFont="1" applyBorder="1" applyAlignment="1">
      <alignment horizontal="center"/>
    </xf>
    <xf numFmtId="0" fontId="52" fillId="0" borderId="0" xfId="3" applyFont="1" applyBorder="1" applyAlignment="1">
      <alignment horizontal="center"/>
    </xf>
    <xf numFmtId="0" fontId="1" fillId="0" borderId="45" xfId="3" applyBorder="1"/>
    <xf numFmtId="0" fontId="53" fillId="0" borderId="0" xfId="3" applyFont="1"/>
    <xf numFmtId="0" fontId="1" fillId="0" borderId="127" xfId="3" applyBorder="1"/>
    <xf numFmtId="0" fontId="51" fillId="0" borderId="0" xfId="3" applyFont="1"/>
    <xf numFmtId="0" fontId="51" fillId="0" borderId="127" xfId="3" applyFont="1" applyBorder="1"/>
    <xf numFmtId="170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51" fillId="0" borderId="1" xfId="3" applyNumberFormat="1" applyFont="1" applyBorder="1"/>
    <xf numFmtId="171" fontId="51" fillId="0" borderId="1" xfId="3" applyNumberFormat="1" applyFont="1" applyBorder="1"/>
    <xf numFmtId="0" fontId="1" fillId="0" borderId="1" xfId="3" applyBorder="1"/>
    <xf numFmtId="0" fontId="1" fillId="0" borderId="9" xfId="3" applyBorder="1"/>
    <xf numFmtId="171" fontId="1" fillId="0" borderId="1" xfId="3" applyNumberFormat="1" applyBorder="1"/>
    <xf numFmtId="0" fontId="1" fillId="0" borderId="1" xfId="3" applyBorder="1" applyAlignment="1">
      <alignment horizontal="center"/>
    </xf>
    <xf numFmtId="170" fontId="1" fillId="0" borderId="18" xfId="3" applyNumberFormat="1" applyBorder="1"/>
    <xf numFmtId="49" fontId="1" fillId="0" borderId="26" xfId="3" applyNumberFormat="1" applyBorder="1"/>
    <xf numFmtId="171" fontId="1" fillId="0" borderId="26" xfId="3" applyNumberFormat="1" applyBorder="1"/>
    <xf numFmtId="0" fontId="1" fillId="0" borderId="26" xfId="3" applyBorder="1"/>
    <xf numFmtId="0" fontId="1" fillId="0" borderId="128" xfId="3" applyBorder="1"/>
    <xf numFmtId="0" fontId="51" fillId="0" borderId="129" xfId="3" applyFont="1" applyBorder="1" applyAlignment="1">
      <alignment horizontal="center"/>
    </xf>
    <xf numFmtId="0" fontId="51" fillId="0" borderId="130" xfId="3" applyFont="1" applyBorder="1" applyAlignment="1">
      <alignment horizontal="center"/>
    </xf>
    <xf numFmtId="49" fontId="51" fillId="0" borderId="2" xfId="3" applyNumberFormat="1" applyFont="1" applyBorder="1" applyAlignment="1">
      <alignment horizontal="center"/>
    </xf>
    <xf numFmtId="0" fontId="1" fillId="0" borderId="55" xfId="3" applyBorder="1" applyAlignment="1">
      <alignment horizontal="left"/>
    </xf>
    <xf numFmtId="49" fontId="1" fillId="0" borderId="3" xfId="3" applyNumberFormat="1" applyBorder="1"/>
    <xf numFmtId="0" fontId="1" fillId="0" borderId="132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167" fontId="38" fillId="0" borderId="96" xfId="1" applyNumberFormat="1" applyFont="1" applyFill="1" applyBorder="1" applyAlignment="1">
      <alignment horizontal="center"/>
    </xf>
    <xf numFmtId="0" fontId="54" fillId="5" borderId="120" xfId="2" applyFont="1" applyFill="1" applyBorder="1" applyAlignment="1">
      <alignment horizontal="center"/>
    </xf>
    <xf numFmtId="14" fontId="19" fillId="5" borderId="124" xfId="2" applyNumberFormat="1" applyFont="1" applyFill="1" applyBorder="1" applyAlignment="1">
      <alignment horizontal="center"/>
    </xf>
    <xf numFmtId="0" fontId="35" fillId="5" borderId="81" xfId="2" applyFont="1" applyFill="1" applyBorder="1" applyAlignment="1">
      <alignment horizontal="left"/>
    </xf>
    <xf numFmtId="0" fontId="29" fillId="5" borderId="81" xfId="2" applyFont="1" applyFill="1" applyBorder="1" applyAlignment="1">
      <alignment horizontal="left"/>
    </xf>
    <xf numFmtId="0" fontId="29" fillId="5" borderId="82" xfId="2" applyFont="1" applyFill="1" applyBorder="1" applyAlignment="1">
      <alignment horizontal="left"/>
    </xf>
    <xf numFmtId="0" fontId="35" fillId="5" borderId="72" xfId="2" applyFont="1" applyFill="1" applyBorder="1" applyAlignment="1">
      <alignment horizontal="left"/>
    </xf>
    <xf numFmtId="0" fontId="34" fillId="5" borderId="72" xfId="2" applyFont="1" applyFill="1" applyBorder="1" applyAlignment="1">
      <alignment horizontal="left"/>
    </xf>
    <xf numFmtId="0" fontId="34" fillId="5" borderId="84" xfId="2" applyFont="1" applyFill="1" applyBorder="1" applyAlignment="1">
      <alignment horizontal="left"/>
    </xf>
    <xf numFmtId="0" fontId="35" fillId="5" borderId="68" xfId="2" applyFont="1" applyFill="1" applyBorder="1" applyAlignment="1">
      <alignment horizontal="left"/>
    </xf>
    <xf numFmtId="0" fontId="31" fillId="5" borderId="68" xfId="2" applyFont="1" applyFill="1" applyBorder="1" applyAlignment="1">
      <alignment horizontal="left"/>
    </xf>
    <xf numFmtId="0" fontId="31" fillId="5" borderId="74" xfId="2" applyFont="1" applyFill="1" applyBorder="1" applyAlignment="1">
      <alignment horizontal="left"/>
    </xf>
    <xf numFmtId="0" fontId="31" fillId="5" borderId="125" xfId="2" applyFont="1" applyFill="1" applyBorder="1" applyAlignment="1">
      <alignment horizontal="left"/>
    </xf>
    <xf numFmtId="0" fontId="31" fillId="5" borderId="126" xfId="2" applyFont="1" applyFill="1" applyBorder="1" applyAlignment="1">
      <alignment horizontal="left"/>
    </xf>
    <xf numFmtId="167" fontId="2" fillId="0" borderId="0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7" fontId="2" fillId="0" borderId="36" xfId="0" applyNumberFormat="1" applyFont="1" applyFill="1" applyBorder="1" applyAlignment="1">
      <alignment horizontal="center"/>
    </xf>
    <xf numFmtId="167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7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7" fontId="2" fillId="0" borderId="0" xfId="0" applyNumberFormat="1" applyFont="1" applyFill="1" applyBorder="1" applyAlignment="1">
      <alignment horizontal="centerContinuous"/>
    </xf>
    <xf numFmtId="167" fontId="2" fillId="0" borderId="0" xfId="0" applyNumberFormat="1" applyFont="1" applyBorder="1" applyAlignment="1">
      <alignment horizontal="centerContinuous"/>
    </xf>
    <xf numFmtId="167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5" fillId="0" borderId="0" xfId="4" applyFont="1"/>
    <xf numFmtId="0" fontId="55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5" fillId="0" borderId="131" xfId="4" applyFont="1" applyBorder="1" applyAlignment="1">
      <alignment horizontal="center"/>
    </xf>
    <xf numFmtId="0" fontId="55" fillId="0" borderId="132" xfId="4" quotePrefix="1" applyFont="1" applyBorder="1" applyAlignment="1">
      <alignment horizontal="center"/>
    </xf>
    <xf numFmtId="0" fontId="55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61" xfId="4" applyFont="1" applyBorder="1"/>
    <xf numFmtId="0" fontId="58" fillId="0" borderId="62" xfId="4" applyFont="1" applyBorder="1"/>
    <xf numFmtId="0" fontId="58" fillId="0" borderId="38" xfId="4" applyFont="1" applyBorder="1"/>
    <xf numFmtId="0" fontId="59" fillId="0" borderId="83" xfId="4" applyFont="1" applyBorder="1" applyAlignment="1">
      <alignment horizontal="centerContinuous"/>
    </xf>
    <xf numFmtId="0" fontId="58" fillId="0" borderId="0" xfId="4" applyFont="1" applyBorder="1" applyAlignment="1">
      <alignment horizontal="centerContinuous"/>
    </xf>
    <xf numFmtId="0" fontId="58" fillId="0" borderId="108" xfId="4" applyFont="1" applyBorder="1" applyAlignment="1">
      <alignment horizontal="centerContinuous"/>
    </xf>
    <xf numFmtId="0" fontId="60" fillId="0" borderId="83" xfId="4" applyFont="1" applyBorder="1" applyAlignment="1">
      <alignment horizontal="centerContinuous"/>
    </xf>
    <xf numFmtId="0" fontId="58" fillId="0" borderId="83" xfId="4" applyFont="1" applyBorder="1"/>
    <xf numFmtId="0" fontId="58" fillId="0" borderId="0" xfId="4" applyFont="1" applyBorder="1"/>
    <xf numFmtId="0" fontId="58" fillId="0" borderId="108" xfId="4" applyFont="1" applyBorder="1"/>
    <xf numFmtId="0" fontId="61" fillId="0" borderId="1" xfId="4" applyFont="1" applyBorder="1" applyAlignment="1">
      <alignment horizontal="right"/>
    </xf>
    <xf numFmtId="0" fontId="58" fillId="0" borderId="1" xfId="4" applyFont="1" applyBorder="1" applyAlignment="1">
      <alignment horizontal="center"/>
    </xf>
    <xf numFmtId="14" fontId="58" fillId="0" borderId="1" xfId="4" applyNumberFormat="1" applyFont="1" applyBorder="1" applyAlignment="1">
      <alignment horizontal="center"/>
    </xf>
    <xf numFmtId="0" fontId="61" fillId="0" borderId="0" xfId="4" applyFont="1" applyBorder="1" applyAlignment="1">
      <alignment horizontal="right"/>
    </xf>
    <xf numFmtId="0" fontId="58" fillId="0" borderId="0" xfId="4" applyFont="1" applyBorder="1" applyAlignment="1">
      <alignment horizontal="center"/>
    </xf>
    <xf numFmtId="9" fontId="58" fillId="0" borderId="0" xfId="4" applyNumberFormat="1" applyFont="1" applyBorder="1" applyAlignment="1">
      <alignment horizontal="center"/>
    </xf>
    <xf numFmtId="0" fontId="61" fillId="0" borderId="83" xfId="4" applyFont="1" applyBorder="1" applyAlignment="1">
      <alignment horizontal="right"/>
    </xf>
    <xf numFmtId="0" fontId="58" fillId="0" borderId="40" xfId="4" applyFont="1" applyBorder="1"/>
    <xf numFmtId="0" fontId="58" fillId="0" borderId="39" xfId="4" applyFont="1" applyBorder="1" applyAlignment="1">
      <alignment horizontal="center"/>
    </xf>
    <xf numFmtId="0" fontId="58" fillId="0" borderId="85" xfId="4" applyFont="1" applyBorder="1"/>
    <xf numFmtId="0" fontId="61" fillId="0" borderId="17" xfId="4" applyFont="1" applyBorder="1" applyAlignment="1">
      <alignment horizontal="right"/>
    </xf>
    <xf numFmtId="0" fontId="58" fillId="0" borderId="132" xfId="4" applyFont="1" applyBorder="1"/>
    <xf numFmtId="167" fontId="3" fillId="0" borderId="0" xfId="4" quotePrefix="1" applyNumberFormat="1" applyFont="1" applyBorder="1" applyAlignment="1">
      <alignment horizontal="center"/>
    </xf>
    <xf numFmtId="167" fontId="2" fillId="0" borderId="0" xfId="4" applyNumberFormat="1" applyFont="1" applyBorder="1" applyAlignment="1">
      <alignment horizontal="center"/>
    </xf>
    <xf numFmtId="167" fontId="3" fillId="0" borderId="0" xfId="0" quotePrefix="1" applyNumberFormat="1" applyFont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0" fontId="63" fillId="0" borderId="0" xfId="4" applyFont="1"/>
    <xf numFmtId="0" fontId="1" fillId="0" borderId="0" xfId="4" applyBorder="1"/>
    <xf numFmtId="0" fontId="64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5" fillId="0" borderId="0" xfId="4" applyFont="1"/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7" fillId="0" borderId="6" xfId="5" applyFont="1" applyBorder="1" applyAlignment="1" applyProtection="1">
      <alignment horizontal="centerContinuous"/>
    </xf>
    <xf numFmtId="172" fontId="67" fillId="0" borderId="7" xfId="5" applyFont="1" applyBorder="1" applyAlignment="1">
      <alignment horizontal="centerContinuous"/>
    </xf>
    <xf numFmtId="172" fontId="68" fillId="0" borderId="12" xfId="5" applyFont="1" applyBorder="1" applyAlignment="1" applyProtection="1">
      <alignment horizontal="left"/>
    </xf>
    <xf numFmtId="172" fontId="69" fillId="0" borderId="55" xfId="5" applyFont="1" applyBorder="1"/>
    <xf numFmtId="172" fontId="68" fillId="0" borderId="13" xfId="5" applyFont="1" applyBorder="1" applyAlignment="1">
      <alignment horizontal="centerContinuous"/>
    </xf>
    <xf numFmtId="172" fontId="69" fillId="0" borderId="14" xfId="5" applyFont="1" applyBorder="1" applyAlignment="1">
      <alignment horizontal="centerContinuous"/>
    </xf>
    <xf numFmtId="172" fontId="70" fillId="0" borderId="0" xfId="5" applyFont="1"/>
    <xf numFmtId="172" fontId="66" fillId="0" borderId="0" xfId="5"/>
    <xf numFmtId="172" fontId="67" fillId="0" borderId="45" xfId="5" applyFont="1" applyBorder="1" applyAlignment="1" applyProtection="1">
      <alignment horizontal="centerContinuous"/>
    </xf>
    <xf numFmtId="172" fontId="67" fillId="0" borderId="0" xfId="5" applyFont="1" applyBorder="1" applyAlignment="1">
      <alignment horizontal="centerContinuous"/>
    </xf>
    <xf numFmtId="172" fontId="68" fillId="0" borderId="109" xfId="5" applyFont="1" applyBorder="1" applyAlignment="1" applyProtection="1">
      <alignment horizontal="left"/>
    </xf>
    <xf numFmtId="172" fontId="69" fillId="0" borderId="39" xfId="5" applyFont="1" applyBorder="1"/>
    <xf numFmtId="172" fontId="68" fillId="0" borderId="40" xfId="5" applyFont="1" applyBorder="1" applyAlignment="1" applyProtection="1">
      <alignment horizontal="centerContinuous"/>
    </xf>
    <xf numFmtId="172" fontId="69" fillId="0" borderId="29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0" xfId="5" applyFont="1" applyBorder="1" applyAlignment="1">
      <alignment horizontal="centerContinuous"/>
    </xf>
    <xf numFmtId="172" fontId="68" fillId="0" borderId="40" xfId="5" quotePrefix="1" applyFont="1" applyBorder="1" applyAlignment="1">
      <alignment horizontal="centerContinuous"/>
    </xf>
    <xf numFmtId="172" fontId="71" fillId="0" borderId="45" xfId="5" applyFont="1" applyBorder="1" applyAlignment="1" applyProtection="1">
      <alignment horizontal="centerContinuous"/>
    </xf>
    <xf numFmtId="172" fontId="68" fillId="0" borderId="40" xfId="5" quotePrefix="1" applyFont="1" applyBorder="1" applyAlignment="1" applyProtection="1">
      <alignment horizontal="centerContinuous"/>
    </xf>
    <xf numFmtId="172" fontId="70" fillId="0" borderId="45" xfId="5" applyFont="1" applyBorder="1" applyAlignment="1">
      <alignment horizontal="centerContinuous"/>
    </xf>
    <xf numFmtId="172" fontId="68" fillId="0" borderId="40" xfId="5" applyFont="1" applyBorder="1" applyAlignment="1">
      <alignment horizontal="centerContinuous"/>
    </xf>
    <xf numFmtId="172" fontId="70" fillId="0" borderId="46" xfId="5" applyFont="1" applyBorder="1" applyAlignment="1" applyProtection="1">
      <alignment horizontal="centerContinuous"/>
    </xf>
    <xf numFmtId="172" fontId="69" fillId="0" borderId="23" xfId="5" applyFont="1" applyBorder="1" applyAlignment="1">
      <alignment horizontal="centerContinuous"/>
    </xf>
    <xf numFmtId="172" fontId="68" fillId="0" borderId="46" xfId="5" applyFont="1" applyBorder="1" applyAlignment="1" applyProtection="1">
      <alignment horizontal="left"/>
    </xf>
    <xf numFmtId="172" fontId="69" fillId="0" borderId="48" xfId="5" applyFont="1" applyBorder="1"/>
    <xf numFmtId="172" fontId="72" fillId="0" borderId="23" xfId="5" applyFont="1" applyBorder="1" applyAlignment="1">
      <alignment horizontal="centerContinuous"/>
    </xf>
    <xf numFmtId="172" fontId="69" fillId="0" borderId="24" xfId="5" applyFont="1" applyBorder="1" applyAlignment="1">
      <alignment horizontal="centerContinuous"/>
    </xf>
    <xf numFmtId="172" fontId="70" fillId="0" borderId="0" xfId="5" applyFont="1" applyBorder="1" applyAlignment="1" applyProtection="1">
      <alignment horizontal="centerContinuous"/>
    </xf>
    <xf numFmtId="172" fontId="68" fillId="0" borderId="0" xfId="5" applyFont="1" applyBorder="1" applyAlignment="1" applyProtection="1">
      <alignment horizontal="left"/>
    </xf>
    <xf numFmtId="172" fontId="69" fillId="0" borderId="0" xfId="5" applyFont="1" applyBorder="1"/>
    <xf numFmtId="172" fontId="68" fillId="0" borderId="0" xfId="5" applyFont="1" applyBorder="1" applyAlignment="1">
      <alignment horizontal="centerContinuous"/>
    </xf>
    <xf numFmtId="172" fontId="73" fillId="0" borderId="0" xfId="5" applyFont="1"/>
    <xf numFmtId="172" fontId="73" fillId="0" borderId="0" xfId="5" applyFont="1" applyAlignment="1" applyProtection="1">
      <alignment horizontal="right"/>
    </xf>
    <xf numFmtId="172" fontId="73" fillId="0" borderId="0" xfId="5" applyFont="1" applyAlignment="1" applyProtection="1">
      <alignment horizontal="left"/>
      <protection locked="0"/>
    </xf>
    <xf numFmtId="172" fontId="73" fillId="0" borderId="0" xfId="5" applyFont="1" applyBorder="1" applyAlignment="1">
      <alignment horizontal="centerContinuous"/>
    </xf>
    <xf numFmtId="172" fontId="73" fillId="0" borderId="0" xfId="5" applyFont="1" applyBorder="1" applyAlignment="1" applyProtection="1">
      <alignment horizontal="left"/>
    </xf>
    <xf numFmtId="172" fontId="73" fillId="0" borderId="0" xfId="5" applyFont="1" applyBorder="1"/>
    <xf numFmtId="49" fontId="73" fillId="0" borderId="0" xfId="5" quotePrefix="1" applyNumberFormat="1" applyFont="1" applyAlignment="1" applyProtection="1">
      <alignment horizontal="left"/>
      <protection locked="0"/>
    </xf>
    <xf numFmtId="172" fontId="69" fillId="0" borderId="0" xfId="5" applyFont="1"/>
    <xf numFmtId="172" fontId="74" fillId="0" borderId="138" xfId="5" applyFont="1" applyBorder="1" applyAlignment="1" applyProtection="1">
      <alignment horizontal="centerContinuous"/>
    </xf>
    <xf numFmtId="172" fontId="70" fillId="0" borderId="139" xfId="5" applyFont="1" applyBorder="1" applyAlignment="1">
      <alignment horizontal="centerContinuous"/>
    </xf>
    <xf numFmtId="172" fontId="70" fillId="0" borderId="140" xfId="5" applyFont="1" applyBorder="1" applyAlignment="1">
      <alignment horizontal="centerContinuous"/>
    </xf>
    <xf numFmtId="172" fontId="73" fillId="0" borderId="45" xfId="5" applyFont="1" applyBorder="1"/>
    <xf numFmtId="172" fontId="73" fillId="0" borderId="0" xfId="5" applyFont="1" applyBorder="1" applyAlignment="1" applyProtection="1">
      <alignment horizontal="right"/>
    </xf>
    <xf numFmtId="172" fontId="73" fillId="0" borderId="0" xfId="5" applyFont="1" applyBorder="1" applyAlignment="1" applyProtection="1">
      <alignment horizontal="center"/>
      <protection locked="0"/>
    </xf>
    <xf numFmtId="172" fontId="73" fillId="0" borderId="21" xfId="5" applyFont="1" applyBorder="1" applyAlignment="1" applyProtection="1">
      <alignment horizontal="center"/>
      <protection locked="0"/>
    </xf>
    <xf numFmtId="172" fontId="73" fillId="0" borderId="0" xfId="5" applyFont="1" applyBorder="1" applyAlignment="1">
      <alignment horizontal="center"/>
    </xf>
    <xf numFmtId="49" fontId="73" fillId="0" borderId="0" xfId="5" applyNumberFormat="1" applyFont="1" applyBorder="1" applyAlignment="1">
      <alignment horizontal="center"/>
    </xf>
    <xf numFmtId="172" fontId="73" fillId="0" borderId="0" xfId="5" quotePrefix="1" applyFont="1" applyBorder="1" applyAlignment="1" applyProtection="1">
      <alignment horizontal="right"/>
    </xf>
    <xf numFmtId="172" fontId="73" fillId="0" borderId="0" xfId="5" quotePrefix="1" applyFont="1" applyBorder="1" applyAlignment="1" applyProtection="1">
      <alignment horizontal="center"/>
      <protection locked="0"/>
    </xf>
    <xf numFmtId="172" fontId="73" fillId="0" borderId="0" xfId="5" applyFont="1" applyBorder="1" applyAlignment="1" applyProtection="1">
      <alignment horizontal="left"/>
      <protection locked="0"/>
    </xf>
    <xf numFmtId="172" fontId="73" fillId="0" borderId="21" xfId="5" applyFont="1" applyBorder="1"/>
    <xf numFmtId="172" fontId="73" fillId="0" borderId="46" xfId="5" applyFont="1" applyBorder="1"/>
    <xf numFmtId="172" fontId="73" fillId="0" borderId="23" xfId="5" applyFont="1" applyBorder="1" applyAlignment="1" applyProtection="1">
      <alignment horizontal="right"/>
    </xf>
    <xf numFmtId="167" fontId="73" fillId="0" borderId="23" xfId="5" quotePrefix="1" applyNumberFormat="1" applyFont="1" applyBorder="1" applyAlignment="1" applyProtection="1">
      <alignment horizontal="center"/>
      <protection locked="0"/>
    </xf>
    <xf numFmtId="172" fontId="73" fillId="0" borderId="23" xfId="5" applyFont="1" applyBorder="1"/>
    <xf numFmtId="172" fontId="73" fillId="0" borderId="23" xfId="5" applyFont="1" applyBorder="1" applyAlignment="1">
      <alignment horizontal="right"/>
    </xf>
    <xf numFmtId="167" fontId="73" fillId="0" borderId="23" xfId="5" applyNumberFormat="1" applyFont="1" applyBorder="1" applyProtection="1"/>
    <xf numFmtId="172" fontId="73" fillId="0" borderId="24" xfId="5" applyFont="1" applyBorder="1"/>
    <xf numFmtId="172" fontId="75" fillId="0" borderId="45" xfId="5" quotePrefix="1" applyFont="1" applyBorder="1" applyAlignment="1">
      <alignment horizontal="left"/>
    </xf>
    <xf numFmtId="172" fontId="69" fillId="0" borderId="0" xfId="5" quotePrefix="1" applyFont="1" applyBorder="1" applyAlignment="1" applyProtection="1">
      <alignment horizontal="right"/>
    </xf>
    <xf numFmtId="172" fontId="69" fillId="0" borderId="108" xfId="5" applyFont="1" applyBorder="1"/>
    <xf numFmtId="172" fontId="75" fillId="0" borderId="0" xfId="5" applyFont="1" applyBorder="1" applyAlignment="1" applyProtection="1">
      <alignment horizontal="left"/>
    </xf>
    <xf numFmtId="172" fontId="69" fillId="0" borderId="0" xfId="5" applyFont="1" applyBorder="1" applyAlignment="1" applyProtection="1">
      <alignment horizontal="right"/>
    </xf>
    <xf numFmtId="172" fontId="69" fillId="0" borderId="108" xfId="5" applyFont="1" applyBorder="1" applyAlignment="1" applyProtection="1">
      <alignment horizontal="right"/>
    </xf>
    <xf numFmtId="172" fontId="75" fillId="0" borderId="0" xfId="5" quotePrefix="1" applyFont="1" applyBorder="1" applyAlignment="1" applyProtection="1">
      <alignment horizontal="left"/>
    </xf>
    <xf numFmtId="172" fontId="69" fillId="0" borderId="0" xfId="5" applyFont="1" applyBorder="1" applyAlignment="1">
      <alignment horizontal="right"/>
    </xf>
    <xf numFmtId="172" fontId="69" fillId="0" borderId="21" xfId="5" applyFont="1" applyBorder="1"/>
    <xf numFmtId="172" fontId="66" fillId="0" borderId="45" xfId="5" applyBorder="1"/>
    <xf numFmtId="172" fontId="73" fillId="0" borderId="0" xfId="5" applyFont="1" applyBorder="1" applyAlignment="1">
      <alignment horizontal="right"/>
    </xf>
    <xf numFmtId="172" fontId="73" fillId="0" borderId="108" xfId="5" applyFont="1" applyBorder="1" applyAlignment="1" applyProtection="1">
      <alignment horizontal="center"/>
      <protection locked="0"/>
    </xf>
    <xf numFmtId="0" fontId="73" fillId="0" borderId="108" xfId="5" applyNumberFormat="1" applyFont="1" applyBorder="1" applyAlignment="1">
      <alignment horizontal="center"/>
    </xf>
    <xf numFmtId="172" fontId="73" fillId="0" borderId="0" xfId="5" applyFont="1" applyBorder="1" applyAlignment="1">
      <alignment horizontal="left"/>
    </xf>
    <xf numFmtId="172" fontId="73" fillId="0" borderId="108" xfId="5" applyFont="1" applyBorder="1"/>
    <xf numFmtId="172" fontId="73" fillId="0" borderId="48" xfId="5" applyFont="1" applyBorder="1"/>
    <xf numFmtId="172" fontId="73" fillId="0" borderId="48" xfId="5" applyFont="1" applyBorder="1" applyAlignment="1">
      <alignment horizontal="left"/>
    </xf>
    <xf numFmtId="172" fontId="70" fillId="0" borderId="0" xfId="5" applyFont="1" applyBorder="1" applyAlignment="1">
      <alignment horizontal="centerContinuous"/>
    </xf>
    <xf numFmtId="172" fontId="70" fillId="0" borderId="0" xfId="5" applyFont="1" applyBorder="1"/>
    <xf numFmtId="172" fontId="74" fillId="0" borderId="141" xfId="5" applyFont="1" applyBorder="1" applyAlignment="1" applyProtection="1">
      <alignment horizontal="centerContinuous"/>
    </xf>
    <xf numFmtId="172" fontId="70" fillId="0" borderId="142" xfId="5" applyFont="1" applyBorder="1" applyAlignment="1">
      <alignment horizontal="centerContinuous"/>
    </xf>
    <xf numFmtId="172" fontId="66" fillId="0" borderId="143" xfId="5" applyBorder="1"/>
    <xf numFmtId="172" fontId="70" fillId="0" borderId="144" xfId="5" applyFont="1" applyBorder="1" applyAlignment="1">
      <alignment horizontal="centerContinuous"/>
    </xf>
    <xf numFmtId="172" fontId="75" fillId="0" borderId="45" xfId="5" applyFont="1" applyBorder="1" applyAlignment="1">
      <alignment horizontal="left"/>
    </xf>
    <xf numFmtId="172" fontId="66" fillId="0" borderId="108" xfId="5" applyBorder="1"/>
    <xf numFmtId="167" fontId="73" fillId="0" borderId="0" xfId="5" applyNumberFormat="1" applyFont="1" applyBorder="1" applyAlignment="1" applyProtection="1">
      <alignment horizontal="center"/>
      <protection locked="0"/>
    </xf>
    <xf numFmtId="172" fontId="73" fillId="0" borderId="45" xfId="5" applyFont="1" applyBorder="1" applyAlignment="1">
      <alignment horizontal="left"/>
    </xf>
    <xf numFmtId="172" fontId="66" fillId="0" borderId="48" xfId="5" applyBorder="1"/>
    <xf numFmtId="172" fontId="70" fillId="0" borderId="0" xfId="5" applyFont="1" applyBorder="1" applyAlignment="1">
      <alignment horizontal="left"/>
    </xf>
    <xf numFmtId="172" fontId="70" fillId="0" borderId="0" xfId="5" applyFont="1" applyAlignment="1">
      <alignment horizontal="left"/>
    </xf>
    <xf numFmtId="172" fontId="70" fillId="0" borderId="141" xfId="5" applyFont="1" applyBorder="1"/>
    <xf numFmtId="172" fontId="69" fillId="0" borderId="142" xfId="5" applyFont="1" applyBorder="1" applyAlignment="1">
      <alignment horizontal="left"/>
    </xf>
    <xf numFmtId="172" fontId="69" fillId="0" borderId="144" xfId="5" applyFont="1" applyBorder="1" applyAlignment="1">
      <alignment horizontal="left"/>
    </xf>
    <xf numFmtId="172" fontId="73" fillId="0" borderId="45" xfId="5" quotePrefix="1" applyFont="1" applyBorder="1" applyAlignment="1">
      <alignment horizontal="left"/>
    </xf>
    <xf numFmtId="172" fontId="73" fillId="0" borderId="21" xfId="5" applyFont="1" applyBorder="1" applyAlignment="1">
      <alignment horizontal="left"/>
    </xf>
    <xf numFmtId="172" fontId="76" fillId="0" borderId="145" xfId="5" applyFont="1" applyBorder="1"/>
    <xf numFmtId="172" fontId="73" fillId="0" borderId="0" xfId="5" quotePrefix="1" applyFont="1" applyBorder="1" applyAlignment="1" applyProtection="1">
      <alignment horizontal="left"/>
    </xf>
    <xf numFmtId="172" fontId="73" fillId="0" borderId="146" xfId="5" quotePrefix="1" applyFont="1" applyBorder="1" applyAlignment="1" applyProtection="1">
      <alignment horizontal="left"/>
    </xf>
    <xf numFmtId="172" fontId="73" fillId="0" borderId="147" xfId="5" quotePrefix="1" applyFont="1" applyBorder="1" applyAlignment="1">
      <alignment horizontal="left"/>
    </xf>
    <xf numFmtId="172" fontId="73" fillId="0" borderId="46" xfId="5" applyFont="1" applyBorder="1" applyAlignment="1">
      <alignment horizontal="left"/>
    </xf>
    <xf numFmtId="172" fontId="73" fillId="0" borderId="23" xfId="5" applyFont="1" applyBorder="1" applyAlignment="1">
      <alignment horizontal="left"/>
    </xf>
    <xf numFmtId="172" fontId="73" fillId="0" borderId="24" xfId="5" applyFont="1" applyBorder="1" applyAlignment="1">
      <alignment horizontal="left"/>
    </xf>
    <xf numFmtId="172" fontId="69" fillId="0" borderId="0" xfId="5" applyFont="1" applyAlignment="1">
      <alignment horizontal="left"/>
    </xf>
    <xf numFmtId="172" fontId="77" fillId="0" borderId="0" xfId="5" applyFont="1" applyAlignment="1" applyProtection="1">
      <alignment horizontal="right"/>
    </xf>
    <xf numFmtId="172" fontId="66" fillId="0" borderId="0" xfId="5" applyAlignment="1">
      <alignment horizontal="right"/>
    </xf>
    <xf numFmtId="49" fontId="58" fillId="0" borderId="40" xfId="4" applyNumberFormat="1" applyFont="1" applyBorder="1"/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0" xfId="4" applyAlignment="1">
      <alignment horizontal="right"/>
    </xf>
    <xf numFmtId="0" fontId="1" fillId="6" borderId="0" xfId="4" applyFill="1"/>
    <xf numFmtId="0" fontId="1" fillId="7" borderId="0" xfId="4" applyFill="1"/>
    <xf numFmtId="167" fontId="1" fillId="0" borderId="0" xfId="4" applyNumberFormat="1" applyAlignment="1">
      <alignment horizontal="center"/>
    </xf>
    <xf numFmtId="1" fontId="0" fillId="0" borderId="0" xfId="0" applyNumberFormat="1"/>
    <xf numFmtId="0" fontId="34" fillId="0" borderId="107" xfId="1" applyFont="1" applyFill="1" applyBorder="1" applyAlignment="1">
      <alignment horizontal="left"/>
    </xf>
    <xf numFmtId="0" fontId="34" fillId="0" borderId="77" xfId="1" applyFont="1" applyFill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Fill="1" applyBorder="1" applyAlignment="1">
      <alignment horizontal="center"/>
    </xf>
    <xf numFmtId="0" fontId="34" fillId="0" borderId="0" xfId="1" applyFont="1" applyFill="1" applyBorder="1" applyAlignment="1">
      <alignment horizontal="center"/>
    </xf>
    <xf numFmtId="0" fontId="34" fillId="0" borderId="108" xfId="1" applyFont="1" applyFill="1" applyBorder="1" applyAlignment="1">
      <alignment horizontal="center"/>
    </xf>
    <xf numFmtId="0" fontId="34" fillId="0" borderId="109" xfId="1" applyFont="1" applyFill="1" applyBorder="1" applyAlignment="1">
      <alignment horizontal="center"/>
    </xf>
    <xf numFmtId="0" fontId="34" fillId="0" borderId="40" xfId="1" applyFont="1" applyFill="1" applyBorder="1" applyAlignment="1">
      <alignment horizontal="center"/>
    </xf>
    <xf numFmtId="0" fontId="34" fillId="0" borderId="39" xfId="1" applyFont="1" applyFill="1" applyBorder="1" applyAlignment="1">
      <alignment horizontal="center"/>
    </xf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9" fillId="0" borderId="38" xfId="1" applyFont="1" applyFill="1" applyBorder="1" applyAlignment="1">
      <alignment horizontal="left"/>
    </xf>
    <xf numFmtId="0" fontId="34" fillId="0" borderId="46" xfId="1" applyFont="1" applyFill="1" applyBorder="1" applyAlignment="1">
      <alignment horizontal="center"/>
    </xf>
    <xf numFmtId="0" fontId="34" fillId="0" borderId="23" xfId="1" applyFont="1" applyFill="1" applyBorder="1" applyAlignment="1">
      <alignment horizontal="center"/>
    </xf>
    <xf numFmtId="0" fontId="34" fillId="0" borderId="48" xfId="1" applyFont="1" applyFill="1" applyBorder="1" applyAlignment="1">
      <alignment horizontal="center"/>
    </xf>
    <xf numFmtId="0" fontId="48" fillId="5" borderId="117" xfId="1" applyFont="1" applyFill="1" applyBorder="1" applyAlignment="1">
      <alignment horizontal="center"/>
    </xf>
    <xf numFmtId="0" fontId="48" fillId="5" borderId="118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9" fillId="0" borderId="80" xfId="1" applyFont="1" applyFill="1" applyBorder="1" applyAlignment="1">
      <alignment horizontal="left"/>
    </xf>
    <xf numFmtId="0" fontId="29" fillId="0" borderId="81" xfId="1" applyFont="1" applyFill="1" applyBorder="1" applyAlignment="1">
      <alignment horizontal="left"/>
    </xf>
    <xf numFmtId="0" fontId="29" fillId="0" borderId="82" xfId="1" applyFont="1" applyFill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Fill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167" fontId="38" fillId="0" borderId="65" xfId="1" applyNumberFormat="1" applyFont="1" applyFill="1" applyBorder="1" applyAlignment="1">
      <alignment horizontal="center"/>
    </xf>
    <xf numFmtId="167" fontId="38" fillId="0" borderId="66" xfId="1" applyNumberFormat="1" applyFont="1" applyFill="1" applyBorder="1" applyAlignment="1">
      <alignment horizontal="center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1" xfId="3" applyBorder="1" applyAlignment="1">
      <alignment horizontal="left"/>
    </xf>
    <xf numFmtId="170" fontId="1" fillId="0" borderId="17" xfId="3" applyNumberFormat="1" applyBorder="1" applyAlignment="1">
      <alignment horizontal="center"/>
    </xf>
    <xf numFmtId="170" fontId="1" fillId="0" borderId="131" xfId="3" applyNumberFormat="1" applyBorder="1" applyAlignment="1">
      <alignment horizontal="center"/>
    </xf>
    <xf numFmtId="170" fontId="1" fillId="0" borderId="132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1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51" xfId="3" applyBorder="1" applyAlignment="1">
      <alignment horizontal="left"/>
    </xf>
    <xf numFmtId="170" fontId="1" fillId="0" borderId="31" xfId="3" applyNumberFormat="1" applyBorder="1" applyAlignment="1">
      <alignment horizontal="center"/>
    </xf>
    <xf numFmtId="170" fontId="1" fillId="0" borderId="51" xfId="3" applyNumberFormat="1" applyBorder="1" applyAlignment="1">
      <alignment horizontal="center"/>
    </xf>
    <xf numFmtId="170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51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70" fontId="1" fillId="0" borderId="50" xfId="3" applyNumberFormat="1" applyBorder="1" applyAlignment="1">
      <alignment horizontal="center"/>
    </xf>
    <xf numFmtId="170" fontId="1" fillId="0" borderId="13" xfId="3" applyNumberFormat="1" applyBorder="1" applyAlignment="1">
      <alignment horizontal="center"/>
    </xf>
    <xf numFmtId="170" fontId="1" fillId="0" borderId="55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52" fillId="0" borderId="45" xfId="3" applyFont="1" applyBorder="1" applyAlignment="1">
      <alignment horizontal="center"/>
    </xf>
    <xf numFmtId="0" fontId="52" fillId="0" borderId="0" xfId="3" applyFont="1" applyBorder="1" applyAlignment="1">
      <alignment horizontal="center"/>
    </xf>
    <xf numFmtId="0" fontId="52" fillId="0" borderId="53" xfId="3" applyFont="1" applyBorder="1" applyAlignment="1">
      <alignment horizontal="center"/>
    </xf>
    <xf numFmtId="0" fontId="51" fillId="0" borderId="15" xfId="3" applyFont="1" applyBorder="1" applyAlignment="1">
      <alignment horizontal="center"/>
    </xf>
    <xf numFmtId="0" fontId="51" fillId="0" borderId="7" xfId="3" applyFont="1" applyBorder="1" applyAlignment="1">
      <alignment horizontal="center"/>
    </xf>
    <xf numFmtId="0" fontId="51" fillId="0" borderId="130" xfId="3" applyFont="1" applyBorder="1" applyAlignment="1">
      <alignment horizontal="center"/>
    </xf>
    <xf numFmtId="0" fontId="51" fillId="0" borderId="8" xfId="3" applyFont="1" applyBorder="1" applyAlignment="1">
      <alignment horizontal="center"/>
    </xf>
    <xf numFmtId="0" fontId="55" fillId="0" borderId="17" xfId="4" applyFont="1" applyBorder="1" applyAlignment="1">
      <alignment horizontal="right"/>
    </xf>
    <xf numFmtId="0" fontId="55" fillId="0" borderId="131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7" fillId="0" borderId="17" xfId="4" applyFont="1" applyBorder="1" applyAlignment="1">
      <alignment horizontal="center"/>
    </xf>
    <xf numFmtId="172" fontId="78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0" fontId="58" fillId="0" borderId="17" xfId="4" applyFont="1" applyBorder="1" applyAlignment="1">
      <alignment horizontal="center"/>
    </xf>
    <xf numFmtId="0" fontId="58" fillId="0" borderId="131" xfId="4" applyFont="1" applyBorder="1" applyAlignment="1">
      <alignment horizontal="center"/>
    </xf>
    <xf numFmtId="0" fontId="58" fillId="0" borderId="132" xfId="4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Border="1" applyAlignment="1">
      <alignment horizontal="center"/>
    </xf>
    <xf numFmtId="0" fontId="60" fillId="0" borderId="108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Border="1" applyAlignment="1">
      <alignment horizontal="center"/>
    </xf>
    <xf numFmtId="0" fontId="62" fillId="0" borderId="108" xfId="4" applyFont="1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54" xfId="4" applyBorder="1" applyAlignment="1">
      <alignment horizontal="center"/>
    </xf>
  </cellXfs>
  <cellStyles count="6">
    <cellStyle name="Normal" xfId="0" builtinId="0"/>
    <cellStyle name="Normal 2" xfId="1"/>
    <cellStyle name="Normal 3" xfId="4"/>
    <cellStyle name="Normal 4" xfId="5"/>
    <cellStyle name="Normal_OPTEST" xfId="2"/>
    <cellStyle name="Normal_PROJ_REV_HIST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1.5999998897314072E-2</c:v>
                </c:pt>
                <c:pt idx="2">
                  <c:v>7.9999998211860657E-2</c:v>
                </c:pt>
                <c:pt idx="3" formatCode="0.00">
                  <c:v>0.12842105329036713</c:v>
                </c:pt>
                <c:pt idx="4" formatCode="0.00">
                  <c:v>0.1768421083688736</c:v>
                </c:pt>
                <c:pt idx="5" formatCode="0.00">
                  <c:v>0.22526316344738007</c:v>
                </c:pt>
                <c:pt idx="6" formatCode="0.00">
                  <c:v>0.32210525870323181</c:v>
                </c:pt>
                <c:pt idx="7" formatCode="0.00">
                  <c:v>0.41894736886024475</c:v>
                </c:pt>
                <c:pt idx="8" formatCode="0.00">
                  <c:v>0.5157894492149353</c:v>
                </c:pt>
                <c:pt idx="9" formatCode="0.00">
                  <c:v>0.61263161897659302</c:v>
                </c:pt>
                <c:pt idx="10" formatCode="0.00">
                  <c:v>0.70947366952896118</c:v>
                </c:pt>
                <c:pt idx="11" formatCode="0.00">
                  <c:v>0.80631577968597412</c:v>
                </c:pt>
                <c:pt idx="12" formatCode="0.00">
                  <c:v>0.90315788984298706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119.49520661746443</c:v>
                </c:pt>
                <c:pt idx="2">
                  <c:v>275</c:v>
                </c:pt>
                <c:pt idx="3">
                  <c:v>228.14992281177575</c:v>
                </c:pt>
                <c:pt idx="4">
                  <c:v>174.61270306948171</c:v>
                </c:pt>
                <c:pt idx="5">
                  <c:v>150.63986713844992</c:v>
                </c:pt>
                <c:pt idx="6">
                  <c:v>136.20830278418117</c:v>
                </c:pt>
                <c:pt idx="7">
                  <c:v>129.66712860917119</c:v>
                </c:pt>
                <c:pt idx="8">
                  <c:v>125.77916774787445</c:v>
                </c:pt>
                <c:pt idx="9">
                  <c:v>123.32352149912299</c:v>
                </c:pt>
                <c:pt idx="10">
                  <c:v>121.7787966811613</c:v>
                </c:pt>
                <c:pt idx="11">
                  <c:v>120.83769325447085</c:v>
                </c:pt>
                <c:pt idx="12">
                  <c:v>120.29547752275191</c:v>
                </c:pt>
                <c:pt idx="13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9-40FB-A28E-A76F9DCD1DAE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1.5999998897314072E-2</c:v>
                </c:pt>
                <c:pt idx="2">
                  <c:v>7.9999998211860657E-2</c:v>
                </c:pt>
                <c:pt idx="3" formatCode="0.00">
                  <c:v>0.12842105329036713</c:v>
                </c:pt>
                <c:pt idx="4" formatCode="0.00">
                  <c:v>0.1768421083688736</c:v>
                </c:pt>
                <c:pt idx="5" formatCode="0.00">
                  <c:v>0.22526316344738007</c:v>
                </c:pt>
                <c:pt idx="6" formatCode="0.00">
                  <c:v>0.32210525870323181</c:v>
                </c:pt>
                <c:pt idx="7" formatCode="0.00">
                  <c:v>0.41894736886024475</c:v>
                </c:pt>
                <c:pt idx="8" formatCode="0.00">
                  <c:v>0.5157894492149353</c:v>
                </c:pt>
                <c:pt idx="9" formatCode="0.00">
                  <c:v>0.61263161897659302</c:v>
                </c:pt>
                <c:pt idx="10" formatCode="0.00">
                  <c:v>0.70947366952896118</c:v>
                </c:pt>
                <c:pt idx="11" formatCode="0.00">
                  <c:v>0.80631577968597412</c:v>
                </c:pt>
                <c:pt idx="12" formatCode="0.00">
                  <c:v>0.90315788984298706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94.075416564941406</c:v>
                </c:pt>
                <c:pt idx="2">
                  <c:v>71.836105346679688</c:v>
                </c:pt>
                <c:pt idx="3">
                  <c:v>61.726844787597656</c:v>
                </c:pt>
                <c:pt idx="4">
                  <c:v>52.408336639404297</c:v>
                </c:pt>
                <c:pt idx="5">
                  <c:v>44.995922088623047</c:v>
                </c:pt>
                <c:pt idx="6">
                  <c:v>30.192197799682617</c:v>
                </c:pt>
                <c:pt idx="7">
                  <c:v>20.298036575317383</c:v>
                </c:pt>
                <c:pt idx="8">
                  <c:v>13.017415046691895</c:v>
                </c:pt>
                <c:pt idx="9">
                  <c:v>7.7769498825073242</c:v>
                </c:pt>
                <c:pt idx="10">
                  <c:v>6.2341909408569336</c:v>
                </c:pt>
                <c:pt idx="11">
                  <c:v>8.4720211029052734</c:v>
                </c:pt>
                <c:pt idx="12">
                  <c:v>15.47368335723877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F9-40FB-A28E-A76F9DCD1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723352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1.5999998897314072E-2</c:v>
                </c:pt>
                <c:pt idx="2">
                  <c:v>7.9999998211860657E-2</c:v>
                </c:pt>
                <c:pt idx="3" formatCode="0.00">
                  <c:v>0.12842105329036713</c:v>
                </c:pt>
                <c:pt idx="4" formatCode="0.00">
                  <c:v>0.1768421083688736</c:v>
                </c:pt>
                <c:pt idx="5" formatCode="0.00">
                  <c:v>0.22526316344738007</c:v>
                </c:pt>
                <c:pt idx="6" formatCode="0.00">
                  <c:v>0.32210525870323181</c:v>
                </c:pt>
                <c:pt idx="7" formatCode="0.00">
                  <c:v>0.41894736886024475</c:v>
                </c:pt>
                <c:pt idx="8" formatCode="0.00">
                  <c:v>0.5157894492149353</c:v>
                </c:pt>
                <c:pt idx="9" formatCode="0.00">
                  <c:v>0.61263161897659302</c:v>
                </c:pt>
                <c:pt idx="10" formatCode="0.00">
                  <c:v>0.70947366952896118</c:v>
                </c:pt>
                <c:pt idx="11" formatCode="0.00">
                  <c:v>0.80631577968597412</c:v>
                </c:pt>
                <c:pt idx="12" formatCode="0.00">
                  <c:v>0.90315788984298706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0.23958456516265869</c:v>
                </c:pt>
                <c:pt idx="1">
                  <c:v>130.25590515136719</c:v>
                </c:pt>
                <c:pt idx="2">
                  <c:v>424.81451416015625</c:v>
                </c:pt>
                <c:pt idx="3">
                  <c:v>521.88055419921875</c:v>
                </c:pt>
                <c:pt idx="4">
                  <c:v>553.37298583984375</c:v>
                </c:pt>
                <c:pt idx="5">
                  <c:v>570.21173095703125</c:v>
                </c:pt>
                <c:pt idx="6">
                  <c:v>592.76824951171875</c:v>
                </c:pt>
                <c:pt idx="7">
                  <c:v>610.04022216796875</c:v>
                </c:pt>
                <c:pt idx="8">
                  <c:v>624.07330322265625</c:v>
                </c:pt>
                <c:pt idx="9">
                  <c:v>635.54052734375</c:v>
                </c:pt>
                <c:pt idx="10">
                  <c:v>644.7030029296875</c:v>
                </c:pt>
                <c:pt idx="11">
                  <c:v>651.9852294921875</c:v>
                </c:pt>
                <c:pt idx="12">
                  <c:v>658.04022216796875</c:v>
                </c:pt>
                <c:pt idx="13">
                  <c:v>663.1578369140625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F9-40FB-A28E-A76F9DCD1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6672335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6723352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98.400000110268593</c:v>
                </c:pt>
                <c:pt idx="2">
                  <c:v>92.000000178813934</c:v>
                </c:pt>
                <c:pt idx="3">
                  <c:v>87.157894670963287</c:v>
                </c:pt>
                <c:pt idx="4">
                  <c:v>82.31578916311264</c:v>
                </c:pt>
                <c:pt idx="5">
                  <c:v>77.473683655261993</c:v>
                </c:pt>
                <c:pt idx="6">
                  <c:v>67.789474129676819</c:v>
                </c:pt>
                <c:pt idx="7">
                  <c:v>58.105263113975525</c:v>
                </c:pt>
                <c:pt idx="8">
                  <c:v>48.42105507850647</c:v>
                </c:pt>
                <c:pt idx="9">
                  <c:v>38.736838102340698</c:v>
                </c:pt>
                <c:pt idx="10">
                  <c:v>29.052633047103882</c:v>
                </c:pt>
                <c:pt idx="11">
                  <c:v>19.368422031402588</c:v>
                </c:pt>
                <c:pt idx="12">
                  <c:v>9.6842110157012939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119.49520661746443</c:v>
                </c:pt>
                <c:pt idx="2">
                  <c:v>275</c:v>
                </c:pt>
                <c:pt idx="3">
                  <c:v>228.14992281177575</c:v>
                </c:pt>
                <c:pt idx="4">
                  <c:v>174.61270306948171</c:v>
                </c:pt>
                <c:pt idx="5">
                  <c:v>150.63986713844992</c:v>
                </c:pt>
                <c:pt idx="6">
                  <c:v>136.20830278418117</c:v>
                </c:pt>
                <c:pt idx="7">
                  <c:v>129.66712860917119</c:v>
                </c:pt>
                <c:pt idx="8">
                  <c:v>125.77916774787445</c:v>
                </c:pt>
                <c:pt idx="9">
                  <c:v>123.32352149912299</c:v>
                </c:pt>
                <c:pt idx="10">
                  <c:v>121.7787966811613</c:v>
                </c:pt>
                <c:pt idx="11">
                  <c:v>120.83769325447085</c:v>
                </c:pt>
                <c:pt idx="12">
                  <c:v>120.29547752275191</c:v>
                </c:pt>
                <c:pt idx="13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DF-4FDB-8229-9E4DA20A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724336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98.400000110268593</c:v>
                </c:pt>
                <c:pt idx="2">
                  <c:v>92.000000178813934</c:v>
                </c:pt>
                <c:pt idx="3">
                  <c:v>87.157894670963287</c:v>
                </c:pt>
                <c:pt idx="4">
                  <c:v>82.31578916311264</c:v>
                </c:pt>
                <c:pt idx="5">
                  <c:v>77.473683655261993</c:v>
                </c:pt>
                <c:pt idx="6">
                  <c:v>67.789474129676819</c:v>
                </c:pt>
                <c:pt idx="7">
                  <c:v>58.105263113975525</c:v>
                </c:pt>
                <c:pt idx="8">
                  <c:v>48.42105507850647</c:v>
                </c:pt>
                <c:pt idx="9">
                  <c:v>38.736838102340698</c:v>
                </c:pt>
                <c:pt idx="10">
                  <c:v>29.052633047103882</c:v>
                </c:pt>
                <c:pt idx="11">
                  <c:v>19.368422031402588</c:v>
                </c:pt>
                <c:pt idx="12">
                  <c:v>9.6842110157012939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94.075416564941406</c:v>
                </c:pt>
                <c:pt idx="2">
                  <c:v>71.836105346679688</c:v>
                </c:pt>
                <c:pt idx="3">
                  <c:v>61.726844787597656</c:v>
                </c:pt>
                <c:pt idx="4">
                  <c:v>52.408336639404297</c:v>
                </c:pt>
                <c:pt idx="5">
                  <c:v>44.995922088623047</c:v>
                </c:pt>
                <c:pt idx="6">
                  <c:v>30.192197799682617</c:v>
                </c:pt>
                <c:pt idx="7">
                  <c:v>20.298036575317383</c:v>
                </c:pt>
                <c:pt idx="8">
                  <c:v>13.017415046691895</c:v>
                </c:pt>
                <c:pt idx="9">
                  <c:v>7.7769498825073242</c:v>
                </c:pt>
                <c:pt idx="10">
                  <c:v>6.2341909408569336</c:v>
                </c:pt>
                <c:pt idx="11">
                  <c:v>8.4720211029052734</c:v>
                </c:pt>
                <c:pt idx="12">
                  <c:v>15.47368335723877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DF-4FDB-8229-9E4DA20A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724336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98.400000110268593</c:v>
                </c:pt>
                <c:pt idx="2">
                  <c:v>92.000000178813934</c:v>
                </c:pt>
                <c:pt idx="3">
                  <c:v>87.157894670963287</c:v>
                </c:pt>
                <c:pt idx="4">
                  <c:v>82.31578916311264</c:v>
                </c:pt>
                <c:pt idx="5">
                  <c:v>77.473683655261993</c:v>
                </c:pt>
                <c:pt idx="6">
                  <c:v>67.789474129676819</c:v>
                </c:pt>
                <c:pt idx="7">
                  <c:v>58.105263113975525</c:v>
                </c:pt>
                <c:pt idx="8">
                  <c:v>48.42105507850647</c:v>
                </c:pt>
                <c:pt idx="9">
                  <c:v>38.736838102340698</c:v>
                </c:pt>
                <c:pt idx="10">
                  <c:v>29.052633047103882</c:v>
                </c:pt>
                <c:pt idx="11">
                  <c:v>19.368422031402588</c:v>
                </c:pt>
                <c:pt idx="12">
                  <c:v>9.6842110157012939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0.23958456516265869</c:v>
                </c:pt>
                <c:pt idx="1">
                  <c:v>130.25590515136719</c:v>
                </c:pt>
                <c:pt idx="2">
                  <c:v>424.81451416015625</c:v>
                </c:pt>
                <c:pt idx="3">
                  <c:v>521.88055419921875</c:v>
                </c:pt>
                <c:pt idx="4">
                  <c:v>553.37298583984375</c:v>
                </c:pt>
                <c:pt idx="5">
                  <c:v>570.21173095703125</c:v>
                </c:pt>
                <c:pt idx="6">
                  <c:v>592.76824951171875</c:v>
                </c:pt>
                <c:pt idx="7">
                  <c:v>610.04022216796875</c:v>
                </c:pt>
                <c:pt idx="8">
                  <c:v>624.07330322265625</c:v>
                </c:pt>
                <c:pt idx="9">
                  <c:v>635.54052734375</c:v>
                </c:pt>
                <c:pt idx="10">
                  <c:v>644.7030029296875</c:v>
                </c:pt>
                <c:pt idx="11">
                  <c:v>651.9852294921875</c:v>
                </c:pt>
                <c:pt idx="12">
                  <c:v>658.04022216796875</c:v>
                </c:pt>
                <c:pt idx="13">
                  <c:v>663.1578369140625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DF-4FDB-8229-9E4DA20A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6672433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67243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52986437531809"/>
          <c:w val="0.23762674402541786"/>
          <c:h val="0.1147013562468189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663.15789473684208</c:v>
                </c:pt>
                <c:pt idx="1">
                  <c:v>582.77996842105267</c:v>
                </c:pt>
                <c:pt idx="2">
                  <c:v>502.37792631578947</c:v>
                </c:pt>
                <c:pt idx="3">
                  <c:v>422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45.320292222704914</c:v>
                </c:pt>
                <c:pt idx="2">
                  <c:v>60.987500516131504</c:v>
                </c:pt>
                <c:pt idx="3">
                  <c:v>86.432491225000661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4E-4FE0-BF28-6296C47CB5C2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663.15789473684208</c:v>
                </c:pt>
                <c:pt idx="1">
                  <c:v>582.77996842105267</c:v>
                </c:pt>
                <c:pt idx="2">
                  <c:v>502.37792631578947</c:v>
                </c:pt>
                <c:pt idx="3">
                  <c:v>422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19.422982381159251</c:v>
                </c:pt>
                <c:pt idx="2">
                  <c:v>26.137500221199215</c:v>
                </c:pt>
                <c:pt idx="3">
                  <c:v>37.042496239286002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4E-4FE0-BF28-6296C47CB5C2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322</c:v>
                </c:pt>
                <c:pt idx="1">
                  <c:v>222</c:v>
                </c:pt>
                <c:pt idx="2">
                  <c:v>275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87.228772235067851</c:v>
                </c:pt>
                <c:pt idx="3">
                  <c:v>203.60110803324099</c:v>
                </c:pt>
                <c:pt idx="4">
                  <c:v>313.75390726644508</c:v>
                </c:pt>
                <c:pt idx="5" formatCode="0">
                  <c:v>700</c:v>
                </c:pt>
                <c:pt idx="6" formatCode="0">
                  <c:v>1400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E-4FE0-BF28-6296C47CB5C2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663.15789473684208</c:v>
                </c:pt>
                <c:pt idx="1">
                  <c:v>660.61403508771934</c:v>
                </c:pt>
                <c:pt idx="2">
                  <c:v>655</c:v>
                </c:pt>
                <c:pt idx="3">
                  <c:v>648.33333333333337</c:v>
                </c:pt>
                <c:pt idx="4">
                  <c:v>640.08771929824559</c:v>
                </c:pt>
                <c:pt idx="5">
                  <c:v>629.82456140350882</c:v>
                </c:pt>
                <c:pt idx="6">
                  <c:v>617.01754385964909</c:v>
                </c:pt>
                <c:pt idx="7">
                  <c:v>601.40350877192986</c:v>
                </c:pt>
                <c:pt idx="8">
                  <c:v>581.49122807017545</c:v>
                </c:pt>
                <c:pt idx="9">
                  <c:v>561.75438596491233</c:v>
                </c:pt>
                <c:pt idx="10">
                  <c:v>537.63157894736844</c:v>
                </c:pt>
                <c:pt idx="11">
                  <c:v>473.33333333333331</c:v>
                </c:pt>
                <c:pt idx="12">
                  <c:v>277.54385964912279</c:v>
                </c:pt>
                <c:pt idx="13">
                  <c:v>78.765020612226991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0.75400000810623169</c:v>
                </c:pt>
                <c:pt idx="2">
                  <c:v>1.4300000667572021</c:v>
                </c:pt>
                <c:pt idx="3">
                  <c:v>2.0740001201629639</c:v>
                </c:pt>
                <c:pt idx="4">
                  <c:v>2.7100000381469727</c:v>
                </c:pt>
                <c:pt idx="5">
                  <c:v>3.3529999256134033</c:v>
                </c:pt>
                <c:pt idx="6">
                  <c:v>4.0139999389648438</c:v>
                </c:pt>
                <c:pt idx="7">
                  <c:v>4.6960000991821289</c:v>
                </c:pt>
                <c:pt idx="8">
                  <c:v>5.3899998664855957</c:v>
                </c:pt>
                <c:pt idx="9">
                  <c:v>5.7119998931884766</c:v>
                </c:pt>
                <c:pt idx="10">
                  <c:v>5.9660000801086426</c:v>
                </c:pt>
                <c:pt idx="11">
                  <c:v>6.1649999618530273</c:v>
                </c:pt>
                <c:pt idx="12">
                  <c:v>6.5900001525878906</c:v>
                </c:pt>
                <c:pt idx="13">
                  <c:v>7.1140003204345703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4E-4FE0-BF28-6296C47CB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125144"/>
        <c:axId val="1"/>
      </c:scatterChart>
      <c:valAx>
        <c:axId val="60112514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112514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90.900001525878906</c:v>
                </c:pt>
                <c:pt idx="2">
                  <c:v>94.099998474121094</c:v>
                </c:pt>
                <c:pt idx="3">
                  <c:v>95</c:v>
                </c:pt>
                <c:pt idx="4">
                  <c:v>95.200004577636719</c:v>
                </c:pt>
                <c:pt idx="5">
                  <c:v>95.200004577636719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37-4E63-8D44-290A4F66302E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65.300003051757813</c:v>
                </c:pt>
                <c:pt idx="1">
                  <c:v>82.800003051757813</c:v>
                </c:pt>
                <c:pt idx="2">
                  <c:v>87.800003051757813</c:v>
                </c:pt>
                <c:pt idx="3">
                  <c:v>89.300003051757813</c:v>
                </c:pt>
                <c:pt idx="4">
                  <c:v>89.5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37-4E63-8D44-290A4F66302E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80.961303710945458</c:v>
                </c:pt>
                <c:pt idx="2">
                  <c:v>63.076782226582964</c:v>
                </c:pt>
                <c:pt idx="3">
                  <c:v>44.038696289073869</c:v>
                </c:pt>
                <c:pt idx="4">
                  <c:v>25</c:v>
                </c:pt>
                <c:pt idx="5">
                  <c:v>5.9613037109352263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37-4E63-8D44-290A4F66302E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0.43588888888888888</c:v>
                </c:pt>
                <c:pt idx="1">
                  <c:v>10.257177777777779</c:v>
                </c:pt>
                <c:pt idx="2">
                  <c:v>19.822977777777776</c:v>
                </c:pt>
                <c:pt idx="3">
                  <c:v>29.468572222222221</c:v>
                </c:pt>
                <c:pt idx="4">
                  <c:v>39.187044444444446</c:v>
                </c:pt>
                <c:pt idx="5">
                  <c:v>49.020311111111106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37-4E63-8D44-290A4F663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84568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26</c:v>
                </c:pt>
                <c:pt idx="1">
                  <c:v>40.810001373291016</c:v>
                </c:pt>
                <c:pt idx="2">
                  <c:v>62.200000762939453</c:v>
                </c:pt>
                <c:pt idx="3">
                  <c:v>87.199996948242188</c:v>
                </c:pt>
                <c:pt idx="4">
                  <c:v>114.01000213623047</c:v>
                </c:pt>
                <c:pt idx="5">
                  <c:v>142.30000305175781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37-4E63-8D44-290A4F663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69884568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84568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37.05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10.05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12.7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179294</xdr:colOff>
      <xdr:row>42</xdr:row>
      <xdr:rowOff>66114</xdr:rowOff>
    </xdr:from>
    <xdr:to>
      <xdr:col>3</xdr:col>
      <xdr:colOff>503144</xdr:colOff>
      <xdr:row>42</xdr:row>
      <xdr:rowOff>191060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912844" y="9733989"/>
          <a:ext cx="323850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286.7</a:t>
          </a:r>
        </a:p>
      </xdr:txBody>
    </xdr:sp>
    <xdr:clientData/>
  </xdr:twoCellAnchor>
  <xdr:twoCellAnchor>
    <xdr:from>
      <xdr:col>3</xdr:col>
      <xdr:colOff>333376</xdr:colOff>
      <xdr:row>40</xdr:row>
      <xdr:rowOff>64247</xdr:rowOff>
    </xdr:from>
    <xdr:to>
      <xdr:col>3</xdr:col>
      <xdr:colOff>598955</xdr:colOff>
      <xdr:row>40</xdr:row>
      <xdr:rowOff>158376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2066926" y="9274922"/>
          <a:ext cx="265579" cy="9412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130548</xdr:colOff>
      <xdr:row>41</xdr:row>
      <xdr:rowOff>52107</xdr:rowOff>
    </xdr:from>
    <xdr:to>
      <xdr:col>2</xdr:col>
      <xdr:colOff>387723</xdr:colOff>
      <xdr:row>41</xdr:row>
      <xdr:rowOff>166407</xdr:rowOff>
    </xdr:to>
    <xdr:sp macro="" textlink="">
      <xdr:nvSpPr>
        <xdr:cNvPr id="71" name="Clear"/>
        <xdr:cNvSpPr txBox="1">
          <a:spLocks noChangeArrowheads="1"/>
        </xdr:cNvSpPr>
      </xdr:nvSpPr>
      <xdr:spPr bwMode="auto">
        <a:xfrm>
          <a:off x="1349748" y="9491382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45.0</a:t>
          </a:r>
        </a:p>
      </xdr:txBody>
    </xdr:sp>
    <xdr:clientData/>
  </xdr:twoCellAnchor>
  <xdr:twoCellAnchor>
    <xdr:from>
      <xdr:col>2</xdr:col>
      <xdr:colOff>418353</xdr:colOff>
      <xdr:row>41</xdr:row>
      <xdr:rowOff>169582</xdr:rowOff>
    </xdr:from>
    <xdr:to>
      <xdr:col>3</xdr:col>
      <xdr:colOff>190874</xdr:colOff>
      <xdr:row>42</xdr:row>
      <xdr:rowOff>45757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37553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60.0</a:t>
          </a: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3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74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75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76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7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78" name="Group 104"/>
        <xdr:cNvGrpSpPr>
          <a:grpSpLocks/>
        </xdr:cNvGrpSpPr>
      </xdr:nvGrpSpPr>
      <xdr:grpSpPr bwMode="auto">
        <a:xfrm>
          <a:off x="1047750" y="9086850"/>
          <a:ext cx="1114425" cy="733425"/>
          <a:chOff x="921807" y="9129183"/>
          <a:chExt cx="1110192" cy="729192"/>
        </a:xfrm>
      </xdr:grpSpPr>
      <xdr:grpSp>
        <xdr:nvGrpSpPr>
          <xdr:cNvPr id="79" name="Group 112"/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0" name="Group 113"/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2" name="Line 114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15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16"/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17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18"/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7" name="Line 119"/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Line 120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106"/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1" name="Line 121"/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2" name="Group 108"/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83" name="Line 102"/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4" name="Line 103"/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5" name="Line 104"/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105"/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106"/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107"/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102"/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98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99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0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1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2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3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04" name="Radius"/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05" name="Thickness"/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06" name="Text 583"/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695325</xdr:colOff>
      <xdr:row>28</xdr:row>
      <xdr:rowOff>190500</xdr:rowOff>
    </xdr:from>
    <xdr:to>
      <xdr:col>4</xdr:col>
      <xdr:colOff>722098</xdr:colOff>
      <xdr:row>29</xdr:row>
      <xdr:rowOff>123825</xdr:rowOff>
    </xdr:to>
    <xdr:sp macro="" textlink="">
      <xdr:nvSpPr>
        <xdr:cNvPr id="107" name="Text 219"/>
        <xdr:cNvSpPr txBox="1">
          <a:spLocks noChangeArrowheads="1"/>
        </xdr:cNvSpPr>
      </xdr:nvSpPr>
      <xdr:spPr bwMode="auto">
        <a:xfrm>
          <a:off x="242887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695325</xdr:colOff>
      <xdr:row>34</xdr:row>
      <xdr:rowOff>200025</xdr:rowOff>
    </xdr:from>
    <xdr:to>
      <xdr:col>4</xdr:col>
      <xdr:colOff>722098</xdr:colOff>
      <xdr:row>35</xdr:row>
      <xdr:rowOff>133350</xdr:rowOff>
    </xdr:to>
    <xdr:sp macro="" textlink="">
      <xdr:nvSpPr>
        <xdr:cNvPr id="108" name="Text 219"/>
        <xdr:cNvSpPr txBox="1">
          <a:spLocks noChangeArrowheads="1"/>
        </xdr:cNvSpPr>
      </xdr:nvSpPr>
      <xdr:spPr bwMode="auto">
        <a:xfrm>
          <a:off x="242887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695325</xdr:colOff>
      <xdr:row>40</xdr:row>
      <xdr:rowOff>142875</xdr:rowOff>
    </xdr:from>
    <xdr:to>
      <xdr:col>4</xdr:col>
      <xdr:colOff>722098</xdr:colOff>
      <xdr:row>41</xdr:row>
      <xdr:rowOff>76200</xdr:rowOff>
    </xdr:to>
    <xdr:sp macro="" textlink="">
      <xdr:nvSpPr>
        <xdr:cNvPr id="109" name="Text 219"/>
        <xdr:cNvSpPr txBox="1">
          <a:spLocks noChangeArrowheads="1"/>
        </xdr:cNvSpPr>
      </xdr:nvSpPr>
      <xdr:spPr bwMode="auto">
        <a:xfrm>
          <a:off x="242887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10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11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12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13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14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15" name="Rectangle 93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16" name="Rectangle 94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17" name="Rectangle 95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18" name="Rectangle 96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19" name="Rectangle 97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0.70883</cdr:x>
      <cdr:y>0.61697</cdr:y>
    </cdr:from>
    <cdr:to>
      <cdr:x>0.94468</cdr:x>
      <cdr:y>0.63766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45509" y="397258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0.70069</cdr:x>
      <cdr:y>0.54384</cdr:y>
    </cdr:from>
    <cdr:to>
      <cdr:x>0.98351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97884" y="35017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0.68776</cdr:x>
      <cdr:y>0.76207</cdr:y>
    </cdr:from>
    <cdr:to>
      <cdr:x>0.9332</cdr:x>
      <cdr:y>0.7872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22284" y="4906888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/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0430FCD-2C1B-4079-B338-CFA82D42A80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/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D10E432-A617-4449-9442-16E903582F5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1798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/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A03C4C1-22C6-432C-B7A7-82665B3D7D6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1796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/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58CB585-3DC3-4AD0-9F5E-6A9B3B29E62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1794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/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76C6D4A-C41D-41FC-BB74-89DD49896B8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1792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/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0C097A8-7925-4686-BF73-928BC46062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1790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/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7B3690B-B994-48F9-9F95-FB7BB09F7A2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1788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/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0EC3810-D503-43F1-A660-D196B007F7E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1786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/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9662748-4CD9-436F-BC1B-4F3B4DDC31B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1784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/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17D29BD-5170-453F-95C7-29E77F0961F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1782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/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D749ADB-F1EF-464D-9B99-A617F488A0C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/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63B70E7-089C-44F4-B5B7-76B1F53015C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7F09EE8-996F-4A61-8C70-7D9FB95ADFC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900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/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24E11CA-7C2A-4F8F-B8D3-466E11EF3DE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720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/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37AC1B0-11DE-440B-8BE7-A1D452BB42C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540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/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32EF9F9-0837-4744-A083-D3B7D2F888D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/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6B9023D-DE44-4016-BC9A-1192A16270B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/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4BA1DD7-6D0D-4527-A32B-A5EC5D8FF4E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1080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/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6DAE449-08FE-4862-8CF0-8A9B7DDB578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1260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/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EAEAC20-47C8-447C-BA88-4B0DE575814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1440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/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441AB70-48A9-47C5-8C94-68525756A50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1620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171450</xdr:colOff>
      <xdr:row>19</xdr:row>
      <xdr:rowOff>133350</xdr:rowOff>
    </xdr:from>
    <xdr:to>
      <xdr:col>3</xdr:col>
      <xdr:colOff>504825</xdr:colOff>
      <xdr:row>20</xdr:row>
      <xdr:rowOff>66675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514725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990600</xdr:colOff>
      <xdr:row>23</xdr:row>
      <xdr:rowOff>0</xdr:rowOff>
    </xdr:from>
    <xdr:to>
      <xdr:col>3</xdr:col>
      <xdr:colOff>219075</xdr:colOff>
      <xdr:row>23</xdr:row>
      <xdr:rowOff>142875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219450" y="55626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590550</xdr:colOff>
      <xdr:row>31</xdr:row>
      <xdr:rowOff>180975</xdr:rowOff>
    </xdr:from>
    <xdr:to>
      <xdr:col>2</xdr:col>
      <xdr:colOff>1095375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19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60EF4CF-D6CE-454A-A359-84966D8DA10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Q113"/>
  <sheetViews>
    <sheetView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219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220</v>
      </c>
    </row>
    <row r="3" spans="1:10" ht="15" customHeight="1" thickBot="1">
      <c r="A3" s="49" t="s">
        <v>1</v>
      </c>
      <c r="B3" s="96" t="s">
        <v>218</v>
      </c>
      <c r="C3" s="1"/>
      <c r="D3" s="49"/>
      <c r="E3" s="1"/>
      <c r="F3" s="1"/>
      <c r="G3" s="49" t="s">
        <v>2</v>
      </c>
      <c r="H3" s="174">
        <v>44664</v>
      </c>
      <c r="I3" s="49" t="s">
        <v>3</v>
      </c>
      <c r="J3" s="175">
        <v>0.60596064814814821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900.00003272662536</v>
      </c>
      <c r="C5" s="140">
        <v>1800</v>
      </c>
      <c r="D5" s="50" t="s">
        <v>193</v>
      </c>
      <c r="E5" s="158">
        <v>4000</v>
      </c>
      <c r="F5" s="140">
        <v>60</v>
      </c>
      <c r="G5" s="50">
        <v>105</v>
      </c>
      <c r="H5" s="78" t="s">
        <v>252</v>
      </c>
      <c r="I5" s="77" t="s">
        <v>257</v>
      </c>
      <c r="J5" s="50" t="s">
        <v>194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22.252929166666664</v>
      </c>
      <c r="J7" s="106" t="s">
        <v>19</v>
      </c>
    </row>
    <row r="8" spans="1:10" ht="15" customHeight="1">
      <c r="A8" s="10" t="s">
        <v>20</v>
      </c>
      <c r="B8" s="69">
        <v>2.0999999046325684</v>
      </c>
      <c r="C8" s="52"/>
      <c r="D8" s="6"/>
      <c r="E8" s="51"/>
      <c r="F8" s="4"/>
      <c r="G8" s="16"/>
      <c r="H8" s="10" t="s">
        <v>21</v>
      </c>
      <c r="I8" s="68">
        <v>30.045024377254787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201</v>
      </c>
      <c r="F9" s="107" t="s">
        <v>25</v>
      </c>
      <c r="G9" s="30"/>
      <c r="H9" s="10" t="s">
        <v>26</v>
      </c>
      <c r="I9" s="69">
        <v>26.148976771960726</v>
      </c>
      <c r="J9" s="104">
        <v>224.54512352125195</v>
      </c>
    </row>
    <row r="10" spans="1:10" ht="15" customHeight="1">
      <c r="A10" s="10" t="s">
        <v>27</v>
      </c>
      <c r="B10" s="69">
        <v>575</v>
      </c>
      <c r="C10" s="73">
        <v>575</v>
      </c>
      <c r="D10" s="6"/>
      <c r="E10" s="51"/>
      <c r="F10" s="116" t="s">
        <v>214</v>
      </c>
      <c r="G10" s="114" t="s">
        <v>215</v>
      </c>
      <c r="H10" s="10" t="s">
        <v>28</v>
      </c>
      <c r="I10" s="68">
        <v>13.46034202175197</v>
      </c>
      <c r="J10" s="103" t="s">
        <v>29</v>
      </c>
    </row>
    <row r="11" spans="1:10" ht="15" customHeight="1" thickBot="1">
      <c r="A11" s="10" t="s">
        <v>30</v>
      </c>
      <c r="B11" s="69">
        <v>670</v>
      </c>
      <c r="C11" s="73">
        <v>420.80000019073486</v>
      </c>
      <c r="D11" s="10" t="s">
        <v>31</v>
      </c>
      <c r="E11" s="68">
        <v>0.86657999999999991</v>
      </c>
      <c r="F11" s="117"/>
      <c r="G11" s="113"/>
      <c r="H11" s="10" t="s">
        <v>32</v>
      </c>
      <c r="I11" s="68">
        <v>29.414491096603793</v>
      </c>
      <c r="J11" s="104">
        <v>27364.31466571381</v>
      </c>
    </row>
    <row r="12" spans="1:10" ht="15" customHeight="1">
      <c r="A12" s="10" t="s">
        <v>33</v>
      </c>
      <c r="B12" s="69">
        <v>425</v>
      </c>
      <c r="C12" s="73">
        <v>220</v>
      </c>
      <c r="D12" s="10" t="s">
        <v>34</v>
      </c>
      <c r="E12" s="153" t="s">
        <v>174</v>
      </c>
      <c r="F12" s="123" t="s">
        <v>207</v>
      </c>
      <c r="G12" s="115" t="s">
        <v>206</v>
      </c>
      <c r="H12" s="10" t="s">
        <v>35</v>
      </c>
      <c r="I12" s="68">
        <v>1.2098288333249432</v>
      </c>
      <c r="J12" s="103" t="s">
        <v>36</v>
      </c>
    </row>
    <row r="13" spans="1:10" ht="15" customHeight="1" thickBot="1">
      <c r="A13" s="10" t="s">
        <v>37</v>
      </c>
      <c r="B13" s="69">
        <v>65.5</v>
      </c>
      <c r="C13" s="73">
        <v>63.350000858306885</v>
      </c>
      <c r="D13" s="10" t="s">
        <v>38</v>
      </c>
      <c r="E13" s="70">
        <v>20</v>
      </c>
      <c r="F13" s="123"/>
      <c r="G13" s="115" t="s">
        <v>208</v>
      </c>
      <c r="H13" s="10" t="s">
        <v>40</v>
      </c>
      <c r="I13" s="68">
        <v>1.0214361444697506</v>
      </c>
      <c r="J13" s="104">
        <v>110.47731018066406</v>
      </c>
    </row>
    <row r="14" spans="1:10" ht="15" customHeight="1" thickBot="1">
      <c r="A14" s="160" t="s">
        <v>41</v>
      </c>
      <c r="B14" s="133">
        <v>423.14999389648438</v>
      </c>
      <c r="C14" s="134">
        <v>423.14999389648438</v>
      </c>
      <c r="D14" s="10" t="s">
        <v>42</v>
      </c>
      <c r="E14" s="51" t="s">
        <v>202</v>
      </c>
      <c r="F14" s="51" t="s">
        <v>210</v>
      </c>
      <c r="G14" s="115" t="s">
        <v>209</v>
      </c>
      <c r="H14" s="49" t="s">
        <v>43</v>
      </c>
      <c r="I14" s="68">
        <v>1.2357628989797664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174</v>
      </c>
      <c r="F15" s="51"/>
      <c r="G15" s="115"/>
      <c r="H15" s="10" t="s">
        <v>47</v>
      </c>
      <c r="I15" s="68">
        <v>0.97811904826498275</v>
      </c>
      <c r="J15" s="104">
        <v>20</v>
      </c>
    </row>
    <row r="16" spans="1:10" ht="15" customHeight="1">
      <c r="A16" s="10" t="s">
        <v>48</v>
      </c>
      <c r="B16" s="51">
        <v>60</v>
      </c>
      <c r="C16" s="52">
        <v>44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7" ht="15" customHeight="1" thickBot="1">
      <c r="A17" s="10" t="s">
        <v>52</v>
      </c>
      <c r="B17" s="51" t="s">
        <v>195</v>
      </c>
      <c r="C17" s="52" t="s">
        <v>196</v>
      </c>
      <c r="D17" s="49" t="s">
        <v>53</v>
      </c>
      <c r="E17" s="51" t="s">
        <v>203</v>
      </c>
      <c r="F17" s="51"/>
      <c r="G17" s="115"/>
      <c r="H17" s="10" t="s">
        <v>54</v>
      </c>
      <c r="I17" s="68">
        <v>0.93557673708121603</v>
      </c>
      <c r="J17" s="104">
        <v>573.28161998069947</v>
      </c>
    </row>
    <row r="18" spans="1:17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1090</v>
      </c>
      <c r="F18" s="70">
        <v>725</v>
      </c>
      <c r="G18" s="74"/>
      <c r="H18" s="13" t="s">
        <v>57</v>
      </c>
      <c r="I18" s="131" t="s">
        <v>216</v>
      </c>
      <c r="J18" s="132"/>
    </row>
    <row r="19" spans="1:17" ht="15" customHeight="1">
      <c r="A19" s="10" t="s">
        <v>58</v>
      </c>
      <c r="B19" s="69">
        <v>57</v>
      </c>
      <c r="C19" s="73">
        <v>37.049999237060547</v>
      </c>
      <c r="D19" s="10" t="s">
        <v>59</v>
      </c>
      <c r="E19" s="70">
        <v>400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197</v>
      </c>
      <c r="C20" s="73">
        <v>10.050000190734863</v>
      </c>
      <c r="D20" s="10" t="s">
        <v>166</v>
      </c>
      <c r="E20" s="165">
        <v>0.41269209498356402</v>
      </c>
      <c r="F20" s="51"/>
      <c r="G20" s="52"/>
      <c r="H20" s="10" t="s">
        <v>63</v>
      </c>
      <c r="I20" s="68">
        <v>19.604923248291016</v>
      </c>
      <c r="J20" s="72">
        <v>19.604923248291016</v>
      </c>
    </row>
    <row r="21" spans="1:17" ht="15" customHeight="1">
      <c r="A21" s="10" t="s">
        <v>64</v>
      </c>
      <c r="B21" s="69">
        <v>12.699999809265137</v>
      </c>
      <c r="C21" s="73">
        <v>3</v>
      </c>
      <c r="D21" s="10" t="s">
        <v>204</v>
      </c>
      <c r="E21" s="67">
        <v>0.55052638996825143</v>
      </c>
      <c r="F21" s="67">
        <v>0.47432941198348999</v>
      </c>
      <c r="G21" s="71">
        <v>2.210875853664199E-2</v>
      </c>
      <c r="H21" s="10" t="s">
        <v>65</v>
      </c>
      <c r="I21" s="68">
        <v>19.673128128051758</v>
      </c>
      <c r="J21" s="72">
        <v>12.498244285583496</v>
      </c>
    </row>
    <row r="22" spans="1:17" ht="15" customHeight="1">
      <c r="A22" s="10" t="s">
        <v>66</v>
      </c>
      <c r="B22" s="69">
        <v>2.8299999237060547</v>
      </c>
      <c r="C22" s="73">
        <v>2</v>
      </c>
      <c r="D22" s="10" t="s">
        <v>67</v>
      </c>
      <c r="E22" s="51" t="s">
        <v>205</v>
      </c>
      <c r="F22" s="51" t="s">
        <v>205</v>
      </c>
      <c r="G22" s="52" t="s">
        <v>205</v>
      </c>
      <c r="H22" s="10" t="s">
        <v>68</v>
      </c>
      <c r="I22" s="68">
        <v>6.6992859840393066</v>
      </c>
      <c r="J22" s="72">
        <v>4.722653865814209</v>
      </c>
    </row>
    <row r="23" spans="1:17" ht="15" customHeight="1">
      <c r="A23" s="10" t="s">
        <v>69</v>
      </c>
      <c r="B23" s="69">
        <v>9.5529289245605469</v>
      </c>
      <c r="C23" s="73">
        <v>14.708880424499512</v>
      </c>
      <c r="D23" s="10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12.316831280410714</v>
      </c>
      <c r="J23" s="16" t="s">
        <v>217</v>
      </c>
    </row>
    <row r="24" spans="1:17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4.774262119883101</v>
      </c>
      <c r="J24" s="72">
        <v>3.6120130311058438</v>
      </c>
    </row>
    <row r="25" spans="1:17" ht="15" customHeight="1">
      <c r="A25" s="10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1.0469645261764526</v>
      </c>
      <c r="J25" s="72">
        <v>2.2418828010559082</v>
      </c>
    </row>
    <row r="26" spans="1:17" ht="15" customHeight="1">
      <c r="A26" s="10" t="s">
        <v>78</v>
      </c>
      <c r="B26" s="53" t="s">
        <v>198</v>
      </c>
      <c r="C26" s="60" t="s">
        <v>199</v>
      </c>
      <c r="D26" s="10" t="s">
        <v>79</v>
      </c>
      <c r="E26" s="69">
        <v>214.00208639004694</v>
      </c>
      <c r="F26" s="69">
        <v>105.93591109113693</v>
      </c>
      <c r="G26" s="73">
        <v>31.842110864516133</v>
      </c>
      <c r="H26" s="10" t="s">
        <v>80</v>
      </c>
      <c r="I26" s="68">
        <v>12.395835876464844</v>
      </c>
      <c r="J26" s="72">
        <v>10.320279121398926</v>
      </c>
    </row>
    <row r="27" spans="1:17" ht="15" customHeight="1" thickBot="1">
      <c r="A27" s="10" t="s">
        <v>81</v>
      </c>
      <c r="B27" s="51" t="s">
        <v>200</v>
      </c>
      <c r="C27" s="52" t="s">
        <v>200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12.439970970153809</v>
      </c>
      <c r="J27" s="81">
        <v>10.560975074768066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35.001719239581497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1781.7</v>
      </c>
      <c r="N29" s="171" t="s">
        <v>186</v>
      </c>
      <c r="O29" s="171"/>
      <c r="P29" s="4" t="s">
        <v>192</v>
      </c>
      <c r="Q29" s="171"/>
    </row>
    <row r="30" spans="1:17" ht="15" customHeight="1" thickBot="1">
      <c r="A30" s="8"/>
      <c r="B30" s="63" t="s">
        <v>94</v>
      </c>
      <c r="C30" s="76">
        <v>35.036186419923645</v>
      </c>
      <c r="D30" s="10" t="s">
        <v>95</v>
      </c>
      <c r="E30" s="166">
        <v>26.310816250000002</v>
      </c>
      <c r="F30" s="166">
        <v>554.32649200439459</v>
      </c>
      <c r="G30" s="166">
        <v>14.476071714339099</v>
      </c>
      <c r="H30" s="167">
        <v>259.05663814750454</v>
      </c>
      <c r="I30" s="70">
        <v>52635.8268973862</v>
      </c>
      <c r="J30" s="74">
        <v>3400.1616434151601</v>
      </c>
      <c r="M30" s="172" t="str">
        <f>RIGHT(E$41,SEARCH("/",E$41,1)-1)</f>
        <v xml:space="preserve"> 1785.0</v>
      </c>
      <c r="N30" s="171" t="s">
        <v>187</v>
      </c>
      <c r="O30" s="171"/>
      <c r="P30" s="173">
        <f>G30*6.4516</f>
        <v>93.393824272230134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5.7</v>
      </c>
      <c r="F31" s="166">
        <v>606.34827241820165</v>
      </c>
      <c r="G31" s="166">
        <v>13.234094028850661</v>
      </c>
      <c r="H31" s="167">
        <v>43.773658748271501</v>
      </c>
      <c r="I31" s="70">
        <v>13824.740611134997</v>
      </c>
      <c r="J31" s="74">
        <v>772.26358949814176</v>
      </c>
      <c r="M31" s="172" t="str">
        <f>RIGHT(D$41,SEARCH("/",D$41,1)-1)</f>
        <v xml:space="preserve"> 1788.3</v>
      </c>
      <c r="N31" s="171" t="s">
        <v>188</v>
      </c>
      <c r="O31" s="171"/>
      <c r="P31" s="173">
        <f>G31*6.4516</f>
        <v>85.381081036532919</v>
      </c>
      <c r="Q31" s="171"/>
    </row>
    <row r="32" spans="1:17" ht="15" customHeight="1">
      <c r="A32" s="6" t="s">
        <v>98</v>
      </c>
      <c r="B32" s="68" t="s">
        <v>259</v>
      </c>
      <c r="C32" s="110"/>
      <c r="D32" s="10" t="s">
        <v>99</v>
      </c>
      <c r="E32" s="166">
        <v>13.614865729911209</v>
      </c>
      <c r="F32" s="166">
        <v>536.13104953069683</v>
      </c>
      <c r="G32" s="166">
        <v>14.967366763103664</v>
      </c>
      <c r="H32" s="167">
        <v>155.0765560344594</v>
      </c>
      <c r="I32" s="9" t="s">
        <v>100</v>
      </c>
      <c r="J32" s="74">
        <v>4172.4252329133014</v>
      </c>
      <c r="M32" s="172" t="str">
        <f>RIGHT(C$41,SEARCH("/",C$41,1)-1)</f>
        <v xml:space="preserve"> 1791.6</v>
      </c>
      <c r="N32" s="171" t="s">
        <v>189</v>
      </c>
      <c r="O32" s="171"/>
      <c r="P32" s="173">
        <f>G32*6.4516</f>
        <v>96.563463408839596</v>
      </c>
      <c r="Q32" s="171"/>
    </row>
    <row r="33" spans="1:17" ht="15" customHeight="1">
      <c r="A33" s="6" t="s">
        <v>101</v>
      </c>
      <c r="B33" s="68" t="s">
        <v>260</v>
      </c>
      <c r="C33" s="111" t="s">
        <v>102</v>
      </c>
      <c r="D33" s="10" t="s">
        <v>97</v>
      </c>
      <c r="E33" s="166">
        <v>3.7049999237060547</v>
      </c>
      <c r="F33" s="166">
        <v>684.64689280361961</v>
      </c>
      <c r="G33" s="166">
        <v>11.720596610836195</v>
      </c>
      <c r="H33" s="167">
        <v>19.238600589149549</v>
      </c>
      <c r="I33" s="9" t="s">
        <v>103</v>
      </c>
      <c r="J33" s="73" t="s">
        <v>228</v>
      </c>
      <c r="M33" s="172" t="str">
        <f>RIGHT(B$41,SEARCH("/",B$41,1)-1)</f>
        <v xml:space="preserve"> 1794.7</v>
      </c>
      <c r="N33" s="171" t="s">
        <v>190</v>
      </c>
      <c r="O33" s="171"/>
      <c r="P33" s="173">
        <f>G33*6.4516</f>
        <v>75.616601094470795</v>
      </c>
      <c r="Q33" s="171"/>
    </row>
    <row r="34" spans="1:17" ht="15" customHeight="1" thickBot="1">
      <c r="A34" s="17" t="s">
        <v>104</v>
      </c>
      <c r="B34" s="79" t="s">
        <v>261</v>
      </c>
      <c r="C34" s="164">
        <v>8.0244700514136351</v>
      </c>
      <c r="D34" s="11" t="s">
        <v>20</v>
      </c>
      <c r="E34" s="168">
        <v>0.20999999046325685</v>
      </c>
      <c r="F34" s="169">
        <v>1229.0079406647303</v>
      </c>
      <c r="G34" s="169">
        <v>6.5292255533137249</v>
      </c>
      <c r="H34" s="170">
        <v>1091.1173195168174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42.123951579758831</v>
      </c>
      <c r="Q34" s="171"/>
    </row>
    <row r="35" spans="1:17" ht="15" customHeight="1">
      <c r="A35" s="13" t="s">
        <v>106</v>
      </c>
      <c r="B35" s="14"/>
      <c r="C35" s="14"/>
      <c r="D35" s="135" t="s">
        <v>230</v>
      </c>
      <c r="E35" s="145" t="s">
        <v>229</v>
      </c>
      <c r="F35" s="15"/>
      <c r="G35" s="26" t="s">
        <v>107</v>
      </c>
      <c r="H35" s="85" t="s">
        <v>223</v>
      </c>
      <c r="I35" s="10" t="s">
        <v>108</v>
      </c>
      <c r="J35" s="74" t="s">
        <v>227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221</v>
      </c>
      <c r="I36" s="10" t="s">
        <v>111</v>
      </c>
      <c r="J36" s="74" t="s">
        <v>226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241</v>
      </c>
      <c r="C37" s="176" t="s">
        <v>242</v>
      </c>
      <c r="D37" s="176" t="s">
        <v>243</v>
      </c>
      <c r="E37" s="176" t="s">
        <v>244</v>
      </c>
      <c r="F37" s="177" t="s">
        <v>245</v>
      </c>
      <c r="G37" s="10" t="s">
        <v>113</v>
      </c>
      <c r="H37" s="74" t="s">
        <v>222</v>
      </c>
      <c r="I37" s="11" t="s">
        <v>114</v>
      </c>
      <c r="J37" s="83" t="s">
        <v>225</v>
      </c>
      <c r="O37" s="150"/>
    </row>
    <row r="38" spans="1:17" ht="15" customHeight="1" thickBot="1">
      <c r="A38" s="10" t="s">
        <v>115</v>
      </c>
      <c r="B38" s="178" t="s">
        <v>232</v>
      </c>
      <c r="C38" s="178" t="s">
        <v>233</v>
      </c>
      <c r="D38" s="178" t="s">
        <v>234</v>
      </c>
      <c r="E38" s="178" t="s">
        <v>235</v>
      </c>
      <c r="F38" s="179" t="s">
        <v>235</v>
      </c>
      <c r="G38" s="17" t="s">
        <v>116</v>
      </c>
      <c r="H38" s="83" t="s">
        <v>224</v>
      </c>
      <c r="I38" s="136" t="s">
        <v>231</v>
      </c>
      <c r="J38" s="84">
        <v>13575</v>
      </c>
      <c r="L38" t="str">
        <f>LEFT(E38,SEARCH("/",E38,1)-1)</f>
        <v xml:space="preserve">0.965 </v>
      </c>
      <c r="M38" t="str">
        <f>RIGHT(E38,SEARCH("/",E38,1)-1)</f>
        <v xml:space="preserve"> 0.952</v>
      </c>
      <c r="N38" s="151">
        <f>M38/L38</f>
        <v>0.98652849740932647</v>
      </c>
      <c r="O38" s="150" t="s">
        <v>177</v>
      </c>
    </row>
    <row r="39" spans="1:17" ht="15" customHeight="1">
      <c r="A39" s="10" t="s">
        <v>117</v>
      </c>
      <c r="B39" s="178" t="s">
        <v>236</v>
      </c>
      <c r="C39" s="178" t="s">
        <v>237</v>
      </c>
      <c r="D39" s="178" t="s">
        <v>238</v>
      </c>
      <c r="E39" s="178" t="s">
        <v>239</v>
      </c>
      <c r="F39" s="179" t="s">
        <v>240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0.909 </v>
      </c>
      <c r="M39" t="str">
        <f>RIGHT(E39,SEARCH("/",E39,1)-1)</f>
        <v xml:space="preserve"> 0.893</v>
      </c>
      <c r="N39" s="151">
        <f>M39/L39</f>
        <v>0.98239823982398233</v>
      </c>
      <c r="O39" s="150" t="s">
        <v>178</v>
      </c>
    </row>
    <row r="40" spans="1:17" ht="15" customHeight="1">
      <c r="A40" s="10" t="s">
        <v>119</v>
      </c>
      <c r="B40" s="180" t="s">
        <v>254</v>
      </c>
      <c r="C40" s="180" t="s">
        <v>255</v>
      </c>
      <c r="D40" s="180" t="s">
        <v>256</v>
      </c>
      <c r="E40" s="180" t="s">
        <v>257</v>
      </c>
      <c r="F40" s="181" t="s">
        <v>258</v>
      </c>
      <c r="G40" s="35" t="s">
        <v>121</v>
      </c>
      <c r="H40" s="91" t="s">
        <v>262</v>
      </c>
      <c r="I40" s="55"/>
      <c r="J40" s="56"/>
      <c r="L40" t="str">
        <f>LEFT(E37,SEARCH("/",E37,1)-1)</f>
        <v xml:space="preserve">110.48 </v>
      </c>
      <c r="M40" t="str">
        <f>RIGHT(E37,SEARCH("/",E37,1)-1)</f>
        <v xml:space="preserve"> 114.01</v>
      </c>
      <c r="N40" s="151">
        <f>M40/L40</f>
        <v>1.0319514844315714</v>
      </c>
      <c r="O40" s="150" t="s">
        <v>176</v>
      </c>
    </row>
    <row r="41" spans="1:17" ht="15" customHeight="1">
      <c r="A41" s="10" t="s">
        <v>5</v>
      </c>
      <c r="B41" s="182" t="s">
        <v>249</v>
      </c>
      <c r="C41" s="182" t="s">
        <v>250</v>
      </c>
      <c r="D41" s="182" t="s">
        <v>251</v>
      </c>
      <c r="E41" s="182" t="s">
        <v>252</v>
      </c>
      <c r="F41" s="183" t="s">
        <v>253</v>
      </c>
      <c r="G41" s="36" t="s">
        <v>122</v>
      </c>
      <c r="H41" s="92" t="s">
        <v>263</v>
      </c>
      <c r="I41" s="57"/>
      <c r="J41" s="58"/>
      <c r="L41" t="str">
        <f>LEFT(E41,SEARCH("/",E41,1)-1)</f>
        <v xml:space="preserve">1787.0 </v>
      </c>
      <c r="M41" t="str">
        <f>RIGHT(E41,SEARCH("/",E41,1)-1)</f>
        <v xml:space="preserve"> 1785.0</v>
      </c>
      <c r="N41" s="151">
        <f>M41/L41</f>
        <v>0.99888080581980976</v>
      </c>
      <c r="O41" s="150" t="s">
        <v>5</v>
      </c>
    </row>
    <row r="42" spans="1:17" ht="15" customHeight="1">
      <c r="A42" s="10" t="s">
        <v>123</v>
      </c>
      <c r="B42" s="178">
        <v>24.07330895752931</v>
      </c>
      <c r="C42" s="178">
        <v>24.07330895752931</v>
      </c>
      <c r="D42" s="178">
        <v>24.07330895752931</v>
      </c>
      <c r="E42" s="178">
        <v>24.07330895752931</v>
      </c>
      <c r="F42" s="179">
        <v>24.024967003623907</v>
      </c>
      <c r="G42" s="35" t="s">
        <v>124</v>
      </c>
      <c r="H42" s="91" t="s">
        <v>264</v>
      </c>
      <c r="I42" s="55"/>
      <c r="J42" s="97">
        <v>0.21228623444238032</v>
      </c>
    </row>
    <row r="43" spans="1:17" ht="15" customHeight="1" thickBot="1">
      <c r="A43" s="11" t="s">
        <v>125</v>
      </c>
      <c r="B43" s="184">
        <v>24.07330895752931</v>
      </c>
      <c r="C43" s="185"/>
      <c r="D43" s="186" t="s">
        <v>267</v>
      </c>
      <c r="E43" s="186"/>
      <c r="F43" s="187"/>
      <c r="G43" s="36" t="s">
        <v>122</v>
      </c>
      <c r="H43" s="92" t="s">
        <v>265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1762.7235641097279</v>
      </c>
      <c r="I44" s="90">
        <v>4.0009348457194949E-2</v>
      </c>
      <c r="J44" s="97">
        <v>0.63220151454949669</v>
      </c>
    </row>
    <row r="45" spans="1:17" ht="15" customHeight="1">
      <c r="A45" s="10" t="s">
        <v>129</v>
      </c>
      <c r="B45" s="68">
        <v>0.27058401703834534</v>
      </c>
      <c r="C45" s="161" t="s">
        <v>130</v>
      </c>
      <c r="D45" s="72">
        <v>8.7573211640119553E-3</v>
      </c>
      <c r="E45" s="10" t="s">
        <v>131</v>
      </c>
      <c r="F45" s="74">
        <v>575.5221292529817</v>
      </c>
      <c r="G45" s="37" t="s">
        <v>122</v>
      </c>
      <c r="H45" s="86" t="s">
        <v>266</v>
      </c>
      <c r="I45" s="59"/>
      <c r="J45" s="60"/>
    </row>
    <row r="46" spans="1:17" ht="15" customHeight="1">
      <c r="A46" s="10" t="s">
        <v>132</v>
      </c>
      <c r="B46" s="68">
        <v>0.18046000599861145</v>
      </c>
      <c r="C46" s="161" t="s">
        <v>133</v>
      </c>
      <c r="D46" s="72">
        <v>7.2272042743861675E-3</v>
      </c>
      <c r="E46" s="10" t="s">
        <v>134</v>
      </c>
      <c r="F46" s="74">
        <v>1033.1320059641841</v>
      </c>
      <c r="G46" s="36" t="s">
        <v>135</v>
      </c>
      <c r="H46" s="94">
        <v>386.34461293624082</v>
      </c>
      <c r="I46" s="57"/>
      <c r="J46" s="58"/>
      <c r="L46" s="146" t="s">
        <v>179</v>
      </c>
      <c r="M46" s="148">
        <f>B5^0.95</f>
        <v>640.51661373893785</v>
      </c>
    </row>
    <row r="47" spans="1:17" ht="15" customHeight="1">
      <c r="A47" s="10" t="s">
        <v>136</v>
      </c>
      <c r="B47" s="68">
        <v>0.45104402303695679</v>
      </c>
      <c r="C47" s="161" t="s">
        <v>137</v>
      </c>
      <c r="D47" s="72">
        <v>8.1918379291892052E-3</v>
      </c>
      <c r="E47" s="10" t="s">
        <v>138</v>
      </c>
      <c r="F47" s="74">
        <v>847.95513694004285</v>
      </c>
      <c r="G47" s="64" t="s">
        <v>139</v>
      </c>
      <c r="H47" s="93">
        <v>1693.6683817658957</v>
      </c>
      <c r="I47" s="90">
        <v>3.8375269322596599E-2</v>
      </c>
      <c r="J47" s="95">
        <v>0.64635102996204929</v>
      </c>
      <c r="L47" s="146" t="s">
        <v>180</v>
      </c>
      <c r="M47" s="148">
        <f>B5^1.5</f>
        <v>27000.001472698143</v>
      </c>
    </row>
    <row r="48" spans="1:17" ht="15" customHeight="1">
      <c r="A48" s="10" t="s">
        <v>140</v>
      </c>
      <c r="B48" s="68">
        <v>9.9248606711626053E-3</v>
      </c>
      <c r="C48" s="161" t="s">
        <v>100</v>
      </c>
      <c r="D48" s="72">
        <v>3.4101225435733795E-2</v>
      </c>
      <c r="E48" s="10" t="s">
        <v>141</v>
      </c>
      <c r="F48" s="74">
        <v>175.44778332752455</v>
      </c>
      <c r="G48" s="65" t="s">
        <v>122</v>
      </c>
      <c r="H48" s="86">
        <v>252.25920765254321</v>
      </c>
      <c r="I48" s="59"/>
      <c r="J48" s="60"/>
      <c r="L48" s="146" t="s">
        <v>181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2" t="s">
        <v>142</v>
      </c>
      <c r="D49" s="81">
        <v>0.96589875221252441</v>
      </c>
      <c r="E49" s="11" t="s">
        <v>143</v>
      </c>
      <c r="F49" s="83">
        <v>380.59443867061788</v>
      </c>
      <c r="G49" s="66" t="s">
        <v>135</v>
      </c>
      <c r="H49" s="94">
        <v>378.21531756124608</v>
      </c>
      <c r="I49" s="57"/>
      <c r="J49" s="61"/>
      <c r="L49" s="146" t="s">
        <v>182</v>
      </c>
      <c r="M49" s="147">
        <f>IF(A5="",0,(7200/(1000*A5))^1.8)</f>
        <v>2.8806500970683282</v>
      </c>
    </row>
    <row r="50" spans="1:13" ht="15" customHeight="1">
      <c r="A50" s="13" t="s">
        <v>213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24</v>
      </c>
    </row>
    <row r="51" spans="1:13" ht="15" customHeight="1">
      <c r="A51" s="10" t="s">
        <v>145</v>
      </c>
      <c r="B51" s="51">
        <v>44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7.200041677796E-2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37.049999237060547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80568.051273037723</v>
      </c>
      <c r="I52" s="98" t="s">
        <v>246</v>
      </c>
      <c r="J52" s="62"/>
      <c r="L52" s="146" t="s">
        <v>191</v>
      </c>
      <c r="M52" s="163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54.212310015444658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3108.4440810957653</v>
      </c>
    </row>
    <row r="54" spans="1:13" ht="15" customHeight="1">
      <c r="A54" s="10" t="s">
        <v>66</v>
      </c>
      <c r="B54" s="69">
        <v>2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204249.5</v>
      </c>
      <c r="I54" s="99" t="s">
        <v>247</v>
      </c>
      <c r="J54" s="100" t="s">
        <v>211</v>
      </c>
    </row>
    <row r="55" spans="1:13" ht="15" customHeight="1">
      <c r="A55" s="10" t="s">
        <v>156</v>
      </c>
      <c r="B55" s="69">
        <v>10.050000190734863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0.89993499999999993</v>
      </c>
      <c r="I56" s="101" t="s">
        <v>248</v>
      </c>
      <c r="J56" s="61" t="s">
        <v>212</v>
      </c>
    </row>
    <row r="57" spans="1:13" ht="15" customHeight="1">
      <c r="A57" s="23" t="s">
        <v>397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395</v>
      </c>
      <c r="D58" s="4" t="s">
        <v>119</v>
      </c>
      <c r="E58" s="4" t="s">
        <v>165</v>
      </c>
      <c r="F58" s="16" t="s">
        <v>396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0.23958456516265869</v>
      </c>
      <c r="D59" s="127">
        <v>0.70947366952896118</v>
      </c>
      <c r="E59" s="86">
        <v>121.7787966811613</v>
      </c>
      <c r="F59" s="87">
        <v>644.7030029296875</v>
      </c>
      <c r="G59" s="121"/>
      <c r="H59" s="45"/>
      <c r="I59" s="45"/>
      <c r="J59" s="46"/>
    </row>
    <row r="60" spans="1:13" ht="15" customHeight="1">
      <c r="A60" s="129">
        <v>1.5999998897314072E-2</v>
      </c>
      <c r="B60" s="86">
        <v>119.49520661746443</v>
      </c>
      <c r="C60" s="87">
        <v>130.25590515136719</v>
      </c>
      <c r="D60" s="127">
        <v>0.80631577968597412</v>
      </c>
      <c r="E60" s="86">
        <v>120.83769325447085</v>
      </c>
      <c r="F60" s="87">
        <v>651.9852294921875</v>
      </c>
      <c r="G60" s="121"/>
      <c r="H60" s="45"/>
      <c r="I60" s="45"/>
      <c r="J60" s="46"/>
    </row>
    <row r="61" spans="1:13" ht="15" customHeight="1">
      <c r="A61" s="129">
        <v>7.9999998211860657E-2</v>
      </c>
      <c r="B61" s="86">
        <v>275</v>
      </c>
      <c r="C61" s="87">
        <v>424.81451416015625</v>
      </c>
      <c r="D61" s="127">
        <v>0.90315788984298706</v>
      </c>
      <c r="E61" s="86">
        <v>120.29547752275191</v>
      </c>
      <c r="F61" s="87">
        <v>658.04022216796875</v>
      </c>
      <c r="G61" s="121"/>
      <c r="H61" s="45"/>
      <c r="I61" s="45"/>
      <c r="J61" s="46"/>
    </row>
    <row r="62" spans="1:13" ht="15" customHeight="1">
      <c r="A62" s="125">
        <v>0.12842105329036713</v>
      </c>
      <c r="B62" s="86">
        <v>228.14992281177575</v>
      </c>
      <c r="C62" s="87">
        <v>521.88055419921875</v>
      </c>
      <c r="D62" s="128">
        <v>1</v>
      </c>
      <c r="E62" s="86">
        <v>120</v>
      </c>
      <c r="F62" s="87">
        <v>663.1578369140625</v>
      </c>
      <c r="G62" s="121"/>
      <c r="H62" s="45"/>
      <c r="I62" s="45"/>
      <c r="J62" s="46"/>
    </row>
    <row r="63" spans="1:13" ht="15" customHeight="1" thickBot="1">
      <c r="A63" s="125">
        <v>0.1768421083688736</v>
      </c>
      <c r="B63" s="86">
        <v>174.61270306948171</v>
      </c>
      <c r="C63" s="87">
        <v>553.37298583984375</v>
      </c>
      <c r="D63" s="384"/>
      <c r="E63" s="385"/>
      <c r="F63" s="386"/>
      <c r="G63" s="121"/>
      <c r="H63" s="45"/>
      <c r="I63" s="45"/>
      <c r="J63" s="46"/>
    </row>
    <row r="64" spans="1:13" ht="15" customHeight="1">
      <c r="A64" s="125">
        <v>0.22526316344738007</v>
      </c>
      <c r="B64" s="86">
        <v>150.63986713844992</v>
      </c>
      <c r="C64" s="87">
        <v>570.21173095703125</v>
      </c>
      <c r="D64" s="387" t="s">
        <v>405</v>
      </c>
      <c r="E64" s="388"/>
      <c r="F64" s="388"/>
      <c r="G64" s="121"/>
      <c r="H64" s="45"/>
      <c r="I64" s="45"/>
      <c r="J64" s="46"/>
    </row>
    <row r="65" spans="1:10" ht="15" customHeight="1">
      <c r="A65" s="125">
        <v>0.32210525870323181</v>
      </c>
      <c r="B65" s="86">
        <v>136.20830278418117</v>
      </c>
      <c r="C65" s="87">
        <v>592.76824951171875</v>
      </c>
      <c r="D65" s="389" t="s">
        <v>399</v>
      </c>
      <c r="E65" s="391" t="s">
        <v>403</v>
      </c>
      <c r="F65" s="392"/>
      <c r="G65" s="121"/>
      <c r="H65" s="45"/>
      <c r="I65" s="45"/>
      <c r="J65" s="46"/>
    </row>
    <row r="66" spans="1:10" ht="15" customHeight="1">
      <c r="A66" s="125">
        <v>0.41894736886024475</v>
      </c>
      <c r="B66" s="86">
        <v>129.66712860917119</v>
      </c>
      <c r="C66" s="87">
        <v>610.04022216796875</v>
      </c>
      <c r="D66" s="389" t="s">
        <v>400</v>
      </c>
      <c r="E66" s="391" t="s">
        <v>404</v>
      </c>
      <c r="F66" s="392"/>
      <c r="G66" s="121"/>
      <c r="H66" s="45"/>
      <c r="I66" s="45"/>
      <c r="J66" s="46"/>
    </row>
    <row r="67" spans="1:10" ht="15" customHeight="1">
      <c r="A67" s="125">
        <v>0.5157894492149353</v>
      </c>
      <c r="B67" s="86">
        <v>125.77916774787445</v>
      </c>
      <c r="C67" s="87">
        <v>624.07330322265625</v>
      </c>
      <c r="D67" s="389" t="s">
        <v>401</v>
      </c>
      <c r="E67" s="391" t="s">
        <v>406</v>
      </c>
      <c r="F67" s="392"/>
      <c r="G67" s="121"/>
      <c r="H67" s="45"/>
      <c r="I67" s="45"/>
      <c r="J67" s="46"/>
    </row>
    <row r="68" spans="1:10" ht="15" customHeight="1" thickBot="1">
      <c r="A68" s="126">
        <v>0.61263161897659302</v>
      </c>
      <c r="B68" s="88">
        <v>123.32352149912299</v>
      </c>
      <c r="C68" s="89">
        <v>635.54052734375</v>
      </c>
      <c r="D68" s="390" t="s">
        <v>402</v>
      </c>
      <c r="E68" s="393" t="s">
        <v>407</v>
      </c>
      <c r="F68" s="393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3" t="s">
        <v>398</v>
      </c>
      <c r="B99" s="383"/>
      <c r="C99" s="383"/>
      <c r="D99" s="383"/>
      <c r="E99" s="383"/>
      <c r="F99" s="383"/>
      <c r="G99" s="383"/>
      <c r="H99" s="383"/>
      <c r="I99" s="383"/>
    </row>
    <row r="100" spans="1:9">
      <c r="A100" s="383">
        <v>100</v>
      </c>
      <c r="B100" s="383"/>
      <c r="C100" s="383"/>
      <c r="D100" s="383"/>
      <c r="E100" s="383"/>
      <c r="F100" s="383"/>
      <c r="G100" s="383"/>
      <c r="H100" s="383"/>
      <c r="I100" s="383"/>
    </row>
    <row r="101" spans="1:9">
      <c r="A101" s="383">
        <v>94.075416564941406</v>
      </c>
      <c r="B101" s="383"/>
      <c r="C101" s="383"/>
      <c r="D101" s="383"/>
      <c r="E101" s="383"/>
      <c r="F101" s="383"/>
      <c r="G101" s="383"/>
      <c r="H101" s="383"/>
      <c r="I101" s="383"/>
    </row>
    <row r="102" spans="1:9">
      <c r="A102" s="383">
        <v>71.836105346679688</v>
      </c>
      <c r="B102" s="383"/>
      <c r="C102" s="383"/>
      <c r="D102" s="383"/>
      <c r="E102" s="383"/>
      <c r="F102" s="383"/>
      <c r="G102" s="383"/>
      <c r="H102" s="383"/>
      <c r="I102" s="383"/>
    </row>
    <row r="103" spans="1:9">
      <c r="A103" s="383">
        <v>61.726844787597656</v>
      </c>
      <c r="B103" s="383"/>
      <c r="C103" s="383"/>
      <c r="D103" s="383"/>
      <c r="E103" s="383"/>
      <c r="F103" s="383"/>
      <c r="G103" s="383"/>
      <c r="H103" s="383"/>
      <c r="I103" s="383"/>
    </row>
    <row r="104" spans="1:9">
      <c r="A104" s="383">
        <v>52.408336639404297</v>
      </c>
      <c r="B104" s="383"/>
      <c r="C104" s="383"/>
      <c r="D104" s="383"/>
      <c r="E104" s="383"/>
      <c r="F104" s="383"/>
      <c r="G104" s="383"/>
      <c r="H104" s="383"/>
      <c r="I104" s="383"/>
    </row>
    <row r="105" spans="1:9">
      <c r="A105" s="383">
        <v>44.995922088623047</v>
      </c>
      <c r="B105" s="383"/>
      <c r="C105" s="383"/>
      <c r="D105" s="383"/>
      <c r="E105" s="383"/>
      <c r="F105" s="383"/>
      <c r="G105" s="383"/>
      <c r="H105" s="383"/>
      <c r="I105" s="383"/>
    </row>
    <row r="106" spans="1:9">
      <c r="A106" s="383">
        <v>30.192197799682617</v>
      </c>
      <c r="B106" s="383"/>
      <c r="C106" s="383"/>
      <c r="D106" s="383"/>
      <c r="E106" s="383"/>
      <c r="F106" s="383"/>
      <c r="G106" s="383"/>
      <c r="H106" s="383"/>
      <c r="I106" s="383"/>
    </row>
    <row r="107" spans="1:9">
      <c r="A107" s="383">
        <v>20.298036575317383</v>
      </c>
      <c r="B107" s="383"/>
      <c r="C107" s="383"/>
      <c r="D107" s="383"/>
      <c r="E107" s="383"/>
      <c r="F107" s="383"/>
      <c r="G107" s="383"/>
      <c r="H107" s="383"/>
      <c r="I107" s="383"/>
    </row>
    <row r="108" spans="1:9">
      <c r="A108" s="383">
        <v>13.017415046691895</v>
      </c>
      <c r="B108" s="383"/>
      <c r="C108" s="383"/>
      <c r="D108" s="383"/>
      <c r="E108" s="383"/>
      <c r="F108" s="383"/>
      <c r="G108" s="383"/>
      <c r="H108" s="383"/>
      <c r="I108" s="383"/>
    </row>
    <row r="109" spans="1:9">
      <c r="A109" s="383">
        <v>7.7769498825073242</v>
      </c>
      <c r="B109" s="383"/>
      <c r="C109" s="383"/>
      <c r="D109" s="383"/>
      <c r="E109" s="383"/>
      <c r="F109" s="383"/>
      <c r="G109" s="383"/>
      <c r="H109" s="383"/>
      <c r="I109" s="383"/>
    </row>
    <row r="110" spans="1:9">
      <c r="A110" s="383">
        <v>6.2341909408569336</v>
      </c>
      <c r="B110" s="383"/>
      <c r="C110" s="383"/>
      <c r="D110" s="383"/>
      <c r="E110" s="383"/>
      <c r="F110" s="383"/>
      <c r="G110" s="383"/>
      <c r="H110" s="383"/>
      <c r="I110" s="383"/>
    </row>
    <row r="111" spans="1:9">
      <c r="A111" s="383">
        <v>8.4720211029052734</v>
      </c>
      <c r="B111" s="383"/>
      <c r="C111" s="383"/>
      <c r="D111" s="383"/>
      <c r="E111" s="383"/>
      <c r="F111" s="383"/>
      <c r="G111" s="383"/>
      <c r="H111" s="383"/>
      <c r="I111" s="383"/>
    </row>
    <row r="112" spans="1:9">
      <c r="A112" s="383">
        <v>15.47368335723877</v>
      </c>
      <c r="B112" s="383"/>
      <c r="C112" s="383"/>
      <c r="D112" s="383"/>
      <c r="E112" s="383"/>
      <c r="F112" s="383"/>
      <c r="G112" s="383"/>
      <c r="H112" s="383"/>
      <c r="I112" s="383"/>
    </row>
    <row r="113" spans="1:9">
      <c r="A113" s="383">
        <v>30</v>
      </c>
      <c r="B113" s="383"/>
      <c r="C113" s="383"/>
      <c r="D113" s="383"/>
      <c r="E113" s="383"/>
      <c r="F113" s="383"/>
      <c r="G113" s="383"/>
      <c r="H113" s="383"/>
      <c r="I113" s="383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Z61"/>
  <sheetViews>
    <sheetView tabSelected="1" zoomScaleNormal="100" workbookViewId="0">
      <selection activeCell="M24" sqref="M24"/>
    </sheetView>
  </sheetViews>
  <sheetFormatPr defaultRowHeight="15.75"/>
  <cols>
    <col min="1" max="1" width="12.140625" style="328" customWidth="1"/>
    <col min="2" max="2" width="6.140625" style="328" customWidth="1"/>
    <col min="3" max="3" width="7.7109375" style="328" customWidth="1"/>
    <col min="4" max="5" width="13.140625" style="328" customWidth="1"/>
    <col min="6" max="6" width="9.42578125" style="328" customWidth="1"/>
    <col min="7" max="7" width="5.7109375" style="328" customWidth="1"/>
    <col min="8" max="8" width="7.85546875" style="328" customWidth="1"/>
    <col min="9" max="9" width="6.5703125" style="328" customWidth="1"/>
    <col min="10" max="10" width="12" style="329" customWidth="1"/>
    <col min="11" max="11" width="12" style="328" customWidth="1"/>
    <col min="12" max="12" width="16" style="188" customWidth="1"/>
    <col min="13" max="26" width="9.140625" style="188"/>
    <col min="27" max="16384" width="9.140625" style="189"/>
  </cols>
  <sheetData>
    <row r="1" spans="1:26" ht="20.25" customHeight="1">
      <c r="A1" s="631" t="s">
        <v>268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</row>
    <row r="2" spans="1:26" ht="20.25" customHeight="1">
      <c r="A2" s="632" t="s">
        <v>269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</row>
    <row r="3" spans="1:26" ht="18.75" customHeight="1" thickBot="1">
      <c r="A3" s="190" t="s">
        <v>1</v>
      </c>
      <c r="B3" s="191" t="s">
        <v>380</v>
      </c>
      <c r="C3" s="192"/>
      <c r="D3" s="192"/>
      <c r="E3" s="192"/>
      <c r="F3" s="193"/>
      <c r="G3" s="192"/>
      <c r="H3" s="192"/>
      <c r="I3" s="190" t="s">
        <v>270</v>
      </c>
      <c r="J3" s="633" t="s">
        <v>389</v>
      </c>
      <c r="K3" s="633"/>
    </row>
    <row r="4" spans="1:26" s="202" customFormat="1" ht="18.399999999999999" customHeight="1" thickBot="1">
      <c r="A4" s="194" t="s">
        <v>381</v>
      </c>
      <c r="B4" s="195"/>
      <c r="C4" s="196"/>
      <c r="D4" s="196"/>
      <c r="E4" s="196"/>
      <c r="F4" s="196"/>
      <c r="G4" s="196"/>
      <c r="H4" s="196"/>
      <c r="I4" s="196"/>
      <c r="J4" s="196"/>
      <c r="K4" s="197"/>
      <c r="L4" s="198"/>
      <c r="M4" s="198"/>
      <c r="N4" s="198"/>
      <c r="O4" s="198"/>
      <c r="P4" s="198"/>
      <c r="Q4" s="199" t="s">
        <v>271</v>
      </c>
      <c r="R4" s="200"/>
      <c r="S4" s="198"/>
      <c r="T4" s="199" t="s">
        <v>272</v>
      </c>
      <c r="U4" s="201"/>
      <c r="V4" s="198"/>
      <c r="W4" s="198"/>
      <c r="X4" s="198"/>
      <c r="Y4" s="198"/>
      <c r="Z4" s="198"/>
    </row>
    <row r="5" spans="1:26" s="202" customFormat="1" ht="18.399999999999999" customHeight="1">
      <c r="A5" s="634" t="s">
        <v>273</v>
      </c>
      <c r="B5" s="635"/>
      <c r="C5" s="635"/>
      <c r="D5" s="203"/>
      <c r="E5" s="204"/>
      <c r="F5" s="205" t="s">
        <v>274</v>
      </c>
      <c r="G5" s="206"/>
      <c r="H5" s="206"/>
      <c r="I5" s="207"/>
      <c r="J5" s="208" t="s">
        <v>275</v>
      </c>
      <c r="K5" s="209" t="s">
        <v>276</v>
      </c>
      <c r="L5" s="198"/>
      <c r="M5" s="198"/>
      <c r="N5" s="198"/>
      <c r="O5" s="198"/>
      <c r="P5" s="198"/>
      <c r="Q5" s="210" t="s">
        <v>277</v>
      </c>
      <c r="R5" s="211"/>
      <c r="S5" s="198"/>
      <c r="T5" s="210" t="s">
        <v>278</v>
      </c>
      <c r="U5" s="212"/>
      <c r="V5" s="198"/>
      <c r="W5" s="198"/>
      <c r="X5" s="198"/>
      <c r="Y5" s="198"/>
      <c r="Z5" s="198"/>
    </row>
    <row r="6" spans="1:26" s="202" customFormat="1" ht="18.399999999999999" customHeight="1">
      <c r="A6" s="636" t="s">
        <v>67</v>
      </c>
      <c r="B6" s="637"/>
      <c r="C6" s="637"/>
      <c r="D6" s="638" t="s">
        <v>278</v>
      </c>
      <c r="E6" s="639"/>
      <c r="F6" s="585" t="s">
        <v>280</v>
      </c>
      <c r="G6" s="586"/>
      <c r="H6" s="586"/>
      <c r="I6" s="586"/>
      <c r="J6" s="586"/>
      <c r="K6" s="587"/>
      <c r="L6" s="198"/>
      <c r="M6" s="198"/>
      <c r="N6" s="198"/>
      <c r="O6" s="198"/>
      <c r="P6" s="198"/>
      <c r="Q6" s="210" t="s">
        <v>281</v>
      </c>
      <c r="R6" s="211"/>
      <c r="S6" s="198"/>
      <c r="T6" s="210" t="s">
        <v>282</v>
      </c>
      <c r="U6" s="212"/>
      <c r="V6" s="198"/>
      <c r="W6" s="198"/>
      <c r="X6" s="198"/>
      <c r="Y6" s="198"/>
      <c r="Z6" s="198"/>
    </row>
    <row r="7" spans="1:26" s="202" customFormat="1" ht="18.399999999999999" customHeight="1">
      <c r="A7" s="627" t="s">
        <v>20</v>
      </c>
      <c r="B7" s="628"/>
      <c r="C7" s="628"/>
      <c r="D7" s="629">
        <v>2.0999999046325701</v>
      </c>
      <c r="E7" s="630"/>
      <c r="F7" s="213" t="s">
        <v>283</v>
      </c>
      <c r="G7" s="214"/>
      <c r="H7" s="215"/>
      <c r="I7" s="216"/>
      <c r="J7" s="217">
        <v>26</v>
      </c>
      <c r="K7" s="218" t="s">
        <v>174</v>
      </c>
      <c r="L7" s="198"/>
      <c r="M7" s="152">
        <f>O7/N7*J7</f>
        <v>25.547826086956526</v>
      </c>
      <c r="N7">
        <v>23</v>
      </c>
      <c r="O7">
        <v>22.6</v>
      </c>
      <c r="P7" s="198"/>
      <c r="Q7" s="210" t="s">
        <v>284</v>
      </c>
      <c r="R7" s="211"/>
      <c r="S7" s="198"/>
      <c r="T7" s="210" t="s">
        <v>279</v>
      </c>
      <c r="U7" s="212"/>
      <c r="V7" s="198"/>
      <c r="W7" s="198"/>
      <c r="X7" s="198"/>
      <c r="Y7" s="198"/>
      <c r="Z7" s="198"/>
    </row>
    <row r="8" spans="1:26" s="202" customFormat="1" ht="18.399999999999999" customHeight="1">
      <c r="A8" s="627" t="s">
        <v>285</v>
      </c>
      <c r="B8" s="628"/>
      <c r="C8" s="628"/>
      <c r="D8" s="615">
        <v>575</v>
      </c>
      <c r="E8" s="611"/>
      <c r="F8" s="219" t="s">
        <v>286</v>
      </c>
      <c r="G8" s="220"/>
      <c r="H8" s="221"/>
      <c r="I8" s="222"/>
      <c r="J8" s="223">
        <v>7846</v>
      </c>
      <c r="K8" s="224" t="s">
        <v>174</v>
      </c>
      <c r="L8" s="198"/>
      <c r="M8" s="566">
        <f t="shared" ref="M8:M11" si="0">O8/N8*J8</f>
        <v>8859.2008037508385</v>
      </c>
      <c r="N8">
        <v>7465</v>
      </c>
      <c r="O8">
        <v>8429</v>
      </c>
      <c r="P8" s="198"/>
      <c r="Q8" s="210" t="s">
        <v>287</v>
      </c>
      <c r="R8" s="211"/>
      <c r="S8" s="198"/>
      <c r="T8" s="210" t="s">
        <v>288</v>
      </c>
      <c r="U8" s="212"/>
      <c r="V8" s="198"/>
      <c r="W8" s="198"/>
      <c r="X8" s="198"/>
      <c r="Y8" s="198"/>
      <c r="Z8" s="198"/>
    </row>
    <row r="9" spans="1:26" s="202" customFormat="1" ht="18.399999999999999" customHeight="1">
      <c r="A9" s="622" t="s">
        <v>289</v>
      </c>
      <c r="B9" s="623"/>
      <c r="C9" s="624"/>
      <c r="D9" s="615">
        <v>10</v>
      </c>
      <c r="E9" s="611"/>
      <c r="F9" s="213" t="s">
        <v>290</v>
      </c>
      <c r="G9" s="214"/>
      <c r="H9" s="225">
        <v>3</v>
      </c>
      <c r="I9" s="226" t="s">
        <v>291</v>
      </c>
      <c r="J9" s="227">
        <v>566</v>
      </c>
      <c r="K9" s="224" t="s">
        <v>174</v>
      </c>
      <c r="L9" s="198"/>
      <c r="M9" s="152">
        <f t="shared" si="0"/>
        <v>582.78482758620692</v>
      </c>
      <c r="N9">
        <v>145</v>
      </c>
      <c r="O9">
        <v>149.30000000000001</v>
      </c>
      <c r="P9" s="198"/>
      <c r="Q9" s="210" t="s">
        <v>292</v>
      </c>
      <c r="R9" s="211"/>
      <c r="S9" s="198"/>
      <c r="T9" s="210" t="s">
        <v>293</v>
      </c>
      <c r="U9" s="212"/>
      <c r="V9" s="198"/>
      <c r="W9" s="198"/>
      <c r="X9" s="198"/>
      <c r="Y9" s="198"/>
      <c r="Z9" s="198"/>
    </row>
    <row r="10" spans="1:26" s="202" customFormat="1" ht="18.399999999999999" customHeight="1" thickBot="1">
      <c r="A10" s="622" t="s">
        <v>294</v>
      </c>
      <c r="B10" s="623"/>
      <c r="C10" s="624"/>
      <c r="D10" s="598" t="s">
        <v>202</v>
      </c>
      <c r="E10" s="599"/>
      <c r="F10" s="213" t="s">
        <v>295</v>
      </c>
      <c r="G10" s="214"/>
      <c r="H10" s="225">
        <v>3</v>
      </c>
      <c r="I10" s="226" t="s">
        <v>291</v>
      </c>
      <c r="J10" s="227">
        <v>1150</v>
      </c>
      <c r="K10" s="224" t="s">
        <v>174</v>
      </c>
      <c r="L10" s="198"/>
      <c r="M10">
        <f t="shared" si="0"/>
        <v>1150</v>
      </c>
      <c r="N10">
        <v>1150</v>
      </c>
      <c r="O10">
        <v>1150</v>
      </c>
      <c r="P10" s="198"/>
      <c r="Q10" s="210" t="s">
        <v>296</v>
      </c>
      <c r="R10" s="211"/>
      <c r="S10" s="198"/>
      <c r="T10" s="228" t="s">
        <v>297</v>
      </c>
      <c r="U10" s="229"/>
      <c r="V10" s="198"/>
      <c r="W10" s="198"/>
      <c r="X10" s="198"/>
      <c r="Y10" s="198"/>
      <c r="Z10" s="198"/>
    </row>
    <row r="11" spans="1:26" s="202" customFormat="1" ht="18.399999999999999" customHeight="1" thickBot="1">
      <c r="A11" s="622" t="s">
        <v>298</v>
      </c>
      <c r="B11" s="623"/>
      <c r="C11" s="624"/>
      <c r="D11" s="593" t="s">
        <v>174</v>
      </c>
      <c r="E11" s="594"/>
      <c r="F11" s="230" t="s">
        <v>299</v>
      </c>
      <c r="G11" s="231"/>
      <c r="H11" s="232">
        <v>3</v>
      </c>
      <c r="I11" s="226" t="s">
        <v>291</v>
      </c>
      <c r="J11" s="233">
        <v>27364</v>
      </c>
      <c r="K11" s="234" t="s">
        <v>174</v>
      </c>
      <c r="L11" s="198"/>
      <c r="M11" s="566">
        <f t="shared" si="0"/>
        <v>31608.989217391307</v>
      </c>
      <c r="N11">
        <v>46000</v>
      </c>
      <c r="O11">
        <v>53136</v>
      </c>
      <c r="P11" s="198"/>
      <c r="Q11" s="210" t="s">
        <v>300</v>
      </c>
      <c r="R11" s="211"/>
      <c r="S11" s="198"/>
      <c r="T11" s="199" t="s">
        <v>301</v>
      </c>
      <c r="U11" s="201"/>
      <c r="V11" s="198"/>
      <c r="W11" s="198"/>
      <c r="X11" s="198"/>
      <c r="Y11" s="198"/>
      <c r="Z11" s="198"/>
    </row>
    <row r="12" spans="1:26" s="202" customFormat="1" ht="18.399999999999999" customHeight="1" thickBot="1">
      <c r="A12" s="235" t="s">
        <v>302</v>
      </c>
      <c r="C12" s="236"/>
      <c r="D12" s="625" t="s">
        <v>174</v>
      </c>
      <c r="E12" s="626"/>
      <c r="F12" s="595" t="s">
        <v>303</v>
      </c>
      <c r="G12" s="596"/>
      <c r="H12" s="596"/>
      <c r="I12" s="596"/>
      <c r="J12" s="596"/>
      <c r="K12" s="597"/>
      <c r="L12" s="198"/>
      <c r="M12" s="198"/>
      <c r="N12"/>
      <c r="O12"/>
      <c r="P12" s="198"/>
      <c r="Q12" s="228" t="s">
        <v>304</v>
      </c>
      <c r="R12" s="237"/>
      <c r="S12" s="198"/>
      <c r="T12" s="198"/>
      <c r="U12" s="198"/>
      <c r="V12" s="198"/>
      <c r="W12" s="198"/>
      <c r="X12" s="198"/>
      <c r="Y12" s="198"/>
      <c r="Z12" s="198"/>
    </row>
    <row r="13" spans="1:26" s="202" customFormat="1" ht="18.399999999999999" customHeight="1">
      <c r="A13" s="622" t="s">
        <v>53</v>
      </c>
      <c r="B13" s="623"/>
      <c r="C13" s="624"/>
      <c r="D13" s="618" t="s">
        <v>383</v>
      </c>
      <c r="E13" s="619"/>
      <c r="F13" s="238"/>
      <c r="G13" s="239" t="s">
        <v>305</v>
      </c>
      <c r="H13" s="240"/>
      <c r="I13" s="241" t="s">
        <v>306</v>
      </c>
      <c r="J13" s="242" t="s">
        <v>385</v>
      </c>
      <c r="K13" s="243" t="s">
        <v>174</v>
      </c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s="202" customFormat="1" ht="18.399999999999999" customHeight="1">
      <c r="A14" s="622" t="s">
        <v>56</v>
      </c>
      <c r="B14" s="623"/>
      <c r="C14" s="624"/>
      <c r="D14" s="625">
        <v>1090</v>
      </c>
      <c r="E14" s="626"/>
      <c r="F14" s="238"/>
      <c r="G14" s="244" t="s">
        <v>10</v>
      </c>
      <c r="H14" s="245"/>
      <c r="I14" s="245"/>
      <c r="J14" s="227" t="s">
        <v>174</v>
      </c>
      <c r="K14" s="224" t="s">
        <v>174</v>
      </c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s="202" customFormat="1" ht="18.399999999999999" customHeight="1">
      <c r="A15" s="612" t="s">
        <v>307</v>
      </c>
      <c r="B15" s="613"/>
      <c r="C15" s="614"/>
      <c r="D15" s="591">
        <v>9.0220003128051758</v>
      </c>
      <c r="E15" s="592"/>
      <c r="F15" s="238"/>
      <c r="G15" s="244" t="s">
        <v>308</v>
      </c>
      <c r="H15" s="245"/>
      <c r="I15" s="245"/>
      <c r="J15" s="227" t="s">
        <v>174</v>
      </c>
      <c r="K15" s="224" t="s">
        <v>174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s="202" customFormat="1" ht="18.399999999999999" customHeight="1">
      <c r="A16" s="588" t="s">
        <v>309</v>
      </c>
      <c r="B16" s="589"/>
      <c r="C16" s="590"/>
      <c r="D16" s="591">
        <v>3.0543997287750244</v>
      </c>
      <c r="E16" s="592"/>
      <c r="F16" s="246"/>
      <c r="G16" s="247" t="s">
        <v>17</v>
      </c>
      <c r="H16" s="248"/>
      <c r="I16" s="248"/>
      <c r="J16" s="233" t="s">
        <v>174</v>
      </c>
      <c r="K16" s="234" t="s">
        <v>174</v>
      </c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s="202" customFormat="1" ht="18.399999999999999" customHeight="1">
      <c r="A17" s="249" t="s">
        <v>310</v>
      </c>
      <c r="B17" s="250"/>
      <c r="C17" s="251"/>
      <c r="D17" s="593" t="s">
        <v>382</v>
      </c>
      <c r="E17" s="594"/>
      <c r="F17" s="595" t="s">
        <v>311</v>
      </c>
      <c r="G17" s="596"/>
      <c r="H17" s="596"/>
      <c r="I17" s="596"/>
      <c r="J17" s="596"/>
      <c r="K17" s="597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s="202" customFormat="1" ht="18.399999999999999" customHeight="1">
      <c r="A18" s="252" t="s">
        <v>312</v>
      </c>
      <c r="B18" s="253"/>
      <c r="C18" s="251"/>
      <c r="D18" s="598" t="s">
        <v>174</v>
      </c>
      <c r="E18" s="599"/>
      <c r="F18" s="600"/>
      <c r="G18" s="601"/>
      <c r="H18" s="254" t="s">
        <v>313</v>
      </c>
      <c r="I18" s="255"/>
      <c r="J18" s="223">
        <v>114</v>
      </c>
      <c r="K18" s="224"/>
      <c r="L18" s="198"/>
      <c r="M18" s="198">
        <f>J18*6.5</f>
        <v>741</v>
      </c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s="202" customFormat="1" ht="18.399999999999999" customHeight="1">
      <c r="A19" s="606" t="s">
        <v>314</v>
      </c>
      <c r="B19" s="607"/>
      <c r="C19" s="608"/>
      <c r="D19" s="609" t="s">
        <v>174</v>
      </c>
      <c r="E19" s="594"/>
      <c r="F19" s="602"/>
      <c r="G19" s="603"/>
      <c r="H19" s="254" t="s">
        <v>5</v>
      </c>
      <c r="I19" s="216"/>
      <c r="J19" s="223">
        <v>1785</v>
      </c>
      <c r="K19" s="224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s="202" customFormat="1" ht="18.399999999999999" customHeight="1" thickBot="1">
      <c r="A20" s="256" t="s">
        <v>315</v>
      </c>
      <c r="C20" s="257"/>
      <c r="D20" s="610" t="s">
        <v>201</v>
      </c>
      <c r="E20" s="611"/>
      <c r="F20" s="602"/>
      <c r="G20" s="603"/>
      <c r="H20" s="254" t="s">
        <v>316</v>
      </c>
      <c r="I20" s="216"/>
      <c r="J20" s="227" t="s">
        <v>387</v>
      </c>
      <c r="K20" s="224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s="202" customFormat="1" ht="18.399999999999999" customHeight="1" thickBot="1">
      <c r="A21" s="612" t="s">
        <v>317</v>
      </c>
      <c r="B21" s="613"/>
      <c r="C21" s="614"/>
      <c r="D21" s="615" t="s">
        <v>174</v>
      </c>
      <c r="E21" s="611"/>
      <c r="F21" s="602"/>
      <c r="G21" s="603"/>
      <c r="H21" s="258" t="s">
        <v>318</v>
      </c>
      <c r="I21" s="216"/>
      <c r="J21" s="227">
        <v>1.1499999999999999</v>
      </c>
      <c r="K21" s="224"/>
      <c r="L21" s="198"/>
      <c r="M21" s="198"/>
      <c r="N21" s="198"/>
      <c r="O21" s="198"/>
      <c r="P21" s="198"/>
      <c r="Q21" s="199" t="s">
        <v>319</v>
      </c>
      <c r="R21" s="201"/>
      <c r="S21" s="198"/>
      <c r="T21" s="198"/>
      <c r="U21" s="198"/>
      <c r="V21" s="198"/>
      <c r="W21" s="198"/>
      <c r="X21" s="198"/>
      <c r="Y21" s="198"/>
      <c r="Z21" s="198"/>
    </row>
    <row r="22" spans="1:26" s="202" customFormat="1" ht="18.399999999999999" customHeight="1">
      <c r="A22" s="252" t="s">
        <v>320</v>
      </c>
      <c r="B22" s="259"/>
      <c r="C22" s="259"/>
      <c r="D22" s="616">
        <v>0.41269999742507935</v>
      </c>
      <c r="E22" s="617"/>
      <c r="F22" s="602"/>
      <c r="G22" s="603"/>
      <c r="H22" s="254" t="s">
        <v>275</v>
      </c>
      <c r="I22" s="216"/>
      <c r="J22" s="227" t="s">
        <v>174</v>
      </c>
      <c r="K22" s="224"/>
      <c r="L22" s="198"/>
      <c r="M22" s="198"/>
      <c r="N22" s="198"/>
      <c r="O22" s="198"/>
      <c r="P22" s="198"/>
      <c r="Q22" s="210" t="s">
        <v>322</v>
      </c>
      <c r="R22" s="212"/>
      <c r="S22" s="198"/>
      <c r="T22" s="198"/>
      <c r="U22" s="198"/>
      <c r="V22" s="198"/>
      <c r="W22" s="198"/>
      <c r="X22" s="198"/>
      <c r="Y22" s="198"/>
      <c r="Z22" s="198"/>
    </row>
    <row r="23" spans="1:26" s="202" customFormat="1" ht="18.399999999999999" customHeight="1">
      <c r="A23" s="260" t="s">
        <v>323</v>
      </c>
      <c r="B23" s="261" t="s">
        <v>324</v>
      </c>
      <c r="C23" s="262"/>
      <c r="D23" s="618">
        <v>470.8</v>
      </c>
      <c r="E23" s="619"/>
      <c r="F23" s="602"/>
      <c r="G23" s="603"/>
      <c r="H23" s="263" t="s">
        <v>325</v>
      </c>
      <c r="I23" s="264"/>
      <c r="J23" s="368">
        <v>95</v>
      </c>
      <c r="K23" s="265"/>
      <c r="L23" s="198"/>
      <c r="Q23" s="210" t="s">
        <v>326</v>
      </c>
      <c r="R23" s="212"/>
      <c r="S23" s="198"/>
      <c r="T23" s="198"/>
      <c r="U23" s="198"/>
      <c r="V23" s="198"/>
      <c r="W23" s="198"/>
      <c r="X23" s="198"/>
      <c r="Y23" s="198"/>
      <c r="Z23" s="198"/>
    </row>
    <row r="24" spans="1:26" s="202" customFormat="1" ht="18.399999999999999" customHeight="1" thickBot="1">
      <c r="A24" s="266" t="s">
        <v>327</v>
      </c>
      <c r="B24" s="267" t="s">
        <v>328</v>
      </c>
      <c r="C24" s="268"/>
      <c r="D24" s="620" t="s">
        <v>174</v>
      </c>
      <c r="E24" s="621"/>
      <c r="F24" s="602"/>
      <c r="G24" s="603"/>
      <c r="H24" s="254" t="s">
        <v>329</v>
      </c>
      <c r="I24" s="236"/>
      <c r="J24" s="269" t="s">
        <v>174</v>
      </c>
      <c r="K24" s="270"/>
      <c r="Q24" s="271" t="s">
        <v>174</v>
      </c>
      <c r="R24" s="272"/>
      <c r="S24" s="198"/>
      <c r="T24" s="198"/>
      <c r="U24" s="198"/>
      <c r="V24" s="198"/>
      <c r="W24" s="198"/>
      <c r="X24" s="198"/>
      <c r="Y24" s="198"/>
      <c r="Z24" s="198"/>
    </row>
    <row r="25" spans="1:26" s="202" customFormat="1" ht="18.399999999999999" customHeight="1">
      <c r="A25" s="273" t="s">
        <v>330</v>
      </c>
      <c r="B25" s="274"/>
      <c r="C25" s="274"/>
      <c r="D25" s="275"/>
      <c r="E25" s="275" t="s">
        <v>331</v>
      </c>
      <c r="F25" s="602"/>
      <c r="G25" s="603"/>
      <c r="H25" s="254" t="s">
        <v>332</v>
      </c>
      <c r="I25" s="236"/>
      <c r="J25" s="276">
        <v>89</v>
      </c>
      <c r="K25" s="270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s="202" customFormat="1" ht="18.399999999999999" customHeight="1">
      <c r="A26" s="277" t="s">
        <v>333</v>
      </c>
      <c r="B26" s="278"/>
      <c r="C26" s="279"/>
      <c r="D26" s="280" t="s">
        <v>386</v>
      </c>
      <c r="E26" s="280" t="s">
        <v>388</v>
      </c>
      <c r="F26" s="604"/>
      <c r="G26" s="605"/>
      <c r="H26" s="567"/>
      <c r="I26" s="568"/>
      <c r="J26" s="281"/>
      <c r="K26" s="282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 s="202" customFormat="1" ht="18.399999999999999" customHeight="1">
      <c r="A27" s="577" t="s">
        <v>334</v>
      </c>
      <c r="B27" s="578"/>
      <c r="C27" s="578"/>
      <c r="D27" s="578"/>
      <c r="E27" s="578"/>
      <c r="F27" s="585" t="s">
        <v>335</v>
      </c>
      <c r="G27" s="586"/>
      <c r="H27" s="586"/>
      <c r="I27" s="586"/>
      <c r="J27" s="586"/>
      <c r="K27" s="587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s="202" customFormat="1" ht="18.399999999999999" customHeight="1">
      <c r="A28" s="571"/>
      <c r="B28" s="572"/>
      <c r="C28" s="572"/>
      <c r="D28" s="572"/>
      <c r="E28" s="573"/>
      <c r="F28" s="283"/>
      <c r="G28" s="284"/>
      <c r="H28" s="244" t="s">
        <v>336</v>
      </c>
      <c r="I28" s="285" t="s">
        <v>384</v>
      </c>
      <c r="J28" s="223">
        <v>756</v>
      </c>
      <c r="K28" s="286" t="s">
        <v>174</v>
      </c>
      <c r="M28" s="202">
        <f>(J28/J18)*100</f>
        <v>663.15789473684208</v>
      </c>
      <c r="N28" s="287"/>
      <c r="O28" s="287"/>
      <c r="R28" s="198"/>
      <c r="S28" s="198"/>
      <c r="T28" s="198"/>
      <c r="U28" s="198"/>
      <c r="V28" s="198"/>
      <c r="W28" s="198"/>
      <c r="X28" s="198"/>
      <c r="Y28" s="198"/>
      <c r="Z28" s="198"/>
    </row>
    <row r="29" spans="1:26" s="202" customFormat="1" ht="18.399999999999999" customHeight="1">
      <c r="A29" s="571"/>
      <c r="B29" s="572"/>
      <c r="C29" s="572"/>
      <c r="D29" s="572"/>
      <c r="E29" s="573"/>
      <c r="F29" s="288"/>
      <c r="G29" s="289"/>
      <c r="H29" s="244" t="s">
        <v>337</v>
      </c>
      <c r="I29" s="290">
        <v>60</v>
      </c>
      <c r="J29" s="223">
        <v>120</v>
      </c>
      <c r="K29" s="291" t="s">
        <v>174</v>
      </c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 s="202" customFormat="1" ht="18.399999999999999" customHeight="1">
      <c r="A30" s="571"/>
      <c r="B30" s="572"/>
      <c r="C30" s="572"/>
      <c r="D30" s="572"/>
      <c r="E30" s="573"/>
      <c r="F30" s="288"/>
      <c r="G30" s="289"/>
      <c r="H30" s="244" t="s">
        <v>338</v>
      </c>
      <c r="I30" s="290">
        <v>175</v>
      </c>
      <c r="J30" s="223">
        <v>275</v>
      </c>
      <c r="K30" s="292" t="s">
        <v>174</v>
      </c>
      <c r="L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s="202" customFormat="1" ht="18.399999999999999" customHeight="1">
      <c r="A31" s="571"/>
      <c r="B31" s="572"/>
      <c r="C31" s="572"/>
      <c r="D31" s="572"/>
      <c r="E31" s="573"/>
      <c r="F31" s="288"/>
      <c r="G31" s="289"/>
      <c r="H31" s="244" t="s">
        <v>339</v>
      </c>
      <c r="I31" s="245"/>
      <c r="J31" s="293">
        <v>0.83</v>
      </c>
      <c r="K31" s="218" t="s">
        <v>174</v>
      </c>
      <c r="L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s="202" customFormat="1" ht="18.399999999999999" customHeight="1">
      <c r="A32" s="574"/>
      <c r="B32" s="575"/>
      <c r="C32" s="575"/>
      <c r="D32" s="575"/>
      <c r="E32" s="576"/>
      <c r="F32" s="288"/>
      <c r="G32" s="294" t="s">
        <v>340</v>
      </c>
      <c r="H32" s="244" t="s">
        <v>341</v>
      </c>
      <c r="I32" s="295"/>
      <c r="J32" s="217">
        <v>95.2</v>
      </c>
      <c r="K32" s="291" t="s">
        <v>174</v>
      </c>
      <c r="L32" s="198"/>
      <c r="N32" s="296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s="202" customFormat="1" ht="18.399999999999999" customHeight="1">
      <c r="A33" s="577" t="s">
        <v>342</v>
      </c>
      <c r="B33" s="578"/>
      <c r="C33" s="578"/>
      <c r="D33" s="578"/>
      <c r="E33" s="579"/>
      <c r="F33" s="297"/>
      <c r="G33" s="298"/>
      <c r="H33" s="299" t="s">
        <v>343</v>
      </c>
      <c r="I33" s="300"/>
      <c r="J33" s="301">
        <v>89.3</v>
      </c>
      <c r="K33" s="302" t="s">
        <v>174</v>
      </c>
      <c r="L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s="202" customFormat="1" ht="18.399999999999999" customHeight="1">
      <c r="A34" s="571"/>
      <c r="B34" s="572"/>
      <c r="C34" s="572"/>
      <c r="D34" s="572"/>
      <c r="E34" s="573"/>
      <c r="F34" s="219" t="s">
        <v>344</v>
      </c>
      <c r="G34" s="303"/>
      <c r="H34" s="304" t="s">
        <v>14</v>
      </c>
      <c r="I34" s="305"/>
      <c r="J34" s="306">
        <v>6872</v>
      </c>
      <c r="K34" s="307" t="s">
        <v>174</v>
      </c>
      <c r="L34" s="308"/>
      <c r="M34" s="309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s="202" customFormat="1" ht="18.399999999999999" customHeight="1">
      <c r="A35" s="571"/>
      <c r="B35" s="572"/>
      <c r="C35" s="572"/>
      <c r="D35" s="572"/>
      <c r="E35" s="573"/>
      <c r="F35" s="238"/>
      <c r="G35" s="310"/>
      <c r="H35" s="311" t="s">
        <v>15</v>
      </c>
      <c r="I35" s="312"/>
      <c r="J35" s="223">
        <v>5520</v>
      </c>
      <c r="K35" s="218" t="s">
        <v>174</v>
      </c>
      <c r="L35" s="313"/>
      <c r="M35" s="309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s="202" customFormat="1" ht="18.399999999999999" customHeight="1">
      <c r="A36" s="571"/>
      <c r="B36" s="572"/>
      <c r="C36" s="572"/>
      <c r="D36" s="572"/>
      <c r="E36" s="573"/>
      <c r="F36" s="238"/>
      <c r="G36" s="310"/>
      <c r="H36" s="311" t="s">
        <v>345</v>
      </c>
      <c r="I36" s="312"/>
      <c r="J36" s="223">
        <v>3580</v>
      </c>
      <c r="K36" s="218" t="s">
        <v>174</v>
      </c>
      <c r="L36" s="313"/>
      <c r="M36" s="287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s="202" customFormat="1" ht="18.399999999999999" customHeight="1">
      <c r="A37" s="571"/>
      <c r="B37" s="572"/>
      <c r="C37" s="572"/>
      <c r="D37" s="572"/>
      <c r="E37" s="573"/>
      <c r="F37" s="288"/>
      <c r="G37" s="310"/>
      <c r="H37" s="311" t="s">
        <v>346</v>
      </c>
      <c r="I37" s="312"/>
      <c r="J37" s="223">
        <v>4450</v>
      </c>
      <c r="K37" s="218" t="s">
        <v>174</v>
      </c>
      <c r="L37" s="313"/>
      <c r="M37" s="287"/>
      <c r="N37" s="313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s="202" customFormat="1" ht="18.399999999999999" customHeight="1">
      <c r="A38" s="574"/>
      <c r="B38" s="575"/>
      <c r="C38" s="575"/>
      <c r="D38" s="575"/>
      <c r="E38" s="576"/>
      <c r="F38" s="246"/>
      <c r="G38" s="314"/>
      <c r="H38" s="315" t="s">
        <v>347</v>
      </c>
      <c r="I38" s="316"/>
      <c r="J38" s="317">
        <v>13575</v>
      </c>
      <c r="K38" s="318" t="s">
        <v>174</v>
      </c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s="202" customFormat="1" ht="18.399999999999999" customHeight="1">
      <c r="A39" s="577" t="s">
        <v>348</v>
      </c>
      <c r="B39" s="578"/>
      <c r="C39" s="578"/>
      <c r="D39" s="578"/>
      <c r="E39" s="578"/>
      <c r="F39" s="319" t="s">
        <v>349</v>
      </c>
      <c r="G39" s="371" t="s">
        <v>391</v>
      </c>
      <c r="H39" s="372"/>
      <c r="I39" s="372"/>
      <c r="J39" s="372"/>
      <c r="K39" s="373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s="202" customFormat="1" ht="18.399999999999999" customHeight="1">
      <c r="A40" s="571"/>
      <c r="B40" s="572"/>
      <c r="C40" s="572"/>
      <c r="D40" s="572"/>
      <c r="E40" s="573"/>
      <c r="F40" s="320"/>
      <c r="G40" s="374" t="s">
        <v>392</v>
      </c>
      <c r="H40" s="375"/>
      <c r="I40" s="375"/>
      <c r="J40" s="375"/>
      <c r="K40" s="376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s="202" customFormat="1" ht="18.399999999999999" customHeight="1">
      <c r="A41" s="571"/>
      <c r="B41" s="572"/>
      <c r="C41" s="572"/>
      <c r="D41" s="572"/>
      <c r="E41" s="573"/>
      <c r="F41" s="320"/>
      <c r="G41" s="377" t="s">
        <v>393</v>
      </c>
      <c r="H41" s="378"/>
      <c r="I41" s="378"/>
      <c r="J41" s="378"/>
      <c r="K41" s="379"/>
      <c r="L41" s="321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s="202" customFormat="1" ht="18.399999999999999" customHeight="1">
      <c r="A42" s="571"/>
      <c r="B42" s="572"/>
      <c r="C42" s="572"/>
      <c r="D42" s="572"/>
      <c r="E42" s="573"/>
      <c r="F42" s="320"/>
      <c r="G42" s="378"/>
      <c r="H42" s="378"/>
      <c r="I42" s="378"/>
      <c r="J42" s="378"/>
      <c r="K42" s="379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s="202" customFormat="1" ht="18.399999999999999" customHeight="1">
      <c r="A43" s="571"/>
      <c r="B43" s="572"/>
      <c r="C43" s="572"/>
      <c r="D43" s="572"/>
      <c r="E43" s="573"/>
      <c r="F43" s="320"/>
      <c r="G43" s="378"/>
      <c r="H43" s="378"/>
      <c r="I43" s="378"/>
      <c r="J43" s="378"/>
      <c r="K43" s="379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s="202" customFormat="1" ht="17.100000000000001" customHeight="1" thickBot="1">
      <c r="A44" s="580"/>
      <c r="B44" s="581"/>
      <c r="C44" s="581"/>
      <c r="D44" s="581"/>
      <c r="E44" s="582"/>
      <c r="F44" s="320"/>
      <c r="G44" s="378"/>
      <c r="H44" s="378"/>
      <c r="I44" s="378"/>
      <c r="J44" s="378"/>
      <c r="K44" s="379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s="202" customFormat="1" ht="17.100000000000001" customHeight="1">
      <c r="A45" s="322" t="s">
        <v>350</v>
      </c>
      <c r="B45" s="583"/>
      <c r="C45" s="584"/>
      <c r="D45" s="323" t="s">
        <v>351</v>
      </c>
      <c r="E45" s="369" t="s">
        <v>390</v>
      </c>
      <c r="F45" s="324"/>
      <c r="G45" s="378"/>
      <c r="H45" s="378"/>
      <c r="I45" s="378"/>
      <c r="J45" s="378"/>
      <c r="K45" s="379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s="202" customFormat="1" ht="17.100000000000001" customHeight="1" thickBot="1">
      <c r="A46" s="325" t="s">
        <v>352</v>
      </c>
      <c r="B46" s="569"/>
      <c r="C46" s="570"/>
      <c r="D46" s="326" t="s">
        <v>352</v>
      </c>
      <c r="E46" s="370">
        <v>37748</v>
      </c>
      <c r="F46" s="327"/>
      <c r="G46" s="380" t="s">
        <v>394</v>
      </c>
      <c r="H46" s="380"/>
      <c r="I46" s="380"/>
      <c r="J46" s="380"/>
      <c r="K46" s="381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s="202" customFormat="1" ht="17.100000000000001" customHeight="1">
      <c r="F47" s="32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</row>
    <row r="48" spans="1:26" s="202" customFormat="1" ht="17.100000000000001" customHeight="1">
      <c r="F48" s="198"/>
      <c r="G48" s="198"/>
      <c r="H48" s="198"/>
      <c r="I48" s="198"/>
      <c r="J48" s="198"/>
      <c r="K48" s="198"/>
    </row>
    <row r="49" spans="2:26" ht="17.100000000000001" customHeight="1">
      <c r="F49" s="188"/>
      <c r="G49" s="188"/>
      <c r="H49" s="188"/>
      <c r="I49" s="188"/>
      <c r="J49" s="188"/>
      <c r="K49" s="188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 spans="2:26">
      <c r="D50" s="329"/>
      <c r="F50" s="329"/>
      <c r="H50" s="329"/>
      <c r="I50" s="188"/>
      <c r="J50" s="188"/>
      <c r="K50" s="188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 spans="2:26">
      <c r="D51" s="329"/>
      <c r="F51" s="329"/>
      <c r="H51" s="329"/>
      <c r="I51" s="188"/>
      <c r="J51" s="188"/>
      <c r="K51" s="188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 spans="2:26">
      <c r="B52" s="188"/>
      <c r="C52" s="188"/>
      <c r="D52" s="329"/>
      <c r="F52" s="329"/>
      <c r="H52" s="329"/>
      <c r="I52" s="188"/>
      <c r="J52" s="188"/>
      <c r="K52" s="188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 spans="2:26">
      <c r="D53" s="329"/>
      <c r="F53" s="329"/>
      <c r="H53" s="329"/>
      <c r="I53" s="188"/>
      <c r="J53" s="188"/>
      <c r="K53" s="188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 spans="2:26">
      <c r="D54" s="329"/>
      <c r="F54" s="329"/>
      <c r="H54" s="329"/>
    </row>
    <row r="56" spans="2:26">
      <c r="D56" s="329"/>
    </row>
    <row r="57" spans="2:26">
      <c r="D57" s="329"/>
    </row>
    <row r="58" spans="2:26">
      <c r="D58" s="329"/>
    </row>
    <row r="59" spans="2:26">
      <c r="D59" s="329"/>
    </row>
    <row r="60" spans="2:26">
      <c r="D60" s="329"/>
    </row>
    <row r="61" spans="2:26">
      <c r="D61" s="329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disablePrompts="1" count="3">
    <dataValidation type="list" allowBlank="1" showInputMessage="1" sqref="D6:E6">
      <formula1>$T$5:$T$11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335" customWidth="1"/>
    <col min="2" max="2" width="18.140625" style="335" customWidth="1"/>
    <col min="3" max="3" width="21.5703125" style="335" customWidth="1"/>
    <col min="4" max="4" width="21.28515625" style="335" bestFit="1" customWidth="1"/>
    <col min="5" max="5" width="6.85546875" style="335" bestFit="1" customWidth="1"/>
    <col min="6" max="6" width="29.85546875" style="335" customWidth="1"/>
    <col min="7" max="7" width="43.7109375" style="335" customWidth="1"/>
    <col min="8" max="8" width="17.140625" style="335" customWidth="1"/>
    <col min="9" max="9" width="7.85546875" style="335" customWidth="1"/>
    <col min="10" max="10" width="2.28515625" style="335" bestFit="1" customWidth="1"/>
    <col min="11" max="12" width="2.28515625" style="335" customWidth="1"/>
    <col min="13" max="13" width="2.5703125" style="335" bestFit="1" customWidth="1"/>
    <col min="14" max="14" width="2.28515625" style="335" bestFit="1" customWidth="1"/>
    <col min="15" max="16384" width="9.140625" style="335"/>
  </cols>
  <sheetData>
    <row r="1" spans="2:14" ht="12.75" customHeight="1">
      <c r="B1" s="330"/>
      <c r="C1" s="331"/>
      <c r="D1" s="331"/>
      <c r="E1" s="331"/>
      <c r="F1" s="331"/>
      <c r="G1" s="331"/>
      <c r="H1" s="332"/>
      <c r="I1" s="333"/>
      <c r="J1" s="334" t="s">
        <v>353</v>
      </c>
      <c r="K1" s="334" t="s">
        <v>354</v>
      </c>
      <c r="L1" s="334" t="s">
        <v>355</v>
      </c>
      <c r="M1" s="334" t="s">
        <v>354</v>
      </c>
      <c r="N1" s="334"/>
    </row>
    <row r="2" spans="2:14" ht="12.75" customHeight="1">
      <c r="B2" s="664" t="s">
        <v>356</v>
      </c>
      <c r="C2" s="665"/>
      <c r="D2" s="665"/>
      <c r="E2" s="665"/>
      <c r="F2" s="665"/>
      <c r="G2" s="665"/>
      <c r="H2" s="336"/>
      <c r="I2" s="337"/>
      <c r="J2" s="338" t="s">
        <v>357</v>
      </c>
      <c r="K2" s="338" t="s">
        <v>358</v>
      </c>
      <c r="L2" s="338" t="s">
        <v>359</v>
      </c>
      <c r="M2" s="338" t="s">
        <v>360</v>
      </c>
      <c r="N2" s="338" t="s">
        <v>361</v>
      </c>
    </row>
    <row r="3" spans="2:14" ht="12.75" customHeight="1">
      <c r="B3" s="664"/>
      <c r="C3" s="665"/>
      <c r="D3" s="665"/>
      <c r="E3" s="665"/>
      <c r="F3" s="665"/>
      <c r="G3" s="665"/>
      <c r="H3" s="336"/>
      <c r="I3" s="337"/>
      <c r="J3" s="338" t="s">
        <v>362</v>
      </c>
      <c r="K3" s="338"/>
      <c r="L3" s="338" t="s">
        <v>363</v>
      </c>
      <c r="M3" s="338" t="s">
        <v>353</v>
      </c>
      <c r="N3" s="338"/>
    </row>
    <row r="4" spans="2:14" ht="12.75" customHeight="1">
      <c r="B4" s="664"/>
      <c r="C4" s="665"/>
      <c r="D4" s="665"/>
      <c r="E4" s="665"/>
      <c r="F4" s="665"/>
      <c r="G4" s="665"/>
      <c r="H4" s="336"/>
      <c r="I4" s="337"/>
      <c r="J4" s="338" t="s">
        <v>364</v>
      </c>
      <c r="K4" s="338"/>
      <c r="L4" s="338" t="s">
        <v>359</v>
      </c>
      <c r="M4" s="338" t="s">
        <v>357</v>
      </c>
      <c r="N4" s="338"/>
    </row>
    <row r="5" spans="2:14" ht="12.75" customHeight="1">
      <c r="B5" s="339"/>
      <c r="C5" s="340"/>
      <c r="D5" s="340"/>
      <c r="E5" s="340"/>
      <c r="F5" s="340"/>
      <c r="G5" s="340"/>
      <c r="H5" s="336"/>
      <c r="I5" s="337"/>
      <c r="J5" s="338"/>
      <c r="K5" s="338" t="s">
        <v>365</v>
      </c>
      <c r="L5" s="338" t="s">
        <v>354</v>
      </c>
      <c r="M5" s="338"/>
      <c r="N5" s="338" t="s">
        <v>359</v>
      </c>
    </row>
    <row r="6" spans="2:14" ht="12" customHeight="1">
      <c r="B6" s="341"/>
      <c r="C6" s="342"/>
      <c r="D6" s="342"/>
      <c r="F6" s="342"/>
      <c r="H6" s="343"/>
      <c r="I6" s="337"/>
      <c r="J6" s="338" t="s">
        <v>358</v>
      </c>
      <c r="K6" s="338" t="s">
        <v>366</v>
      </c>
      <c r="L6" s="338"/>
      <c r="M6" s="338" t="s">
        <v>354</v>
      </c>
      <c r="N6" s="338" t="s">
        <v>367</v>
      </c>
    </row>
    <row r="7" spans="2:14" ht="12.75" customHeight="1">
      <c r="B7" s="341"/>
      <c r="D7" s="344"/>
      <c r="H7" s="343"/>
      <c r="I7" s="337"/>
      <c r="J7" s="338" t="s">
        <v>183</v>
      </c>
      <c r="K7" s="338" t="s">
        <v>362</v>
      </c>
      <c r="L7" s="338" t="s">
        <v>362</v>
      </c>
      <c r="M7" s="338" t="s">
        <v>357</v>
      </c>
      <c r="N7" s="338" t="s">
        <v>368</v>
      </c>
    </row>
    <row r="8" spans="2:14" ht="12.75" customHeight="1">
      <c r="B8" s="341"/>
      <c r="G8" s="344"/>
      <c r="H8" s="345"/>
      <c r="I8" s="338" t="s">
        <v>368</v>
      </c>
      <c r="J8" s="338" t="s">
        <v>354</v>
      </c>
      <c r="K8" s="338" t="s">
        <v>369</v>
      </c>
      <c r="L8" s="338" t="s">
        <v>357</v>
      </c>
      <c r="M8" s="338" t="s">
        <v>368</v>
      </c>
      <c r="N8" s="338" t="s">
        <v>366</v>
      </c>
    </row>
    <row r="9" spans="2:14">
      <c r="B9" s="338" t="s">
        <v>370</v>
      </c>
      <c r="C9" s="345" t="s">
        <v>371</v>
      </c>
      <c r="D9" s="345" t="s">
        <v>372</v>
      </c>
      <c r="E9" s="345" t="s">
        <v>373</v>
      </c>
      <c r="F9" s="338" t="s">
        <v>374</v>
      </c>
      <c r="G9" s="338" t="s">
        <v>375</v>
      </c>
      <c r="H9" s="338" t="s">
        <v>376</v>
      </c>
      <c r="I9" s="338" t="s">
        <v>364</v>
      </c>
      <c r="J9" s="338" t="s">
        <v>183</v>
      </c>
      <c r="K9" s="338" t="s">
        <v>357</v>
      </c>
      <c r="L9" s="338" t="s">
        <v>369</v>
      </c>
      <c r="M9" s="338" t="s">
        <v>354</v>
      </c>
      <c r="N9" s="338" t="s">
        <v>355</v>
      </c>
    </row>
    <row r="10" spans="2:14" ht="15" customHeight="1">
      <c r="B10" s="346"/>
      <c r="C10" s="347"/>
      <c r="D10" s="347"/>
      <c r="E10" s="347"/>
      <c r="F10" s="348"/>
      <c r="G10" s="349"/>
      <c r="H10" s="349"/>
      <c r="I10" s="350"/>
      <c r="J10" s="351"/>
      <c r="K10" s="351"/>
      <c r="L10" s="351"/>
      <c r="M10" s="351"/>
      <c r="N10" s="352"/>
    </row>
    <row r="11" spans="2:14" ht="15" customHeight="1">
      <c r="B11" s="346"/>
      <c r="C11" s="348"/>
      <c r="D11" s="348"/>
      <c r="E11" s="348"/>
      <c r="F11" s="348"/>
      <c r="G11" s="348"/>
      <c r="H11" s="348"/>
      <c r="I11" s="353"/>
      <c r="J11" s="351"/>
      <c r="K11" s="351"/>
      <c r="L11" s="351"/>
      <c r="M11" s="351"/>
      <c r="N11" s="352"/>
    </row>
    <row r="12" spans="2:14" ht="15" customHeight="1">
      <c r="B12" s="346"/>
      <c r="C12" s="348"/>
      <c r="D12" s="348"/>
      <c r="E12" s="348"/>
      <c r="F12" s="348"/>
      <c r="G12" s="348"/>
      <c r="H12" s="348"/>
      <c r="I12" s="353"/>
      <c r="J12" s="354"/>
      <c r="K12" s="351"/>
      <c r="L12" s="351"/>
      <c r="M12" s="351"/>
      <c r="N12" s="352"/>
    </row>
    <row r="13" spans="2:14" ht="15" customHeight="1">
      <c r="B13" s="346"/>
      <c r="C13" s="348"/>
      <c r="D13" s="348"/>
      <c r="E13" s="348"/>
      <c r="F13" s="348"/>
      <c r="G13" s="348"/>
      <c r="H13" s="348"/>
      <c r="I13" s="353"/>
      <c r="J13" s="351"/>
      <c r="K13" s="351"/>
      <c r="L13" s="351"/>
      <c r="M13" s="351"/>
      <c r="N13" s="352"/>
    </row>
    <row r="14" spans="2:14" ht="15" customHeight="1">
      <c r="B14" s="346"/>
      <c r="C14" s="348"/>
      <c r="D14" s="348"/>
      <c r="E14" s="348"/>
      <c r="F14" s="348"/>
      <c r="G14" s="348"/>
      <c r="H14" s="348"/>
      <c r="I14" s="353"/>
      <c r="J14" s="351"/>
      <c r="K14" s="351"/>
      <c r="L14" s="351"/>
      <c r="M14" s="351"/>
      <c r="N14" s="352"/>
    </row>
    <row r="15" spans="2:14" ht="15" customHeight="1">
      <c r="B15" s="346"/>
      <c r="C15" s="348"/>
      <c r="D15" s="348"/>
      <c r="E15" s="348"/>
      <c r="F15" s="348"/>
      <c r="G15" s="348"/>
      <c r="H15" s="348"/>
      <c r="I15" s="353"/>
      <c r="J15" s="351"/>
      <c r="K15" s="351"/>
      <c r="L15" s="351"/>
      <c r="M15" s="351"/>
      <c r="N15" s="352"/>
    </row>
    <row r="16" spans="2:14" ht="15" customHeight="1">
      <c r="B16" s="346"/>
      <c r="C16" s="348"/>
      <c r="D16" s="348"/>
      <c r="E16" s="348"/>
      <c r="F16" s="348"/>
      <c r="G16" s="348"/>
      <c r="H16" s="348"/>
      <c r="I16" s="353"/>
      <c r="J16" s="351"/>
      <c r="K16" s="351"/>
      <c r="L16" s="351"/>
      <c r="M16" s="351"/>
      <c r="N16" s="352"/>
    </row>
    <row r="17" spans="2:14" ht="15" customHeight="1">
      <c r="B17" s="346"/>
      <c r="C17" s="348"/>
      <c r="D17" s="348"/>
      <c r="E17" s="348"/>
      <c r="F17" s="348"/>
      <c r="G17" s="348"/>
      <c r="H17" s="348"/>
      <c r="I17" s="353"/>
      <c r="J17" s="351"/>
      <c r="K17" s="351"/>
      <c r="L17" s="351"/>
      <c r="M17" s="351"/>
      <c r="N17" s="352"/>
    </row>
    <row r="18" spans="2:14" ht="15" customHeight="1">
      <c r="B18" s="346"/>
      <c r="C18" s="348"/>
      <c r="D18" s="348"/>
      <c r="E18" s="348"/>
      <c r="F18" s="348"/>
      <c r="G18" s="348"/>
      <c r="H18" s="348"/>
      <c r="I18" s="353"/>
      <c r="J18" s="351"/>
      <c r="K18" s="351"/>
      <c r="L18" s="351"/>
      <c r="M18" s="351"/>
      <c r="N18" s="352"/>
    </row>
    <row r="19" spans="2:14" ht="15" customHeight="1">
      <c r="B19" s="346"/>
      <c r="C19" s="348"/>
      <c r="D19" s="348"/>
      <c r="E19" s="348"/>
      <c r="F19" s="348"/>
      <c r="G19" s="348"/>
      <c r="H19" s="348"/>
      <c r="I19" s="353"/>
      <c r="J19" s="351"/>
      <c r="K19" s="351"/>
      <c r="L19" s="351"/>
      <c r="M19" s="351"/>
      <c r="N19" s="352"/>
    </row>
    <row r="20" spans="2:14" ht="15" customHeight="1">
      <c r="B20" s="346"/>
      <c r="C20" s="348"/>
      <c r="D20" s="348"/>
      <c r="E20" s="348"/>
      <c r="F20" s="348"/>
      <c r="G20" s="348"/>
      <c r="H20" s="348"/>
      <c r="I20" s="353"/>
      <c r="J20" s="351"/>
      <c r="K20" s="351"/>
      <c r="L20" s="351"/>
      <c r="M20" s="351"/>
      <c r="N20" s="352"/>
    </row>
    <row r="21" spans="2:14" ht="15" customHeight="1">
      <c r="B21" s="346"/>
      <c r="C21" s="348"/>
      <c r="D21" s="348"/>
      <c r="E21" s="348"/>
      <c r="F21" s="348"/>
      <c r="G21" s="348"/>
      <c r="H21" s="348"/>
      <c r="I21" s="353"/>
      <c r="J21" s="351"/>
      <c r="K21" s="351"/>
      <c r="L21" s="351"/>
      <c r="M21" s="351"/>
      <c r="N21" s="352"/>
    </row>
    <row r="22" spans="2:14" ht="15" customHeight="1">
      <c r="B22" s="346"/>
      <c r="C22" s="348"/>
      <c r="D22" s="348"/>
      <c r="E22" s="348"/>
      <c r="F22" s="348"/>
      <c r="G22" s="348"/>
      <c r="H22" s="348"/>
      <c r="I22" s="353"/>
      <c r="J22" s="351"/>
      <c r="K22" s="351"/>
      <c r="L22" s="351"/>
      <c r="M22" s="351"/>
      <c r="N22" s="352"/>
    </row>
    <row r="23" spans="2:14" ht="15" customHeight="1">
      <c r="B23" s="346"/>
      <c r="C23" s="348"/>
      <c r="D23" s="348"/>
      <c r="E23" s="348"/>
      <c r="F23" s="348"/>
      <c r="G23" s="348"/>
      <c r="H23" s="348"/>
      <c r="I23" s="353"/>
      <c r="J23" s="351"/>
      <c r="K23" s="351"/>
      <c r="L23" s="351"/>
      <c r="M23" s="351"/>
      <c r="N23" s="352"/>
    </row>
    <row r="24" spans="2:14" ht="15" customHeight="1">
      <c r="B24" s="346"/>
      <c r="C24" s="348"/>
      <c r="D24" s="348"/>
      <c r="E24" s="348"/>
      <c r="F24" s="348"/>
      <c r="G24" s="348"/>
      <c r="H24" s="348"/>
      <c r="I24" s="353"/>
      <c r="J24" s="351"/>
      <c r="K24" s="351"/>
      <c r="L24" s="351"/>
      <c r="M24" s="351"/>
      <c r="N24" s="352"/>
    </row>
    <row r="25" spans="2:14" ht="15" customHeight="1">
      <c r="B25" s="346"/>
      <c r="C25" s="348"/>
      <c r="D25" s="348"/>
      <c r="E25" s="348"/>
      <c r="F25" s="348"/>
      <c r="G25" s="348"/>
      <c r="H25" s="348"/>
      <c r="I25" s="353"/>
      <c r="J25" s="351"/>
      <c r="K25" s="351"/>
      <c r="L25" s="351"/>
      <c r="M25" s="351"/>
      <c r="N25" s="352"/>
    </row>
    <row r="26" spans="2:14" ht="15" customHeight="1">
      <c r="B26" s="346"/>
      <c r="C26" s="348"/>
      <c r="D26" s="348"/>
      <c r="E26" s="348"/>
      <c r="F26" s="348"/>
      <c r="G26" s="348"/>
      <c r="H26" s="348"/>
      <c r="I26" s="353"/>
      <c r="J26" s="351"/>
      <c r="K26" s="351"/>
      <c r="L26" s="351"/>
      <c r="M26" s="351"/>
      <c r="N26" s="352"/>
    </row>
    <row r="27" spans="2:14" ht="15" customHeight="1">
      <c r="B27" s="346"/>
      <c r="C27" s="348"/>
      <c r="D27" s="348"/>
      <c r="E27" s="348"/>
      <c r="F27" s="348"/>
      <c r="G27" s="348"/>
      <c r="H27" s="348"/>
      <c r="I27" s="353"/>
      <c r="J27" s="351"/>
      <c r="K27" s="351"/>
      <c r="L27" s="351"/>
      <c r="M27" s="351"/>
      <c r="N27" s="352"/>
    </row>
    <row r="28" spans="2:14" ht="15" customHeight="1">
      <c r="B28" s="346"/>
      <c r="C28" s="348"/>
      <c r="D28" s="348"/>
      <c r="E28" s="348"/>
      <c r="F28" s="348"/>
      <c r="G28" s="348"/>
      <c r="H28" s="348"/>
      <c r="I28" s="353"/>
      <c r="J28" s="351"/>
      <c r="K28" s="351"/>
      <c r="L28" s="351"/>
      <c r="M28" s="351"/>
      <c r="N28" s="352"/>
    </row>
    <row r="29" spans="2:14" ht="15" customHeight="1">
      <c r="B29" s="346"/>
      <c r="C29" s="348"/>
      <c r="D29" s="348"/>
      <c r="E29" s="348"/>
      <c r="F29" s="348"/>
      <c r="G29" s="348"/>
      <c r="H29" s="348"/>
      <c r="I29" s="353"/>
      <c r="J29" s="351"/>
      <c r="K29" s="351"/>
      <c r="L29" s="351"/>
      <c r="M29" s="351"/>
      <c r="N29" s="352"/>
    </row>
    <row r="30" spans="2:14" ht="15" customHeight="1">
      <c r="B30" s="346"/>
      <c r="C30" s="348"/>
      <c r="D30" s="348"/>
      <c r="E30" s="348"/>
      <c r="F30" s="348"/>
      <c r="G30" s="348"/>
      <c r="H30" s="348"/>
      <c r="I30" s="353"/>
      <c r="J30" s="351"/>
      <c r="K30" s="351"/>
      <c r="L30" s="351"/>
      <c r="M30" s="351"/>
      <c r="N30" s="352"/>
    </row>
    <row r="31" spans="2:14" ht="15" customHeight="1">
      <c r="B31" s="346"/>
      <c r="C31" s="348"/>
      <c r="D31" s="348"/>
      <c r="E31" s="348"/>
      <c r="F31" s="348"/>
      <c r="G31" s="348"/>
      <c r="H31" s="348"/>
      <c r="I31" s="353"/>
      <c r="J31" s="351"/>
      <c r="K31" s="351"/>
      <c r="L31" s="351"/>
      <c r="M31" s="351"/>
      <c r="N31" s="352"/>
    </row>
    <row r="32" spans="2:14" ht="15" customHeight="1">
      <c r="B32" s="346"/>
      <c r="C32" s="348"/>
      <c r="D32" s="348"/>
      <c r="E32" s="348"/>
      <c r="F32" s="348"/>
      <c r="G32" s="348"/>
      <c r="H32" s="348"/>
      <c r="I32" s="353"/>
      <c r="J32" s="351"/>
      <c r="K32" s="351"/>
      <c r="L32" s="351"/>
      <c r="M32" s="351"/>
      <c r="N32" s="352"/>
    </row>
    <row r="33" spans="2:14" ht="15" customHeight="1">
      <c r="B33" s="346"/>
      <c r="C33" s="348"/>
      <c r="D33" s="348"/>
      <c r="E33" s="348"/>
      <c r="F33" s="348"/>
      <c r="G33" s="348"/>
      <c r="H33" s="348"/>
      <c r="I33" s="353"/>
      <c r="J33" s="351"/>
      <c r="K33" s="351"/>
      <c r="L33" s="351"/>
      <c r="M33" s="351"/>
      <c r="N33" s="352"/>
    </row>
    <row r="34" spans="2:14" ht="15" customHeight="1">
      <c r="B34" s="346"/>
      <c r="C34" s="348"/>
      <c r="D34" s="348"/>
      <c r="E34" s="348"/>
      <c r="F34" s="348"/>
      <c r="G34" s="348"/>
      <c r="H34" s="348"/>
      <c r="I34" s="353"/>
      <c r="J34" s="351"/>
      <c r="K34" s="351"/>
      <c r="L34" s="351"/>
      <c r="M34" s="351"/>
      <c r="N34" s="352"/>
    </row>
    <row r="35" spans="2:14" ht="15" customHeight="1">
      <c r="B35" s="346"/>
      <c r="C35" s="348"/>
      <c r="D35" s="348"/>
      <c r="E35" s="348"/>
      <c r="F35" s="348"/>
      <c r="G35" s="348"/>
      <c r="H35" s="348"/>
      <c r="I35" s="353"/>
      <c r="J35" s="351"/>
      <c r="K35" s="351"/>
      <c r="L35" s="351"/>
      <c r="M35" s="351"/>
      <c r="N35" s="352"/>
    </row>
    <row r="36" spans="2:14" ht="15" customHeight="1">
      <c r="B36" s="346"/>
      <c r="C36" s="348"/>
      <c r="D36" s="348"/>
      <c r="E36" s="348"/>
      <c r="F36" s="348"/>
      <c r="G36" s="348"/>
      <c r="H36" s="348"/>
      <c r="I36" s="353"/>
      <c r="J36" s="351"/>
      <c r="K36" s="351"/>
      <c r="L36" s="351"/>
      <c r="M36" s="351"/>
      <c r="N36" s="352"/>
    </row>
    <row r="37" spans="2:14" ht="15" customHeight="1">
      <c r="B37" s="346"/>
      <c r="C37" s="348"/>
      <c r="D37" s="348"/>
      <c r="E37" s="348"/>
      <c r="F37" s="348"/>
      <c r="G37" s="348"/>
      <c r="H37" s="348"/>
      <c r="I37" s="353"/>
      <c r="J37" s="351"/>
      <c r="K37" s="351"/>
      <c r="L37" s="351"/>
      <c r="M37" s="351"/>
      <c r="N37" s="352"/>
    </row>
    <row r="38" spans="2:14" ht="15" customHeight="1">
      <c r="B38" s="346"/>
      <c r="C38" s="348"/>
      <c r="D38" s="348"/>
      <c r="E38" s="348"/>
      <c r="F38" s="348"/>
      <c r="G38" s="348"/>
      <c r="H38" s="348"/>
      <c r="I38" s="353"/>
      <c r="J38" s="351"/>
      <c r="K38" s="351"/>
      <c r="L38" s="351"/>
      <c r="M38" s="351"/>
      <c r="N38" s="352"/>
    </row>
    <row r="39" spans="2:14" ht="15" customHeight="1">
      <c r="B39" s="346"/>
      <c r="C39" s="348"/>
      <c r="D39" s="348"/>
      <c r="E39" s="348"/>
      <c r="F39" s="348"/>
      <c r="G39" s="348"/>
      <c r="H39" s="348"/>
      <c r="I39" s="353"/>
      <c r="J39" s="351"/>
      <c r="K39" s="351"/>
      <c r="L39" s="351"/>
      <c r="M39" s="351"/>
      <c r="N39" s="352"/>
    </row>
    <row r="40" spans="2:14" ht="15" customHeight="1">
      <c r="B40" s="346"/>
      <c r="C40" s="348"/>
      <c r="D40" s="348"/>
      <c r="E40" s="348"/>
      <c r="F40" s="348"/>
      <c r="G40" s="348"/>
      <c r="H40" s="348"/>
      <c r="I40" s="353"/>
      <c r="J40" s="351"/>
      <c r="K40" s="351"/>
      <c r="L40" s="351"/>
      <c r="M40" s="351"/>
      <c r="N40" s="352"/>
    </row>
    <row r="41" spans="2:14" ht="15" customHeight="1">
      <c r="B41" s="346"/>
      <c r="C41" s="348"/>
      <c r="D41" s="348"/>
      <c r="E41" s="348"/>
      <c r="F41" s="348"/>
      <c r="G41" s="348"/>
      <c r="H41" s="348"/>
      <c r="I41" s="353"/>
      <c r="J41" s="351"/>
      <c r="K41" s="351"/>
      <c r="L41" s="351"/>
      <c r="M41" s="351"/>
      <c r="N41" s="352"/>
    </row>
    <row r="42" spans="2:14" ht="15" customHeight="1">
      <c r="B42" s="346"/>
      <c r="C42" s="348"/>
      <c r="D42" s="348"/>
      <c r="E42" s="348"/>
      <c r="F42" s="348"/>
      <c r="G42" s="348"/>
      <c r="H42" s="348"/>
      <c r="I42" s="353"/>
      <c r="J42" s="351"/>
      <c r="K42" s="351"/>
      <c r="L42" s="351"/>
      <c r="M42" s="351"/>
      <c r="N42" s="352"/>
    </row>
    <row r="43" spans="2:14" ht="15" customHeight="1">
      <c r="B43" s="346"/>
      <c r="C43" s="348"/>
      <c r="D43" s="348"/>
      <c r="E43" s="348"/>
      <c r="F43" s="348"/>
      <c r="G43" s="348"/>
      <c r="H43" s="348"/>
      <c r="I43" s="353"/>
      <c r="J43" s="351"/>
      <c r="K43" s="351"/>
      <c r="L43" s="351"/>
      <c r="M43" s="351"/>
      <c r="N43" s="352"/>
    </row>
    <row r="44" spans="2:14" ht="15" customHeight="1">
      <c r="B44" s="346"/>
      <c r="C44" s="348"/>
      <c r="D44" s="348"/>
      <c r="E44" s="348"/>
      <c r="F44" s="348"/>
      <c r="G44" s="348"/>
      <c r="H44" s="348"/>
      <c r="I44" s="353"/>
      <c r="J44" s="351"/>
      <c r="K44" s="351"/>
      <c r="L44" s="351"/>
      <c r="M44" s="351"/>
      <c r="N44" s="352"/>
    </row>
    <row r="45" spans="2:14" ht="15" customHeight="1">
      <c r="B45" s="346"/>
      <c r="C45" s="348"/>
      <c r="D45" s="348"/>
      <c r="E45" s="348"/>
      <c r="F45" s="348"/>
      <c r="G45" s="348"/>
      <c r="H45" s="348"/>
      <c r="I45" s="353"/>
      <c r="J45" s="351"/>
      <c r="K45" s="351"/>
      <c r="L45" s="351"/>
      <c r="M45" s="351"/>
      <c r="N45" s="352"/>
    </row>
    <row r="46" spans="2:14" ht="15" customHeight="1">
      <c r="B46" s="346"/>
      <c r="C46" s="348"/>
      <c r="D46" s="348"/>
      <c r="E46" s="348"/>
      <c r="F46" s="348"/>
      <c r="G46" s="348"/>
      <c r="H46" s="348"/>
      <c r="I46" s="353"/>
      <c r="J46" s="351"/>
      <c r="K46" s="351"/>
      <c r="L46" s="351"/>
      <c r="M46" s="351"/>
      <c r="N46" s="352"/>
    </row>
    <row r="47" spans="2:14" ht="15" customHeight="1">
      <c r="B47" s="346"/>
      <c r="C47" s="348"/>
      <c r="D47" s="348"/>
      <c r="E47" s="348"/>
      <c r="F47" s="348"/>
      <c r="G47" s="348"/>
      <c r="H47" s="348"/>
      <c r="I47" s="353"/>
      <c r="J47" s="351"/>
      <c r="K47" s="351"/>
      <c r="L47" s="351"/>
      <c r="M47" s="351"/>
      <c r="N47" s="352"/>
    </row>
    <row r="48" spans="2:14" ht="15" customHeight="1">
      <c r="B48" s="346"/>
      <c r="C48" s="348"/>
      <c r="D48" s="348"/>
      <c r="E48" s="348"/>
      <c r="F48" s="348"/>
      <c r="G48" s="348"/>
      <c r="H48" s="348"/>
      <c r="I48" s="353"/>
      <c r="J48" s="351"/>
      <c r="K48" s="351"/>
      <c r="L48" s="351"/>
      <c r="M48" s="351"/>
      <c r="N48" s="352"/>
    </row>
    <row r="49" spans="2:14" ht="15" customHeight="1">
      <c r="B49" s="346"/>
      <c r="C49" s="348"/>
      <c r="D49" s="348"/>
      <c r="E49" s="348"/>
      <c r="F49" s="348"/>
      <c r="G49" s="348"/>
      <c r="H49" s="348"/>
      <c r="I49" s="353"/>
      <c r="J49" s="351"/>
      <c r="K49" s="351"/>
      <c r="L49" s="351"/>
      <c r="M49" s="351"/>
      <c r="N49" s="352"/>
    </row>
    <row r="50" spans="2:14" ht="15" customHeight="1">
      <c r="B50" s="346"/>
      <c r="C50" s="348"/>
      <c r="D50" s="348"/>
      <c r="E50" s="348"/>
      <c r="F50" s="348"/>
      <c r="G50" s="348"/>
      <c r="H50" s="348"/>
      <c r="I50" s="353"/>
      <c r="J50" s="351"/>
      <c r="K50" s="351"/>
      <c r="L50" s="351"/>
      <c r="M50" s="351"/>
      <c r="N50" s="352"/>
    </row>
    <row r="51" spans="2:14" ht="15" customHeight="1">
      <c r="B51" s="346"/>
      <c r="C51" s="348"/>
      <c r="D51" s="348"/>
      <c r="E51" s="348"/>
      <c r="F51" s="348"/>
      <c r="G51" s="348"/>
      <c r="H51" s="348"/>
      <c r="I51" s="353"/>
      <c r="J51" s="351"/>
      <c r="K51" s="351"/>
      <c r="L51" s="351"/>
      <c r="M51" s="351"/>
      <c r="N51" s="352"/>
    </row>
    <row r="52" spans="2:14" ht="15" customHeight="1" thickBot="1">
      <c r="B52" s="355"/>
      <c r="C52" s="356"/>
      <c r="D52" s="356"/>
      <c r="E52" s="356"/>
      <c r="F52" s="356"/>
      <c r="G52" s="356"/>
      <c r="H52" s="356"/>
      <c r="I52" s="357"/>
      <c r="J52" s="358"/>
      <c r="K52" s="358"/>
      <c r="L52" s="358"/>
      <c r="M52" s="358"/>
      <c r="N52" s="359"/>
    </row>
    <row r="53" spans="2:14" ht="20.25" customHeight="1" thickBot="1">
      <c r="B53" s="666" t="s">
        <v>377</v>
      </c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</row>
    <row r="54" spans="2:14" ht="15" customHeight="1" thickBot="1">
      <c r="B54" s="360" t="s">
        <v>378</v>
      </c>
      <c r="C54" s="667" t="s">
        <v>375</v>
      </c>
      <c r="D54" s="668"/>
      <c r="E54" s="668"/>
      <c r="F54" s="668"/>
      <c r="G54" s="668"/>
      <c r="H54" s="361"/>
      <c r="I54" s="667" t="s">
        <v>370</v>
      </c>
      <c r="J54" s="668"/>
      <c r="K54" s="669"/>
      <c r="L54" s="667" t="s">
        <v>379</v>
      </c>
      <c r="M54" s="668"/>
      <c r="N54" s="670"/>
    </row>
    <row r="55" spans="2:14" ht="15" customHeight="1">
      <c r="B55" s="362"/>
      <c r="C55" s="656"/>
      <c r="D55" s="657"/>
      <c r="E55" s="657"/>
      <c r="F55" s="657"/>
      <c r="G55" s="657"/>
      <c r="H55" s="363"/>
      <c r="I55" s="658"/>
      <c r="J55" s="659"/>
      <c r="K55" s="660"/>
      <c r="L55" s="661"/>
      <c r="M55" s="662"/>
      <c r="N55" s="663"/>
    </row>
    <row r="56" spans="2:14" ht="15" customHeight="1">
      <c r="B56" s="364"/>
      <c r="C56" s="640"/>
      <c r="D56" s="641"/>
      <c r="E56" s="641"/>
      <c r="F56" s="641"/>
      <c r="G56" s="641"/>
      <c r="H56" s="365"/>
      <c r="I56" s="642"/>
      <c r="J56" s="643"/>
      <c r="K56" s="644"/>
      <c r="L56" s="645"/>
      <c r="M56" s="646"/>
      <c r="N56" s="647"/>
    </row>
    <row r="57" spans="2:14" ht="15" customHeight="1">
      <c r="B57" s="364"/>
      <c r="C57" s="640"/>
      <c r="D57" s="641"/>
      <c r="E57" s="641"/>
      <c r="F57" s="641"/>
      <c r="G57" s="641"/>
      <c r="H57" s="365"/>
      <c r="I57" s="642"/>
      <c r="J57" s="643"/>
      <c r="K57" s="644"/>
      <c r="L57" s="645"/>
      <c r="M57" s="646"/>
      <c r="N57" s="647"/>
    </row>
    <row r="58" spans="2:14" ht="15" customHeight="1">
      <c r="B58" s="364"/>
      <c r="C58" s="640"/>
      <c r="D58" s="641"/>
      <c r="E58" s="641"/>
      <c r="F58" s="641"/>
      <c r="G58" s="641"/>
      <c r="H58" s="365"/>
      <c r="I58" s="642"/>
      <c r="J58" s="643"/>
      <c r="K58" s="644"/>
      <c r="L58" s="645"/>
      <c r="M58" s="646"/>
      <c r="N58" s="647"/>
    </row>
    <row r="59" spans="2:14" ht="15" customHeight="1">
      <c r="B59" s="364"/>
      <c r="C59" s="640"/>
      <c r="D59" s="641"/>
      <c r="E59" s="641"/>
      <c r="F59" s="641"/>
      <c r="G59" s="641"/>
      <c r="H59" s="365"/>
      <c r="I59" s="642"/>
      <c r="J59" s="643"/>
      <c r="K59" s="644"/>
      <c r="L59" s="645"/>
      <c r="M59" s="646"/>
      <c r="N59" s="647"/>
    </row>
    <row r="60" spans="2:14" ht="15" customHeight="1">
      <c r="B60" s="364"/>
      <c r="C60" s="640"/>
      <c r="D60" s="641"/>
      <c r="E60" s="641"/>
      <c r="F60" s="641"/>
      <c r="G60" s="641"/>
      <c r="H60" s="365"/>
      <c r="I60" s="642"/>
      <c r="J60" s="643"/>
      <c r="K60" s="644"/>
      <c r="L60" s="645"/>
      <c r="M60" s="646"/>
      <c r="N60" s="647"/>
    </row>
    <row r="61" spans="2:14" ht="15" customHeight="1">
      <c r="B61" s="364"/>
      <c r="C61" s="640"/>
      <c r="D61" s="641"/>
      <c r="E61" s="641"/>
      <c r="F61" s="641"/>
      <c r="G61" s="641"/>
      <c r="H61" s="365"/>
      <c r="I61" s="642"/>
      <c r="J61" s="643"/>
      <c r="K61" s="644"/>
      <c r="L61" s="645"/>
      <c r="M61" s="646"/>
      <c r="N61" s="647"/>
    </row>
    <row r="62" spans="2:14" ht="15" customHeight="1">
      <c r="B62" s="364"/>
      <c r="C62" s="640"/>
      <c r="D62" s="641"/>
      <c r="E62" s="641"/>
      <c r="F62" s="641"/>
      <c r="G62" s="641"/>
      <c r="H62" s="365"/>
      <c r="I62" s="642"/>
      <c r="J62" s="643"/>
      <c r="K62" s="644"/>
      <c r="L62" s="645"/>
      <c r="M62" s="646"/>
      <c r="N62" s="647"/>
    </row>
    <row r="63" spans="2:14" ht="15" customHeight="1">
      <c r="B63" s="364"/>
      <c r="C63" s="640"/>
      <c r="D63" s="641"/>
      <c r="E63" s="641"/>
      <c r="F63" s="641"/>
      <c r="G63" s="641"/>
      <c r="H63" s="365"/>
      <c r="I63" s="642"/>
      <c r="J63" s="643"/>
      <c r="K63" s="644"/>
      <c r="L63" s="645"/>
      <c r="M63" s="646"/>
      <c r="N63" s="647"/>
    </row>
    <row r="64" spans="2:14" ht="15" customHeight="1">
      <c r="B64" s="364"/>
      <c r="C64" s="640"/>
      <c r="D64" s="641"/>
      <c r="E64" s="641"/>
      <c r="F64" s="641"/>
      <c r="G64" s="641"/>
      <c r="H64" s="365"/>
      <c r="I64" s="642"/>
      <c r="J64" s="643"/>
      <c r="K64" s="644"/>
      <c r="L64" s="645"/>
      <c r="M64" s="646"/>
      <c r="N64" s="647"/>
    </row>
    <row r="65" spans="2:14" ht="15" customHeight="1">
      <c r="B65" s="364"/>
      <c r="C65" s="640"/>
      <c r="D65" s="641"/>
      <c r="E65" s="641"/>
      <c r="F65" s="641"/>
      <c r="G65" s="641"/>
      <c r="H65" s="365"/>
      <c r="I65" s="642"/>
      <c r="J65" s="643"/>
      <c r="K65" s="644"/>
      <c r="L65" s="645"/>
      <c r="M65" s="646"/>
      <c r="N65" s="647"/>
    </row>
    <row r="66" spans="2:14" ht="15" customHeight="1">
      <c r="B66" s="364"/>
      <c r="C66" s="640"/>
      <c r="D66" s="641"/>
      <c r="E66" s="641"/>
      <c r="F66" s="641"/>
      <c r="G66" s="641"/>
      <c r="H66" s="365"/>
      <c r="I66" s="642"/>
      <c r="J66" s="643"/>
      <c r="K66" s="644"/>
      <c r="L66" s="645"/>
      <c r="M66" s="646"/>
      <c r="N66" s="647"/>
    </row>
    <row r="67" spans="2:14" ht="15" customHeight="1">
      <c r="B67" s="364"/>
      <c r="C67" s="640"/>
      <c r="D67" s="641"/>
      <c r="E67" s="641"/>
      <c r="F67" s="641"/>
      <c r="G67" s="641"/>
      <c r="H67" s="365"/>
      <c r="I67" s="642"/>
      <c r="J67" s="643"/>
      <c r="K67" s="644"/>
      <c r="L67" s="645"/>
      <c r="M67" s="646"/>
      <c r="N67" s="647"/>
    </row>
    <row r="68" spans="2:14" ht="15" customHeight="1">
      <c r="B68" s="364"/>
      <c r="C68" s="640"/>
      <c r="D68" s="641"/>
      <c r="E68" s="641"/>
      <c r="F68" s="641"/>
      <c r="G68" s="641"/>
      <c r="H68" s="365"/>
      <c r="I68" s="642"/>
      <c r="J68" s="643"/>
      <c r="K68" s="644"/>
      <c r="L68" s="645"/>
      <c r="M68" s="646"/>
      <c r="N68" s="647"/>
    </row>
    <row r="69" spans="2:14" ht="15" customHeight="1">
      <c r="B69" s="364"/>
      <c r="C69" s="640"/>
      <c r="D69" s="641"/>
      <c r="E69" s="641"/>
      <c r="F69" s="641"/>
      <c r="G69" s="641"/>
      <c r="H69" s="365"/>
      <c r="I69" s="642"/>
      <c r="J69" s="643"/>
      <c r="K69" s="644"/>
      <c r="L69" s="645"/>
      <c r="M69" s="646"/>
      <c r="N69" s="647"/>
    </row>
    <row r="70" spans="2:14" ht="15" customHeight="1">
      <c r="B70" s="364"/>
      <c r="C70" s="640"/>
      <c r="D70" s="641"/>
      <c r="E70" s="641"/>
      <c r="F70" s="641"/>
      <c r="G70" s="641"/>
      <c r="H70" s="365"/>
      <c r="I70" s="642"/>
      <c r="J70" s="643"/>
      <c r="K70" s="644"/>
      <c r="L70" s="645"/>
      <c r="M70" s="646"/>
      <c r="N70" s="647"/>
    </row>
    <row r="71" spans="2:14" ht="15" customHeight="1">
      <c r="B71" s="364"/>
      <c r="C71" s="640"/>
      <c r="D71" s="641"/>
      <c r="E71" s="641"/>
      <c r="F71" s="641"/>
      <c r="G71" s="641"/>
      <c r="H71" s="365"/>
      <c r="I71" s="642"/>
      <c r="J71" s="643"/>
      <c r="K71" s="644"/>
      <c r="L71" s="645"/>
      <c r="M71" s="646"/>
      <c r="N71" s="647"/>
    </row>
    <row r="72" spans="2:14">
      <c r="B72" s="364"/>
      <c r="C72" s="640"/>
      <c r="D72" s="641"/>
      <c r="E72" s="641"/>
      <c r="F72" s="641"/>
      <c r="G72" s="641"/>
      <c r="H72" s="365"/>
      <c r="I72" s="642"/>
      <c r="J72" s="643"/>
      <c r="K72" s="644"/>
      <c r="L72" s="645"/>
      <c r="M72" s="646"/>
      <c r="N72" s="647"/>
    </row>
    <row r="73" spans="2:14">
      <c r="B73" s="364"/>
      <c r="C73" s="640"/>
      <c r="D73" s="641"/>
      <c r="E73" s="641"/>
      <c r="F73" s="641"/>
      <c r="G73" s="641"/>
      <c r="H73" s="365"/>
      <c r="I73" s="642"/>
      <c r="J73" s="643"/>
      <c r="K73" s="644"/>
      <c r="L73" s="645"/>
      <c r="M73" s="646"/>
      <c r="N73" s="647"/>
    </row>
    <row r="74" spans="2:14">
      <c r="B74" s="364"/>
      <c r="C74" s="640"/>
      <c r="D74" s="641"/>
      <c r="E74" s="641"/>
      <c r="F74" s="641"/>
      <c r="G74" s="641"/>
      <c r="H74" s="365"/>
      <c r="I74" s="642"/>
      <c r="J74" s="643"/>
      <c r="K74" s="644"/>
      <c r="L74" s="645"/>
      <c r="M74" s="646"/>
      <c r="N74" s="647"/>
    </row>
    <row r="75" spans="2:14">
      <c r="B75" s="364"/>
      <c r="C75" s="640"/>
      <c r="D75" s="641"/>
      <c r="E75" s="641"/>
      <c r="F75" s="641"/>
      <c r="G75" s="641"/>
      <c r="H75" s="365"/>
      <c r="I75" s="642"/>
      <c r="J75" s="643"/>
      <c r="K75" s="644"/>
      <c r="L75" s="645"/>
      <c r="M75" s="646"/>
      <c r="N75" s="647"/>
    </row>
    <row r="76" spans="2:14">
      <c r="B76" s="364"/>
      <c r="C76" s="640"/>
      <c r="D76" s="641"/>
      <c r="E76" s="641"/>
      <c r="F76" s="641"/>
      <c r="G76" s="641"/>
      <c r="H76" s="365"/>
      <c r="I76" s="642"/>
      <c r="J76" s="643"/>
      <c r="K76" s="644"/>
      <c r="L76" s="645"/>
      <c r="M76" s="646"/>
      <c r="N76" s="647"/>
    </row>
    <row r="77" spans="2:14">
      <c r="B77" s="364"/>
      <c r="C77" s="640"/>
      <c r="D77" s="641"/>
      <c r="E77" s="641"/>
      <c r="F77" s="641"/>
      <c r="G77" s="641"/>
      <c r="H77" s="365"/>
      <c r="I77" s="642"/>
      <c r="J77" s="643"/>
      <c r="K77" s="644"/>
      <c r="L77" s="645"/>
      <c r="M77" s="646"/>
      <c r="N77" s="647"/>
    </row>
    <row r="78" spans="2:14">
      <c r="B78" s="364"/>
      <c r="C78" s="640"/>
      <c r="D78" s="641"/>
      <c r="E78" s="641"/>
      <c r="F78" s="641"/>
      <c r="G78" s="641"/>
      <c r="H78" s="365"/>
      <c r="I78" s="642"/>
      <c r="J78" s="643"/>
      <c r="K78" s="644"/>
      <c r="L78" s="645"/>
      <c r="M78" s="646"/>
      <c r="N78" s="647"/>
    </row>
    <row r="79" spans="2:14" ht="13.5" thickBot="1">
      <c r="B79" s="366"/>
      <c r="C79" s="648"/>
      <c r="D79" s="649"/>
      <c r="E79" s="649"/>
      <c r="F79" s="649"/>
      <c r="G79" s="649"/>
      <c r="H79" s="367"/>
      <c r="I79" s="650"/>
      <c r="J79" s="651"/>
      <c r="K79" s="652"/>
      <c r="L79" s="653"/>
      <c r="M79" s="654"/>
      <c r="N79" s="655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61"/>
  <sheetViews>
    <sheetView workbookViewId="0"/>
  </sheetViews>
  <sheetFormatPr defaultRowHeight="12.75"/>
  <cols>
    <col min="1" max="1" width="19.7109375" style="395" customWidth="1"/>
    <col min="2" max="7" width="10.7109375" style="395" customWidth="1"/>
    <col min="8" max="16384" width="9.140625" style="395"/>
  </cols>
  <sheetData>
    <row r="1" spans="1:12" ht="21" customHeight="1">
      <c r="A1" s="394" t="s">
        <v>408</v>
      </c>
      <c r="B1" s="680" t="s">
        <v>447</v>
      </c>
      <c r="C1" s="680"/>
      <c r="D1" s="680"/>
      <c r="E1" s="680"/>
      <c r="F1" s="680"/>
      <c r="G1" s="680"/>
    </row>
    <row r="2" spans="1:12" ht="15" customHeight="1"/>
    <row r="3" spans="1:12" ht="20.25">
      <c r="A3" s="396" t="s">
        <v>409</v>
      </c>
    </row>
    <row r="4" spans="1:12" ht="12" customHeight="1">
      <c r="A4" s="397"/>
      <c r="B4" s="397"/>
      <c r="C4" s="397"/>
      <c r="D4" s="397" t="s">
        <v>448</v>
      </c>
      <c r="E4" s="397"/>
      <c r="F4" s="397"/>
      <c r="G4" s="397"/>
      <c r="H4" s="397"/>
      <c r="I4" s="397"/>
      <c r="J4" s="397"/>
      <c r="K4" s="397"/>
      <c r="L4" s="397"/>
    </row>
    <row r="5" spans="1:12" ht="15.6" customHeight="1">
      <c r="A5" s="398" t="s">
        <v>5</v>
      </c>
      <c r="B5" s="398" t="s">
        <v>410</v>
      </c>
      <c r="C5" s="398" t="s">
        <v>411</v>
      </c>
      <c r="D5" s="398" t="s">
        <v>412</v>
      </c>
      <c r="E5" s="398" t="s">
        <v>413</v>
      </c>
      <c r="F5" s="398" t="s">
        <v>414</v>
      </c>
      <c r="G5" s="398" t="s">
        <v>415</v>
      </c>
      <c r="H5" s="397"/>
      <c r="I5" s="397"/>
      <c r="J5" s="397"/>
      <c r="K5" s="397"/>
      <c r="L5" s="397"/>
    </row>
    <row r="6" spans="1:12" ht="15.6" customHeight="1">
      <c r="A6" s="399" t="s">
        <v>416</v>
      </c>
      <c r="B6" s="399" t="s">
        <v>165</v>
      </c>
      <c r="C6" s="399" t="s">
        <v>165</v>
      </c>
      <c r="D6" s="399" t="s">
        <v>417</v>
      </c>
      <c r="E6" s="399" t="s">
        <v>135</v>
      </c>
      <c r="F6" s="399" t="s">
        <v>418</v>
      </c>
      <c r="G6" s="399" t="s">
        <v>418</v>
      </c>
      <c r="H6" s="397"/>
      <c r="I6" s="397"/>
      <c r="J6" s="397"/>
      <c r="K6" s="397"/>
      <c r="L6" s="397"/>
    </row>
    <row r="7" spans="1:12" ht="15.95" customHeight="1">
      <c r="A7" s="400" t="s">
        <v>633</v>
      </c>
      <c r="B7" s="400" t="s">
        <v>449</v>
      </c>
      <c r="C7" s="400" t="s">
        <v>656</v>
      </c>
      <c r="D7" s="400" t="s">
        <v>668</v>
      </c>
      <c r="E7" s="400" t="s">
        <v>453</v>
      </c>
      <c r="F7" s="400" t="s">
        <v>681</v>
      </c>
      <c r="G7" s="400" t="s">
        <v>694</v>
      </c>
      <c r="H7" s="397"/>
      <c r="I7" s="397"/>
      <c r="J7" s="397"/>
      <c r="K7" s="397"/>
      <c r="L7" s="397"/>
    </row>
    <row r="8" spans="1:12" ht="15.95" customHeight="1">
      <c r="A8" s="400" t="s">
        <v>634</v>
      </c>
      <c r="B8" s="400" t="s">
        <v>646</v>
      </c>
      <c r="C8" s="400" t="s">
        <v>657</v>
      </c>
      <c r="D8" s="400" t="s">
        <v>669</v>
      </c>
      <c r="E8" s="400" t="s">
        <v>454</v>
      </c>
      <c r="F8" s="400" t="s">
        <v>682</v>
      </c>
      <c r="G8" s="400" t="s">
        <v>695</v>
      </c>
      <c r="H8" s="397"/>
      <c r="I8" s="397"/>
      <c r="J8" s="397"/>
      <c r="K8" s="397"/>
      <c r="L8" s="397"/>
    </row>
    <row r="9" spans="1:12" ht="15.95" customHeight="1">
      <c r="A9" s="400" t="s">
        <v>635</v>
      </c>
      <c r="B9" s="400" t="s">
        <v>647</v>
      </c>
      <c r="C9" s="400" t="s">
        <v>658</v>
      </c>
      <c r="D9" s="400" t="s">
        <v>670</v>
      </c>
      <c r="E9" s="400" t="s">
        <v>455</v>
      </c>
      <c r="F9" s="400" t="s">
        <v>683</v>
      </c>
      <c r="G9" s="400" t="s">
        <v>696</v>
      </c>
      <c r="H9" s="397"/>
      <c r="I9" s="397"/>
      <c r="J9" s="397"/>
      <c r="K9" s="397"/>
      <c r="L9" s="397"/>
    </row>
    <row r="10" spans="1:12" ht="15.95" customHeight="1">
      <c r="A10" s="400" t="s">
        <v>636</v>
      </c>
      <c r="B10" s="400" t="s">
        <v>648</v>
      </c>
      <c r="C10" s="400" t="s">
        <v>452</v>
      </c>
      <c r="D10" s="400" t="s">
        <v>671</v>
      </c>
      <c r="E10" s="400" t="s">
        <v>456</v>
      </c>
      <c r="F10" s="400" t="s">
        <v>684</v>
      </c>
      <c r="G10" s="400" t="s">
        <v>697</v>
      </c>
      <c r="H10" s="397"/>
      <c r="I10" s="397"/>
      <c r="J10" s="397"/>
      <c r="K10" s="397"/>
      <c r="L10" s="397"/>
    </row>
    <row r="11" spans="1:12" ht="15.95" customHeight="1">
      <c r="A11" s="400" t="s">
        <v>637</v>
      </c>
      <c r="B11" s="400" t="s">
        <v>649</v>
      </c>
      <c r="C11" s="400" t="s">
        <v>659</v>
      </c>
      <c r="D11" s="400" t="s">
        <v>672</v>
      </c>
      <c r="E11" s="400" t="s">
        <v>457</v>
      </c>
      <c r="F11" s="400" t="s">
        <v>685</v>
      </c>
      <c r="G11" s="400" t="s">
        <v>698</v>
      </c>
      <c r="H11" s="397"/>
      <c r="I11" s="397"/>
      <c r="J11" s="397"/>
      <c r="K11" s="397"/>
      <c r="L11" s="397"/>
    </row>
    <row r="12" spans="1:12" ht="15.95" customHeight="1">
      <c r="A12" s="400" t="s">
        <v>638</v>
      </c>
      <c r="B12" s="400" t="s">
        <v>650</v>
      </c>
      <c r="C12" s="400" t="s">
        <v>660</v>
      </c>
      <c r="D12" s="400" t="s">
        <v>673</v>
      </c>
      <c r="E12" s="400" t="s">
        <v>458</v>
      </c>
      <c r="F12" s="400" t="s">
        <v>686</v>
      </c>
      <c r="G12" s="400" t="s">
        <v>699</v>
      </c>
      <c r="H12" s="397"/>
      <c r="I12" s="397"/>
      <c r="J12" s="397"/>
      <c r="K12" s="397"/>
      <c r="L12" s="397"/>
    </row>
    <row r="13" spans="1:12" ht="15.95" customHeight="1">
      <c r="A13" s="400" t="s">
        <v>639</v>
      </c>
      <c r="B13" s="400" t="s">
        <v>651</v>
      </c>
      <c r="C13" s="400" t="s">
        <v>661</v>
      </c>
      <c r="D13" s="400" t="s">
        <v>674</v>
      </c>
      <c r="E13" s="400" t="s">
        <v>459</v>
      </c>
      <c r="F13" s="400" t="s">
        <v>687</v>
      </c>
      <c r="G13" s="400" t="s">
        <v>700</v>
      </c>
      <c r="H13" s="397"/>
      <c r="I13" s="397"/>
      <c r="J13" s="397"/>
      <c r="K13" s="397"/>
      <c r="L13" s="397"/>
    </row>
    <row r="14" spans="1:12" ht="15.95" customHeight="1">
      <c r="A14" s="400" t="s">
        <v>640</v>
      </c>
      <c r="B14" s="400" t="s">
        <v>652</v>
      </c>
      <c r="C14" s="400" t="s">
        <v>662</v>
      </c>
      <c r="D14" s="400" t="s">
        <v>675</v>
      </c>
      <c r="E14" s="400" t="s">
        <v>460</v>
      </c>
      <c r="F14" s="400" t="s">
        <v>688</v>
      </c>
      <c r="G14" s="400" t="s">
        <v>701</v>
      </c>
      <c r="H14" s="397"/>
      <c r="I14" s="397"/>
      <c r="J14" s="397"/>
      <c r="K14" s="397"/>
      <c r="L14" s="397"/>
    </row>
    <row r="15" spans="1:12" ht="15.95" customHeight="1">
      <c r="A15" s="400" t="s">
        <v>641</v>
      </c>
      <c r="B15" s="400" t="s">
        <v>653</v>
      </c>
      <c r="C15" s="400" t="s">
        <v>663</v>
      </c>
      <c r="D15" s="400" t="s">
        <v>676</v>
      </c>
      <c r="E15" s="400" t="s">
        <v>461</v>
      </c>
      <c r="F15" s="400" t="s">
        <v>689</v>
      </c>
      <c r="G15" s="400" t="s">
        <v>702</v>
      </c>
      <c r="H15" s="397"/>
      <c r="I15" s="397"/>
      <c r="J15" s="397"/>
      <c r="K15" s="397"/>
      <c r="L15" s="397"/>
    </row>
    <row r="16" spans="1:12" ht="15.95" customHeight="1">
      <c r="A16" s="400" t="s">
        <v>642</v>
      </c>
      <c r="B16" s="400" t="s">
        <v>654</v>
      </c>
      <c r="C16" s="400" t="s">
        <v>664</v>
      </c>
      <c r="D16" s="400" t="s">
        <v>677</v>
      </c>
      <c r="E16" s="400" t="s">
        <v>462</v>
      </c>
      <c r="F16" s="400" t="s">
        <v>690</v>
      </c>
      <c r="G16" s="400" t="s">
        <v>703</v>
      </c>
      <c r="H16" s="397"/>
      <c r="I16" s="397"/>
      <c r="J16" s="397"/>
      <c r="K16" s="397"/>
      <c r="L16" s="397"/>
    </row>
    <row r="17" spans="1:12" ht="15.95" customHeight="1">
      <c r="A17" s="400" t="s">
        <v>643</v>
      </c>
      <c r="B17" s="400" t="s">
        <v>655</v>
      </c>
      <c r="C17" s="400" t="s">
        <v>665</v>
      </c>
      <c r="D17" s="400" t="s">
        <v>678</v>
      </c>
      <c r="E17" s="400" t="s">
        <v>463</v>
      </c>
      <c r="F17" s="400" t="s">
        <v>691</v>
      </c>
      <c r="G17" s="400" t="s">
        <v>704</v>
      </c>
      <c r="H17" s="397"/>
      <c r="I17" s="397"/>
      <c r="J17" s="397"/>
      <c r="K17" s="397"/>
      <c r="L17" s="397"/>
    </row>
    <row r="18" spans="1:12" ht="15.95" customHeight="1">
      <c r="A18" s="400" t="s">
        <v>644</v>
      </c>
      <c r="B18" s="400" t="s">
        <v>450</v>
      </c>
      <c r="C18" s="400" t="s">
        <v>666</v>
      </c>
      <c r="D18" s="400" t="s">
        <v>679</v>
      </c>
      <c r="E18" s="400" t="s">
        <v>464</v>
      </c>
      <c r="F18" s="400" t="s">
        <v>692</v>
      </c>
      <c r="G18" s="400" t="s">
        <v>705</v>
      </c>
      <c r="H18" s="397"/>
      <c r="I18" s="397"/>
      <c r="J18" s="397"/>
      <c r="K18" s="397"/>
      <c r="L18" s="397"/>
    </row>
    <row r="19" spans="1:12" ht="15.95" customHeight="1">
      <c r="A19" s="400" t="s">
        <v>645</v>
      </c>
      <c r="B19" s="400" t="s">
        <v>451</v>
      </c>
      <c r="C19" s="400" t="s">
        <v>667</v>
      </c>
      <c r="D19" s="400" t="s">
        <v>680</v>
      </c>
      <c r="E19" s="400" t="s">
        <v>465</v>
      </c>
      <c r="F19" s="400" t="s">
        <v>693</v>
      </c>
      <c r="G19" s="400" t="s">
        <v>706</v>
      </c>
      <c r="H19" s="397"/>
      <c r="I19" s="397"/>
      <c r="J19" s="397"/>
      <c r="K19" s="397"/>
      <c r="L19" s="397"/>
    </row>
    <row r="20" spans="1:12" ht="15.75">
      <c r="A20" s="397"/>
      <c r="B20" s="397"/>
      <c r="C20" s="397"/>
      <c r="D20" s="397"/>
      <c r="E20" s="397"/>
      <c r="F20" s="397"/>
      <c r="G20" s="397"/>
      <c r="H20" s="397"/>
      <c r="I20" s="397"/>
      <c r="J20" s="397"/>
      <c r="K20" s="397"/>
      <c r="L20" s="397"/>
    </row>
    <row r="21" spans="1:12" ht="15.75">
      <c r="A21" s="397"/>
      <c r="B21" s="397"/>
      <c r="C21" s="397"/>
      <c r="D21" s="681" t="s">
        <v>467</v>
      </c>
      <c r="E21" s="677"/>
      <c r="F21" s="677"/>
      <c r="G21" s="678"/>
      <c r="H21" s="397"/>
      <c r="I21" s="397"/>
      <c r="J21" s="397"/>
      <c r="K21" s="397"/>
      <c r="L21" s="397"/>
    </row>
    <row r="22" spans="1:12" ht="17.25" customHeight="1">
      <c r="A22" s="397"/>
      <c r="B22" s="679" t="s">
        <v>419</v>
      </c>
      <c r="C22" s="679"/>
      <c r="D22" s="679" t="s">
        <v>420</v>
      </c>
      <c r="E22" s="679"/>
      <c r="F22" s="679" t="s">
        <v>421</v>
      </c>
      <c r="G22" s="679"/>
      <c r="H22" s="397"/>
      <c r="I22" s="397"/>
      <c r="J22" s="397"/>
      <c r="K22" s="397"/>
      <c r="L22" s="397"/>
    </row>
    <row r="23" spans="1:12" ht="15.75">
      <c r="A23" s="401" t="s">
        <v>422</v>
      </c>
      <c r="B23" s="675" t="s">
        <v>707</v>
      </c>
      <c r="C23" s="675"/>
      <c r="D23" s="675" t="s">
        <v>710</v>
      </c>
      <c r="E23" s="675"/>
      <c r="F23" s="675" t="s">
        <v>712</v>
      </c>
      <c r="G23" s="675"/>
      <c r="H23" s="397"/>
      <c r="I23" s="397"/>
      <c r="J23" s="397"/>
      <c r="K23" s="397"/>
      <c r="L23" s="397"/>
    </row>
    <row r="24" spans="1:12" ht="18" customHeight="1">
      <c r="A24" s="401" t="s">
        <v>423</v>
      </c>
      <c r="B24" s="675" t="s">
        <v>708</v>
      </c>
      <c r="C24" s="675"/>
      <c r="D24" s="675" t="s">
        <v>711</v>
      </c>
      <c r="E24" s="675"/>
      <c r="F24" s="675" t="s">
        <v>713</v>
      </c>
      <c r="G24" s="675"/>
      <c r="H24" s="397"/>
      <c r="I24" s="397"/>
      <c r="J24" s="397"/>
      <c r="K24" s="397"/>
      <c r="L24" s="397"/>
    </row>
    <row r="25" spans="1:12" ht="15.75">
      <c r="A25" s="401" t="s">
        <v>424</v>
      </c>
      <c r="B25" s="675" t="s">
        <v>709</v>
      </c>
      <c r="C25" s="675"/>
      <c r="D25" s="675" t="s">
        <v>466</v>
      </c>
      <c r="E25" s="675"/>
      <c r="F25" s="675" t="s">
        <v>714</v>
      </c>
      <c r="G25" s="675"/>
      <c r="H25" s="397"/>
      <c r="I25" s="397"/>
      <c r="J25" s="397"/>
      <c r="K25" s="397"/>
      <c r="L25" s="397"/>
    </row>
    <row r="26" spans="1:12" ht="15.75">
      <c r="A26" s="397"/>
      <c r="B26" s="397"/>
      <c r="C26" s="397"/>
      <c r="D26" s="397"/>
      <c r="E26" s="397"/>
      <c r="F26" s="397"/>
      <c r="G26" s="397"/>
      <c r="H26" s="397"/>
      <c r="I26" s="397"/>
      <c r="J26" s="397"/>
      <c r="K26" s="397"/>
      <c r="L26" s="397"/>
    </row>
    <row r="27" spans="1:12" ht="20.25">
      <c r="A27" s="396" t="s">
        <v>425</v>
      </c>
      <c r="B27" s="397"/>
      <c r="C27" s="397"/>
      <c r="D27" s="397"/>
      <c r="E27" s="397"/>
      <c r="F27" s="397"/>
      <c r="G27" s="397"/>
      <c r="H27" s="397"/>
      <c r="I27" s="397"/>
      <c r="J27" s="397"/>
      <c r="K27" s="397"/>
      <c r="L27" s="397"/>
    </row>
    <row r="28" spans="1:12" ht="15.75">
      <c r="A28" s="397"/>
      <c r="B28" s="397"/>
      <c r="C28" s="397"/>
      <c r="D28" s="397"/>
      <c r="E28" s="676" t="s">
        <v>426</v>
      </c>
      <c r="F28" s="677"/>
      <c r="G28" s="678"/>
      <c r="H28" s="397"/>
      <c r="I28" s="397"/>
      <c r="J28" s="397"/>
      <c r="K28" s="397"/>
      <c r="L28" s="397"/>
    </row>
    <row r="29" spans="1:12" ht="15.75">
      <c r="A29" s="397"/>
      <c r="B29" s="679" t="s">
        <v>427</v>
      </c>
      <c r="C29" s="679"/>
      <c r="D29" s="402" t="s">
        <v>428</v>
      </c>
      <c r="E29" s="402" t="s">
        <v>429</v>
      </c>
      <c r="F29" s="679" t="s">
        <v>430</v>
      </c>
      <c r="G29" s="679"/>
      <c r="H29" s="397"/>
      <c r="I29" s="397"/>
      <c r="J29" s="397"/>
      <c r="K29" s="397"/>
      <c r="L29" s="397"/>
    </row>
    <row r="30" spans="1:12" ht="15.75">
      <c r="A30" s="401" t="s">
        <v>431</v>
      </c>
      <c r="B30" s="675" t="s">
        <v>468</v>
      </c>
      <c r="C30" s="675"/>
      <c r="D30" s="400" t="s">
        <v>471</v>
      </c>
      <c r="E30" s="400" t="s">
        <v>432</v>
      </c>
      <c r="F30" s="675" t="s">
        <v>474</v>
      </c>
      <c r="G30" s="675"/>
      <c r="H30" s="397"/>
      <c r="I30" s="397"/>
      <c r="J30" s="397"/>
      <c r="K30" s="397"/>
      <c r="L30" s="397"/>
    </row>
    <row r="31" spans="1:12" ht="15.75">
      <c r="A31" s="401" t="s">
        <v>433</v>
      </c>
      <c r="B31" s="675" t="s">
        <v>469</v>
      </c>
      <c r="C31" s="675"/>
      <c r="D31" s="400" t="s">
        <v>472</v>
      </c>
      <c r="E31" s="400" t="s">
        <v>434</v>
      </c>
      <c r="F31" s="675" t="s">
        <v>475</v>
      </c>
      <c r="G31" s="675"/>
      <c r="H31" s="397"/>
      <c r="I31" s="397"/>
      <c r="J31" s="397"/>
      <c r="K31" s="397"/>
      <c r="L31" s="397"/>
    </row>
    <row r="32" spans="1:12" ht="15.75">
      <c r="A32" s="401" t="s">
        <v>435</v>
      </c>
      <c r="B32" s="675" t="s">
        <v>470</v>
      </c>
      <c r="C32" s="675"/>
      <c r="D32" s="400" t="s">
        <v>473</v>
      </c>
      <c r="E32" s="400" t="s">
        <v>436</v>
      </c>
      <c r="F32" s="675" t="s">
        <v>476</v>
      </c>
      <c r="G32" s="675"/>
      <c r="H32" s="397"/>
      <c r="I32" s="397"/>
      <c r="J32" s="397"/>
      <c r="K32" s="397"/>
      <c r="L32" s="397"/>
    </row>
    <row r="33" spans="1:12" ht="15.75">
      <c r="A33" s="397"/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</row>
    <row r="34" spans="1:12" ht="15.75">
      <c r="A34" s="397"/>
      <c r="B34" s="397"/>
      <c r="C34" s="397"/>
      <c r="D34" s="397"/>
      <c r="E34" s="676" t="s">
        <v>437</v>
      </c>
      <c r="F34" s="677"/>
      <c r="G34" s="678"/>
      <c r="H34" s="397"/>
      <c r="I34" s="397"/>
      <c r="J34" s="397"/>
      <c r="K34" s="397"/>
      <c r="L34" s="397"/>
    </row>
    <row r="35" spans="1:12" ht="15.75">
      <c r="A35" s="397"/>
      <c r="B35" s="679" t="s">
        <v>438</v>
      </c>
      <c r="C35" s="679"/>
      <c r="D35" s="402" t="s">
        <v>429</v>
      </c>
      <c r="E35" s="402" t="s">
        <v>439</v>
      </c>
      <c r="F35" s="402" t="s">
        <v>100</v>
      </c>
      <c r="G35" s="402" t="s">
        <v>440</v>
      </c>
      <c r="H35" s="397"/>
      <c r="I35" s="397"/>
      <c r="J35" s="397"/>
      <c r="K35" s="397"/>
      <c r="L35" s="397"/>
    </row>
    <row r="36" spans="1:12" ht="15.75">
      <c r="A36" s="401" t="s">
        <v>431</v>
      </c>
      <c r="B36" s="671" t="s">
        <v>477</v>
      </c>
      <c r="C36" s="672"/>
      <c r="D36" s="403" t="s">
        <v>479</v>
      </c>
      <c r="E36" s="403" t="s">
        <v>441</v>
      </c>
      <c r="F36" s="404" t="s">
        <v>442</v>
      </c>
      <c r="G36" s="400" t="s">
        <v>482</v>
      </c>
      <c r="H36" s="397"/>
      <c r="I36" s="397"/>
      <c r="J36" s="397"/>
      <c r="K36" s="397"/>
      <c r="L36" s="397"/>
    </row>
    <row r="37" spans="1:12" ht="15.75">
      <c r="A37" s="401" t="s">
        <v>433</v>
      </c>
      <c r="B37" s="671" t="s">
        <v>478</v>
      </c>
      <c r="C37" s="672"/>
      <c r="D37" s="403" t="s">
        <v>480</v>
      </c>
      <c r="E37" s="403" t="s">
        <v>441</v>
      </c>
      <c r="F37" s="404" t="s">
        <v>443</v>
      </c>
      <c r="G37" s="405" t="s">
        <v>483</v>
      </c>
      <c r="H37" s="397"/>
      <c r="I37" s="397"/>
      <c r="J37" s="397"/>
      <c r="K37" s="397"/>
      <c r="L37" s="397"/>
    </row>
    <row r="38" spans="1:12" ht="15.75">
      <c r="A38" s="401" t="s">
        <v>435</v>
      </c>
      <c r="B38" s="671" t="s">
        <v>478</v>
      </c>
      <c r="C38" s="672"/>
      <c r="D38" s="403" t="s">
        <v>481</v>
      </c>
      <c r="E38" s="403" t="s">
        <v>441</v>
      </c>
      <c r="F38" s="404" t="s">
        <v>444</v>
      </c>
      <c r="G38" s="400" t="s">
        <v>484</v>
      </c>
      <c r="H38" s="397"/>
      <c r="I38" s="397"/>
      <c r="J38" s="397"/>
      <c r="K38" s="397"/>
      <c r="L38" s="397"/>
    </row>
    <row r="39" spans="1:12" ht="15.75">
      <c r="A39" s="397"/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</row>
    <row r="40" spans="1:12" ht="15.75">
      <c r="A40" s="406" t="s">
        <v>445</v>
      </c>
      <c r="B40" s="673" t="s">
        <v>485</v>
      </c>
      <c r="C40" s="673"/>
      <c r="D40" s="674" t="s">
        <v>446</v>
      </c>
      <c r="E40" s="674"/>
      <c r="F40" s="673" t="s">
        <v>486</v>
      </c>
      <c r="G40" s="673"/>
      <c r="H40" s="397"/>
      <c r="I40" s="397"/>
      <c r="J40" s="397"/>
      <c r="K40" s="397"/>
      <c r="L40" s="397"/>
    </row>
    <row r="41" spans="1:12" ht="15.75">
      <c r="A41" s="397"/>
      <c r="B41" s="397"/>
      <c r="C41" s="397"/>
      <c r="D41" s="397"/>
      <c r="E41" s="397"/>
      <c r="F41" s="397"/>
      <c r="G41" s="397"/>
      <c r="H41" s="397"/>
      <c r="I41" s="397"/>
      <c r="J41" s="397"/>
      <c r="K41" s="397"/>
      <c r="L41" s="397"/>
    </row>
    <row r="42" spans="1:12" ht="15.75">
      <c r="A42" s="397"/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</row>
    <row r="43" spans="1:12" ht="15.75">
      <c r="A43" s="397"/>
      <c r="B43" s="397"/>
      <c r="C43" s="397"/>
      <c r="D43" s="397"/>
      <c r="E43" s="397"/>
      <c r="F43" s="397"/>
      <c r="G43" s="397"/>
      <c r="H43" s="397"/>
      <c r="I43" s="397"/>
      <c r="J43" s="397"/>
      <c r="K43" s="397"/>
      <c r="L43" s="397"/>
    </row>
    <row r="44" spans="1:12" ht="15.75">
      <c r="A44" s="397"/>
      <c r="B44" s="397"/>
      <c r="C44" s="397"/>
      <c r="D44" s="397"/>
      <c r="E44" s="397"/>
      <c r="F44" s="397"/>
      <c r="G44" s="397"/>
      <c r="H44" s="397"/>
      <c r="I44" s="397"/>
      <c r="J44" s="397"/>
      <c r="K44" s="397"/>
      <c r="L44" s="397"/>
    </row>
    <row r="45" spans="1:12" ht="15.75">
      <c r="A45" s="397"/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</row>
    <row r="46" spans="1:12" ht="15.75">
      <c r="A46" s="397"/>
      <c r="B46" s="397"/>
      <c r="C46" s="397"/>
      <c r="D46" s="397"/>
      <c r="E46" s="397"/>
      <c r="F46" s="397"/>
      <c r="G46" s="397"/>
      <c r="H46" s="397"/>
      <c r="I46" s="397"/>
      <c r="J46" s="397"/>
      <c r="K46" s="397"/>
      <c r="L46" s="397"/>
    </row>
    <row r="47" spans="1:12" ht="15.75">
      <c r="A47" s="397"/>
      <c r="B47" s="397"/>
      <c r="C47" s="397"/>
      <c r="D47" s="397"/>
      <c r="E47" s="397"/>
      <c r="F47" s="397"/>
      <c r="G47" s="397"/>
      <c r="H47" s="397"/>
      <c r="I47" s="397"/>
      <c r="J47" s="397"/>
      <c r="K47" s="397"/>
      <c r="L47" s="397"/>
    </row>
    <row r="48" spans="1:12" ht="15.75">
      <c r="A48" s="397"/>
      <c r="B48" s="397"/>
      <c r="C48" s="397"/>
      <c r="D48" s="397"/>
      <c r="E48" s="397"/>
      <c r="F48" s="397"/>
      <c r="G48" s="397"/>
      <c r="H48" s="397"/>
      <c r="I48" s="397"/>
      <c r="J48" s="397"/>
      <c r="K48" s="397"/>
      <c r="L48" s="397"/>
    </row>
    <row r="49" spans="1:12" ht="15.75">
      <c r="A49" s="397"/>
      <c r="B49" s="397"/>
      <c r="C49" s="397"/>
      <c r="D49" s="397"/>
      <c r="E49" s="397"/>
      <c r="F49" s="397"/>
      <c r="G49" s="397"/>
      <c r="H49" s="397"/>
      <c r="I49" s="397"/>
      <c r="J49" s="397"/>
      <c r="K49" s="397"/>
      <c r="L49" s="397"/>
    </row>
    <row r="50" spans="1:12" ht="15.75">
      <c r="A50" s="397"/>
      <c r="B50" s="397"/>
      <c r="C50" s="397"/>
      <c r="D50" s="397"/>
      <c r="E50" s="397"/>
      <c r="F50" s="397"/>
      <c r="G50" s="397"/>
      <c r="H50" s="397"/>
      <c r="I50" s="397"/>
      <c r="J50" s="397"/>
      <c r="K50" s="397"/>
      <c r="L50" s="397"/>
    </row>
    <row r="51" spans="1:12" ht="15.75">
      <c r="A51" s="397"/>
      <c r="B51" s="397"/>
      <c r="C51" s="397"/>
      <c r="D51" s="397"/>
      <c r="E51" s="397"/>
      <c r="F51" s="397"/>
      <c r="G51" s="397"/>
      <c r="H51" s="397"/>
      <c r="I51" s="397"/>
      <c r="J51" s="397"/>
      <c r="K51" s="397"/>
      <c r="L51" s="397"/>
    </row>
    <row r="52" spans="1:12" ht="15.75">
      <c r="A52" s="397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</row>
    <row r="53" spans="1:12" ht="15.75">
      <c r="A53" s="397"/>
      <c r="B53" s="397"/>
      <c r="C53" s="397"/>
      <c r="D53" s="397"/>
      <c r="E53" s="397"/>
      <c r="F53" s="397"/>
      <c r="G53" s="397"/>
      <c r="H53" s="397"/>
      <c r="I53" s="397"/>
      <c r="J53" s="397"/>
      <c r="K53" s="397"/>
      <c r="L53" s="397"/>
    </row>
    <row r="54" spans="1:12" ht="15.75">
      <c r="A54" s="397"/>
      <c r="B54" s="397"/>
      <c r="C54" s="397"/>
      <c r="D54" s="397"/>
      <c r="E54" s="397"/>
      <c r="F54" s="397"/>
      <c r="G54" s="397"/>
      <c r="H54" s="397"/>
      <c r="I54" s="397"/>
      <c r="J54" s="397"/>
      <c r="K54" s="397"/>
      <c r="L54" s="397"/>
    </row>
    <row r="55" spans="1:12" ht="15.75">
      <c r="A55" s="397"/>
      <c r="B55" s="397"/>
      <c r="C55" s="397"/>
      <c r="D55" s="397"/>
      <c r="E55" s="397"/>
      <c r="F55" s="397"/>
      <c r="G55" s="397"/>
      <c r="H55" s="397"/>
      <c r="I55" s="397"/>
      <c r="J55" s="397"/>
      <c r="K55" s="397"/>
      <c r="L55" s="397"/>
    </row>
    <row r="56" spans="1:12" ht="15.75">
      <c r="A56" s="397"/>
      <c r="B56" s="397"/>
      <c r="C56" s="397"/>
      <c r="D56" s="397"/>
      <c r="E56" s="397"/>
      <c r="F56" s="397"/>
      <c r="G56" s="397"/>
      <c r="H56" s="397"/>
      <c r="I56" s="397"/>
      <c r="J56" s="397"/>
      <c r="K56" s="397"/>
      <c r="L56" s="397"/>
    </row>
    <row r="57" spans="1:12" ht="15.75">
      <c r="A57" s="397"/>
      <c r="B57" s="397"/>
      <c r="C57" s="397"/>
      <c r="D57" s="397"/>
      <c r="E57" s="397"/>
      <c r="F57" s="397"/>
      <c r="G57" s="397"/>
      <c r="H57" s="397"/>
      <c r="I57" s="397"/>
      <c r="J57" s="397"/>
      <c r="K57" s="397"/>
      <c r="L57" s="397"/>
    </row>
    <row r="58" spans="1:12" ht="15.75">
      <c r="A58" s="397"/>
      <c r="B58" s="397"/>
      <c r="C58" s="397"/>
      <c r="D58" s="397"/>
      <c r="E58" s="397"/>
      <c r="F58" s="397"/>
      <c r="G58" s="397"/>
      <c r="H58" s="397"/>
      <c r="I58" s="397"/>
      <c r="J58" s="397"/>
      <c r="K58" s="397"/>
      <c r="L58" s="397"/>
    </row>
    <row r="59" spans="1:12" ht="15.75">
      <c r="A59" s="397"/>
      <c r="B59" s="397"/>
      <c r="C59" s="397"/>
      <c r="D59" s="397"/>
      <c r="E59" s="397"/>
      <c r="F59" s="397"/>
      <c r="G59" s="397"/>
      <c r="H59" s="397"/>
      <c r="I59" s="397"/>
      <c r="J59" s="397"/>
      <c r="K59" s="397"/>
      <c r="L59" s="397"/>
    </row>
    <row r="60" spans="1:12" ht="15.75">
      <c r="A60" s="397"/>
      <c r="B60" s="397"/>
      <c r="C60" s="397"/>
      <c r="D60" s="397"/>
      <c r="E60" s="397"/>
      <c r="F60" s="397"/>
      <c r="G60" s="397"/>
      <c r="H60" s="397"/>
      <c r="I60" s="397"/>
      <c r="J60" s="397"/>
      <c r="K60" s="397"/>
      <c r="L60" s="397"/>
    </row>
    <row r="61" spans="1:12" ht="15.75">
      <c r="A61" s="397"/>
      <c r="B61" s="397"/>
      <c r="C61" s="397"/>
      <c r="D61" s="397"/>
      <c r="E61" s="397"/>
      <c r="F61" s="397"/>
      <c r="G61" s="397"/>
      <c r="H61" s="397"/>
      <c r="I61" s="397"/>
      <c r="J61" s="397"/>
      <c r="K61" s="397"/>
      <c r="L61" s="397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4"/>
  <dimension ref="A1:N120"/>
  <sheetViews>
    <sheetView showGridLines="0" zoomScaleNormal="100" workbookViewId="0">
      <selection activeCell="L19" sqref="L19"/>
    </sheetView>
  </sheetViews>
  <sheetFormatPr defaultColWidth="12.5703125" defaultRowHeight="15.75"/>
  <cols>
    <col min="1" max="13" width="7" style="461" customWidth="1"/>
    <col min="14" max="14" width="7.140625" style="461" customWidth="1"/>
    <col min="15" max="16384" width="12.5703125" style="461"/>
  </cols>
  <sheetData>
    <row r="1" spans="1:14" ht="17.100000000000001" customHeight="1">
      <c r="A1" s="454" t="s">
        <v>268</v>
      </c>
      <c r="B1" s="455"/>
      <c r="C1" s="455"/>
      <c r="D1" s="455"/>
      <c r="E1" s="455"/>
      <c r="F1" s="455"/>
      <c r="G1" s="455"/>
      <c r="H1" s="455"/>
      <c r="I1" s="455"/>
      <c r="J1" s="456" t="s">
        <v>519</v>
      </c>
      <c r="K1" s="457"/>
      <c r="L1" s="458" t="s">
        <v>520</v>
      </c>
      <c r="M1" s="459"/>
      <c r="N1" s="460"/>
    </row>
    <row r="2" spans="1:14" ht="17.100000000000001" customHeight="1">
      <c r="A2" s="462" t="s">
        <v>521</v>
      </c>
      <c r="B2" s="463"/>
      <c r="C2" s="463"/>
      <c r="D2" s="463"/>
      <c r="E2" s="463"/>
      <c r="F2" s="463"/>
      <c r="G2" s="463"/>
      <c r="H2" s="463"/>
      <c r="I2" s="463"/>
      <c r="J2" s="464" t="s">
        <v>522</v>
      </c>
      <c r="K2" s="465"/>
      <c r="L2" s="466" t="s">
        <v>523</v>
      </c>
      <c r="M2" s="467"/>
      <c r="N2" s="460"/>
    </row>
    <row r="3" spans="1:14" ht="15.95" customHeight="1">
      <c r="A3" s="468"/>
      <c r="B3" s="469"/>
      <c r="C3" s="469"/>
      <c r="D3" s="469"/>
      <c r="E3" s="469"/>
      <c r="F3" s="469"/>
      <c r="G3" s="469"/>
      <c r="H3" s="469"/>
      <c r="I3" s="469"/>
      <c r="J3" s="464" t="s">
        <v>524</v>
      </c>
      <c r="K3" s="465"/>
      <c r="L3" s="470" t="s">
        <v>525</v>
      </c>
      <c r="M3" s="467"/>
      <c r="N3" s="460"/>
    </row>
    <row r="4" spans="1:14" ht="15.95" customHeight="1">
      <c r="A4" s="471"/>
      <c r="B4" s="469"/>
      <c r="C4" s="469"/>
      <c r="D4" s="469"/>
      <c r="E4" s="469"/>
      <c r="F4" s="469"/>
      <c r="G4" s="469"/>
      <c r="H4" s="469"/>
      <c r="I4" s="469"/>
      <c r="J4" s="464" t="s">
        <v>526</v>
      </c>
      <c r="K4" s="465"/>
      <c r="L4" s="472" t="s">
        <v>527</v>
      </c>
      <c r="M4" s="467"/>
      <c r="N4" s="460"/>
    </row>
    <row r="5" spans="1:14" ht="15.95" customHeight="1">
      <c r="A5" s="468"/>
      <c r="B5" s="469"/>
      <c r="C5" s="469"/>
      <c r="D5" s="469"/>
      <c r="E5" s="469"/>
      <c r="F5" s="469"/>
      <c r="G5" s="469"/>
      <c r="H5" s="469"/>
      <c r="I5" s="469"/>
      <c r="J5" s="464" t="s">
        <v>528</v>
      </c>
      <c r="K5" s="465"/>
      <c r="L5" s="466">
        <v>2</v>
      </c>
      <c r="M5" s="467"/>
      <c r="N5" s="460"/>
    </row>
    <row r="6" spans="1:14" ht="15.95" customHeight="1">
      <c r="A6" s="473" t="s">
        <v>529</v>
      </c>
      <c r="B6" s="469"/>
      <c r="C6" s="469"/>
      <c r="D6" s="469"/>
      <c r="E6" s="469"/>
      <c r="F6" s="469"/>
      <c r="G6" s="469"/>
      <c r="H6" s="469"/>
      <c r="I6" s="469"/>
      <c r="J6" s="464" t="s">
        <v>530</v>
      </c>
      <c r="K6" s="465"/>
      <c r="L6" s="474" t="s">
        <v>531</v>
      </c>
      <c r="M6" s="467"/>
      <c r="N6" s="460"/>
    </row>
    <row r="7" spans="1:14" ht="15.95" customHeight="1" thickBot="1">
      <c r="A7" s="475" t="s">
        <v>532</v>
      </c>
      <c r="B7" s="476"/>
      <c r="C7" s="476"/>
      <c r="D7" s="476"/>
      <c r="E7" s="476"/>
      <c r="F7" s="476"/>
      <c r="G7" s="476"/>
      <c r="H7" s="476"/>
      <c r="I7" s="476"/>
      <c r="J7" s="477" t="s">
        <v>533</v>
      </c>
      <c r="K7" s="478"/>
      <c r="L7" s="479" t="s">
        <v>534</v>
      </c>
      <c r="M7" s="480"/>
      <c r="N7" s="460"/>
    </row>
    <row r="8" spans="1:14" ht="15.95" customHeight="1">
      <c r="A8" s="481"/>
      <c r="B8" s="469"/>
      <c r="C8" s="469"/>
      <c r="D8" s="469"/>
      <c r="E8" s="469"/>
      <c r="F8" s="469"/>
      <c r="G8" s="469"/>
      <c r="H8" s="469"/>
      <c r="I8" s="469"/>
      <c r="J8" s="469"/>
      <c r="K8" s="482"/>
      <c r="L8" s="483"/>
      <c r="M8" s="484"/>
      <c r="N8" s="469"/>
    </row>
    <row r="9" spans="1:14" ht="12" customHeight="1">
      <c r="A9" s="485"/>
      <c r="B9" s="486" t="s">
        <v>535</v>
      </c>
      <c r="C9" s="487" t="s">
        <v>626</v>
      </c>
      <c r="D9" s="488"/>
      <c r="E9" s="488"/>
      <c r="F9" s="488"/>
      <c r="G9" s="488"/>
      <c r="H9" s="488"/>
      <c r="I9" s="488"/>
      <c r="J9" s="488"/>
      <c r="K9" s="489"/>
      <c r="L9" s="490"/>
      <c r="M9" s="488"/>
      <c r="N9" s="469"/>
    </row>
    <row r="10" spans="1:14" ht="12" customHeight="1">
      <c r="A10" s="485"/>
      <c r="B10" s="486" t="s">
        <v>536</v>
      </c>
      <c r="C10" s="491" t="s">
        <v>627</v>
      </c>
      <c r="D10" s="490"/>
      <c r="E10" s="490"/>
      <c r="F10" s="490"/>
      <c r="G10" s="490"/>
      <c r="H10" s="490"/>
      <c r="I10" s="490"/>
      <c r="J10" s="490"/>
      <c r="K10" s="490"/>
      <c r="L10" s="490"/>
      <c r="M10" s="490"/>
      <c r="N10" s="483"/>
    </row>
    <row r="11" spans="1:14" ht="16.5" thickBot="1">
      <c r="A11" s="492"/>
      <c r="B11" s="492"/>
      <c r="C11" s="492"/>
      <c r="D11" s="492"/>
      <c r="E11" s="492"/>
      <c r="F11" s="492"/>
      <c r="G11" s="492"/>
      <c r="H11" s="492"/>
      <c r="I11" s="492"/>
      <c r="J11" s="492"/>
      <c r="K11" s="492"/>
      <c r="L11" s="492"/>
      <c r="M11" s="492"/>
      <c r="N11" s="492"/>
    </row>
    <row r="12" spans="1:14" ht="20.100000000000001" customHeight="1" thickBot="1">
      <c r="A12" s="493" t="s">
        <v>537</v>
      </c>
      <c r="B12" s="494"/>
      <c r="C12" s="494"/>
      <c r="D12" s="494"/>
      <c r="E12" s="494"/>
      <c r="F12" s="494"/>
      <c r="G12" s="494"/>
      <c r="H12" s="494"/>
      <c r="I12" s="494"/>
      <c r="J12" s="494"/>
      <c r="K12" s="494"/>
      <c r="L12" s="494"/>
      <c r="M12" s="495"/>
      <c r="N12" s="460"/>
    </row>
    <row r="13" spans="1:14" ht="12.95" customHeight="1" thickTop="1">
      <c r="A13" s="496"/>
      <c r="B13" s="497" t="s">
        <v>538</v>
      </c>
      <c r="C13" s="498">
        <v>900</v>
      </c>
      <c r="D13" s="490"/>
      <c r="E13" s="497" t="s">
        <v>539</v>
      </c>
      <c r="F13" s="498">
        <v>4000</v>
      </c>
      <c r="G13" s="490"/>
      <c r="H13" s="497" t="s">
        <v>540</v>
      </c>
      <c r="I13" s="498" t="s">
        <v>625</v>
      </c>
      <c r="J13" s="490"/>
      <c r="K13" s="490"/>
      <c r="L13" s="497" t="s">
        <v>541</v>
      </c>
      <c r="M13" s="499">
        <v>1800</v>
      </c>
      <c r="N13" s="460"/>
    </row>
    <row r="14" spans="1:14" ht="12.95" customHeight="1">
      <c r="A14" s="496"/>
      <c r="B14" s="497" t="s">
        <v>542</v>
      </c>
      <c r="C14" s="498" t="s">
        <v>630</v>
      </c>
      <c r="D14" s="490"/>
      <c r="E14" s="497" t="s">
        <v>543</v>
      </c>
      <c r="F14" s="500" t="s">
        <v>631</v>
      </c>
      <c r="G14" s="490"/>
      <c r="H14" s="497" t="s">
        <v>544</v>
      </c>
      <c r="I14" s="498">
        <v>114</v>
      </c>
      <c r="J14" s="490"/>
      <c r="K14" s="490"/>
      <c r="L14" s="497" t="s">
        <v>499</v>
      </c>
      <c r="M14" s="499">
        <v>1785</v>
      </c>
      <c r="N14" s="460"/>
    </row>
    <row r="15" spans="1:14" ht="12.95" customHeight="1">
      <c r="A15" s="496"/>
      <c r="B15" s="497" t="s">
        <v>545</v>
      </c>
      <c r="C15" s="498" t="s">
        <v>629</v>
      </c>
      <c r="D15" s="490"/>
      <c r="E15" s="497" t="s">
        <v>546</v>
      </c>
      <c r="F15" s="501" t="s">
        <v>632</v>
      </c>
      <c r="G15" s="490"/>
      <c r="H15" s="497" t="s">
        <v>547</v>
      </c>
      <c r="I15" s="500" t="s">
        <v>174</v>
      </c>
      <c r="J15" s="490"/>
      <c r="K15" s="490"/>
      <c r="L15" s="497" t="s">
        <v>548</v>
      </c>
      <c r="M15" s="499" t="s">
        <v>364</v>
      </c>
      <c r="N15" s="460"/>
    </row>
    <row r="16" spans="1:14" ht="12.95" customHeight="1">
      <c r="A16" s="496"/>
      <c r="B16" s="497" t="s">
        <v>549</v>
      </c>
      <c r="C16" s="498" t="s">
        <v>624</v>
      </c>
      <c r="D16" s="490"/>
      <c r="E16" s="497" t="s">
        <v>550</v>
      </c>
      <c r="F16" s="498" t="s">
        <v>441</v>
      </c>
      <c r="G16" s="490"/>
      <c r="H16" s="502" t="s">
        <v>551</v>
      </c>
      <c r="I16" s="503" t="s">
        <v>387</v>
      </c>
      <c r="J16" s="490"/>
      <c r="K16" s="490"/>
      <c r="L16" s="497" t="s">
        <v>552</v>
      </c>
      <c r="M16" s="499" t="s">
        <v>553</v>
      </c>
      <c r="N16" s="460"/>
    </row>
    <row r="17" spans="1:14" ht="12.95" customHeight="1">
      <c r="A17" s="496"/>
      <c r="B17" s="497" t="s">
        <v>554</v>
      </c>
      <c r="C17" s="504" t="s">
        <v>628</v>
      </c>
      <c r="D17" s="490"/>
      <c r="E17" s="497"/>
      <c r="F17" s="500"/>
      <c r="G17" s="490"/>
      <c r="H17" s="497" t="s">
        <v>555</v>
      </c>
      <c r="I17" s="503" t="s">
        <v>174</v>
      </c>
      <c r="J17" s="490"/>
      <c r="K17" s="490"/>
      <c r="L17" s="497"/>
      <c r="M17" s="505"/>
      <c r="N17" s="460"/>
    </row>
    <row r="18" spans="1:14" ht="12.95" customHeight="1" thickBot="1">
      <c r="A18" s="506"/>
      <c r="B18" s="507" t="s">
        <v>556</v>
      </c>
      <c r="C18" s="508" t="s">
        <v>174</v>
      </c>
      <c r="D18" s="509"/>
      <c r="E18" s="510" t="s">
        <v>557</v>
      </c>
      <c r="F18" s="508" t="s">
        <v>174</v>
      </c>
      <c r="G18" s="511"/>
      <c r="H18" s="510" t="s">
        <v>558</v>
      </c>
      <c r="I18" s="508" t="s">
        <v>174</v>
      </c>
      <c r="J18" s="509"/>
      <c r="K18" s="509"/>
      <c r="L18" s="509"/>
      <c r="M18" s="512"/>
      <c r="N18" s="460"/>
    </row>
    <row r="19" spans="1:14" ht="16.5" thickBot="1">
      <c r="A19" s="460"/>
      <c r="B19" s="460"/>
      <c r="C19" s="460"/>
      <c r="D19" s="460"/>
      <c r="E19" s="460"/>
      <c r="F19" s="460"/>
      <c r="G19" s="460"/>
      <c r="H19" s="460"/>
      <c r="I19" s="460"/>
      <c r="J19" s="460"/>
      <c r="K19" s="460"/>
      <c r="L19" s="460"/>
      <c r="M19" s="460"/>
      <c r="N19" s="460"/>
    </row>
    <row r="20" spans="1:14" ht="20.100000000000001" customHeight="1" thickBot="1">
      <c r="A20" s="493"/>
      <c r="B20" s="494"/>
      <c r="C20" s="494"/>
      <c r="D20" s="494"/>
      <c r="E20" s="494"/>
      <c r="F20" s="494"/>
      <c r="G20" s="494"/>
      <c r="H20" s="494"/>
      <c r="I20" s="494"/>
      <c r="J20" s="494"/>
      <c r="K20" s="494"/>
      <c r="L20" s="494"/>
      <c r="M20" s="495"/>
    </row>
    <row r="21" spans="1:14" ht="15.95" customHeight="1" thickTop="1">
      <c r="A21" s="513" t="s">
        <v>559</v>
      </c>
      <c r="B21" s="514"/>
      <c r="C21" s="483"/>
      <c r="D21" s="515"/>
      <c r="E21" s="516" t="s">
        <v>560</v>
      </c>
      <c r="F21" s="517"/>
      <c r="G21" s="517"/>
      <c r="H21" s="518"/>
      <c r="I21" s="519" t="s">
        <v>561</v>
      </c>
      <c r="J21" s="520"/>
      <c r="K21" s="520"/>
      <c r="L21" s="483"/>
      <c r="M21" s="521"/>
    </row>
    <row r="22" spans="1:14" ht="15.95" customHeight="1">
      <c r="A22" s="522"/>
      <c r="B22" s="490"/>
      <c r="C22" s="523" t="s">
        <v>562</v>
      </c>
      <c r="D22" s="524">
        <v>756</v>
      </c>
      <c r="E22" s="497"/>
      <c r="G22" s="502" t="s">
        <v>563</v>
      </c>
      <c r="H22" s="525">
        <v>2648</v>
      </c>
      <c r="I22" s="523"/>
      <c r="J22" s="490"/>
      <c r="K22" s="523" t="s">
        <v>564</v>
      </c>
      <c r="L22" s="490" t="s">
        <v>565</v>
      </c>
      <c r="M22" s="505"/>
    </row>
    <row r="23" spans="1:14" ht="15.95" customHeight="1">
      <c r="A23" s="522"/>
      <c r="B23" s="523"/>
      <c r="C23" s="526"/>
      <c r="D23" s="527"/>
      <c r="E23" s="497"/>
      <c r="G23" s="497" t="s">
        <v>566</v>
      </c>
      <c r="H23" s="524">
        <v>120</v>
      </c>
      <c r="I23" s="490"/>
      <c r="J23" s="490"/>
      <c r="K23" s="497" t="s">
        <v>567</v>
      </c>
      <c r="L23" s="490" t="s">
        <v>565</v>
      </c>
      <c r="M23" s="505"/>
    </row>
    <row r="24" spans="1:14" ht="15.95" customHeight="1">
      <c r="A24" s="496"/>
      <c r="B24" s="497"/>
      <c r="C24" s="490"/>
      <c r="D24" s="527"/>
      <c r="E24" s="497"/>
      <c r="G24" s="502" t="s">
        <v>568</v>
      </c>
      <c r="H24" s="524">
        <v>275</v>
      </c>
      <c r="I24" s="490"/>
      <c r="J24" s="497"/>
      <c r="K24" s="490"/>
      <c r="L24" s="490"/>
      <c r="M24" s="505"/>
    </row>
    <row r="25" spans="1:14" ht="15.95" customHeight="1" thickBot="1">
      <c r="A25" s="506"/>
      <c r="B25" s="507"/>
      <c r="C25" s="509"/>
      <c r="D25" s="528"/>
      <c r="E25" s="510"/>
      <c r="F25" s="510"/>
      <c r="G25" s="510"/>
      <c r="H25" s="529"/>
      <c r="I25" s="509"/>
      <c r="J25" s="510"/>
      <c r="K25" s="509"/>
      <c r="L25" s="509"/>
      <c r="M25" s="512"/>
    </row>
    <row r="26" spans="1:14" ht="18.95" customHeight="1" thickBot="1">
      <c r="A26" s="530"/>
      <c r="B26" s="530"/>
      <c r="C26" s="530"/>
      <c r="D26" s="531"/>
      <c r="E26" s="531"/>
      <c r="F26" s="531"/>
      <c r="G26" s="531"/>
      <c r="H26" s="531"/>
      <c r="I26" s="531"/>
      <c r="J26" s="531"/>
      <c r="K26" s="531"/>
      <c r="L26" s="531"/>
      <c r="M26" s="460"/>
      <c r="N26" s="460"/>
    </row>
    <row r="27" spans="1:14" ht="20.100000000000001" customHeight="1" thickBot="1">
      <c r="A27" s="532"/>
      <c r="B27" s="533"/>
      <c r="C27" s="533"/>
      <c r="D27" s="533"/>
      <c r="E27" s="533"/>
      <c r="F27" s="533"/>
      <c r="G27" s="534"/>
      <c r="H27" s="533"/>
      <c r="I27" s="533"/>
      <c r="J27" s="533"/>
      <c r="K27" s="533"/>
      <c r="L27" s="533"/>
      <c r="M27" s="535"/>
    </row>
    <row r="28" spans="1:14" ht="15.95" customHeight="1" thickTop="1">
      <c r="A28" s="536" t="s">
        <v>569</v>
      </c>
      <c r="B28" s="514"/>
      <c r="C28" s="483"/>
      <c r="D28" s="483"/>
      <c r="E28" s="517"/>
      <c r="F28" s="517"/>
      <c r="G28" s="537"/>
      <c r="H28" s="516" t="s">
        <v>570</v>
      </c>
      <c r="I28" s="517"/>
      <c r="J28" s="520"/>
      <c r="K28" s="516"/>
      <c r="L28" s="520"/>
      <c r="M28" s="521"/>
    </row>
    <row r="29" spans="1:14" ht="15.95" customHeight="1">
      <c r="A29" s="496"/>
      <c r="B29" s="523"/>
      <c r="C29" s="523" t="s">
        <v>571</v>
      </c>
      <c r="D29" s="538">
        <v>95.2</v>
      </c>
      <c r="E29" s="497"/>
      <c r="F29" s="497"/>
      <c r="G29" s="537"/>
      <c r="H29" s="502"/>
      <c r="I29" s="523"/>
      <c r="J29" s="523" t="s">
        <v>571</v>
      </c>
      <c r="K29" s="538">
        <v>89.3</v>
      </c>
      <c r="L29" s="490"/>
      <c r="M29" s="505"/>
    </row>
    <row r="30" spans="1:14" ht="15.95" customHeight="1">
      <c r="A30" s="539"/>
      <c r="B30" s="490"/>
      <c r="C30" s="523" t="s">
        <v>572</v>
      </c>
      <c r="D30" s="538">
        <v>95</v>
      </c>
      <c r="E30" s="497"/>
      <c r="F30" s="497"/>
      <c r="G30" s="537"/>
      <c r="H30" s="497"/>
      <c r="I30" s="490"/>
      <c r="J30" s="523" t="s">
        <v>572</v>
      </c>
      <c r="K30" s="538">
        <v>87.8</v>
      </c>
      <c r="L30" s="490"/>
      <c r="M30" s="505"/>
    </row>
    <row r="31" spans="1:14" ht="15.95" customHeight="1">
      <c r="A31" s="496"/>
      <c r="B31" s="497"/>
      <c r="C31" s="523" t="s">
        <v>573</v>
      </c>
      <c r="D31" s="538">
        <v>94.1</v>
      </c>
      <c r="E31" s="497"/>
      <c r="F31" s="497"/>
      <c r="G31" s="537"/>
      <c r="H31" s="497"/>
      <c r="I31" s="490"/>
      <c r="J31" s="523" t="s">
        <v>573</v>
      </c>
      <c r="K31" s="538">
        <v>82.8</v>
      </c>
      <c r="L31" s="497"/>
      <c r="M31" s="505"/>
    </row>
    <row r="32" spans="1:14" ht="15.95" customHeight="1" thickBot="1">
      <c r="A32" s="506"/>
      <c r="B32" s="507"/>
      <c r="C32" s="509"/>
      <c r="D32" s="509"/>
      <c r="E32" s="510"/>
      <c r="F32" s="510"/>
      <c r="G32" s="540"/>
      <c r="H32" s="510"/>
      <c r="I32" s="509"/>
      <c r="J32" s="510"/>
      <c r="K32" s="509"/>
      <c r="L32" s="510"/>
      <c r="M32" s="512"/>
    </row>
    <row r="33" spans="1:14" ht="20.100000000000001" customHeight="1" thickBot="1">
      <c r="A33" s="541"/>
      <c r="B33" s="541"/>
      <c r="C33" s="541"/>
      <c r="D33" s="541"/>
      <c r="E33" s="541"/>
      <c r="F33" s="541"/>
      <c r="G33" s="541"/>
      <c r="H33" s="541"/>
      <c r="I33" s="541"/>
      <c r="J33" s="541"/>
      <c r="K33" s="541"/>
      <c r="L33" s="541"/>
      <c r="M33" s="542"/>
      <c r="N33" s="542"/>
    </row>
    <row r="34" spans="1:14" ht="20.100000000000001" customHeight="1" thickBot="1">
      <c r="A34" s="543"/>
      <c r="B34" s="544"/>
      <c r="C34" s="544"/>
      <c r="D34" s="544"/>
      <c r="E34" s="544"/>
      <c r="F34" s="544"/>
      <c r="G34" s="544"/>
      <c r="H34" s="544"/>
      <c r="I34" s="544"/>
      <c r="J34" s="544"/>
      <c r="K34" s="544"/>
      <c r="L34" s="544"/>
      <c r="M34" s="545"/>
    </row>
    <row r="35" spans="1:14" ht="15.95" customHeight="1" thickTop="1">
      <c r="A35" s="546" t="s">
        <v>574</v>
      </c>
      <c r="B35" s="526"/>
      <c r="C35" s="526"/>
      <c r="D35" s="526"/>
      <c r="E35" s="526"/>
      <c r="F35" s="526"/>
      <c r="G35" s="526"/>
      <c r="H35" s="526"/>
      <c r="I35" s="526"/>
      <c r="J35" s="526"/>
      <c r="K35" s="526"/>
      <c r="L35" s="526"/>
      <c r="M35" s="547"/>
    </row>
    <row r="36" spans="1:14" ht="15.95" customHeight="1">
      <c r="A36" s="539" t="s">
        <v>575</v>
      </c>
      <c r="B36" s="526"/>
      <c r="C36" s="526"/>
      <c r="D36" s="526"/>
      <c r="E36" s="526"/>
      <c r="F36" s="526"/>
      <c r="G36" s="526"/>
      <c r="H36" s="526"/>
      <c r="I36" s="526"/>
      <c r="J36" s="526"/>
      <c r="K36" s="526"/>
      <c r="L36" s="526"/>
      <c r="M36" s="547"/>
    </row>
    <row r="37" spans="1:14" ht="15.95" customHeight="1">
      <c r="A37" s="548" t="s">
        <v>576</v>
      </c>
      <c r="B37" s="526"/>
      <c r="C37" s="526"/>
      <c r="D37" s="526"/>
      <c r="E37" s="549"/>
      <c r="F37" s="526"/>
      <c r="G37" s="526"/>
      <c r="H37" s="526"/>
      <c r="I37" s="526"/>
      <c r="J37" s="526"/>
      <c r="K37" s="526"/>
      <c r="L37" s="526"/>
      <c r="M37" s="547"/>
    </row>
    <row r="38" spans="1:14" ht="15.95" customHeight="1">
      <c r="A38" s="550" t="s">
        <v>577</v>
      </c>
      <c r="B38" s="526"/>
      <c r="C38" s="526"/>
      <c r="D38" s="526"/>
      <c r="E38" s="526"/>
      <c r="F38" s="526"/>
      <c r="G38" s="526"/>
      <c r="H38" s="526"/>
      <c r="I38" s="526"/>
      <c r="J38" s="526"/>
      <c r="K38" s="526"/>
      <c r="L38" s="526"/>
      <c r="M38" s="547"/>
    </row>
    <row r="39" spans="1:14" ht="15.95" customHeight="1">
      <c r="A39" s="551" t="s">
        <v>578</v>
      </c>
      <c r="B39" s="526"/>
      <c r="C39" s="526"/>
      <c r="D39" s="526"/>
      <c r="E39" s="526"/>
      <c r="F39" s="526"/>
      <c r="G39" s="526"/>
      <c r="H39" s="526"/>
      <c r="I39" s="526"/>
      <c r="J39" s="526"/>
      <c r="K39" s="526"/>
      <c r="L39" s="526"/>
      <c r="M39" s="547"/>
    </row>
    <row r="40" spans="1:14" ht="15.95" customHeight="1" thickBot="1">
      <c r="A40" s="552" t="s">
        <v>579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4"/>
    </row>
    <row r="41" spans="1:14" ht="15.95" customHeight="1"/>
    <row r="42" spans="1:14" ht="18">
      <c r="A42" s="555"/>
      <c r="B42" s="555"/>
      <c r="C42" s="555"/>
      <c r="D42" s="555"/>
      <c r="E42" s="555"/>
      <c r="F42" s="555"/>
      <c r="G42" s="555"/>
      <c r="H42" s="460"/>
      <c r="I42" s="460"/>
      <c r="J42" s="556" t="s">
        <v>580</v>
      </c>
      <c r="K42" s="682" t="s">
        <v>581</v>
      </c>
      <c r="L42" s="682"/>
      <c r="M42" s="682"/>
      <c r="N42" s="555"/>
    </row>
    <row r="43" spans="1:14" ht="7.5" customHeight="1">
      <c r="H43" s="460"/>
      <c r="I43" s="460"/>
      <c r="J43" s="460"/>
      <c r="K43" s="460"/>
      <c r="L43" s="460"/>
      <c r="M43" s="460"/>
    </row>
    <row r="44" spans="1:14" ht="16.5">
      <c r="H44" s="460"/>
      <c r="I44" s="460"/>
      <c r="J44" s="556" t="s">
        <v>582</v>
      </c>
      <c r="K44" s="683">
        <v>44664</v>
      </c>
      <c r="L44" s="683"/>
      <c r="M44" s="683"/>
    </row>
    <row r="59" spans="1:5">
      <c r="A59" s="461" t="s">
        <v>174</v>
      </c>
      <c r="B59" s="461" t="s">
        <v>583</v>
      </c>
      <c r="D59" s="461">
        <v>1</v>
      </c>
      <c r="E59" s="557" t="s">
        <v>174</v>
      </c>
    </row>
    <row r="60" spans="1:5">
      <c r="A60" s="461" t="s">
        <v>584</v>
      </c>
      <c r="B60" s="461" t="s">
        <v>585</v>
      </c>
      <c r="D60" s="461">
        <v>1.1499999999999999</v>
      </c>
      <c r="E60" s="557" t="s">
        <v>183</v>
      </c>
    </row>
    <row r="61" spans="1:5">
      <c r="A61" s="461" t="s">
        <v>586</v>
      </c>
      <c r="B61" s="461" t="s">
        <v>587</v>
      </c>
      <c r="E61" s="557" t="s">
        <v>321</v>
      </c>
    </row>
    <row r="62" spans="1:5">
      <c r="B62" s="461" t="s">
        <v>588</v>
      </c>
    </row>
    <row r="63" spans="1:5">
      <c r="B63" s="461" t="s">
        <v>589</v>
      </c>
    </row>
    <row r="64" spans="1:5">
      <c r="B64" s="461" t="s">
        <v>590</v>
      </c>
    </row>
    <row r="65" spans="2:2">
      <c r="B65" s="461" t="s">
        <v>591</v>
      </c>
    </row>
    <row r="66" spans="2:2">
      <c r="B66" s="461" t="s">
        <v>592</v>
      </c>
    </row>
    <row r="67" spans="2:2">
      <c r="B67" s="461" t="s">
        <v>593</v>
      </c>
    </row>
    <row r="68" spans="2:2">
      <c r="B68" s="461" t="s">
        <v>594</v>
      </c>
    </row>
    <row r="69" spans="2:2">
      <c r="B69" s="461" t="s">
        <v>595</v>
      </c>
    </row>
    <row r="70" spans="2:2">
      <c r="B70" s="461" t="s">
        <v>596</v>
      </c>
    </row>
    <row r="71" spans="2:2">
      <c r="B71" s="461" t="s">
        <v>597</v>
      </c>
    </row>
    <row r="72" spans="2:2">
      <c r="B72" s="461" t="s">
        <v>598</v>
      </c>
    </row>
    <row r="73" spans="2:2">
      <c r="B73" s="461" t="s">
        <v>599</v>
      </c>
    </row>
    <row r="74" spans="2:2">
      <c r="B74" s="461" t="s">
        <v>600</v>
      </c>
    </row>
    <row r="75" spans="2:2">
      <c r="B75" s="461" t="s">
        <v>601</v>
      </c>
    </row>
    <row r="76" spans="2:2">
      <c r="B76" s="461" t="s">
        <v>602</v>
      </c>
    </row>
    <row r="77" spans="2:2">
      <c r="B77" s="461" t="s">
        <v>603</v>
      </c>
    </row>
    <row r="78" spans="2:2">
      <c r="B78" s="461" t="s">
        <v>604</v>
      </c>
    </row>
    <row r="79" spans="2:2">
      <c r="B79" s="461" t="s">
        <v>605</v>
      </c>
    </row>
    <row r="80" spans="2:2">
      <c r="B80" s="461">
        <v>6312</v>
      </c>
    </row>
    <row r="81" spans="2:2">
      <c r="B81" s="461" t="s">
        <v>606</v>
      </c>
    </row>
    <row r="82" spans="2:2">
      <c r="B82" s="461" t="s">
        <v>607</v>
      </c>
    </row>
    <row r="83" spans="2:2">
      <c r="B83" s="461" t="s">
        <v>608</v>
      </c>
    </row>
    <row r="84" spans="2:2">
      <c r="B84" s="461" t="s">
        <v>609</v>
      </c>
    </row>
    <row r="85" spans="2:2">
      <c r="B85" s="461">
        <v>6313</v>
      </c>
    </row>
    <row r="86" spans="2:2">
      <c r="B86" s="461" t="s">
        <v>610</v>
      </c>
    </row>
    <row r="87" spans="2:2">
      <c r="B87" s="461" t="s">
        <v>611</v>
      </c>
    </row>
    <row r="88" spans="2:2">
      <c r="B88" s="461" t="s">
        <v>612</v>
      </c>
    </row>
    <row r="89" spans="2:2">
      <c r="B89" s="461">
        <v>6314</v>
      </c>
    </row>
    <row r="90" spans="2:2">
      <c r="B90" s="461" t="s">
        <v>613</v>
      </c>
    </row>
    <row r="91" spans="2:2">
      <c r="B91" s="461">
        <v>6317</v>
      </c>
    </row>
    <row r="92" spans="2:2">
      <c r="B92" s="461" t="s">
        <v>614</v>
      </c>
    </row>
    <row r="93" spans="2:2">
      <c r="B93" s="461">
        <v>6318</v>
      </c>
    </row>
    <row r="94" spans="2:2">
      <c r="B94" s="461" t="s">
        <v>615</v>
      </c>
    </row>
    <row r="95" spans="2:2">
      <c r="B95" s="461" t="s">
        <v>616</v>
      </c>
    </row>
    <row r="96" spans="2:2">
      <c r="B96" s="461" t="s">
        <v>617</v>
      </c>
    </row>
    <row r="97" spans="2:2">
      <c r="B97" s="461">
        <v>6320</v>
      </c>
    </row>
    <row r="98" spans="2:2">
      <c r="B98" s="461" t="s">
        <v>618</v>
      </c>
    </row>
    <row r="99" spans="2:2">
      <c r="B99" s="461" t="s">
        <v>619</v>
      </c>
    </row>
    <row r="100" spans="2:2">
      <c r="B100" s="461" t="s">
        <v>620</v>
      </c>
    </row>
    <row r="101" spans="2:2">
      <c r="B101" s="461" t="s">
        <v>621</v>
      </c>
    </row>
    <row r="102" spans="2:2">
      <c r="B102" s="461" t="s">
        <v>621</v>
      </c>
    </row>
    <row r="118" spans="2:2">
      <c r="B118" s="461" t="s">
        <v>622</v>
      </c>
    </row>
    <row r="120" spans="2:2">
      <c r="B120" s="461" t="s">
        <v>623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67"/>
  <sheetViews>
    <sheetView workbookViewId="0">
      <selection activeCell="L19" sqref="L19"/>
    </sheetView>
  </sheetViews>
  <sheetFormatPr defaultRowHeight="12.75"/>
  <cols>
    <col min="1" max="6" width="16.7109375" style="395" customWidth="1"/>
    <col min="7" max="16384" width="9.140625" style="395"/>
  </cols>
  <sheetData>
    <row r="1" spans="1:6" ht="18.95" customHeight="1">
      <c r="A1" s="407"/>
      <c r="B1" s="408"/>
      <c r="C1" s="408"/>
      <c r="D1" s="408"/>
      <c r="E1" s="408"/>
      <c r="F1" s="409"/>
    </row>
    <row r="2" spans="1:6" ht="26.1" customHeight="1">
      <c r="A2" s="410" t="s">
        <v>268</v>
      </c>
      <c r="B2" s="411"/>
      <c r="C2" s="411"/>
      <c r="D2" s="411"/>
      <c r="E2" s="411"/>
      <c r="F2" s="412"/>
    </row>
    <row r="3" spans="1:6" ht="18.95" customHeight="1">
      <c r="A3" s="413" t="s">
        <v>487</v>
      </c>
      <c r="B3" s="411"/>
      <c r="C3" s="411"/>
      <c r="D3" s="411"/>
      <c r="E3" s="411"/>
      <c r="F3" s="412"/>
    </row>
    <row r="4" spans="1:6" ht="18.95" customHeight="1">
      <c r="A4" s="414"/>
      <c r="B4" s="415"/>
      <c r="C4" s="415"/>
      <c r="D4" s="415"/>
      <c r="E4" s="415"/>
      <c r="F4" s="416"/>
    </row>
    <row r="5" spans="1:6" ht="18.95" customHeight="1">
      <c r="A5" s="414"/>
      <c r="B5" s="415"/>
      <c r="C5" s="415"/>
      <c r="D5" s="415"/>
      <c r="E5" s="415"/>
      <c r="F5" s="416"/>
    </row>
    <row r="6" spans="1:6" ht="18.95" customHeight="1">
      <c r="A6" s="417" t="s">
        <v>488</v>
      </c>
      <c r="B6" s="684" t="str">
        <f>'Performance Data Sheet'!C17</f>
        <v>TC-10126027</v>
      </c>
      <c r="C6" s="685"/>
      <c r="D6" s="686"/>
      <c r="E6" s="417" t="s">
        <v>489</v>
      </c>
      <c r="F6" s="418">
        <f>'Performance Data Sheet'!I14</f>
        <v>114</v>
      </c>
    </row>
    <row r="7" spans="1:6" ht="18.95" customHeight="1">
      <c r="A7" s="417" t="s">
        <v>490</v>
      </c>
      <c r="B7" s="418" t="str">
        <f>'Performance Data Sheet'!F14</f>
        <v>TEAAC</v>
      </c>
      <c r="C7" s="417" t="s">
        <v>491</v>
      </c>
      <c r="D7" s="418" t="str">
        <f>'Performance Data Sheet'!F13 &amp; " V"</f>
        <v>4000 V</v>
      </c>
      <c r="E7" s="417" t="s">
        <v>492</v>
      </c>
      <c r="F7" s="418" t="str">
        <f>'Performance Data Sheet'!C14</f>
        <v>5812US</v>
      </c>
    </row>
    <row r="8" spans="1:6" ht="18.95" customHeight="1">
      <c r="A8" s="417" t="s">
        <v>493</v>
      </c>
      <c r="B8" s="418">
        <v>4</v>
      </c>
      <c r="C8" s="417" t="s">
        <v>494</v>
      </c>
      <c r="D8" s="418" t="s">
        <v>495</v>
      </c>
      <c r="E8" s="417" t="s">
        <v>496</v>
      </c>
      <c r="F8" s="418" t="str">
        <f>'Performance Data Sheet'!M15</f>
        <v>F</v>
      </c>
    </row>
    <row r="9" spans="1:6" ht="18.95" customHeight="1">
      <c r="A9" s="417" t="s">
        <v>497</v>
      </c>
      <c r="B9" s="418">
        <f>'Performance Data Sheet'!C13</f>
        <v>900</v>
      </c>
      <c r="C9" s="417" t="s">
        <v>498</v>
      </c>
      <c r="D9" s="418" t="s">
        <v>508</v>
      </c>
      <c r="E9" s="417" t="s">
        <v>2</v>
      </c>
      <c r="F9" s="419">
        <f>'Performance Data Sheet'!K44</f>
        <v>44664</v>
      </c>
    </row>
    <row r="10" spans="1:6" ht="18.95" customHeight="1">
      <c r="A10" s="417" t="s">
        <v>499</v>
      </c>
      <c r="B10" s="418">
        <f>'Performance Data Sheet'!M14</f>
        <v>1785</v>
      </c>
      <c r="C10" s="417" t="s">
        <v>400</v>
      </c>
      <c r="D10" s="418" t="s">
        <v>509</v>
      </c>
      <c r="E10" s="417" t="s">
        <v>1</v>
      </c>
      <c r="F10" s="418" t="s">
        <v>380</v>
      </c>
    </row>
    <row r="11" spans="1:6" ht="18.95" customHeight="1">
      <c r="A11" s="414"/>
      <c r="B11" s="415"/>
      <c r="C11" s="415"/>
      <c r="D11" s="415"/>
      <c r="E11" s="415"/>
      <c r="F11" s="416"/>
    </row>
    <row r="12" spans="1:6" ht="18.95" customHeight="1">
      <c r="A12" s="414"/>
      <c r="B12" s="420" t="s">
        <v>500</v>
      </c>
      <c r="C12" s="421" t="str">
        <f>'Performance Data Sheet'!D22 &amp; " A"</f>
        <v>756 A</v>
      </c>
      <c r="D12" s="420" t="s">
        <v>399</v>
      </c>
      <c r="E12" s="421" t="s">
        <v>403</v>
      </c>
      <c r="F12" s="416"/>
    </row>
    <row r="13" spans="1:6" ht="18.95" customHeight="1">
      <c r="A13" s="414"/>
      <c r="B13" s="420" t="s">
        <v>501</v>
      </c>
      <c r="C13" s="422">
        <f>'Performance Data Sheet'!H23/100</f>
        <v>1.2</v>
      </c>
      <c r="D13" s="420" t="s">
        <v>502</v>
      </c>
      <c r="E13" s="421" t="s">
        <v>510</v>
      </c>
      <c r="F13" s="416"/>
    </row>
    <row r="14" spans="1:6" ht="18.95" customHeight="1">
      <c r="A14" s="414"/>
      <c r="B14" s="420" t="s">
        <v>503</v>
      </c>
      <c r="C14" s="422">
        <v>2.75</v>
      </c>
      <c r="D14" s="420" t="s">
        <v>401</v>
      </c>
      <c r="E14" s="421" t="s">
        <v>406</v>
      </c>
      <c r="F14" s="416"/>
    </row>
    <row r="15" spans="1:6" ht="18.95" customHeight="1">
      <c r="A15" s="414"/>
      <c r="B15" s="420" t="s">
        <v>402</v>
      </c>
      <c r="C15" s="421" t="str">
        <f>'Performance Data Sheet'!H22 &amp; " lb-ft"</f>
        <v>2648 lb-ft</v>
      </c>
      <c r="D15" s="415"/>
      <c r="E15" s="415"/>
      <c r="F15" s="416"/>
    </row>
    <row r="16" spans="1:6" ht="18.95" customHeight="1">
      <c r="A16" s="414"/>
      <c r="B16" s="415"/>
      <c r="C16" s="415"/>
      <c r="D16" s="415"/>
      <c r="E16" s="415"/>
      <c r="F16" s="416"/>
    </row>
    <row r="17" spans="1:6" ht="18.95" customHeight="1">
      <c r="A17" s="414"/>
      <c r="B17" s="415"/>
      <c r="C17" s="415"/>
      <c r="D17" s="415"/>
      <c r="E17" s="415"/>
      <c r="F17" s="416"/>
    </row>
    <row r="18" spans="1:6" ht="18.95" customHeight="1">
      <c r="A18" s="414"/>
      <c r="B18" s="415"/>
      <c r="C18" s="415"/>
      <c r="D18" s="415"/>
      <c r="E18" s="415"/>
      <c r="F18" s="416"/>
    </row>
    <row r="19" spans="1:6" ht="18.95" customHeight="1">
      <c r="A19" s="414"/>
      <c r="B19" s="415"/>
      <c r="C19" s="415"/>
      <c r="D19" s="415"/>
      <c r="E19" s="415"/>
      <c r="F19" s="416"/>
    </row>
    <row r="20" spans="1:6" ht="18.95" customHeight="1">
      <c r="A20" s="414"/>
      <c r="B20" s="415"/>
      <c r="C20" s="415"/>
      <c r="D20" s="415"/>
      <c r="E20" s="415"/>
      <c r="F20" s="416"/>
    </row>
    <row r="21" spans="1:6" ht="18.95" customHeight="1">
      <c r="A21" s="414"/>
      <c r="B21" s="415"/>
      <c r="C21" s="415"/>
      <c r="D21" s="415"/>
      <c r="E21" s="415"/>
      <c r="F21" s="416"/>
    </row>
    <row r="22" spans="1:6" ht="18.95" customHeight="1">
      <c r="A22" s="414"/>
      <c r="B22" s="415"/>
      <c r="C22" s="415"/>
      <c r="D22" s="415"/>
      <c r="E22" s="415"/>
      <c r="F22" s="416"/>
    </row>
    <row r="23" spans="1:6" ht="18.95" customHeight="1">
      <c r="A23" s="414"/>
      <c r="B23" s="415"/>
      <c r="C23" s="415"/>
      <c r="D23" s="415"/>
      <c r="E23" s="415"/>
      <c r="F23" s="416"/>
    </row>
    <row r="24" spans="1:6" ht="18.95" customHeight="1">
      <c r="A24" s="414"/>
      <c r="B24" s="415"/>
      <c r="C24" s="415"/>
      <c r="D24" s="415"/>
      <c r="E24" s="415"/>
      <c r="F24" s="416"/>
    </row>
    <row r="25" spans="1:6" ht="18.95" customHeight="1">
      <c r="A25" s="414"/>
      <c r="B25" s="415"/>
      <c r="C25" s="415"/>
      <c r="D25" s="415"/>
      <c r="E25" s="415"/>
      <c r="F25" s="416"/>
    </row>
    <row r="26" spans="1:6" ht="18.95" customHeight="1">
      <c r="A26" s="414"/>
      <c r="B26" s="415"/>
      <c r="C26" s="415"/>
      <c r="D26" s="415"/>
      <c r="E26" s="415"/>
      <c r="F26" s="416"/>
    </row>
    <row r="27" spans="1:6" ht="18.95" customHeight="1">
      <c r="A27" s="414"/>
      <c r="B27" s="415"/>
      <c r="C27" s="415"/>
      <c r="D27" s="415"/>
      <c r="E27" s="415"/>
      <c r="F27" s="416"/>
    </row>
    <row r="28" spans="1:6" ht="18.95" customHeight="1">
      <c r="A28" s="414"/>
      <c r="B28" s="415"/>
      <c r="C28" s="415"/>
      <c r="D28" s="415"/>
      <c r="E28" s="415"/>
      <c r="F28" s="416"/>
    </row>
    <row r="29" spans="1:6" ht="18.95" customHeight="1">
      <c r="A29" s="414"/>
      <c r="B29" s="415"/>
      <c r="C29" s="415"/>
      <c r="D29" s="415"/>
      <c r="E29" s="415"/>
      <c r="F29" s="416"/>
    </row>
    <row r="30" spans="1:6" ht="18.95" customHeight="1">
      <c r="A30" s="414"/>
      <c r="B30" s="415"/>
      <c r="C30" s="415"/>
      <c r="D30" s="415"/>
      <c r="E30" s="415"/>
      <c r="F30" s="416"/>
    </row>
    <row r="31" spans="1:6" ht="18.95" customHeight="1">
      <c r="A31" s="414"/>
      <c r="B31" s="415"/>
      <c r="C31" s="415"/>
      <c r="D31" s="415"/>
      <c r="E31" s="415"/>
      <c r="F31" s="416"/>
    </row>
    <row r="32" spans="1:6" ht="18.95" customHeight="1">
      <c r="A32" s="414"/>
      <c r="B32" s="415"/>
      <c r="C32" s="415"/>
      <c r="D32" s="415"/>
      <c r="E32" s="415"/>
      <c r="F32" s="416"/>
    </row>
    <row r="33" spans="1:6" ht="18.95" customHeight="1">
      <c r="A33" s="414"/>
      <c r="B33" s="415"/>
      <c r="C33" s="415"/>
      <c r="D33" s="415"/>
      <c r="E33" s="415"/>
      <c r="F33" s="416"/>
    </row>
    <row r="34" spans="1:6" ht="18.95" customHeight="1">
      <c r="A34" s="414"/>
      <c r="B34" s="415"/>
      <c r="C34" s="415"/>
      <c r="D34" s="415"/>
      <c r="E34" s="415"/>
      <c r="F34" s="416"/>
    </row>
    <row r="35" spans="1:6" ht="18.95" customHeight="1">
      <c r="A35" s="414"/>
      <c r="B35" s="415"/>
      <c r="C35" s="415"/>
      <c r="D35" s="415"/>
      <c r="E35" s="415"/>
      <c r="F35" s="416"/>
    </row>
    <row r="36" spans="1:6" ht="18.95" customHeight="1">
      <c r="A36" s="414"/>
      <c r="B36" s="415"/>
      <c r="C36" s="415"/>
      <c r="D36" s="415"/>
      <c r="E36" s="415"/>
      <c r="F36" s="416"/>
    </row>
    <row r="37" spans="1:6" ht="18.95" customHeight="1">
      <c r="A37" s="414"/>
      <c r="B37" s="415"/>
      <c r="C37" s="415"/>
      <c r="D37" s="415"/>
      <c r="E37" s="415"/>
      <c r="F37" s="416"/>
    </row>
    <row r="38" spans="1:6" ht="18.95" customHeight="1">
      <c r="A38" s="414"/>
      <c r="B38" s="415"/>
      <c r="C38" s="415"/>
      <c r="D38" s="415"/>
      <c r="E38" s="415"/>
      <c r="F38" s="416"/>
    </row>
    <row r="39" spans="1:6" ht="18.95" customHeight="1">
      <c r="A39" s="423" t="s">
        <v>504</v>
      </c>
      <c r="B39" s="424" t="s">
        <v>371</v>
      </c>
      <c r="C39" s="558" t="str">
        <f>'Performance Data Sheet'!C10</f>
        <v>2253405.4</v>
      </c>
      <c r="D39" s="415"/>
      <c r="E39" s="420" t="s">
        <v>505</v>
      </c>
      <c r="F39" s="425" t="str">
        <f>F10</f>
        <v>BW4900U</v>
      </c>
    </row>
    <row r="40" spans="1:6" ht="18.95" customHeight="1">
      <c r="A40" s="414"/>
      <c r="B40" s="424"/>
      <c r="C40" s="424"/>
      <c r="D40" s="415"/>
      <c r="E40" s="415"/>
      <c r="F40" s="416"/>
    </row>
    <row r="41" spans="1:6" ht="18.95" customHeight="1">
      <c r="A41" s="414"/>
      <c r="B41" s="424"/>
      <c r="C41" s="424"/>
      <c r="D41" s="415"/>
      <c r="E41" s="415"/>
      <c r="F41" s="416"/>
    </row>
    <row r="42" spans="1:6" ht="18.95" customHeight="1">
      <c r="A42" s="414"/>
      <c r="B42" s="415"/>
      <c r="C42" s="415"/>
      <c r="D42" s="415"/>
      <c r="E42" s="415"/>
      <c r="F42" s="416"/>
    </row>
    <row r="43" spans="1:6" ht="18.95" customHeight="1">
      <c r="A43" s="426"/>
      <c r="B43" s="424"/>
      <c r="C43" s="427" t="s">
        <v>506</v>
      </c>
      <c r="D43" s="428" t="str">
        <f>'Performance Data Sheet'!K42</f>
        <v>Zichao Xie</v>
      </c>
      <c r="E43" s="427" t="s">
        <v>507</v>
      </c>
      <c r="F43" s="428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83" t="s">
        <v>398</v>
      </c>
      <c r="E53" s="383"/>
      <c r="F53" s="383"/>
      <c r="G53" s="383"/>
      <c r="H53" s="383"/>
      <c r="I53" s="383"/>
      <c r="J53" s="383"/>
      <c r="K53" s="383"/>
      <c r="L53" s="383"/>
    </row>
    <row r="54" spans="1:12" ht="15" customHeight="1">
      <c r="A54" s="431">
        <v>100</v>
      </c>
      <c r="B54" s="382">
        <v>0</v>
      </c>
      <c r="C54" s="382">
        <v>0.23958456516265869</v>
      </c>
      <c r="D54" s="383">
        <v>100</v>
      </c>
      <c r="E54" s="383"/>
      <c r="F54" s="383"/>
      <c r="G54" s="383"/>
      <c r="H54" s="383"/>
      <c r="I54" s="383"/>
      <c r="J54" s="383"/>
      <c r="K54" s="383"/>
      <c r="L54" s="383"/>
    </row>
    <row r="55" spans="1:12" ht="15" customHeight="1">
      <c r="A55" s="431">
        <v>98.400000110268593</v>
      </c>
      <c r="B55" s="382">
        <v>119.49520661746443</v>
      </c>
      <c r="C55" s="382">
        <v>130.25590515136719</v>
      </c>
      <c r="D55" s="383">
        <v>94.075416564941406</v>
      </c>
      <c r="E55" s="383"/>
      <c r="F55" s="383"/>
      <c r="G55" s="383"/>
      <c r="H55" s="383"/>
      <c r="I55" s="383"/>
      <c r="J55" s="383"/>
      <c r="K55" s="383"/>
      <c r="L55" s="383"/>
    </row>
    <row r="56" spans="1:12" ht="15" customHeight="1">
      <c r="A56" s="431">
        <v>92.000000178813934</v>
      </c>
      <c r="B56" s="382">
        <v>275</v>
      </c>
      <c r="C56" s="382">
        <v>424.81451416015625</v>
      </c>
      <c r="D56" s="383">
        <v>71.836105346679688</v>
      </c>
      <c r="E56" s="383"/>
      <c r="F56" s="383"/>
      <c r="G56" s="383"/>
      <c r="H56" s="383"/>
      <c r="I56" s="383"/>
      <c r="J56" s="383"/>
      <c r="K56" s="383"/>
      <c r="L56" s="383"/>
    </row>
    <row r="57" spans="1:12">
      <c r="A57" s="431">
        <v>87.157894670963287</v>
      </c>
      <c r="B57" s="382">
        <v>228.14992281177575</v>
      </c>
      <c r="C57" s="382">
        <v>521.88055419921875</v>
      </c>
      <c r="D57" s="383">
        <v>61.726844787597656</v>
      </c>
      <c r="E57" s="383"/>
      <c r="F57" s="383"/>
      <c r="G57" s="383"/>
      <c r="H57" s="383"/>
      <c r="I57" s="383"/>
      <c r="J57" s="383"/>
      <c r="K57" s="383"/>
      <c r="L57" s="383"/>
    </row>
    <row r="58" spans="1:12">
      <c r="A58" s="431">
        <v>82.31578916311264</v>
      </c>
      <c r="B58" s="382">
        <v>174.61270306948171</v>
      </c>
      <c r="C58" s="382">
        <v>553.37298583984375</v>
      </c>
      <c r="D58" s="383">
        <v>52.408336639404297</v>
      </c>
      <c r="E58" s="383"/>
      <c r="F58" s="383"/>
      <c r="G58" s="383"/>
      <c r="H58" s="383"/>
      <c r="I58" s="383"/>
      <c r="J58" s="383"/>
      <c r="K58" s="383"/>
      <c r="L58" s="383"/>
    </row>
    <row r="59" spans="1:12">
      <c r="A59" s="431">
        <v>77.473683655261993</v>
      </c>
      <c r="B59" s="382">
        <v>150.63986713844992</v>
      </c>
      <c r="C59" s="382">
        <v>570.21173095703125</v>
      </c>
      <c r="D59" s="383">
        <v>44.995922088623047</v>
      </c>
      <c r="E59" s="383"/>
      <c r="F59" s="383"/>
      <c r="G59" s="383"/>
      <c r="H59" s="383"/>
      <c r="I59" s="383"/>
      <c r="J59" s="383"/>
      <c r="K59" s="383"/>
      <c r="L59" s="383"/>
    </row>
    <row r="60" spans="1:12">
      <c r="A60" s="431">
        <v>67.789474129676819</v>
      </c>
      <c r="B60" s="382">
        <v>136.20830278418117</v>
      </c>
      <c r="C60" s="382">
        <v>592.76824951171875</v>
      </c>
      <c r="D60" s="383">
        <v>30.192197799682617</v>
      </c>
      <c r="E60" s="383"/>
      <c r="F60" s="383"/>
      <c r="G60" s="383"/>
      <c r="H60" s="383"/>
      <c r="I60" s="383"/>
      <c r="J60" s="383"/>
      <c r="K60" s="383"/>
      <c r="L60" s="383"/>
    </row>
    <row r="61" spans="1:12">
      <c r="A61" s="431">
        <v>58.105263113975525</v>
      </c>
      <c r="B61" s="382">
        <v>129.66712860917119</v>
      </c>
      <c r="C61" s="382">
        <v>610.04022216796875</v>
      </c>
      <c r="D61" s="383">
        <v>20.298036575317383</v>
      </c>
      <c r="E61" s="383"/>
      <c r="F61" s="383"/>
      <c r="G61" s="383"/>
      <c r="H61" s="383"/>
      <c r="I61" s="383"/>
      <c r="J61" s="383"/>
      <c r="K61" s="383"/>
      <c r="L61" s="383"/>
    </row>
    <row r="62" spans="1:12">
      <c r="A62" s="431">
        <v>48.42105507850647</v>
      </c>
      <c r="B62" s="382">
        <v>125.77916774787445</v>
      </c>
      <c r="C62" s="382">
        <v>624.07330322265625</v>
      </c>
      <c r="D62" s="383">
        <v>13.017415046691895</v>
      </c>
      <c r="E62" s="383"/>
      <c r="F62" s="383"/>
      <c r="G62" s="383"/>
      <c r="H62" s="383"/>
      <c r="I62" s="383"/>
      <c r="J62" s="383"/>
      <c r="K62" s="383"/>
      <c r="L62" s="383"/>
    </row>
    <row r="63" spans="1:12">
      <c r="A63" s="431">
        <v>38.736838102340698</v>
      </c>
      <c r="B63" s="382">
        <v>123.32352149912299</v>
      </c>
      <c r="C63" s="382">
        <v>635.54052734375</v>
      </c>
      <c r="D63" s="383">
        <v>7.7769498825073242</v>
      </c>
      <c r="E63" s="383"/>
      <c r="F63" s="383"/>
      <c r="G63" s="383"/>
      <c r="H63" s="383"/>
      <c r="I63" s="383"/>
      <c r="J63" s="383"/>
      <c r="K63" s="383"/>
      <c r="L63" s="383"/>
    </row>
    <row r="64" spans="1:12">
      <c r="A64" s="431">
        <v>29.052633047103882</v>
      </c>
      <c r="B64" s="382">
        <v>121.7787966811613</v>
      </c>
      <c r="C64" s="382">
        <v>644.7030029296875</v>
      </c>
      <c r="D64" s="383">
        <v>6.2341909408569336</v>
      </c>
      <c r="E64" s="383"/>
      <c r="F64" s="383"/>
      <c r="G64" s="383"/>
      <c r="H64" s="383"/>
      <c r="I64" s="383"/>
      <c r="J64" s="383"/>
      <c r="K64" s="383"/>
      <c r="L64" s="383"/>
    </row>
    <row r="65" spans="1:12">
      <c r="A65" s="431">
        <v>19.368422031402588</v>
      </c>
      <c r="B65" s="382">
        <v>120.83769325447085</v>
      </c>
      <c r="C65" s="382">
        <v>651.9852294921875</v>
      </c>
      <c r="D65" s="383">
        <v>8.4720211029052734</v>
      </c>
      <c r="E65" s="383"/>
      <c r="F65" s="383"/>
      <c r="G65" s="383"/>
      <c r="H65" s="383"/>
      <c r="I65" s="383"/>
      <c r="J65" s="383"/>
      <c r="K65" s="383"/>
      <c r="L65" s="383"/>
    </row>
    <row r="66" spans="1:12">
      <c r="A66" s="431">
        <v>9.6842110157012939</v>
      </c>
      <c r="B66" s="382">
        <v>120.29547752275191</v>
      </c>
      <c r="C66" s="382">
        <v>658.04022216796875</v>
      </c>
      <c r="D66" s="383">
        <v>15.47368335723877</v>
      </c>
      <c r="E66" s="383"/>
      <c r="F66" s="383"/>
      <c r="G66" s="383"/>
      <c r="H66" s="383"/>
      <c r="I66" s="383"/>
      <c r="J66" s="383"/>
      <c r="K66" s="383"/>
      <c r="L66" s="383"/>
    </row>
    <row r="67" spans="1:12">
      <c r="A67" s="432">
        <v>0</v>
      </c>
      <c r="B67" s="382">
        <v>120</v>
      </c>
      <c r="C67" s="382">
        <v>663.1578369140625</v>
      </c>
      <c r="D67" s="383">
        <v>30</v>
      </c>
      <c r="E67" s="383"/>
      <c r="F67" s="383"/>
      <c r="G67" s="383"/>
      <c r="H67" s="383"/>
      <c r="I67" s="383"/>
      <c r="J67" s="383"/>
      <c r="K67" s="383"/>
      <c r="L67" s="383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I81"/>
  <sheetViews>
    <sheetView workbookViewId="0">
      <selection activeCell="L19" sqref="L19"/>
    </sheetView>
  </sheetViews>
  <sheetFormatPr defaultRowHeight="12.75"/>
  <cols>
    <col min="1" max="6" width="16.7109375" style="395" customWidth="1"/>
    <col min="7" max="16384" width="9.140625" style="395"/>
  </cols>
  <sheetData>
    <row r="1" spans="1:6" ht="18.95" customHeight="1">
      <c r="A1" s="407"/>
      <c r="B1" s="408"/>
      <c r="C1" s="408"/>
      <c r="D1" s="408"/>
      <c r="E1" s="408"/>
      <c r="F1" s="409"/>
    </row>
    <row r="2" spans="1:6" ht="26.1" customHeight="1">
      <c r="A2" s="410" t="s">
        <v>268</v>
      </c>
      <c r="B2" s="411"/>
      <c r="C2" s="411"/>
      <c r="D2" s="411"/>
      <c r="E2" s="411"/>
      <c r="F2" s="412"/>
    </row>
    <row r="3" spans="1:6" ht="18.95" customHeight="1">
      <c r="A3" s="687" t="s">
        <v>511</v>
      </c>
      <c r="B3" s="688"/>
      <c r="C3" s="688"/>
      <c r="D3" s="688"/>
      <c r="E3" s="688"/>
      <c r="F3" s="689"/>
    </row>
    <row r="4" spans="1:6" ht="18.95" customHeight="1">
      <c r="A4" s="690" t="s">
        <v>512</v>
      </c>
      <c r="B4" s="691"/>
      <c r="C4" s="691"/>
      <c r="D4" s="691"/>
      <c r="E4" s="691"/>
      <c r="F4" s="692"/>
    </row>
    <row r="5" spans="1:6" ht="18.95" customHeight="1">
      <c r="A5" s="414"/>
      <c r="B5" s="415"/>
      <c r="C5" s="415"/>
      <c r="D5" s="415"/>
      <c r="E5" s="415"/>
      <c r="F5" s="416"/>
    </row>
    <row r="6" spans="1:6" ht="18.95" customHeight="1">
      <c r="A6" s="417" t="s">
        <v>488</v>
      </c>
      <c r="B6" s="684" t="str">
        <f>'Performance Data Sheet'!C17</f>
        <v>TC-10126027</v>
      </c>
      <c r="C6" s="685"/>
      <c r="D6" s="686"/>
      <c r="E6" s="417" t="s">
        <v>489</v>
      </c>
      <c r="F6" s="418">
        <f>'Performance Data Sheet'!I14</f>
        <v>114</v>
      </c>
    </row>
    <row r="7" spans="1:6" ht="18.95" customHeight="1">
      <c r="A7" s="417" t="s">
        <v>490</v>
      </c>
      <c r="B7" s="418" t="str">
        <f>'Performance Data Sheet'!F14</f>
        <v>TEAAC</v>
      </c>
      <c r="C7" s="417" t="s">
        <v>491</v>
      </c>
      <c r="D7" s="418" t="str">
        <f>'Performance Data Sheet'!F13 &amp; " V"</f>
        <v>4000 V</v>
      </c>
      <c r="E7" s="417" t="s">
        <v>492</v>
      </c>
      <c r="F7" s="418" t="str">
        <f>'Performance Data Sheet'!C14</f>
        <v>5812US</v>
      </c>
    </row>
    <row r="8" spans="1:6" ht="18.95" customHeight="1">
      <c r="A8" s="417" t="s">
        <v>493</v>
      </c>
      <c r="B8" s="418">
        <v>4</v>
      </c>
      <c r="C8" s="417" t="s">
        <v>494</v>
      </c>
      <c r="D8" s="418" t="s">
        <v>495</v>
      </c>
      <c r="E8" s="417" t="s">
        <v>496</v>
      </c>
      <c r="F8" s="418" t="str">
        <f>'Performance Data Sheet'!M15</f>
        <v>F</v>
      </c>
    </row>
    <row r="9" spans="1:6" ht="18.95" customHeight="1">
      <c r="A9" s="417" t="s">
        <v>497</v>
      </c>
      <c r="B9" s="418">
        <f>'Performance Data Sheet'!C13</f>
        <v>900</v>
      </c>
      <c r="C9" s="417" t="s">
        <v>498</v>
      </c>
      <c r="D9" s="418" t="s">
        <v>508</v>
      </c>
      <c r="E9" s="417" t="s">
        <v>2</v>
      </c>
      <c r="F9" s="419">
        <f>'Performance Data Sheet'!K44</f>
        <v>44664</v>
      </c>
    </row>
    <row r="10" spans="1:6" ht="18.95" customHeight="1">
      <c r="A10" s="417" t="s">
        <v>499</v>
      </c>
      <c r="B10" s="418">
        <f>'Performance Data Sheet'!M14</f>
        <v>1785</v>
      </c>
      <c r="C10" s="417" t="s">
        <v>400</v>
      </c>
      <c r="D10" s="418" t="s">
        <v>509</v>
      </c>
      <c r="E10" s="417" t="s">
        <v>1</v>
      </c>
      <c r="F10" s="418" t="s">
        <v>380</v>
      </c>
    </row>
    <row r="11" spans="1:6" ht="18.95" customHeight="1">
      <c r="A11" s="414"/>
      <c r="B11" s="415"/>
      <c r="C11" s="415"/>
      <c r="D11" s="415"/>
      <c r="E11" s="415"/>
      <c r="F11" s="416"/>
    </row>
    <row r="12" spans="1:6" ht="18.95" customHeight="1">
      <c r="A12" s="414"/>
      <c r="B12" s="420"/>
      <c r="C12" s="421" t="str">
        <f>'Performance Data Sheet'!D22 &amp; " A"</f>
        <v>756 A</v>
      </c>
      <c r="D12" s="420"/>
      <c r="E12" s="421"/>
      <c r="F12" s="416"/>
    </row>
    <row r="13" spans="1:6" ht="18.95" customHeight="1">
      <c r="A13" s="414"/>
      <c r="B13" s="420"/>
      <c r="C13" s="422">
        <f>'Performance Data Sheet'!H23/100</f>
        <v>1.2</v>
      </c>
      <c r="D13" s="420"/>
      <c r="E13" s="421"/>
      <c r="F13" s="416"/>
    </row>
    <row r="14" spans="1:6" ht="18.95" customHeight="1">
      <c r="A14" s="414"/>
      <c r="B14" s="420"/>
      <c r="C14" s="422"/>
      <c r="D14" s="420"/>
      <c r="E14" s="421"/>
      <c r="F14" s="416"/>
    </row>
    <row r="15" spans="1:6" ht="18.95" customHeight="1">
      <c r="A15" s="414"/>
      <c r="B15" s="420"/>
      <c r="C15" s="421" t="str">
        <f>'Performance Data Sheet'!H22 &amp; " lb-ft"</f>
        <v>2648 lb-ft</v>
      </c>
      <c r="D15" s="415"/>
      <c r="E15" s="415"/>
      <c r="F15" s="416"/>
    </row>
    <row r="16" spans="1:6" ht="18.95" customHeight="1">
      <c r="A16" s="414"/>
      <c r="B16" s="415"/>
      <c r="C16" s="415"/>
      <c r="D16" s="415"/>
      <c r="E16" s="415"/>
      <c r="F16" s="416"/>
    </row>
    <row r="17" spans="1:6" ht="18.95" customHeight="1">
      <c r="A17" s="414"/>
      <c r="B17" s="415"/>
      <c r="C17" s="415"/>
      <c r="D17" s="415"/>
      <c r="E17" s="415"/>
      <c r="F17" s="416"/>
    </row>
    <row r="18" spans="1:6" ht="18.95" customHeight="1">
      <c r="A18" s="414"/>
      <c r="B18" s="415"/>
      <c r="C18" s="415"/>
      <c r="D18" s="415"/>
      <c r="E18" s="415"/>
      <c r="F18" s="416"/>
    </row>
    <row r="19" spans="1:6" ht="18.95" customHeight="1">
      <c r="A19" s="414"/>
      <c r="B19" s="415"/>
      <c r="C19" s="415"/>
      <c r="D19" s="415"/>
      <c r="E19" s="415"/>
      <c r="F19" s="416"/>
    </row>
    <row r="20" spans="1:6" ht="18.95" customHeight="1">
      <c r="A20" s="414"/>
      <c r="B20" s="415"/>
      <c r="C20" s="415"/>
      <c r="D20" s="415"/>
      <c r="E20" s="415"/>
      <c r="F20" s="416"/>
    </row>
    <row r="21" spans="1:6" ht="18.95" customHeight="1">
      <c r="A21" s="414"/>
      <c r="B21" s="415"/>
      <c r="C21" s="415"/>
      <c r="D21" s="415"/>
      <c r="E21" s="415"/>
      <c r="F21" s="416"/>
    </row>
    <row r="22" spans="1:6" ht="18.95" customHeight="1">
      <c r="A22" s="414"/>
      <c r="B22" s="415"/>
      <c r="C22" s="415"/>
      <c r="D22" s="415"/>
      <c r="E22" s="415"/>
      <c r="F22" s="416"/>
    </row>
    <row r="23" spans="1:6" ht="18.95" customHeight="1">
      <c r="A23" s="414"/>
      <c r="B23" s="415"/>
      <c r="C23" s="415"/>
      <c r="D23" s="415"/>
      <c r="E23" s="415"/>
      <c r="F23" s="416"/>
    </row>
    <row r="24" spans="1:6" ht="18.95" customHeight="1">
      <c r="A24" s="414"/>
      <c r="B24" s="415"/>
      <c r="C24" s="415"/>
      <c r="D24" s="415"/>
      <c r="E24" s="415"/>
      <c r="F24" s="416"/>
    </row>
    <row r="25" spans="1:6" ht="18.95" customHeight="1">
      <c r="A25" s="414"/>
      <c r="B25" s="415"/>
      <c r="C25" s="415"/>
      <c r="D25" s="415"/>
      <c r="E25" s="415"/>
      <c r="F25" s="416"/>
    </row>
    <row r="26" spans="1:6" ht="18.95" customHeight="1">
      <c r="A26" s="414"/>
      <c r="B26" s="415"/>
      <c r="C26" s="415"/>
      <c r="D26" s="415"/>
      <c r="E26" s="415"/>
      <c r="F26" s="416"/>
    </row>
    <row r="27" spans="1:6" ht="18.95" customHeight="1">
      <c r="A27" s="414"/>
      <c r="B27" s="415"/>
      <c r="C27" s="415"/>
      <c r="D27" s="415"/>
      <c r="E27" s="415"/>
      <c r="F27" s="416"/>
    </row>
    <row r="28" spans="1:6" ht="18.95" customHeight="1">
      <c r="A28" s="414"/>
      <c r="B28" s="415"/>
      <c r="C28" s="415"/>
      <c r="D28" s="415"/>
      <c r="E28" s="415"/>
      <c r="F28" s="416"/>
    </row>
    <row r="29" spans="1:6" ht="18.95" customHeight="1">
      <c r="A29" s="414"/>
      <c r="B29" s="415"/>
      <c r="C29" s="415"/>
      <c r="D29" s="415"/>
      <c r="E29" s="415"/>
      <c r="F29" s="416"/>
    </row>
    <row r="30" spans="1:6" ht="18.95" customHeight="1">
      <c r="A30" s="414"/>
      <c r="B30" s="415"/>
      <c r="C30" s="415"/>
      <c r="D30" s="415"/>
      <c r="E30" s="415"/>
      <c r="F30" s="416"/>
    </row>
    <row r="31" spans="1:6" ht="18.95" customHeight="1">
      <c r="A31" s="414"/>
      <c r="B31" s="415"/>
      <c r="C31" s="415"/>
      <c r="D31" s="415"/>
      <c r="E31" s="415"/>
      <c r="F31" s="416"/>
    </row>
    <row r="32" spans="1:6" ht="18.95" customHeight="1">
      <c r="A32" s="414"/>
      <c r="B32" s="415"/>
      <c r="C32" s="415"/>
      <c r="D32" s="415"/>
      <c r="E32" s="415"/>
      <c r="F32" s="416"/>
    </row>
    <row r="33" spans="1:6" ht="18.95" customHeight="1">
      <c r="A33" s="414"/>
      <c r="B33" s="415"/>
      <c r="C33" s="415"/>
      <c r="D33" s="415"/>
      <c r="E33" s="415"/>
      <c r="F33" s="416"/>
    </row>
    <row r="34" spans="1:6" ht="18.95" customHeight="1">
      <c r="A34" s="414"/>
      <c r="B34" s="415"/>
      <c r="C34" s="415"/>
      <c r="D34" s="415"/>
      <c r="E34" s="415"/>
      <c r="F34" s="416"/>
    </row>
    <row r="35" spans="1:6" ht="18.95" customHeight="1">
      <c r="A35" s="414"/>
      <c r="B35" s="415"/>
      <c r="C35" s="415"/>
      <c r="D35" s="415"/>
      <c r="E35" s="415"/>
      <c r="F35" s="416"/>
    </row>
    <row r="36" spans="1:6" ht="18.95" customHeight="1">
      <c r="A36" s="414"/>
      <c r="B36" s="415"/>
      <c r="C36" s="415"/>
      <c r="D36" s="415"/>
      <c r="E36" s="415"/>
      <c r="F36" s="416"/>
    </row>
    <row r="37" spans="1:6" ht="18.95" customHeight="1">
      <c r="A37" s="414"/>
      <c r="B37" s="415"/>
      <c r="C37" s="415"/>
      <c r="D37" s="415"/>
      <c r="E37" s="415"/>
      <c r="F37" s="416"/>
    </row>
    <row r="38" spans="1:6" ht="18.95" customHeight="1">
      <c r="A38" s="414"/>
      <c r="B38" s="415"/>
      <c r="C38" s="415"/>
      <c r="D38" s="415"/>
      <c r="E38" s="415"/>
      <c r="F38" s="416"/>
    </row>
    <row r="39" spans="1:6" ht="18.95" customHeight="1">
      <c r="A39" s="423" t="s">
        <v>504</v>
      </c>
      <c r="B39" s="424" t="s">
        <v>371</v>
      </c>
      <c r="C39" s="558" t="str">
        <f>'Performance Data Sheet'!C10</f>
        <v>2253405.4</v>
      </c>
      <c r="D39" s="415"/>
      <c r="E39" s="420" t="s">
        <v>505</v>
      </c>
      <c r="F39" s="425" t="str">
        <f>F10</f>
        <v>BW4900U</v>
      </c>
    </row>
    <row r="40" spans="1:6" ht="18.95" customHeight="1">
      <c r="A40" s="414"/>
      <c r="B40" s="424"/>
      <c r="C40" s="424"/>
      <c r="D40" s="415"/>
      <c r="E40" s="415"/>
      <c r="F40" s="416"/>
    </row>
    <row r="41" spans="1:6" ht="18.95" customHeight="1">
      <c r="A41" s="414"/>
      <c r="B41" s="424"/>
      <c r="C41" s="424"/>
      <c r="D41" s="415"/>
      <c r="E41" s="415"/>
      <c r="F41" s="416"/>
    </row>
    <row r="42" spans="1:6" ht="18.95" customHeight="1">
      <c r="A42" s="414"/>
      <c r="B42" s="415"/>
      <c r="C42" s="415"/>
      <c r="D42" s="415"/>
      <c r="E42" s="415"/>
      <c r="F42" s="416"/>
    </row>
    <row r="43" spans="1:6" ht="18.95" customHeight="1">
      <c r="A43" s="426"/>
      <c r="B43" s="424"/>
      <c r="C43" s="427" t="s">
        <v>506</v>
      </c>
      <c r="D43" s="428" t="str">
        <f>'Performance Data Sheet'!K42</f>
        <v>Zichao Xie</v>
      </c>
      <c r="E43" s="427" t="s">
        <v>507</v>
      </c>
      <c r="F43" s="428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33" t="e">
        <f>5252.1*B50/D53</f>
        <v>#DIV/0!</v>
      </c>
      <c r="G50" s="433"/>
    </row>
    <row r="51" spans="6:9" ht="15" customHeight="1">
      <c r="G51" s="434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35"/>
    </row>
    <row r="63" spans="6:9">
      <c r="I63" s="436" t="s">
        <v>39</v>
      </c>
    </row>
    <row r="64" spans="6:9">
      <c r="I64" s="436"/>
    </row>
    <row r="65" spans="1:9">
      <c r="I65" s="436"/>
    </row>
    <row r="66" spans="1:9">
      <c r="D66" s="433" t="e">
        <f>D65/D64</f>
        <v>#DIV/0!</v>
      </c>
    </row>
    <row r="67" spans="1:9">
      <c r="A67" s="437" t="s">
        <v>395</v>
      </c>
      <c r="B67" s="437" t="s">
        <v>513</v>
      </c>
      <c r="C67" s="437" t="s">
        <v>514</v>
      </c>
      <c r="E67" s="437" t="s">
        <v>515</v>
      </c>
      <c r="F67" s="437" t="s">
        <v>516</v>
      </c>
    </row>
    <row r="68" spans="1:9">
      <c r="A68" s="438">
        <v>663.15789473684208</v>
      </c>
      <c r="B68" s="439">
        <v>35</v>
      </c>
      <c r="C68" s="439">
        <v>15</v>
      </c>
      <c r="E68" s="438">
        <f>A68</f>
        <v>663.15789473684208</v>
      </c>
      <c r="F68" s="439">
        <v>1E-4</v>
      </c>
    </row>
    <row r="69" spans="1:9">
      <c r="A69" s="438">
        <v>582.77996842105267</v>
      </c>
      <c r="B69" s="439">
        <f>((A68/A69)^2)*B68</f>
        <v>45.320292222704914</v>
      </c>
      <c r="C69" s="439">
        <f>((A68/A69)^2)*C68</f>
        <v>19.422982381159251</v>
      </c>
      <c r="E69" s="438">
        <v>660.61403508771934</v>
      </c>
      <c r="F69" s="439">
        <v>0.75400000810623169</v>
      </c>
    </row>
    <row r="70" spans="1:9">
      <c r="A70" s="438">
        <v>502.37792631578947</v>
      </c>
      <c r="B70" s="439">
        <f>((A68/A70)^2)*B68</f>
        <v>60.987500516131504</v>
      </c>
      <c r="C70" s="439">
        <f>((A68/A70)^2)*C68</f>
        <v>26.137500221199215</v>
      </c>
      <c r="E70" s="438">
        <v>655</v>
      </c>
      <c r="F70" s="439">
        <v>1.4300000667572021</v>
      </c>
    </row>
    <row r="71" spans="1:9">
      <c r="A71" s="438">
        <v>422</v>
      </c>
      <c r="B71" s="439">
        <f>((A68/A71)^2)*B68</f>
        <v>86.432491225000661</v>
      </c>
      <c r="C71" s="439">
        <f>((A68/A71)^2)*C68</f>
        <v>37.042496239286002</v>
      </c>
      <c r="E71" s="438">
        <v>648.33333333333337</v>
      </c>
      <c r="F71" s="439">
        <v>2.0740001201629639</v>
      </c>
    </row>
    <row r="72" spans="1:9">
      <c r="A72" s="438">
        <f>A71-100</f>
        <v>322</v>
      </c>
      <c r="B72" s="439">
        <f>((A68/A72)^2)*B68</f>
        <v>148.45341390487462</v>
      </c>
      <c r="C72" s="439"/>
      <c r="E72" s="438">
        <v>640.08771929824559</v>
      </c>
      <c r="F72" s="439">
        <v>2.7100000381469727</v>
      </c>
    </row>
    <row r="73" spans="1:9">
      <c r="A73" s="438">
        <f>A72-100</f>
        <v>222</v>
      </c>
      <c r="B73" s="439">
        <f>((A68/A73)^2)*B68</f>
        <v>312.3172584878057</v>
      </c>
      <c r="C73" s="439"/>
      <c r="E73" s="438">
        <v>629.82456140350882</v>
      </c>
      <c r="F73" s="439">
        <v>3.3529999256134033</v>
      </c>
    </row>
    <row r="74" spans="1:9">
      <c r="A74" s="438">
        <v>275</v>
      </c>
      <c r="B74" s="439">
        <f>((A68/A74)^2)*B68</f>
        <v>203.53380188182499</v>
      </c>
      <c r="C74" s="439">
        <f>((A68/A74)^2)*C68</f>
        <v>87.228772235067851</v>
      </c>
      <c r="E74" s="438">
        <v>617.01754385964909</v>
      </c>
      <c r="F74" s="439">
        <v>4.0139999389648438</v>
      </c>
    </row>
    <row r="75" spans="1:9">
      <c r="A75" s="440">
        <v>180</v>
      </c>
      <c r="B75" s="439">
        <f>((A68/A75)^2)*B69</f>
        <v>615.15078086219967</v>
      </c>
      <c r="C75" s="439">
        <f>((A68/A75)^2)*C68</f>
        <v>203.60110803324099</v>
      </c>
      <c r="E75" s="438">
        <v>601.40350877192986</v>
      </c>
      <c r="F75" s="439">
        <v>4.6960000991821289</v>
      </c>
    </row>
    <row r="76" spans="1:9">
      <c r="A76" s="440">
        <v>145</v>
      </c>
      <c r="B76" s="439">
        <f>((A68/A76)^2)*B68</f>
        <v>732.09245028837188</v>
      </c>
      <c r="C76" s="439">
        <f>((A68/A76)^2)*C68</f>
        <v>313.75390726644508</v>
      </c>
      <c r="E76" s="438">
        <v>581.49122807017545</v>
      </c>
      <c r="F76" s="439">
        <v>5.3899998664855957</v>
      </c>
    </row>
    <row r="77" spans="1:9">
      <c r="A77" s="440">
        <v>125</v>
      </c>
      <c r="B77" s="439"/>
      <c r="C77" s="438">
        <f>CEILING(C76*2,100)</f>
        <v>700</v>
      </c>
      <c r="E77" s="438">
        <v>561.75438596491233</v>
      </c>
      <c r="F77" s="439">
        <v>5.7119998931884766</v>
      </c>
    </row>
    <row r="78" spans="1:9">
      <c r="A78" s="440">
        <v>125</v>
      </c>
      <c r="B78" s="439"/>
      <c r="C78" s="438">
        <f>2*C77</f>
        <v>1400</v>
      </c>
      <c r="E78" s="438">
        <v>537.63157894736844</v>
      </c>
      <c r="F78" s="439">
        <v>5.9660000801086426</v>
      </c>
    </row>
    <row r="79" spans="1:9">
      <c r="A79" s="440">
        <v>125</v>
      </c>
      <c r="B79" s="440"/>
      <c r="C79" s="440">
        <v>10000</v>
      </c>
      <c r="E79" s="438">
        <v>473.33333333333331</v>
      </c>
      <c r="F79" s="439">
        <v>6.1649999618530273</v>
      </c>
    </row>
    <row r="80" spans="1:9">
      <c r="E80" s="438">
        <v>277.54385964912279</v>
      </c>
      <c r="F80" s="439">
        <v>6.5900001525878906</v>
      </c>
    </row>
    <row r="81" spans="5:6">
      <c r="E81" s="438">
        <v>78.765020612226991</v>
      </c>
      <c r="F81" s="439">
        <v>7.1140003204345703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O69"/>
  <sheetViews>
    <sheetView workbookViewId="0">
      <selection activeCell="K30" sqref="K30"/>
    </sheetView>
  </sheetViews>
  <sheetFormatPr defaultRowHeight="12.75"/>
  <cols>
    <col min="1" max="6" width="16.7109375" style="395" customWidth="1"/>
    <col min="7" max="16384" width="9.140625" style="395"/>
  </cols>
  <sheetData>
    <row r="1" spans="1:6" ht="18.95" customHeight="1">
      <c r="A1" s="407"/>
      <c r="B1" s="408"/>
      <c r="C1" s="408"/>
      <c r="D1" s="408"/>
      <c r="E1" s="408"/>
      <c r="F1" s="409"/>
    </row>
    <row r="2" spans="1:6" ht="26.1" customHeight="1">
      <c r="A2" s="410" t="s">
        <v>268</v>
      </c>
      <c r="B2" s="411"/>
      <c r="C2" s="411"/>
      <c r="D2" s="411"/>
      <c r="E2" s="411"/>
      <c r="F2" s="412"/>
    </row>
    <row r="3" spans="1:6" ht="18.95" customHeight="1">
      <c r="A3" s="413" t="s">
        <v>517</v>
      </c>
      <c r="B3" s="411"/>
      <c r="C3" s="411"/>
      <c r="D3" s="411"/>
      <c r="E3" s="411"/>
      <c r="F3" s="412"/>
    </row>
    <row r="4" spans="1:6" ht="18.95" customHeight="1">
      <c r="A4" s="690" t="s">
        <v>512</v>
      </c>
      <c r="B4" s="691"/>
      <c r="C4" s="691"/>
      <c r="D4" s="691"/>
      <c r="E4" s="691"/>
      <c r="F4" s="692"/>
    </row>
    <row r="5" spans="1:6" ht="18.95" customHeight="1">
      <c r="A5" s="414"/>
      <c r="B5" s="415"/>
      <c r="C5" s="415"/>
      <c r="D5" s="415"/>
      <c r="E5" s="415"/>
      <c r="F5" s="416"/>
    </row>
    <row r="6" spans="1:6" ht="18.95" customHeight="1">
      <c r="A6" s="417" t="s">
        <v>488</v>
      </c>
      <c r="B6" s="684" t="str">
        <f>'Performance Data Sheet'!C17</f>
        <v>TC-10126027</v>
      </c>
      <c r="C6" s="685"/>
      <c r="D6" s="686"/>
      <c r="E6" s="417" t="s">
        <v>489</v>
      </c>
      <c r="F6" s="418">
        <f>'Performance Data Sheet'!I14</f>
        <v>114</v>
      </c>
    </row>
    <row r="7" spans="1:6" ht="18.95" customHeight="1">
      <c r="A7" s="417" t="s">
        <v>490</v>
      </c>
      <c r="B7" s="418" t="str">
        <f>'Performance Data Sheet'!F14</f>
        <v>TEAAC</v>
      </c>
      <c r="C7" s="417" t="s">
        <v>491</v>
      </c>
      <c r="D7" s="418" t="str">
        <f>'Performance Data Sheet'!F13 &amp; " V"</f>
        <v>4000 V</v>
      </c>
      <c r="E7" s="417" t="s">
        <v>492</v>
      </c>
      <c r="F7" s="418" t="str">
        <f>'Performance Data Sheet'!C14</f>
        <v>5812US</v>
      </c>
    </row>
    <row r="8" spans="1:6" ht="18.95" customHeight="1">
      <c r="A8" s="417" t="s">
        <v>493</v>
      </c>
      <c r="B8" s="418">
        <v>4</v>
      </c>
      <c r="C8" s="417" t="s">
        <v>494</v>
      </c>
      <c r="D8" s="418" t="s">
        <v>495</v>
      </c>
      <c r="E8" s="417" t="s">
        <v>496</v>
      </c>
      <c r="F8" s="418" t="str">
        <f>'Performance Data Sheet'!M15</f>
        <v>F</v>
      </c>
    </row>
    <row r="9" spans="1:6" ht="18.95" customHeight="1">
      <c r="A9" s="417" t="s">
        <v>497</v>
      </c>
      <c r="B9" s="418">
        <f>'Performance Data Sheet'!C13</f>
        <v>900</v>
      </c>
      <c r="C9" s="417" t="s">
        <v>498</v>
      </c>
      <c r="D9" s="418" t="s">
        <v>508</v>
      </c>
      <c r="E9" s="417" t="s">
        <v>2</v>
      </c>
      <c r="F9" s="419">
        <f>'Performance Data Sheet'!K44</f>
        <v>44664</v>
      </c>
    </row>
    <row r="10" spans="1:6" ht="18.95" customHeight="1">
      <c r="A10" s="417" t="s">
        <v>499</v>
      </c>
      <c r="B10" s="418">
        <f>'Performance Data Sheet'!M14</f>
        <v>1785</v>
      </c>
      <c r="C10" s="417" t="s">
        <v>400</v>
      </c>
      <c r="D10" s="418" t="s">
        <v>509</v>
      </c>
      <c r="E10" s="417" t="s">
        <v>1</v>
      </c>
      <c r="F10" s="418" t="s">
        <v>380</v>
      </c>
    </row>
    <row r="11" spans="1:6" ht="18.95" customHeight="1">
      <c r="A11" s="414"/>
      <c r="B11" s="415"/>
      <c r="C11" s="415"/>
      <c r="D11" s="415"/>
      <c r="E11" s="415"/>
      <c r="F11" s="416"/>
    </row>
    <row r="12" spans="1:6" ht="18.95" customHeight="1">
      <c r="A12" s="414"/>
      <c r="B12" s="420" t="s">
        <v>500</v>
      </c>
      <c r="C12" s="421" t="str">
        <f>'Performance Data Sheet'!D22 &amp; " A"</f>
        <v>756 A</v>
      </c>
      <c r="D12" s="420" t="s">
        <v>399</v>
      </c>
      <c r="E12" s="421" t="s">
        <v>403</v>
      </c>
      <c r="F12" s="416"/>
    </row>
    <row r="13" spans="1:6" ht="18.95" customHeight="1">
      <c r="A13" s="414"/>
      <c r="B13" s="420" t="s">
        <v>501</v>
      </c>
      <c r="C13" s="422">
        <f>'Performance Data Sheet'!H23/100</f>
        <v>1.2</v>
      </c>
      <c r="D13" s="420" t="s">
        <v>502</v>
      </c>
      <c r="E13" s="421" t="s">
        <v>510</v>
      </c>
      <c r="F13" s="416"/>
    </row>
    <row r="14" spans="1:6" ht="18.95" customHeight="1">
      <c r="A14" s="414"/>
      <c r="B14" s="420" t="s">
        <v>503</v>
      </c>
      <c r="C14" s="422">
        <v>2.75</v>
      </c>
      <c r="D14" s="420" t="s">
        <v>401</v>
      </c>
      <c r="E14" s="421" t="s">
        <v>406</v>
      </c>
      <c r="F14" s="416"/>
    </row>
    <row r="15" spans="1:6" ht="18.95" customHeight="1">
      <c r="A15" s="414"/>
      <c r="B15" s="420" t="s">
        <v>402</v>
      </c>
      <c r="C15" s="421" t="str">
        <f>'Performance Data Sheet'!H22 &amp; " lb-ft"</f>
        <v>2648 lb-ft</v>
      </c>
      <c r="D15" s="415"/>
      <c r="E15" s="415"/>
      <c r="F15" s="416"/>
    </row>
    <row r="16" spans="1:6" ht="18.95" customHeight="1">
      <c r="A16" s="414"/>
      <c r="B16" s="415"/>
      <c r="C16" s="415"/>
      <c r="D16" s="415"/>
      <c r="E16" s="415"/>
      <c r="F16" s="416"/>
    </row>
    <row r="17" spans="1:8" ht="18.95" customHeight="1">
      <c r="A17" s="414"/>
      <c r="B17" s="415"/>
      <c r="C17" s="415"/>
      <c r="D17" s="415"/>
      <c r="E17" s="415"/>
      <c r="F17" s="416"/>
    </row>
    <row r="18" spans="1:8" ht="18.95" customHeight="1">
      <c r="A18" s="414"/>
      <c r="B18" s="415"/>
      <c r="C18" s="415"/>
      <c r="D18" s="415"/>
      <c r="E18" s="415"/>
      <c r="F18" s="416"/>
    </row>
    <row r="19" spans="1:8" ht="18.95" customHeight="1">
      <c r="A19" s="414"/>
      <c r="B19" s="415"/>
      <c r="C19" s="415"/>
      <c r="D19" s="415"/>
      <c r="E19" s="415"/>
      <c r="F19" s="416"/>
    </row>
    <row r="20" spans="1:8" ht="18.95" customHeight="1">
      <c r="A20" s="414"/>
      <c r="B20" s="415"/>
      <c r="C20" s="415"/>
      <c r="D20" s="415"/>
      <c r="E20" s="415"/>
      <c r="F20" s="416"/>
    </row>
    <row r="21" spans="1:8" ht="18.95" customHeight="1">
      <c r="A21" s="414"/>
      <c r="B21" s="415"/>
      <c r="C21" s="415"/>
      <c r="D21" s="415"/>
      <c r="E21" s="415"/>
      <c r="F21" s="416"/>
    </row>
    <row r="22" spans="1:8" ht="18.95" customHeight="1">
      <c r="A22" s="414"/>
      <c r="B22" s="415"/>
      <c r="C22" s="415"/>
      <c r="D22" s="415"/>
      <c r="E22" s="415"/>
      <c r="F22" s="416"/>
    </row>
    <row r="23" spans="1:8" ht="18.95" customHeight="1">
      <c r="A23" s="414"/>
      <c r="B23" s="415"/>
      <c r="C23" s="415"/>
      <c r="D23" s="415"/>
      <c r="E23" s="415"/>
      <c r="F23" s="416"/>
    </row>
    <row r="24" spans="1:8" ht="18.95" customHeight="1">
      <c r="A24" s="414"/>
      <c r="B24" s="415"/>
      <c r="C24" s="415"/>
      <c r="D24" s="415"/>
      <c r="E24" s="415"/>
      <c r="F24" s="416"/>
      <c r="H24" s="441"/>
    </row>
    <row r="25" spans="1:8" ht="18.95" customHeight="1">
      <c r="A25" s="414"/>
      <c r="B25" s="415"/>
      <c r="C25" s="415"/>
      <c r="D25" s="415"/>
      <c r="E25" s="415"/>
      <c r="F25" s="416"/>
    </row>
    <row r="26" spans="1:8" ht="18.95" customHeight="1">
      <c r="A26" s="414"/>
      <c r="B26" s="415"/>
      <c r="C26" s="415"/>
      <c r="D26" s="415"/>
      <c r="E26" s="415"/>
      <c r="F26" s="416"/>
    </row>
    <row r="27" spans="1:8" ht="18.95" customHeight="1">
      <c r="A27" s="414"/>
      <c r="B27" s="415"/>
      <c r="C27" s="415"/>
      <c r="D27" s="415"/>
      <c r="E27" s="415"/>
      <c r="F27" s="416"/>
    </row>
    <row r="28" spans="1:8" ht="18.95" customHeight="1">
      <c r="A28" s="414"/>
      <c r="B28" s="415"/>
      <c r="C28" s="415"/>
      <c r="D28" s="415"/>
      <c r="E28" s="415"/>
      <c r="F28" s="416"/>
    </row>
    <row r="29" spans="1:8" ht="18.95" customHeight="1">
      <c r="A29" s="414"/>
      <c r="B29" s="415"/>
      <c r="C29" s="415"/>
      <c r="D29" s="415"/>
      <c r="E29" s="415"/>
      <c r="F29" s="416"/>
    </row>
    <row r="30" spans="1:8" ht="18.95" customHeight="1">
      <c r="A30" s="414"/>
      <c r="B30" s="415"/>
      <c r="C30" s="415"/>
      <c r="D30" s="415"/>
      <c r="E30" s="415"/>
      <c r="F30" s="416"/>
    </row>
    <row r="31" spans="1:8" ht="18.95" customHeight="1">
      <c r="A31" s="414"/>
      <c r="B31" s="415"/>
      <c r="C31" s="415"/>
      <c r="D31" s="415"/>
      <c r="E31" s="415"/>
      <c r="F31" s="416"/>
    </row>
    <row r="32" spans="1:8" ht="18.95" customHeight="1">
      <c r="A32" s="414"/>
      <c r="B32" s="415"/>
      <c r="C32" s="415"/>
      <c r="D32" s="415"/>
      <c r="E32" s="415"/>
      <c r="F32" s="416"/>
    </row>
    <row r="33" spans="1:15" ht="18.95" customHeight="1">
      <c r="A33" s="414"/>
      <c r="B33" s="415"/>
      <c r="C33" s="415"/>
      <c r="D33" s="415"/>
      <c r="E33" s="415"/>
      <c r="F33" s="416"/>
    </row>
    <row r="34" spans="1:15" ht="18.95" customHeight="1">
      <c r="A34" s="414"/>
      <c r="B34" s="415"/>
      <c r="C34" s="415"/>
      <c r="D34" s="415"/>
      <c r="E34" s="415"/>
      <c r="F34" s="416"/>
    </row>
    <row r="35" spans="1:15" ht="18.95" customHeight="1">
      <c r="A35" s="414"/>
      <c r="B35" s="415"/>
      <c r="C35" s="415"/>
      <c r="D35" s="415"/>
      <c r="E35" s="415"/>
      <c r="F35" s="416"/>
    </row>
    <row r="36" spans="1:15" ht="18.95" customHeight="1">
      <c r="A36" s="414"/>
      <c r="B36" s="415"/>
      <c r="C36" s="415"/>
      <c r="D36" s="415"/>
      <c r="E36" s="415"/>
      <c r="F36" s="416"/>
      <c r="N36" s="559" t="s">
        <v>720</v>
      </c>
      <c r="O36" s="559" t="s">
        <v>721</v>
      </c>
    </row>
    <row r="37" spans="1:15" ht="18.95" customHeight="1">
      <c r="A37" s="414"/>
      <c r="B37" s="415"/>
      <c r="C37" s="415"/>
      <c r="D37" s="415"/>
      <c r="E37" s="415"/>
      <c r="F37" s="416"/>
      <c r="N37" s="559">
        <f xml:space="preserve"> L43 - (L43-L44) / 10 * 0</f>
        <v>1800</v>
      </c>
      <c r="O37" s="559">
        <f xml:space="preserve"> L45 / 10 * 10</f>
        <v>1800</v>
      </c>
    </row>
    <row r="38" spans="1:15" ht="18.95" customHeight="1">
      <c r="A38" s="414"/>
      <c r="B38" s="415"/>
      <c r="C38" s="415"/>
      <c r="D38" s="415"/>
      <c r="E38" s="415"/>
      <c r="F38" s="416"/>
      <c r="N38" s="559">
        <f xml:space="preserve"> L43 - (L43-L44) / 10 * 1</f>
        <v>1798</v>
      </c>
      <c r="O38" s="559">
        <f xml:space="preserve"> L45 / 10 * 9</f>
        <v>1620</v>
      </c>
    </row>
    <row r="39" spans="1:15" ht="18.95" customHeight="1">
      <c r="A39" s="423" t="s">
        <v>504</v>
      </c>
      <c r="B39" s="424" t="s">
        <v>371</v>
      </c>
      <c r="C39" s="558" t="str">
        <f>'Performance Data Sheet'!C10</f>
        <v>2253405.4</v>
      </c>
      <c r="D39" s="415"/>
      <c r="E39" s="420" t="s">
        <v>505</v>
      </c>
      <c r="F39" s="425" t="str">
        <f>F10</f>
        <v>BW4900U</v>
      </c>
      <c r="N39" s="559">
        <f xml:space="preserve"> L43 - (L43-L44) / 10 * 2</f>
        <v>1796</v>
      </c>
      <c r="O39" s="559">
        <f xml:space="preserve"> L45 / 10 * 8</f>
        <v>1440</v>
      </c>
    </row>
    <row r="40" spans="1:15" ht="18.95" customHeight="1">
      <c r="A40" s="414"/>
      <c r="B40" s="424"/>
      <c r="C40" s="424"/>
      <c r="D40" s="415"/>
      <c r="E40" s="415"/>
      <c r="F40" s="416"/>
      <c r="N40" s="559">
        <f xml:space="preserve"> L43 - (L43-L44) / 10 * 3</f>
        <v>1794</v>
      </c>
      <c r="O40" s="559">
        <f xml:space="preserve"> L45 / 10 * 7</f>
        <v>1260</v>
      </c>
    </row>
    <row r="41" spans="1:15" ht="18.95" customHeight="1">
      <c r="A41" s="414"/>
      <c r="B41" s="424"/>
      <c r="C41" s="424"/>
      <c r="D41" s="415"/>
      <c r="E41" s="415"/>
      <c r="F41" s="416"/>
      <c r="N41" s="559">
        <f xml:space="preserve"> L43 - (L43-L44) / 10 * 4</f>
        <v>1792</v>
      </c>
      <c r="O41" s="559">
        <f xml:space="preserve"> L45 / 10 * 6</f>
        <v>1080</v>
      </c>
    </row>
    <row r="42" spans="1:15" ht="18.95" customHeight="1">
      <c r="A42" s="414"/>
      <c r="B42" s="415"/>
      <c r="C42" s="415"/>
      <c r="D42" s="415"/>
      <c r="E42" s="415"/>
      <c r="F42" s="416"/>
      <c r="N42" s="559">
        <f xml:space="preserve"> L43 - (L43-L44) / 10 * 5</f>
        <v>1790</v>
      </c>
      <c r="O42" s="559">
        <f xml:space="preserve"> L45 / 10 * 5</f>
        <v>900</v>
      </c>
    </row>
    <row r="43" spans="1:15" ht="18.95" customHeight="1">
      <c r="A43" s="426"/>
      <c r="B43" s="424"/>
      <c r="C43" s="427" t="s">
        <v>506</v>
      </c>
      <c r="D43" s="428" t="str">
        <f>'Performance Data Sheet'!K42</f>
        <v>Zichao Xie</v>
      </c>
      <c r="E43" s="427" t="s">
        <v>507</v>
      </c>
      <c r="F43" s="428"/>
      <c r="K43" s="562" t="s">
        <v>717</v>
      </c>
      <c r="L43" s="563">
        <v>1800</v>
      </c>
      <c r="N43" s="559">
        <f xml:space="preserve"> L43 - (L43-L44) / 10 * 6</f>
        <v>1788</v>
      </c>
      <c r="O43" s="559">
        <f xml:space="preserve"> L45 / 10 * 4</f>
        <v>720</v>
      </c>
    </row>
    <row r="44" spans="1:15" ht="15" customHeight="1">
      <c r="K44" s="562" t="s">
        <v>718</v>
      </c>
      <c r="L44" s="564">
        <v>1780</v>
      </c>
      <c r="N44" s="559">
        <f xml:space="preserve"> L43 - (L43-L44) / 10 * 7</f>
        <v>1786</v>
      </c>
      <c r="O44" s="559">
        <f xml:space="preserve"> L45 / 10 * 3</f>
        <v>540</v>
      </c>
    </row>
    <row r="45" spans="1:15" ht="15" customHeight="1">
      <c r="K45" s="562" t="s">
        <v>719</v>
      </c>
      <c r="L45" s="564">
        <v>1800</v>
      </c>
      <c r="N45" s="559">
        <f xml:space="preserve"> L43 - (L43-L44) / 10 * 8</f>
        <v>1784</v>
      </c>
      <c r="O45" s="559">
        <f xml:space="preserve"> L45 / 10 * 2</f>
        <v>360</v>
      </c>
    </row>
    <row r="46" spans="1:15" ht="15" customHeight="1">
      <c r="N46" s="559">
        <f xml:space="preserve"> L43 - (L43-L44) / 10 * 9</f>
        <v>1782</v>
      </c>
      <c r="O46" s="559">
        <f xml:space="preserve"> L45 / 10 * 1</f>
        <v>180</v>
      </c>
    </row>
    <row r="47" spans="1:15" ht="15" customHeight="1">
      <c r="N47" s="559">
        <f xml:space="preserve"> L43 - (L43-L44) / 10 * 10</f>
        <v>1780</v>
      </c>
      <c r="O47" s="565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93" t="s">
        <v>715</v>
      </c>
      <c r="B52" s="694"/>
      <c r="C52" s="694"/>
      <c r="D52" s="694"/>
      <c r="E52" s="694"/>
      <c r="F52" s="695"/>
    </row>
    <row r="53" spans="1:6" ht="15" customHeight="1" thickBot="1">
      <c r="A53" s="560" t="s">
        <v>398</v>
      </c>
      <c r="B53" s="560" t="s">
        <v>142</v>
      </c>
      <c r="C53" s="560" t="s">
        <v>120</v>
      </c>
      <c r="D53" s="560" t="s">
        <v>135</v>
      </c>
      <c r="E53" s="560" t="s">
        <v>5</v>
      </c>
      <c r="F53" s="561" t="s">
        <v>518</v>
      </c>
    </row>
    <row r="54" spans="1:6" ht="15" customHeight="1">
      <c r="A54" s="442">
        <v>0</v>
      </c>
      <c r="B54" s="443"/>
      <c r="C54" s="444"/>
      <c r="D54" s="444">
        <v>26</v>
      </c>
      <c r="E54" s="444">
        <v>100</v>
      </c>
      <c r="F54" s="445">
        <f>7846/(L45*1000) * 100</f>
        <v>0.43588888888888888</v>
      </c>
    </row>
    <row r="55" spans="1:6" ht="15" customHeight="1">
      <c r="A55" s="446">
        <v>25</v>
      </c>
      <c r="B55" s="447">
        <v>90.900001525878906</v>
      </c>
      <c r="C55" s="448">
        <v>65.300003051757813</v>
      </c>
      <c r="D55" s="448">
        <v>40.810001373291016</v>
      </c>
      <c r="E55" s="448">
        <f xml:space="preserve"> (1.00627017408526*B10-L44)/(L43-L44)*100</f>
        <v>80.961303710945458</v>
      </c>
      <c r="F55" s="449">
        <f xml:space="preserve"> 184629.2/(L45*1000)*100</f>
        <v>10.257177777777779</v>
      </c>
    </row>
    <row r="56" spans="1:6" ht="15" customHeight="1">
      <c r="A56" s="446">
        <v>50</v>
      </c>
      <c r="B56" s="447">
        <v>94.099998474121094</v>
      </c>
      <c r="C56" s="448">
        <v>82.800003051757813</v>
      </c>
      <c r="D56" s="448">
        <v>62.200000762939453</v>
      </c>
      <c r="E56" s="448">
        <f xml:space="preserve"> (1.00426630613183*B10-L44)/(L43-L44)*100</f>
        <v>63.076782226582964</v>
      </c>
      <c r="F56" s="449">
        <f xml:space="preserve"> 356813.6/(L45*1000)*100</f>
        <v>19.822977777777776</v>
      </c>
    </row>
    <row r="57" spans="1:6">
      <c r="A57" s="446">
        <v>75</v>
      </c>
      <c r="B57" s="447">
        <v>95</v>
      </c>
      <c r="C57" s="448">
        <v>87.800003051757813</v>
      </c>
      <c r="D57" s="448">
        <v>87.199996948242188</v>
      </c>
      <c r="E57" s="448">
        <f xml:space="preserve"> (1.00213318725928*B10-L44)/(L43-L44)*100</f>
        <v>44.038696289073869</v>
      </c>
      <c r="F57" s="449">
        <f xml:space="preserve"> 530434.3/(L45*1000)*100</f>
        <v>29.468572222222221</v>
      </c>
    </row>
    <row r="58" spans="1:6">
      <c r="A58" s="446">
        <v>100</v>
      </c>
      <c r="B58" s="447">
        <v>95.200004577636719</v>
      </c>
      <c r="C58" s="448">
        <v>89.300003051757813</v>
      </c>
      <c r="D58" s="448">
        <v>114.01000213623047</v>
      </c>
      <c r="E58" s="448">
        <f xml:space="preserve"> (1*B10-L44)/(L43-L44)*100</f>
        <v>25</v>
      </c>
      <c r="F58" s="449">
        <f xml:space="preserve"> 705366.8/(L45*1000)*100</f>
        <v>39.187044444444446</v>
      </c>
    </row>
    <row r="59" spans="1:6" ht="13.5" thickBot="1">
      <c r="A59" s="450">
        <v>125</v>
      </c>
      <c r="B59" s="451">
        <v>95.200004577636719</v>
      </c>
      <c r="C59" s="452">
        <v>89.5</v>
      </c>
      <c r="D59" s="452">
        <v>142.30000305175781</v>
      </c>
      <c r="E59" s="452">
        <f xml:space="preserve"> (0.997866812740721*B10-L44)/(L43-L44)*100</f>
        <v>5.9613037109352263</v>
      </c>
      <c r="F59" s="453">
        <f xml:space="preserve"> 882365.6/(L45*1000)*100</f>
        <v>49.020311111111106</v>
      </c>
    </row>
    <row r="60" spans="1:6">
      <c r="A60" s="429"/>
      <c r="B60" s="430"/>
      <c r="C60" s="430"/>
    </row>
    <row r="61" spans="1:6" ht="13.5" thickBot="1">
      <c r="A61" s="429"/>
      <c r="B61" s="430"/>
      <c r="C61" s="430"/>
    </row>
    <row r="62" spans="1:6" ht="13.5" thickBot="1">
      <c r="A62" s="693" t="s">
        <v>716</v>
      </c>
      <c r="B62" s="694"/>
      <c r="C62" s="694"/>
      <c r="D62" s="694"/>
      <c r="E62" s="694"/>
      <c r="F62" s="695"/>
    </row>
    <row r="63" spans="1:6" ht="13.5" thickBot="1">
      <c r="A63" s="560" t="s">
        <v>398</v>
      </c>
      <c r="B63" s="560" t="s">
        <v>142</v>
      </c>
      <c r="C63" s="560" t="s">
        <v>120</v>
      </c>
      <c r="D63" s="560" t="s">
        <v>135</v>
      </c>
      <c r="E63" s="560" t="s">
        <v>5</v>
      </c>
      <c r="F63" s="561" t="s">
        <v>518</v>
      </c>
    </row>
    <row r="64" spans="1:6">
      <c r="A64" s="442">
        <v>0</v>
      </c>
      <c r="B64" s="443"/>
      <c r="C64" s="444"/>
      <c r="D64" s="444">
        <v>28.186642899669252</v>
      </c>
      <c r="E64" s="444">
        <v>100</v>
      </c>
      <c r="F64" s="445">
        <v>13.578359677609152</v>
      </c>
    </row>
    <row r="65" spans="1:6">
      <c r="A65" s="446">
        <v>25</v>
      </c>
      <c r="B65" s="447">
        <v>90.947257995605469</v>
      </c>
      <c r="C65" s="448">
        <v>65.272697448730469</v>
      </c>
      <c r="D65" s="448">
        <v>40.81573486328125</v>
      </c>
      <c r="E65" s="448">
        <v>73.797265231554078</v>
      </c>
      <c r="F65" s="449">
        <v>10.254029362950542</v>
      </c>
    </row>
    <row r="66" spans="1:6">
      <c r="A66" s="446">
        <v>50</v>
      </c>
      <c r="B66" s="447">
        <v>94.114334106445313</v>
      </c>
      <c r="C66" s="448">
        <v>82.783157348632813</v>
      </c>
      <c r="D66" s="448">
        <v>62.198661804199219</v>
      </c>
      <c r="E66" s="448">
        <v>57.970921459516376</v>
      </c>
      <c r="F66" s="449">
        <v>19.817935263676535</v>
      </c>
    </row>
    <row r="67" spans="1:6">
      <c r="A67" s="446">
        <v>75</v>
      </c>
      <c r="B67" s="447">
        <v>94.965164184570313</v>
      </c>
      <c r="C67" s="448">
        <v>87.776878356933594</v>
      </c>
      <c r="D67" s="448">
        <v>87.201828002929688</v>
      </c>
      <c r="E67" s="448">
        <v>41.782581596190852</v>
      </c>
      <c r="F67" s="449">
        <v>29.460568142320557</v>
      </c>
    </row>
    <row r="68" spans="1:6">
      <c r="A68" s="446">
        <v>100</v>
      </c>
      <c r="B68" s="447">
        <v>95.194572448730469</v>
      </c>
      <c r="C68" s="448">
        <v>89.298431396484375</v>
      </c>
      <c r="D68" s="448">
        <v>114.01258087158203</v>
      </c>
      <c r="E68" s="448">
        <v>25.126677620795618</v>
      </c>
      <c r="F68" s="449">
        <v>39.186093147578319</v>
      </c>
    </row>
    <row r="69" spans="1:6" ht="13.5" thickBot="1">
      <c r="A69" s="450">
        <v>125</v>
      </c>
      <c r="B69" s="451">
        <v>95.167327880859375</v>
      </c>
      <c r="C69" s="452">
        <v>89.45611572265625</v>
      </c>
      <c r="D69" s="452">
        <v>142.30522155761719</v>
      </c>
      <c r="E69" s="452">
        <v>8.5007687824158129</v>
      </c>
      <c r="F69" s="453">
        <v>48.99663577216694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2022-04-14T14:21:54Z</dcterms:modified>
</cp:coreProperties>
</file>