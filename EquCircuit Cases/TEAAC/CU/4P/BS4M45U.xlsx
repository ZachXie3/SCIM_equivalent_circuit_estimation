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720" firstSheet="1" activeTab="1"/>
  </bookViews>
  <sheets>
    <sheet name="DesignSheet" sheetId="2" r:id="rId1"/>
    <sheet name="Data Sheet" sheetId="3" r:id="rId2"/>
    <sheet name="LoginSheet" sheetId="4" r:id="rId3"/>
    <sheet name="Form" sheetId="6" r:id="rId4"/>
    <sheet name="STCurve" sheetId="5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10" l="1"/>
  <c r="D43" i="5"/>
  <c r="F9" i="10"/>
  <c r="F8" i="10"/>
  <c r="F7" i="10"/>
  <c r="B7" i="10"/>
  <c r="B6" i="10"/>
  <c r="F9" i="5"/>
  <c r="F8" i="5"/>
  <c r="F7" i="5"/>
  <c r="B7" i="5"/>
  <c r="B6" i="5"/>
  <c r="D43" i="8"/>
  <c r="F9" i="8"/>
  <c r="F8" i="8"/>
  <c r="F7" i="8"/>
  <c r="B7" i="8"/>
  <c r="B6" i="8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<sst xmlns="http://schemas.openxmlformats.org/spreadsheetml/2006/main" count="992" uniqueCount="759">
  <si>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</si>
  <si>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</si>
  <si>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</si>
  <si>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</si>
  <si>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</si>
  <si>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</si>
  <si>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</si>
  <si>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</si>
  <si>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</si>
  <si>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</si>
  <si>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</si>
  <si>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</si>
  <si>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</si>
  <si>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</si>
  <si>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</si>
  <si>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</si>
  <si>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</si>
  <si>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</si>
  <si>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</si>
  <si>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</si>
  <si>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</si>
  <si>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</si>
  <si>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</si>
  <si>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</si>
  <si>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</si>
  <si>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</si>
  <si>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</si>
  <si>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</si>
  <si>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</si>
  <si>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</si>
  <si>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</si>
  <si>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</si>
  <si>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</si>
  <si>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</si>
  <si>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</si>
  <si>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</si>
  <si>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</si>
  <si>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</si>
  <si>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</si>
  <si>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</si>
  <si>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</si>
  <si>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</si>
  <si>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</si>
  <si>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</si>
  <si>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</si>
  <si>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</si>
  <si>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</si>
  <si>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</si>
  <si>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</si>
  <si>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</si>
  <si>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</si>
  <si>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</si>
  <si>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</si>
  <si>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</si>
  <si>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</si>
  <si>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</si>
  <si>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</si>
  <si>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</si>
  <si>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</si>
  <si>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</si>
  <si>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</si>
  <si>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</si>
  <si>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</si>
  <si>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</si>
  <si>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</si>
  <si>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</si>
  <si>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</si>
  <si>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</si>
  <si>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</si>
  <si>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</si>
  <si>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</si>
  <si>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</si>
  <si>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</si>
  <si>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</si>
  <si>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</si>
  <si>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</si>
  <si>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</si>
  <si>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</si>
  <si>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</si>
  <si>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</si>
  <si>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</si>
  <si>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</si>
  <si>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</si>
  <si>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</si>
  <si>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</si>
  <si>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</si>
  <si>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</si>
  <si>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</si>
  <si>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</si>
  <si>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</si>
  <si>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</si>
  <si>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</si>
  <si>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</si>
  <si>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</si>
  <si>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</si>
  <si>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</si>
  <si>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</si>
  <si>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</si>
  <si>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</si>
  <si>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</si>
  <si>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</si>
  <si>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</si>
  <si>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</si>
  <si>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</si>
  <si>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</si>
  <si>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</si>
  <si>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</si>
  <si>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</si>
  <si>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</si>
  <si>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</si>
  <si>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</si>
  <si>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</si>
  <si>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</si>
  <si>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</si>
  <si>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</si>
  <si>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</si>
  <si>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</si>
  <si>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</si>
  <si>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</si>
  <si>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</si>
  <si>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</si>
  <si>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</si>
  <si>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</si>
  <si>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</si>
  <si>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</si>
  <si>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</si>
  <si>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</si>
  <si>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</si>
  <si>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</si>
  <si>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</si>
  <si>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</si>
  <si>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</si>
  <si>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</si>
  <si>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</si>
  <si>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</si>
  <si>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</si>
  <si>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</si>
  <si>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</si>
  <si>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</si>
  <si>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</si>
  <si>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</si>
  <si>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</si>
  <si>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</si>
  <si>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</si>
  <si>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</si>
  <si>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</si>
  <si>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</si>
  <si>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</si>
  <si>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</si>
  <si>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</si>
  <si>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</si>
  <si>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</si>
  <si>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</si>
  <si>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</si>
  <si>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</si>
  <si>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</si>
  <si>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</si>
  <si>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</si>
  <si>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</si>
  <si>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</si>
  <si>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</si>
  <si>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</si>
  <si>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</si>
  <si>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</si>
  <si>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</si>
  <si>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</si>
  <si>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</si>
  <si>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</si>
  <si>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</si>
  <si>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</si>
  <si>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</si>
  <si>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</si>
  <si>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</si>
  <si>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</si>
  <si>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</si>
  <si>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</si>
  <si>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</si>
  <si>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Open</t>
  </si>
  <si>
    <t>Rectang</t>
  </si>
  <si>
    <t>15.20 - 15.20</t>
  </si>
  <si>
    <t>1.20 - 0.50</t>
  </si>
  <si>
    <t>Normal</t>
  </si>
  <si>
    <t>26 x 6</t>
  </si>
  <si>
    <t>1 ~ 16</t>
  </si>
  <si>
    <t>(.081"x.204")x1</t>
  </si>
  <si>
    <t>(.081"x.229")x1</t>
  </si>
  <si>
    <t>Wye</t>
  </si>
  <si>
    <t>(105°C)</t>
  </si>
  <si>
    <t>CU</t>
  </si>
  <si>
    <t>ERD1: 423.4</t>
  </si>
  <si>
    <t>EBL: 50.5</t>
  </si>
  <si>
    <t>ERT: 75.00</t>
  </si>
  <si>
    <t>ERH: 50.00</t>
  </si>
  <si>
    <t>(12 x 35)</t>
  </si>
  <si>
    <t>LB:  -</t>
  </si>
  <si>
    <t>LER:  -</t>
  </si>
  <si>
    <t>Single Cage Data</t>
  </si>
  <si>
    <t>UB: 420.0</t>
  </si>
  <si>
    <t>UER: 3750.0</t>
  </si>
  <si>
    <t>(Coeff.: 0.0317)</t>
  </si>
  <si>
    <t>Skew R.: 0.00</t>
  </si>
  <si>
    <t>Z:\Motor R&amp;D\Active Projects\6810 Development\Electrical Design\TEAAC\4P\Series\BS4M45U.rat</t>
  </si>
  <si>
    <t>2-2-2-0-1-2</t>
  </si>
  <si>
    <t>B.L.-1  P.F.-1</t>
  </si>
  <si>
    <t>14045.3 / 12827.8</t>
  </si>
  <si>
    <t>11627.9 / 15644.2</t>
  </si>
  <si>
    <t>29465.8 / 20358.0</t>
  </si>
  <si>
    <t>9000.0 / 10095.0</t>
  </si>
  <si>
    <t>19756.6 / 8704.3</t>
  </si>
  <si>
    <t>4668.3 / 2056.7</t>
  </si>
  <si>
    <t>15088.3 / 6647.5</t>
  </si>
  <si>
    <t>1.75 / 0.77</t>
  </si>
  <si>
    <t>59 / 58</t>
  </si>
  <si>
    <t>Temp. Rise @ 100%:</t>
  </si>
  <si>
    <t>Stray Loss</t>
  </si>
  <si>
    <t>0.931 / 0.922</t>
  </si>
  <si>
    <t>0.959 / 0.950</t>
  </si>
  <si>
    <t>0.967 / 0.958</t>
  </si>
  <si>
    <t>0.969 / 0.960</t>
  </si>
  <si>
    <t>0.638 / 0.637</t>
  </si>
  <si>
    <t>0.825 / 0.824</t>
  </si>
  <si>
    <t>0.880 / 0.879</t>
  </si>
  <si>
    <t>0.896 / 0.895</t>
  </si>
  <si>
    <t>0.897 / 0.896</t>
  </si>
  <si>
    <t>101.98 / 103.09</t>
  </si>
  <si>
    <t>152.96 / 154.63</t>
  </si>
  <si>
    <t>213.46 / 215.78</t>
  </si>
  <si>
    <t>278.82 / 281.85</t>
  </si>
  <si>
    <t>348.30 / 352.09</t>
  </si>
  <si>
    <t>3.17 / 3.20</t>
  </si>
  <si>
    <t>UB: 4.30 / 4.34</t>
  </si>
  <si>
    <t>UER: 2.23 / 2.25</t>
  </si>
  <si>
    <t>1797.0 / 1792.9</t>
  </si>
  <si>
    <t>1794.1 / 1790.0</t>
  </si>
  <si>
    <t>1791.1 / 1787.0</t>
  </si>
  <si>
    <t>1788.0 / 1783.9</t>
  </si>
  <si>
    <t>1784.9 / 1780.8</t>
  </si>
  <si>
    <t>0.0017 / 0.0040</t>
  </si>
  <si>
    <t>0.0033 / 0.0056</t>
  </si>
  <si>
    <t>0.0049 / 0.0072</t>
  </si>
  <si>
    <t>0.0067 / 0.0090</t>
  </si>
  <si>
    <t>0.0084 / 0.0107</t>
  </si>
  <si>
    <t>72.362 / 63.489</t>
  </si>
  <si>
    <t>2.849 / 2.499</t>
  </si>
  <si>
    <t>72.42 / 63.54</t>
  </si>
  <si>
    <t>1410.3 / 1493.9</t>
  </si>
  <si>
    <t>505.8 / 535.8</t>
  </si>
  <si>
    <t>641.8 / 664.7</t>
  </si>
  <si>
    <t>70.2 / 72.7</t>
  </si>
  <si>
    <t>238.7 / 223.2</t>
  </si>
  <si>
    <t>Correlated to: P148750_TestData_lab1457.dat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</si>
  <si>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</si>
  <si>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</si>
  <si>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</si>
  <si>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</si>
  <si>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</si>
  <si>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</si>
  <si>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</si>
  <si>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</si>
  <si>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</si>
  <si>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</si>
  <si>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</si>
  <si>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</si>
  <si>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</si>
  <si>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</si>
  <si>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</si>
  <si>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</si>
  <si>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</si>
  <si>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</si>
  <si>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</si>
  <si>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</si>
  <si>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</si>
  <si>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</si>
  <si>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</si>
  <si>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</si>
  <si>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</si>
  <si>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</si>
  <si>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</si>
  <si>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</si>
  <si>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</si>
  <si>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</si>
  <si>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</si>
  <si>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</si>
  <si>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</si>
  <si>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</si>
  <si>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</si>
  <si>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</si>
  <si>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</si>
  <si>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</si>
  <si>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</si>
  <si>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</si>
  <si>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</si>
  <si>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</si>
  <si>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</si>
  <si>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</si>
  <si>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</si>
  <si>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</si>
  <si>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</si>
  <si>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</si>
  <si>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</si>
  <si>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</si>
  <si>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</si>
  <si>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</si>
  <si>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</si>
  <si>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</si>
  <si>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</si>
  <si>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</si>
  <si>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</si>
  <si>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</si>
  <si>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</si>
  <si>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</si>
  <si>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</si>
  <si>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</si>
  <si>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</si>
  <si>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</si>
  <si>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</si>
  <si>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</si>
  <si>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</si>
  <si>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</si>
  <si>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</si>
  <si>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</si>
  <si>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</si>
  <si>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</si>
  <si>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</si>
  <si>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</si>
  <si>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</si>
  <si>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</si>
  <si>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</si>
  <si>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</si>
  <si>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</si>
  <si>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</si>
  <si>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</si>
  <si>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</si>
  <si>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</si>
  <si>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</si>
  <si>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</si>
  <si>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</si>
  <si>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</si>
  <si>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</si>
  <si>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</si>
  <si>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</si>
  <si>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</si>
  <si>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</si>
  <si>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</si>
  <si>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</si>
  <si>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</si>
  <si>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</si>
  <si>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</si>
  <si>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</si>
  <si>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</si>
  <si>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</si>
  <si>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</si>
  <si>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</si>
  <si>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</si>
  <si>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</si>
  <si>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</si>
  <si>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</si>
  <si>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</si>
  <si>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</si>
  <si>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</si>
  <si>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</si>
  <si>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</si>
  <si>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BS4M45U</t>
  </si>
  <si>
    <t>25 x 2</t>
  </si>
  <si>
    <t>4 x Wye</t>
  </si>
  <si>
    <t xml:space="preserve"> - </t>
  </si>
  <si>
    <t>320 / 1695</t>
  </si>
  <si>
    <t>434 / 225</t>
  </si>
  <si>
    <t>58 / 78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</si>
  <si>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</si>
  <si>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</si>
  <si>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</si>
  <si>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</si>
  <si>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</si>
  <si>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</si>
  <si>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</si>
  <si>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</si>
  <si>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</si>
  <si>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</si>
  <si>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</si>
  <si>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</si>
  <si>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</si>
  <si>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</si>
  <si>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</si>
  <si>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</si>
  <si>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</si>
  <si>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</si>
  <si>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</si>
  <si>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</si>
  <si>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</si>
  <si>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</si>
  <si>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</si>
  <si>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</si>
  <si>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</si>
  <si>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</si>
  <si>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</si>
  <si>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</si>
  <si>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</si>
  <si>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</si>
  <si>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1089.4 lb-ft²</t>
  </si>
  <si>
    <t>1494 A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</si>
  <si>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</si>
  <si>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</si>
  <si>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</si>
  <si>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</si>
  <si>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</si>
  <si>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</si>
  <si>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</si>
  <si>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</si>
  <si>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</si>
  <si>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</si>
  <si>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</si>
  <si>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</si>
  <si>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1521.0</t>
  </si>
  <si>
    <t xml:space="preserve">12T: </t>
  </si>
  <si>
    <t xml:space="preserve">13T: </t>
  </si>
  <si>
    <t>0.0298 ~ 0.0286</t>
  </si>
  <si>
    <t>0.0323 ~ 0.0310</t>
  </si>
  <si>
    <t>AWG. (1/0 x 2) x 3</t>
  </si>
  <si>
    <t>0.00061</t>
  </si>
  <si>
    <t>12T: 27.09</t>
  </si>
  <si>
    <t>13T: 29.35</t>
  </si>
  <si>
    <t>12T: 11.40</t>
  </si>
  <si>
    <t>13T: 11.40</t>
  </si>
  <si>
    <t>15.30 ~ 14.90</t>
  </si>
  <si>
    <t>15.91</t>
  </si>
  <si>
    <t>3.80</t>
  </si>
  <si>
    <t xml:space="preserve"> (.081"x.204")x 1: </t>
  </si>
  <si>
    <t xml:space="preserve"> (.081"x.229")x 1: </t>
  </si>
  <si>
    <t>572 lbs.</t>
  </si>
  <si>
    <t>642 lbs.</t>
  </si>
  <si>
    <t xml:space="preserve">1-2, 2-3, 3-1: </t>
  </si>
  <si>
    <t>0.095 ~ 0.090</t>
  </si>
  <si>
    <t>Load</t>
  </si>
  <si>
    <t>Fan / Pump</t>
  </si>
  <si>
    <t>1081.9 kg.m²</t>
  </si>
  <si>
    <t>Acceleration Data (FV V)</t>
  </si>
  <si>
    <t>13.9 (s)</t>
  </si>
  <si>
    <t>914.3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</si>
  <si>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</si>
  <si>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</si>
  <si>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</si>
  <si>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</si>
  <si>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</si>
  <si>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</si>
  <si>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</si>
  <si>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</si>
  <si>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</si>
  <si>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</si>
  <si>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</si>
  <si>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</si>
  <si>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</si>
  <si>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</si>
  <si>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</si>
  <si>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</si>
  <si>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</si>
  <si>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</si>
  <si>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</si>
  <si>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</si>
  <si>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</si>
  <si>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</si>
  <si>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</si>
  <si>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</si>
  <si>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</si>
  <si>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</si>
  <si>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</si>
  <si>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</si>
  <si>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</si>
  <si>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</si>
  <si>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</si>
  <si>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</si>
  <si>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</si>
  <si>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</si>
  <si>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</si>
  <si>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</si>
  <si>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</si>
  <si>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</si>
  <si>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</si>
  <si>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- 2250.0 HP - 1800 RPM - 4000 V - 60 Hz</t>
  </si>
  <si>
    <t>0~188</t>
  </si>
  <si>
    <t>188~375</t>
  </si>
  <si>
    <t>375~563</t>
  </si>
  <si>
    <t>563~750</t>
  </si>
  <si>
    <t>750~938</t>
  </si>
  <si>
    <t>938~1125</t>
  </si>
  <si>
    <t>1125~1313</t>
  </si>
  <si>
    <t>1313~1501</t>
  </si>
  <si>
    <t>1501~1594</t>
  </si>
  <si>
    <t>1594~1688</t>
  </si>
  <si>
    <t>1688~1782</t>
  </si>
  <si>
    <t>1782~1796</t>
  </si>
  <si>
    <t>1796~1800</t>
  </si>
  <si>
    <t>Load Type: Fan / Pump - 6418.0 lb-ft²</t>
  </si>
  <si>
    <t>70.1</t>
  </si>
  <si>
    <t>70.2</t>
  </si>
  <si>
    <t>70.6</t>
  </si>
  <si>
    <t>71.1</t>
  </si>
  <si>
    <t>72.0</t>
  </si>
  <si>
    <t>73.5</t>
  </si>
  <si>
    <t>76.1</t>
  </si>
  <si>
    <t>81.2</t>
  </si>
  <si>
    <t>90.5</t>
  </si>
  <si>
    <t>109.4</t>
  </si>
  <si>
    <t>171.2</t>
  </si>
  <si>
    <t>169.2</t>
  </si>
  <si>
    <t>109.2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</si>
  <si>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</si>
  <si>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</si>
  <si>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</si>
  <si>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</si>
  <si>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</si>
  <si>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</si>
  <si>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</si>
  <si>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</si>
  <si>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</si>
  <si>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</si>
  <si>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</si>
  <si>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</si>
  <si>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</si>
  <si>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1.451</t>
  </si>
  <si>
    <t>1.173</t>
  </si>
  <si>
    <t>1.090</t>
  </si>
  <si>
    <t>1.160</t>
  </si>
  <si>
    <t>1.299</t>
  </si>
  <si>
    <t>1.549</t>
  </si>
  <si>
    <t>2.067</t>
  </si>
  <si>
    <t>1.296</t>
  </si>
  <si>
    <t>1.072</t>
  </si>
  <si>
    <t>0.431</t>
  </si>
  <si>
    <t>0.075</t>
  </si>
  <si>
    <t>0.141</t>
  </si>
  <si>
    <t>1489.8</t>
  </si>
  <si>
    <t>1480.6</t>
  </si>
  <si>
    <t>1469.5</t>
  </si>
  <si>
    <t>1455.9</t>
  </si>
  <si>
    <t>1439.0</t>
  </si>
  <si>
    <t>1417.7</t>
  </si>
  <si>
    <t>1391.0</t>
  </si>
  <si>
    <t>1356.7</t>
  </si>
  <si>
    <t>1323.0</t>
  </si>
  <si>
    <t>1282.0</t>
  </si>
  <si>
    <t>1165.4</t>
  </si>
  <si>
    <t>720.9</t>
  </si>
  <si>
    <t>285.2</t>
  </si>
  <si>
    <t>585.3</t>
  </si>
  <si>
    <t>467.9</t>
  </si>
  <si>
    <t>428.9</t>
  </si>
  <si>
    <t>421.9</t>
  </si>
  <si>
    <t>439.5</t>
  </si>
  <si>
    <t>479.6</t>
  </si>
  <si>
    <t>553.1</t>
  </si>
  <si>
    <t>707.0</t>
  </si>
  <si>
    <t>418.9</t>
  </si>
  <si>
    <t>331.6</t>
  </si>
  <si>
    <t>122.7</t>
  </si>
  <si>
    <t>15.8</t>
  </si>
  <si>
    <t>2.0</t>
  </si>
  <si>
    <t>1598.5</t>
  </si>
  <si>
    <t>1159.7</t>
  </si>
  <si>
    <t>955.3</t>
  </si>
  <si>
    <t>834.3</t>
  </si>
  <si>
    <t>760.2</t>
  </si>
  <si>
    <t>710.5</t>
  </si>
  <si>
    <t>679.9</t>
  </si>
  <si>
    <t>683.6</t>
  </si>
  <si>
    <t>575.3</t>
  </si>
  <si>
    <t>370.8</t>
  </si>
  <si>
    <t>103.2</t>
  </si>
  <si>
    <t>34.0</t>
  </si>
  <si>
    <t>91.4</t>
  </si>
  <si>
    <t>4974 kW / s</t>
  </si>
  <si>
    <t>7636 kW / s</t>
  </si>
  <si>
    <t>921 kW / s</t>
  </si>
  <si>
    <t>24°C</t>
  </si>
  <si>
    <t>87°C</t>
  </si>
  <si>
    <t>48°C</t>
  </si>
  <si>
    <t>174°C</t>
  </si>
  <si>
    <t>Acceleration Time:  13.9 s</t>
  </si>
  <si>
    <t>2.2°C / s</t>
  </si>
  <si>
    <t>12.0°C / s</t>
  </si>
  <si>
    <t>3.3°C / s</t>
  </si>
  <si>
    <t>454.5 kW</t>
  </si>
  <si>
    <t>1048.5 kW</t>
  </si>
  <si>
    <t>126.5 kW</t>
  </si>
  <si>
    <t>72.6 s</t>
  </si>
  <si>
    <t>21.7 s</t>
  </si>
  <si>
    <t>54.8 s</t>
  </si>
  <si>
    <t>58°C    +</t>
  </si>
  <si>
    <t>75°C    +</t>
  </si>
  <si>
    <t>102°C    +</t>
  </si>
  <si>
    <t>185°C   +</t>
  </si>
  <si>
    <t>105°C   +</t>
  </si>
  <si>
    <t>46.3 s</t>
  </si>
  <si>
    <t>15.4 s</t>
  </si>
  <si>
    <t>31.8 s</t>
  </si>
  <si>
    <t>43.8 s</t>
  </si>
  <si>
    <t>25.5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</si>
  <si>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</si>
  <si>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</si>
  <si>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</si>
  <si>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</si>
  <si>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</si>
  <si>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</si>
  <si>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6418.0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</si>
  <si>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</si>
  <si>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</si>
  <si>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</si>
  <si>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</si>
  <si>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</si>
  <si>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</si>
  <si>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</si>
  <si>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</si>
  <si>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</si>
  <si>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</si>
  <si>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</si>
  <si>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</si>
  <si>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</si>
  <si>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</si>
  <si>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</si>
  <si>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</si>
  <si>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</si>
  <si>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</si>
  <si>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</si>
  <si>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</si>
  <si>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</si>
  <si>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1860.0 Hz</t>
  </si>
  <si>
    <t>1848.4 Hz</t>
  </si>
  <si>
    <t>1620.0 Hz</t>
  </si>
  <si>
    <t>1608.4 Hz</t>
  </si>
  <si>
    <t>1740.0 Hz</t>
  </si>
  <si>
    <t>1728.4 Hz</t>
  </si>
  <si>
    <t>1283.2 Hz</t>
  </si>
  <si>
    <t>175.3 Hz</t>
  </si>
  <si>
    <t>495.9 Hz</t>
  </si>
  <si>
    <t>950.8 Hz</t>
  </si>
  <si>
    <t>1537.7 Hz</t>
  </si>
  <si>
    <t>2255.8 Hz</t>
  </si>
  <si>
    <t>3104.8 Hz</t>
  </si>
  <si>
    <t>4084.6 Hz</t>
  </si>
  <si>
    <t>5195.2 Hz</t>
  </si>
  <si>
    <t>6436.5 Hz</t>
  </si>
  <si>
    <t>No matching frequencies detected.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</si>
  <si>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</si>
  <si>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</si>
  <si>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</si>
  <si>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</si>
  <si>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</si>
  <si>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</si>
  <si>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</si>
  <si>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</si>
  <si>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</si>
  <si>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</si>
  <si>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</si>
  <si>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</si>
  <si>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</si>
  <si>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</si>
  <si>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</si>
  <si>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</si>
  <si>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</si>
  <si>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</si>
  <si>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</si>
  <si>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</si>
  <si>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</si>
  <si>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</si>
  <si>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</si>
  <si>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</si>
  <si>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</si>
  <si>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</si>
  <si>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</si>
  <si>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</si>
  <si>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</si>
  <si>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</si>
  <si>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</si>
  <si>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</si>
  <si>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</si>
  <si>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</si>
  <si>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</si>
  <si>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</si>
  <si>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</si>
  <si>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</si>
  <si>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</si>
  <si>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</si>
  <si>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</si>
  <si>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</si>
  <si>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</si>
  <si>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</si>
  <si>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</si>
  <si>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</si>
  <si>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</si>
  <si>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</si>
  <si>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</si>
  <si>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</si>
  <si>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</si>
  <si>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</si>
  <si>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</si>
  <si>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</si>
  <si>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</si>
  <si>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</si>
  <si>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</si>
  <si>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</si>
  <si>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</si>
  <si>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</si>
  <si>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</si>
  <si>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</si>
  <si>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</si>
  <si>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</si>
  <si>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</si>
  <si>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</si>
  <si>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</si>
  <si>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</si>
  <si>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</si>
  <si>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</si>
  <si>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</si>
  <si>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</si>
  <si>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</si>
  <si>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</si>
  <si>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</si>
  <si>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</si>
  <si>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</si>
  <si>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</si>
  <si>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</si>
  <si>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</si>
  <si>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</si>
  <si>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</si>
  <si>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</si>
  <si>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</si>
  <si>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</si>
  <si>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</si>
  <si>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</si>
  <si>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</si>
  <si>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</si>
  <si>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</si>
  <si>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</si>
  <si>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</si>
  <si>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</si>
  <si>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</si>
  <si>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</si>
  <si>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</si>
  <si>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</si>
  <si>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</si>
  <si>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</si>
  <si>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</si>
  <si>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</si>
  <si>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</si>
  <si>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</si>
  <si>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</si>
  <si>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</si>
  <si>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</si>
  <si>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</si>
  <si>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6624 lb-ft</t>
  </si>
  <si>
    <t>TEAAC</t>
  </si>
  <si>
    <t>12, 13</t>
  </si>
  <si>
    <t>Outer Fan: T530</t>
  </si>
  <si>
    <t>Rev 0: First Issue</t>
  </si>
  <si>
    <t>Limits: BS4M45U</t>
  </si>
  <si>
    <t>6810US</t>
  </si>
  <si>
    <t>Type: TIKE - Form: FCW4 - 4 Pole - 2250 HP - 4000 V - 60 Hz - 6810US - Class F</t>
  </si>
  <si>
    <t>M455TCQL11E-C</t>
  </si>
  <si>
    <t>F &amp; W(Sleeve Brg)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</si>
</sst>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05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166" fontId="2" fillId="0" borderId="0" xfId="0" applyNumberFormat="1" applyFont="1" applyBorder="1" applyAlignment="1">
      <alignment horizontal="center"/>
    </xf>
    <xf numFmtId="0" fontId="48" fillId="0" borderId="60" xfId="4" applyFont="1" applyBorder="1"/>
    <xf numFmtId="0" fontId="48" fillId="0" borderId="61" xfId="4" applyFont="1" applyBorder="1"/>
    <xf numFmtId="0" fontId="48" fillId="0" borderId="38" xfId="4" applyFont="1" applyBorder="1"/>
    <xf numFmtId="0" fontId="1" fillId="0" borderId="0" xfId="4"/>
    <xf numFmtId="0" fontId="49" fillId="0" borderId="82" xfId="4" applyFont="1" applyBorder="1" applyAlignment="1">
      <alignment horizontal="centerContinuous"/>
    </xf>
    <xf numFmtId="0" fontId="48" fillId="0" borderId="0" xfId="4" applyFont="1" applyBorder="1" applyAlignment="1">
      <alignment horizontal="centerContinuous"/>
    </xf>
    <xf numFmtId="0" fontId="48" fillId="0" borderId="107" xfId="4" applyFont="1" applyBorder="1" applyAlignment="1">
      <alignment horizontal="centerContinuous"/>
    </xf>
    <xf numFmtId="0" fontId="50" fillId="0" borderId="82" xfId="4" applyFont="1" applyBorder="1" applyAlignment="1">
      <alignment horizontal="centerContinuous"/>
    </xf>
    <xf numFmtId="0" fontId="48" fillId="0" borderId="82" xfId="4" applyFont="1" applyBorder="1"/>
    <xf numFmtId="0" fontId="48" fillId="0" borderId="0" xfId="4" applyFont="1" applyBorder="1"/>
    <xf numFmtId="0" fontId="48" fillId="0" borderId="107" xfId="4" applyFont="1" applyBorder="1"/>
    <xf numFmtId="0" fontId="51" fillId="0" borderId="1" xfId="4" applyFont="1" applyBorder="1" applyAlignment="1">
      <alignment horizontal="right"/>
    </xf>
    <xf numFmtId="0" fontId="48" fillId="0" borderId="1" xfId="4" applyFont="1" applyBorder="1" applyAlignment="1">
      <alignment horizontal="center"/>
    </xf>
    <xf numFmtId="14" fontId="48" fillId="0" borderId="1" xfId="4" applyNumberFormat="1" applyFont="1" applyBorder="1" applyAlignment="1">
      <alignment horizontal="center"/>
    </xf>
    <xf numFmtId="0" fontId="51" fillId="0" borderId="0" xfId="4" applyFont="1" applyBorder="1" applyAlignment="1">
      <alignment horizontal="right"/>
    </xf>
    <xf numFmtId="0" fontId="48" fillId="0" borderId="0" xfId="4" applyFont="1" applyBorder="1" applyAlignment="1">
      <alignment horizontal="center"/>
    </xf>
    <xf numFmtId="9" fontId="48" fillId="0" borderId="0" xfId="4" applyNumberFormat="1" applyFont="1" applyBorder="1" applyAlignment="1">
      <alignment horizontal="center"/>
    </xf>
    <xf numFmtId="0" fontId="51" fillId="0" borderId="82" xfId="4" applyFont="1" applyBorder="1" applyAlignment="1">
      <alignment horizontal="right"/>
    </xf>
    <xf numFmtId="0" fontId="48" fillId="0" borderId="40" xfId="4" applyFont="1" applyBorder="1"/>
    <xf numFmtId="0" fontId="48" fillId="0" borderId="39" xfId="4" applyFont="1" applyBorder="1" applyAlignment="1">
      <alignment horizontal="center"/>
    </xf>
    <xf numFmtId="0" fontId="48" fillId="0" borderId="84" xfId="4" applyFont="1" applyBorder="1"/>
    <xf numFmtId="0" fontId="51" fillId="0" borderId="17" xfId="4" applyFont="1" applyBorder="1" applyAlignment="1">
      <alignment horizontal="right"/>
    </xf>
    <xf numFmtId="0" fontId="48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0" fontId="52" fillId="0" borderId="0" xfId="4" applyFont="1"/>
    <xf numFmtId="0" fontId="53" fillId="0" borderId="20" xfId="4" applyFont="1" applyBorder="1" applyAlignment="1">
      <alignment horizontal="right"/>
    </xf>
    <xf numFmtId="0" fontId="53" fillId="0" borderId="47" xfId="4" applyFont="1" applyBorder="1" applyAlignment="1">
      <alignment horizontal="right"/>
    </xf>
    <xf numFmtId="0" fontId="53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3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52" fillId="0" borderId="134" xfId="4" applyFont="1" applyBorder="1" applyAlignment="1">
      <alignment horizontal="center"/>
    </xf>
    <xf numFmtId="0" fontId="22" fillId="0" borderId="48" xfId="4" applyFont="1" applyBorder="1"/>
    <xf numFmtId="0" fontId="53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3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52" fillId="0" borderId="0" xfId="4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52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52" fillId="0" borderId="130" xfId="4" applyFont="1" applyBorder="1" applyAlignment="1">
      <alignment horizontal="center"/>
    </xf>
    <xf numFmtId="0" fontId="52" fillId="0" borderId="131" xfId="4" quotePrefix="1" applyFont="1" applyBorder="1" applyAlignment="1">
      <alignment horizontal="center"/>
    </xf>
    <xf numFmtId="0" fontId="52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51" fillId="0" borderId="0" xfId="4" applyFont="1" applyAlignment="1">
      <alignment horizontal="right"/>
    </xf>
    <xf numFmtId="0" fontId="6" fillId="0" borderId="0" xfId="4" applyFont="1"/>
    <xf numFmtId="0" fontId="51" fillId="0" borderId="0" xfId="4" applyFont="1"/>
    <xf numFmtId="0" fontId="48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30" fillId="0" borderId="64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51" fillId="0" borderId="12" xfId="4" applyFont="1" applyBorder="1" applyAlignment="1">
      <alignment horizontal="left"/>
    </xf>
    <xf numFmtId="0" fontId="51" fillId="0" borderId="13" xfId="4" applyFont="1" applyBorder="1" applyAlignment="1">
      <alignment horizontal="left"/>
    </xf>
    <xf numFmtId="0" fontId="51" fillId="0" borderId="14" xfId="4" applyFont="1" applyBorder="1" applyAlignment="1">
      <alignment horizontal="left"/>
    </xf>
    <xf numFmtId="0" fontId="53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3" fillId="0" borderId="101" xfId="4" applyFont="1" applyBorder="1" applyAlignment="1">
      <alignment horizontal="right"/>
    </xf>
    <xf numFmtId="0" fontId="53" fillId="0" borderId="61" xfId="4" applyFont="1" applyBorder="1" applyAlignment="1">
      <alignment horizontal="right"/>
    </xf>
    <xf numFmtId="0" fontId="53" fillId="0" borderId="46" xfId="4" applyFont="1" applyBorder="1" applyAlignment="1">
      <alignment horizontal="right"/>
    </xf>
    <xf numFmtId="0" fontId="53" fillId="0" borderId="23" xfId="4" applyFont="1" applyBorder="1" applyAlignment="1">
      <alignment horizontal="right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22" fillId="0" borderId="60" xfId="4" applyFont="1" applyBorder="1" applyAlignment="1">
      <alignment horizontal="center"/>
    </xf>
    <xf numFmtId="0" fontId="53" fillId="0" borderId="101" xfId="4" applyFont="1" applyBorder="1" applyAlignment="1">
      <alignment horizontal="center"/>
    </xf>
    <xf numFmtId="0" fontId="53" fillId="0" borderId="61" xfId="4" applyFont="1" applyBorder="1" applyAlignment="1">
      <alignment horizontal="center"/>
    </xf>
    <xf numFmtId="0" fontId="53" fillId="0" borderId="27" xfId="4" applyFont="1" applyBorder="1" applyAlignment="1">
      <alignment horizontal="center"/>
    </xf>
    <xf numFmtId="0" fontId="48" fillId="0" borderId="17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2" fillId="0" borderId="17" xfId="4" applyFont="1" applyBorder="1" applyAlignment="1">
      <alignment horizontal="right"/>
    </xf>
    <xf numFmtId="0" fontId="52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52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3" fillId="0" borderId="17" xfId="4" applyFont="1" applyBorder="1" applyAlignment="1">
      <alignment horizontal="center"/>
    </xf>
    <xf numFmtId="0" fontId="50" fillId="0" borderId="82" xfId="4" applyFont="1" applyBorder="1" applyAlignment="1">
      <alignment horizontal="center"/>
    </xf>
    <xf numFmtId="0" fontId="50" fillId="0" borderId="0" xfId="4" applyFont="1" applyBorder="1" applyAlignment="1">
      <alignment horizontal="center"/>
    </xf>
    <xf numFmtId="0" fontId="50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52" fillId="0" borderId="1" xfId="4" applyFont="1" applyBorder="1" applyAlignment="1">
      <alignment horizontal="right"/>
    </xf>
    <xf numFmtId="0" fontId="52" fillId="0" borderId="131" xfId="4" applyFont="1" applyBorder="1" applyAlignment="1">
      <alignment horizontal="center"/>
    </xf>
    <xf numFmtId="0" fontId="58" fillId="0" borderId="0" xfId="4" applyFont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118.36132428733742</c:v>
                </c:pt>
                <c:pt idx="2">
                  <c:v>220</c:v>
                </c:pt>
                <c:pt idx="3">
                  <c:v>122.44377680391734</c:v>
                </c:pt>
                <c:pt idx="4">
                  <c:v>96.264980563792051</c:v>
                </c:pt>
                <c:pt idx="5">
                  <c:v>84.788071658566153</c:v>
                </c:pt>
                <c:pt idx="6">
                  <c:v>77.71022406148839</c:v>
                </c:pt>
                <c:pt idx="7">
                  <c:v>74.45916714019117</c:v>
                </c:pt>
                <c:pt idx="8">
                  <c:v>72.584938589112738</c:v>
                </c:pt>
                <c:pt idx="9">
                  <c:v>71.445894552379528</c:v>
                </c:pt>
                <c:pt idx="10">
                  <c:v>70.758459772205327</c:v>
                </c:pt>
                <c:pt idx="11">
                  <c:v>70.353411455910546</c:v>
                </c:pt>
                <c:pt idx="12">
                  <c:v>70.123718080747622</c:v>
                </c:pt>
                <c:pt idx="13">
                  <c:v>70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561472"/>
        <c:axId val="229563392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0.25680267810821533</c:v>
                </c:pt>
                <c:pt idx="1">
                  <c:v>129.86514282226562</c:v>
                </c:pt>
                <c:pt idx="2">
                  <c:v>381.40756225585938</c:v>
                </c:pt>
                <c:pt idx="3">
                  <c:v>445.13589477539062</c:v>
                </c:pt>
                <c:pt idx="4">
                  <c:v>464.09640502929687</c:v>
                </c:pt>
                <c:pt idx="5">
                  <c:v>474.2305908203125</c:v>
                </c:pt>
                <c:pt idx="6">
                  <c:v>487.99066162109375</c:v>
                </c:pt>
                <c:pt idx="7">
                  <c:v>498.54385375976562</c:v>
                </c:pt>
                <c:pt idx="8">
                  <c:v>506.93316650390625</c:v>
                </c:pt>
                <c:pt idx="9">
                  <c:v>513.6185302734375</c:v>
                </c:pt>
                <c:pt idx="10">
                  <c:v>518.967529296875</c:v>
                </c:pt>
                <c:pt idx="11">
                  <c:v>523.2635498046875</c:v>
                </c:pt>
                <c:pt idx="12">
                  <c:v>526.808349609375</c:v>
                </c:pt>
                <c:pt idx="13">
                  <c:v>529.7872314453125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573760"/>
        <c:axId val="229575296"/>
      </c:scatterChart>
      <c:valAx>
        <c:axId val="22956147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9563392"/>
        <c:crossesAt val="0"/>
        <c:crossBetween val="midCat"/>
        <c:majorUnit val="0.2"/>
        <c:minorUnit val="0.2"/>
      </c:valAx>
      <c:valAx>
        <c:axId val="229563392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9561472"/>
        <c:crosses val="max"/>
        <c:crossBetween val="midCat"/>
        <c:majorUnit val="50"/>
        <c:minorUnit val="50"/>
      </c:valAx>
      <c:valAx>
        <c:axId val="229573760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29575296"/>
        <c:crosses val="autoZero"/>
        <c:crossBetween val="midCat"/>
      </c:valAx>
      <c:valAx>
        <c:axId val="22957529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9573760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118.36132428733742</c:v>
                </c:pt>
                <c:pt idx="2">
                  <c:v>220</c:v>
                </c:pt>
                <c:pt idx="3">
                  <c:v>122.44377680391734</c:v>
                </c:pt>
                <c:pt idx="4">
                  <c:v>96.264980563792051</c:v>
                </c:pt>
                <c:pt idx="5">
                  <c:v>84.788071658566153</c:v>
                </c:pt>
                <c:pt idx="6">
                  <c:v>77.71022406148839</c:v>
                </c:pt>
                <c:pt idx="7">
                  <c:v>74.45916714019117</c:v>
                </c:pt>
                <c:pt idx="8">
                  <c:v>72.584938589112738</c:v>
                </c:pt>
                <c:pt idx="9">
                  <c:v>71.445894552379528</c:v>
                </c:pt>
                <c:pt idx="10">
                  <c:v>70.758459772205327</c:v>
                </c:pt>
                <c:pt idx="11">
                  <c:v>70.353411455910546</c:v>
                </c:pt>
                <c:pt idx="12">
                  <c:v>70.123718080747622</c:v>
                </c:pt>
                <c:pt idx="13">
                  <c:v>70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302208"/>
        <c:axId val="244304128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0.25680267810821533</c:v>
                </c:pt>
                <c:pt idx="1">
                  <c:v>129.86514282226562</c:v>
                </c:pt>
                <c:pt idx="2">
                  <c:v>381.40756225585938</c:v>
                </c:pt>
                <c:pt idx="3">
                  <c:v>445.13589477539062</c:v>
                </c:pt>
                <c:pt idx="4">
                  <c:v>464.09640502929687</c:v>
                </c:pt>
                <c:pt idx="5">
                  <c:v>474.2305908203125</c:v>
                </c:pt>
                <c:pt idx="6">
                  <c:v>487.99066162109375</c:v>
                </c:pt>
                <c:pt idx="7">
                  <c:v>498.54385375976562</c:v>
                </c:pt>
                <c:pt idx="8">
                  <c:v>506.93316650390625</c:v>
                </c:pt>
                <c:pt idx="9">
                  <c:v>513.6185302734375</c:v>
                </c:pt>
                <c:pt idx="10">
                  <c:v>518.967529296875</c:v>
                </c:pt>
                <c:pt idx="11">
                  <c:v>523.2635498046875</c:v>
                </c:pt>
                <c:pt idx="12">
                  <c:v>526.808349609375</c:v>
                </c:pt>
                <c:pt idx="13">
                  <c:v>529.7872314453125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310400"/>
        <c:axId val="244311936"/>
      </c:scatterChart>
      <c:valAx>
        <c:axId val="24430220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4304128"/>
        <c:crosses val="autoZero"/>
        <c:crossBetween val="midCat"/>
        <c:majorUnit val="20"/>
        <c:minorUnit val="20"/>
      </c:valAx>
      <c:valAx>
        <c:axId val="244304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4302208"/>
        <c:crosses val="autoZero"/>
        <c:crossBetween val="midCat"/>
      </c:valAx>
      <c:valAx>
        <c:axId val="24431040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44311936"/>
        <c:crosses val="autoZero"/>
        <c:crossBetween val="midCat"/>
      </c:valAx>
      <c:valAx>
        <c:axId val="244311936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4310400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529.78723404255322</c:v>
                </c:pt>
                <c:pt idx="1">
                  <c:v>465.86454893617019</c:v>
                </c:pt>
                <c:pt idx="2">
                  <c:v>401.92268510638297</c:v>
                </c:pt>
                <c:pt idx="3">
                  <c:v>338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45.263871437127158</c:v>
                </c:pt>
                <c:pt idx="2">
                  <c:v>60.81153758877992</c:v>
                </c:pt>
                <c:pt idx="3">
                  <c:v>85.987955318494343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529.78723404255322</c:v>
                </c:pt>
                <c:pt idx="1">
                  <c:v>465.86454893617019</c:v>
                </c:pt>
                <c:pt idx="2">
                  <c:v>401.92268510638297</c:v>
                </c:pt>
                <c:pt idx="3">
                  <c:v>338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19.398802044483066</c:v>
                </c:pt>
                <c:pt idx="2">
                  <c:v>26.062087538048537</c:v>
                </c:pt>
                <c:pt idx="3">
                  <c:v>36.851980850783292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238</c:v>
                </c:pt>
                <c:pt idx="1">
                  <c:v>138</c:v>
                </c:pt>
                <c:pt idx="2">
                  <c:v>220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86.985902899109234</c:v>
                </c:pt>
                <c:pt idx="3">
                  <c:v>129.94190433076812</c:v>
                </c:pt>
                <c:pt idx="4">
                  <c:v>200.2434102409934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529.78723404255322</c:v>
                </c:pt>
                <c:pt idx="1">
                  <c:v>528.29787234042556</c:v>
                </c:pt>
                <c:pt idx="2">
                  <c:v>525.03546099290782</c:v>
                </c:pt>
                <c:pt idx="3">
                  <c:v>521.09929078014181</c:v>
                </c:pt>
                <c:pt idx="4">
                  <c:v>516.27659574468089</c:v>
                </c:pt>
                <c:pt idx="5">
                  <c:v>510.28368794326241</c:v>
                </c:pt>
                <c:pt idx="6">
                  <c:v>502.73049645390068</c:v>
                </c:pt>
                <c:pt idx="7">
                  <c:v>493.26241134751774</c:v>
                </c:pt>
                <c:pt idx="8">
                  <c:v>481.09929078014187</c:v>
                </c:pt>
                <c:pt idx="9">
                  <c:v>469.14893617021278</c:v>
                </c:pt>
                <c:pt idx="10">
                  <c:v>454.6099290780142</c:v>
                </c:pt>
                <c:pt idx="11">
                  <c:v>413.2624113475178</c:v>
                </c:pt>
                <c:pt idx="12">
                  <c:v>255.63829787234042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1.4509999752044678</c:v>
                </c:pt>
                <c:pt idx="2">
                  <c:v>2.624000072479248</c:v>
                </c:pt>
                <c:pt idx="3">
                  <c:v>3.7139999866485596</c:v>
                </c:pt>
                <c:pt idx="4">
                  <c:v>4.8039999008178711</c:v>
                </c:pt>
                <c:pt idx="5">
                  <c:v>5.9639997482299805</c:v>
                </c:pt>
                <c:pt idx="6">
                  <c:v>7.2629995346069336</c:v>
                </c:pt>
                <c:pt idx="7">
                  <c:v>8.8119993209838867</c:v>
                </c:pt>
                <c:pt idx="8">
                  <c:v>10.878999710083008</c:v>
                </c:pt>
                <c:pt idx="9">
                  <c:v>12.174999237060547</c:v>
                </c:pt>
                <c:pt idx="10">
                  <c:v>13.24699878692627</c:v>
                </c:pt>
                <c:pt idx="11">
                  <c:v>13.677998542785645</c:v>
                </c:pt>
                <c:pt idx="12">
                  <c:v>13.752998352050781</c:v>
                </c:pt>
                <c:pt idx="13">
                  <c:v>13.893998146057129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454528"/>
        <c:axId val="244456448"/>
      </c:scatterChart>
      <c:valAx>
        <c:axId val="24445452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4456448"/>
        <c:crossesAt val="0.1"/>
        <c:crossBetween val="midCat"/>
        <c:majorUnit val="100"/>
      </c:valAx>
      <c:valAx>
        <c:axId val="244456448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445452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92.2015380859375</c:v>
                </c:pt>
                <c:pt idx="2">
                  <c:v>95.055915832519531</c:v>
                </c:pt>
                <c:pt idx="3">
                  <c:v>95.821952819824219</c:v>
                </c:pt>
                <c:pt idx="4">
                  <c:v>96.031318664550781</c:v>
                </c:pt>
                <c:pt idx="5">
                  <c:v>96.008979797363281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63.742519378662109</c:v>
                </c:pt>
                <c:pt idx="1">
                  <c:v>82.441703796386719</c:v>
                </c:pt>
                <c:pt idx="2">
                  <c:v>87.905548095703125</c:v>
                </c:pt>
                <c:pt idx="3">
                  <c:v>89.536941528320313</c:v>
                </c:pt>
                <c:pt idx="4">
                  <c:v>89.616317749023437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64.49645453647436</c:v>
                </c:pt>
                <c:pt idx="2">
                  <c:v>49.919451265554024</c:v>
                </c:pt>
                <c:pt idx="3">
                  <c:v>34.990305864918412</c:v>
                </c:pt>
                <c:pt idx="4">
                  <c:v>19.538935996106225</c:v>
                </c:pt>
                <c:pt idx="5">
                  <c:v>4.0884149396232194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0.3227833</c:v>
                </c:pt>
                <c:pt idx="1">
                  <c:v>7.5875003050691889</c:v>
                </c:pt>
                <c:pt idx="2">
                  <c:v>14.719319340457242</c:v>
                </c:pt>
                <c:pt idx="3">
                  <c:v>21.902472041813617</c:v>
                </c:pt>
                <c:pt idx="4">
                  <c:v>29.13962491382679</c:v>
                </c:pt>
                <c:pt idx="5">
                  <c:v>36.4330061323286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549120"/>
        <c:axId val="244551040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73.205341173312675</c:v>
                </c:pt>
                <c:pt idx="1">
                  <c:v>103.08913421630859</c:v>
                </c:pt>
                <c:pt idx="2">
                  <c:v>154.62657165527344</c:v>
                </c:pt>
                <c:pt idx="3">
                  <c:v>215.78448486328125</c:v>
                </c:pt>
                <c:pt idx="4">
                  <c:v>281.85458374023437</c:v>
                </c:pt>
                <c:pt idx="5">
                  <c:v>352.08804321289062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553216"/>
        <c:axId val="244554752"/>
      </c:scatterChart>
      <c:valAx>
        <c:axId val="24454912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4551040"/>
        <c:crossesAt val="0"/>
        <c:crossBetween val="midCat"/>
        <c:majorUnit val="25"/>
        <c:minorUnit val="12.5"/>
      </c:valAx>
      <c:valAx>
        <c:axId val="24455104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4549120"/>
        <c:crosses val="autoZero"/>
        <c:crossBetween val="midCat"/>
        <c:majorUnit val="10"/>
        <c:minorUnit val="5"/>
      </c:valAx>
      <c:valAx>
        <c:axId val="24455321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44554752"/>
        <c:crosses val="autoZero"/>
        <c:crossBetween val="midCat"/>
      </c:valAx>
      <c:valAx>
        <c:axId val="244554752"/>
        <c:scaling>
          <c:orientation val="minMax"/>
          <c:max val="4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4553216"/>
        <c:crosses val="max"/>
        <c:crossBetween val="midCat"/>
        <c:majorUnit val="4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76.0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15.2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152400</xdr:colOff>
      <xdr:row>39</xdr:row>
      <xdr:rowOff>180975</xdr:rowOff>
    </xdr:from>
    <xdr:to>
      <xdr:col>3</xdr:col>
      <xdr:colOff>746846</xdr:colOff>
      <xdr:row>43</xdr:row>
      <xdr:rowOff>28575</xdr:rowOff>
    </xdr:to>
    <xdr:grpSp>
      <xdr:nvGrpSpPr>
        <xdr:cNvPr id="96" name="Group 95"/>
        <xdr:cNvGrpSpPr/>
      </xdr:nvGrpSpPr>
      <xdr:grpSpPr>
        <a:xfrm>
          <a:off x="962025" y="9163050"/>
          <a:ext cx="1518371" cy="762000"/>
          <a:chOff x="0" y="8982075"/>
          <a:chExt cx="1518371" cy="762000"/>
        </a:xfrm>
      </xdr:grpSpPr>
      <xdr:sp macro="" textlink="">
        <xdr:nvSpPr>
          <xdr:cNvPr id="97" name="Radius"/>
          <xdr:cNvSpPr txBox="1">
            <a:spLocks noChangeArrowheads="1"/>
          </xdr:cNvSpPr>
        </xdr:nvSpPr>
        <xdr:spPr bwMode="auto">
          <a:xfrm>
            <a:off x="1188720" y="9620250"/>
            <a:ext cx="32965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423.4</a:t>
            </a:r>
          </a:p>
        </xdr:txBody>
      </xdr:sp>
      <xdr:sp macro="" textlink="">
        <xdr:nvSpPr>
          <xdr:cNvPr id="98" name="Clear"/>
          <xdr:cNvSpPr txBox="1">
            <a:spLocks noChangeArrowheads="1"/>
          </xdr:cNvSpPr>
        </xdr:nvSpPr>
        <xdr:spPr bwMode="auto">
          <a:xfrm>
            <a:off x="304800" y="9363075"/>
            <a:ext cx="264739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99" name="Thickness"/>
          <xdr:cNvSpPr txBox="1">
            <a:spLocks noChangeArrowheads="1"/>
          </xdr:cNvSpPr>
        </xdr:nvSpPr>
        <xdr:spPr bwMode="auto">
          <a:xfrm>
            <a:off x="531495" y="9505950"/>
            <a:ext cx="428625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75.0</a:t>
            </a:r>
          </a:p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Univers (W1)"/>
            </a:endParaRPr>
          </a:p>
        </xdr:txBody>
      </xdr:sp>
      <xdr:sp macro="" textlink="">
        <xdr:nvSpPr>
          <xdr:cNvPr id="100" name="Line 116"/>
          <xdr:cNvSpPr>
            <a:spLocks noChangeShapeType="1"/>
          </xdr:cNvSpPr>
        </xdr:nvSpPr>
        <xdr:spPr bwMode="auto">
          <a:xfrm flipV="1">
            <a:off x="581025" y="943927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117"/>
          <xdr:cNvSpPr>
            <a:spLocks noChangeShapeType="1"/>
          </xdr:cNvSpPr>
        </xdr:nvSpPr>
        <xdr:spPr bwMode="auto">
          <a:xfrm flipV="1">
            <a:off x="885825" y="94488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18"/>
          <xdr:cNvSpPr>
            <a:spLocks noChangeShapeType="1"/>
          </xdr:cNvSpPr>
        </xdr:nvSpPr>
        <xdr:spPr bwMode="auto">
          <a:xfrm flipV="1">
            <a:off x="590550" y="9486900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21"/>
          <xdr:cNvSpPr>
            <a:spLocks noChangeShapeType="1"/>
          </xdr:cNvSpPr>
        </xdr:nvSpPr>
        <xdr:spPr bwMode="auto">
          <a:xfrm flipV="1">
            <a:off x="0" y="898207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22"/>
          <xdr:cNvSpPr>
            <a:spLocks noChangeShapeType="1"/>
          </xdr:cNvSpPr>
        </xdr:nvSpPr>
        <xdr:spPr bwMode="auto">
          <a:xfrm>
            <a:off x="285750" y="8982075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3"/>
          <xdr:cNvSpPr>
            <a:spLocks noChangeShapeType="1"/>
          </xdr:cNvSpPr>
        </xdr:nvSpPr>
        <xdr:spPr bwMode="auto">
          <a:xfrm flipV="1">
            <a:off x="295275" y="9334500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Rectangle 124"/>
          <xdr:cNvSpPr>
            <a:spLocks noChangeArrowheads="1"/>
          </xdr:cNvSpPr>
        </xdr:nvSpPr>
        <xdr:spPr bwMode="auto">
          <a:xfrm>
            <a:off x="581025" y="8991600"/>
            <a:ext cx="304800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7" name="Line 125"/>
          <xdr:cNvSpPr>
            <a:spLocks noChangeShapeType="1"/>
          </xdr:cNvSpPr>
        </xdr:nvSpPr>
        <xdr:spPr bwMode="auto">
          <a:xfrm>
            <a:off x="285750" y="926782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126"/>
          <xdr:cNvSpPr>
            <a:spLocks noChangeShapeType="1"/>
          </xdr:cNvSpPr>
        </xdr:nvSpPr>
        <xdr:spPr bwMode="auto">
          <a:xfrm>
            <a:off x="285750" y="90106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127"/>
          <xdr:cNvSpPr>
            <a:spLocks noChangeShapeType="1"/>
          </xdr:cNvSpPr>
        </xdr:nvSpPr>
        <xdr:spPr bwMode="auto">
          <a:xfrm>
            <a:off x="933450" y="9420225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8"/>
          <xdr:cNvSpPr>
            <a:spLocks noChangeShapeType="1"/>
          </xdr:cNvSpPr>
        </xdr:nvSpPr>
        <xdr:spPr bwMode="auto">
          <a:xfrm flipV="1">
            <a:off x="1266825" y="9420225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9"/>
          <xdr:cNvSpPr>
            <a:spLocks noChangeShapeType="1"/>
          </xdr:cNvSpPr>
        </xdr:nvSpPr>
        <xdr:spPr bwMode="auto">
          <a:xfrm>
            <a:off x="923925" y="8991600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Thickness"/>
          <xdr:cNvSpPr txBox="1">
            <a:spLocks noChangeArrowheads="1"/>
          </xdr:cNvSpPr>
        </xdr:nvSpPr>
        <xdr:spPr bwMode="auto">
          <a:xfrm>
            <a:off x="931545" y="9182100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3" name="Line 131"/>
          <xdr:cNvSpPr>
            <a:spLocks noChangeShapeType="1"/>
          </xdr:cNvSpPr>
        </xdr:nvSpPr>
        <xdr:spPr bwMode="auto">
          <a:xfrm flipV="1">
            <a:off x="1066800" y="8991600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132"/>
          <xdr:cNvSpPr>
            <a:spLocks noChangeShapeType="1"/>
          </xdr:cNvSpPr>
        </xdr:nvSpPr>
        <xdr:spPr bwMode="auto">
          <a:xfrm>
            <a:off x="1076325" y="9296400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752475</xdr:colOff>
      <xdr:row>39</xdr:row>
      <xdr:rowOff>180975</xdr:rowOff>
    </xdr:from>
    <xdr:to>
      <xdr:col>4</xdr:col>
      <xdr:colOff>769636</xdr:colOff>
      <xdr:row>40</xdr:row>
      <xdr:rowOff>114300</xdr:rowOff>
    </xdr:to>
    <xdr:sp macro="" textlink="">
      <xdr:nvSpPr>
        <xdr:cNvPr id="115" name="Text 219"/>
        <xdr:cNvSpPr txBox="1">
          <a:spLocks noChangeArrowheads="1"/>
        </xdr:cNvSpPr>
      </xdr:nvSpPr>
      <xdr:spPr bwMode="auto">
        <a:xfrm>
          <a:off x="2486025" y="9163050"/>
          <a:ext cx="893461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051-TB23</a:t>
          </a:r>
        </a:p>
      </xdr:txBody>
    </xdr:sp>
    <xdr:clientData/>
  </xdr:twoCellAnchor>
  <xdr:twoCellAnchor>
    <xdr:from>
      <xdr:col>3</xdr:col>
      <xdr:colOff>813435</xdr:colOff>
      <xdr:row>33</xdr:row>
      <xdr:rowOff>152400</xdr:rowOff>
    </xdr:from>
    <xdr:to>
      <xdr:col>4</xdr:col>
      <xdr:colOff>586768</xdr:colOff>
      <xdr:row>34</xdr:row>
      <xdr:rowOff>95250</xdr:rowOff>
    </xdr:to>
    <xdr:sp macro="" textlink="">
      <xdr:nvSpPr>
        <xdr:cNvPr id="116" name="Text 219"/>
        <xdr:cNvSpPr txBox="1">
          <a:spLocks noChangeArrowheads="1"/>
        </xdr:cNvSpPr>
      </xdr:nvSpPr>
      <xdr:spPr bwMode="auto">
        <a:xfrm>
          <a:off x="2546985" y="7762875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411-TB23</a:t>
          </a:r>
        </a:p>
      </xdr:txBody>
    </xdr:sp>
    <xdr:clientData/>
  </xdr:twoCellAnchor>
  <xdr:twoCellAnchor>
    <xdr:from>
      <xdr:col>3</xdr:col>
      <xdr:colOff>813435</xdr:colOff>
      <xdr:row>27</xdr:row>
      <xdr:rowOff>104775</xdr:rowOff>
    </xdr:from>
    <xdr:to>
      <xdr:col>4</xdr:col>
      <xdr:colOff>586768</xdr:colOff>
      <xdr:row>28</xdr:row>
      <xdr:rowOff>47625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546985" y="6343650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311-TB23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676275</xdr:colOff>
      <xdr:row>16</xdr:row>
      <xdr:rowOff>85724</xdr:rowOff>
    </xdr:from>
    <xdr:to>
      <xdr:col>1</xdr:col>
      <xdr:colOff>28575</xdr:colOff>
      <xdr:row>17</xdr:row>
      <xdr:rowOff>66674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76275" y="3981449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666750</xdr:colOff>
      <xdr:row>18</xdr:row>
      <xdr:rowOff>28574</xdr:rowOff>
    </xdr:from>
    <xdr:to>
      <xdr:col>1</xdr:col>
      <xdr:colOff>19050</xdr:colOff>
      <xdr:row>19</xdr:row>
      <xdr:rowOff>9524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66750" y="4400549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1798</a:t>
          </a:r>
        </a:p>
      </xdr:txBody>
    </xdr:sp>
    <xdr:clientData/>
  </xdr:twoCellAnchor>
  <xdr:twoCellAnchor>
    <xdr:from>
      <xdr:col>0</xdr:col>
      <xdr:colOff>657225</xdr:colOff>
      <xdr:row>19</xdr:row>
      <xdr:rowOff>200024</xdr:rowOff>
    </xdr:from>
    <xdr:to>
      <xdr:col>1</xdr:col>
      <xdr:colOff>9525</xdr:colOff>
      <xdr:row>20</xdr:row>
      <xdr:rowOff>180974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57225" y="4810124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657225</xdr:colOff>
      <xdr:row>21</xdr:row>
      <xdr:rowOff>133349</xdr:rowOff>
    </xdr:from>
    <xdr:to>
      <xdr:col>1</xdr:col>
      <xdr:colOff>9525</xdr:colOff>
      <xdr:row>22</xdr:row>
      <xdr:rowOff>114299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57225" y="5219699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1794</a:t>
          </a:r>
        </a:p>
      </xdr:txBody>
    </xdr:sp>
    <xdr:clientData/>
  </xdr:twoCellAnchor>
  <xdr:twoCellAnchor>
    <xdr:from>
      <xdr:col>0</xdr:col>
      <xdr:colOff>666750</xdr:colOff>
      <xdr:row>23</xdr:row>
      <xdr:rowOff>66674</xdr:rowOff>
    </xdr:from>
    <xdr:to>
      <xdr:col>1</xdr:col>
      <xdr:colOff>19050</xdr:colOff>
      <xdr:row>24</xdr:row>
      <xdr:rowOff>47624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66750" y="5629274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666750</xdr:colOff>
      <xdr:row>24</xdr:row>
      <xdr:rowOff>238124</xdr:rowOff>
    </xdr:from>
    <xdr:to>
      <xdr:col>1</xdr:col>
      <xdr:colOff>19050</xdr:colOff>
      <xdr:row>25</xdr:row>
      <xdr:rowOff>219074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66750" y="6038849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1790</a:t>
          </a:r>
        </a:p>
      </xdr:txBody>
    </xdr:sp>
    <xdr:clientData/>
  </xdr:twoCellAnchor>
  <xdr:twoCellAnchor>
    <xdr:from>
      <xdr:col>0</xdr:col>
      <xdr:colOff>657225</xdr:colOff>
      <xdr:row>26</xdr:row>
      <xdr:rowOff>171449</xdr:rowOff>
    </xdr:from>
    <xdr:to>
      <xdr:col>1</xdr:col>
      <xdr:colOff>9525</xdr:colOff>
      <xdr:row>27</xdr:row>
      <xdr:rowOff>152399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57225" y="6448424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647700</xdr:colOff>
      <xdr:row>28</xdr:row>
      <xdr:rowOff>104774</xdr:rowOff>
    </xdr:from>
    <xdr:to>
      <xdr:col>1</xdr:col>
      <xdr:colOff>0</xdr:colOff>
      <xdr:row>29</xdr:row>
      <xdr:rowOff>85724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47700" y="6857999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1786</a:t>
          </a:r>
        </a:p>
      </xdr:txBody>
    </xdr:sp>
    <xdr:clientData/>
  </xdr:twoCellAnchor>
  <xdr:twoCellAnchor>
    <xdr:from>
      <xdr:col>0</xdr:col>
      <xdr:colOff>647700</xdr:colOff>
      <xdr:row>30</xdr:row>
      <xdr:rowOff>47624</xdr:rowOff>
    </xdr:from>
    <xdr:to>
      <xdr:col>1</xdr:col>
      <xdr:colOff>0</xdr:colOff>
      <xdr:row>31</xdr:row>
      <xdr:rowOff>28574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47700" y="7277099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647700</xdr:colOff>
      <xdr:row>31</xdr:row>
      <xdr:rowOff>219074</xdr:rowOff>
    </xdr:from>
    <xdr:to>
      <xdr:col>1</xdr:col>
      <xdr:colOff>0</xdr:colOff>
      <xdr:row>32</xdr:row>
      <xdr:rowOff>200024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47700" y="7686674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1782</a:t>
          </a:r>
        </a:p>
      </xdr:txBody>
    </xdr:sp>
    <xdr:clientData/>
  </xdr:twoCellAnchor>
  <xdr:twoCellAnchor>
    <xdr:from>
      <xdr:col>0</xdr:col>
      <xdr:colOff>657225</xdr:colOff>
      <xdr:row>33</xdr:row>
      <xdr:rowOff>152399</xdr:rowOff>
    </xdr:from>
    <xdr:to>
      <xdr:col>1</xdr:col>
      <xdr:colOff>9525</xdr:colOff>
      <xdr:row>34</xdr:row>
      <xdr:rowOff>133349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57225" y="8096249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304801</xdr:colOff>
      <xdr:row>16</xdr:row>
      <xdr:rowOff>85724</xdr:rowOff>
    </xdr:from>
    <xdr:to>
      <xdr:col>5</xdr:col>
      <xdr:colOff>771525</xdr:colOff>
      <xdr:row>17</xdr:row>
      <xdr:rowOff>95250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76926" y="3981449"/>
          <a:ext cx="466724" cy="2476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6000</a:t>
          </a:r>
        </a:p>
      </xdr:txBody>
    </xdr:sp>
    <xdr:clientData/>
  </xdr:twoCellAnchor>
  <xdr:twoCellAnchor>
    <xdr:from>
      <xdr:col>5</xdr:col>
      <xdr:colOff>327268</xdr:colOff>
      <xdr:row>25</xdr:row>
      <xdr:rowOff>0</xdr:rowOff>
    </xdr:from>
    <xdr:to>
      <xdr:col>5</xdr:col>
      <xdr:colOff>853829</xdr:colOff>
      <xdr:row>26</xdr:row>
      <xdr:rowOff>21909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899393" y="6038850"/>
          <a:ext cx="526561" cy="2600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3000</a:t>
          </a:r>
        </a:p>
      </xdr:txBody>
    </xdr:sp>
    <xdr:clientData/>
  </xdr:twoCellAnchor>
  <xdr:twoCellAnchor>
    <xdr:from>
      <xdr:col>5</xdr:col>
      <xdr:colOff>323851</xdr:colOff>
      <xdr:row>26</xdr:row>
      <xdr:rowOff>180974</xdr:rowOff>
    </xdr:from>
    <xdr:to>
      <xdr:col>5</xdr:col>
      <xdr:colOff>790575</xdr:colOff>
      <xdr:row>27</xdr:row>
      <xdr:rowOff>190500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895976" y="6457949"/>
          <a:ext cx="466724" cy="2476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333376</xdr:colOff>
      <xdr:row>28</xdr:row>
      <xdr:rowOff>114299</xdr:rowOff>
    </xdr:from>
    <xdr:to>
      <xdr:col>5</xdr:col>
      <xdr:colOff>800100</xdr:colOff>
      <xdr:row>29</xdr:row>
      <xdr:rowOff>123825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05501" y="6867524"/>
          <a:ext cx="466724" cy="2476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5</xdr:col>
      <xdr:colOff>323851</xdr:colOff>
      <xdr:row>30</xdr:row>
      <xdr:rowOff>38099</xdr:rowOff>
    </xdr:from>
    <xdr:to>
      <xdr:col>5</xdr:col>
      <xdr:colOff>790575</xdr:colOff>
      <xdr:row>31</xdr:row>
      <xdr:rowOff>47625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895976" y="7267574"/>
          <a:ext cx="466724" cy="2476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323851</xdr:colOff>
      <xdr:row>31</xdr:row>
      <xdr:rowOff>219074</xdr:rowOff>
    </xdr:from>
    <xdr:to>
      <xdr:col>5</xdr:col>
      <xdr:colOff>790575</xdr:colOff>
      <xdr:row>32</xdr:row>
      <xdr:rowOff>228600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895976" y="7686674"/>
          <a:ext cx="466724" cy="2476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704850</xdr:colOff>
      <xdr:row>23</xdr:row>
      <xdr:rowOff>9525</xdr:rowOff>
    </xdr:from>
    <xdr:to>
      <xdr:col>5</xdr:col>
      <xdr:colOff>923925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76975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323851</xdr:colOff>
      <xdr:row>23</xdr:row>
      <xdr:rowOff>66674</xdr:rowOff>
    </xdr:from>
    <xdr:to>
      <xdr:col>5</xdr:col>
      <xdr:colOff>790575</xdr:colOff>
      <xdr:row>24</xdr:row>
      <xdr:rowOff>76200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895976" y="5629274"/>
          <a:ext cx="466724" cy="2476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5</xdr:col>
      <xdr:colOff>323851</xdr:colOff>
      <xdr:row>21</xdr:row>
      <xdr:rowOff>133349</xdr:rowOff>
    </xdr:from>
    <xdr:to>
      <xdr:col>5</xdr:col>
      <xdr:colOff>790575</xdr:colOff>
      <xdr:row>22</xdr:row>
      <xdr:rowOff>142875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895976" y="5219699"/>
          <a:ext cx="466724" cy="2476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4200</a:t>
          </a:r>
        </a:p>
      </xdr:txBody>
    </xdr:sp>
    <xdr:clientData/>
  </xdr:twoCellAnchor>
  <xdr:twoCellAnchor>
    <xdr:from>
      <xdr:col>5</xdr:col>
      <xdr:colOff>314326</xdr:colOff>
      <xdr:row>19</xdr:row>
      <xdr:rowOff>200024</xdr:rowOff>
    </xdr:from>
    <xdr:to>
      <xdr:col>5</xdr:col>
      <xdr:colOff>781050</xdr:colOff>
      <xdr:row>20</xdr:row>
      <xdr:rowOff>209550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886451" y="4810124"/>
          <a:ext cx="466724" cy="2476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4800</a:t>
          </a:r>
        </a:p>
      </xdr:txBody>
    </xdr:sp>
    <xdr:clientData/>
  </xdr:twoCellAnchor>
  <xdr:twoCellAnchor>
    <xdr:from>
      <xdr:col>5</xdr:col>
      <xdr:colOff>314326</xdr:colOff>
      <xdr:row>18</xdr:row>
      <xdr:rowOff>28574</xdr:rowOff>
    </xdr:from>
    <xdr:to>
      <xdr:col>5</xdr:col>
      <xdr:colOff>781050</xdr:colOff>
      <xdr:row>19</xdr:row>
      <xdr:rowOff>38100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886451" y="4400549"/>
          <a:ext cx="466724" cy="2476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5400</a:t>
          </a:r>
        </a:p>
      </xdr:txBody>
    </xdr:sp>
    <xdr:clientData/>
  </xdr:twoCellAnchor>
  <xdr:twoCellAnchor>
    <xdr:from>
      <xdr:col>2</xdr:col>
      <xdr:colOff>485775</xdr:colOff>
      <xdr:row>16</xdr:row>
      <xdr:rowOff>228600</xdr:rowOff>
    </xdr:from>
    <xdr:to>
      <xdr:col>2</xdr:col>
      <xdr:colOff>828675</xdr:colOff>
      <xdr:row>17</xdr:row>
      <xdr:rowOff>133350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2714625" y="41243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2</xdr:col>
      <xdr:colOff>876300</xdr:colOff>
      <xdr:row>19</xdr:row>
      <xdr:rowOff>123825</xdr:rowOff>
    </xdr:from>
    <xdr:to>
      <xdr:col>3</xdr:col>
      <xdr:colOff>95250</xdr:colOff>
      <xdr:row>20</xdr:row>
      <xdr:rowOff>57150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105150" y="473392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485775</xdr:colOff>
      <xdr:row>23</xdr:row>
      <xdr:rowOff>219075</xdr:rowOff>
    </xdr:from>
    <xdr:to>
      <xdr:col>2</xdr:col>
      <xdr:colOff>828675</xdr:colOff>
      <xdr:row>24</xdr:row>
      <xdr:rowOff>123825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2714625" y="578167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790575</xdr:colOff>
      <xdr:row>29</xdr:row>
      <xdr:rowOff>28575</xdr:rowOff>
    </xdr:from>
    <xdr:to>
      <xdr:col>2</xdr:col>
      <xdr:colOff>114300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190500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885825</xdr:colOff>
      <xdr:row>31</xdr:row>
      <xdr:rowOff>171450</xdr:rowOff>
    </xdr:from>
    <xdr:to>
      <xdr:col>3</xdr:col>
      <xdr:colOff>276225</xdr:colOff>
      <xdr:row>32</xdr:row>
      <xdr:rowOff>85725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114675" y="763905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311884</xdr:colOff>
      <xdr:row>33</xdr:row>
      <xdr:rowOff>142875</xdr:rowOff>
    </xdr:from>
    <xdr:to>
      <xdr:col>5</xdr:col>
      <xdr:colOff>802542</xdr:colOff>
      <xdr:row>34</xdr:row>
      <xdr:rowOff>164784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884009" y="8086725"/>
          <a:ext cx="490658" cy="2600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zoomScale="95" zoomScaleNormal="95" workbookViewId="0">
      <selection activeCell="J6" sqref="J6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41982</v>
      </c>
      <c r="I3" s="51" t="s">
        <v>3</v>
      </c>
      <c r="J3" s="152">
        <v>0.65126157407407403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4</v>
      </c>
      <c r="B5" s="115">
        <v>2250</v>
      </c>
      <c r="C5" s="145">
        <v>1800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235</v>
      </c>
      <c r="I5" s="79" t="s">
        <v>240</v>
      </c>
      <c r="J5" s="52" t="s">
        <v>755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23.125593055555555</v>
      </c>
      <c r="J7" s="108" t="s">
        <v>19</v>
      </c>
    </row>
    <row r="8" spans="1:10" ht="15" customHeight="1">
      <c r="A8" s="7" t="s">
        <v>20</v>
      </c>
      <c r="B8" s="71">
        <v>3.309999942779541</v>
      </c>
      <c r="C8" s="54"/>
      <c r="D8" s="7"/>
      <c r="E8" s="53"/>
      <c r="F8" s="4"/>
      <c r="G8" s="17"/>
      <c r="H8" s="11" t="s">
        <v>21</v>
      </c>
      <c r="I8" s="70">
        <v>28.349058182060801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183</v>
      </c>
      <c r="F9" s="109" t="s">
        <v>25</v>
      </c>
      <c r="G9" s="31"/>
      <c r="H9" s="11" t="s">
        <v>26</v>
      </c>
      <c r="I9" s="71">
        <v>25.737325618808178</v>
      </c>
      <c r="J9" s="106">
        <v>790.83407908136314</v>
      </c>
    </row>
    <row r="10" spans="1:10" ht="15" customHeight="1">
      <c r="A10" s="7" t="s">
        <v>27</v>
      </c>
      <c r="B10" s="71">
        <v>800</v>
      </c>
      <c r="C10" s="75">
        <v>800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15.409848104495472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523.38000011444092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27.246162587611465</v>
      </c>
      <c r="J11" s="106">
        <v>60314.929030123807</v>
      </c>
    </row>
    <row r="12" spans="1:10" ht="15" customHeight="1">
      <c r="A12" s="7" t="s">
        <v>33</v>
      </c>
      <c r="B12" s="71">
        <v>530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1.500702206714756</v>
      </c>
      <c r="J12" s="105" t="s">
        <v>36</v>
      </c>
    </row>
    <row r="13" spans="1:10" ht="15" customHeight="1" thickBot="1">
      <c r="A13" s="7" t="s">
        <v>37</v>
      </c>
      <c r="B13" s="71">
        <v>66.5</v>
      </c>
      <c r="C13" s="75">
        <v>71.140000820159912</v>
      </c>
      <c r="D13" s="7" t="s">
        <v>38</v>
      </c>
      <c r="E13" s="72">
        <v>25</v>
      </c>
      <c r="F13" s="126"/>
      <c r="G13" s="118" t="s">
        <v>191</v>
      </c>
      <c r="H13" s="11" t="s">
        <v>40</v>
      </c>
      <c r="I13" s="70">
        <v>1.0404789331673008</v>
      </c>
      <c r="J13" s="106">
        <v>278.82452392578125</v>
      </c>
    </row>
    <row r="14" spans="1:10" ht="15" customHeight="1" thickBot="1">
      <c r="A14" s="136" t="s">
        <v>41</v>
      </c>
      <c r="B14" s="137">
        <v>598.91998291015625</v>
      </c>
      <c r="C14" s="138">
        <v>598.91998291015625</v>
      </c>
      <c r="D14" s="7" t="s">
        <v>42</v>
      </c>
      <c r="E14" s="53" t="s">
        <v>184</v>
      </c>
      <c r="F14" s="53" t="s">
        <v>193</v>
      </c>
      <c r="G14" s="118" t="s">
        <v>192</v>
      </c>
      <c r="H14" s="51" t="s">
        <v>43</v>
      </c>
      <c r="I14" s="70">
        <v>1.5614490310443834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185</v>
      </c>
      <c r="F15" s="53"/>
      <c r="G15" s="118"/>
      <c r="H15" s="11" t="s">
        <v>47</v>
      </c>
      <c r="I15" s="70">
        <v>0.96589165240170005</v>
      </c>
      <c r="J15" s="106">
        <v>30.792916666666667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4</v>
      </c>
      <c r="F16" s="53"/>
      <c r="G16" s="118"/>
      <c r="H16" s="11" t="s">
        <v>50</v>
      </c>
      <c r="I16" s="70">
        <v>0.95596950205867326</v>
      </c>
      <c r="J16" s="107" t="s">
        <v>51</v>
      </c>
    </row>
    <row r="17" spans="1:10" ht="15" customHeight="1" thickBot="1">
      <c r="A17" s="7" t="s">
        <v>52</v>
      </c>
      <c r="B17" s="53" t="s">
        <v>177</v>
      </c>
      <c r="C17" s="54" t="s">
        <v>178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0.9233629619890823</v>
      </c>
      <c r="J17" s="106">
        <v>753.56046884924672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1521</v>
      </c>
      <c r="F18" s="72">
        <v>976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76</v>
      </c>
      <c r="C19" s="75">
        <v>40.549999237060547</v>
      </c>
      <c r="D19" s="7" t="s">
        <v>59</v>
      </c>
      <c r="E19" s="72">
        <v>150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179</v>
      </c>
      <c r="C20" s="75">
        <v>12.050000190734863</v>
      </c>
      <c r="D20" s="7" t="s">
        <v>166</v>
      </c>
      <c r="E20" s="69">
        <v>4.5143545629419864E-2</v>
      </c>
      <c r="F20" s="53"/>
      <c r="G20" s="54"/>
      <c r="H20" s="11" t="s">
        <v>63</v>
      </c>
      <c r="I20" s="70">
        <v>14.760526657104492</v>
      </c>
      <c r="J20" s="74">
        <v>14.760526657104492</v>
      </c>
    </row>
    <row r="21" spans="1:10" ht="15" customHeight="1">
      <c r="A21" s="7" t="s">
        <v>64</v>
      </c>
      <c r="B21" s="71">
        <v>15.199999809265137</v>
      </c>
      <c r="C21" s="75">
        <v>5</v>
      </c>
      <c r="D21" s="11" t="s">
        <v>187</v>
      </c>
      <c r="E21" s="69">
        <v>6.0220957725689757E-2</v>
      </c>
      <c r="F21" s="69">
        <v>5.4504826664924622E-2</v>
      </c>
      <c r="G21" s="73">
        <v>6.5748915548679591E-3</v>
      </c>
      <c r="H21" s="11" t="s">
        <v>65</v>
      </c>
      <c r="I21" s="70">
        <v>20.271615982055664</v>
      </c>
      <c r="J21" s="74">
        <v>14.824084281921387</v>
      </c>
    </row>
    <row r="22" spans="1:10" ht="15" customHeight="1">
      <c r="A22" s="7" t="s">
        <v>66</v>
      </c>
      <c r="B22" s="71">
        <v>3.6500000953674316</v>
      </c>
      <c r="C22" s="75">
        <v>5.5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4.4184255599975586</v>
      </c>
      <c r="J22" s="74">
        <v>4.0295414924621582</v>
      </c>
    </row>
    <row r="23" spans="1:10" ht="15" customHeight="1">
      <c r="A23" s="7" t="s">
        <v>69</v>
      </c>
      <c r="B23" s="71">
        <v>7.925593376159668</v>
      </c>
      <c r="C23" s="75">
        <v>11.912208557128906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14.4199372237948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3.2736440920171521</v>
      </c>
      <c r="J24" s="74">
        <v>3.0407494076752153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0.12130067497491837</v>
      </c>
      <c r="J25" s="74">
        <v>0.25860780477523804</v>
      </c>
    </row>
    <row r="26" spans="1:10" ht="15" customHeight="1">
      <c r="A26" s="7" t="s">
        <v>78</v>
      </c>
      <c r="B26" s="55" t="s">
        <v>180</v>
      </c>
      <c r="C26" s="62" t="s">
        <v>181</v>
      </c>
      <c r="D26" s="11" t="s">
        <v>79</v>
      </c>
      <c r="E26" s="71">
        <v>251.94794799237158</v>
      </c>
      <c r="F26" s="71">
        <v>227.60498918987273</v>
      </c>
      <c r="G26" s="75">
        <v>99.984177484690463</v>
      </c>
      <c r="H26" s="11" t="s">
        <v>80</v>
      </c>
      <c r="I26" s="70">
        <v>1.8111616373062134</v>
      </c>
      <c r="J26" s="74">
        <v>1.617046594619751</v>
      </c>
    </row>
    <row r="27" spans="1:10" ht="15" customHeight="1" thickBot="1">
      <c r="A27" s="7" t="s">
        <v>81</v>
      </c>
      <c r="B27" s="53" t="s">
        <v>182</v>
      </c>
      <c r="C27" s="54" t="s">
        <v>182</v>
      </c>
      <c r="D27" s="12" t="s">
        <v>82</v>
      </c>
      <c r="E27" s="82">
        <v>283.74565370305845</v>
      </c>
      <c r="F27" s="82" t="s">
        <v>174</v>
      </c>
      <c r="G27" s="84" t="s">
        <v>174</v>
      </c>
      <c r="H27" s="12" t="s">
        <v>83</v>
      </c>
      <c r="I27" s="81">
        <v>1.8152190446853638</v>
      </c>
      <c r="J27" s="83">
        <v>1.6375950574874878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32.004948124999999</v>
      </c>
      <c r="F30" s="71">
        <v>796.56357727050784</v>
      </c>
      <c r="G30" s="71">
        <v>15.715337474574605</v>
      </c>
      <c r="H30" s="76">
        <v>460.93981566088229</v>
      </c>
      <c r="I30" s="72">
        <v>93655.170614243252</v>
      </c>
      <c r="J30" s="76">
        <v>6910.9875403028882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7.6000000000000005</v>
      </c>
      <c r="F31" s="71">
        <v>854.42332489243131</v>
      </c>
      <c r="G31" s="71">
        <v>14.651127926939985</v>
      </c>
      <c r="H31" s="76">
        <v>78.711477232942812</v>
      </c>
      <c r="I31" s="72">
        <v>25974.469076729914</v>
      </c>
      <c r="J31" s="76">
        <v>1710.8886097734073</v>
      </c>
    </row>
    <row r="32" spans="1:10" ht="15" customHeight="1">
      <c r="A32" s="7" t="s">
        <v>98</v>
      </c>
      <c r="B32" s="70" t="s">
        <v>242</v>
      </c>
      <c r="C32" s="112"/>
      <c r="D32" s="11" t="s">
        <v>99</v>
      </c>
      <c r="E32" s="71">
        <v>17.368280379415154</v>
      </c>
      <c r="F32" s="71">
        <v>852.14336150877352</v>
      </c>
      <c r="G32" s="71">
        <v>14.690327945049102</v>
      </c>
      <c r="H32" s="76">
        <v>181.96982399783906</v>
      </c>
      <c r="I32" s="10" t="s">
        <v>100</v>
      </c>
      <c r="J32" s="76">
        <v>8621.8761500762957</v>
      </c>
    </row>
    <row r="33" spans="1:10" ht="15" customHeight="1">
      <c r="A33" s="7" t="s">
        <v>101</v>
      </c>
      <c r="B33" s="70" t="s">
        <v>243</v>
      </c>
      <c r="C33" s="113" t="s">
        <v>102</v>
      </c>
      <c r="D33" s="11" t="s">
        <v>97</v>
      </c>
      <c r="E33" s="71">
        <v>4.0549999237060552</v>
      </c>
      <c r="F33" s="71">
        <v>1034.49666309139</v>
      </c>
      <c r="G33" s="71">
        <v>12.100827275123383</v>
      </c>
      <c r="H33" s="76">
        <v>23.327465016332162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244</v>
      </c>
      <c r="C34" s="114">
        <v>12.518265436760416</v>
      </c>
      <c r="D34" s="12" t="s">
        <v>20</v>
      </c>
      <c r="E34" s="81">
        <v>0.33099999427795412</v>
      </c>
      <c r="F34" s="82">
        <v>1716.814762251309</v>
      </c>
      <c r="G34" s="82">
        <v>7.2915644203483261</v>
      </c>
      <c r="H34" s="85">
        <v>1920.6100902828105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224</v>
      </c>
      <c r="C37" s="71" t="s">
        <v>225</v>
      </c>
      <c r="D37" s="71" t="s">
        <v>226</v>
      </c>
      <c r="E37" s="71" t="s">
        <v>227</v>
      </c>
      <c r="F37" s="75" t="s">
        <v>228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218</v>
      </c>
      <c r="G38" s="18" t="s">
        <v>116</v>
      </c>
      <c r="H38" s="85" t="s">
        <v>207</v>
      </c>
      <c r="I38" s="141" t="s">
        <v>214</v>
      </c>
      <c r="J38" s="86">
        <v>22341.060546875</v>
      </c>
    </row>
    <row r="39" spans="1:10" ht="15" customHeight="1">
      <c r="A39" s="7" t="s">
        <v>117</v>
      </c>
      <c r="B39" s="70" t="s">
        <v>219</v>
      </c>
      <c r="C39" s="70" t="s">
        <v>220</v>
      </c>
      <c r="D39" s="70" t="s">
        <v>221</v>
      </c>
      <c r="E39" s="70" t="s">
        <v>222</v>
      </c>
      <c r="F39" s="74" t="s">
        <v>223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237</v>
      </c>
      <c r="C40" s="69" t="s">
        <v>238</v>
      </c>
      <c r="D40" s="69" t="s">
        <v>239</v>
      </c>
      <c r="E40" s="69" t="s">
        <v>240</v>
      </c>
      <c r="F40" s="73" t="s">
        <v>241</v>
      </c>
      <c r="G40" s="37" t="s">
        <v>121</v>
      </c>
      <c r="H40" s="93" t="s">
        <v>245</v>
      </c>
      <c r="I40" s="57"/>
      <c r="J40" s="58"/>
    </row>
    <row r="41" spans="1:10" ht="15" customHeight="1">
      <c r="A41" s="7" t="s">
        <v>5</v>
      </c>
      <c r="B41" s="72" t="s">
        <v>232</v>
      </c>
      <c r="C41" s="72" t="s">
        <v>233</v>
      </c>
      <c r="D41" s="72" t="s">
        <v>234</v>
      </c>
      <c r="E41" s="72" t="s">
        <v>235</v>
      </c>
      <c r="F41" s="76" t="s">
        <v>236</v>
      </c>
      <c r="G41" s="38" t="s">
        <v>122</v>
      </c>
      <c r="H41" s="94" t="s">
        <v>246</v>
      </c>
      <c r="I41" s="59"/>
      <c r="J41" s="60"/>
    </row>
    <row r="42" spans="1:10" ht="15" customHeight="1">
      <c r="A42" s="7" t="s">
        <v>123</v>
      </c>
      <c r="B42" s="70">
        <v>3.7657037342120936</v>
      </c>
      <c r="C42" s="70">
        <v>3.7657037342120936</v>
      </c>
      <c r="D42" s="70">
        <v>3.7657037342120936</v>
      </c>
      <c r="E42" s="70">
        <v>3.7657037342120936</v>
      </c>
      <c r="F42" s="74">
        <v>3.7657037342120936</v>
      </c>
      <c r="G42" s="37" t="s">
        <v>124</v>
      </c>
      <c r="H42" s="93" t="s">
        <v>247</v>
      </c>
      <c r="I42" s="57"/>
      <c r="J42" s="99">
        <v>0.15792396925908359</v>
      </c>
    </row>
    <row r="43" spans="1:10" ht="15" customHeight="1" thickBot="1">
      <c r="A43" s="18" t="s">
        <v>125</v>
      </c>
      <c r="B43" s="81">
        <v>3.7657037342120936</v>
      </c>
      <c r="C43" s="81"/>
      <c r="D43" s="81" t="s">
        <v>250</v>
      </c>
      <c r="E43" s="81"/>
      <c r="F43" s="83"/>
      <c r="G43" s="38" t="s">
        <v>122</v>
      </c>
      <c r="H43" s="94" t="s">
        <v>248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4033.8383849312363</v>
      </c>
      <c r="I44" s="92">
        <v>3.3705431121152485E-2</v>
      </c>
      <c r="J44" s="99">
        <v>0.63459049509868959</v>
      </c>
    </row>
    <row r="45" spans="1:10" ht="15" customHeight="1">
      <c r="A45" s="7" t="s">
        <v>129</v>
      </c>
      <c r="B45" s="70">
        <v>0.28725671768188477</v>
      </c>
      <c r="C45" s="5" t="s">
        <v>130</v>
      </c>
      <c r="D45" s="74">
        <v>7.2585945017635822E-3</v>
      </c>
      <c r="E45" s="7" t="s">
        <v>131</v>
      </c>
      <c r="F45" s="76">
        <v>1266.8976436763085</v>
      </c>
      <c r="G45" s="39" t="s">
        <v>122</v>
      </c>
      <c r="H45" s="88" t="s">
        <v>249</v>
      </c>
      <c r="I45" s="61"/>
      <c r="J45" s="62"/>
    </row>
    <row r="46" spans="1:10" ht="15" customHeight="1">
      <c r="A46" s="7" t="s">
        <v>132</v>
      </c>
      <c r="B46" s="70">
        <v>0.19755467772483826</v>
      </c>
      <c r="C46" s="5" t="s">
        <v>133</v>
      </c>
      <c r="D46" s="74">
        <v>6.6623450256884098E-3</v>
      </c>
      <c r="E46" s="7" t="s">
        <v>134</v>
      </c>
      <c r="F46" s="76">
        <v>1799.8762941997331</v>
      </c>
      <c r="G46" s="38" t="s">
        <v>135</v>
      </c>
      <c r="H46" s="96">
        <v>886.5456947320514</v>
      </c>
      <c r="I46" s="59"/>
      <c r="J46" s="60"/>
    </row>
    <row r="47" spans="1:10" ht="15" customHeight="1">
      <c r="A47" s="7" t="s">
        <v>136</v>
      </c>
      <c r="B47" s="70">
        <v>0.48481139540672302</v>
      </c>
      <c r="C47" s="5" t="s">
        <v>137</v>
      </c>
      <c r="D47" s="74">
        <v>5.3619304671883583E-3</v>
      </c>
      <c r="E47" s="7" t="s">
        <v>138</v>
      </c>
      <c r="F47" s="76">
        <v>1169.1414455213674</v>
      </c>
      <c r="G47" s="66" t="s">
        <v>139</v>
      </c>
      <c r="H47" s="95">
        <v>3900.2402831340801</v>
      </c>
      <c r="I47" s="92">
        <v>3.2553300786161067E-2</v>
      </c>
      <c r="J47" s="97">
        <v>0.64630335459034693</v>
      </c>
    </row>
    <row r="48" spans="1:10" ht="15" customHeight="1">
      <c r="A48" s="7" t="s">
        <v>140</v>
      </c>
      <c r="B48" s="70">
        <v>1.0233580134809017E-2</v>
      </c>
      <c r="C48" s="5" t="s">
        <v>100</v>
      </c>
      <c r="D48" s="74">
        <v>2.9516451060771942E-2</v>
      </c>
      <c r="E48" s="7" t="s">
        <v>141</v>
      </c>
      <c r="F48" s="76">
        <v>466.5508323543043</v>
      </c>
      <c r="G48" s="67" t="s">
        <v>122</v>
      </c>
      <c r="H48" s="88">
        <v>232.36462812833364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0.97048354148864746</v>
      </c>
      <c r="E49" s="18" t="s">
        <v>143</v>
      </c>
      <c r="F49" s="85">
        <v>1173.3366524626667</v>
      </c>
      <c r="G49" s="68" t="s">
        <v>135</v>
      </c>
      <c r="H49" s="96">
        <v>871.00692648300662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6.8686284835172848E-2</v>
      </c>
      <c r="I51" s="46" t="s">
        <v>149</v>
      </c>
      <c r="J51" s="40"/>
    </row>
    <row r="52" spans="1:10" ht="15" customHeight="1">
      <c r="A52" s="11" t="s">
        <v>58</v>
      </c>
      <c r="B52" s="71">
        <v>40.549999237060547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176408.74619074614</v>
      </c>
      <c r="I52" s="100" t="s">
        <v>229</v>
      </c>
      <c r="J52" s="64"/>
    </row>
    <row r="53" spans="1:10" ht="15" customHeight="1">
      <c r="A53" s="11" t="s">
        <v>64</v>
      </c>
      <c r="B53" s="71">
        <v>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183.6275967390167</v>
      </c>
      <c r="I53" s="45" t="s">
        <v>154</v>
      </c>
      <c r="J53" s="40"/>
    </row>
    <row r="54" spans="1:10" ht="15" customHeight="1">
      <c r="A54" s="11" t="s">
        <v>66</v>
      </c>
      <c r="B54" s="71">
        <v>5.5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427760.9</v>
      </c>
      <c r="I54" s="101" t="s">
        <v>230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231</v>
      </c>
      <c r="J56" s="63" t="s">
        <v>195</v>
      </c>
    </row>
    <row r="57" spans="1:10" ht="15" customHeight="1">
      <c r="A57" s="24" t="s">
        <v>369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370</v>
      </c>
      <c r="D58" s="4" t="s">
        <v>119</v>
      </c>
      <c r="E58" s="4" t="s">
        <v>165</v>
      </c>
      <c r="F58" s="17" t="s">
        <v>371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0.25680267810821533</v>
      </c>
      <c r="D59" s="130">
        <v>0.68736839294433594</v>
      </c>
      <c r="E59" s="88">
        <v>70.758459772205327</v>
      </c>
      <c r="F59" s="89">
        <v>518.967529296875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118.36132428733742</v>
      </c>
      <c r="C60" s="89">
        <v>129.86514282226562</v>
      </c>
      <c r="D60" s="130">
        <v>0.79157894849777222</v>
      </c>
      <c r="E60" s="88">
        <v>70.353411455910546</v>
      </c>
      <c r="F60" s="89">
        <v>523.2635498046875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220</v>
      </c>
      <c r="C61" s="89">
        <v>381.40756225585938</v>
      </c>
      <c r="D61" s="130">
        <v>0.89578944444656372</v>
      </c>
      <c r="E61" s="88">
        <v>70.123718080747622</v>
      </c>
      <c r="F61" s="89">
        <v>526.808349609375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122.44377680391734</v>
      </c>
      <c r="C62" s="89">
        <v>445.13589477539062</v>
      </c>
      <c r="D62" s="131">
        <v>1</v>
      </c>
      <c r="E62" s="88">
        <v>70</v>
      </c>
      <c r="F62" s="89">
        <v>529.7872314453125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96.264980563792051</v>
      </c>
      <c r="C63" s="89">
        <v>464.09640502929687</v>
      </c>
      <c r="D63" s="391"/>
      <c r="E63" s="392"/>
      <c r="F63" s="393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84.788071658566153</v>
      </c>
      <c r="C64" s="89">
        <v>474.2305908203125</v>
      </c>
      <c r="D64" s="394" t="s">
        <v>436</v>
      </c>
      <c r="E64" s="395"/>
      <c r="F64" s="395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77.71022406148839</v>
      </c>
      <c r="C65" s="89">
        <v>487.99066162109375</v>
      </c>
      <c r="D65" s="396" t="s">
        <v>388</v>
      </c>
      <c r="E65" s="398" t="s">
        <v>434</v>
      </c>
      <c r="F65" s="399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74.45916714019117</v>
      </c>
      <c r="C66" s="89">
        <v>498.54385375976562</v>
      </c>
      <c r="D66" s="396" t="s">
        <v>385</v>
      </c>
      <c r="E66" s="398" t="s">
        <v>435</v>
      </c>
      <c r="F66" s="399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72.584938589112738</v>
      </c>
      <c r="C67" s="89">
        <v>506.93316650390625</v>
      </c>
      <c r="D67" s="396" t="s">
        <v>392</v>
      </c>
      <c r="E67" s="398" t="s">
        <v>437</v>
      </c>
      <c r="F67" s="399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71.445894552379528</v>
      </c>
      <c r="C68" s="91">
        <v>513.6185302734375</v>
      </c>
      <c r="D68" s="397" t="s">
        <v>393</v>
      </c>
      <c r="E68" s="400" t="s">
        <v>438</v>
      </c>
      <c r="F68" s="400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90" t="s">
        <v>433</v>
      </c>
      <c r="B99" s="390"/>
      <c r="C99" s="390"/>
      <c r="D99" s="390"/>
      <c r="E99" s="390"/>
      <c r="F99" s="390"/>
      <c r="G99" s="390"/>
      <c r="H99" s="390"/>
      <c r="I99" s="390"/>
    </row>
    <row r="100" spans="1:9">
      <c r="A100" s="390">
        <v>100</v>
      </c>
      <c r="B100" s="390"/>
      <c r="C100" s="390"/>
      <c r="D100" s="390"/>
      <c r="E100" s="390"/>
      <c r="F100" s="390"/>
      <c r="G100" s="390"/>
      <c r="H100" s="390"/>
      <c r="I100" s="390"/>
    </row>
    <row r="101" spans="1:9">
      <c r="A101" s="390">
        <v>99.599998474121094</v>
      </c>
      <c r="B101" s="390"/>
      <c r="C101" s="390"/>
      <c r="D101" s="390"/>
      <c r="E101" s="390"/>
      <c r="F101" s="390"/>
      <c r="G101" s="390"/>
      <c r="H101" s="390"/>
      <c r="I101" s="390"/>
    </row>
    <row r="102" spans="1:9">
      <c r="A102" s="390">
        <v>98</v>
      </c>
      <c r="B102" s="390"/>
      <c r="C102" s="390"/>
      <c r="D102" s="390"/>
      <c r="E102" s="390"/>
      <c r="F102" s="390"/>
      <c r="G102" s="390"/>
      <c r="H102" s="390"/>
      <c r="I102" s="390"/>
    </row>
    <row r="103" spans="1:9">
      <c r="A103" s="390">
        <v>83.852630615234375</v>
      </c>
      <c r="B103" s="390"/>
      <c r="C103" s="390"/>
      <c r="D103" s="390"/>
      <c r="E103" s="390"/>
      <c r="F103" s="390"/>
      <c r="G103" s="390"/>
      <c r="H103" s="390"/>
      <c r="I103" s="390"/>
    </row>
    <row r="104" spans="1:9">
      <c r="A104" s="390">
        <v>70.305259704589844</v>
      </c>
      <c r="B104" s="390"/>
      <c r="C104" s="390"/>
      <c r="D104" s="390"/>
      <c r="E104" s="390"/>
      <c r="F104" s="390"/>
      <c r="G104" s="390"/>
      <c r="H104" s="390"/>
      <c r="I104" s="390"/>
    </row>
    <row r="105" spans="1:9">
      <c r="A105" s="390">
        <v>57.410526275634766</v>
      </c>
      <c r="B105" s="390"/>
      <c r="C105" s="390"/>
      <c r="D105" s="390"/>
      <c r="E105" s="390"/>
      <c r="F105" s="390"/>
      <c r="G105" s="390"/>
      <c r="H105" s="390"/>
      <c r="I105" s="390"/>
    </row>
    <row r="106" spans="1:9">
      <c r="A106" s="390">
        <v>38.010524749755859</v>
      </c>
      <c r="B106" s="390"/>
      <c r="C106" s="390"/>
      <c r="D106" s="390"/>
      <c r="E106" s="390"/>
      <c r="F106" s="390"/>
      <c r="G106" s="390"/>
      <c r="H106" s="390"/>
      <c r="I106" s="390"/>
    </row>
    <row r="107" spans="1:9">
      <c r="A107" s="390">
        <v>24.778947830200195</v>
      </c>
      <c r="B107" s="390"/>
      <c r="C107" s="390"/>
      <c r="D107" s="390"/>
      <c r="E107" s="390"/>
      <c r="F107" s="390"/>
      <c r="G107" s="390"/>
      <c r="H107" s="390"/>
      <c r="I107" s="390"/>
    </row>
    <row r="108" spans="1:9">
      <c r="A108" s="390">
        <v>15.684209823608398</v>
      </c>
      <c r="B108" s="390"/>
      <c r="C108" s="390"/>
      <c r="D108" s="390"/>
      <c r="E108" s="390"/>
      <c r="F108" s="390"/>
      <c r="G108" s="390"/>
      <c r="H108" s="390"/>
      <c r="I108" s="390"/>
    </row>
    <row r="109" spans="1:9">
      <c r="A109" s="390">
        <v>9.0105257034301758</v>
      </c>
      <c r="B109" s="390"/>
      <c r="C109" s="390"/>
      <c r="D109" s="390"/>
      <c r="E109" s="390"/>
      <c r="F109" s="390"/>
      <c r="G109" s="390"/>
      <c r="H109" s="390"/>
      <c r="I109" s="390"/>
    </row>
    <row r="110" spans="1:9">
      <c r="A110" s="390">
        <v>6.2526321411132813</v>
      </c>
      <c r="B110" s="390"/>
      <c r="C110" s="390"/>
      <c r="D110" s="390"/>
      <c r="E110" s="390"/>
      <c r="F110" s="390"/>
      <c r="G110" s="390"/>
      <c r="H110" s="390"/>
      <c r="I110" s="390"/>
    </row>
    <row r="111" spans="1:9">
      <c r="A111" s="390">
        <v>7.8315787315368652</v>
      </c>
      <c r="B111" s="390"/>
      <c r="C111" s="390"/>
      <c r="D111" s="390"/>
      <c r="E111" s="390"/>
      <c r="F111" s="390"/>
      <c r="G111" s="390"/>
      <c r="H111" s="390"/>
      <c r="I111" s="390"/>
    </row>
    <row r="112" spans="1:9">
      <c r="A112" s="390">
        <v>14.70526123046875</v>
      </c>
      <c r="B112" s="390"/>
      <c r="C112" s="390"/>
      <c r="D112" s="390"/>
      <c r="E112" s="390"/>
      <c r="F112" s="390"/>
      <c r="G112" s="390"/>
      <c r="H112" s="390"/>
      <c r="I112" s="390"/>
    </row>
    <row r="113" spans="1:9">
      <c r="A113" s="390">
        <v>30</v>
      </c>
      <c r="B113" s="390"/>
      <c r="C113" s="390"/>
      <c r="D113" s="390"/>
      <c r="E113" s="390"/>
      <c r="F113" s="390"/>
      <c r="G113" s="390"/>
      <c r="H113" s="390"/>
      <c r="I113" s="390"/>
    </row>
  </sheetData>
  <printOptions horizontalCentered="1"/>
  <pageMargins left="0.86614173228346503" right="0" top="0.23622047244094499" bottom="0.23622047244094499" header="0" footer="0"/>
  <pageSetup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topLeftCell="A13" workbookViewId="0">
      <selection activeCell="J16" sqref="J16"/>
    </sheetView>
  </sheetViews>
  <sheetFormatPr defaultRowHeight="15.75"/>
  <cols>
    <col min="1" max="1" width="12.140625" style="304" customWidth="1"/>
    <col min="2" max="2" width="6.140625" style="304" customWidth="1"/>
    <col min="3" max="3" width="7.7109375" style="304" customWidth="1"/>
    <col min="4" max="5" width="13.140625" style="304" customWidth="1"/>
    <col min="6" max="6" width="9.42578125" style="304" customWidth="1"/>
    <col min="7" max="7" width="5.7109375" style="304" customWidth="1"/>
    <col min="8" max="8" width="7.85546875" style="304" customWidth="1"/>
    <col min="9" max="9" width="9.28515625" style="304" customWidth="1"/>
    <col min="10" max="10" width="12" style="305" customWidth="1"/>
    <col min="11" max="11" width="12" style="304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612" t="s">
        <v>251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</row>
    <row r="2" spans="1:26" ht="20.25" customHeight="1">
      <c r="A2" s="613" t="s">
        <v>252</v>
      </c>
      <c r="B2" s="613"/>
      <c r="C2" s="613"/>
      <c r="D2" s="613"/>
      <c r="E2" s="613"/>
      <c r="F2" s="613"/>
      <c r="G2" s="613"/>
      <c r="H2" s="613"/>
      <c r="I2" s="613"/>
      <c r="J2" s="613"/>
      <c r="K2" s="613"/>
    </row>
    <row r="3" spans="1:26" ht="18.75" customHeight="1" thickBot="1">
      <c r="A3" s="155" t="s">
        <v>1</v>
      </c>
      <c r="B3" s="156" t="s">
        <v>362</v>
      </c>
      <c r="C3" s="157"/>
      <c r="D3" s="157"/>
      <c r="E3" s="157"/>
      <c r="F3" s="158"/>
      <c r="G3" s="157"/>
      <c r="H3" s="157"/>
      <c r="I3" s="155" t="s">
        <v>253</v>
      </c>
      <c r="J3" s="614" t="s">
        <v>757</v>
      </c>
      <c r="K3" s="614"/>
    </row>
    <row r="4" spans="1:26" s="167" customFormat="1" ht="18.399999999999999" customHeight="1" thickBot="1">
      <c r="A4" s="159" t="s">
        <v>756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254</v>
      </c>
      <c r="R4" s="165"/>
      <c r="S4" s="163"/>
      <c r="T4" s="164" t="s">
        <v>255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615" t="s">
        <v>256</v>
      </c>
      <c r="B5" s="616"/>
      <c r="C5" s="616"/>
      <c r="D5" s="168"/>
      <c r="E5" s="169"/>
      <c r="F5" s="170" t="s">
        <v>257</v>
      </c>
      <c r="G5" s="171"/>
      <c r="H5" s="171"/>
      <c r="I5" s="172"/>
      <c r="J5" s="173" t="s">
        <v>258</v>
      </c>
      <c r="K5" s="174" t="s">
        <v>259</v>
      </c>
      <c r="L5" s="163"/>
      <c r="M5" s="163"/>
      <c r="N5" s="163"/>
      <c r="O5" s="163"/>
      <c r="P5" s="163"/>
      <c r="Q5" s="175" t="s">
        <v>260</v>
      </c>
      <c r="R5" s="176"/>
      <c r="S5" s="163"/>
      <c r="T5" s="175" t="s">
        <v>261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617" t="s">
        <v>67</v>
      </c>
      <c r="B6" s="618"/>
      <c r="C6" s="618"/>
      <c r="D6" s="619" t="s">
        <v>265</v>
      </c>
      <c r="E6" s="620"/>
      <c r="F6" s="550" t="s">
        <v>263</v>
      </c>
      <c r="G6" s="551"/>
      <c r="H6" s="551"/>
      <c r="I6" s="551"/>
      <c r="J6" s="551"/>
      <c r="K6" s="552"/>
      <c r="L6" s="163"/>
      <c r="M6" s="163"/>
      <c r="N6" s="163"/>
      <c r="O6" s="163"/>
      <c r="P6" s="163"/>
      <c r="Q6" s="175" t="s">
        <v>264</v>
      </c>
      <c r="R6" s="176"/>
      <c r="S6" s="163"/>
      <c r="T6" s="175" t="s">
        <v>265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608" t="s">
        <v>20</v>
      </c>
      <c r="B7" s="609"/>
      <c r="C7" s="609"/>
      <c r="D7" s="610">
        <v>3.3099999427795401</v>
      </c>
      <c r="E7" s="611"/>
      <c r="F7" s="178" t="s">
        <v>266</v>
      </c>
      <c r="G7" s="179"/>
      <c r="H7" s="180"/>
      <c r="I7" s="181"/>
      <c r="J7" s="182">
        <v>64</v>
      </c>
      <c r="K7" s="183" t="s">
        <v>174</v>
      </c>
      <c r="L7" s="163"/>
      <c r="M7" s="163"/>
      <c r="N7" s="163"/>
      <c r="O7" s="163"/>
      <c r="P7" s="163"/>
      <c r="Q7" s="175" t="s">
        <v>267</v>
      </c>
      <c r="R7" s="176"/>
      <c r="S7" s="163"/>
      <c r="T7" s="175" t="s">
        <v>262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608" t="s">
        <v>268</v>
      </c>
      <c r="B8" s="609"/>
      <c r="C8" s="609"/>
      <c r="D8" s="594">
        <v>800</v>
      </c>
      <c r="E8" s="590"/>
      <c r="F8" s="184" t="s">
        <v>269</v>
      </c>
      <c r="G8" s="185"/>
      <c r="H8" s="186"/>
      <c r="I8" s="187"/>
      <c r="J8" s="188">
        <v>19367</v>
      </c>
      <c r="K8" s="189" t="s">
        <v>174</v>
      </c>
      <c r="L8" s="163"/>
      <c r="M8" s="163"/>
      <c r="N8" s="163"/>
      <c r="O8" s="163"/>
      <c r="P8" s="163"/>
      <c r="Q8" s="175" t="s">
        <v>270</v>
      </c>
      <c r="R8" s="176"/>
      <c r="S8" s="163"/>
      <c r="T8" s="175" t="s">
        <v>271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603" t="s">
        <v>272</v>
      </c>
      <c r="B9" s="604"/>
      <c r="C9" s="605"/>
      <c r="D9" s="594" t="s">
        <v>751</v>
      </c>
      <c r="E9" s="590"/>
      <c r="F9" s="178" t="s">
        <v>273</v>
      </c>
      <c r="G9" s="179"/>
      <c r="H9" s="190">
        <v>3</v>
      </c>
      <c r="I9" s="191" t="s">
        <v>274</v>
      </c>
      <c r="J9" s="192">
        <v>379</v>
      </c>
      <c r="K9" s="189" t="s">
        <v>174</v>
      </c>
      <c r="L9" s="163"/>
      <c r="M9" s="163"/>
      <c r="N9" s="163"/>
      <c r="O9" s="163"/>
      <c r="P9" s="163"/>
      <c r="Q9" s="175" t="s">
        <v>275</v>
      </c>
      <c r="R9" s="176"/>
      <c r="S9" s="163"/>
      <c r="T9" s="175" t="s">
        <v>276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603" t="s">
        <v>277</v>
      </c>
      <c r="B10" s="604"/>
      <c r="C10" s="605"/>
      <c r="D10" s="577" t="s">
        <v>184</v>
      </c>
      <c r="E10" s="578"/>
      <c r="F10" s="178" t="s">
        <v>278</v>
      </c>
      <c r="G10" s="179"/>
      <c r="H10" s="190">
        <v>3</v>
      </c>
      <c r="I10" s="191" t="s">
        <v>274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279</v>
      </c>
      <c r="R10" s="176"/>
      <c r="S10" s="163"/>
      <c r="T10" s="193" t="s">
        <v>280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603" t="s">
        <v>281</v>
      </c>
      <c r="B11" s="604"/>
      <c r="C11" s="605"/>
      <c r="D11" s="572" t="s">
        <v>185</v>
      </c>
      <c r="E11" s="573"/>
      <c r="F11" s="195" t="s">
        <v>282</v>
      </c>
      <c r="G11" s="196"/>
      <c r="H11" s="197">
        <v>3</v>
      </c>
      <c r="I11" s="191" t="s">
        <v>274</v>
      </c>
      <c r="J11" s="198">
        <v>102420</v>
      </c>
      <c r="K11" s="199" t="s">
        <v>174</v>
      </c>
      <c r="L11" s="163"/>
      <c r="M11" s="163"/>
      <c r="N11" s="163"/>
      <c r="O11" s="163"/>
      <c r="P11" s="163"/>
      <c r="Q11" s="193" t="s">
        <v>283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284</v>
      </c>
      <c r="C12" s="202"/>
      <c r="D12" s="606" t="s">
        <v>174</v>
      </c>
      <c r="E12" s="607"/>
      <c r="F12" s="574" t="s">
        <v>285</v>
      </c>
      <c r="G12" s="575"/>
      <c r="H12" s="575"/>
      <c r="I12" s="575"/>
      <c r="J12" s="575"/>
      <c r="K12" s="576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603" t="s">
        <v>53</v>
      </c>
      <c r="B13" s="604"/>
      <c r="C13" s="605"/>
      <c r="D13" s="597" t="s">
        <v>364</v>
      </c>
      <c r="E13" s="598"/>
      <c r="F13" s="203"/>
      <c r="G13" s="204" t="s">
        <v>286</v>
      </c>
      <c r="H13" s="205"/>
      <c r="I13" s="206" t="s">
        <v>287</v>
      </c>
      <c r="J13" s="207" t="s">
        <v>368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603" t="s">
        <v>56</v>
      </c>
      <c r="B14" s="604"/>
      <c r="C14" s="605"/>
      <c r="D14" s="606">
        <v>1521</v>
      </c>
      <c r="E14" s="607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591" t="s">
        <v>288</v>
      </c>
      <c r="B15" s="592"/>
      <c r="C15" s="593"/>
      <c r="D15" s="570">
        <v>15.914999961853027</v>
      </c>
      <c r="E15" s="571"/>
      <c r="F15" s="203"/>
      <c r="G15" s="209" t="s">
        <v>289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567" t="s">
        <v>290</v>
      </c>
      <c r="B16" s="568"/>
      <c r="C16" s="569"/>
      <c r="D16" s="570">
        <v>3.8017997741699219</v>
      </c>
      <c r="E16" s="571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291</v>
      </c>
      <c r="B17" s="215"/>
      <c r="C17" s="216"/>
      <c r="D17" s="572" t="s">
        <v>363</v>
      </c>
      <c r="E17" s="573"/>
      <c r="F17" s="574" t="s">
        <v>292</v>
      </c>
      <c r="G17" s="575"/>
      <c r="H17" s="575"/>
      <c r="I17" s="575"/>
      <c r="J17" s="575"/>
      <c r="K17" s="576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293</v>
      </c>
      <c r="B18" s="218"/>
      <c r="C18" s="216"/>
      <c r="D18" s="577" t="s">
        <v>174</v>
      </c>
      <c r="E18" s="578"/>
      <c r="F18" s="579"/>
      <c r="G18" s="580"/>
      <c r="H18" s="219" t="s">
        <v>294</v>
      </c>
      <c r="I18" s="220"/>
      <c r="J18" s="188">
        <v>282</v>
      </c>
      <c r="K18" s="189"/>
      <c r="L18" s="163"/>
      <c r="M18" s="163">
        <f>J18*6.5</f>
        <v>1833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585" t="s">
        <v>295</v>
      </c>
      <c r="B19" s="586"/>
      <c r="C19" s="587"/>
      <c r="D19" s="588" t="s">
        <v>174</v>
      </c>
      <c r="E19" s="573"/>
      <c r="F19" s="581"/>
      <c r="G19" s="582"/>
      <c r="H19" s="219" t="s">
        <v>5</v>
      </c>
      <c r="I19" s="181"/>
      <c r="J19" s="188">
        <v>1784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296</v>
      </c>
      <c r="C20" s="222"/>
      <c r="D20" s="589" t="s">
        <v>183</v>
      </c>
      <c r="E20" s="590"/>
      <c r="F20" s="581"/>
      <c r="G20" s="582"/>
      <c r="H20" s="219" t="s">
        <v>297</v>
      </c>
      <c r="I20" s="181"/>
      <c r="J20" s="192" t="s">
        <v>338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591" t="s">
        <v>298</v>
      </c>
      <c r="B21" s="592"/>
      <c r="C21" s="593"/>
      <c r="D21" s="594" t="s">
        <v>174</v>
      </c>
      <c r="E21" s="590"/>
      <c r="F21" s="581"/>
      <c r="G21" s="582"/>
      <c r="H21" s="223" t="s">
        <v>299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300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301</v>
      </c>
      <c r="B22" s="224"/>
      <c r="C22" s="224"/>
      <c r="D22" s="595">
        <v>4.6249999999999999E-2</v>
      </c>
      <c r="E22" s="596"/>
      <c r="F22" s="581"/>
      <c r="G22" s="582"/>
      <c r="H22" s="219" t="s">
        <v>258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303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304</v>
      </c>
      <c r="B23" s="226" t="s">
        <v>305</v>
      </c>
      <c r="C23" s="227"/>
      <c r="D23" s="597">
        <v>572</v>
      </c>
      <c r="E23" s="598"/>
      <c r="F23" s="581"/>
      <c r="G23" s="582"/>
      <c r="H23" s="228" t="s">
        <v>306</v>
      </c>
      <c r="I23" s="229"/>
      <c r="J23" s="230"/>
      <c r="K23" s="231"/>
      <c r="L23" s="163"/>
      <c r="Q23" s="175" t="s">
        <v>307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308</v>
      </c>
      <c r="B24" s="233" t="s">
        <v>309</v>
      </c>
      <c r="C24" s="234"/>
      <c r="D24" s="599">
        <v>642</v>
      </c>
      <c r="E24" s="600"/>
      <c r="F24" s="581"/>
      <c r="G24" s="582"/>
      <c r="H24" s="219" t="s">
        <v>310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311</v>
      </c>
      <c r="B25" s="240"/>
      <c r="C25" s="240"/>
      <c r="D25" s="241"/>
      <c r="E25" s="241" t="s">
        <v>312</v>
      </c>
      <c r="F25" s="581"/>
      <c r="G25" s="582"/>
      <c r="H25" s="219" t="s">
        <v>313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314</v>
      </c>
      <c r="B26" s="244"/>
      <c r="C26" s="245"/>
      <c r="D26" s="246" t="s">
        <v>366</v>
      </c>
      <c r="E26" s="246" t="s">
        <v>367</v>
      </c>
      <c r="F26" s="583"/>
      <c r="G26" s="584"/>
      <c r="H26" s="601"/>
      <c r="I26" s="602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548" t="s">
        <v>315</v>
      </c>
      <c r="B27" s="549"/>
      <c r="C27" s="549"/>
      <c r="D27" s="549"/>
      <c r="E27" s="549"/>
      <c r="F27" s="550" t="s">
        <v>316</v>
      </c>
      <c r="G27" s="551"/>
      <c r="H27" s="551"/>
      <c r="I27" s="551"/>
      <c r="J27" s="551"/>
      <c r="K27" s="552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555"/>
      <c r="B28" s="556"/>
      <c r="C28" s="556"/>
      <c r="D28" s="556"/>
      <c r="E28" s="557"/>
      <c r="F28" s="249"/>
      <c r="G28" s="250"/>
      <c r="H28" s="209" t="s">
        <v>317</v>
      </c>
      <c r="I28" s="251" t="s">
        <v>365</v>
      </c>
      <c r="J28" s="188">
        <v>1494</v>
      </c>
      <c r="K28" s="252" t="s">
        <v>174</v>
      </c>
      <c r="M28" s="167">
        <f>(J28/J18)*100</f>
        <v>529.78723404255322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555"/>
      <c r="B29" s="556"/>
      <c r="C29" s="556"/>
      <c r="D29" s="556"/>
      <c r="E29" s="557"/>
      <c r="F29" s="254"/>
      <c r="G29" s="255"/>
      <c r="H29" s="209" t="s">
        <v>318</v>
      </c>
      <c r="I29" s="256">
        <v>60</v>
      </c>
      <c r="J29" s="188">
        <v>72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555"/>
      <c r="B30" s="556"/>
      <c r="C30" s="556"/>
      <c r="D30" s="556"/>
      <c r="E30" s="557"/>
      <c r="F30" s="254"/>
      <c r="G30" s="255"/>
      <c r="H30" s="209" t="s">
        <v>319</v>
      </c>
      <c r="I30" s="256">
        <v>175</v>
      </c>
      <c r="J30" s="188">
        <v>223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555"/>
      <c r="B31" s="556"/>
      <c r="C31" s="556"/>
      <c r="D31" s="556"/>
      <c r="E31" s="557"/>
      <c r="F31" s="254"/>
      <c r="G31" s="255"/>
      <c r="H31" s="209" t="s">
        <v>320</v>
      </c>
      <c r="I31" s="210"/>
      <c r="J31" s="259">
        <v>0.9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558"/>
      <c r="B32" s="559"/>
      <c r="C32" s="559"/>
      <c r="D32" s="559"/>
      <c r="E32" s="560"/>
      <c r="F32" s="254"/>
      <c r="G32" s="260" t="s">
        <v>321</v>
      </c>
      <c r="H32" s="209" t="s">
        <v>322</v>
      </c>
      <c r="I32" s="261"/>
      <c r="J32" s="182">
        <v>96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548" t="s">
        <v>323</v>
      </c>
      <c r="B33" s="549"/>
      <c r="C33" s="549"/>
      <c r="D33" s="549"/>
      <c r="E33" s="561"/>
      <c r="F33" s="263"/>
      <c r="G33" s="264"/>
      <c r="H33" s="265" t="s">
        <v>324</v>
      </c>
      <c r="I33" s="266"/>
      <c r="J33" s="267">
        <v>89.5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555"/>
      <c r="B34" s="556"/>
      <c r="C34" s="556"/>
      <c r="D34" s="556"/>
      <c r="E34" s="557"/>
      <c r="F34" s="184" t="s">
        <v>325</v>
      </c>
      <c r="G34" s="269"/>
      <c r="H34" s="270" t="s">
        <v>14</v>
      </c>
      <c r="I34" s="271"/>
      <c r="J34" s="272">
        <v>12828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555"/>
      <c r="B35" s="556"/>
      <c r="C35" s="556"/>
      <c r="D35" s="556"/>
      <c r="E35" s="557"/>
      <c r="F35" s="203"/>
      <c r="G35" s="276"/>
      <c r="H35" s="277" t="s">
        <v>15</v>
      </c>
      <c r="I35" s="278"/>
      <c r="J35" s="188">
        <v>15644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555"/>
      <c r="B36" s="556"/>
      <c r="C36" s="556"/>
      <c r="D36" s="556"/>
      <c r="E36" s="557"/>
      <c r="F36" s="203"/>
      <c r="G36" s="276"/>
      <c r="H36" s="277" t="s">
        <v>326</v>
      </c>
      <c r="I36" s="278"/>
      <c r="J36" s="188">
        <v>8704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555"/>
      <c r="B37" s="556"/>
      <c r="C37" s="556"/>
      <c r="D37" s="556"/>
      <c r="E37" s="557"/>
      <c r="F37" s="254"/>
      <c r="G37" s="276"/>
      <c r="H37" s="277" t="s">
        <v>758</v>
      </c>
      <c r="I37" s="278"/>
      <c r="J37" s="188">
        <v>10768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558"/>
      <c r="B38" s="559"/>
      <c r="C38" s="559"/>
      <c r="D38" s="559"/>
      <c r="E38" s="560"/>
      <c r="F38" s="211"/>
      <c r="G38" s="280"/>
      <c r="H38" s="281" t="s">
        <v>327</v>
      </c>
      <c r="I38" s="282"/>
      <c r="J38" s="283">
        <v>22341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548" t="s">
        <v>328</v>
      </c>
      <c r="B39" s="549"/>
      <c r="C39" s="549"/>
      <c r="D39" s="549"/>
      <c r="E39" s="549"/>
      <c r="F39" s="285" t="s">
        <v>329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555"/>
      <c r="B40" s="556"/>
      <c r="C40" s="556"/>
      <c r="D40" s="556"/>
      <c r="E40" s="557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555"/>
      <c r="B41" s="556"/>
      <c r="C41" s="556"/>
      <c r="D41" s="556"/>
      <c r="E41" s="557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555"/>
      <c r="B42" s="556"/>
      <c r="C42" s="556"/>
      <c r="D42" s="556"/>
      <c r="E42" s="557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555"/>
      <c r="B43" s="556"/>
      <c r="C43" s="556"/>
      <c r="D43" s="556"/>
      <c r="E43" s="557"/>
      <c r="F43" s="288"/>
      <c r="G43" s="546" t="s">
        <v>752</v>
      </c>
      <c r="H43" s="546"/>
      <c r="I43" s="546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562"/>
      <c r="B44" s="563"/>
      <c r="C44" s="563"/>
      <c r="D44" s="563"/>
      <c r="E44" s="564"/>
      <c r="F44" s="288"/>
      <c r="G44" s="546" t="s">
        <v>754</v>
      </c>
      <c r="H44" s="546"/>
      <c r="I44" s="546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330</v>
      </c>
      <c r="B45" s="565"/>
      <c r="C45" s="566"/>
      <c r="D45" s="295" t="s">
        <v>331</v>
      </c>
      <c r="E45" s="296" t="s">
        <v>332</v>
      </c>
      <c r="F45" s="297"/>
      <c r="G45" s="546"/>
      <c r="H45" s="546"/>
      <c r="I45" s="546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333</v>
      </c>
      <c r="B46" s="553"/>
      <c r="C46" s="554"/>
      <c r="D46" s="299" t="s">
        <v>333</v>
      </c>
      <c r="E46" s="300">
        <v>41982</v>
      </c>
      <c r="F46" s="301"/>
      <c r="G46" s="547" t="s">
        <v>753</v>
      </c>
      <c r="H46" s="547"/>
      <c r="I46" s="547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52" zoomScale="75" zoomScaleNormal="75" workbookViewId="0"/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334</v>
      </c>
      <c r="K1" s="310" t="s">
        <v>335</v>
      </c>
      <c r="L1" s="310" t="s">
        <v>336</v>
      </c>
      <c r="M1" s="310" t="s">
        <v>335</v>
      </c>
      <c r="N1" s="310"/>
    </row>
    <row r="2" spans="2:14" ht="12.75" customHeight="1">
      <c r="B2" s="645" t="s">
        <v>337</v>
      </c>
      <c r="C2" s="646"/>
      <c r="D2" s="646"/>
      <c r="E2" s="646"/>
      <c r="F2" s="646"/>
      <c r="G2" s="646"/>
      <c r="H2" s="312"/>
      <c r="I2" s="313"/>
      <c r="J2" s="314" t="s">
        <v>338</v>
      </c>
      <c r="K2" s="314" t="s">
        <v>339</v>
      </c>
      <c r="L2" s="314" t="s">
        <v>340</v>
      </c>
      <c r="M2" s="314" t="s">
        <v>341</v>
      </c>
      <c r="N2" s="314" t="s">
        <v>342</v>
      </c>
    </row>
    <row r="3" spans="2:14" ht="12.75" customHeight="1">
      <c r="B3" s="645"/>
      <c r="C3" s="646"/>
      <c r="D3" s="646"/>
      <c r="E3" s="646"/>
      <c r="F3" s="646"/>
      <c r="G3" s="646"/>
      <c r="H3" s="312"/>
      <c r="I3" s="313"/>
      <c r="J3" s="314" t="s">
        <v>343</v>
      </c>
      <c r="K3" s="314"/>
      <c r="L3" s="314" t="s">
        <v>344</v>
      </c>
      <c r="M3" s="314" t="s">
        <v>334</v>
      </c>
      <c r="N3" s="314"/>
    </row>
    <row r="4" spans="2:14" ht="12.75" customHeight="1">
      <c r="B4" s="645"/>
      <c r="C4" s="646"/>
      <c r="D4" s="646"/>
      <c r="E4" s="646"/>
      <c r="F4" s="646"/>
      <c r="G4" s="646"/>
      <c r="H4" s="312"/>
      <c r="I4" s="313"/>
      <c r="J4" s="314" t="s">
        <v>345</v>
      </c>
      <c r="K4" s="314"/>
      <c r="L4" s="314" t="s">
        <v>340</v>
      </c>
      <c r="M4" s="314" t="s">
        <v>338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346</v>
      </c>
      <c r="L5" s="314" t="s">
        <v>335</v>
      </c>
      <c r="M5" s="314"/>
      <c r="N5" s="314" t="s">
        <v>340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339</v>
      </c>
      <c r="K6" s="314" t="s">
        <v>347</v>
      </c>
      <c r="L6" s="314"/>
      <c r="M6" s="314" t="s">
        <v>335</v>
      </c>
      <c r="N6" s="314" t="s">
        <v>348</v>
      </c>
    </row>
    <row r="7" spans="2:14" ht="12.75" customHeight="1">
      <c r="B7" s="317"/>
      <c r="D7" s="320"/>
      <c r="H7" s="319"/>
      <c r="I7" s="313"/>
      <c r="J7" s="314" t="s">
        <v>349</v>
      </c>
      <c r="K7" s="314" t="s">
        <v>343</v>
      </c>
      <c r="L7" s="314" t="s">
        <v>343</v>
      </c>
      <c r="M7" s="314" t="s">
        <v>338</v>
      </c>
      <c r="N7" s="314" t="s">
        <v>350</v>
      </c>
    </row>
    <row r="8" spans="2:14" ht="12.75" customHeight="1">
      <c r="B8" s="317"/>
      <c r="G8" s="320"/>
      <c r="H8" s="321"/>
      <c r="I8" s="314" t="s">
        <v>350</v>
      </c>
      <c r="J8" s="314" t="s">
        <v>335</v>
      </c>
      <c r="K8" s="314" t="s">
        <v>351</v>
      </c>
      <c r="L8" s="314" t="s">
        <v>338</v>
      </c>
      <c r="M8" s="314" t="s">
        <v>350</v>
      </c>
      <c r="N8" s="314" t="s">
        <v>347</v>
      </c>
    </row>
    <row r="9" spans="2:14">
      <c r="B9" s="314" t="s">
        <v>352</v>
      </c>
      <c r="C9" s="321" t="s">
        <v>353</v>
      </c>
      <c r="D9" s="321" t="s">
        <v>354</v>
      </c>
      <c r="E9" s="321" t="s">
        <v>355</v>
      </c>
      <c r="F9" s="314" t="s">
        <v>356</v>
      </c>
      <c r="G9" s="314" t="s">
        <v>357</v>
      </c>
      <c r="H9" s="314" t="s">
        <v>358</v>
      </c>
      <c r="I9" s="314" t="s">
        <v>345</v>
      </c>
      <c r="J9" s="314" t="s">
        <v>349</v>
      </c>
      <c r="K9" s="314" t="s">
        <v>338</v>
      </c>
      <c r="L9" s="314" t="s">
        <v>351</v>
      </c>
      <c r="M9" s="314" t="s">
        <v>335</v>
      </c>
      <c r="N9" s="314" t="s">
        <v>336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47" t="s">
        <v>359</v>
      </c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</row>
    <row r="54" spans="2:14" ht="15" customHeight="1" thickBot="1">
      <c r="B54" s="336" t="s">
        <v>360</v>
      </c>
      <c r="C54" s="648" t="s">
        <v>357</v>
      </c>
      <c r="D54" s="649"/>
      <c r="E54" s="649"/>
      <c r="F54" s="649"/>
      <c r="G54" s="649"/>
      <c r="H54" s="337"/>
      <c r="I54" s="648" t="s">
        <v>352</v>
      </c>
      <c r="J54" s="649"/>
      <c r="K54" s="650"/>
      <c r="L54" s="648" t="s">
        <v>361</v>
      </c>
      <c r="M54" s="649"/>
      <c r="N54" s="651"/>
    </row>
    <row r="55" spans="2:14" ht="15" customHeight="1">
      <c r="B55" s="338"/>
      <c r="C55" s="637"/>
      <c r="D55" s="638"/>
      <c r="E55" s="638"/>
      <c r="F55" s="638"/>
      <c r="G55" s="638"/>
      <c r="H55" s="339"/>
      <c r="I55" s="639"/>
      <c r="J55" s="640"/>
      <c r="K55" s="641"/>
      <c r="L55" s="642"/>
      <c r="M55" s="643"/>
      <c r="N55" s="644"/>
    </row>
    <row r="56" spans="2:14" ht="15" customHeight="1">
      <c r="B56" s="340"/>
      <c r="C56" s="621"/>
      <c r="D56" s="622"/>
      <c r="E56" s="622"/>
      <c r="F56" s="622"/>
      <c r="G56" s="622"/>
      <c r="H56" s="341"/>
      <c r="I56" s="623"/>
      <c r="J56" s="624"/>
      <c r="K56" s="625"/>
      <c r="L56" s="626"/>
      <c r="M56" s="627"/>
      <c r="N56" s="628"/>
    </row>
    <row r="57" spans="2:14" ht="15" customHeight="1">
      <c r="B57" s="340"/>
      <c r="C57" s="621"/>
      <c r="D57" s="622"/>
      <c r="E57" s="622"/>
      <c r="F57" s="622"/>
      <c r="G57" s="622"/>
      <c r="H57" s="341"/>
      <c r="I57" s="623"/>
      <c r="J57" s="624"/>
      <c r="K57" s="625"/>
      <c r="L57" s="626"/>
      <c r="M57" s="627"/>
      <c r="N57" s="628"/>
    </row>
    <row r="58" spans="2:14" ht="15" customHeight="1">
      <c r="B58" s="340"/>
      <c r="C58" s="621"/>
      <c r="D58" s="622"/>
      <c r="E58" s="622"/>
      <c r="F58" s="622"/>
      <c r="G58" s="622"/>
      <c r="H58" s="341"/>
      <c r="I58" s="623"/>
      <c r="J58" s="624"/>
      <c r="K58" s="625"/>
      <c r="L58" s="626"/>
      <c r="M58" s="627"/>
      <c r="N58" s="628"/>
    </row>
    <row r="59" spans="2:14" ht="15" customHeight="1">
      <c r="B59" s="340"/>
      <c r="C59" s="621"/>
      <c r="D59" s="622"/>
      <c r="E59" s="622"/>
      <c r="F59" s="622"/>
      <c r="G59" s="622"/>
      <c r="H59" s="341"/>
      <c r="I59" s="623"/>
      <c r="J59" s="624"/>
      <c r="K59" s="625"/>
      <c r="L59" s="626"/>
      <c r="M59" s="627"/>
      <c r="N59" s="628"/>
    </row>
    <row r="60" spans="2:14" ht="15" customHeight="1">
      <c r="B60" s="340"/>
      <c r="C60" s="621"/>
      <c r="D60" s="622"/>
      <c r="E60" s="622"/>
      <c r="F60" s="622"/>
      <c r="G60" s="622"/>
      <c r="H60" s="341"/>
      <c r="I60" s="623"/>
      <c r="J60" s="624"/>
      <c r="K60" s="625"/>
      <c r="L60" s="626"/>
      <c r="M60" s="627"/>
      <c r="N60" s="628"/>
    </row>
    <row r="61" spans="2:14" ht="15" customHeight="1">
      <c r="B61" s="340"/>
      <c r="C61" s="621"/>
      <c r="D61" s="622"/>
      <c r="E61" s="622"/>
      <c r="F61" s="622"/>
      <c r="G61" s="622"/>
      <c r="H61" s="341"/>
      <c r="I61" s="623"/>
      <c r="J61" s="624"/>
      <c r="K61" s="625"/>
      <c r="L61" s="626"/>
      <c r="M61" s="627"/>
      <c r="N61" s="628"/>
    </row>
    <row r="62" spans="2:14" ht="15" customHeight="1">
      <c r="B62" s="340"/>
      <c r="C62" s="621"/>
      <c r="D62" s="622"/>
      <c r="E62" s="622"/>
      <c r="F62" s="622"/>
      <c r="G62" s="622"/>
      <c r="H62" s="341"/>
      <c r="I62" s="623"/>
      <c r="J62" s="624"/>
      <c r="K62" s="625"/>
      <c r="L62" s="626"/>
      <c r="M62" s="627"/>
      <c r="N62" s="628"/>
    </row>
    <row r="63" spans="2:14" ht="15" customHeight="1">
      <c r="B63" s="340"/>
      <c r="C63" s="621"/>
      <c r="D63" s="622"/>
      <c r="E63" s="622"/>
      <c r="F63" s="622"/>
      <c r="G63" s="622"/>
      <c r="H63" s="341"/>
      <c r="I63" s="623"/>
      <c r="J63" s="624"/>
      <c r="K63" s="625"/>
      <c r="L63" s="626"/>
      <c r="M63" s="627"/>
      <c r="N63" s="628"/>
    </row>
    <row r="64" spans="2:14" ht="15" customHeight="1">
      <c r="B64" s="340"/>
      <c r="C64" s="621"/>
      <c r="D64" s="622"/>
      <c r="E64" s="622"/>
      <c r="F64" s="622"/>
      <c r="G64" s="622"/>
      <c r="H64" s="341"/>
      <c r="I64" s="623"/>
      <c r="J64" s="624"/>
      <c r="K64" s="625"/>
      <c r="L64" s="626"/>
      <c r="M64" s="627"/>
      <c r="N64" s="628"/>
    </row>
    <row r="65" spans="2:14" ht="15" customHeight="1">
      <c r="B65" s="340"/>
      <c r="C65" s="621"/>
      <c r="D65" s="622"/>
      <c r="E65" s="622"/>
      <c r="F65" s="622"/>
      <c r="G65" s="622"/>
      <c r="H65" s="341"/>
      <c r="I65" s="623"/>
      <c r="J65" s="624"/>
      <c r="K65" s="625"/>
      <c r="L65" s="626"/>
      <c r="M65" s="627"/>
      <c r="N65" s="628"/>
    </row>
    <row r="66" spans="2:14" ht="15" customHeight="1">
      <c r="B66" s="340"/>
      <c r="C66" s="621"/>
      <c r="D66" s="622"/>
      <c r="E66" s="622"/>
      <c r="F66" s="622"/>
      <c r="G66" s="622"/>
      <c r="H66" s="341"/>
      <c r="I66" s="623"/>
      <c r="J66" s="624"/>
      <c r="K66" s="625"/>
      <c r="L66" s="626"/>
      <c r="M66" s="627"/>
      <c r="N66" s="628"/>
    </row>
    <row r="67" spans="2:14" ht="15" customHeight="1">
      <c r="B67" s="340"/>
      <c r="C67" s="621"/>
      <c r="D67" s="622"/>
      <c r="E67" s="622"/>
      <c r="F67" s="622"/>
      <c r="G67" s="622"/>
      <c r="H67" s="341"/>
      <c r="I67" s="623"/>
      <c r="J67" s="624"/>
      <c r="K67" s="625"/>
      <c r="L67" s="626"/>
      <c r="M67" s="627"/>
      <c r="N67" s="628"/>
    </row>
    <row r="68" spans="2:14" ht="15" customHeight="1">
      <c r="B68" s="340"/>
      <c r="C68" s="621"/>
      <c r="D68" s="622"/>
      <c r="E68" s="622"/>
      <c r="F68" s="622"/>
      <c r="G68" s="622"/>
      <c r="H68" s="341"/>
      <c r="I68" s="623"/>
      <c r="J68" s="624"/>
      <c r="K68" s="625"/>
      <c r="L68" s="626"/>
      <c r="M68" s="627"/>
      <c r="N68" s="628"/>
    </row>
    <row r="69" spans="2:14" ht="15" customHeight="1">
      <c r="B69" s="340"/>
      <c r="C69" s="621"/>
      <c r="D69" s="622"/>
      <c r="E69" s="622"/>
      <c r="F69" s="622"/>
      <c r="G69" s="622"/>
      <c r="H69" s="341"/>
      <c r="I69" s="623"/>
      <c r="J69" s="624"/>
      <c r="K69" s="625"/>
      <c r="L69" s="626"/>
      <c r="M69" s="627"/>
      <c r="N69" s="628"/>
    </row>
    <row r="70" spans="2:14" ht="15" customHeight="1">
      <c r="B70" s="340"/>
      <c r="C70" s="621"/>
      <c r="D70" s="622"/>
      <c r="E70" s="622"/>
      <c r="F70" s="622"/>
      <c r="G70" s="622"/>
      <c r="H70" s="341"/>
      <c r="I70" s="623"/>
      <c r="J70" s="624"/>
      <c r="K70" s="625"/>
      <c r="L70" s="626"/>
      <c r="M70" s="627"/>
      <c r="N70" s="628"/>
    </row>
    <row r="71" spans="2:14" ht="15" customHeight="1">
      <c r="B71" s="340"/>
      <c r="C71" s="621"/>
      <c r="D71" s="622"/>
      <c r="E71" s="622"/>
      <c r="F71" s="622"/>
      <c r="G71" s="622"/>
      <c r="H71" s="341"/>
      <c r="I71" s="623"/>
      <c r="J71" s="624"/>
      <c r="K71" s="625"/>
      <c r="L71" s="626"/>
      <c r="M71" s="627"/>
      <c r="N71" s="628"/>
    </row>
    <row r="72" spans="2:14">
      <c r="B72" s="340"/>
      <c r="C72" s="621"/>
      <c r="D72" s="622"/>
      <c r="E72" s="622"/>
      <c r="F72" s="622"/>
      <c r="G72" s="622"/>
      <c r="H72" s="341"/>
      <c r="I72" s="623"/>
      <c r="J72" s="624"/>
      <c r="K72" s="625"/>
      <c r="L72" s="626"/>
      <c r="M72" s="627"/>
      <c r="N72" s="628"/>
    </row>
    <row r="73" spans="2:14">
      <c r="B73" s="340"/>
      <c r="C73" s="621"/>
      <c r="D73" s="622"/>
      <c r="E73" s="622"/>
      <c r="F73" s="622"/>
      <c r="G73" s="622"/>
      <c r="H73" s="341"/>
      <c r="I73" s="623"/>
      <c r="J73" s="624"/>
      <c r="K73" s="625"/>
      <c r="L73" s="626"/>
      <c r="M73" s="627"/>
      <c r="N73" s="628"/>
    </row>
    <row r="74" spans="2:14">
      <c r="B74" s="340"/>
      <c r="C74" s="621"/>
      <c r="D74" s="622"/>
      <c r="E74" s="622"/>
      <c r="F74" s="622"/>
      <c r="G74" s="622"/>
      <c r="H74" s="341"/>
      <c r="I74" s="623"/>
      <c r="J74" s="624"/>
      <c r="K74" s="625"/>
      <c r="L74" s="626"/>
      <c r="M74" s="627"/>
      <c r="N74" s="628"/>
    </row>
    <row r="75" spans="2:14">
      <c r="B75" s="340"/>
      <c r="C75" s="621"/>
      <c r="D75" s="622"/>
      <c r="E75" s="622"/>
      <c r="F75" s="622"/>
      <c r="G75" s="622"/>
      <c r="H75" s="341"/>
      <c r="I75" s="623"/>
      <c r="J75" s="624"/>
      <c r="K75" s="625"/>
      <c r="L75" s="626"/>
      <c r="M75" s="627"/>
      <c r="N75" s="628"/>
    </row>
    <row r="76" spans="2:14">
      <c r="B76" s="340"/>
      <c r="C76" s="621"/>
      <c r="D76" s="622"/>
      <c r="E76" s="622"/>
      <c r="F76" s="622"/>
      <c r="G76" s="622"/>
      <c r="H76" s="341"/>
      <c r="I76" s="623"/>
      <c r="J76" s="624"/>
      <c r="K76" s="625"/>
      <c r="L76" s="626"/>
      <c r="M76" s="627"/>
      <c r="N76" s="628"/>
    </row>
    <row r="77" spans="2:14">
      <c r="B77" s="340"/>
      <c r="C77" s="621"/>
      <c r="D77" s="622"/>
      <c r="E77" s="622"/>
      <c r="F77" s="622"/>
      <c r="G77" s="622"/>
      <c r="H77" s="341"/>
      <c r="I77" s="623"/>
      <c r="J77" s="624"/>
      <c r="K77" s="625"/>
      <c r="L77" s="626"/>
      <c r="M77" s="627"/>
      <c r="N77" s="628"/>
    </row>
    <row r="78" spans="2:14">
      <c r="B78" s="340"/>
      <c r="C78" s="621"/>
      <c r="D78" s="622"/>
      <c r="E78" s="622"/>
      <c r="F78" s="622"/>
      <c r="G78" s="622"/>
      <c r="H78" s="341"/>
      <c r="I78" s="623"/>
      <c r="J78" s="624"/>
      <c r="K78" s="625"/>
      <c r="L78" s="626"/>
      <c r="M78" s="627"/>
      <c r="N78" s="628"/>
    </row>
    <row r="79" spans="2:14" ht="13.5" thickBot="1">
      <c r="B79" s="342"/>
      <c r="C79" s="629"/>
      <c r="D79" s="630"/>
      <c r="E79" s="630"/>
      <c r="F79" s="630"/>
      <c r="G79" s="630"/>
      <c r="H79" s="343"/>
      <c r="I79" s="631"/>
      <c r="J79" s="632"/>
      <c r="K79" s="633"/>
      <c r="L79" s="634"/>
      <c r="M79" s="635"/>
      <c r="N79" s="636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style="348" customWidth="1"/>
    <col min="7" max="16384" width="9.140625" style="348"/>
  </cols>
  <sheetData>
    <row r="1" spans="1:7" ht="20.25">
      <c r="A1" s="672" t="s">
        <v>401</v>
      </c>
      <c r="B1" s="672"/>
      <c r="C1" s="672"/>
      <c r="D1" s="672"/>
      <c r="E1" s="672"/>
      <c r="F1" s="672"/>
    </row>
    <row r="2" spans="1:7" ht="19.5" thickBot="1">
      <c r="A2" s="373"/>
      <c r="B2" s="373"/>
      <c r="C2" s="673" t="s">
        <v>413</v>
      </c>
      <c r="D2" s="673"/>
      <c r="E2" s="373"/>
      <c r="F2" s="373"/>
      <c r="G2" s="373"/>
    </row>
    <row r="3" spans="1:7" ht="19.5">
      <c r="A3" s="660" t="s">
        <v>402</v>
      </c>
      <c r="B3" s="661"/>
      <c r="C3" s="662"/>
      <c r="D3" s="660" t="s">
        <v>403</v>
      </c>
      <c r="E3" s="661"/>
      <c r="F3" s="662"/>
      <c r="G3" s="373"/>
    </row>
    <row r="4" spans="1:7" ht="15.75">
      <c r="A4" s="374" t="s">
        <v>414</v>
      </c>
      <c r="B4" s="674" t="s">
        <v>416</v>
      </c>
      <c r="C4" s="667"/>
      <c r="D4" s="675" t="s">
        <v>418</v>
      </c>
      <c r="E4" s="676"/>
      <c r="F4" s="677"/>
      <c r="G4" s="373"/>
    </row>
    <row r="5" spans="1:7" ht="16.5" thickBot="1">
      <c r="A5" s="375" t="s">
        <v>415</v>
      </c>
      <c r="B5" s="655" t="s">
        <v>417</v>
      </c>
      <c r="C5" s="656"/>
      <c r="D5" s="657" t="s">
        <v>419</v>
      </c>
      <c r="E5" s="658"/>
      <c r="F5" s="659"/>
      <c r="G5" s="373"/>
    </row>
    <row r="6" spans="1:7" ht="19.5">
      <c r="A6" s="660" t="s">
        <v>404</v>
      </c>
      <c r="B6" s="661"/>
      <c r="C6" s="661"/>
      <c r="D6" s="661"/>
      <c r="E6" s="661"/>
      <c r="F6" s="662"/>
      <c r="G6" s="373"/>
    </row>
    <row r="7" spans="1:7" ht="15.75">
      <c r="A7" s="376" t="s">
        <v>405</v>
      </c>
      <c r="B7" s="377" t="s">
        <v>420</v>
      </c>
      <c r="C7" s="378" t="s">
        <v>406</v>
      </c>
      <c r="D7" s="379" t="s">
        <v>422</v>
      </c>
      <c r="E7" s="663" t="s">
        <v>407</v>
      </c>
      <c r="F7" s="664"/>
      <c r="G7" s="373"/>
    </row>
    <row r="8" spans="1:7" ht="16.5" thickBot="1">
      <c r="A8" s="380"/>
      <c r="B8" s="381" t="s">
        <v>421</v>
      </c>
      <c r="C8" s="382"/>
      <c r="D8" s="383" t="s">
        <v>423</v>
      </c>
      <c r="E8" s="665" t="s">
        <v>424</v>
      </c>
      <c r="F8" s="659"/>
      <c r="G8" s="373"/>
    </row>
    <row r="9" spans="1:7" ht="19.5">
      <c r="A9" s="660" t="s">
        <v>408</v>
      </c>
      <c r="B9" s="661"/>
      <c r="C9" s="662"/>
      <c r="D9" s="660" t="s">
        <v>409</v>
      </c>
      <c r="E9" s="661"/>
      <c r="F9" s="662"/>
      <c r="G9" s="373"/>
    </row>
    <row r="10" spans="1:7" ht="15.75">
      <c r="A10" s="384" t="s">
        <v>410</v>
      </c>
      <c r="B10" s="666" t="s">
        <v>425</v>
      </c>
      <c r="C10" s="667"/>
      <c r="D10" s="668" t="s">
        <v>427</v>
      </c>
      <c r="E10" s="669"/>
      <c r="F10" s="385" t="s">
        <v>429</v>
      </c>
      <c r="G10" s="373"/>
    </row>
    <row r="11" spans="1:7" ht="16.5" thickBot="1">
      <c r="A11" s="386" t="s">
        <v>411</v>
      </c>
      <c r="B11" s="658" t="s">
        <v>426</v>
      </c>
      <c r="C11" s="659"/>
      <c r="D11" s="670" t="s">
        <v>428</v>
      </c>
      <c r="E11" s="671"/>
      <c r="F11" s="387" t="s">
        <v>430</v>
      </c>
      <c r="G11" s="373"/>
    </row>
    <row r="12" spans="1:7" ht="19.5">
      <c r="A12" s="660" t="s">
        <v>412</v>
      </c>
      <c r="B12" s="661"/>
      <c r="C12" s="661"/>
      <c r="D12" s="661"/>
      <c r="E12" s="661"/>
      <c r="F12" s="662"/>
      <c r="G12" s="373"/>
    </row>
    <row r="13" spans="1:7" ht="16.5" thickBot="1">
      <c r="A13" s="652" t="s">
        <v>431</v>
      </c>
      <c r="B13" s="653"/>
      <c r="C13" s="654" t="s">
        <v>432</v>
      </c>
      <c r="D13" s="654"/>
      <c r="E13" s="654"/>
      <c r="F13" s="388"/>
      <c r="G13" s="373"/>
    </row>
    <row r="14" spans="1:7" ht="18.95" customHeight="1">
      <c r="A14" s="389"/>
      <c r="B14" s="389"/>
      <c r="C14" s="389"/>
      <c r="D14" s="389"/>
      <c r="E14" s="389"/>
      <c r="F14" s="389"/>
      <c r="G14" s="373"/>
    </row>
    <row r="15" spans="1:7" ht="15.75">
      <c r="G15" s="373"/>
    </row>
    <row r="16" spans="1:7" ht="15.75">
      <c r="G16" s="373"/>
    </row>
    <row r="17" spans="7:7" ht="15.75">
      <c r="G17" s="373"/>
    </row>
    <row r="18" spans="7:7" ht="15.75">
      <c r="G18" s="373"/>
    </row>
    <row r="19" spans="7:7" ht="15.75">
      <c r="G19" s="373"/>
    </row>
    <row r="20" spans="7:7" ht="15.75">
      <c r="G20" s="373"/>
    </row>
    <row r="21" spans="7:7" ht="15.75">
      <c r="G21" s="373"/>
    </row>
    <row r="22" spans="7:7" ht="15.75">
      <c r="G22" s="373"/>
    </row>
    <row r="23" spans="7:7" ht="15.75">
      <c r="G23" s="373"/>
    </row>
    <row r="24" spans="7:7" ht="15.75">
      <c r="G24" s="373"/>
    </row>
    <row r="25" spans="7:7" ht="15.75">
      <c r="G25" s="373"/>
    </row>
    <row r="26" spans="7:7" ht="15.75">
      <c r="G26" s="373"/>
    </row>
    <row r="27" spans="7:7" ht="18.95" customHeight="1">
      <c r="G27" s="373"/>
    </row>
    <row r="28" spans="7:7" ht="15.75">
      <c r="G28" s="373"/>
    </row>
    <row r="29" spans="7:7" ht="15.75">
      <c r="G29" s="373"/>
    </row>
    <row r="30" spans="7:7" ht="15.75">
      <c r="G30" s="373"/>
    </row>
    <row r="31" spans="7:7" ht="15.75">
      <c r="G31" s="373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D11" sqref="D11"/>
    </sheetView>
  </sheetViews>
  <sheetFormatPr defaultRowHeight="12.75"/>
  <cols>
    <col min="1" max="6" width="16.7109375" style="348" customWidth="1"/>
    <col min="7" max="16384" width="9.140625" style="348"/>
  </cols>
  <sheetData>
    <row r="1" spans="1:6" ht="18.95" customHeight="1">
      <c r="A1" s="345"/>
      <c r="B1" s="346"/>
      <c r="C1" s="346"/>
      <c r="D1" s="346"/>
      <c r="E1" s="346"/>
      <c r="F1" s="347"/>
    </row>
    <row r="2" spans="1:6" ht="26.1" customHeight="1">
      <c r="A2" s="349" t="s">
        <v>251</v>
      </c>
      <c r="B2" s="350"/>
      <c r="C2" s="350"/>
      <c r="D2" s="350"/>
      <c r="E2" s="350"/>
      <c r="F2" s="351"/>
    </row>
    <row r="3" spans="1:6" ht="18.95" customHeight="1">
      <c r="A3" s="352" t="s">
        <v>372</v>
      </c>
      <c r="B3" s="350"/>
      <c r="C3" s="350"/>
      <c r="D3" s="350"/>
      <c r="E3" s="350"/>
      <c r="F3" s="351"/>
    </row>
    <row r="4" spans="1:6" ht="18.95" customHeight="1">
      <c r="A4" s="353"/>
      <c r="B4" s="354"/>
      <c r="C4" s="354"/>
      <c r="D4" s="354"/>
      <c r="E4" s="354"/>
      <c r="F4" s="355"/>
    </row>
    <row r="5" spans="1:6" ht="18.95" customHeight="1">
      <c r="A5" s="353"/>
      <c r="B5" s="354"/>
      <c r="C5" s="354"/>
      <c r="D5" s="354"/>
      <c r="E5" s="354"/>
      <c r="F5" s="355"/>
    </row>
    <row r="6" spans="1:6" ht="18.95" customHeight="1">
      <c r="A6" s="356" t="s">
        <v>373</v>
      </c>
      <c r="B6" s="678" t="str">
        <f>'Performance Data Sheet'!C17</f>
        <v>M455TCQL11E-C</v>
      </c>
      <c r="C6" s="679"/>
      <c r="D6" s="680"/>
      <c r="E6" s="356" t="s">
        <v>374</v>
      </c>
      <c r="F6" s="357">
        <v>282</v>
      </c>
    </row>
    <row r="7" spans="1:6" ht="18.95" customHeight="1">
      <c r="A7" s="356" t="s">
        <v>375</v>
      </c>
      <c r="B7" s="357" t="str">
        <f>'Performance Data Sheet'!F14</f>
        <v>TEAAC</v>
      </c>
      <c r="C7" s="356" t="s">
        <v>376</v>
      </c>
      <c r="D7" s="357" t="s">
        <v>398</v>
      </c>
      <c r="E7" s="356" t="s">
        <v>377</v>
      </c>
      <c r="F7" s="357" t="str">
        <f>'Performance Data Sheet'!C14</f>
        <v>6810US</v>
      </c>
    </row>
    <row r="8" spans="1:6" ht="18.95" customHeight="1">
      <c r="A8" s="356" t="s">
        <v>378</v>
      </c>
      <c r="B8" s="357">
        <v>4</v>
      </c>
      <c r="C8" s="356" t="s">
        <v>379</v>
      </c>
      <c r="D8" s="357" t="s">
        <v>380</v>
      </c>
      <c r="E8" s="356" t="s">
        <v>381</v>
      </c>
      <c r="F8" s="357" t="str">
        <f>'Performance Data Sheet'!M15</f>
        <v>F</v>
      </c>
    </row>
    <row r="9" spans="1:6" ht="18.95" customHeight="1">
      <c r="A9" s="356" t="s">
        <v>382</v>
      </c>
      <c r="B9" s="357">
        <v>2250</v>
      </c>
      <c r="C9" s="356" t="s">
        <v>383</v>
      </c>
      <c r="D9" s="357" t="s">
        <v>399</v>
      </c>
      <c r="E9" s="356" t="s">
        <v>2</v>
      </c>
      <c r="F9" s="358">
        <f>'Performance Data Sheet'!K45</f>
        <v>41982</v>
      </c>
    </row>
    <row r="10" spans="1:6" ht="18.95" customHeight="1">
      <c r="A10" s="356" t="s">
        <v>384</v>
      </c>
      <c r="B10" s="357">
        <v>1784</v>
      </c>
      <c r="C10" s="356" t="s">
        <v>385</v>
      </c>
      <c r="D10" s="357" t="s">
        <v>386</v>
      </c>
      <c r="E10" s="356" t="s">
        <v>1</v>
      </c>
      <c r="F10" s="357" t="s">
        <v>362</v>
      </c>
    </row>
    <row r="11" spans="1:6" ht="18.95" customHeight="1">
      <c r="A11" s="353"/>
      <c r="B11" s="354"/>
      <c r="C11" s="354"/>
      <c r="D11" s="354"/>
      <c r="E11" s="354"/>
      <c r="F11" s="355"/>
    </row>
    <row r="12" spans="1:6" ht="18.95" customHeight="1">
      <c r="A12" s="353"/>
      <c r="B12" s="359" t="s">
        <v>387</v>
      </c>
      <c r="C12" s="360" t="s">
        <v>400</v>
      </c>
      <c r="D12" s="359" t="s">
        <v>388</v>
      </c>
      <c r="E12" s="360" t="s">
        <v>386</v>
      </c>
      <c r="F12" s="355"/>
    </row>
    <row r="13" spans="1:6" ht="18.95" customHeight="1">
      <c r="A13" s="353"/>
      <c r="B13" s="359" t="s">
        <v>389</v>
      </c>
      <c r="C13" s="361">
        <v>0.7</v>
      </c>
      <c r="D13" s="359" t="s">
        <v>390</v>
      </c>
      <c r="E13" s="360" t="s">
        <v>386</v>
      </c>
      <c r="F13" s="355"/>
    </row>
    <row r="14" spans="1:6" ht="18.95" customHeight="1">
      <c r="A14" s="353"/>
      <c r="B14" s="359" t="s">
        <v>391</v>
      </c>
      <c r="C14" s="361">
        <v>2.2000000000000002</v>
      </c>
      <c r="D14" s="359" t="s">
        <v>392</v>
      </c>
      <c r="E14" s="360" t="s">
        <v>386</v>
      </c>
      <c r="F14" s="355"/>
    </row>
    <row r="15" spans="1:6" ht="18.95" customHeight="1">
      <c r="A15" s="353"/>
      <c r="B15" s="359" t="s">
        <v>393</v>
      </c>
      <c r="C15" s="360" t="s">
        <v>749</v>
      </c>
      <c r="D15" s="354"/>
      <c r="E15" s="354"/>
      <c r="F15" s="355"/>
    </row>
    <row r="16" spans="1:6" ht="18.95" customHeight="1">
      <c r="A16" s="353"/>
      <c r="B16" s="354"/>
      <c r="C16" s="354"/>
      <c r="D16" s="354"/>
      <c r="E16" s="354"/>
      <c r="F16" s="355"/>
    </row>
    <row r="17" spans="1:6" ht="18.95" customHeight="1">
      <c r="A17" s="353"/>
      <c r="B17" s="354"/>
      <c r="C17" s="354"/>
      <c r="D17" s="354"/>
      <c r="E17" s="354"/>
      <c r="F17" s="355"/>
    </row>
    <row r="18" spans="1:6" ht="18.95" customHeight="1">
      <c r="A18" s="353"/>
      <c r="B18" s="354"/>
      <c r="C18" s="354"/>
      <c r="D18" s="354"/>
      <c r="E18" s="354"/>
      <c r="F18" s="355"/>
    </row>
    <row r="19" spans="1:6" ht="18.95" customHeight="1">
      <c r="A19" s="353"/>
      <c r="B19" s="354"/>
      <c r="C19" s="354"/>
      <c r="D19" s="354"/>
      <c r="E19" s="354"/>
      <c r="F19" s="355"/>
    </row>
    <row r="20" spans="1:6" ht="18.95" customHeight="1">
      <c r="A20" s="353"/>
      <c r="B20" s="354"/>
      <c r="C20" s="354"/>
      <c r="D20" s="354"/>
      <c r="E20" s="354"/>
      <c r="F20" s="355"/>
    </row>
    <row r="21" spans="1:6" ht="18.95" customHeight="1">
      <c r="A21" s="353"/>
      <c r="B21" s="354"/>
      <c r="C21" s="354"/>
      <c r="D21" s="354"/>
      <c r="E21" s="354"/>
      <c r="F21" s="355"/>
    </row>
    <row r="22" spans="1:6" ht="18.95" customHeight="1">
      <c r="A22" s="353"/>
      <c r="B22" s="354"/>
      <c r="C22" s="354"/>
      <c r="D22" s="354"/>
      <c r="E22" s="354"/>
      <c r="F22" s="355"/>
    </row>
    <row r="23" spans="1:6" ht="18.95" customHeight="1">
      <c r="A23" s="353"/>
      <c r="B23" s="354"/>
      <c r="C23" s="354"/>
      <c r="D23" s="354"/>
      <c r="E23" s="354"/>
      <c r="F23" s="355"/>
    </row>
    <row r="24" spans="1:6" ht="18.95" customHeight="1">
      <c r="A24" s="353"/>
      <c r="B24" s="354"/>
      <c r="C24" s="354"/>
      <c r="D24" s="354"/>
      <c r="E24" s="354"/>
      <c r="F24" s="355"/>
    </row>
    <row r="25" spans="1:6" ht="18.95" customHeight="1">
      <c r="A25" s="353"/>
      <c r="B25" s="354"/>
      <c r="C25" s="354"/>
      <c r="D25" s="354"/>
      <c r="E25" s="354"/>
      <c r="F25" s="355"/>
    </row>
    <row r="26" spans="1:6" ht="18.95" customHeight="1">
      <c r="A26" s="353"/>
      <c r="B26" s="354"/>
      <c r="C26" s="354"/>
      <c r="D26" s="354"/>
      <c r="E26" s="354"/>
      <c r="F26" s="355"/>
    </row>
    <row r="27" spans="1:6" ht="18.95" customHeight="1">
      <c r="A27" s="353"/>
      <c r="B27" s="354"/>
      <c r="C27" s="354"/>
      <c r="D27" s="354"/>
      <c r="E27" s="354"/>
      <c r="F27" s="355"/>
    </row>
    <row r="28" spans="1:6" ht="18.95" customHeight="1">
      <c r="A28" s="353"/>
      <c r="B28" s="354"/>
      <c r="C28" s="354"/>
      <c r="D28" s="354"/>
      <c r="E28" s="354"/>
      <c r="F28" s="355"/>
    </row>
    <row r="29" spans="1:6" ht="18.95" customHeight="1">
      <c r="A29" s="353"/>
      <c r="B29" s="354"/>
      <c r="C29" s="354"/>
      <c r="D29" s="354"/>
      <c r="E29" s="354"/>
      <c r="F29" s="355"/>
    </row>
    <row r="30" spans="1:6" ht="18.95" customHeight="1">
      <c r="A30" s="353"/>
      <c r="B30" s="354"/>
      <c r="C30" s="354"/>
      <c r="D30" s="354"/>
      <c r="E30" s="354"/>
      <c r="F30" s="355"/>
    </row>
    <row r="31" spans="1:6" ht="18.95" customHeight="1">
      <c r="A31" s="353"/>
      <c r="B31" s="354"/>
      <c r="C31" s="354"/>
      <c r="D31" s="354"/>
      <c r="E31" s="354"/>
      <c r="F31" s="355"/>
    </row>
    <row r="32" spans="1:6" ht="18.95" customHeight="1">
      <c r="A32" s="353"/>
      <c r="B32" s="354"/>
      <c r="C32" s="354"/>
      <c r="D32" s="354"/>
      <c r="E32" s="354"/>
      <c r="F32" s="355"/>
    </row>
    <row r="33" spans="1:6" ht="18.95" customHeight="1">
      <c r="A33" s="353"/>
      <c r="B33" s="354"/>
      <c r="C33" s="354"/>
      <c r="D33" s="354"/>
      <c r="E33" s="354"/>
      <c r="F33" s="355"/>
    </row>
    <row r="34" spans="1:6" ht="18.95" customHeight="1">
      <c r="A34" s="353"/>
      <c r="B34" s="354"/>
      <c r="C34" s="354"/>
      <c r="D34" s="354"/>
      <c r="E34" s="354"/>
      <c r="F34" s="355"/>
    </row>
    <row r="35" spans="1:6" ht="18.95" customHeight="1">
      <c r="A35" s="353"/>
      <c r="B35" s="354"/>
      <c r="C35" s="354"/>
      <c r="D35" s="354"/>
      <c r="E35" s="354"/>
      <c r="F35" s="355"/>
    </row>
    <row r="36" spans="1:6" ht="18.95" customHeight="1">
      <c r="A36" s="353"/>
      <c r="B36" s="354"/>
      <c r="C36" s="354"/>
      <c r="D36" s="354"/>
      <c r="E36" s="354"/>
      <c r="F36" s="355"/>
    </row>
    <row r="37" spans="1:6" ht="18.95" customHeight="1">
      <c r="A37" s="353"/>
      <c r="B37" s="354"/>
      <c r="C37" s="354"/>
      <c r="D37" s="354"/>
      <c r="E37" s="354"/>
      <c r="F37" s="355"/>
    </row>
    <row r="38" spans="1:6" ht="18.95" customHeight="1">
      <c r="A38" s="353"/>
      <c r="B38" s="354"/>
      <c r="C38" s="354"/>
      <c r="D38" s="354"/>
      <c r="E38" s="354"/>
      <c r="F38" s="355"/>
    </row>
    <row r="39" spans="1:6" ht="18.95" customHeight="1">
      <c r="A39" s="362" t="s">
        <v>394</v>
      </c>
      <c r="B39" s="363"/>
      <c r="C39" s="363"/>
      <c r="D39" s="354"/>
      <c r="E39" s="359" t="s">
        <v>395</v>
      </c>
      <c r="F39" s="364" t="s">
        <v>362</v>
      </c>
    </row>
    <row r="40" spans="1:6" ht="18.95" customHeight="1">
      <c r="A40" s="353"/>
      <c r="B40" s="363"/>
      <c r="C40" s="363"/>
      <c r="D40" s="354"/>
      <c r="E40" s="354"/>
      <c r="F40" s="355"/>
    </row>
    <row r="41" spans="1:6" ht="18.95" customHeight="1">
      <c r="A41" s="353"/>
      <c r="B41" s="363"/>
      <c r="C41" s="363"/>
      <c r="D41" s="354"/>
      <c r="E41" s="354"/>
      <c r="F41" s="355"/>
    </row>
    <row r="42" spans="1:6" ht="18.95" customHeight="1">
      <c r="A42" s="353"/>
      <c r="B42" s="354"/>
      <c r="C42" s="354"/>
      <c r="D42" s="354"/>
      <c r="E42" s="354"/>
      <c r="F42" s="355"/>
    </row>
    <row r="43" spans="1:6" ht="18.95" customHeight="1">
      <c r="A43" s="365"/>
      <c r="B43" s="363"/>
      <c r="C43" s="366" t="s">
        <v>396</v>
      </c>
      <c r="D43" s="367" t="str">
        <f>'Performance Data Sheet'!K43</f>
        <v>Mario L</v>
      </c>
      <c r="E43" s="366" t="s">
        <v>397</v>
      </c>
      <c r="F43" s="36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71">
        <v>100</v>
      </c>
      <c r="B54" s="344">
        <v>0</v>
      </c>
      <c r="C54" s="344">
        <v>0.25680267810821533</v>
      </c>
    </row>
    <row r="55" spans="1:3" ht="15" customHeight="1">
      <c r="A55" s="371">
        <v>99.799999967217445</v>
      </c>
      <c r="B55" s="344">
        <v>118.36132428733742</v>
      </c>
      <c r="C55" s="344">
        <v>129.86514282226562</v>
      </c>
    </row>
    <row r="56" spans="1:3" ht="15" customHeight="1">
      <c r="A56" s="371">
        <v>98.999999836087227</v>
      </c>
      <c r="B56" s="344">
        <v>220</v>
      </c>
      <c r="C56" s="344">
        <v>381.40756225585938</v>
      </c>
    </row>
    <row r="57" spans="1:3">
      <c r="A57" s="371">
        <v>93.789473548531532</v>
      </c>
      <c r="B57" s="344">
        <v>122.44377680391734</v>
      </c>
      <c r="C57" s="344">
        <v>445.13589477539062</v>
      </c>
    </row>
    <row r="58" spans="1:3">
      <c r="A58" s="371">
        <v>88.578946888446808</v>
      </c>
      <c r="B58" s="344">
        <v>96.264980563792051</v>
      </c>
      <c r="C58" s="344">
        <v>464.09640502929687</v>
      </c>
    </row>
    <row r="59" spans="1:3">
      <c r="A59" s="371">
        <v>83.368420600891113</v>
      </c>
      <c r="B59" s="344">
        <v>84.788071658566153</v>
      </c>
      <c r="C59" s="344">
        <v>474.2305908203125</v>
      </c>
    </row>
    <row r="60" spans="1:3">
      <c r="A60" s="371">
        <v>72.947368025779724</v>
      </c>
      <c r="B60" s="344">
        <v>77.71022406148839</v>
      </c>
      <c r="C60" s="344">
        <v>487.99066162109375</v>
      </c>
    </row>
    <row r="61" spans="1:3">
      <c r="A61" s="371">
        <v>62.526315450668335</v>
      </c>
      <c r="B61" s="344">
        <v>74.45916714019117</v>
      </c>
      <c r="C61" s="344">
        <v>498.54385375976562</v>
      </c>
    </row>
    <row r="62" spans="1:3">
      <c r="A62" s="371">
        <v>52.105262875556946</v>
      </c>
      <c r="B62" s="344">
        <v>72.584938589112738</v>
      </c>
      <c r="C62" s="344">
        <v>506.93316650390625</v>
      </c>
    </row>
    <row r="63" spans="1:3">
      <c r="A63" s="371">
        <v>41.684210300445557</v>
      </c>
      <c r="B63" s="344">
        <v>71.445894552379528</v>
      </c>
      <c r="C63" s="344">
        <v>513.6185302734375</v>
      </c>
    </row>
    <row r="64" spans="1:3">
      <c r="A64" s="371">
        <v>31.263160705566406</v>
      </c>
      <c r="B64" s="344">
        <v>70.758459772205327</v>
      </c>
      <c r="C64" s="344">
        <v>518.967529296875</v>
      </c>
    </row>
    <row r="65" spans="1:3">
      <c r="A65" s="371">
        <v>20.842105150222778</v>
      </c>
      <c r="B65" s="344">
        <v>70.353411455910546</v>
      </c>
      <c r="C65" s="344">
        <v>523.2635498046875</v>
      </c>
    </row>
    <row r="66" spans="1:3">
      <c r="A66" s="371">
        <v>10.421055555343628</v>
      </c>
      <c r="B66" s="344">
        <v>70.123718080747622</v>
      </c>
      <c r="C66" s="344">
        <v>526.808349609375</v>
      </c>
    </row>
    <row r="67" spans="1:3">
      <c r="A67" s="372">
        <v>0</v>
      </c>
      <c r="B67" s="344">
        <v>70</v>
      </c>
      <c r="C67" s="344">
        <v>529.7872314453125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2.75"/>
  <cols>
    <col min="1" max="1" width="19.7109375" style="348" customWidth="1"/>
    <col min="2" max="7" width="10.7109375" style="348" customWidth="1"/>
    <col min="8" max="16384" width="9.140625" style="348"/>
  </cols>
  <sheetData>
    <row r="1" spans="1:12" ht="21" customHeight="1">
      <c r="A1" s="401" t="s">
        <v>439</v>
      </c>
      <c r="B1" s="690" t="s">
        <v>478</v>
      </c>
      <c r="C1" s="690"/>
      <c r="D1" s="690"/>
      <c r="E1" s="690"/>
      <c r="F1" s="690"/>
      <c r="G1" s="690"/>
    </row>
    <row r="2" spans="1:12" ht="15" customHeight="1"/>
    <row r="3" spans="1:12" ht="20.25">
      <c r="A3" s="402" t="s">
        <v>440</v>
      </c>
    </row>
    <row r="4" spans="1:12" ht="12" customHeight="1">
      <c r="A4" s="373"/>
      <c r="B4" s="373"/>
      <c r="C4" s="373"/>
      <c r="D4" s="373" t="s">
        <v>492</v>
      </c>
      <c r="E4" s="373"/>
      <c r="F4" s="373"/>
      <c r="G4" s="373"/>
      <c r="H4" s="373"/>
      <c r="I4" s="373"/>
      <c r="J4" s="373"/>
      <c r="K4" s="373"/>
      <c r="L4" s="373"/>
    </row>
    <row r="5" spans="1:12" ht="15.6" customHeight="1">
      <c r="A5" s="403" t="s">
        <v>5</v>
      </c>
      <c r="B5" s="403" t="s">
        <v>441</v>
      </c>
      <c r="C5" s="403" t="s">
        <v>442</v>
      </c>
      <c r="D5" s="403" t="s">
        <v>443</v>
      </c>
      <c r="E5" s="403" t="s">
        <v>444</v>
      </c>
      <c r="F5" s="403" t="s">
        <v>445</v>
      </c>
      <c r="G5" s="403" t="s">
        <v>446</v>
      </c>
      <c r="H5" s="373"/>
      <c r="I5" s="373"/>
      <c r="J5" s="373"/>
      <c r="K5" s="373"/>
      <c r="L5" s="373"/>
    </row>
    <row r="6" spans="1:12" ht="15.6" customHeight="1">
      <c r="A6" s="404" t="s">
        <v>447</v>
      </c>
      <c r="B6" s="404" t="s">
        <v>165</v>
      </c>
      <c r="C6" s="404" t="s">
        <v>165</v>
      </c>
      <c r="D6" s="404" t="s">
        <v>448</v>
      </c>
      <c r="E6" s="404" t="s">
        <v>135</v>
      </c>
      <c r="F6" s="404" t="s">
        <v>449</v>
      </c>
      <c r="G6" s="404" t="s">
        <v>449</v>
      </c>
      <c r="H6" s="373"/>
      <c r="I6" s="373"/>
      <c r="J6" s="373"/>
      <c r="K6" s="373"/>
      <c r="L6" s="373"/>
    </row>
    <row r="7" spans="1:12" ht="15.95" customHeight="1">
      <c r="A7" s="405" t="s">
        <v>479</v>
      </c>
      <c r="B7" s="405" t="s">
        <v>493</v>
      </c>
      <c r="C7" s="405" t="s">
        <v>506</v>
      </c>
      <c r="D7" s="405" t="s">
        <v>519</v>
      </c>
      <c r="E7" s="405" t="s">
        <v>531</v>
      </c>
      <c r="F7" s="405" t="s">
        <v>544</v>
      </c>
      <c r="G7" s="405" t="s">
        <v>557</v>
      </c>
      <c r="H7" s="373"/>
      <c r="I7" s="373"/>
      <c r="J7" s="373"/>
      <c r="K7" s="373"/>
      <c r="L7" s="373"/>
    </row>
    <row r="8" spans="1:12" ht="15.95" customHeight="1">
      <c r="A8" s="405" t="s">
        <v>480</v>
      </c>
      <c r="B8" s="405" t="s">
        <v>494</v>
      </c>
      <c r="C8" s="405" t="s">
        <v>507</v>
      </c>
      <c r="D8" s="405" t="s">
        <v>520</v>
      </c>
      <c r="E8" s="405" t="s">
        <v>532</v>
      </c>
      <c r="F8" s="405" t="s">
        <v>545</v>
      </c>
      <c r="G8" s="405" t="s">
        <v>558</v>
      </c>
      <c r="H8" s="373"/>
      <c r="I8" s="373"/>
      <c r="J8" s="373"/>
      <c r="K8" s="373"/>
      <c r="L8" s="373"/>
    </row>
    <row r="9" spans="1:12" ht="15.95" customHeight="1">
      <c r="A9" s="405" t="s">
        <v>481</v>
      </c>
      <c r="B9" s="405" t="s">
        <v>495</v>
      </c>
      <c r="C9" s="405" t="s">
        <v>508</v>
      </c>
      <c r="D9" s="405" t="s">
        <v>521</v>
      </c>
      <c r="E9" s="405" t="s">
        <v>533</v>
      </c>
      <c r="F9" s="405" t="s">
        <v>546</v>
      </c>
      <c r="G9" s="405" t="s">
        <v>559</v>
      </c>
      <c r="H9" s="373"/>
      <c r="I9" s="373"/>
      <c r="J9" s="373"/>
      <c r="K9" s="373"/>
      <c r="L9" s="373"/>
    </row>
    <row r="10" spans="1:12" ht="15.95" customHeight="1">
      <c r="A10" s="405" t="s">
        <v>482</v>
      </c>
      <c r="B10" s="405" t="s">
        <v>496</v>
      </c>
      <c r="C10" s="405" t="s">
        <v>509</v>
      </c>
      <c r="D10" s="405" t="s">
        <v>521</v>
      </c>
      <c r="E10" s="405" t="s">
        <v>534</v>
      </c>
      <c r="F10" s="405" t="s">
        <v>547</v>
      </c>
      <c r="G10" s="405" t="s">
        <v>560</v>
      </c>
      <c r="H10" s="373"/>
      <c r="I10" s="373"/>
      <c r="J10" s="373"/>
      <c r="K10" s="373"/>
      <c r="L10" s="373"/>
    </row>
    <row r="11" spans="1:12" ht="15.95" customHeight="1">
      <c r="A11" s="405" t="s">
        <v>483</v>
      </c>
      <c r="B11" s="405" t="s">
        <v>497</v>
      </c>
      <c r="C11" s="405" t="s">
        <v>510</v>
      </c>
      <c r="D11" s="405" t="s">
        <v>522</v>
      </c>
      <c r="E11" s="405" t="s">
        <v>535</v>
      </c>
      <c r="F11" s="405" t="s">
        <v>548</v>
      </c>
      <c r="G11" s="405" t="s">
        <v>561</v>
      </c>
      <c r="H11" s="373"/>
      <c r="I11" s="373"/>
      <c r="J11" s="373"/>
      <c r="K11" s="373"/>
      <c r="L11" s="373"/>
    </row>
    <row r="12" spans="1:12" ht="15.95" customHeight="1">
      <c r="A12" s="405" t="s">
        <v>484</v>
      </c>
      <c r="B12" s="405" t="s">
        <v>498</v>
      </c>
      <c r="C12" s="405" t="s">
        <v>511</v>
      </c>
      <c r="D12" s="405" t="s">
        <v>523</v>
      </c>
      <c r="E12" s="405" t="s">
        <v>536</v>
      </c>
      <c r="F12" s="405" t="s">
        <v>549</v>
      </c>
      <c r="G12" s="405" t="s">
        <v>562</v>
      </c>
      <c r="H12" s="373"/>
      <c r="I12" s="373"/>
      <c r="J12" s="373"/>
      <c r="K12" s="373"/>
      <c r="L12" s="373"/>
    </row>
    <row r="13" spans="1:12" ht="15.95" customHeight="1">
      <c r="A13" s="405" t="s">
        <v>485</v>
      </c>
      <c r="B13" s="405" t="s">
        <v>499</v>
      </c>
      <c r="C13" s="405" t="s">
        <v>512</v>
      </c>
      <c r="D13" s="405" t="s">
        <v>524</v>
      </c>
      <c r="E13" s="405" t="s">
        <v>537</v>
      </c>
      <c r="F13" s="405" t="s">
        <v>550</v>
      </c>
      <c r="G13" s="405" t="s">
        <v>563</v>
      </c>
      <c r="H13" s="373"/>
      <c r="I13" s="373"/>
      <c r="J13" s="373"/>
      <c r="K13" s="373"/>
      <c r="L13" s="373"/>
    </row>
    <row r="14" spans="1:12" ht="15.95" customHeight="1">
      <c r="A14" s="405" t="s">
        <v>486</v>
      </c>
      <c r="B14" s="405" t="s">
        <v>500</v>
      </c>
      <c r="C14" s="405" t="s">
        <v>513</v>
      </c>
      <c r="D14" s="405" t="s">
        <v>525</v>
      </c>
      <c r="E14" s="405" t="s">
        <v>538</v>
      </c>
      <c r="F14" s="405" t="s">
        <v>551</v>
      </c>
      <c r="G14" s="405" t="s">
        <v>564</v>
      </c>
      <c r="H14" s="373"/>
      <c r="I14" s="373"/>
      <c r="J14" s="373"/>
      <c r="K14" s="373"/>
      <c r="L14" s="373"/>
    </row>
    <row r="15" spans="1:12" ht="15.95" customHeight="1">
      <c r="A15" s="405" t="s">
        <v>487</v>
      </c>
      <c r="B15" s="405" t="s">
        <v>501</v>
      </c>
      <c r="C15" s="405" t="s">
        <v>514</v>
      </c>
      <c r="D15" s="405" t="s">
        <v>526</v>
      </c>
      <c r="E15" s="405" t="s">
        <v>539</v>
      </c>
      <c r="F15" s="405" t="s">
        <v>552</v>
      </c>
      <c r="G15" s="405" t="s">
        <v>565</v>
      </c>
      <c r="H15" s="373"/>
      <c r="I15" s="373"/>
      <c r="J15" s="373"/>
      <c r="K15" s="373"/>
      <c r="L15" s="373"/>
    </row>
    <row r="16" spans="1:12" ht="15.95" customHeight="1">
      <c r="A16" s="405" t="s">
        <v>488</v>
      </c>
      <c r="B16" s="405" t="s">
        <v>502</v>
      </c>
      <c r="C16" s="405" t="s">
        <v>515</v>
      </c>
      <c r="D16" s="405" t="s">
        <v>527</v>
      </c>
      <c r="E16" s="405" t="s">
        <v>540</v>
      </c>
      <c r="F16" s="405" t="s">
        <v>553</v>
      </c>
      <c r="G16" s="405" t="s">
        <v>566</v>
      </c>
      <c r="H16" s="373"/>
      <c r="I16" s="373"/>
      <c r="J16" s="373"/>
      <c r="K16" s="373"/>
      <c r="L16" s="373"/>
    </row>
    <row r="17" spans="1:12" ht="15.95" customHeight="1">
      <c r="A17" s="405" t="s">
        <v>489</v>
      </c>
      <c r="B17" s="405" t="s">
        <v>503</v>
      </c>
      <c r="C17" s="405" t="s">
        <v>516</v>
      </c>
      <c r="D17" s="405" t="s">
        <v>528</v>
      </c>
      <c r="E17" s="405" t="s">
        <v>541</v>
      </c>
      <c r="F17" s="405" t="s">
        <v>554</v>
      </c>
      <c r="G17" s="405" t="s">
        <v>567</v>
      </c>
      <c r="H17" s="373"/>
      <c r="I17" s="373"/>
      <c r="J17" s="373"/>
      <c r="K17" s="373"/>
      <c r="L17" s="373"/>
    </row>
    <row r="18" spans="1:12" ht="15.95" customHeight="1">
      <c r="A18" s="405" t="s">
        <v>490</v>
      </c>
      <c r="B18" s="405" t="s">
        <v>504</v>
      </c>
      <c r="C18" s="405" t="s">
        <v>517</v>
      </c>
      <c r="D18" s="405" t="s">
        <v>529</v>
      </c>
      <c r="E18" s="405" t="s">
        <v>542</v>
      </c>
      <c r="F18" s="405" t="s">
        <v>555</v>
      </c>
      <c r="G18" s="405" t="s">
        <v>568</v>
      </c>
      <c r="H18" s="373"/>
      <c r="I18" s="373"/>
      <c r="J18" s="373"/>
      <c r="K18" s="373"/>
      <c r="L18" s="373"/>
    </row>
    <row r="19" spans="1:12" ht="15.95" customHeight="1">
      <c r="A19" s="405" t="s">
        <v>491</v>
      </c>
      <c r="B19" s="405" t="s">
        <v>505</v>
      </c>
      <c r="C19" s="405" t="s">
        <v>518</v>
      </c>
      <c r="D19" s="405" t="s">
        <v>530</v>
      </c>
      <c r="E19" s="405" t="s">
        <v>543</v>
      </c>
      <c r="F19" s="405" t="s">
        <v>556</v>
      </c>
      <c r="G19" s="405" t="s">
        <v>569</v>
      </c>
      <c r="H19" s="373"/>
      <c r="I19" s="373"/>
      <c r="J19" s="373"/>
      <c r="K19" s="373"/>
      <c r="L19" s="373"/>
    </row>
    <row r="20" spans="1:12" ht="15.75">
      <c r="A20" s="373"/>
      <c r="B20" s="373"/>
      <c r="C20" s="373"/>
      <c r="D20" s="373"/>
      <c r="E20" s="373"/>
      <c r="F20" s="373"/>
      <c r="G20" s="373"/>
      <c r="H20" s="373"/>
      <c r="I20" s="373"/>
      <c r="J20" s="373"/>
      <c r="K20" s="373"/>
      <c r="L20" s="373"/>
    </row>
    <row r="21" spans="1:12" ht="15.75">
      <c r="A21" s="373"/>
      <c r="B21" s="373"/>
      <c r="C21" s="373"/>
      <c r="D21" s="691" t="s">
        <v>577</v>
      </c>
      <c r="E21" s="687"/>
      <c r="F21" s="687"/>
      <c r="G21" s="688"/>
      <c r="H21" s="373"/>
      <c r="I21" s="373"/>
      <c r="J21" s="373"/>
      <c r="K21" s="373"/>
      <c r="L21" s="373"/>
    </row>
    <row r="22" spans="1:12" ht="17.25" customHeight="1">
      <c r="A22" s="373"/>
      <c r="B22" s="689" t="s">
        <v>450</v>
      </c>
      <c r="C22" s="689"/>
      <c r="D22" s="689" t="s">
        <v>451</v>
      </c>
      <c r="E22" s="689"/>
      <c r="F22" s="689" t="s">
        <v>452</v>
      </c>
      <c r="G22" s="689"/>
      <c r="H22" s="373"/>
      <c r="I22" s="373"/>
      <c r="J22" s="373"/>
      <c r="K22" s="373"/>
      <c r="L22" s="373"/>
    </row>
    <row r="23" spans="1:12" ht="15.75">
      <c r="A23" s="406" t="s">
        <v>453</v>
      </c>
      <c r="B23" s="685" t="s">
        <v>570</v>
      </c>
      <c r="C23" s="685"/>
      <c r="D23" s="685" t="s">
        <v>573</v>
      </c>
      <c r="E23" s="685"/>
      <c r="F23" s="685" t="s">
        <v>575</v>
      </c>
      <c r="G23" s="685"/>
      <c r="H23" s="373"/>
      <c r="I23" s="373"/>
      <c r="J23" s="373"/>
      <c r="K23" s="373"/>
      <c r="L23" s="373"/>
    </row>
    <row r="24" spans="1:12" ht="18" customHeight="1">
      <c r="A24" s="406" t="s">
        <v>454</v>
      </c>
      <c r="B24" s="685" t="s">
        <v>571</v>
      </c>
      <c r="C24" s="685"/>
      <c r="D24" s="685" t="s">
        <v>574</v>
      </c>
      <c r="E24" s="685"/>
      <c r="F24" s="685" t="s">
        <v>576</v>
      </c>
      <c r="G24" s="685"/>
      <c r="H24" s="373"/>
      <c r="I24" s="373"/>
      <c r="J24" s="373"/>
      <c r="K24" s="373"/>
      <c r="L24" s="373"/>
    </row>
    <row r="25" spans="1:12" ht="15.75">
      <c r="A25" s="406" t="s">
        <v>455</v>
      </c>
      <c r="B25" s="685" t="s">
        <v>572</v>
      </c>
      <c r="C25" s="685"/>
      <c r="D25" s="685" t="s">
        <v>573</v>
      </c>
      <c r="E25" s="685"/>
      <c r="F25" s="685" t="s">
        <v>575</v>
      </c>
      <c r="G25" s="685"/>
      <c r="H25" s="373"/>
      <c r="I25" s="373"/>
      <c r="J25" s="373"/>
      <c r="K25" s="373"/>
      <c r="L25" s="373"/>
    </row>
    <row r="26" spans="1:12" ht="15.75">
      <c r="A26" s="373"/>
      <c r="B26" s="373"/>
      <c r="C26" s="373"/>
      <c r="D26" s="373"/>
      <c r="E26" s="373"/>
      <c r="F26" s="373"/>
      <c r="G26" s="373"/>
      <c r="H26" s="373"/>
      <c r="I26" s="373"/>
      <c r="J26" s="373"/>
      <c r="K26" s="373"/>
      <c r="L26" s="373"/>
    </row>
    <row r="27" spans="1:12" ht="20.25">
      <c r="A27" s="402" t="s">
        <v>456</v>
      </c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</row>
    <row r="28" spans="1:12" ht="15.75">
      <c r="A28" s="373"/>
      <c r="B28" s="373"/>
      <c r="C28" s="373"/>
      <c r="D28" s="373"/>
      <c r="E28" s="686" t="s">
        <v>457</v>
      </c>
      <c r="F28" s="687"/>
      <c r="G28" s="688"/>
      <c r="H28" s="373"/>
      <c r="I28" s="373"/>
      <c r="J28" s="373"/>
      <c r="K28" s="373"/>
      <c r="L28" s="373"/>
    </row>
    <row r="29" spans="1:12" ht="15.75">
      <c r="A29" s="373"/>
      <c r="B29" s="689" t="s">
        <v>458</v>
      </c>
      <c r="C29" s="689"/>
      <c r="D29" s="407" t="s">
        <v>459</v>
      </c>
      <c r="E29" s="407" t="s">
        <v>460</v>
      </c>
      <c r="F29" s="689" t="s">
        <v>461</v>
      </c>
      <c r="G29" s="689"/>
      <c r="H29" s="373"/>
      <c r="I29" s="373"/>
      <c r="J29" s="373"/>
      <c r="K29" s="373"/>
      <c r="L29" s="373"/>
    </row>
    <row r="30" spans="1:12" ht="15.75">
      <c r="A30" s="406" t="s">
        <v>462</v>
      </c>
      <c r="B30" s="685" t="s">
        <v>578</v>
      </c>
      <c r="C30" s="685"/>
      <c r="D30" s="405" t="s">
        <v>581</v>
      </c>
      <c r="E30" s="405" t="s">
        <v>463</v>
      </c>
      <c r="F30" s="685" t="s">
        <v>584</v>
      </c>
      <c r="G30" s="685"/>
      <c r="H30" s="373"/>
      <c r="I30" s="373"/>
      <c r="J30" s="373"/>
      <c r="K30" s="373"/>
      <c r="L30" s="373"/>
    </row>
    <row r="31" spans="1:12" ht="15.75">
      <c r="A31" s="406" t="s">
        <v>464</v>
      </c>
      <c r="B31" s="685" t="s">
        <v>579</v>
      </c>
      <c r="C31" s="685"/>
      <c r="D31" s="405" t="s">
        <v>582</v>
      </c>
      <c r="E31" s="405" t="s">
        <v>465</v>
      </c>
      <c r="F31" s="685" t="s">
        <v>585</v>
      </c>
      <c r="G31" s="685"/>
      <c r="H31" s="373"/>
      <c r="I31" s="373"/>
      <c r="J31" s="373"/>
      <c r="K31" s="373"/>
      <c r="L31" s="373"/>
    </row>
    <row r="32" spans="1:12" ht="15.75">
      <c r="A32" s="406" t="s">
        <v>466</v>
      </c>
      <c r="B32" s="685" t="s">
        <v>580</v>
      </c>
      <c r="C32" s="685"/>
      <c r="D32" s="405" t="s">
        <v>583</v>
      </c>
      <c r="E32" s="405" t="s">
        <v>467</v>
      </c>
      <c r="F32" s="685" t="s">
        <v>586</v>
      </c>
      <c r="G32" s="685"/>
      <c r="H32" s="373"/>
      <c r="I32" s="373"/>
      <c r="J32" s="373"/>
      <c r="K32" s="373"/>
      <c r="L32" s="373"/>
    </row>
    <row r="33" spans="1:12" ht="15.75">
      <c r="A33" s="373"/>
      <c r="B33" s="373"/>
      <c r="C33" s="373"/>
      <c r="D33" s="373"/>
      <c r="E33" s="373"/>
      <c r="F33" s="373"/>
      <c r="G33" s="373"/>
      <c r="H33" s="373"/>
      <c r="I33" s="373"/>
      <c r="J33" s="373"/>
      <c r="K33" s="373"/>
      <c r="L33" s="373"/>
    </row>
    <row r="34" spans="1:12" ht="15.75">
      <c r="A34" s="373"/>
      <c r="B34" s="373"/>
      <c r="C34" s="373"/>
      <c r="D34" s="373"/>
      <c r="E34" s="686" t="s">
        <v>468</v>
      </c>
      <c r="F34" s="687"/>
      <c r="G34" s="688"/>
      <c r="H34" s="373"/>
      <c r="I34" s="373"/>
      <c r="J34" s="373"/>
      <c r="K34" s="373"/>
      <c r="L34" s="373"/>
    </row>
    <row r="35" spans="1:12" ht="15.75">
      <c r="A35" s="373"/>
      <c r="B35" s="689" t="s">
        <v>469</v>
      </c>
      <c r="C35" s="689"/>
      <c r="D35" s="407" t="s">
        <v>460</v>
      </c>
      <c r="E35" s="407" t="s">
        <v>470</v>
      </c>
      <c r="F35" s="407" t="s">
        <v>100</v>
      </c>
      <c r="G35" s="407" t="s">
        <v>471</v>
      </c>
      <c r="H35" s="373"/>
      <c r="I35" s="373"/>
      <c r="J35" s="373"/>
      <c r="K35" s="373"/>
      <c r="L35" s="373"/>
    </row>
    <row r="36" spans="1:12" ht="15.75">
      <c r="A36" s="406" t="s">
        <v>462</v>
      </c>
      <c r="B36" s="681" t="s">
        <v>587</v>
      </c>
      <c r="C36" s="682"/>
      <c r="D36" s="408" t="s">
        <v>589</v>
      </c>
      <c r="E36" s="408" t="s">
        <v>472</v>
      </c>
      <c r="F36" s="409" t="s">
        <v>473</v>
      </c>
      <c r="G36" s="405" t="s">
        <v>592</v>
      </c>
      <c r="H36" s="373"/>
      <c r="I36" s="373"/>
      <c r="J36" s="373"/>
      <c r="K36" s="373"/>
      <c r="L36" s="373"/>
    </row>
    <row r="37" spans="1:12" ht="15.75">
      <c r="A37" s="406" t="s">
        <v>464</v>
      </c>
      <c r="B37" s="681" t="s">
        <v>588</v>
      </c>
      <c r="C37" s="682"/>
      <c r="D37" s="408" t="s">
        <v>590</v>
      </c>
      <c r="E37" s="408" t="s">
        <v>472</v>
      </c>
      <c r="F37" s="409" t="s">
        <v>474</v>
      </c>
      <c r="G37" s="410" t="s">
        <v>593</v>
      </c>
      <c r="H37" s="373"/>
      <c r="I37" s="373"/>
      <c r="J37" s="373"/>
      <c r="K37" s="373"/>
      <c r="L37" s="373"/>
    </row>
    <row r="38" spans="1:12" ht="15.75">
      <c r="A38" s="406" t="s">
        <v>466</v>
      </c>
      <c r="B38" s="681" t="s">
        <v>588</v>
      </c>
      <c r="C38" s="682"/>
      <c r="D38" s="408" t="s">
        <v>591</v>
      </c>
      <c r="E38" s="408" t="s">
        <v>472</v>
      </c>
      <c r="F38" s="409" t="s">
        <v>475</v>
      </c>
      <c r="G38" s="405" t="s">
        <v>594</v>
      </c>
      <c r="H38" s="373"/>
      <c r="I38" s="373"/>
      <c r="J38" s="373"/>
      <c r="K38" s="373"/>
      <c r="L38" s="373"/>
    </row>
    <row r="39" spans="1:12" ht="15.75">
      <c r="A39" s="373"/>
      <c r="B39" s="373"/>
      <c r="C39" s="373"/>
      <c r="D39" s="373"/>
      <c r="E39" s="373"/>
      <c r="F39" s="373"/>
      <c r="G39" s="373"/>
      <c r="H39" s="373"/>
      <c r="I39" s="373"/>
      <c r="J39" s="373"/>
      <c r="K39" s="373"/>
      <c r="L39" s="373"/>
    </row>
    <row r="40" spans="1:12" ht="15.75">
      <c r="A40" s="411" t="s">
        <v>476</v>
      </c>
      <c r="B40" s="683" t="s">
        <v>595</v>
      </c>
      <c r="C40" s="683"/>
      <c r="D40" s="684" t="s">
        <v>477</v>
      </c>
      <c r="E40" s="684"/>
      <c r="F40" s="683" t="s">
        <v>596</v>
      </c>
      <c r="G40" s="683"/>
      <c r="H40" s="373"/>
      <c r="I40" s="373"/>
      <c r="J40" s="373"/>
      <c r="K40" s="373"/>
      <c r="L40" s="373"/>
    </row>
    <row r="41" spans="1:12" ht="15.75">
      <c r="A41" s="373"/>
      <c r="B41" s="373"/>
      <c r="C41" s="373"/>
      <c r="D41" s="373"/>
      <c r="E41" s="373"/>
      <c r="F41" s="373"/>
      <c r="G41" s="373"/>
      <c r="H41" s="373"/>
      <c r="I41" s="373"/>
      <c r="J41" s="373"/>
      <c r="K41" s="373"/>
      <c r="L41" s="373"/>
    </row>
    <row r="42" spans="1:12" ht="15.75">
      <c r="A42" s="373"/>
      <c r="B42" s="373"/>
      <c r="C42" s="373"/>
      <c r="D42" s="373"/>
      <c r="E42" s="373"/>
      <c r="F42" s="373"/>
      <c r="G42" s="373"/>
      <c r="H42" s="373"/>
      <c r="I42" s="373"/>
      <c r="J42" s="373"/>
      <c r="K42" s="373"/>
      <c r="L42" s="373"/>
    </row>
    <row r="43" spans="1:12" ht="15.75">
      <c r="A43" s="373"/>
      <c r="B43" s="373"/>
      <c r="C43" s="373"/>
      <c r="D43" s="373"/>
      <c r="E43" s="373"/>
      <c r="F43" s="373"/>
      <c r="G43" s="373"/>
      <c r="H43" s="373"/>
      <c r="I43" s="373"/>
      <c r="J43" s="373"/>
      <c r="K43" s="373"/>
      <c r="L43" s="373"/>
    </row>
    <row r="44" spans="1:12" ht="15.75">
      <c r="A44" s="373"/>
      <c r="B44" s="3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</row>
    <row r="45" spans="1:12" ht="15.75">
      <c r="A45" s="373"/>
      <c r="B45" s="373"/>
      <c r="C45" s="373"/>
      <c r="D45" s="373"/>
      <c r="E45" s="373"/>
      <c r="F45" s="373"/>
      <c r="G45" s="373"/>
      <c r="H45" s="373"/>
      <c r="I45" s="373"/>
      <c r="J45" s="373"/>
      <c r="K45" s="373"/>
      <c r="L45" s="373"/>
    </row>
    <row r="46" spans="1:12" ht="15.75">
      <c r="A46" s="373"/>
      <c r="B46" s="373"/>
      <c r="C46" s="373"/>
      <c r="D46" s="373"/>
      <c r="E46" s="373"/>
      <c r="F46" s="373"/>
      <c r="G46" s="373"/>
      <c r="H46" s="373"/>
      <c r="I46" s="373"/>
      <c r="J46" s="373"/>
      <c r="K46" s="373"/>
      <c r="L46" s="373"/>
    </row>
    <row r="47" spans="1:12" ht="15.75">
      <c r="A47" s="373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</row>
    <row r="48" spans="1:12" ht="15.75">
      <c r="A48" s="373"/>
      <c r="B48" s="373"/>
      <c r="C48" s="373"/>
      <c r="D48" s="373"/>
      <c r="E48" s="373"/>
      <c r="F48" s="373"/>
      <c r="G48" s="373"/>
      <c r="H48" s="373"/>
      <c r="I48" s="373"/>
      <c r="J48" s="373"/>
      <c r="K48" s="373"/>
      <c r="L48" s="373"/>
    </row>
    <row r="49" spans="1:12" ht="15.75">
      <c r="A49" s="373"/>
      <c r="B49" s="373"/>
      <c r="C49" s="373"/>
      <c r="D49" s="373"/>
      <c r="E49" s="373"/>
      <c r="F49" s="373"/>
      <c r="G49" s="373"/>
      <c r="H49" s="373"/>
      <c r="I49" s="373"/>
      <c r="J49" s="373"/>
      <c r="K49" s="373"/>
      <c r="L49" s="373"/>
    </row>
    <row r="50" spans="1:12" ht="15.75">
      <c r="A50" s="373"/>
      <c r="B50" s="373"/>
      <c r="C50" s="373"/>
      <c r="D50" s="373"/>
      <c r="E50" s="373"/>
      <c r="F50" s="373"/>
      <c r="G50" s="373"/>
      <c r="H50" s="373"/>
      <c r="I50" s="373"/>
      <c r="J50" s="373"/>
      <c r="K50" s="373"/>
      <c r="L50" s="373"/>
    </row>
    <row r="51" spans="1:12" ht="15.75">
      <c r="A51" s="373"/>
      <c r="B51" s="373"/>
      <c r="C51" s="373"/>
      <c r="D51" s="373"/>
      <c r="E51" s="373"/>
      <c r="F51" s="373"/>
      <c r="G51" s="373"/>
      <c r="H51" s="373"/>
      <c r="I51" s="373"/>
      <c r="J51" s="373"/>
      <c r="K51" s="373"/>
      <c r="L51" s="373"/>
    </row>
    <row r="52" spans="1:12" ht="15.75">
      <c r="A52" s="373"/>
      <c r="B52" s="373"/>
      <c r="C52" s="373"/>
      <c r="D52" s="373"/>
      <c r="E52" s="373"/>
      <c r="F52" s="373"/>
      <c r="G52" s="373"/>
      <c r="H52" s="373"/>
      <c r="I52" s="373"/>
      <c r="J52" s="373"/>
      <c r="K52" s="373"/>
      <c r="L52" s="373"/>
    </row>
    <row r="53" spans="1:12" ht="15.75">
      <c r="A53" s="373"/>
      <c r="B53" s="373"/>
      <c r="C53" s="373"/>
      <c r="D53" s="373"/>
      <c r="E53" s="373"/>
      <c r="F53" s="373"/>
      <c r="G53" s="373"/>
      <c r="H53" s="373"/>
      <c r="I53" s="373"/>
      <c r="J53" s="373"/>
      <c r="K53" s="373"/>
      <c r="L53" s="373"/>
    </row>
    <row r="54" spans="1:12" ht="15.75">
      <c r="A54" s="373"/>
      <c r="B54" s="373"/>
      <c r="C54" s="373"/>
      <c r="D54" s="373"/>
      <c r="E54" s="373"/>
      <c r="F54" s="373"/>
      <c r="G54" s="373"/>
      <c r="H54" s="373"/>
      <c r="I54" s="373"/>
      <c r="J54" s="373"/>
      <c r="K54" s="373"/>
      <c r="L54" s="373"/>
    </row>
    <row r="55" spans="1:12" ht="15.75">
      <c r="A55" s="373"/>
      <c r="B55" s="373"/>
      <c r="C55" s="373"/>
      <c r="D55" s="373"/>
      <c r="E55" s="373"/>
      <c r="F55" s="373"/>
      <c r="G55" s="373"/>
      <c r="H55" s="373"/>
      <c r="I55" s="373"/>
      <c r="J55" s="373"/>
      <c r="K55" s="373"/>
      <c r="L55" s="373"/>
    </row>
    <row r="56" spans="1:12" ht="15.75">
      <c r="A56" s="373"/>
      <c r="B56" s="373"/>
      <c r="C56" s="373"/>
      <c r="D56" s="373"/>
      <c r="E56" s="373"/>
      <c r="F56" s="373"/>
      <c r="G56" s="373"/>
      <c r="H56" s="373"/>
      <c r="I56" s="373"/>
      <c r="J56" s="373"/>
      <c r="K56" s="373"/>
      <c r="L56" s="373"/>
    </row>
    <row r="57" spans="1:12" ht="15.75">
      <c r="A57" s="373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</row>
    <row r="58" spans="1:12" ht="15.75">
      <c r="A58" s="373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</row>
    <row r="59" spans="1:12" ht="15.75">
      <c r="A59" s="373"/>
      <c r="B59" s="373"/>
      <c r="C59" s="373"/>
      <c r="D59" s="373"/>
      <c r="E59" s="373"/>
      <c r="F59" s="373"/>
      <c r="G59" s="373"/>
      <c r="H59" s="373"/>
      <c r="I59" s="373"/>
      <c r="J59" s="373"/>
      <c r="K59" s="373"/>
      <c r="L59" s="373"/>
    </row>
    <row r="60" spans="1:12" ht="15.75">
      <c r="A60" s="373"/>
      <c r="B60" s="373"/>
      <c r="C60" s="373"/>
      <c r="D60" s="373"/>
      <c r="E60" s="373"/>
      <c r="F60" s="373"/>
      <c r="G60" s="373"/>
      <c r="H60" s="373"/>
      <c r="I60" s="373"/>
      <c r="J60" s="373"/>
      <c r="K60" s="373"/>
      <c r="L60" s="373"/>
    </row>
    <row r="61" spans="1:12" ht="15.75">
      <c r="A61" s="373"/>
      <c r="B61" s="373"/>
      <c r="C61" s="373"/>
      <c r="D61" s="373"/>
      <c r="E61" s="373"/>
      <c r="F61" s="373"/>
      <c r="G61" s="373"/>
      <c r="H61" s="373"/>
      <c r="I61" s="373"/>
      <c r="J61" s="373"/>
      <c r="K61" s="373"/>
      <c r="L61" s="373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13" workbookViewId="0">
      <selection activeCell="A39" sqref="A39:F43"/>
    </sheetView>
  </sheetViews>
  <sheetFormatPr defaultRowHeight="12.75"/>
  <cols>
    <col min="1" max="6" width="16.7109375" style="348" customWidth="1"/>
    <col min="7" max="16384" width="9.140625" style="348"/>
  </cols>
  <sheetData>
    <row r="1" spans="1:6" ht="18.95" customHeight="1">
      <c r="A1" s="345"/>
      <c r="B1" s="346"/>
      <c r="C1" s="346"/>
      <c r="D1" s="346"/>
      <c r="E1" s="346"/>
      <c r="F1" s="347"/>
    </row>
    <row r="2" spans="1:6" ht="26.1" customHeight="1">
      <c r="A2" s="349" t="s">
        <v>251</v>
      </c>
      <c r="B2" s="350"/>
      <c r="C2" s="350"/>
      <c r="D2" s="350"/>
      <c r="E2" s="350"/>
      <c r="F2" s="351"/>
    </row>
    <row r="3" spans="1:6" ht="18.95" customHeight="1">
      <c r="A3" s="692" t="s">
        <v>597</v>
      </c>
      <c r="B3" s="693"/>
      <c r="C3" s="693"/>
      <c r="D3" s="693"/>
      <c r="E3" s="693"/>
      <c r="F3" s="694"/>
    </row>
    <row r="4" spans="1:6" ht="18.95" customHeight="1">
      <c r="A4" s="695" t="s">
        <v>598</v>
      </c>
      <c r="B4" s="696"/>
      <c r="C4" s="696"/>
      <c r="D4" s="696"/>
      <c r="E4" s="696"/>
      <c r="F4" s="697"/>
    </row>
    <row r="5" spans="1:6" ht="18.95" customHeight="1">
      <c r="A5" s="353"/>
      <c r="B5" s="354"/>
      <c r="C5" s="354"/>
      <c r="D5" s="354"/>
      <c r="E5" s="354"/>
      <c r="F5" s="355"/>
    </row>
    <row r="6" spans="1:6" ht="18.95" customHeight="1">
      <c r="A6" s="356" t="s">
        <v>373</v>
      </c>
      <c r="B6" s="678" t="str">
        <f>'Performance Data Sheet'!C17</f>
        <v>M455TCQL11E-C</v>
      </c>
      <c r="C6" s="679"/>
      <c r="D6" s="680"/>
      <c r="E6" s="356" t="s">
        <v>374</v>
      </c>
      <c r="F6" s="357">
        <v>282</v>
      </c>
    </row>
    <row r="7" spans="1:6" ht="18.95" customHeight="1">
      <c r="A7" s="356" t="s">
        <v>375</v>
      </c>
      <c r="B7" s="357" t="str">
        <f>'Performance Data Sheet'!F14</f>
        <v>TEAAC</v>
      </c>
      <c r="C7" s="356" t="s">
        <v>376</v>
      </c>
      <c r="D7" s="357" t="s">
        <v>398</v>
      </c>
      <c r="E7" s="356" t="s">
        <v>377</v>
      </c>
      <c r="F7" s="357" t="str">
        <f>'Performance Data Sheet'!C14</f>
        <v>6810US</v>
      </c>
    </row>
    <row r="8" spans="1:6" ht="18.95" customHeight="1">
      <c r="A8" s="356" t="s">
        <v>378</v>
      </c>
      <c r="B8" s="357">
        <v>4</v>
      </c>
      <c r="C8" s="356" t="s">
        <v>379</v>
      </c>
      <c r="D8" s="357" t="s">
        <v>380</v>
      </c>
      <c r="E8" s="356" t="s">
        <v>381</v>
      </c>
      <c r="F8" s="357" t="str">
        <f>'Performance Data Sheet'!M15</f>
        <v>F</v>
      </c>
    </row>
    <row r="9" spans="1:6" ht="18.95" customHeight="1">
      <c r="A9" s="356" t="s">
        <v>382</v>
      </c>
      <c r="B9" s="357">
        <v>2250</v>
      </c>
      <c r="C9" s="356" t="s">
        <v>383</v>
      </c>
      <c r="D9" s="357" t="s">
        <v>399</v>
      </c>
      <c r="E9" s="356" t="s">
        <v>2</v>
      </c>
      <c r="F9" s="358">
        <f>'Performance Data Sheet'!K45</f>
        <v>41982</v>
      </c>
    </row>
    <row r="10" spans="1:6" ht="18.95" customHeight="1">
      <c r="A10" s="356" t="s">
        <v>384</v>
      </c>
      <c r="B10" s="357">
        <v>1784</v>
      </c>
      <c r="C10" s="356" t="s">
        <v>385</v>
      </c>
      <c r="D10" s="357" t="s">
        <v>603</v>
      </c>
      <c r="E10" s="356" t="s">
        <v>1</v>
      </c>
      <c r="F10" s="357" t="s">
        <v>362</v>
      </c>
    </row>
    <row r="11" spans="1:6" ht="18.95" customHeight="1">
      <c r="A11" s="353"/>
      <c r="B11" s="354"/>
      <c r="C11" s="354"/>
      <c r="D11" s="354"/>
      <c r="E11" s="354"/>
      <c r="F11" s="355"/>
    </row>
    <row r="12" spans="1:6" ht="18.95" customHeight="1">
      <c r="A12" s="353"/>
      <c r="B12" s="359"/>
      <c r="C12" s="360"/>
      <c r="D12" s="359"/>
      <c r="E12" s="360"/>
      <c r="F12" s="355"/>
    </row>
    <row r="13" spans="1:6" ht="18.95" customHeight="1">
      <c r="A13" s="353"/>
      <c r="B13" s="359"/>
      <c r="C13" s="361"/>
      <c r="D13" s="359"/>
      <c r="E13" s="360"/>
      <c r="F13" s="355"/>
    </row>
    <row r="14" spans="1:6" ht="18.95" customHeight="1">
      <c r="A14" s="353"/>
      <c r="B14" s="359"/>
      <c r="C14" s="361"/>
      <c r="D14" s="359"/>
      <c r="E14" s="360"/>
      <c r="F14" s="355"/>
    </row>
    <row r="15" spans="1:6" ht="18.95" customHeight="1">
      <c r="A15" s="353"/>
      <c r="B15" s="359"/>
      <c r="C15" s="360"/>
      <c r="D15" s="354"/>
      <c r="E15" s="354"/>
      <c r="F15" s="355"/>
    </row>
    <row r="16" spans="1:6" ht="18.95" customHeight="1">
      <c r="A16" s="353"/>
      <c r="B16" s="354"/>
      <c r="C16" s="354"/>
      <c r="D16" s="354"/>
      <c r="E16" s="354"/>
      <c r="F16" s="355"/>
    </row>
    <row r="17" spans="1:6" ht="18.95" customHeight="1">
      <c r="A17" s="353"/>
      <c r="B17" s="354"/>
      <c r="C17" s="354"/>
      <c r="D17" s="354"/>
      <c r="E17" s="354"/>
      <c r="F17" s="355"/>
    </row>
    <row r="18" spans="1:6" ht="18.95" customHeight="1">
      <c r="A18" s="353"/>
      <c r="B18" s="354"/>
      <c r="C18" s="354"/>
      <c r="D18" s="354"/>
      <c r="E18" s="354"/>
      <c r="F18" s="355"/>
    </row>
    <row r="19" spans="1:6" ht="18.95" customHeight="1">
      <c r="A19" s="353"/>
      <c r="B19" s="354"/>
      <c r="C19" s="354"/>
      <c r="D19" s="354"/>
      <c r="E19" s="354"/>
      <c r="F19" s="355"/>
    </row>
    <row r="20" spans="1:6" ht="18.95" customHeight="1">
      <c r="A20" s="353"/>
      <c r="B20" s="354"/>
      <c r="C20" s="354"/>
      <c r="D20" s="354"/>
      <c r="E20" s="354"/>
      <c r="F20" s="355"/>
    </row>
    <row r="21" spans="1:6" ht="18.95" customHeight="1">
      <c r="A21" s="353"/>
      <c r="B21" s="354"/>
      <c r="C21" s="354"/>
      <c r="D21" s="354"/>
      <c r="E21" s="354"/>
      <c r="F21" s="355"/>
    </row>
    <row r="22" spans="1:6" ht="18.95" customHeight="1">
      <c r="A22" s="353"/>
      <c r="B22" s="354"/>
      <c r="C22" s="354"/>
      <c r="D22" s="354"/>
      <c r="E22" s="354"/>
      <c r="F22" s="355"/>
    </row>
    <row r="23" spans="1:6" ht="18.95" customHeight="1">
      <c r="A23" s="353"/>
      <c r="B23" s="354"/>
      <c r="C23" s="354"/>
      <c r="D23" s="354"/>
      <c r="E23" s="354"/>
      <c r="F23" s="355"/>
    </row>
    <row r="24" spans="1:6" ht="18.95" customHeight="1">
      <c r="A24" s="353"/>
      <c r="B24" s="354"/>
      <c r="C24" s="354"/>
      <c r="D24" s="354"/>
      <c r="E24" s="354"/>
      <c r="F24" s="355"/>
    </row>
    <row r="25" spans="1:6" ht="18.95" customHeight="1">
      <c r="A25" s="353"/>
      <c r="B25" s="354"/>
      <c r="C25" s="354"/>
      <c r="D25" s="354"/>
      <c r="E25" s="354"/>
      <c r="F25" s="355"/>
    </row>
    <row r="26" spans="1:6" ht="18.95" customHeight="1">
      <c r="A26" s="353"/>
      <c r="B26" s="354"/>
      <c r="C26" s="354"/>
      <c r="D26" s="354"/>
      <c r="E26" s="354"/>
      <c r="F26" s="355"/>
    </row>
    <row r="27" spans="1:6" ht="18.95" customHeight="1">
      <c r="A27" s="353"/>
      <c r="B27" s="354"/>
      <c r="C27" s="354"/>
      <c r="D27" s="354"/>
      <c r="E27" s="354"/>
      <c r="F27" s="355"/>
    </row>
    <row r="28" spans="1:6" ht="18.95" customHeight="1">
      <c r="A28" s="353"/>
      <c r="B28" s="354"/>
      <c r="C28" s="354"/>
      <c r="D28" s="354"/>
      <c r="E28" s="354"/>
      <c r="F28" s="355"/>
    </row>
    <row r="29" spans="1:6" ht="18.95" customHeight="1">
      <c r="A29" s="353"/>
      <c r="B29" s="354"/>
      <c r="C29" s="354"/>
      <c r="D29" s="354"/>
      <c r="E29" s="354"/>
      <c r="F29" s="355"/>
    </row>
    <row r="30" spans="1:6" ht="18.95" customHeight="1">
      <c r="A30" s="353"/>
      <c r="B30" s="354"/>
      <c r="C30" s="354"/>
      <c r="D30" s="354"/>
      <c r="E30" s="354"/>
      <c r="F30" s="355"/>
    </row>
    <row r="31" spans="1:6" ht="18.95" customHeight="1">
      <c r="A31" s="353"/>
      <c r="B31" s="354"/>
      <c r="C31" s="354"/>
      <c r="D31" s="354"/>
      <c r="E31" s="354"/>
      <c r="F31" s="355"/>
    </row>
    <row r="32" spans="1:6" ht="18.95" customHeight="1">
      <c r="A32" s="353"/>
      <c r="B32" s="354"/>
      <c r="C32" s="354"/>
      <c r="D32" s="354"/>
      <c r="E32" s="354"/>
      <c r="F32" s="355"/>
    </row>
    <row r="33" spans="1:6" ht="18.95" customHeight="1">
      <c r="A33" s="353"/>
      <c r="B33" s="354"/>
      <c r="C33" s="354"/>
      <c r="D33" s="354"/>
      <c r="E33" s="354"/>
      <c r="F33" s="355"/>
    </row>
    <row r="34" spans="1:6" ht="18.95" customHeight="1">
      <c r="A34" s="353"/>
      <c r="B34" s="354"/>
      <c r="C34" s="354"/>
      <c r="D34" s="354"/>
      <c r="E34" s="354"/>
      <c r="F34" s="355"/>
    </row>
    <row r="35" spans="1:6" ht="18.95" customHeight="1">
      <c r="A35" s="353"/>
      <c r="B35" s="354"/>
      <c r="C35" s="354"/>
      <c r="D35" s="354"/>
      <c r="E35" s="354"/>
      <c r="F35" s="355"/>
    </row>
    <row r="36" spans="1:6" ht="18.95" customHeight="1">
      <c r="A36" s="353"/>
      <c r="B36" s="354"/>
      <c r="C36" s="354"/>
      <c r="D36" s="354"/>
      <c r="E36" s="354"/>
      <c r="F36" s="355"/>
    </row>
    <row r="37" spans="1:6" ht="18.95" customHeight="1">
      <c r="A37" s="353"/>
      <c r="B37" s="354"/>
      <c r="C37" s="354"/>
      <c r="D37" s="354"/>
      <c r="E37" s="354"/>
      <c r="F37" s="355"/>
    </row>
    <row r="38" spans="1:6" ht="18.95" customHeight="1">
      <c r="A38" s="353"/>
      <c r="B38" s="354"/>
      <c r="C38" s="354"/>
      <c r="D38" s="354"/>
      <c r="E38" s="354"/>
      <c r="F38" s="355"/>
    </row>
    <row r="39" spans="1:6" ht="18.95" customHeight="1">
      <c r="A39" s="362" t="s">
        <v>394</v>
      </c>
      <c r="B39" s="363"/>
      <c r="C39" s="363"/>
      <c r="D39" s="354"/>
      <c r="E39" s="359" t="s">
        <v>395</v>
      </c>
      <c r="F39" s="364" t="s">
        <v>362</v>
      </c>
    </row>
    <row r="40" spans="1:6" ht="18.95" customHeight="1">
      <c r="A40" s="353"/>
      <c r="B40" s="363"/>
      <c r="C40" s="363"/>
      <c r="D40" s="354"/>
      <c r="E40" s="354"/>
      <c r="F40" s="355"/>
    </row>
    <row r="41" spans="1:6" ht="18.95" customHeight="1">
      <c r="A41" s="353"/>
      <c r="B41" s="363"/>
      <c r="C41" s="363"/>
      <c r="D41" s="354"/>
      <c r="E41" s="354"/>
      <c r="F41" s="355"/>
    </row>
    <row r="42" spans="1:6" ht="18.95" customHeight="1">
      <c r="A42" s="353"/>
      <c r="B42" s="354"/>
      <c r="C42" s="354"/>
      <c r="D42" s="354"/>
      <c r="E42" s="354"/>
      <c r="F42" s="355"/>
    </row>
    <row r="43" spans="1:6" ht="18.95" customHeight="1">
      <c r="A43" s="365"/>
      <c r="B43" s="363"/>
      <c r="C43" s="366" t="s">
        <v>396</v>
      </c>
      <c r="D43" s="367" t="str">
        <f>'Performance Data Sheet'!K43</f>
        <v>Mario L</v>
      </c>
      <c r="E43" s="366" t="s">
        <v>397</v>
      </c>
      <c r="F43" s="36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2" t="e">
        <f>5252.1*B50/D53</f>
        <v>#DIV/0!</v>
      </c>
      <c r="G50" s="412"/>
    </row>
    <row r="51" spans="6:9" ht="15" customHeight="1">
      <c r="G51" s="413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4"/>
    </row>
    <row r="63" spans="6:9">
      <c r="I63" s="415" t="s">
        <v>39</v>
      </c>
    </row>
    <row r="64" spans="6:9">
      <c r="I64" s="415"/>
    </row>
    <row r="65" spans="1:9">
      <c r="I65" s="415"/>
    </row>
    <row r="66" spans="1:9">
      <c r="D66" s="412" t="e">
        <f>D65/D64</f>
        <v>#DIV/0!</v>
      </c>
    </row>
    <row r="67" spans="1:9">
      <c r="A67" s="416" t="s">
        <v>370</v>
      </c>
      <c r="B67" s="416" t="s">
        <v>599</v>
      </c>
      <c r="C67" s="416" t="s">
        <v>600</v>
      </c>
      <c r="E67" s="416" t="s">
        <v>601</v>
      </c>
      <c r="F67" s="416" t="s">
        <v>602</v>
      </c>
    </row>
    <row r="68" spans="1:9">
      <c r="A68" s="417">
        <v>529.78723404255322</v>
      </c>
      <c r="B68" s="418">
        <v>35</v>
      </c>
      <c r="C68" s="418">
        <v>15</v>
      </c>
      <c r="E68" s="417">
        <f>A68</f>
        <v>529.78723404255322</v>
      </c>
      <c r="F68" s="418">
        <v>1E-4</v>
      </c>
    </row>
    <row r="69" spans="1:9">
      <c r="A69" s="417">
        <v>465.86454893617019</v>
      </c>
      <c r="B69" s="418">
        <f>((A68/A69)^2)*B68</f>
        <v>45.263871437127158</v>
      </c>
      <c r="C69" s="418">
        <f>((A68/A69)^2)*C68</f>
        <v>19.398802044483066</v>
      </c>
      <c r="E69" s="417">
        <v>528.29787234042556</v>
      </c>
      <c r="F69" s="418">
        <v>1.4509999752044678</v>
      </c>
    </row>
    <row r="70" spans="1:9">
      <c r="A70" s="417">
        <v>401.92268510638297</v>
      </c>
      <c r="B70" s="418">
        <f>((A68/A70)^2)*B68</f>
        <v>60.81153758877992</v>
      </c>
      <c r="C70" s="418">
        <f>((A68/A70)^2)*C68</f>
        <v>26.062087538048537</v>
      </c>
      <c r="E70" s="417">
        <v>525.03546099290782</v>
      </c>
      <c r="F70" s="418">
        <v>2.624000072479248</v>
      </c>
    </row>
    <row r="71" spans="1:9">
      <c r="A71" s="417">
        <v>338</v>
      </c>
      <c r="B71" s="418">
        <f>((A68/A71)^2)*B68</f>
        <v>85.987955318494343</v>
      </c>
      <c r="C71" s="418">
        <f>((A68/A71)^2)*C68</f>
        <v>36.851980850783292</v>
      </c>
      <c r="E71" s="417">
        <v>521.09929078014181</v>
      </c>
      <c r="F71" s="418">
        <v>3.7139999866485596</v>
      </c>
    </row>
    <row r="72" spans="1:9">
      <c r="A72" s="417">
        <f>A71-100</f>
        <v>238</v>
      </c>
      <c r="B72" s="418">
        <f>((A68/A72)^2)*B68</f>
        <v>173.42715852351645</v>
      </c>
      <c r="C72" s="418"/>
      <c r="E72" s="417">
        <v>516.27659574468089</v>
      </c>
      <c r="F72" s="418">
        <v>4.8039999008178711</v>
      </c>
    </row>
    <row r="73" spans="1:9">
      <c r="A73" s="417">
        <f>A72-100</f>
        <v>138</v>
      </c>
      <c r="B73" s="418">
        <f>((A68/A73)^2)*B68</f>
        <v>515.83742740002447</v>
      </c>
      <c r="C73" s="418"/>
      <c r="E73" s="417">
        <v>510.28368794326241</v>
      </c>
      <c r="F73" s="418">
        <v>5.9639997482299805</v>
      </c>
    </row>
    <row r="74" spans="1:9">
      <c r="A74" s="417">
        <v>220</v>
      </c>
      <c r="B74" s="418">
        <f>((A68/A74)^2)*B68</f>
        <v>202.96710676458821</v>
      </c>
      <c r="C74" s="418">
        <f>((A68/A74)^2)*C68</f>
        <v>86.985902899109234</v>
      </c>
      <c r="E74" s="417">
        <v>502.73049645390068</v>
      </c>
      <c r="F74" s="418">
        <v>7.2629995346069336</v>
      </c>
    </row>
    <row r="75" spans="1:9">
      <c r="A75" s="419">
        <v>180</v>
      </c>
      <c r="B75" s="418">
        <f>((A68/A75)^2)*B69</f>
        <v>392.11157679489099</v>
      </c>
      <c r="C75" s="418">
        <f>((A68/A75)^2)*C68</f>
        <v>129.94190433076812</v>
      </c>
      <c r="E75" s="417">
        <v>493.26241134751774</v>
      </c>
      <c r="F75" s="418">
        <v>8.8119993209838867</v>
      </c>
    </row>
    <row r="76" spans="1:9">
      <c r="A76" s="419">
        <v>145</v>
      </c>
      <c r="B76" s="418">
        <f>((A68/A76)^2)*B68</f>
        <v>467.23462389565123</v>
      </c>
      <c r="C76" s="418">
        <f>((A68/A76)^2)*C68</f>
        <v>200.2434102409934</v>
      </c>
      <c r="E76" s="417">
        <v>481.09929078014187</v>
      </c>
      <c r="F76" s="418">
        <v>10.878999710083008</v>
      </c>
    </row>
    <row r="77" spans="1:9">
      <c r="A77" s="419">
        <v>125</v>
      </c>
      <c r="B77" s="418"/>
      <c r="C77" s="417">
        <f>CEILING(C76*2,100)</f>
        <v>500</v>
      </c>
      <c r="E77" s="417">
        <v>469.14893617021278</v>
      </c>
      <c r="F77" s="418">
        <v>12.174999237060547</v>
      </c>
    </row>
    <row r="78" spans="1:9">
      <c r="A78" s="419">
        <v>125</v>
      </c>
      <c r="B78" s="418"/>
      <c r="C78" s="417">
        <f>2*C77</f>
        <v>1000</v>
      </c>
      <c r="E78" s="417">
        <v>454.6099290780142</v>
      </c>
      <c r="F78" s="418">
        <v>13.24699878692627</v>
      </c>
    </row>
    <row r="79" spans="1:9">
      <c r="A79" s="419">
        <v>125</v>
      </c>
      <c r="B79" s="419"/>
      <c r="C79" s="419">
        <v>10000</v>
      </c>
      <c r="E79" s="417">
        <v>413.2624113475178</v>
      </c>
      <c r="F79" s="418">
        <v>13.677998542785645</v>
      </c>
    </row>
    <row r="80" spans="1:9">
      <c r="E80" s="417">
        <v>255.63829787234042</v>
      </c>
      <c r="F80" s="418">
        <v>13.752998352050781</v>
      </c>
    </row>
    <row r="81" spans="5:6">
      <c r="E81" s="417">
        <v>0</v>
      </c>
      <c r="F81" s="418">
        <v>13.893998146057129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48" customWidth="1"/>
    <col min="2" max="11" width="7.7109375" style="348" customWidth="1"/>
    <col min="12" max="16384" width="9.140625" style="348"/>
  </cols>
  <sheetData>
    <row r="1" spans="1:12" ht="20.25">
      <c r="A1" s="700" t="s">
        <v>604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373"/>
    </row>
    <row r="2" spans="1:12" ht="30" customHeight="1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</row>
    <row r="3" spans="1:12" ht="19.5">
      <c r="A3" s="420" t="s">
        <v>439</v>
      </c>
      <c r="B3" s="421" t="s">
        <v>478</v>
      </c>
      <c r="C3" s="373"/>
      <c r="D3" s="373"/>
      <c r="E3" s="373"/>
      <c r="F3" s="373"/>
      <c r="G3" s="373"/>
      <c r="H3" s="373"/>
      <c r="I3" s="373"/>
      <c r="J3" s="373"/>
      <c r="K3" s="373"/>
      <c r="L3" s="373"/>
    </row>
    <row r="4" spans="1:12" ht="12" customHeight="1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</row>
    <row r="5" spans="1:12" ht="19.5">
      <c r="A5" s="422" t="s">
        <v>605</v>
      </c>
      <c r="B5" s="423"/>
      <c r="C5" s="423"/>
      <c r="D5" s="423"/>
      <c r="E5" s="423"/>
      <c r="F5" s="373"/>
      <c r="G5" s="373"/>
      <c r="H5" s="373"/>
      <c r="I5" s="373"/>
      <c r="J5" s="373"/>
      <c r="K5" s="373"/>
      <c r="L5" s="373"/>
    </row>
    <row r="6" spans="1:12" ht="17.25" customHeight="1">
      <c r="A6" s="373"/>
      <c r="B6" s="373"/>
      <c r="C6" s="373"/>
      <c r="D6" s="373"/>
      <c r="E6" s="373"/>
      <c r="F6" s="373"/>
      <c r="G6" s="373"/>
      <c r="H6" s="373"/>
      <c r="I6" s="373"/>
      <c r="J6" s="373"/>
      <c r="K6" s="373"/>
      <c r="L6" s="373"/>
    </row>
    <row r="7" spans="1:12" ht="15.75">
      <c r="A7" s="373"/>
      <c r="B7" s="424" t="s">
        <v>606</v>
      </c>
      <c r="C7" s="425">
        <v>0</v>
      </c>
      <c r="D7" s="424" t="s">
        <v>606</v>
      </c>
      <c r="E7" s="426" t="s">
        <v>607</v>
      </c>
      <c r="F7" s="424" t="s">
        <v>606</v>
      </c>
      <c r="G7" s="426" t="s">
        <v>608</v>
      </c>
      <c r="H7" s="424" t="s">
        <v>609</v>
      </c>
      <c r="I7" s="426">
        <v>0</v>
      </c>
      <c r="J7" s="424" t="s">
        <v>609</v>
      </c>
      <c r="K7" s="426">
        <v>7.0000000000000001E-3</v>
      </c>
      <c r="L7" s="373"/>
    </row>
    <row r="8" spans="1:12" ht="15.75">
      <c r="A8" s="405" t="s">
        <v>610</v>
      </c>
      <c r="B8" s="685">
        <v>10</v>
      </c>
      <c r="C8" s="685"/>
      <c r="D8" s="685">
        <v>22</v>
      </c>
      <c r="E8" s="685"/>
      <c r="F8" s="685">
        <v>2</v>
      </c>
      <c r="G8" s="685"/>
      <c r="H8" s="685" t="s">
        <v>625</v>
      </c>
      <c r="I8" s="685"/>
      <c r="J8" s="685" t="s">
        <v>626</v>
      </c>
      <c r="K8" s="685"/>
      <c r="L8" s="373"/>
    </row>
    <row r="9" spans="1:12" ht="15.75">
      <c r="A9" s="405" t="s">
        <v>611</v>
      </c>
      <c r="B9" s="685">
        <v>18</v>
      </c>
      <c r="C9" s="685"/>
      <c r="D9" s="685">
        <v>30</v>
      </c>
      <c r="E9" s="685"/>
      <c r="F9" s="685">
        <v>6</v>
      </c>
      <c r="G9" s="685"/>
      <c r="H9" s="685" t="s">
        <v>627</v>
      </c>
      <c r="I9" s="685"/>
      <c r="J9" s="685" t="s">
        <v>628</v>
      </c>
      <c r="K9" s="685"/>
      <c r="L9" s="373"/>
    </row>
    <row r="10" spans="1:12" ht="15.75">
      <c r="A10" s="405" t="s">
        <v>612</v>
      </c>
      <c r="B10" s="685">
        <v>14</v>
      </c>
      <c r="C10" s="685"/>
      <c r="D10" s="685">
        <v>26</v>
      </c>
      <c r="E10" s="685"/>
      <c r="F10" s="685">
        <v>2</v>
      </c>
      <c r="G10" s="685"/>
      <c r="H10" s="685" t="s">
        <v>629</v>
      </c>
      <c r="I10" s="685"/>
      <c r="J10" s="685" t="s">
        <v>630</v>
      </c>
      <c r="K10" s="685"/>
      <c r="L10" s="373"/>
    </row>
    <row r="11" spans="1:12" ht="26.25" customHeight="1">
      <c r="A11" s="373"/>
      <c r="B11" s="373"/>
      <c r="C11" s="373"/>
      <c r="D11" s="373"/>
      <c r="E11" s="373"/>
      <c r="F11" s="373"/>
      <c r="G11" s="373"/>
      <c r="H11" s="373"/>
      <c r="I11" s="373"/>
      <c r="J11" s="373"/>
      <c r="K11" s="373"/>
      <c r="L11" s="373"/>
    </row>
    <row r="12" spans="1:12" ht="19.5">
      <c r="A12" s="422" t="s">
        <v>613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</row>
    <row r="13" spans="1:12" ht="15.75">
      <c r="A13" s="373"/>
      <c r="B13" s="373"/>
      <c r="C13" s="373"/>
      <c r="D13" s="373"/>
      <c r="E13" s="373"/>
      <c r="F13" s="373"/>
      <c r="G13" s="373"/>
      <c r="H13" s="373"/>
      <c r="I13" s="373"/>
      <c r="J13" s="373"/>
      <c r="K13" s="373"/>
      <c r="L13" s="373"/>
    </row>
    <row r="14" spans="1:12" ht="15.75">
      <c r="A14" s="373"/>
      <c r="B14" s="698" t="s">
        <v>614</v>
      </c>
      <c r="C14" s="681"/>
      <c r="D14" s="699" t="s">
        <v>631</v>
      </c>
      <c r="E14" s="685"/>
      <c r="F14" s="698" t="s">
        <v>615</v>
      </c>
      <c r="G14" s="681"/>
      <c r="H14" s="699" t="s">
        <v>636</v>
      </c>
      <c r="I14" s="685"/>
      <c r="J14" s="373"/>
      <c r="K14" s="373"/>
      <c r="L14" s="373"/>
    </row>
    <row r="15" spans="1:12" ht="15.75">
      <c r="A15" s="373"/>
      <c r="B15" s="698" t="s">
        <v>616</v>
      </c>
      <c r="C15" s="681"/>
      <c r="D15" s="699" t="s">
        <v>632</v>
      </c>
      <c r="E15" s="685"/>
      <c r="F15" s="698" t="s">
        <v>617</v>
      </c>
      <c r="G15" s="681"/>
      <c r="H15" s="699" t="s">
        <v>637</v>
      </c>
      <c r="I15" s="685"/>
      <c r="J15" s="373"/>
      <c r="K15" s="373"/>
      <c r="L15" s="373"/>
    </row>
    <row r="16" spans="1:12" ht="15.75">
      <c r="A16" s="373"/>
      <c r="B16" s="698" t="s">
        <v>618</v>
      </c>
      <c r="C16" s="681"/>
      <c r="D16" s="699" t="s">
        <v>633</v>
      </c>
      <c r="E16" s="685"/>
      <c r="F16" s="698" t="s">
        <v>619</v>
      </c>
      <c r="G16" s="681"/>
      <c r="H16" s="699" t="s">
        <v>638</v>
      </c>
      <c r="I16" s="685"/>
      <c r="J16" s="373"/>
      <c r="K16" s="373"/>
      <c r="L16" s="373"/>
    </row>
    <row r="17" spans="1:12" ht="15.75">
      <c r="A17" s="373"/>
      <c r="B17" s="698" t="s">
        <v>620</v>
      </c>
      <c r="C17" s="681"/>
      <c r="D17" s="699" t="s">
        <v>634</v>
      </c>
      <c r="E17" s="685"/>
      <c r="F17" s="698" t="s">
        <v>621</v>
      </c>
      <c r="G17" s="681"/>
      <c r="H17" s="699" t="s">
        <v>639</v>
      </c>
      <c r="I17" s="685"/>
      <c r="J17" s="373"/>
      <c r="K17" s="373"/>
      <c r="L17" s="373"/>
    </row>
    <row r="18" spans="1:12" ht="15.75">
      <c r="A18" s="373"/>
      <c r="B18" s="698" t="s">
        <v>622</v>
      </c>
      <c r="C18" s="681"/>
      <c r="D18" s="699" t="s">
        <v>635</v>
      </c>
      <c r="E18" s="685"/>
      <c r="F18" s="698" t="s">
        <v>623</v>
      </c>
      <c r="G18" s="681"/>
      <c r="H18" s="699" t="s">
        <v>640</v>
      </c>
      <c r="I18" s="685"/>
      <c r="J18" s="373"/>
      <c r="K18" s="373"/>
      <c r="L18" s="373"/>
    </row>
    <row r="19" spans="1:12" ht="27" customHeight="1">
      <c r="A19" s="373"/>
      <c r="B19" s="373"/>
      <c r="C19" s="373"/>
      <c r="D19" s="373"/>
      <c r="E19" s="373"/>
      <c r="F19" s="373"/>
      <c r="G19" s="373"/>
      <c r="H19" s="373"/>
      <c r="I19" s="373"/>
      <c r="J19" s="373"/>
      <c r="K19" s="373"/>
      <c r="L19" s="373"/>
    </row>
    <row r="20" spans="1:12" ht="19.5">
      <c r="A20" s="422" t="s">
        <v>624</v>
      </c>
      <c r="B20" s="373"/>
      <c r="C20" s="373"/>
      <c r="D20" s="373"/>
      <c r="E20" s="373"/>
      <c r="F20" s="373"/>
      <c r="G20" s="373"/>
      <c r="H20" s="373"/>
      <c r="I20" s="373"/>
      <c r="J20" s="373"/>
      <c r="K20" s="373"/>
      <c r="L20" s="373"/>
    </row>
    <row r="21" spans="1:12" ht="15.75">
      <c r="A21" s="373"/>
      <c r="B21" s="373"/>
      <c r="C21" s="373"/>
      <c r="D21" s="373"/>
      <c r="E21" s="373"/>
      <c r="F21" s="373"/>
      <c r="G21" s="373"/>
      <c r="H21" s="373"/>
      <c r="I21" s="373"/>
      <c r="J21" s="373"/>
      <c r="K21" s="373"/>
      <c r="L21" s="373"/>
    </row>
    <row r="22" spans="1:12" ht="19.5">
      <c r="A22" s="373"/>
      <c r="B22" s="422" t="s">
        <v>641</v>
      </c>
      <c r="C22" s="373"/>
      <c r="D22" s="373"/>
      <c r="E22" s="373"/>
      <c r="F22" s="373"/>
      <c r="G22" s="373"/>
      <c r="H22" s="373"/>
      <c r="I22" s="373"/>
      <c r="J22" s="373"/>
      <c r="K22" s="373"/>
      <c r="L22" s="373"/>
    </row>
    <row r="23" spans="1:12" ht="15.75">
      <c r="A23" s="373"/>
      <c r="B23" s="373"/>
      <c r="C23" s="373"/>
      <c r="D23" s="373"/>
      <c r="E23" s="373"/>
      <c r="F23" s="373"/>
      <c r="G23" s="373"/>
      <c r="H23" s="373"/>
      <c r="I23" s="373"/>
      <c r="J23" s="373"/>
      <c r="K23" s="373"/>
      <c r="L23" s="373"/>
    </row>
    <row r="24" spans="1:12" ht="15.75">
      <c r="A24" s="373"/>
      <c r="B24" s="373"/>
      <c r="C24" s="373"/>
      <c r="D24" s="373"/>
      <c r="E24" s="373"/>
      <c r="F24" s="373"/>
      <c r="G24" s="373"/>
      <c r="H24" s="373"/>
      <c r="I24" s="373"/>
      <c r="J24" s="373"/>
      <c r="K24" s="373"/>
      <c r="L24" s="373"/>
    </row>
    <row r="25" spans="1:12" ht="15.75">
      <c r="A25" s="373"/>
      <c r="B25" s="373"/>
      <c r="C25" s="373"/>
      <c r="D25" s="373"/>
      <c r="E25" s="373"/>
      <c r="F25" s="373"/>
      <c r="G25" s="373"/>
      <c r="H25" s="373"/>
      <c r="I25" s="373"/>
      <c r="J25" s="373"/>
      <c r="K25" s="373"/>
      <c r="L25" s="373"/>
    </row>
    <row r="26" spans="1:12" ht="15.75">
      <c r="A26" s="373"/>
      <c r="B26" s="373"/>
      <c r="C26" s="373"/>
      <c r="D26" s="373"/>
      <c r="E26" s="373"/>
      <c r="F26" s="373"/>
      <c r="G26" s="373"/>
      <c r="H26" s="373"/>
      <c r="I26" s="373"/>
      <c r="J26" s="373"/>
      <c r="K26" s="373"/>
      <c r="L26" s="373"/>
    </row>
    <row r="27" spans="1:12" ht="15.75">
      <c r="A27" s="373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</row>
    <row r="28" spans="1:12" ht="15.75">
      <c r="A28" s="373"/>
      <c r="B28" s="373"/>
      <c r="C28" s="373"/>
      <c r="D28" s="373"/>
      <c r="E28" s="373"/>
      <c r="F28" s="373"/>
      <c r="G28" s="373"/>
      <c r="H28" s="373"/>
      <c r="I28" s="373"/>
      <c r="J28" s="373"/>
      <c r="K28" s="373"/>
      <c r="L28" s="373"/>
    </row>
    <row r="29" spans="1:12" ht="15.75">
      <c r="A29" s="373"/>
      <c r="B29" s="373"/>
      <c r="C29" s="373"/>
      <c r="D29" s="373"/>
      <c r="E29" s="373"/>
      <c r="F29" s="373"/>
      <c r="G29" s="373"/>
      <c r="H29" s="373"/>
      <c r="I29" s="373"/>
      <c r="J29" s="373"/>
      <c r="K29" s="373"/>
      <c r="L29" s="373"/>
    </row>
    <row r="30" spans="1:12" ht="15.75">
      <c r="A30" s="373"/>
      <c r="B30" s="373"/>
      <c r="C30" s="373"/>
      <c r="D30" s="373"/>
      <c r="E30" s="373"/>
      <c r="F30" s="373"/>
      <c r="G30" s="373"/>
      <c r="H30" s="373"/>
      <c r="I30" s="373"/>
      <c r="J30" s="373"/>
      <c r="K30" s="373"/>
      <c r="L30" s="373"/>
    </row>
    <row r="31" spans="1:12" ht="15.75">
      <c r="A31" s="373"/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</row>
    <row r="32" spans="1:12" ht="15.75">
      <c r="A32" s="373"/>
      <c r="B32" s="373"/>
      <c r="C32" s="373"/>
      <c r="D32" s="373"/>
      <c r="E32" s="373"/>
      <c r="F32" s="373"/>
      <c r="G32" s="373"/>
      <c r="H32" s="373"/>
      <c r="I32" s="373"/>
      <c r="J32" s="373"/>
      <c r="K32" s="373"/>
      <c r="L32" s="373"/>
    </row>
    <row r="33" spans="1:12" ht="15.75">
      <c r="A33" s="373"/>
      <c r="B33" s="373"/>
      <c r="C33" s="373"/>
      <c r="D33" s="373"/>
      <c r="E33" s="373"/>
      <c r="F33" s="373"/>
      <c r="G33" s="373"/>
      <c r="H33" s="373"/>
      <c r="I33" s="373"/>
      <c r="J33" s="373"/>
      <c r="K33" s="373"/>
      <c r="L33" s="373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2" workbookViewId="0">
      <selection activeCell="I22" sqref="I22"/>
    </sheetView>
  </sheetViews>
  <sheetFormatPr defaultRowHeight="12.75"/>
  <cols>
    <col min="1" max="6" width="16.7109375" style="348" customWidth="1"/>
    <col min="7" max="16384" width="9.140625" style="348"/>
  </cols>
  <sheetData>
    <row r="1" spans="1:6" ht="18.95" customHeight="1">
      <c r="A1" s="345"/>
      <c r="B1" s="346"/>
      <c r="C1" s="346"/>
      <c r="D1" s="346"/>
      <c r="E1" s="346"/>
      <c r="F1" s="347"/>
    </row>
    <row r="2" spans="1:6" ht="26.1" customHeight="1">
      <c r="A2" s="349" t="s">
        <v>251</v>
      </c>
      <c r="B2" s="350"/>
      <c r="C2" s="350"/>
      <c r="D2" s="350"/>
      <c r="E2" s="350"/>
      <c r="F2" s="351"/>
    </row>
    <row r="3" spans="1:6" ht="18.95" customHeight="1">
      <c r="A3" s="352" t="s">
        <v>642</v>
      </c>
      <c r="B3" s="350"/>
      <c r="C3" s="350"/>
      <c r="D3" s="350"/>
      <c r="E3" s="350"/>
      <c r="F3" s="351"/>
    </row>
    <row r="4" spans="1:6" ht="18.95" customHeight="1">
      <c r="A4" s="695" t="s">
        <v>598</v>
      </c>
      <c r="B4" s="696"/>
      <c r="C4" s="696"/>
      <c r="D4" s="696"/>
      <c r="E4" s="696"/>
      <c r="F4" s="697"/>
    </row>
    <row r="5" spans="1:6" ht="18.95" customHeight="1">
      <c r="A5" s="353"/>
      <c r="B5" s="354"/>
      <c r="C5" s="354"/>
      <c r="D5" s="354"/>
      <c r="E5" s="354"/>
      <c r="F5" s="355"/>
    </row>
    <row r="6" spans="1:6" ht="18.95" customHeight="1">
      <c r="A6" s="356" t="s">
        <v>373</v>
      </c>
      <c r="B6" s="678" t="str">
        <f>'Performance Data Sheet'!C17</f>
        <v>M455TCQL11E-C</v>
      </c>
      <c r="C6" s="679"/>
      <c r="D6" s="680"/>
      <c r="E6" s="356" t="s">
        <v>374</v>
      </c>
      <c r="F6" s="357">
        <v>282</v>
      </c>
    </row>
    <row r="7" spans="1:6" ht="18.95" customHeight="1">
      <c r="A7" s="356" t="s">
        <v>375</v>
      </c>
      <c r="B7" s="357" t="str">
        <f>'Performance Data Sheet'!F14</f>
        <v>TEAAC</v>
      </c>
      <c r="C7" s="356" t="s">
        <v>376</v>
      </c>
      <c r="D7" s="357" t="s">
        <v>398</v>
      </c>
      <c r="E7" s="356" t="s">
        <v>377</v>
      </c>
      <c r="F7" s="357" t="str">
        <f>'Performance Data Sheet'!C14</f>
        <v>6810US</v>
      </c>
    </row>
    <row r="8" spans="1:6" ht="18.95" customHeight="1">
      <c r="A8" s="356" t="s">
        <v>378</v>
      </c>
      <c r="B8" s="357">
        <v>4</v>
      </c>
      <c r="C8" s="356" t="s">
        <v>379</v>
      </c>
      <c r="D8" s="357" t="s">
        <v>380</v>
      </c>
      <c r="E8" s="356" t="s">
        <v>381</v>
      </c>
      <c r="F8" s="357" t="str">
        <f>'Performance Data Sheet'!M15</f>
        <v>F</v>
      </c>
    </row>
    <row r="9" spans="1:6" ht="18.95" customHeight="1">
      <c r="A9" s="356" t="s">
        <v>382</v>
      </c>
      <c r="B9" s="357">
        <v>2250</v>
      </c>
      <c r="C9" s="356" t="s">
        <v>383</v>
      </c>
      <c r="D9" s="357" t="s">
        <v>399</v>
      </c>
      <c r="E9" s="356" t="s">
        <v>2</v>
      </c>
      <c r="F9" s="358">
        <f>'Performance Data Sheet'!K45</f>
        <v>41982</v>
      </c>
    </row>
    <row r="10" spans="1:6" ht="18.95" customHeight="1">
      <c r="A10" s="356" t="s">
        <v>384</v>
      </c>
      <c r="B10" s="357">
        <v>1784</v>
      </c>
      <c r="C10" s="356" t="s">
        <v>385</v>
      </c>
      <c r="D10" s="357" t="s">
        <v>386</v>
      </c>
      <c r="E10" s="356" t="s">
        <v>1</v>
      </c>
      <c r="F10" s="357" t="s">
        <v>362</v>
      </c>
    </row>
    <row r="11" spans="1:6" ht="18.95" customHeight="1">
      <c r="A11" s="353"/>
      <c r="B11" s="354"/>
      <c r="C11" s="354"/>
      <c r="D11" s="354"/>
      <c r="E11" s="354"/>
      <c r="F11" s="355"/>
    </row>
    <row r="12" spans="1:6" ht="18.95" customHeight="1">
      <c r="A12" s="353"/>
      <c r="B12" s="359" t="s">
        <v>387</v>
      </c>
      <c r="C12" s="360" t="s">
        <v>400</v>
      </c>
      <c r="D12" s="359" t="s">
        <v>388</v>
      </c>
      <c r="E12" s="360" t="s">
        <v>386</v>
      </c>
      <c r="F12" s="355"/>
    </row>
    <row r="13" spans="1:6" ht="18.95" customHeight="1">
      <c r="A13" s="353"/>
      <c r="B13" s="359" t="s">
        <v>389</v>
      </c>
      <c r="C13" s="361">
        <v>0.7</v>
      </c>
      <c r="D13" s="359" t="s">
        <v>390</v>
      </c>
      <c r="E13" s="360" t="s">
        <v>386</v>
      </c>
      <c r="F13" s="355"/>
    </row>
    <row r="14" spans="1:6" ht="18.95" customHeight="1">
      <c r="A14" s="353"/>
      <c r="B14" s="359" t="s">
        <v>391</v>
      </c>
      <c r="C14" s="361">
        <v>2.2000000000000002</v>
      </c>
      <c r="D14" s="359" t="s">
        <v>392</v>
      </c>
      <c r="E14" s="360" t="s">
        <v>386</v>
      </c>
      <c r="F14" s="355"/>
    </row>
    <row r="15" spans="1:6" ht="18.95" customHeight="1">
      <c r="A15" s="353"/>
      <c r="B15" s="359" t="s">
        <v>393</v>
      </c>
      <c r="C15" s="360" t="s">
        <v>749</v>
      </c>
      <c r="D15" s="354"/>
      <c r="E15" s="354"/>
      <c r="F15" s="355"/>
    </row>
    <row r="16" spans="1:6" ht="18.95" customHeight="1">
      <c r="A16" s="353"/>
      <c r="B16" s="354"/>
      <c r="C16" s="354"/>
      <c r="D16" s="354"/>
      <c r="E16" s="354"/>
      <c r="F16" s="355"/>
    </row>
    <row r="17" spans="1:8" ht="18.95" customHeight="1">
      <c r="A17" s="353"/>
      <c r="B17" s="354"/>
      <c r="C17" s="354"/>
      <c r="D17" s="354"/>
      <c r="E17" s="354"/>
      <c r="F17" s="355"/>
    </row>
    <row r="18" spans="1:8" ht="18.95" customHeight="1">
      <c r="A18" s="353"/>
      <c r="B18" s="354"/>
      <c r="C18" s="354"/>
      <c r="D18" s="354"/>
      <c r="E18" s="354"/>
      <c r="F18" s="355"/>
    </row>
    <row r="19" spans="1:8" ht="18.95" customHeight="1">
      <c r="A19" s="353"/>
      <c r="B19" s="354"/>
      <c r="C19" s="354"/>
      <c r="D19" s="354"/>
      <c r="E19" s="354"/>
      <c r="F19" s="355"/>
    </row>
    <row r="20" spans="1:8" ht="18.95" customHeight="1">
      <c r="A20" s="353"/>
      <c r="B20" s="354"/>
      <c r="C20" s="354"/>
      <c r="D20" s="354"/>
      <c r="E20" s="354"/>
      <c r="F20" s="355"/>
    </row>
    <row r="21" spans="1:8" ht="18.95" customHeight="1">
      <c r="A21" s="353"/>
      <c r="B21" s="354"/>
      <c r="C21" s="354"/>
      <c r="D21" s="354"/>
      <c r="E21" s="354"/>
      <c r="F21" s="355"/>
    </row>
    <row r="22" spans="1:8" ht="18.95" customHeight="1">
      <c r="A22" s="353"/>
      <c r="B22" s="354"/>
      <c r="C22" s="354"/>
      <c r="D22" s="354"/>
      <c r="E22" s="354"/>
      <c r="F22" s="355"/>
    </row>
    <row r="23" spans="1:8" ht="18.95" customHeight="1">
      <c r="A23" s="353"/>
      <c r="B23" s="354"/>
      <c r="C23" s="354"/>
      <c r="D23" s="354"/>
      <c r="E23" s="354"/>
      <c r="F23" s="355"/>
    </row>
    <row r="24" spans="1:8" ht="18.95" customHeight="1">
      <c r="A24" s="353"/>
      <c r="B24" s="354"/>
      <c r="C24" s="354"/>
      <c r="D24" s="354"/>
      <c r="E24" s="354"/>
      <c r="F24" s="355"/>
      <c r="H24" s="427"/>
    </row>
    <row r="25" spans="1:8" ht="18.95" customHeight="1">
      <c r="A25" s="353"/>
      <c r="B25" s="354"/>
      <c r="C25" s="354"/>
      <c r="D25" s="354"/>
      <c r="E25" s="354"/>
      <c r="F25" s="355"/>
    </row>
    <row r="26" spans="1:8" ht="18.95" customHeight="1">
      <c r="A26" s="353"/>
      <c r="B26" s="354"/>
      <c r="C26" s="354"/>
      <c r="D26" s="354"/>
      <c r="E26" s="354"/>
      <c r="F26" s="355"/>
    </row>
    <row r="27" spans="1:8" ht="18.95" customHeight="1">
      <c r="A27" s="353"/>
      <c r="B27" s="354"/>
      <c r="C27" s="354"/>
      <c r="D27" s="354"/>
      <c r="E27" s="354"/>
      <c r="F27" s="355"/>
    </row>
    <row r="28" spans="1:8" ht="18.95" customHeight="1">
      <c r="A28" s="353"/>
      <c r="B28" s="354"/>
      <c r="C28" s="354"/>
      <c r="D28" s="354"/>
      <c r="E28" s="354"/>
      <c r="F28" s="355"/>
    </row>
    <row r="29" spans="1:8" ht="18.95" customHeight="1">
      <c r="A29" s="353"/>
      <c r="B29" s="354"/>
      <c r="C29" s="354"/>
      <c r="D29" s="354"/>
      <c r="E29" s="354"/>
      <c r="F29" s="355"/>
    </row>
    <row r="30" spans="1:8" ht="18.95" customHeight="1">
      <c r="A30" s="353"/>
      <c r="B30" s="354"/>
      <c r="C30" s="354"/>
      <c r="D30" s="354"/>
      <c r="E30" s="354"/>
      <c r="F30" s="355"/>
    </row>
    <row r="31" spans="1:8" ht="18.95" customHeight="1">
      <c r="A31" s="353"/>
      <c r="B31" s="354"/>
      <c r="C31" s="354"/>
      <c r="D31" s="354"/>
      <c r="E31" s="354"/>
      <c r="F31" s="355"/>
    </row>
    <row r="32" spans="1:8" ht="18.95" customHeight="1">
      <c r="A32" s="353"/>
      <c r="B32" s="354"/>
      <c r="C32" s="354"/>
      <c r="D32" s="354"/>
      <c r="E32" s="354"/>
      <c r="F32" s="355"/>
    </row>
    <row r="33" spans="1:6" ht="18.95" customHeight="1">
      <c r="A33" s="353"/>
      <c r="B33" s="354"/>
      <c r="C33" s="354"/>
      <c r="D33" s="354"/>
      <c r="E33" s="354"/>
      <c r="F33" s="355"/>
    </row>
    <row r="34" spans="1:6" ht="18.95" customHeight="1">
      <c r="A34" s="353"/>
      <c r="B34" s="354"/>
      <c r="C34" s="354"/>
      <c r="D34" s="354"/>
      <c r="E34" s="354"/>
      <c r="F34" s="355"/>
    </row>
    <row r="35" spans="1:6" ht="18.95" customHeight="1">
      <c r="A35" s="353"/>
      <c r="B35" s="354"/>
      <c r="C35" s="354"/>
      <c r="D35" s="354"/>
      <c r="E35" s="354"/>
      <c r="F35" s="355"/>
    </row>
    <row r="36" spans="1:6" ht="18.95" customHeight="1">
      <c r="A36" s="353"/>
      <c r="B36" s="354"/>
      <c r="C36" s="354"/>
      <c r="D36" s="354"/>
      <c r="E36" s="354"/>
      <c r="F36" s="355"/>
    </row>
    <row r="37" spans="1:6" ht="18.95" customHeight="1">
      <c r="A37" s="353"/>
      <c r="B37" s="354"/>
      <c r="C37" s="354"/>
      <c r="D37" s="354"/>
      <c r="E37" s="354"/>
      <c r="F37" s="355"/>
    </row>
    <row r="38" spans="1:6" ht="18.95" customHeight="1">
      <c r="A38" s="353"/>
      <c r="B38" s="354"/>
      <c r="C38" s="354"/>
      <c r="D38" s="354"/>
      <c r="E38" s="354"/>
      <c r="F38" s="355"/>
    </row>
    <row r="39" spans="1:6" ht="18.95" customHeight="1">
      <c r="A39" s="362" t="s">
        <v>394</v>
      </c>
      <c r="B39" s="363"/>
      <c r="C39" s="363"/>
      <c r="D39" s="354"/>
      <c r="E39" s="359" t="s">
        <v>395</v>
      </c>
      <c r="F39" s="364" t="s">
        <v>362</v>
      </c>
    </row>
    <row r="40" spans="1:6" ht="18.95" customHeight="1">
      <c r="A40" s="353"/>
      <c r="B40" s="363"/>
      <c r="C40" s="363"/>
      <c r="D40" s="354"/>
      <c r="E40" s="354"/>
      <c r="F40" s="355"/>
    </row>
    <row r="41" spans="1:6" ht="18.95" customHeight="1">
      <c r="A41" s="353"/>
      <c r="B41" s="363"/>
      <c r="C41" s="363"/>
      <c r="D41" s="354"/>
      <c r="E41" s="354"/>
      <c r="F41" s="355"/>
    </row>
    <row r="42" spans="1:6" ht="18.95" customHeight="1">
      <c r="A42" s="353"/>
      <c r="B42" s="354"/>
      <c r="C42" s="354"/>
      <c r="D42" s="354"/>
      <c r="E42" s="354"/>
      <c r="F42" s="355"/>
    </row>
    <row r="43" spans="1:6" ht="18.95" customHeight="1">
      <c r="A43" s="365"/>
      <c r="B43" s="363"/>
      <c r="C43" s="366" t="s">
        <v>396</v>
      </c>
      <c r="D43" s="367" t="str">
        <f>'Performance Data Sheet'!K43</f>
        <v>Mario L</v>
      </c>
      <c r="E43" s="366" t="s">
        <v>397</v>
      </c>
      <c r="F43" s="36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433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643</v>
      </c>
    </row>
    <row r="54" spans="1:6" ht="15" customHeight="1">
      <c r="A54" s="430">
        <v>0</v>
      </c>
      <c r="B54" s="431"/>
      <c r="C54" s="432"/>
      <c r="D54" s="432">
        <v>73.205341173312675</v>
      </c>
      <c r="E54" s="432">
        <v>100</v>
      </c>
      <c r="F54" s="433">
        <v>0.3227833</v>
      </c>
    </row>
    <row r="55" spans="1:6" ht="15" customHeight="1">
      <c r="A55" s="434">
        <v>25</v>
      </c>
      <c r="B55" s="435">
        <v>92.2015380859375</v>
      </c>
      <c r="C55" s="436">
        <v>63.742519378662109</v>
      </c>
      <c r="D55" s="436">
        <v>103.08913421630859</v>
      </c>
      <c r="E55" s="436">
        <v>64.49645453647436</v>
      </c>
      <c r="F55" s="437">
        <v>7.5875003050691889</v>
      </c>
    </row>
    <row r="56" spans="1:6" ht="15" customHeight="1">
      <c r="A56" s="434">
        <v>50</v>
      </c>
      <c r="B56" s="435">
        <v>95.055915832519531</v>
      </c>
      <c r="C56" s="436">
        <v>82.441703796386719</v>
      </c>
      <c r="D56" s="436">
        <v>154.62657165527344</v>
      </c>
      <c r="E56" s="436">
        <v>49.919451265554024</v>
      </c>
      <c r="F56" s="437">
        <v>14.719319340457242</v>
      </c>
    </row>
    <row r="57" spans="1:6">
      <c r="A57" s="434">
        <v>75</v>
      </c>
      <c r="B57" s="435">
        <v>95.821952819824219</v>
      </c>
      <c r="C57" s="436">
        <v>87.905548095703125</v>
      </c>
      <c r="D57" s="436">
        <v>215.78448486328125</v>
      </c>
      <c r="E57" s="436">
        <v>34.990305864918412</v>
      </c>
      <c r="F57" s="437">
        <v>21.902472041813617</v>
      </c>
    </row>
    <row r="58" spans="1:6">
      <c r="A58" s="434">
        <v>100</v>
      </c>
      <c r="B58" s="435">
        <v>96.031318664550781</v>
      </c>
      <c r="C58" s="436">
        <v>89.536941528320313</v>
      </c>
      <c r="D58" s="436">
        <v>281.85458374023437</v>
      </c>
      <c r="E58" s="436">
        <v>19.538935996106225</v>
      </c>
      <c r="F58" s="437">
        <v>29.13962491382679</v>
      </c>
    </row>
    <row r="59" spans="1:6" ht="13.5" thickBot="1">
      <c r="A59" s="438">
        <v>125</v>
      </c>
      <c r="B59" s="439">
        <v>96.008979797363281</v>
      </c>
      <c r="C59" s="440">
        <v>89.616317749023437</v>
      </c>
      <c r="D59" s="440">
        <v>352.08804321289062</v>
      </c>
      <c r="E59" s="440">
        <v>4.0884149396232194</v>
      </c>
      <c r="F59" s="441">
        <v>36.4330061323286</v>
      </c>
    </row>
    <row r="60" spans="1:6">
      <c r="A60" s="368"/>
      <c r="B60" s="369"/>
      <c r="C60" s="369"/>
    </row>
    <row r="61" spans="1:6">
      <c r="A61" s="368"/>
      <c r="B61" s="369"/>
      <c r="C61" s="369"/>
    </row>
    <row r="62" spans="1:6">
      <c r="A62" s="368"/>
      <c r="B62" s="369"/>
      <c r="C62" s="369"/>
    </row>
    <row r="63" spans="1:6">
      <c r="A63" s="368"/>
      <c r="B63" s="369"/>
      <c r="C63" s="369"/>
    </row>
    <row r="64" spans="1:6">
      <c r="A64" s="368"/>
      <c r="B64" s="369"/>
      <c r="C64" s="369"/>
    </row>
    <row r="65" spans="1:3">
      <c r="A65" s="368"/>
      <c r="B65" s="369"/>
      <c r="C65" s="369"/>
    </row>
    <row r="66" spans="1:3">
      <c r="A66" s="368"/>
      <c r="B66" s="369"/>
      <c r="C66" s="369"/>
    </row>
    <row r="67" spans="1:3">
      <c r="A67" s="370"/>
      <c r="B67" s="369"/>
      <c r="C67" s="369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1"/>
  <sheetViews>
    <sheetView showGridLines="0" zoomScale="90" workbookViewId="0">
      <selection activeCell="P10" sqref="P10"/>
    </sheetView>
  </sheetViews>
  <sheetFormatPr defaultColWidth="12.5703125" defaultRowHeight="15.75"/>
  <cols>
    <col min="1" max="13" width="7" style="449" customWidth="1"/>
    <col min="14" max="14" width="7.140625" style="449" customWidth="1"/>
    <col min="15" max="16384" width="12.5703125" style="449"/>
  </cols>
  <sheetData>
    <row r="1" spans="1:14" ht="17.100000000000001" customHeight="1">
      <c r="A1" s="442" t="s">
        <v>251</v>
      </c>
      <c r="B1" s="443"/>
      <c r="C1" s="443"/>
      <c r="D1" s="443"/>
      <c r="E1" s="443"/>
      <c r="F1" s="443"/>
      <c r="G1" s="443"/>
      <c r="H1" s="443"/>
      <c r="I1" s="443"/>
      <c r="J1" s="444" t="s">
        <v>644</v>
      </c>
      <c r="K1" s="445"/>
      <c r="L1" s="446" t="s">
        <v>645</v>
      </c>
      <c r="M1" s="447"/>
      <c r="N1" s="448"/>
    </row>
    <row r="2" spans="1:14" ht="17.100000000000001" customHeight="1">
      <c r="A2" s="450" t="s">
        <v>646</v>
      </c>
      <c r="B2" s="451"/>
      <c r="C2" s="451"/>
      <c r="D2" s="451"/>
      <c r="E2" s="451"/>
      <c r="F2" s="451"/>
      <c r="G2" s="451"/>
      <c r="H2" s="451"/>
      <c r="I2" s="451"/>
      <c r="J2" s="452" t="s">
        <v>647</v>
      </c>
      <c r="K2" s="453"/>
      <c r="L2" s="454" t="s">
        <v>648</v>
      </c>
      <c r="M2" s="455"/>
      <c r="N2" s="448"/>
    </row>
    <row r="3" spans="1:14" ht="15.95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649</v>
      </c>
      <c r="K3" s="453"/>
      <c r="L3" s="458" t="s">
        <v>650</v>
      </c>
      <c r="M3" s="455"/>
      <c r="N3" s="448"/>
    </row>
    <row r="4" spans="1:14" ht="15.95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651</v>
      </c>
      <c r="K4" s="453"/>
      <c r="L4" s="460" t="s">
        <v>652</v>
      </c>
      <c r="M4" s="455"/>
      <c r="N4" s="448"/>
    </row>
    <row r="5" spans="1:14" ht="15.95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653</v>
      </c>
      <c r="K5" s="453"/>
      <c r="L5" s="454">
        <v>1</v>
      </c>
      <c r="M5" s="455"/>
      <c r="N5" s="448"/>
    </row>
    <row r="6" spans="1:14" ht="15.95" customHeight="1">
      <c r="A6" s="461" t="s">
        <v>654</v>
      </c>
      <c r="B6" s="457"/>
      <c r="C6" s="457"/>
      <c r="D6" s="457"/>
      <c r="E6" s="457"/>
      <c r="F6" s="457"/>
      <c r="G6" s="457"/>
      <c r="H6" s="457"/>
      <c r="I6" s="457"/>
      <c r="J6" s="452" t="s">
        <v>655</v>
      </c>
      <c r="K6" s="453"/>
      <c r="L6" s="462" t="s">
        <v>656</v>
      </c>
      <c r="M6" s="455"/>
      <c r="N6" s="448"/>
    </row>
    <row r="7" spans="1:14" ht="15.95" customHeight="1" thickBot="1">
      <c r="A7" s="463" t="s">
        <v>657</v>
      </c>
      <c r="B7" s="464"/>
      <c r="C7" s="464"/>
      <c r="D7" s="464"/>
      <c r="E7" s="464"/>
      <c r="F7" s="464"/>
      <c r="G7" s="464"/>
      <c r="H7" s="464"/>
      <c r="I7" s="464"/>
      <c r="J7" s="465" t="s">
        <v>658</v>
      </c>
      <c r="K7" s="466"/>
      <c r="L7" s="467" t="s">
        <v>659</v>
      </c>
      <c r="M7" s="468"/>
      <c r="N7" s="448"/>
    </row>
    <row r="8" spans="1:14" ht="15.95" customHeight="1">
      <c r="A8" s="469"/>
      <c r="B8" s="457"/>
      <c r="C8" s="457"/>
      <c r="D8" s="457"/>
      <c r="E8" s="457"/>
      <c r="F8" s="457"/>
      <c r="G8" s="457"/>
      <c r="H8" s="457"/>
      <c r="I8" s="457"/>
      <c r="J8" s="457"/>
      <c r="K8" s="470"/>
      <c r="L8" s="471"/>
      <c r="M8" s="472"/>
      <c r="N8" s="457"/>
    </row>
    <row r="9" spans="1:14" ht="12" customHeight="1">
      <c r="A9" s="473"/>
      <c r="B9" s="474" t="s">
        <v>660</v>
      </c>
      <c r="C9" s="475"/>
      <c r="D9" s="476"/>
      <c r="E9" s="476"/>
      <c r="F9" s="476"/>
      <c r="G9" s="476"/>
      <c r="H9" s="476"/>
      <c r="I9" s="476"/>
      <c r="J9" s="476"/>
      <c r="K9" s="477"/>
      <c r="L9" s="478"/>
      <c r="M9" s="476"/>
      <c r="N9" s="457"/>
    </row>
    <row r="10" spans="1:14" ht="12" customHeight="1">
      <c r="A10" s="473"/>
      <c r="B10" s="474" t="s">
        <v>661</v>
      </c>
      <c r="C10" s="479"/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1"/>
    </row>
    <row r="11" spans="1:14" ht="16.5" thickBot="1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</row>
    <row r="12" spans="1:14" ht="20.100000000000001" customHeight="1" thickBot="1">
      <c r="A12" s="481" t="s">
        <v>662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448"/>
    </row>
    <row r="13" spans="1:14" ht="12.95" customHeight="1" thickTop="1">
      <c r="A13" s="484"/>
      <c r="B13" s="485" t="s">
        <v>663</v>
      </c>
      <c r="C13" s="486">
        <v>2250</v>
      </c>
      <c r="D13" s="478"/>
      <c r="E13" s="485" t="s">
        <v>664</v>
      </c>
      <c r="F13" s="486">
        <v>4000</v>
      </c>
      <c r="G13" s="478"/>
      <c r="H13" s="485" t="s">
        <v>665</v>
      </c>
      <c r="I13" s="486" t="s">
        <v>748</v>
      </c>
      <c r="J13" s="478"/>
      <c r="K13" s="478"/>
      <c r="L13" s="485" t="s">
        <v>666</v>
      </c>
      <c r="M13" s="487">
        <v>1800</v>
      </c>
      <c r="N13" s="448"/>
    </row>
    <row r="14" spans="1:14" ht="12.95" customHeight="1">
      <c r="A14" s="484"/>
      <c r="B14" s="485" t="s">
        <v>667</v>
      </c>
      <c r="C14" s="486" t="s">
        <v>755</v>
      </c>
      <c r="D14" s="478"/>
      <c r="E14" s="485" t="s">
        <v>668</v>
      </c>
      <c r="F14" s="486" t="s">
        <v>750</v>
      </c>
      <c r="G14" s="478"/>
      <c r="H14" s="485" t="s">
        <v>669</v>
      </c>
      <c r="I14" s="486">
        <v>282</v>
      </c>
      <c r="J14" s="478"/>
      <c r="K14" s="478"/>
      <c r="L14" s="485" t="s">
        <v>384</v>
      </c>
      <c r="M14" s="487">
        <v>1784</v>
      </c>
      <c r="N14" s="448"/>
    </row>
    <row r="15" spans="1:14" ht="12.95" customHeight="1">
      <c r="A15" s="484"/>
      <c r="B15" s="485" t="s">
        <v>670</v>
      </c>
      <c r="C15" s="486" t="s">
        <v>176</v>
      </c>
      <c r="D15" s="478"/>
      <c r="E15" s="485" t="s">
        <v>671</v>
      </c>
      <c r="F15" s="486">
        <v>1.1499999999999999</v>
      </c>
      <c r="G15" s="478"/>
      <c r="H15" s="488" t="s">
        <v>672</v>
      </c>
      <c r="I15" s="486" t="s">
        <v>174</v>
      </c>
      <c r="J15" s="478"/>
      <c r="K15" s="478"/>
      <c r="L15" s="485" t="s">
        <v>673</v>
      </c>
      <c r="M15" s="487" t="s">
        <v>345</v>
      </c>
      <c r="N15" s="448"/>
    </row>
    <row r="16" spans="1:14" ht="12.95" customHeight="1">
      <c r="A16" s="484"/>
      <c r="B16" s="485" t="s">
        <v>674</v>
      </c>
      <c r="C16" s="486" t="s">
        <v>747</v>
      </c>
      <c r="D16" s="478"/>
      <c r="E16" s="485" t="s">
        <v>675</v>
      </c>
      <c r="F16" s="486" t="s">
        <v>472</v>
      </c>
      <c r="G16" s="478"/>
      <c r="H16" s="489" t="s">
        <v>676</v>
      </c>
      <c r="I16" s="490" t="s">
        <v>338</v>
      </c>
      <c r="J16" s="478"/>
      <c r="K16" s="478"/>
      <c r="L16" s="485" t="s">
        <v>677</v>
      </c>
      <c r="M16" s="487" t="s">
        <v>678</v>
      </c>
      <c r="N16" s="448"/>
    </row>
    <row r="17" spans="1:14" ht="12.95" customHeight="1">
      <c r="A17" s="484"/>
      <c r="B17" s="485" t="s">
        <v>679</v>
      </c>
      <c r="C17" s="491" t="s">
        <v>757</v>
      </c>
      <c r="D17" s="478"/>
      <c r="E17" s="485"/>
      <c r="F17" s="492"/>
      <c r="G17" s="478"/>
      <c r="H17" s="485" t="s">
        <v>680</v>
      </c>
      <c r="I17" s="490"/>
      <c r="J17" s="478"/>
      <c r="K17" s="478"/>
      <c r="L17" s="485"/>
      <c r="M17" s="493"/>
      <c r="N17" s="448"/>
    </row>
    <row r="18" spans="1:14" ht="12.95" customHeight="1" thickBot="1">
      <c r="A18" s="494"/>
      <c r="B18" s="495" t="s">
        <v>681</v>
      </c>
      <c r="C18" s="496" t="s">
        <v>174</v>
      </c>
      <c r="D18" s="497"/>
      <c r="E18" s="498" t="s">
        <v>682</v>
      </c>
      <c r="F18" s="496" t="s">
        <v>174</v>
      </c>
      <c r="G18" s="499"/>
      <c r="H18" s="498" t="s">
        <v>683</v>
      </c>
      <c r="I18" s="496" t="s">
        <v>174</v>
      </c>
      <c r="J18" s="497"/>
      <c r="K18" s="497"/>
      <c r="L18" s="497"/>
      <c r="M18" s="500"/>
      <c r="N18" s="448"/>
    </row>
    <row r="19" spans="1:14" ht="16.5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</row>
    <row r="20" spans="1:14" ht="20.100000000000001" customHeight="1" thickBot="1">
      <c r="A20" s="481"/>
      <c r="B20" s="482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3"/>
    </row>
    <row r="21" spans="1:14" ht="15.95" customHeight="1" thickTop="1">
      <c r="A21" s="501" t="s">
        <v>684</v>
      </c>
      <c r="B21" s="502"/>
      <c r="C21" s="471"/>
      <c r="D21" s="503"/>
      <c r="E21" s="504" t="s">
        <v>685</v>
      </c>
      <c r="F21" s="505"/>
      <c r="G21" s="505"/>
      <c r="H21" s="506"/>
      <c r="I21" s="507" t="s">
        <v>686</v>
      </c>
      <c r="J21" s="508"/>
      <c r="K21" s="508"/>
      <c r="L21" s="471"/>
      <c r="M21" s="509"/>
    </row>
    <row r="22" spans="1:14" ht="15.95" customHeight="1">
      <c r="A22" s="510"/>
      <c r="B22" s="478"/>
      <c r="C22" s="511" t="s">
        <v>687</v>
      </c>
      <c r="D22" s="512">
        <v>1494</v>
      </c>
      <c r="E22" s="485"/>
      <c r="G22" s="489" t="s">
        <v>688</v>
      </c>
      <c r="H22" s="513">
        <v>6624</v>
      </c>
      <c r="I22" s="511"/>
      <c r="J22" s="478"/>
      <c r="K22" s="511" t="s">
        <v>689</v>
      </c>
      <c r="L22" s="701"/>
      <c r="M22" s="702"/>
    </row>
    <row r="23" spans="1:14" ht="15.95" customHeight="1">
      <c r="A23" s="510"/>
      <c r="B23" s="511"/>
      <c r="C23" s="514"/>
      <c r="D23" s="515"/>
      <c r="E23" s="485"/>
      <c r="G23" s="485" t="s">
        <v>690</v>
      </c>
      <c r="H23" s="512">
        <v>70</v>
      </c>
      <c r="I23" s="478"/>
      <c r="J23" s="478"/>
      <c r="K23" s="485" t="s">
        <v>691</v>
      </c>
      <c r="L23" s="701"/>
      <c r="M23" s="702"/>
    </row>
    <row r="24" spans="1:14" ht="15.95" customHeight="1">
      <c r="A24" s="484"/>
      <c r="B24" s="485"/>
      <c r="C24" s="478"/>
      <c r="D24" s="515"/>
      <c r="E24" s="485"/>
      <c r="G24" s="489" t="s">
        <v>692</v>
      </c>
      <c r="H24" s="512">
        <v>220</v>
      </c>
      <c r="I24" s="478"/>
      <c r="J24" s="485"/>
      <c r="K24" s="478"/>
      <c r="L24" s="478"/>
      <c r="M24" s="493"/>
    </row>
    <row r="25" spans="1:14" ht="15.95" customHeight="1" thickBot="1">
      <c r="A25" s="494"/>
      <c r="B25" s="495"/>
      <c r="C25" s="497"/>
      <c r="D25" s="516"/>
      <c r="E25" s="498"/>
      <c r="F25" s="498"/>
      <c r="G25" s="498"/>
      <c r="H25" s="517"/>
      <c r="I25" s="497"/>
      <c r="J25" s="498"/>
      <c r="K25" s="497"/>
      <c r="L25" s="497"/>
      <c r="M25" s="500"/>
    </row>
    <row r="26" spans="1:14" ht="18.95" customHeight="1" thickBot="1">
      <c r="A26" s="518"/>
      <c r="B26" s="518"/>
      <c r="C26" s="518"/>
      <c r="D26" s="519"/>
      <c r="E26" s="519"/>
      <c r="F26" s="519"/>
      <c r="G26" s="519"/>
      <c r="H26" s="519"/>
      <c r="I26" s="519"/>
      <c r="J26" s="519"/>
      <c r="K26" s="519"/>
      <c r="L26" s="519"/>
      <c r="M26" s="448"/>
      <c r="N26" s="448"/>
    </row>
    <row r="27" spans="1:14" ht="20.100000000000001" customHeight="1" thickBot="1">
      <c r="A27" s="520"/>
      <c r="B27" s="521"/>
      <c r="C27" s="521"/>
      <c r="D27" s="521"/>
      <c r="E27" s="521"/>
      <c r="F27" s="521"/>
      <c r="G27" s="522"/>
      <c r="H27" s="521"/>
      <c r="I27" s="521"/>
      <c r="J27" s="521"/>
      <c r="K27" s="521"/>
      <c r="L27" s="521"/>
      <c r="M27" s="523"/>
    </row>
    <row r="28" spans="1:14" ht="15.95" customHeight="1" thickTop="1">
      <c r="A28" s="524" t="s">
        <v>693</v>
      </c>
      <c r="B28" s="502"/>
      <c r="C28" s="471"/>
      <c r="D28" s="471"/>
      <c r="E28" s="505"/>
      <c r="F28" s="505"/>
      <c r="G28" s="525"/>
      <c r="H28" s="504" t="s">
        <v>694</v>
      </c>
      <c r="I28" s="505"/>
      <c r="J28" s="508"/>
      <c r="K28" s="504"/>
      <c r="L28" s="508"/>
      <c r="M28" s="509"/>
    </row>
    <row r="29" spans="1:14" ht="15.95" customHeight="1">
      <c r="A29" s="484"/>
      <c r="B29" s="511"/>
      <c r="C29" s="511" t="s">
        <v>695</v>
      </c>
      <c r="D29" s="526">
        <v>96</v>
      </c>
      <c r="E29" s="485"/>
      <c r="F29" s="485"/>
      <c r="G29" s="525"/>
      <c r="H29" s="489"/>
      <c r="I29" s="511"/>
      <c r="J29" s="511" t="s">
        <v>695</v>
      </c>
      <c r="K29" s="526">
        <v>89.5</v>
      </c>
      <c r="L29" s="478"/>
      <c r="M29" s="493"/>
    </row>
    <row r="30" spans="1:14" ht="15.95" customHeight="1">
      <c r="A30" s="527"/>
      <c r="B30" s="478"/>
      <c r="C30" s="511" t="s">
        <v>696</v>
      </c>
      <c r="D30" s="526">
        <v>95.8</v>
      </c>
      <c r="E30" s="485"/>
      <c r="F30" s="485"/>
      <c r="G30" s="525"/>
      <c r="H30" s="485"/>
      <c r="I30" s="478"/>
      <c r="J30" s="511" t="s">
        <v>696</v>
      </c>
      <c r="K30" s="526">
        <v>87.9</v>
      </c>
      <c r="L30" s="478"/>
      <c r="M30" s="493"/>
    </row>
    <row r="31" spans="1:14" ht="15.95" customHeight="1">
      <c r="A31" s="484"/>
      <c r="B31" s="485"/>
      <c r="C31" s="511" t="s">
        <v>697</v>
      </c>
      <c r="D31" s="526">
        <v>95</v>
      </c>
      <c r="E31" s="485"/>
      <c r="F31" s="485"/>
      <c r="G31" s="525"/>
      <c r="H31" s="485"/>
      <c r="I31" s="478"/>
      <c r="J31" s="511" t="s">
        <v>697</v>
      </c>
      <c r="K31" s="526">
        <v>82.4</v>
      </c>
      <c r="L31" s="485"/>
      <c r="M31" s="493"/>
    </row>
    <row r="32" spans="1:14" ht="15.95" customHeight="1" thickBot="1">
      <c r="A32" s="494"/>
      <c r="B32" s="495"/>
      <c r="C32" s="497"/>
      <c r="D32" s="497"/>
      <c r="E32" s="498"/>
      <c r="F32" s="498"/>
      <c r="G32" s="528"/>
      <c r="H32" s="498"/>
      <c r="I32" s="497"/>
      <c r="J32" s="498"/>
      <c r="K32" s="497"/>
      <c r="L32" s="498"/>
      <c r="M32" s="500"/>
    </row>
    <row r="33" spans="1:14" ht="20.100000000000001" customHeight="1" thickBot="1">
      <c r="A33" s="529"/>
      <c r="B33" s="529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30"/>
      <c r="N33" s="530"/>
    </row>
    <row r="34" spans="1:14" ht="20.100000000000001" customHeight="1" thickBot="1">
      <c r="A34" s="531"/>
      <c r="B34" s="532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3"/>
    </row>
    <row r="35" spans="1:14" ht="15.95" customHeight="1" thickTop="1">
      <c r="A35" s="534" t="s">
        <v>698</v>
      </c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35"/>
    </row>
    <row r="36" spans="1:14" ht="15.95" customHeight="1">
      <c r="A36" s="527" t="s">
        <v>699</v>
      </c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35"/>
    </row>
    <row r="37" spans="1:14" ht="15.95" customHeight="1">
      <c r="A37" s="536" t="s">
        <v>700</v>
      </c>
      <c r="B37" s="514"/>
      <c r="C37" s="514"/>
      <c r="D37" s="514"/>
      <c r="E37" s="537"/>
      <c r="F37" s="514"/>
      <c r="G37" s="514"/>
      <c r="H37" s="514"/>
      <c r="I37" s="514"/>
      <c r="J37" s="514"/>
      <c r="K37" s="514"/>
      <c r="L37" s="514"/>
      <c r="M37" s="535"/>
    </row>
    <row r="38" spans="1:14" ht="15.95" customHeight="1">
      <c r="A38" s="538" t="s">
        <v>701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35"/>
    </row>
    <row r="39" spans="1:14" ht="15.95" customHeight="1">
      <c r="A39" s="539" t="s">
        <v>702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35"/>
    </row>
    <row r="40" spans="1:14" ht="15.95" customHeight="1" thickBot="1">
      <c r="A40" s="540" t="s">
        <v>703</v>
      </c>
      <c r="B40" s="541"/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2"/>
    </row>
    <row r="41" spans="1:14" ht="15.95" customHeight="1">
      <c r="A41" s="514"/>
      <c r="B41" s="514"/>
      <c r="C41" s="514"/>
      <c r="D41" s="514"/>
      <c r="E41" s="514"/>
      <c r="F41" s="514"/>
      <c r="G41" s="514"/>
      <c r="H41" s="514"/>
      <c r="I41" s="514"/>
      <c r="J41" s="514"/>
      <c r="K41" s="514"/>
      <c r="L41" s="514"/>
      <c r="M41" s="514"/>
    </row>
    <row r="42" spans="1:14" ht="15.95" customHeight="1"/>
    <row r="43" spans="1:14" ht="18">
      <c r="A43" s="543"/>
      <c r="B43" s="543"/>
      <c r="C43" s="543"/>
      <c r="D43" s="543"/>
      <c r="E43" s="543"/>
      <c r="F43" s="543"/>
      <c r="G43" s="543"/>
      <c r="H43" s="448"/>
      <c r="I43" s="448"/>
      <c r="J43" s="544" t="s">
        <v>704</v>
      </c>
      <c r="K43" s="703" t="s">
        <v>332</v>
      </c>
      <c r="L43" s="703"/>
      <c r="M43" s="703"/>
      <c r="N43" s="543"/>
    </row>
    <row r="44" spans="1:14" ht="7.5" customHeight="1">
      <c r="H44" s="448"/>
      <c r="I44" s="448"/>
      <c r="J44" s="448"/>
      <c r="K44" s="448"/>
      <c r="L44" s="448"/>
      <c r="M44" s="448"/>
    </row>
    <row r="45" spans="1:14" ht="16.5">
      <c r="H45" s="448"/>
      <c r="I45" s="448"/>
      <c r="J45" s="544" t="s">
        <v>705</v>
      </c>
      <c r="K45" s="704">
        <v>41982</v>
      </c>
      <c r="L45" s="704"/>
      <c r="M45" s="704"/>
    </row>
    <row r="60" spans="1:5">
      <c r="A60" s="449" t="s">
        <v>174</v>
      </c>
      <c r="B60" s="449" t="s">
        <v>706</v>
      </c>
      <c r="D60" s="449">
        <v>1</v>
      </c>
      <c r="E60" s="545" t="s">
        <v>174</v>
      </c>
    </row>
    <row r="61" spans="1:5">
      <c r="A61" s="449" t="s">
        <v>707</v>
      </c>
      <c r="B61" s="449" t="s">
        <v>708</v>
      </c>
      <c r="D61" s="449">
        <v>1.1499999999999999</v>
      </c>
      <c r="E61" s="545" t="s">
        <v>349</v>
      </c>
    </row>
    <row r="62" spans="1:5">
      <c r="A62" s="449" t="s">
        <v>709</v>
      </c>
      <c r="B62" s="449" t="s">
        <v>710</v>
      </c>
      <c r="E62" s="545" t="s">
        <v>302</v>
      </c>
    </row>
    <row r="63" spans="1:5">
      <c r="B63" s="449" t="s">
        <v>711</v>
      </c>
    </row>
    <row r="64" spans="1:5">
      <c r="B64" s="449" t="s">
        <v>712</v>
      </c>
    </row>
    <row r="65" spans="2:2">
      <c r="B65" s="449" t="s">
        <v>713</v>
      </c>
    </row>
    <row r="66" spans="2:2">
      <c r="B66" s="449" t="s">
        <v>714</v>
      </c>
    </row>
    <row r="67" spans="2:2">
      <c r="B67" s="449" t="s">
        <v>715</v>
      </c>
    </row>
    <row r="68" spans="2:2">
      <c r="B68" s="449" t="s">
        <v>716</v>
      </c>
    </row>
    <row r="69" spans="2:2">
      <c r="B69" s="449" t="s">
        <v>717</v>
      </c>
    </row>
    <row r="70" spans="2:2">
      <c r="B70" s="449" t="s">
        <v>718</v>
      </c>
    </row>
    <row r="71" spans="2:2">
      <c r="B71" s="449" t="s">
        <v>719</v>
      </c>
    </row>
    <row r="72" spans="2:2">
      <c r="B72" s="449" t="s">
        <v>720</v>
      </c>
    </row>
    <row r="73" spans="2:2">
      <c r="B73" s="449" t="s">
        <v>721</v>
      </c>
    </row>
    <row r="74" spans="2:2">
      <c r="B74" s="449" t="s">
        <v>722</v>
      </c>
    </row>
    <row r="75" spans="2:2">
      <c r="B75" s="449" t="s">
        <v>723</v>
      </c>
    </row>
    <row r="76" spans="2:2">
      <c r="B76" s="449" t="s">
        <v>724</v>
      </c>
    </row>
    <row r="77" spans="2:2">
      <c r="B77" s="449" t="s">
        <v>725</v>
      </c>
    </row>
    <row r="78" spans="2:2">
      <c r="B78" s="449" t="s">
        <v>726</v>
      </c>
    </row>
    <row r="79" spans="2:2">
      <c r="B79" s="449" t="s">
        <v>727</v>
      </c>
    </row>
    <row r="80" spans="2:2">
      <c r="B80" s="449" t="s">
        <v>728</v>
      </c>
    </row>
    <row r="81" spans="2:2">
      <c r="B81" s="449">
        <v>6312</v>
      </c>
    </row>
    <row r="82" spans="2:2">
      <c r="B82" s="449" t="s">
        <v>729</v>
      </c>
    </row>
    <row r="83" spans="2:2">
      <c r="B83" s="449" t="s">
        <v>730</v>
      </c>
    </row>
    <row r="84" spans="2:2">
      <c r="B84" s="449" t="s">
        <v>731</v>
      </c>
    </row>
    <row r="85" spans="2:2">
      <c r="B85" s="449" t="s">
        <v>732</v>
      </c>
    </row>
    <row r="86" spans="2:2">
      <c r="B86" s="449">
        <v>6313</v>
      </c>
    </row>
    <row r="87" spans="2:2">
      <c r="B87" s="449" t="s">
        <v>733</v>
      </c>
    </row>
    <row r="88" spans="2:2">
      <c r="B88" s="449" t="s">
        <v>734</v>
      </c>
    </row>
    <row r="89" spans="2:2">
      <c r="B89" s="449" t="s">
        <v>735</v>
      </c>
    </row>
    <row r="90" spans="2:2">
      <c r="B90" s="449">
        <v>6314</v>
      </c>
    </row>
    <row r="91" spans="2:2">
      <c r="B91" s="449" t="s">
        <v>736</v>
      </c>
    </row>
    <row r="92" spans="2:2">
      <c r="B92" s="449">
        <v>6317</v>
      </c>
    </row>
    <row r="93" spans="2:2">
      <c r="B93" s="449" t="s">
        <v>737</v>
      </c>
    </row>
    <row r="94" spans="2:2">
      <c r="B94" s="449">
        <v>6318</v>
      </c>
    </row>
    <row r="95" spans="2:2">
      <c r="B95" s="449" t="s">
        <v>738</v>
      </c>
    </row>
    <row r="96" spans="2:2">
      <c r="B96" s="449" t="s">
        <v>739</v>
      </c>
    </row>
    <row r="97" spans="2:2">
      <c r="B97" s="449" t="s">
        <v>740</v>
      </c>
    </row>
    <row r="98" spans="2:2">
      <c r="B98" s="449">
        <v>6320</v>
      </c>
    </row>
    <row r="99" spans="2:2">
      <c r="B99" s="449" t="s">
        <v>741</v>
      </c>
    </row>
    <row r="100" spans="2:2">
      <c r="B100" s="449" t="s">
        <v>742</v>
      </c>
    </row>
    <row r="101" spans="2:2">
      <c r="B101" s="449" t="s">
        <v>743</v>
      </c>
    </row>
    <row r="102" spans="2:2">
      <c r="B102" s="449" t="s">
        <v>744</v>
      </c>
    </row>
    <row r="103" spans="2:2">
      <c r="B103" s="449" t="s">
        <v>744</v>
      </c>
    </row>
    <row r="119" spans="2:2">
      <c r="B119" s="449" t="s">
        <v>745</v>
      </c>
    </row>
    <row r="121" spans="2:2">
      <c r="B121" s="449" t="s">
        <v>746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dell</cp:lastModifiedBy>
  <cp:lastPrinted>2015-02-23T21:04:12Z</cp:lastPrinted>
  <dcterms:created xsi:type="dcterms:W3CDTF">1997-10-03T20:37:30Z</dcterms:created>
  <dcterms:modified xsi:type="dcterms:W3CDTF">2015-02-23T21:04:12Z</dcterms:modified>
</cp:coreProperties>
</file>