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G:\DESPRO\BASE MV DESIGNS\6800 FRAME\Electrical Design\TEAAC\4P\Series\"/>
    </mc:Choice>
  </mc:AlternateContent>
  <xr:revisionPtr revIDLastSave="0" documentId="13_ncr:1_{1854ED7F-19C6-425E-8B7B-BE8895B79DB2}" xr6:coauthVersionLast="47" xr6:coauthVersionMax="47" xr10:uidLastSave="{00000000-0000-0000-0000-000000000000}"/>
  <bookViews>
    <workbookView xWindow="28680" yWindow="-120" windowWidth="29040" windowHeight="15720" tabRatio="768" activeTab="1" xr2:uid="{00000000-000D-0000-FFFF-FFFF00000000}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11" r:id="rId8"/>
    <sheet name="Performance" sheetId="9" r:id="rId9"/>
    <sheet name="Performance Data Sheet" sheetId="10" r:id="rId10"/>
  </sheets>
  <definedNames>
    <definedName name="_Regression_Int" localSheetId="9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Performance!$A$1:$F$43</definedName>
    <definedName name="_xlnm.Print_Area" localSheetId="9">'Performance Data Sheet'!$A$1:$M$45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8" hidden="1">Performance!$A$1:$F$43</definedName>
    <definedName name="Z_852987ED_B4F5_11D1_ABEC_0000832EB49E_.wvu.PrintArea" localSheetId="4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9" l="1"/>
  <c r="D43" i="6"/>
  <c r="F9" i="9"/>
  <c r="F8" i="9"/>
  <c r="F7" i="9"/>
  <c r="B7" i="9"/>
  <c r="B6" i="9"/>
  <c r="F9" i="6"/>
  <c r="F8" i="6"/>
  <c r="F7" i="6"/>
  <c r="B7" i="6"/>
  <c r="B6" i="6"/>
  <c r="D43" i="8"/>
  <c r="F9" i="8"/>
  <c r="F8" i="8"/>
  <c r="F7" i="8"/>
  <c r="B7" i="8"/>
  <c r="B6" i="8"/>
  <c r="C76" i="8"/>
  <c r="C77" i="8" s="1"/>
  <c r="C78" i="8" s="1"/>
  <c r="B76" i="8"/>
  <c r="C75" i="8"/>
  <c r="C74" i="8"/>
  <c r="B74" i="8"/>
  <c r="C69" i="8"/>
  <c r="E68" i="8"/>
  <c r="D66" i="8"/>
  <c r="F50" i="8"/>
  <c r="M28" i="3"/>
  <c r="M18" i="3"/>
  <c r="B69" i="8" l="1"/>
  <c r="B75" i="8" s="1"/>
  <c r="B70" i="8" l="1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<sst xmlns="http://schemas.openxmlformats.org/spreadsheetml/2006/main" count="997" uniqueCount="763">
  <si>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</si>
  <si>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</si>
  <si>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</si>
  <si>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</si>
  <si>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</si>
  <si>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</si>
  <si>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</si>
  <si>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</si>
  <si>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</si>
  <si>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</si>
  <si>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</si>
  <si>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</si>
  <si>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</si>
  <si>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</si>
  <si>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</si>
  <si>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</si>
  <si>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</si>
  <si>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</si>
  <si>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</si>
  <si>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</si>
  <si>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</si>
  <si>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</si>
  <si>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</si>
  <si>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</si>
  <si>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</si>
  <si>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</si>
  <si>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</si>
  <si>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</si>
  <si>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</si>
  <si>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</si>
  <si>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</si>
  <si>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</si>
  <si>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</si>
  <si>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</si>
  <si>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</si>
  <si>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</si>
  <si>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</si>
  <si>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</si>
  <si>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</si>
  <si>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</si>
  <si>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</si>
  <si>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</si>
  <si>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</si>
  <si>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</si>
  <si>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</si>
  <si>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</si>
  <si>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</si>
  <si>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</si>
  <si>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</si>
  <si>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</si>
  <si>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</si>
  <si>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</si>
  <si>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</si>
  <si>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</si>
  <si>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</si>
  <si>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</si>
  <si>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</si>
  <si>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</si>
  <si>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</si>
  <si>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</si>
  <si>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</si>
  <si>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</si>
  <si>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</si>
  <si>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</si>
  <si>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</si>
  <si>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</si>
  <si>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</si>
  <si>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</si>
  <si>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</si>
  <si>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</si>
  <si>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</si>
  <si>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</si>
  <si>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</si>
  <si>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</si>
  <si>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</si>
  <si>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</si>
  <si>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</si>
  <si>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</si>
  <si>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</si>
  <si>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</si>
  <si>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</si>
  <si>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</si>
  <si>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</si>
  <si>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</si>
  <si>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</si>
  <si>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</si>
  <si>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</si>
  <si>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</si>
  <si>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</si>
  <si>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</si>
  <si>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</si>
  <si>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</si>
  <si>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</si>
  <si>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</si>
  <si>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</si>
  <si>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</si>
  <si>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</si>
  <si>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</si>
  <si>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</si>
  <si>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</si>
  <si>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</si>
  <si>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</si>
  <si>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</si>
  <si>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</si>
  <si>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</si>
  <si>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</si>
  <si>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</si>
  <si>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</si>
  <si>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</si>
  <si>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</si>
  <si>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</si>
  <si>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</si>
  <si>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</si>
  <si>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</si>
  <si>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</si>
  <si>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</si>
  <si>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</si>
  <si>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</si>
  <si>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</si>
  <si>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</si>
  <si>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</si>
  <si>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</si>
  <si>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</si>
  <si>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</si>
  <si>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</si>
  <si>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</si>
  <si>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</si>
  <si>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</si>
  <si>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</si>
  <si>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</si>
  <si>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</si>
  <si>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</si>
  <si>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</si>
  <si>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</si>
  <si>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</si>
  <si>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</si>
  <si>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</si>
  <si>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</si>
  <si>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</si>
  <si>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</si>
  <si>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</si>
  <si>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</si>
  <si>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</si>
  <si>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</si>
  <si>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</si>
  <si>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</si>
  <si>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</si>
  <si>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</si>
  <si>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</si>
  <si>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</si>
  <si>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</si>
  <si>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</si>
  <si>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</si>
  <si>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</si>
  <si>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</si>
  <si>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</si>
  <si>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</si>
  <si>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</si>
  <si>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</si>
  <si>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</si>
  <si>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</si>
  <si>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</si>
  <si>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</si>
  <si>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</si>
  <si>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</si>
  <si>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</si>
  <si>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</si>
  <si>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</si>
  <si>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</si>
  <si>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</si>
  <si>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</si>
  <si>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</si>
  <si>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</si>
  <si>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</si>
  <si>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</si>
  <si>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</si>
  <si>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FCW4</t>
  </si>
  <si>
    <t>Open</t>
  </si>
  <si>
    <t>Rectang</t>
  </si>
  <si>
    <t>15.20 - 15.20</t>
  </si>
  <si>
    <t>1.20 - 0.50</t>
  </si>
  <si>
    <t>Normal</t>
  </si>
  <si>
    <t>25 x 6</t>
  </si>
  <si>
    <t>1 ~ 16</t>
  </si>
  <si>
    <t>(.072"x.204")x1</t>
  </si>
  <si>
    <t>(.072"x.229")x1</t>
  </si>
  <si>
    <t>Wye</t>
  </si>
  <si>
    <t>(105°C)</t>
  </si>
  <si>
    <t>CU</t>
  </si>
  <si>
    <t>ERD1: 423.4</t>
  </si>
  <si>
    <t>EBL: 50.5</t>
  </si>
  <si>
    <t>ERT: 75.00</t>
  </si>
  <si>
    <t>ERH: 50.00</t>
  </si>
  <si>
    <t>(12 x 35)</t>
  </si>
  <si>
    <t>LB:  -</t>
  </si>
  <si>
    <t>LER:  -</t>
  </si>
  <si>
    <t>Single Cage Data</t>
  </si>
  <si>
    <t>UB: 420.0</t>
  </si>
  <si>
    <t>UER: 3750.0</t>
  </si>
  <si>
    <t>(Coeff.: 0.0356)</t>
  </si>
  <si>
    <t>Skew R.: 0.00</t>
  </si>
  <si>
    <t>Z:\Motor R&amp;D\Active Projects\6810 Development\Electrical Design\TEAAC\4P\Series\BS4M40U.rat</t>
  </si>
  <si>
    <t>2-2-2-0-1-2</t>
  </si>
  <si>
    <t>B.L.-1  P.F.-1</t>
  </si>
  <si>
    <t>13212.5 / 12067.2</t>
  </si>
  <si>
    <t>10468.2 / 14083.9</t>
  </si>
  <si>
    <t>27371.1 / 18910.8</t>
  </si>
  <si>
    <t>9000.0 / 10095.0</t>
  </si>
  <si>
    <t>17746.0 / 7818.4</t>
  </si>
  <si>
    <t>4108.9 / 1810.3</t>
  </si>
  <si>
    <t>13637.0 / 6008.1</t>
  </si>
  <si>
    <t>1.75 / 0.77</t>
  </si>
  <si>
    <t>55 / 54</t>
  </si>
  <si>
    <t>Temp. Rise @ 100%:</t>
  </si>
  <si>
    <t>Stray Loss</t>
  </si>
  <si>
    <t>0.928 / 0.919</t>
  </si>
  <si>
    <t>0.958 / 0.949</t>
  </si>
  <si>
    <t>0.966 / 0.957</t>
  </si>
  <si>
    <t>0.968 / 0.959</t>
  </si>
  <si>
    <t>0.651 / 0.650</t>
  </si>
  <si>
    <t>0.833 / 0.832</t>
  </si>
  <si>
    <t>0.884 / 0.883</t>
  </si>
  <si>
    <t>0.899 / 0.898</t>
  </si>
  <si>
    <t>89.09 / 90.07</t>
  </si>
  <si>
    <t>134.97 / 136.45</t>
  </si>
  <si>
    <t>189.10 / 191.18</t>
  </si>
  <si>
    <t>247.36 / 250.09</t>
  </si>
  <si>
    <t>309.33 / 312.74</t>
  </si>
  <si>
    <t>3.17 / 3.21</t>
  </si>
  <si>
    <t>UB: 4.13 / 4.18</t>
  </si>
  <si>
    <t>UER: 2.14 / 2.16</t>
  </si>
  <si>
    <t>1797.0 / 1792.8</t>
  </si>
  <si>
    <t>1794.0 / 1789.9</t>
  </si>
  <si>
    <t>1791.0 / 1786.9</t>
  </si>
  <si>
    <t>1787.9 / 1783.7</t>
  </si>
  <si>
    <t>1784.8 / 1780.6</t>
  </si>
  <si>
    <t>0.0017 / 0.0040</t>
  </si>
  <si>
    <t>0.0033 / 0.0056</t>
  </si>
  <si>
    <t>0.0050 / 0.0073</t>
  </si>
  <si>
    <t>0.0067 / 0.0090</t>
  </si>
  <si>
    <t>0.0085 / 0.0108</t>
  </si>
  <si>
    <t>62.146 / 54.525</t>
  </si>
  <si>
    <t>2.559 / 2.245</t>
  </si>
  <si>
    <t>62.20 / 54.57</t>
  </si>
  <si>
    <t>1239.9 / 1313.5</t>
  </si>
  <si>
    <t>501.3 / 531.0</t>
  </si>
  <si>
    <t>561.5 / 581.5</t>
  </si>
  <si>
    <t>69.1 / 71.5</t>
  </si>
  <si>
    <t>236.8 / 221.3</t>
  </si>
  <si>
    <t>Correlated to: P148750_TestData_lab1457.dat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</si>
  <si>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</si>
  <si>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</si>
  <si>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</si>
  <si>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</si>
  <si>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</si>
  <si>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</si>
  <si>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</si>
  <si>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</si>
  <si>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</si>
  <si>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</si>
  <si>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</si>
  <si>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</si>
  <si>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</si>
  <si>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</si>
  <si>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</si>
  <si>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</si>
  <si>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</si>
  <si>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</si>
  <si>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</si>
  <si>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</si>
  <si>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</si>
  <si>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</si>
  <si>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</si>
  <si>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</si>
  <si>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</si>
  <si>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</si>
  <si>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</si>
  <si>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</si>
  <si>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</si>
  <si>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</si>
  <si>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</si>
  <si>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</si>
  <si>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</si>
  <si>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</si>
  <si>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</si>
  <si>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</si>
  <si>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</si>
  <si>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</si>
  <si>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</si>
  <si>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</si>
  <si>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</si>
  <si>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</si>
  <si>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</si>
  <si>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</si>
  <si>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</si>
  <si>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</si>
  <si>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</si>
  <si>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</si>
  <si>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</si>
  <si>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</si>
  <si>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</si>
  <si>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</si>
  <si>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</si>
  <si>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</si>
  <si>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</si>
  <si>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</si>
  <si>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</si>
  <si>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</si>
  <si>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</si>
  <si>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</si>
  <si>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</si>
  <si>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</si>
  <si>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</si>
  <si>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</si>
  <si>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</si>
  <si>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</si>
  <si>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</si>
  <si>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</si>
  <si>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</si>
  <si>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</si>
  <si>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</si>
  <si>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</si>
  <si>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</si>
  <si>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</si>
  <si>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</si>
  <si>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</si>
  <si>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</si>
  <si>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</si>
  <si>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</si>
  <si>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</si>
  <si>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</si>
  <si>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</si>
  <si>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</si>
  <si>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</si>
  <si>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</si>
  <si>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</si>
  <si>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</si>
  <si>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</si>
  <si>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</si>
  <si>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</si>
  <si>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</si>
  <si>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</si>
  <si>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</si>
  <si>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</si>
  <si>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</si>
  <si>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</si>
  <si>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</si>
  <si>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</si>
  <si>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</si>
  <si>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</si>
  <si>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</si>
  <si>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</si>
  <si>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</si>
  <si>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</si>
  <si>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</si>
  <si>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</si>
  <si>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</si>
  <si>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</si>
  <si>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</si>
  <si>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</si>
  <si>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</si>
  <si>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BS4M40U</t>
  </si>
  <si>
    <t>27 x 2</t>
  </si>
  <si>
    <t>4 x Wye</t>
  </si>
  <si>
    <t xml:space="preserve"> - </t>
  </si>
  <si>
    <t>321 / 1687</t>
  </si>
  <si>
    <t>418 / 216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</si>
  <si>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</si>
  <si>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</si>
  <si>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</si>
  <si>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</si>
  <si>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</si>
  <si>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</si>
  <si>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</si>
  <si>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</si>
  <si>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</si>
  <si>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</si>
  <si>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</si>
  <si>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</si>
  <si>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1491.0</t>
  </si>
  <si>
    <t xml:space="preserve">13T: </t>
  </si>
  <si>
    <t xml:space="preserve">14T: </t>
  </si>
  <si>
    <t>0.0359 ~ 0.0344</t>
  </si>
  <si>
    <t>0.0386 ~ 0.0371</t>
  </si>
  <si>
    <t>AWG. (1/0 x 2) x 3</t>
  </si>
  <si>
    <t>0.00061</t>
  </si>
  <si>
    <t>13T: 26.37</t>
  </si>
  <si>
    <t>14T: 28.40</t>
  </si>
  <si>
    <t>13T: 11.40</t>
  </si>
  <si>
    <t>14T: 11.40</t>
  </si>
  <si>
    <t>15.30 ~ 14.90</t>
  </si>
  <si>
    <t>17.57</t>
  </si>
  <si>
    <t>3.80</t>
  </si>
  <si>
    <t xml:space="preserve"> (.072"x.204")x 1: </t>
  </si>
  <si>
    <t xml:space="preserve"> (.072"x.229")x 1: </t>
  </si>
  <si>
    <t>538 lbs.</t>
  </si>
  <si>
    <t>604 lbs.</t>
  </si>
  <si>
    <t xml:space="preserve">1-2, 2-3, 3-1: </t>
  </si>
  <si>
    <t>0.114 ~ 0.107</t>
  </si>
  <si>
    <t>54 / 73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</si>
  <si>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</si>
  <si>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</si>
  <si>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</si>
  <si>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</si>
  <si>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</si>
  <si>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</si>
  <si>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</si>
  <si>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</si>
  <si>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</si>
  <si>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</si>
  <si>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</si>
  <si>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</si>
  <si>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</si>
  <si>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</si>
  <si>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</si>
  <si>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</si>
  <si>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</si>
  <si>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</si>
  <si>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</si>
  <si>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</si>
  <si>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</si>
  <si>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</si>
  <si>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</si>
  <si>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</si>
  <si>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</si>
  <si>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</si>
  <si>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</si>
  <si>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</si>
  <si>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</si>
  <si>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</si>
  <si>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1048.8 lb-ft²</t>
  </si>
  <si>
    <t>1314 A</t>
  </si>
  <si>
    <t>Load</t>
  </si>
  <si>
    <t>Fan / Pump</t>
  </si>
  <si>
    <t>991.3 kg.m²</t>
  </si>
  <si>
    <t>Acceleration Data (FV V)</t>
  </si>
  <si>
    <t>14.4 (s)</t>
  </si>
  <si>
    <t>812.8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</si>
  <si>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</si>
  <si>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</si>
  <si>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</si>
  <si>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</si>
  <si>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</si>
  <si>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</si>
  <si>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</si>
  <si>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</si>
  <si>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</si>
  <si>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</si>
  <si>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</si>
  <si>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</si>
  <si>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</si>
  <si>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</si>
  <si>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</si>
  <si>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</si>
  <si>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</si>
  <si>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</si>
  <si>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</si>
  <si>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</si>
  <si>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</si>
  <si>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</si>
  <si>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</si>
  <si>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</si>
  <si>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</si>
  <si>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</si>
  <si>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</si>
  <si>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</si>
  <si>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</si>
  <si>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</si>
  <si>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</si>
  <si>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</si>
  <si>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</si>
  <si>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</si>
  <si>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</si>
  <si>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</si>
  <si>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</si>
  <si>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</si>
  <si>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</si>
  <si>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- 2000.0 HP - 1800 RPM - 4000 V - 60 Hz</t>
  </si>
  <si>
    <t>0~188</t>
  </si>
  <si>
    <t>188~375</t>
  </si>
  <si>
    <t>375~563</t>
  </si>
  <si>
    <t>563~750</t>
  </si>
  <si>
    <t>750~938</t>
  </si>
  <si>
    <t>938~1125</t>
  </si>
  <si>
    <t>1125~1313</t>
  </si>
  <si>
    <t>1313~1501</t>
  </si>
  <si>
    <t>1501~1594</t>
  </si>
  <si>
    <t>1594~1688</t>
  </si>
  <si>
    <t>1688~1782</t>
  </si>
  <si>
    <t>1782~1796</t>
  </si>
  <si>
    <t>1796~1800</t>
  </si>
  <si>
    <t>Load Type: Fan / Pump - 5881.0 lb-ft²</t>
  </si>
  <si>
    <t>70.1</t>
  </si>
  <si>
    <t>70.2</t>
  </si>
  <si>
    <t>70.6</t>
  </si>
  <si>
    <t>71.1</t>
  </si>
  <si>
    <t>72.0</t>
  </si>
  <si>
    <t>73.5</t>
  </si>
  <si>
    <t>76.1</t>
  </si>
  <si>
    <t>81.2</t>
  </si>
  <si>
    <t>90.5</t>
  </si>
  <si>
    <t>109.4</t>
  </si>
  <si>
    <t>171.2</t>
  </si>
  <si>
    <t>169.3</t>
  </si>
  <si>
    <t>109.3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</si>
  <si>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</si>
  <si>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</si>
  <si>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</si>
  <si>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</si>
  <si>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</si>
  <si>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</si>
  <si>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</si>
  <si>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</si>
  <si>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</si>
  <si>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</si>
  <si>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</si>
  <si>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</si>
  <si>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</si>
  <si>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1.507</t>
  </si>
  <si>
    <t>1.218</t>
  </si>
  <si>
    <t>1.132</t>
  </si>
  <si>
    <t>1.204</t>
  </si>
  <si>
    <t>1.349</t>
  </si>
  <si>
    <t>1.608</t>
  </si>
  <si>
    <t>2.146</t>
  </si>
  <si>
    <t>1.346</t>
  </si>
  <si>
    <t>1.113</t>
  </si>
  <si>
    <t>0.448</t>
  </si>
  <si>
    <t>0.078</t>
  </si>
  <si>
    <t>0.145</t>
  </si>
  <si>
    <t>1310.3</t>
  </si>
  <si>
    <t>1302.3</t>
  </si>
  <si>
    <t>1292.7</t>
  </si>
  <si>
    <t>1280.8</t>
  </si>
  <si>
    <t>1266.0</t>
  </si>
  <si>
    <t>1247.5</t>
  </si>
  <si>
    <t>1224.2</t>
  </si>
  <si>
    <t>1194.2</t>
  </si>
  <si>
    <t>1164.7</t>
  </si>
  <si>
    <t>1128.6</t>
  </si>
  <si>
    <t>1026.0</t>
  </si>
  <si>
    <t>634.7</t>
  </si>
  <si>
    <t>239.0</t>
  </si>
  <si>
    <t>561.9</t>
  </si>
  <si>
    <t>449.2</t>
  </si>
  <si>
    <t>411.8</t>
  </si>
  <si>
    <t>405.2</t>
  </si>
  <si>
    <t>422.2</t>
  </si>
  <si>
    <t>460.8</t>
  </si>
  <si>
    <t>531.5</t>
  </si>
  <si>
    <t>679.8</t>
  </si>
  <si>
    <t>402.9</t>
  </si>
  <si>
    <t>319.0</t>
  </si>
  <si>
    <t>118.0</t>
  </si>
  <si>
    <t>15.2</t>
  </si>
  <si>
    <t>2.0</t>
  </si>
  <si>
    <t>1483.6</t>
  </si>
  <si>
    <t>1076.3</t>
  </si>
  <si>
    <t>886.6</t>
  </si>
  <si>
    <t>774.3</t>
  </si>
  <si>
    <t>705.4</t>
  </si>
  <si>
    <t>659.3</t>
  </si>
  <si>
    <t>630.9</t>
  </si>
  <si>
    <t>634.3</t>
  </si>
  <si>
    <t>533.9</t>
  </si>
  <si>
    <t>344.1</t>
  </si>
  <si>
    <t>95.7</t>
  </si>
  <si>
    <t>31.5</t>
  </si>
  <si>
    <t>85.0</t>
  </si>
  <si>
    <t>4780 kW / s</t>
  </si>
  <si>
    <t>7062 kW / s</t>
  </si>
  <si>
    <t>879 kW / s</t>
  </si>
  <si>
    <t>25°C</t>
  </si>
  <si>
    <t>83°C</t>
  </si>
  <si>
    <t>23°C</t>
  </si>
  <si>
    <t>49°C</t>
  </si>
  <si>
    <t>166°C</t>
  </si>
  <si>
    <t>46°C</t>
  </si>
  <si>
    <t>Acceleration Time:  14.4 s</t>
  </si>
  <si>
    <t>2.1°C / s</t>
  </si>
  <si>
    <t>10.9°C / s</t>
  </si>
  <si>
    <t>3.0°C / s</t>
  </si>
  <si>
    <t>414.5 kW</t>
  </si>
  <si>
    <t>928.8 kW</t>
  </si>
  <si>
    <t>115.6 kW</t>
  </si>
  <si>
    <t>74.7 s</t>
  </si>
  <si>
    <t>23.8 s</t>
  </si>
  <si>
    <t>59.9 s</t>
  </si>
  <si>
    <t>54°C    +</t>
  </si>
  <si>
    <t>70°C    +</t>
  </si>
  <si>
    <t>106°C    +</t>
  </si>
  <si>
    <t>190°C   +</t>
  </si>
  <si>
    <t>110°C   +</t>
  </si>
  <si>
    <t>49.5 s</t>
  </si>
  <si>
    <t>17.5 s</t>
  </si>
  <si>
    <t>36.8 s</t>
  </si>
  <si>
    <t>49.0 s</t>
  </si>
  <si>
    <t>30.1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</si>
  <si>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</si>
  <si>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</si>
  <si>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</si>
  <si>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</si>
  <si>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</si>
  <si>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</si>
  <si>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5881.0 lb-ft²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</si>
  <si>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</si>
  <si>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</si>
  <si>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</si>
  <si>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</si>
  <si>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</si>
  <si>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</si>
  <si>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</si>
  <si>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</si>
  <si>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</si>
  <si>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</si>
  <si>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</si>
  <si>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</si>
  <si>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</si>
  <si>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</si>
  <si>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</si>
  <si>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</si>
  <si>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</si>
  <si>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</si>
  <si>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</si>
  <si>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</si>
  <si>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</si>
  <si>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</si>
  <si>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</si>
  <si>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</si>
  <si>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</si>
  <si>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</si>
  <si>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</si>
  <si>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</si>
  <si>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</si>
  <si>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</si>
  <si>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</si>
  <si>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</si>
  <si>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</si>
  <si>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</si>
  <si>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</si>
  <si>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</si>
  <si>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</si>
  <si>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</si>
  <si>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</si>
  <si>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</si>
  <si>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</si>
  <si>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</si>
  <si>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</si>
  <si>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</si>
  <si>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</si>
  <si>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</si>
  <si>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</si>
  <si>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</si>
  <si>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</si>
  <si>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</si>
  <si>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</si>
  <si>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</si>
  <si>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</si>
  <si>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</si>
  <si>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</si>
  <si>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</si>
  <si>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</si>
  <si>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</si>
  <si>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</si>
  <si>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</si>
  <si>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</si>
  <si>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</si>
  <si>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</si>
  <si>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</si>
  <si>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</si>
  <si>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</si>
  <si>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</si>
  <si>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</si>
  <si>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</si>
  <si>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</si>
  <si>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</si>
  <si>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</si>
  <si>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</si>
  <si>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</si>
  <si>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</si>
  <si>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</si>
  <si>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</si>
  <si>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</si>
  <si>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</si>
  <si>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</si>
  <si>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</si>
  <si>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</si>
  <si>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</si>
  <si>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</si>
  <si>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</si>
  <si>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</si>
  <si>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</si>
  <si>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</si>
  <si>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</si>
  <si>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</si>
  <si>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</si>
  <si>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</si>
  <si>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</si>
  <si>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</si>
  <si>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</si>
  <si>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</si>
  <si>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</si>
  <si>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</si>
  <si>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</si>
  <si>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</si>
  <si>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</si>
  <si>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</si>
  <si>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</si>
  <si>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</si>
  <si>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</si>
  <si>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</si>
  <si>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TEAAC</t>
  </si>
  <si>
    <t>13, 14</t>
  </si>
  <si>
    <t>Outer Fan: T530</t>
  </si>
  <si>
    <t>Rev 0: First Issue</t>
  </si>
  <si>
    <t>5888 lb-ft</t>
  </si>
  <si>
    <t>M11-125 INS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</si>
  <si>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</si>
  <si>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</si>
  <si>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</si>
  <si>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</si>
  <si>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</si>
  <si>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</si>
  <si>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</si>
  <si>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</si>
  <si>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</si>
  <si>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</si>
  <si>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</si>
  <si>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</si>
  <si>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</si>
  <si>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</si>
  <si>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</si>
  <si>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</si>
  <si>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</si>
  <si>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</si>
  <si>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</si>
  <si>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</si>
  <si>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</si>
  <si>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1860.0 Hz</t>
  </si>
  <si>
    <t>1848.3 Hz</t>
  </si>
  <si>
    <t>1620.0 Hz</t>
  </si>
  <si>
    <t>1608.3 Hz</t>
  </si>
  <si>
    <t>1740.0 Hz</t>
  </si>
  <si>
    <t>1728.3 Hz</t>
  </si>
  <si>
    <t>1283.2 Hz</t>
  </si>
  <si>
    <t>175.3 Hz</t>
  </si>
  <si>
    <t>495.9 Hz</t>
  </si>
  <si>
    <t>950.8 Hz</t>
  </si>
  <si>
    <t>1537.7 Hz</t>
  </si>
  <si>
    <t>2255.8 Hz</t>
  </si>
  <si>
    <t>3104.8 Hz</t>
  </si>
  <si>
    <t>4084.6 Hz</t>
  </si>
  <si>
    <t>5195.2 Hz</t>
  </si>
  <si>
    <t>6436.5 Hz</t>
  </si>
  <si>
    <t>No matching frequencies detected.</t>
  </si>
  <si>
    <t>Limits: BS4M40U</t>
  </si>
  <si>
    <t>6810US</t>
  </si>
  <si>
    <t>Type: TIKE - Form: FCW4 - 4 Pole - 2000 HP - 4000 V - 60 Hz - 6810US - Class F</t>
  </si>
  <si>
    <t>M405TCQL11E-C</t>
  </si>
  <si>
    <t>F &amp; W(Sleeve Brg)</t>
  </si>
  <si>
    <t>LINK:</t>
  </si>
  <si>
    <t>P148750.rat with P148750_TestData_lab1457.dat</t>
  </si>
  <si>
    <t>run BS4M40U.rat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</si>
</sst>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3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  <font>
      <b/>
      <i/>
      <u/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9">
    <xf numFmtId="0" fontId="0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71" fontId="59" fillId="0" borderId="0"/>
    <xf numFmtId="0" fontId="1" fillId="0" borderId="0"/>
    <xf numFmtId="0" fontId="1" fillId="0" borderId="0"/>
    <xf numFmtId="0" fontId="1" fillId="0" borderId="0"/>
  </cellStyleXfs>
  <cellXfs count="678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centerContinuous"/>
    </xf>
    <xf numFmtId="0" fontId="8" fillId="0" borderId="4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1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3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6" fillId="0" borderId="0" xfId="1" applyFont="1"/>
    <xf numFmtId="0" fontId="17" fillId="0" borderId="0" xfId="1" applyFont="1"/>
    <xf numFmtId="0" fontId="19" fillId="2" borderId="0" xfId="1" applyFont="1" applyFill="1" applyAlignment="1">
      <alignment horizontal="right"/>
    </xf>
    <xf numFmtId="0" fontId="20" fillId="2" borderId="0" xfId="1" applyFont="1" applyFill="1"/>
    <xf numFmtId="0" fontId="21" fillId="2" borderId="0" xfId="1" applyFont="1" applyFill="1"/>
    <xf numFmtId="0" fontId="18" fillId="2" borderId="0" xfId="1" applyFont="1" applyFill="1" applyAlignment="1">
      <alignment horizontal="center"/>
    </xf>
    <xf numFmtId="0" fontId="22" fillId="0" borderId="51" xfId="1" applyFont="1" applyBorder="1" applyAlignment="1">
      <alignment horizontal="left" vertical="center"/>
    </xf>
    <xf numFmtId="0" fontId="22" fillId="0" borderId="52" xfId="1" applyFont="1" applyBorder="1" applyAlignment="1">
      <alignment vertical="center"/>
    </xf>
    <xf numFmtId="0" fontId="14" fillId="0" borderId="52" xfId="1" applyBorder="1"/>
    <xf numFmtId="0" fontId="22" fillId="0" borderId="53" xfId="1" applyFont="1" applyBorder="1" applyAlignment="1">
      <alignment horizontal="right" vertical="center"/>
    </xf>
    <xf numFmtId="0" fontId="23" fillId="0" borderId="0" xfId="1" applyFont="1"/>
    <xf numFmtId="0" fontId="24" fillId="0" borderId="51" xfId="1" applyFont="1" applyBorder="1"/>
    <xf numFmtId="0" fontId="23" fillId="0" borderId="53" xfId="1" applyFont="1" applyBorder="1"/>
    <xf numFmtId="0" fontId="24" fillId="0" borderId="53" xfId="1" applyFont="1" applyBorder="1"/>
    <xf numFmtId="0" fontId="25" fillId="0" borderId="0" xfId="1" applyFont="1"/>
    <xf numFmtId="0" fontId="26" fillId="2" borderId="13" xfId="1" applyFont="1" applyFill="1" applyBorder="1" applyAlignment="1">
      <alignment horizontal="center"/>
    </xf>
    <xf numFmtId="0" fontId="26" fillId="2" borderId="54" xfId="1" applyFont="1" applyFill="1" applyBorder="1" applyAlignment="1">
      <alignment horizontal="center"/>
    </xf>
    <xf numFmtId="0" fontId="26" fillId="2" borderId="0" xfId="1" quotePrefix="1" applyFont="1" applyFill="1" applyAlignment="1">
      <alignment horizontal="left"/>
    </xf>
    <xf numFmtId="0" fontId="27" fillId="2" borderId="55" xfId="1" applyFont="1" applyFill="1" applyBorder="1" applyAlignment="1">
      <alignment horizontal="right"/>
    </xf>
    <xf numFmtId="0" fontId="26" fillId="2" borderId="56" xfId="1" applyFont="1" applyFill="1" applyBorder="1" applyAlignment="1">
      <alignment horizontal="center"/>
    </xf>
    <xf numFmtId="0" fontId="26" fillId="2" borderId="21" xfId="1" applyFont="1" applyFill="1" applyBorder="1" applyAlignment="1">
      <alignment horizontal="center"/>
    </xf>
    <xf numFmtId="0" fontId="24" fillId="0" borderId="45" xfId="1" applyFont="1" applyBorder="1"/>
    <xf numFmtId="0" fontId="23" fillId="0" borderId="21" xfId="1" applyFont="1" applyBorder="1"/>
    <xf numFmtId="0" fontId="24" fillId="0" borderId="21" xfId="1" applyFont="1" applyBorder="1"/>
    <xf numFmtId="0" fontId="28" fillId="2" borderId="66" xfId="1" applyFont="1" applyFill="1" applyBorder="1"/>
    <xf numFmtId="0" fontId="28" fillId="2" borderId="67" xfId="1" applyFont="1" applyFill="1" applyBorder="1"/>
    <xf numFmtId="0" fontId="31" fillId="2" borderId="67" xfId="1" applyFont="1" applyFill="1" applyBorder="1"/>
    <xf numFmtId="0" fontId="31" fillId="2" borderId="68" xfId="1" applyFont="1" applyFill="1" applyBorder="1"/>
    <xf numFmtId="166" fontId="30" fillId="2" borderId="63" xfId="1" applyNumberFormat="1" applyFont="1" applyFill="1" applyBorder="1" applyAlignment="1">
      <alignment horizontal="center"/>
    </xf>
    <xf numFmtId="0" fontId="30" fillId="2" borderId="69" xfId="1" applyFont="1" applyFill="1" applyBorder="1" applyAlignment="1">
      <alignment horizontal="center"/>
    </xf>
    <xf numFmtId="0" fontId="28" fillId="2" borderId="70" xfId="1" applyFont="1" applyFill="1" applyBorder="1"/>
    <xf numFmtId="0" fontId="28" fillId="2" borderId="71" xfId="1" applyFont="1" applyFill="1" applyBorder="1"/>
    <xf numFmtId="0" fontId="31" fillId="2" borderId="71" xfId="1" applyFont="1" applyFill="1" applyBorder="1"/>
    <xf numFmtId="0" fontId="31" fillId="2" borderId="72" xfId="1" applyFont="1" applyFill="1" applyBorder="1"/>
    <xf numFmtId="1" fontId="30" fillId="2" borderId="63" xfId="1" applyNumberFormat="1" applyFont="1" applyFill="1" applyBorder="1" applyAlignment="1">
      <alignment horizontal="center"/>
    </xf>
    <xf numFmtId="0" fontId="30" fillId="2" borderId="73" xfId="1" applyFont="1" applyFill="1" applyBorder="1" applyAlignment="1">
      <alignment horizontal="center"/>
    </xf>
    <xf numFmtId="0" fontId="32" fillId="2" borderId="67" xfId="1" applyFont="1" applyFill="1" applyBorder="1"/>
    <xf numFmtId="0" fontId="33" fillId="2" borderId="68" xfId="1" applyFont="1" applyFill="1" applyBorder="1" applyAlignment="1">
      <alignment horizontal="left"/>
    </xf>
    <xf numFmtId="0" fontId="30" fillId="2" borderId="63" xfId="1" applyFont="1" applyFill="1" applyBorder="1" applyAlignment="1">
      <alignment horizontal="center"/>
    </xf>
    <xf numFmtId="0" fontId="24" fillId="0" borderId="46" xfId="1" applyFont="1" applyBorder="1"/>
    <xf numFmtId="0" fontId="24" fillId="0" borderId="24" xfId="1" applyFont="1" applyBorder="1"/>
    <xf numFmtId="0" fontId="28" fillId="2" borderId="75" xfId="1" applyFont="1" applyFill="1" applyBorder="1"/>
    <xf numFmtId="0" fontId="28" fillId="2" borderId="76" xfId="1" applyFont="1" applyFill="1" applyBorder="1"/>
    <xf numFmtId="0" fontId="32" fillId="2" borderId="76" xfId="1" applyFont="1" applyFill="1" applyBorder="1"/>
    <xf numFmtId="0" fontId="30" fillId="2" borderId="77" xfId="1" applyFont="1" applyFill="1" applyBorder="1" applyAlignment="1">
      <alignment horizontal="center"/>
    </xf>
    <xf numFmtId="0" fontId="30" fillId="2" borderId="78" xfId="1" applyFont="1" applyFill="1" applyBorder="1" applyAlignment="1">
      <alignment horizontal="center"/>
    </xf>
    <xf numFmtId="0" fontId="23" fillId="0" borderId="24" xfId="1" applyFont="1" applyBorder="1"/>
    <xf numFmtId="0" fontId="28" fillId="2" borderId="62" xfId="1" quotePrefix="1" applyFont="1" applyFill="1" applyBorder="1" applyAlignment="1">
      <alignment horizontal="left"/>
    </xf>
    <xf numFmtId="0" fontId="25" fillId="0" borderId="68" xfId="1" applyFont="1" applyBorder="1"/>
    <xf numFmtId="0" fontId="28" fillId="2" borderId="82" xfId="1" quotePrefix="1" applyFont="1" applyFill="1" applyBorder="1" applyAlignment="1">
      <alignment horizontal="left"/>
    </xf>
    <xf numFmtId="0" fontId="28" fillId="2" borderId="58" xfId="1" applyFont="1" applyFill="1" applyBorder="1"/>
    <xf numFmtId="0" fontId="31" fillId="2" borderId="58" xfId="1" applyFont="1" applyFill="1" applyBorder="1"/>
    <xf numFmtId="0" fontId="35" fillId="2" borderId="58" xfId="1" applyFont="1" applyFill="1" applyBorder="1" applyAlignment="1">
      <alignment horizontal="right"/>
    </xf>
    <xf numFmtId="49" fontId="30" fillId="2" borderId="58" xfId="1" applyNumberFormat="1" applyFont="1" applyFill="1" applyBorder="1" applyAlignment="1">
      <alignment horizontal="center"/>
    </xf>
    <xf numFmtId="0" fontId="30" fillId="2" borderId="83" xfId="1" applyFont="1" applyFill="1" applyBorder="1" applyAlignment="1">
      <alignment horizontal="center"/>
    </xf>
    <xf numFmtId="0" fontId="28" fillId="2" borderId="63" xfId="1" applyFont="1" applyFill="1" applyBorder="1"/>
    <xf numFmtId="0" fontId="31" fillId="2" borderId="63" xfId="1" applyFont="1" applyFill="1" applyBorder="1"/>
    <xf numFmtId="0" fontId="28" fillId="2" borderId="84" xfId="1" quotePrefix="1" applyFont="1" applyFill="1" applyBorder="1" applyAlignment="1">
      <alignment horizontal="left"/>
    </xf>
    <xf numFmtId="0" fontId="28" fillId="2" borderId="77" xfId="1" applyFont="1" applyFill="1" applyBorder="1"/>
    <xf numFmtId="0" fontId="31" fillId="2" borderId="77" xfId="1" applyFont="1" applyFill="1" applyBorder="1"/>
    <xf numFmtId="0" fontId="28" fillId="2" borderId="62" xfId="1" applyFont="1" applyFill="1" applyBorder="1" applyAlignment="1">
      <alignment horizontal="left"/>
    </xf>
    <xf numFmtId="0" fontId="23" fillId="2" borderId="85" xfId="1" applyFont="1" applyFill="1" applyBorder="1"/>
    <xf numFmtId="0" fontId="23" fillId="2" borderId="68" xfId="1" applyFont="1" applyFill="1" applyBorder="1"/>
    <xf numFmtId="0" fontId="28" fillId="2" borderId="62" xfId="1" applyFont="1" applyFill="1" applyBorder="1"/>
    <xf numFmtId="0" fontId="23" fillId="2" borderId="67" xfId="1" applyFont="1" applyFill="1" applyBorder="1"/>
    <xf numFmtId="0" fontId="28" fillId="2" borderId="85" xfId="1" applyFont="1" applyFill="1" applyBorder="1"/>
    <xf numFmtId="0" fontId="35" fillId="2" borderId="68" xfId="1" applyFont="1" applyFill="1" applyBorder="1" applyAlignment="1">
      <alignment horizontal="right"/>
    </xf>
    <xf numFmtId="0" fontId="28" fillId="2" borderId="57" xfId="1" quotePrefix="1" applyFont="1" applyFill="1" applyBorder="1" applyAlignment="1">
      <alignment horizontal="left"/>
    </xf>
    <xf numFmtId="0" fontId="25" fillId="0" borderId="92" xfId="1" applyFont="1" applyBorder="1"/>
    <xf numFmtId="0" fontId="28" fillId="2" borderId="85" xfId="1" quotePrefix="1" applyFont="1" applyFill="1" applyBorder="1" applyAlignment="1">
      <alignment horizontal="left"/>
    </xf>
    <xf numFmtId="0" fontId="23" fillId="2" borderId="63" xfId="1" applyFont="1" applyFill="1" applyBorder="1"/>
    <xf numFmtId="0" fontId="28" fillId="2" borderId="93" xfId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center"/>
    </xf>
    <xf numFmtId="0" fontId="23" fillId="2" borderId="68" xfId="1" quotePrefix="1" applyFont="1" applyFill="1" applyBorder="1" applyAlignment="1">
      <alignment horizontal="center"/>
    </xf>
    <xf numFmtId="0" fontId="28" fillId="2" borderId="94" xfId="1" applyFont="1" applyFill="1" applyBorder="1"/>
    <xf numFmtId="0" fontId="25" fillId="0" borderId="95" xfId="1" applyFont="1" applyBorder="1"/>
    <xf numFmtId="0" fontId="30" fillId="0" borderId="95" xfId="1" applyFont="1" applyBorder="1" applyAlignment="1">
      <alignment horizontal="center"/>
    </xf>
    <xf numFmtId="0" fontId="30" fillId="0" borderId="96" xfId="1" applyFont="1" applyBorder="1" applyAlignment="1">
      <alignment horizontal="center"/>
    </xf>
    <xf numFmtId="0" fontId="28" fillId="2" borderId="97" xfId="1" applyFont="1" applyFill="1" applyBorder="1" applyAlignment="1">
      <alignment horizontal="center"/>
    </xf>
    <xf numFmtId="0" fontId="28" fillId="2" borderId="76" xfId="1" quotePrefix="1" applyFont="1" applyFill="1" applyBorder="1" applyAlignment="1">
      <alignment horizontal="center"/>
    </xf>
    <xf numFmtId="0" fontId="23" fillId="2" borderId="98" xfId="1" quotePrefix="1" applyFont="1" applyFill="1" applyBorder="1" applyAlignment="1">
      <alignment horizontal="center"/>
    </xf>
    <xf numFmtId="0" fontId="30" fillId="0" borderId="68" xfId="1" applyFont="1" applyBorder="1" applyAlignment="1">
      <alignment horizontal="center"/>
    </xf>
    <xf numFmtId="0" fontId="30" fillId="0" borderId="73" xfId="1" applyFont="1" applyBorder="1" applyAlignment="1">
      <alignment horizontal="center"/>
    </xf>
    <xf numFmtId="0" fontId="30" fillId="0" borderId="46" xfId="1" applyFont="1" applyBorder="1"/>
    <xf numFmtId="0" fontId="36" fillId="0" borderId="24" xfId="1" applyFont="1" applyBorder="1"/>
    <xf numFmtId="0" fontId="19" fillId="0" borderId="101" xfId="1" applyFont="1" applyBorder="1" applyAlignment="1">
      <alignment horizontal="left"/>
    </xf>
    <xf numFmtId="0" fontId="19" fillId="0" borderId="61" xfId="1" applyFont="1" applyBorder="1" applyAlignment="1">
      <alignment horizontal="left"/>
    </xf>
    <xf numFmtId="0" fontId="38" fillId="2" borderId="102" xfId="1" applyFont="1" applyFill="1" applyBorder="1" applyAlignment="1">
      <alignment horizontal="center"/>
    </xf>
    <xf numFmtId="166" fontId="30" fillId="0" borderId="68" xfId="1" applyNumberFormat="1" applyFont="1" applyBorder="1" applyAlignment="1">
      <alignment horizontal="center"/>
    </xf>
    <xf numFmtId="0" fontId="28" fillId="2" borderId="103" xfId="1" applyFont="1" applyFill="1" applyBorder="1" applyAlignment="1">
      <alignment horizontal="left"/>
    </xf>
    <xf numFmtId="0" fontId="23" fillId="2" borderId="104" xfId="1" applyFont="1" applyFill="1" applyBorder="1"/>
    <xf numFmtId="0" fontId="23" fillId="2" borderId="105" xfId="1" applyFont="1" applyFill="1" applyBorder="1"/>
    <xf numFmtId="0" fontId="30" fillId="2" borderId="106" xfId="1" applyFont="1" applyFill="1" applyBorder="1" applyAlignment="1">
      <alignment horizontal="center"/>
    </xf>
    <xf numFmtId="0" fontId="25" fillId="0" borderId="77" xfId="1" applyFont="1" applyBorder="1"/>
    <xf numFmtId="0" fontId="25" fillId="0" borderId="78" xfId="1" applyFont="1" applyBorder="1"/>
    <xf numFmtId="0" fontId="25" fillId="0" borderId="86" xfId="1" applyFont="1" applyBorder="1"/>
    <xf numFmtId="0" fontId="28" fillId="2" borderId="95" xfId="1" applyFont="1" applyFill="1" applyBorder="1"/>
    <xf numFmtId="0" fontId="35" fillId="2" borderId="63" xfId="1" applyFont="1" applyFill="1" applyBorder="1" applyAlignment="1">
      <alignment horizontal="right" shrinkToFit="1"/>
    </xf>
    <xf numFmtId="1" fontId="30" fillId="2" borderId="69" xfId="1" quotePrefix="1" applyNumberFormat="1" applyFont="1" applyFill="1" applyBorder="1" applyAlignment="1">
      <alignment horizontal="center"/>
    </xf>
    <xf numFmtId="2" fontId="25" fillId="0" borderId="0" xfId="1" applyNumberFormat="1" applyFont="1"/>
    <xf numFmtId="0" fontId="28" fillId="2" borderId="82" xfId="1" applyFont="1" applyFill="1" applyBorder="1"/>
    <xf numFmtId="0" fontId="28" fillId="2" borderId="55" xfId="1" applyFont="1" applyFill="1" applyBorder="1"/>
    <xf numFmtId="0" fontId="35" fillId="2" borderId="63" xfId="1" applyFont="1" applyFill="1" applyBorder="1" applyAlignment="1">
      <alignment horizontal="right"/>
    </xf>
    <xf numFmtId="2" fontId="30" fillId="2" borderId="69" xfId="1" quotePrefix="1" applyNumberFormat="1" applyFont="1" applyFill="1" applyBorder="1" applyAlignment="1">
      <alignment horizontal="center"/>
    </xf>
    <xf numFmtId="0" fontId="30" fillId="2" borderId="69" xfId="1" quotePrefix="1" applyFont="1" applyFill="1" applyBorder="1" applyAlignment="1">
      <alignment horizontal="center"/>
    </xf>
    <xf numFmtId="2" fontId="30" fillId="2" borderId="63" xfId="1" applyNumberFormat="1" applyFont="1" applyFill="1" applyBorder="1" applyAlignment="1">
      <alignment horizontal="center"/>
    </xf>
    <xf numFmtId="0" fontId="35" fillId="2" borderId="55" xfId="1" applyFont="1" applyFill="1" applyBorder="1" applyAlignment="1">
      <alignment horizontal="right"/>
    </xf>
    <xf numFmtId="0" fontId="35" fillId="2" borderId="63" xfId="1" applyFont="1" applyFill="1" applyBorder="1"/>
    <xf numFmtId="0" fontId="39" fillId="0" borderId="0" xfId="1" applyFont="1"/>
    <xf numFmtId="0" fontId="28" fillId="2" borderId="109" xfId="1" applyFont="1" applyFill="1" applyBorder="1"/>
    <xf numFmtId="0" fontId="28" fillId="2" borderId="110" xfId="1" applyFont="1" applyFill="1" applyBorder="1"/>
    <xf numFmtId="0" fontId="28" fillId="2" borderId="111" xfId="1" applyFont="1" applyFill="1" applyBorder="1"/>
    <xf numFmtId="0" fontId="35" fillId="2" borderId="111" xfId="1" applyFont="1" applyFill="1" applyBorder="1"/>
    <xf numFmtId="166" fontId="30" fillId="2" borderId="111" xfId="1" applyNumberFormat="1" applyFont="1" applyFill="1" applyBorder="1" applyAlignment="1">
      <alignment horizontal="center"/>
    </xf>
    <xf numFmtId="0" fontId="30" fillId="2" borderId="112" xfId="1" quotePrefix="1" applyFont="1" applyFill="1" applyBorder="1" applyAlignment="1">
      <alignment horizontal="center"/>
    </xf>
    <xf numFmtId="0" fontId="28" fillId="2" borderId="72" xfId="1" applyFont="1" applyFill="1" applyBorder="1"/>
    <xf numFmtId="0" fontId="28" fillId="2" borderId="102" xfId="1" applyFont="1" applyFill="1" applyBorder="1" applyAlignment="1">
      <alignment horizontal="left"/>
    </xf>
    <xf numFmtId="0" fontId="28" fillId="2" borderId="72" xfId="1" applyFont="1" applyFill="1" applyBorder="1" applyAlignment="1">
      <alignment horizontal="left"/>
    </xf>
    <xf numFmtId="1" fontId="30" fillId="2" borderId="58" xfId="1" applyNumberFormat="1" applyFont="1" applyFill="1" applyBorder="1" applyAlignment="1">
      <alignment horizontal="center"/>
    </xf>
    <xf numFmtId="0" fontId="30" fillId="2" borderId="113" xfId="1" applyFont="1" applyFill="1" applyBorder="1" applyAlignment="1">
      <alignment horizontal="center"/>
    </xf>
    <xf numFmtId="0" fontId="40" fillId="0" borderId="0" xfId="1" applyFont="1" applyAlignment="1">
      <alignment horizontal="right"/>
    </xf>
    <xf numFmtId="2" fontId="25" fillId="0" borderId="0" xfId="2" applyNumberFormat="1" applyFont="1"/>
    <xf numFmtId="0" fontId="28" fillId="2" borderId="0" xfId="1" applyFont="1" applyFill="1"/>
    <xf numFmtId="0" fontId="28" fillId="2" borderId="85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25" fillId="0" borderId="0" xfId="1" applyFont="1" applyAlignment="1">
      <alignment horizontal="right"/>
    </xf>
    <xf numFmtId="0" fontId="28" fillId="2" borderId="40" xfId="1" applyFont="1" applyFill="1" applyBorder="1"/>
    <xf numFmtId="0" fontId="28" fillId="2" borderId="106" xfId="1" applyFont="1" applyFill="1" applyBorder="1" applyAlignment="1">
      <alignment horizontal="left"/>
    </xf>
    <xf numFmtId="0" fontId="28" fillId="2" borderId="98" xfId="1" applyFont="1" applyFill="1" applyBorder="1" applyAlignment="1">
      <alignment horizontal="left"/>
    </xf>
    <xf numFmtId="1" fontId="30" fillId="2" borderId="77" xfId="1" applyNumberFormat="1" applyFont="1" applyFill="1" applyBorder="1" applyAlignment="1">
      <alignment horizontal="center"/>
    </xf>
    <xf numFmtId="0" fontId="30" fillId="2" borderId="114" xfId="1" applyFont="1" applyFill="1" applyBorder="1" applyAlignment="1">
      <alignment horizontal="center"/>
    </xf>
    <xf numFmtId="0" fontId="19" fillId="2" borderId="79" xfId="1" applyFont="1" applyFill="1" applyBorder="1" applyAlignment="1">
      <alignment horizontal="left"/>
    </xf>
    <xf numFmtId="0" fontId="19" fillId="2" borderId="80" xfId="1" applyFont="1" applyFill="1" applyBorder="1" applyAlignment="1">
      <alignment horizontal="left"/>
    </xf>
    <xf numFmtId="0" fontId="19" fillId="2" borderId="81" xfId="1" applyFont="1" applyFill="1" applyBorder="1" applyAlignment="1">
      <alignment horizontal="left"/>
    </xf>
    <xf numFmtId="0" fontId="21" fillId="2" borderId="82" xfId="1" applyFont="1" applyFill="1" applyBorder="1"/>
    <xf numFmtId="0" fontId="25" fillId="2" borderId="71" xfId="1" applyFont="1" applyFill="1" applyBorder="1" applyAlignment="1">
      <alignment horizontal="left"/>
    </xf>
    <xf numFmtId="0" fontId="25" fillId="2" borderId="83" xfId="1" applyFont="1" applyFill="1" applyBorder="1" applyAlignment="1">
      <alignment horizontal="left"/>
    </xf>
    <xf numFmtId="0" fontId="21" fillId="2" borderId="67" xfId="1" applyFont="1" applyFill="1" applyBorder="1" applyAlignment="1">
      <alignment horizontal="left"/>
    </xf>
    <xf numFmtId="0" fontId="21" fillId="2" borderId="73" xfId="1" applyFont="1" applyFill="1" applyBorder="1" applyAlignment="1">
      <alignment horizontal="left"/>
    </xf>
    <xf numFmtId="0" fontId="41" fillId="0" borderId="0" xfId="1" applyFont="1"/>
    <xf numFmtId="0" fontId="28" fillId="0" borderId="115" xfId="1" applyFont="1" applyBorder="1"/>
    <xf numFmtId="0" fontId="28" fillId="2" borderId="118" xfId="1" applyFont="1" applyFill="1" applyBorder="1"/>
    <xf numFmtId="0" fontId="42" fillId="2" borderId="119" xfId="1" applyFont="1" applyFill="1" applyBorder="1" applyAlignment="1">
      <alignment horizontal="center" shrinkToFit="1"/>
    </xf>
    <xf numFmtId="0" fontId="21" fillId="2" borderId="45" xfId="1" applyFont="1" applyFill="1" applyBorder="1"/>
    <xf numFmtId="0" fontId="28" fillId="2" borderId="120" xfId="1" applyFont="1" applyFill="1" applyBorder="1"/>
    <xf numFmtId="0" fontId="28" fillId="2" borderId="23" xfId="1" applyFont="1" applyFill="1" applyBorder="1"/>
    <xf numFmtId="14" fontId="23" fillId="2" borderId="123" xfId="1" applyNumberFormat="1" applyFont="1" applyFill="1" applyBorder="1" applyAlignment="1">
      <alignment horizontal="center"/>
    </xf>
    <xf numFmtId="0" fontId="21" fillId="0" borderId="23" xfId="1" applyFont="1" applyBorder="1"/>
    <xf numFmtId="0" fontId="21" fillId="2" borderId="124" xfId="1" applyFont="1" applyFill="1" applyBorder="1" applyAlignment="1">
      <alignment horizontal="left"/>
    </xf>
    <xf numFmtId="0" fontId="21" fillId="2" borderId="125" xfId="1" applyFont="1" applyFill="1" applyBorder="1" applyAlignment="1">
      <alignment horizontal="left"/>
    </xf>
    <xf numFmtId="0" fontId="21" fillId="0" borderId="0" xfId="1" applyFont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5" fillId="0" borderId="41" xfId="3" applyFont="1" applyBorder="1" applyAlignment="1">
      <alignment horizontal="center"/>
    </xf>
    <xf numFmtId="0" fontId="1" fillId="0" borderId="0" xfId="3"/>
    <xf numFmtId="0" fontId="46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5" fillId="0" borderId="126" xfId="3" applyFon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Alignment="1">
      <alignment horizontal="center"/>
    </xf>
    <xf numFmtId="0" fontId="1" fillId="0" borderId="45" xfId="3" applyBorder="1"/>
    <xf numFmtId="0" fontId="47" fillId="0" borderId="0" xfId="3" applyFont="1"/>
    <xf numFmtId="0" fontId="1" fillId="0" borderId="126" xfId="3" applyBorder="1"/>
    <xf numFmtId="0" fontId="45" fillId="0" borderId="0" xfId="3" applyFont="1"/>
    <xf numFmtId="0" fontId="45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5" fillId="0" borderId="1" xfId="3" applyNumberFormat="1" applyFont="1" applyBorder="1"/>
    <xf numFmtId="170" fontId="45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5" fillId="0" borderId="128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49" fontId="45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0" fontId="1" fillId="0" borderId="0" xfId="4"/>
    <xf numFmtId="0" fontId="48" fillId="0" borderId="0" xfId="4" applyFont="1"/>
    <xf numFmtId="0" fontId="50" fillId="0" borderId="20" xfId="4" applyFont="1" applyBorder="1" applyAlignment="1">
      <alignment horizontal="right"/>
    </xf>
    <xf numFmtId="0" fontId="50" fillId="0" borderId="47" xfId="4" applyFont="1" applyBorder="1" applyAlignment="1">
      <alignment horizontal="right"/>
    </xf>
    <xf numFmtId="0" fontId="50" fillId="0" borderId="101" xfId="4" applyFont="1" applyBorder="1" applyAlignment="1">
      <alignment horizontal="center"/>
    </xf>
    <xf numFmtId="0" fontId="22" fillId="0" borderId="38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22" fillId="0" borderId="38" xfId="4" applyFont="1" applyBorder="1"/>
    <xf numFmtId="0" fontId="1" fillId="0" borderId="46" xfId="4" applyBorder="1"/>
    <xf numFmtId="0" fontId="22" fillId="0" borderId="48" xfId="4" applyFont="1" applyBorder="1" applyAlignment="1">
      <alignment horizontal="center"/>
    </xf>
    <xf numFmtId="0" fontId="48" fillId="0" borderId="134" xfId="4" applyFont="1" applyBorder="1" applyAlignment="1">
      <alignment horizontal="center"/>
    </xf>
    <xf numFmtId="0" fontId="22" fillId="0" borderId="48" xfId="4" applyFont="1" applyBorder="1"/>
    <xf numFmtId="0" fontId="50" fillId="0" borderId="101" xfId="4" applyFont="1" applyBorder="1" applyAlignment="1">
      <alignment horizontal="right"/>
    </xf>
    <xf numFmtId="0" fontId="22" fillId="0" borderId="27" xfId="4" applyFont="1" applyBorder="1" applyAlignment="1">
      <alignment horizontal="center"/>
    </xf>
    <xf numFmtId="0" fontId="50" fillId="0" borderId="46" xfId="4" applyFont="1" applyBorder="1" applyAlignment="1">
      <alignment horizontal="right"/>
    </xf>
    <xf numFmtId="0" fontId="22" fillId="0" borderId="24" xfId="4" applyFont="1" applyBorder="1" applyAlignment="1">
      <alignment horizontal="center"/>
    </xf>
    <xf numFmtId="0" fontId="22" fillId="0" borderId="32" xfId="4" applyFont="1" applyBorder="1" applyAlignment="1">
      <alignment horizontal="center"/>
    </xf>
    <xf numFmtId="0" fontId="48" fillId="0" borderId="0" xfId="4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51" fillId="0" borderId="60" xfId="4" applyFont="1" applyBorder="1"/>
    <xf numFmtId="0" fontId="51" fillId="0" borderId="61" xfId="4" applyFont="1" applyBorder="1"/>
    <xf numFmtId="0" fontId="51" fillId="0" borderId="38" xfId="4" applyFont="1" applyBorder="1"/>
    <xf numFmtId="0" fontId="52" fillId="0" borderId="82" xfId="4" applyFont="1" applyBorder="1" applyAlignment="1">
      <alignment horizontal="centerContinuous"/>
    </xf>
    <xf numFmtId="0" fontId="51" fillId="0" borderId="0" xfId="4" applyFont="1" applyAlignment="1">
      <alignment horizontal="centerContinuous"/>
    </xf>
    <xf numFmtId="0" fontId="51" fillId="0" borderId="107" xfId="4" applyFont="1" applyBorder="1" applyAlignment="1">
      <alignment horizontal="centerContinuous"/>
    </xf>
    <xf numFmtId="0" fontId="53" fillId="0" borderId="82" xfId="4" applyFont="1" applyBorder="1" applyAlignment="1">
      <alignment horizontal="centerContinuous"/>
    </xf>
    <xf numFmtId="0" fontId="51" fillId="0" borderId="82" xfId="4" applyFont="1" applyBorder="1"/>
    <xf numFmtId="0" fontId="51" fillId="0" borderId="0" xfId="4" applyFont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Alignment="1">
      <alignment horizontal="right"/>
    </xf>
    <xf numFmtId="0" fontId="51" fillId="0" borderId="0" xfId="4" applyFont="1" applyAlignment="1">
      <alignment horizontal="center"/>
    </xf>
    <xf numFmtId="9" fontId="51" fillId="0" borderId="0" xfId="4" applyNumberFormat="1" applyFont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66" fontId="3" fillId="0" borderId="0" xfId="4" quotePrefix="1" applyNumberFormat="1" applyFont="1" applyAlignment="1">
      <alignment horizontal="center"/>
    </xf>
    <xf numFmtId="166" fontId="2" fillId="0" borderId="0" xfId="4" applyNumberFormat="1" applyFont="1" applyAlignment="1">
      <alignment horizontal="center"/>
    </xf>
    <xf numFmtId="166" fontId="3" fillId="0" borderId="0" xfId="4" applyNumberFormat="1" applyFont="1" applyAlignment="1">
      <alignment horizontal="center"/>
    </xf>
    <xf numFmtId="166" fontId="3" fillId="0" borderId="0" xfId="0" quotePrefix="1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6" fontId="2" fillId="0" borderId="134" xfId="0" applyNumberFormat="1" applyFont="1" applyBorder="1" applyAlignment="1">
      <alignment horizontal="center"/>
    </xf>
    <xf numFmtId="2" fontId="4" fillId="0" borderId="40" xfId="0" applyNumberFormat="1" applyFont="1" applyBorder="1" applyAlignment="1">
      <alignment horizontal="left"/>
    </xf>
    <xf numFmtId="166" fontId="13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centerContinuous"/>
    </xf>
    <xf numFmtId="166" fontId="2" fillId="0" borderId="23" xfId="0" applyNumberFormat="1" applyFont="1" applyBorder="1" applyAlignment="1">
      <alignment horizontal="centerContinuous"/>
    </xf>
    <xf numFmtId="0" fontId="6" fillId="0" borderId="0" xfId="4" applyFont="1" applyAlignment="1">
      <alignment horizontal="right"/>
    </xf>
    <xf numFmtId="0" fontId="15" fillId="0" borderId="0" xfId="4" applyFont="1"/>
    <xf numFmtId="0" fontId="54" fillId="0" borderId="26" xfId="4" applyFont="1" applyBorder="1" applyAlignment="1">
      <alignment horizontal="center"/>
    </xf>
    <xf numFmtId="0" fontId="54" fillId="0" borderId="28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54" fillId="0" borderId="1" xfId="4" applyFont="1" applyBorder="1" applyAlignment="1">
      <alignment horizontal="right"/>
    </xf>
    <xf numFmtId="0" fontId="54" fillId="0" borderId="1" xfId="4" applyFont="1" applyBorder="1" applyAlignment="1">
      <alignment horizontal="center"/>
    </xf>
    <xf numFmtId="0" fontId="48" fillId="0" borderId="130" xfId="4" applyFont="1" applyBorder="1" applyAlignment="1">
      <alignment horizontal="center"/>
    </xf>
    <xf numFmtId="0" fontId="48" fillId="0" borderId="131" xfId="4" quotePrefix="1" applyFont="1" applyBorder="1" applyAlignment="1">
      <alignment horizontal="center"/>
    </xf>
    <xf numFmtId="0" fontId="48" fillId="0" borderId="131" xfId="4" applyFont="1" applyBorder="1" applyAlignment="1">
      <alignment horizontal="center"/>
    </xf>
    <xf numFmtId="0" fontId="54" fillId="0" borderId="0" xfId="4" applyFont="1" applyAlignment="1">
      <alignment horizontal="right"/>
    </xf>
    <xf numFmtId="0" fontId="56" fillId="0" borderId="0" xfId="4" applyFont="1"/>
    <xf numFmtId="0" fontId="57" fillId="0" borderId="0" xfId="4" applyFont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58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3" fillId="0" borderId="136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7" xfId="4" applyNumberFormat="1" applyFont="1" applyBorder="1" applyAlignment="1">
      <alignment horizontal="center"/>
    </xf>
    <xf numFmtId="166" fontId="3" fillId="0" borderId="138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3" fillId="0" borderId="25" xfId="4" quotePrefix="1" applyNumberFormat="1" applyFont="1" applyBorder="1" applyAlignment="1">
      <alignment horizontal="center"/>
    </xf>
    <xf numFmtId="166" fontId="2" fillId="0" borderId="133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71" fontId="60" fillId="0" borderId="6" xfId="5" applyFont="1" applyBorder="1" applyAlignment="1">
      <alignment horizontal="centerContinuous"/>
    </xf>
    <xf numFmtId="171" fontId="60" fillId="0" borderId="7" xfId="5" applyFont="1" applyBorder="1" applyAlignment="1">
      <alignment horizontal="centerContinuous"/>
    </xf>
    <xf numFmtId="171" fontId="61" fillId="0" borderId="12" xfId="5" applyFont="1" applyBorder="1" applyAlignment="1">
      <alignment horizontal="left"/>
    </xf>
    <xf numFmtId="171" fontId="62" fillId="0" borderId="54" xfId="5" applyFont="1" applyBorder="1"/>
    <xf numFmtId="171" fontId="61" fillId="0" borderId="13" xfId="5" applyFont="1" applyBorder="1" applyAlignment="1">
      <alignment horizontal="centerContinuous"/>
    </xf>
    <xf numFmtId="171" fontId="62" fillId="0" borderId="14" xfId="5" applyFont="1" applyBorder="1" applyAlignment="1">
      <alignment horizontal="centerContinuous"/>
    </xf>
    <xf numFmtId="171" fontId="63" fillId="0" borderId="0" xfId="5" applyFont="1"/>
    <xf numFmtId="171" fontId="59" fillId="0" borderId="0" xfId="5"/>
    <xf numFmtId="171" fontId="60" fillId="0" borderId="45" xfId="5" applyFont="1" applyBorder="1" applyAlignment="1">
      <alignment horizontal="centerContinuous"/>
    </xf>
    <xf numFmtId="171" fontId="60" fillId="0" borderId="0" xfId="5" applyFont="1" applyAlignment="1">
      <alignment horizontal="centerContinuous"/>
    </xf>
    <xf numFmtId="171" fontId="61" fillId="0" borderId="108" xfId="5" applyFont="1" applyBorder="1" applyAlignment="1">
      <alignment horizontal="left"/>
    </xf>
    <xf numFmtId="171" fontId="62" fillId="0" borderId="39" xfId="5" applyFont="1" applyBorder="1"/>
    <xf numFmtId="171" fontId="61" fillId="0" borderId="40" xfId="5" applyFont="1" applyBorder="1" applyAlignment="1">
      <alignment horizontal="centerContinuous"/>
    </xf>
    <xf numFmtId="171" fontId="62" fillId="0" borderId="29" xfId="5" applyFont="1" applyBorder="1" applyAlignment="1">
      <alignment horizontal="centerContinuous"/>
    </xf>
    <xf numFmtId="171" fontId="62" fillId="0" borderId="45" xfId="5" applyFont="1" applyBorder="1" applyAlignment="1">
      <alignment horizontal="centerContinuous"/>
    </xf>
    <xf numFmtId="171" fontId="62" fillId="0" borderId="0" xfId="5" applyFont="1" applyAlignment="1">
      <alignment horizontal="centerContinuous"/>
    </xf>
    <xf numFmtId="171" fontId="61" fillId="0" borderId="40" xfId="5" quotePrefix="1" applyFont="1" applyBorder="1" applyAlignment="1">
      <alignment horizontal="centerContinuous"/>
    </xf>
    <xf numFmtId="171" fontId="64" fillId="0" borderId="45" xfId="5" applyFont="1" applyBorder="1" applyAlignment="1">
      <alignment horizontal="centerContinuous"/>
    </xf>
    <xf numFmtId="171" fontId="63" fillId="0" borderId="45" xfId="5" applyFont="1" applyBorder="1" applyAlignment="1">
      <alignment horizontal="centerContinuous"/>
    </xf>
    <xf numFmtId="171" fontId="63" fillId="0" borderId="46" xfId="5" applyFont="1" applyBorder="1" applyAlignment="1">
      <alignment horizontal="centerContinuous"/>
    </xf>
    <xf numFmtId="171" fontId="62" fillId="0" borderId="23" xfId="5" applyFont="1" applyBorder="1" applyAlignment="1">
      <alignment horizontal="centerContinuous"/>
    </xf>
    <xf numFmtId="171" fontId="61" fillId="0" borderId="46" xfId="5" applyFont="1" applyBorder="1" applyAlignment="1">
      <alignment horizontal="left"/>
    </xf>
    <xf numFmtId="171" fontId="62" fillId="0" borderId="48" xfId="5" applyFont="1" applyBorder="1"/>
    <xf numFmtId="171" fontId="65" fillId="0" borderId="23" xfId="5" applyFont="1" applyBorder="1" applyAlignment="1">
      <alignment horizontal="centerContinuous"/>
    </xf>
    <xf numFmtId="171" fontId="62" fillId="0" borderId="24" xfId="5" applyFont="1" applyBorder="1" applyAlignment="1">
      <alignment horizontal="centerContinuous"/>
    </xf>
    <xf numFmtId="171" fontId="63" fillId="0" borderId="0" xfId="5" applyFont="1" applyAlignment="1">
      <alignment horizontal="centerContinuous"/>
    </xf>
    <xf numFmtId="171" fontId="61" fillId="0" borderId="0" xfId="5" applyFont="1" applyAlignment="1">
      <alignment horizontal="left"/>
    </xf>
    <xf numFmtId="171" fontId="62" fillId="0" borderId="0" xfId="5" applyFont="1"/>
    <xf numFmtId="171" fontId="61" fillId="0" borderId="0" xfId="5" applyFont="1" applyAlignment="1">
      <alignment horizontal="centerContinuous"/>
    </xf>
    <xf numFmtId="171" fontId="66" fillId="0" borderId="0" xfId="5" applyFont="1"/>
    <xf numFmtId="171" fontId="66" fillId="0" borderId="0" xfId="5" applyFont="1" applyAlignment="1">
      <alignment horizontal="right"/>
    </xf>
    <xf numFmtId="171" fontId="66" fillId="0" borderId="0" xfId="5" applyFont="1" applyAlignment="1" applyProtection="1">
      <alignment horizontal="left"/>
      <protection locked="0"/>
    </xf>
    <xf numFmtId="171" fontId="66" fillId="0" borderId="0" xfId="5" applyFont="1" applyAlignment="1">
      <alignment horizontal="centerContinuous"/>
    </xf>
    <xf numFmtId="171" fontId="66" fillId="0" borderId="0" xfId="5" applyFont="1" applyAlignment="1">
      <alignment horizontal="left"/>
    </xf>
    <xf numFmtId="171" fontId="66" fillId="0" borderId="0" xfId="5" quotePrefix="1" applyFont="1" applyAlignment="1" applyProtection="1">
      <alignment horizontal="left"/>
      <protection locked="0"/>
    </xf>
    <xf numFmtId="171" fontId="67" fillId="0" borderId="139" xfId="5" applyFont="1" applyBorder="1" applyAlignment="1">
      <alignment horizontal="centerContinuous"/>
    </xf>
    <xf numFmtId="171" fontId="63" fillId="0" borderId="140" xfId="5" applyFont="1" applyBorder="1" applyAlignment="1">
      <alignment horizontal="centerContinuous"/>
    </xf>
    <xf numFmtId="171" fontId="63" fillId="0" borderId="141" xfId="5" applyFont="1" applyBorder="1" applyAlignment="1">
      <alignment horizontal="centerContinuous"/>
    </xf>
    <xf numFmtId="171" fontId="66" fillId="0" borderId="45" xfId="5" applyFont="1" applyBorder="1"/>
    <xf numFmtId="171" fontId="66" fillId="0" borderId="0" xfId="5" applyFont="1" applyAlignment="1" applyProtection="1">
      <alignment horizontal="center"/>
      <protection locked="0"/>
    </xf>
    <xf numFmtId="171" fontId="66" fillId="0" borderId="21" xfId="5" applyFont="1" applyBorder="1" applyAlignment="1" applyProtection="1">
      <alignment horizontal="center"/>
      <protection locked="0"/>
    </xf>
    <xf numFmtId="171" fontId="61" fillId="0" borderId="0" xfId="5" applyFont="1" applyAlignment="1">
      <alignment horizontal="right"/>
    </xf>
    <xf numFmtId="171" fontId="66" fillId="0" borderId="0" xfId="5" quotePrefix="1" applyFont="1" applyAlignment="1">
      <alignment horizontal="right"/>
    </xf>
    <xf numFmtId="171" fontId="66" fillId="0" borderId="0" xfId="5" quotePrefix="1" applyFont="1" applyAlignment="1" applyProtection="1">
      <alignment horizontal="center"/>
      <protection locked="0"/>
    </xf>
    <xf numFmtId="171" fontId="66" fillId="0" borderId="0" xfId="5" applyFont="1" applyAlignment="1">
      <alignment horizontal="center"/>
    </xf>
    <xf numFmtId="171" fontId="66" fillId="0" borderId="21" xfId="5" applyFont="1" applyBorder="1"/>
    <xf numFmtId="171" fontId="66" fillId="0" borderId="46" xfId="5" applyFont="1" applyBorder="1"/>
    <xf numFmtId="171" fontId="66" fillId="0" borderId="23" xfId="5" applyFont="1" applyBorder="1" applyAlignment="1">
      <alignment horizontal="right"/>
    </xf>
    <xf numFmtId="166" fontId="66" fillId="0" borderId="23" xfId="5" quotePrefix="1" applyNumberFormat="1" applyFont="1" applyBorder="1" applyAlignment="1" applyProtection="1">
      <alignment horizontal="center"/>
      <protection locked="0"/>
    </xf>
    <xf numFmtId="171" fontId="66" fillId="0" borderId="23" xfId="5" applyFont="1" applyBorder="1"/>
    <xf numFmtId="166" fontId="66" fillId="0" borderId="23" xfId="5" applyNumberFormat="1" applyFont="1" applyBorder="1"/>
    <xf numFmtId="171" fontId="66" fillId="0" borderId="24" xfId="5" applyFont="1" applyBorder="1"/>
    <xf numFmtId="171" fontId="68" fillId="0" borderId="45" xfId="5" quotePrefix="1" applyFont="1" applyBorder="1" applyAlignment="1">
      <alignment horizontal="left"/>
    </xf>
    <xf numFmtId="171" fontId="62" fillId="0" borderId="0" xfId="5" quotePrefix="1" applyFont="1" applyAlignment="1">
      <alignment horizontal="right"/>
    </xf>
    <xf numFmtId="171" fontId="62" fillId="0" borderId="107" xfId="5" applyFont="1" applyBorder="1"/>
    <xf numFmtId="171" fontId="68" fillId="0" borderId="0" xfId="5" applyFont="1" applyAlignment="1">
      <alignment horizontal="left"/>
    </xf>
    <xf numFmtId="171" fontId="62" fillId="0" borderId="0" xfId="5" applyFont="1" applyAlignment="1">
      <alignment horizontal="right"/>
    </xf>
    <xf numFmtId="171" fontId="62" fillId="0" borderId="107" xfId="5" applyFont="1" applyBorder="1" applyAlignment="1">
      <alignment horizontal="right"/>
    </xf>
    <xf numFmtId="171" fontId="68" fillId="0" borderId="0" xfId="5" quotePrefix="1" applyFont="1" applyAlignment="1">
      <alignment horizontal="left"/>
    </xf>
    <xf numFmtId="171" fontId="62" fillId="0" borderId="21" xfId="5" applyFont="1" applyBorder="1"/>
    <xf numFmtId="171" fontId="59" fillId="0" borderId="45" xfId="5" applyBorder="1"/>
    <xf numFmtId="171" fontId="66" fillId="0" borderId="107" xfId="5" applyFont="1" applyBorder="1" applyAlignment="1" applyProtection="1">
      <alignment horizontal="center"/>
      <protection locked="0"/>
    </xf>
    <xf numFmtId="1" fontId="66" fillId="0" borderId="107" xfId="5" applyNumberFormat="1" applyFont="1" applyBorder="1" applyAlignment="1">
      <alignment horizontal="center"/>
    </xf>
    <xf numFmtId="171" fontId="66" fillId="0" borderId="107" xfId="5" applyFont="1" applyBorder="1"/>
    <xf numFmtId="171" fontId="66" fillId="0" borderId="48" xfId="5" applyFont="1" applyBorder="1"/>
    <xf numFmtId="171" fontId="66" fillId="0" borderId="48" xfId="5" applyFont="1" applyBorder="1" applyAlignment="1">
      <alignment horizontal="left"/>
    </xf>
    <xf numFmtId="171" fontId="67" fillId="0" borderId="142" xfId="5" applyFont="1" applyBorder="1" applyAlignment="1">
      <alignment horizontal="centerContinuous"/>
    </xf>
    <xf numFmtId="171" fontId="63" fillId="0" borderId="143" xfId="5" applyFont="1" applyBorder="1" applyAlignment="1">
      <alignment horizontal="centerContinuous"/>
    </xf>
    <xf numFmtId="171" fontId="59" fillId="0" borderId="144" xfId="5" applyBorder="1"/>
    <xf numFmtId="171" fontId="63" fillId="0" borderId="145" xfId="5" applyFont="1" applyBorder="1" applyAlignment="1">
      <alignment horizontal="centerContinuous"/>
    </xf>
    <xf numFmtId="171" fontId="68" fillId="0" borderId="45" xfId="5" applyFont="1" applyBorder="1" applyAlignment="1">
      <alignment horizontal="left"/>
    </xf>
    <xf numFmtId="171" fontId="59" fillId="0" borderId="107" xfId="5" applyBorder="1"/>
    <xf numFmtId="166" fontId="66" fillId="0" borderId="0" xfId="5" applyNumberFormat="1" applyFont="1" applyAlignment="1" applyProtection="1">
      <alignment horizontal="center"/>
      <protection locked="0"/>
    </xf>
    <xf numFmtId="171" fontId="66" fillId="0" borderId="45" xfId="5" applyFont="1" applyBorder="1" applyAlignment="1">
      <alignment horizontal="left"/>
    </xf>
    <xf numFmtId="171" fontId="59" fillId="0" borderId="48" xfId="5" applyBorder="1"/>
    <xf numFmtId="171" fontId="63" fillId="0" borderId="0" xfId="5" applyFont="1" applyAlignment="1">
      <alignment horizontal="left"/>
    </xf>
    <xf numFmtId="171" fontId="63" fillId="0" borderId="142" xfId="5" applyFont="1" applyBorder="1"/>
    <xf numFmtId="171" fontId="62" fillId="0" borderId="143" xfId="5" applyFont="1" applyBorder="1" applyAlignment="1">
      <alignment horizontal="left"/>
    </xf>
    <xf numFmtId="171" fontId="62" fillId="0" borderId="145" xfId="5" applyFont="1" applyBorder="1" applyAlignment="1">
      <alignment horizontal="left"/>
    </xf>
    <xf numFmtId="171" fontId="66" fillId="0" borderId="45" xfId="5" quotePrefix="1" applyFont="1" applyBorder="1" applyAlignment="1">
      <alignment horizontal="left"/>
    </xf>
    <xf numFmtId="171" fontId="66" fillId="0" borderId="21" xfId="5" applyFont="1" applyBorder="1" applyAlignment="1">
      <alignment horizontal="left"/>
    </xf>
    <xf numFmtId="171" fontId="69" fillId="0" borderId="146" xfId="5" applyFont="1" applyBorder="1"/>
    <xf numFmtId="171" fontId="66" fillId="0" borderId="0" xfId="5" quotePrefix="1" applyFont="1" applyAlignment="1">
      <alignment horizontal="left"/>
    </xf>
    <xf numFmtId="171" fontId="66" fillId="0" borderId="147" xfId="5" quotePrefix="1" applyFont="1" applyBorder="1" applyAlignment="1">
      <alignment horizontal="left"/>
    </xf>
    <xf numFmtId="171" fontId="66" fillId="0" borderId="148" xfId="5" quotePrefix="1" applyFont="1" applyBorder="1" applyAlignment="1">
      <alignment horizontal="left"/>
    </xf>
    <xf numFmtId="171" fontId="66" fillId="0" borderId="46" xfId="5" applyFont="1" applyBorder="1" applyAlignment="1">
      <alignment horizontal="left"/>
    </xf>
    <xf numFmtId="171" fontId="66" fillId="0" borderId="23" xfId="5" applyFont="1" applyBorder="1" applyAlignment="1">
      <alignment horizontal="left"/>
    </xf>
    <xf numFmtId="171" fontId="66" fillId="0" borderId="24" xfId="5" applyFont="1" applyBorder="1" applyAlignment="1">
      <alignment horizontal="left"/>
    </xf>
    <xf numFmtId="171" fontId="62" fillId="0" borderId="0" xfId="5" applyFont="1" applyAlignment="1">
      <alignment horizontal="left"/>
    </xf>
    <xf numFmtId="171" fontId="70" fillId="0" borderId="0" xfId="5" applyFont="1" applyAlignment="1">
      <alignment horizontal="right"/>
    </xf>
    <xf numFmtId="171" fontId="59" fillId="0" borderId="0" xfId="5" applyAlignment="1">
      <alignment horizontal="right"/>
    </xf>
    <xf numFmtId="0" fontId="6" fillId="0" borderId="0" xfId="4" applyFont="1"/>
    <xf numFmtId="0" fontId="49" fillId="0" borderId="0" xfId="4" applyFont="1"/>
    <xf numFmtId="0" fontId="22" fillId="0" borderId="17" xfId="4" applyFont="1" applyBorder="1" applyAlignment="1">
      <alignment horizontal="right"/>
    </xf>
    <xf numFmtId="0" fontId="22" fillId="0" borderId="131" xfId="4" applyFont="1" applyBorder="1" applyAlignment="1">
      <alignment horizontal="left"/>
    </xf>
    <xf numFmtId="0" fontId="22" fillId="0" borderId="131" xfId="4" quotePrefix="1" applyFont="1" applyBorder="1" applyAlignment="1">
      <alignment horizontal="left"/>
    </xf>
    <xf numFmtId="0" fontId="15" fillId="0" borderId="0" xfId="1" applyFont="1" applyAlignment="1">
      <alignment horizontal="center"/>
    </xf>
    <xf numFmtId="0" fontId="18" fillId="2" borderId="0" xfId="1" applyFont="1" applyFill="1" applyAlignment="1">
      <alignment horizontal="center"/>
    </xf>
    <xf numFmtId="0" fontId="20" fillId="2" borderId="23" xfId="1" applyFont="1" applyFill="1" applyBorder="1" applyAlignment="1">
      <alignment horizontal="center"/>
    </xf>
    <xf numFmtId="0" fontId="26" fillId="2" borderId="12" xfId="1" applyFont="1" applyFill="1" applyBorder="1" applyAlignment="1">
      <alignment horizontal="left"/>
    </xf>
    <xf numFmtId="0" fontId="26" fillId="2" borderId="13" xfId="1" applyFont="1" applyFill="1" applyBorder="1" applyAlignment="1">
      <alignment horizontal="left"/>
    </xf>
    <xf numFmtId="0" fontId="28" fillId="0" borderId="57" xfId="1" applyFont="1" applyBorder="1" applyAlignment="1">
      <alignment horizontal="left"/>
    </xf>
    <xf numFmtId="0" fontId="28" fillId="0" borderId="58" xfId="1" applyFont="1" applyBorder="1" applyAlignment="1">
      <alignment horizontal="left"/>
    </xf>
    <xf numFmtId="0" fontId="29" fillId="2" borderId="59" xfId="1" applyFont="1" applyFill="1" applyBorder="1" applyAlignment="1">
      <alignment horizontal="center"/>
    </xf>
    <xf numFmtId="0" fontId="29" fillId="2" borderId="55" xfId="1" applyFont="1" applyFill="1" applyBorder="1" applyAlignment="1">
      <alignment horizontal="center"/>
    </xf>
    <xf numFmtId="0" fontId="19" fillId="2" borderId="60" xfId="1" applyFont="1" applyFill="1" applyBorder="1" applyAlignment="1">
      <alignment horizontal="left"/>
    </xf>
    <xf numFmtId="0" fontId="19" fillId="2" borderId="61" xfId="1" applyFont="1" applyFill="1" applyBorder="1" applyAlignment="1">
      <alignment horizontal="left"/>
    </xf>
    <xf numFmtId="0" fontId="19" fillId="2" borderId="27" xfId="1" applyFont="1" applyFill="1" applyBorder="1" applyAlignment="1">
      <alignment horizontal="left"/>
    </xf>
    <xf numFmtId="0" fontId="19" fillId="0" borderId="79" xfId="1" applyFont="1" applyBorder="1" applyAlignment="1">
      <alignment horizontal="left"/>
    </xf>
    <xf numFmtId="0" fontId="19" fillId="0" borderId="80" xfId="1" applyFont="1" applyBorder="1" applyAlignment="1">
      <alignment horizontal="left"/>
    </xf>
    <xf numFmtId="0" fontId="19" fillId="0" borderId="81" xfId="1" applyFont="1" applyBorder="1" applyAlignment="1">
      <alignment horizontal="left"/>
    </xf>
    <xf numFmtId="0" fontId="28" fillId="0" borderId="62" xfId="1" applyFont="1" applyBorder="1" applyAlignment="1">
      <alignment horizontal="left"/>
    </xf>
    <xf numFmtId="0" fontId="28" fillId="0" borderId="63" xfId="1" applyFont="1" applyBorder="1" applyAlignment="1">
      <alignment horizontal="left"/>
    </xf>
    <xf numFmtId="2" fontId="30" fillId="0" borderId="64" xfId="1" applyNumberFormat="1" applyFont="1" applyBorder="1" applyAlignment="1">
      <alignment horizontal="center"/>
    </xf>
    <xf numFmtId="2" fontId="30" fillId="0" borderId="65" xfId="1" applyNumberFormat="1" applyFont="1" applyBorder="1" applyAlignment="1">
      <alignment horizontal="center"/>
    </xf>
    <xf numFmtId="0" fontId="30" fillId="0" borderId="64" xfId="1" applyFont="1" applyBorder="1" applyAlignment="1">
      <alignment horizontal="center"/>
    </xf>
    <xf numFmtId="0" fontId="30" fillId="0" borderId="65" xfId="1" applyFont="1" applyBorder="1" applyAlignment="1">
      <alignment horizontal="center"/>
    </xf>
    <xf numFmtId="0" fontId="28" fillId="0" borderId="74" xfId="1" applyFont="1" applyBorder="1" applyAlignment="1">
      <alignment horizontal="left"/>
    </xf>
    <xf numFmtId="0" fontId="28" fillId="0" borderId="67" xfId="1" applyFont="1" applyBorder="1" applyAlignment="1">
      <alignment horizontal="left"/>
    </xf>
    <xf numFmtId="0" fontId="28" fillId="0" borderId="68" xfId="1" applyFont="1" applyBorder="1" applyAlignment="1">
      <alignment horizontal="left"/>
    </xf>
    <xf numFmtId="166" fontId="30" fillId="2" borderId="64" xfId="1" applyNumberFormat="1" applyFont="1" applyFill="1" applyBorder="1" applyAlignment="1">
      <alignment horizontal="center"/>
    </xf>
    <xf numFmtId="166" fontId="30" fillId="2" borderId="65" xfId="1" applyNumberFormat="1" applyFont="1" applyFill="1" applyBorder="1" applyAlignment="1">
      <alignment horizontal="center"/>
    </xf>
    <xf numFmtId="0" fontId="30" fillId="2" borderId="64" xfId="1" applyFont="1" applyFill="1" applyBorder="1" applyAlignment="1">
      <alignment horizontal="center"/>
    </xf>
    <xf numFmtId="0" fontId="30" fillId="2" borderId="65" xfId="1" applyFont="1" applyFill="1" applyBorder="1" applyAlignment="1">
      <alignment horizontal="center"/>
    </xf>
    <xf numFmtId="166" fontId="30" fillId="0" borderId="64" xfId="1" applyNumberFormat="1" applyFont="1" applyBorder="1" applyAlignment="1">
      <alignment horizontal="center"/>
    </xf>
    <xf numFmtId="166" fontId="30" fillId="0" borderId="65" xfId="1" applyNumberFormat="1" applyFont="1" applyBorder="1" applyAlignment="1">
      <alignment horizontal="center"/>
    </xf>
    <xf numFmtId="1" fontId="30" fillId="2" borderId="64" xfId="1" applyNumberFormat="1" applyFont="1" applyFill="1" applyBorder="1" applyAlignment="1">
      <alignment horizontal="center"/>
    </xf>
    <xf numFmtId="1" fontId="30" fillId="2" borderId="65" xfId="1" applyNumberFormat="1" applyFont="1" applyFill="1" applyBorder="1" applyAlignment="1">
      <alignment horizontal="center"/>
    </xf>
    <xf numFmtId="0" fontId="28" fillId="2" borderId="74" xfId="1" applyFont="1" applyFill="1" applyBorder="1" applyAlignment="1">
      <alignment horizontal="left"/>
    </xf>
    <xf numFmtId="0" fontId="28" fillId="2" borderId="67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2" fontId="30" fillId="2" borderId="64" xfId="1" applyNumberFormat="1" applyFont="1" applyFill="1" applyBorder="1" applyAlignment="1">
      <alignment horizontal="center"/>
    </xf>
    <xf numFmtId="2" fontId="30" fillId="2" borderId="65" xfId="1" applyNumberFormat="1" applyFont="1" applyFill="1" applyBorder="1" applyAlignment="1">
      <alignment horizontal="center"/>
    </xf>
    <xf numFmtId="0" fontId="28" fillId="2" borderId="74" xfId="1" quotePrefix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left"/>
    </xf>
    <xf numFmtId="0" fontId="28" fillId="2" borderId="68" xfId="1" quotePrefix="1" applyFont="1" applyFill="1" applyBorder="1" applyAlignment="1">
      <alignment horizontal="left"/>
    </xf>
    <xf numFmtId="0" fontId="28" fillId="2" borderId="86" xfId="1" applyFont="1" applyFill="1" applyBorder="1" applyAlignment="1">
      <alignment horizontal="center"/>
    </xf>
    <xf numFmtId="0" fontId="28" fillId="2" borderId="87" xfId="1" applyFont="1" applyFill="1" applyBorder="1" applyAlignment="1">
      <alignment horizontal="center"/>
    </xf>
    <xf numFmtId="0" fontId="28" fillId="2" borderId="82" xfId="1" applyFont="1" applyFill="1" applyBorder="1" applyAlignment="1">
      <alignment horizontal="center"/>
    </xf>
    <xf numFmtId="0" fontId="28" fillId="2" borderId="0" xfId="1" applyFont="1" applyFill="1" applyAlignment="1">
      <alignment horizontal="center"/>
    </xf>
    <xf numFmtId="0" fontId="28" fillId="2" borderId="84" xfId="1" applyFont="1" applyFill="1" applyBorder="1" applyAlignment="1">
      <alignment horizontal="center"/>
    </xf>
    <xf numFmtId="0" fontId="28" fillId="2" borderId="40" xfId="1" applyFont="1" applyFill="1" applyBorder="1" applyAlignment="1">
      <alignment horizontal="center"/>
    </xf>
    <xf numFmtId="0" fontId="28" fillId="2" borderId="88" xfId="1" applyFont="1" applyFill="1" applyBorder="1" applyAlignment="1">
      <alignment horizontal="left"/>
    </xf>
    <xf numFmtId="0" fontId="28" fillId="2" borderId="89" xfId="1" applyFont="1" applyFill="1" applyBorder="1" applyAlignment="1">
      <alignment horizontal="left"/>
    </xf>
    <xf numFmtId="0" fontId="28" fillId="2" borderId="90" xfId="1" applyFont="1" applyFill="1" applyBorder="1" applyAlignment="1">
      <alignment horizontal="left"/>
    </xf>
    <xf numFmtId="0" fontId="30" fillId="2" borderId="91" xfId="1" applyFont="1" applyFill="1" applyBorder="1" applyAlignment="1">
      <alignment horizontal="center"/>
    </xf>
    <xf numFmtId="0" fontId="30" fillId="0" borderId="91" xfId="1" applyFont="1" applyBorder="1" applyAlignment="1">
      <alignment horizontal="center"/>
    </xf>
    <xf numFmtId="168" fontId="30" fillId="2" borderId="64" xfId="1" applyNumberFormat="1" applyFont="1" applyFill="1" applyBorder="1" applyAlignment="1">
      <alignment horizontal="center"/>
    </xf>
    <xf numFmtId="168" fontId="30" fillId="2" borderId="65" xfId="1" applyNumberFormat="1" applyFont="1" applyFill="1" applyBorder="1" applyAlignment="1">
      <alignment horizontal="center"/>
    </xf>
    <xf numFmtId="1" fontId="30" fillId="2" borderId="99" xfId="1" applyNumberFormat="1" applyFont="1" applyFill="1" applyBorder="1" applyAlignment="1">
      <alignment horizontal="center"/>
    </xf>
    <xf numFmtId="1" fontId="30" fillId="2" borderId="100" xfId="1" applyNumberFormat="1" applyFont="1" applyFill="1" applyBorder="1" applyAlignment="1">
      <alignment horizontal="center"/>
    </xf>
    <xf numFmtId="0" fontId="25" fillId="0" borderId="106" xfId="1" applyFont="1" applyBorder="1" applyAlignment="1">
      <alignment horizontal="left"/>
    </xf>
    <xf numFmtId="0" fontId="25" fillId="0" borderId="76" xfId="1" applyFont="1" applyBorder="1" applyAlignment="1">
      <alignment horizontal="left"/>
    </xf>
    <xf numFmtId="0" fontId="19" fillId="0" borderId="101" xfId="1" applyFont="1" applyBorder="1" applyAlignment="1">
      <alignment horizontal="left"/>
    </xf>
    <xf numFmtId="0" fontId="19" fillId="0" borderId="61" xfId="1" applyFont="1" applyBorder="1" applyAlignment="1">
      <alignment horizontal="left"/>
    </xf>
    <xf numFmtId="14" fontId="23" fillId="2" borderId="121" xfId="1" applyNumberFormat="1" applyFont="1" applyFill="1" applyBorder="1" applyAlignment="1">
      <alignment horizontal="center"/>
    </xf>
    <xf numFmtId="14" fontId="23" fillId="2" borderId="122" xfId="1" applyNumberFormat="1" applyFont="1" applyFill="1" applyBorder="1" applyAlignment="1">
      <alignment horizontal="center"/>
    </xf>
    <xf numFmtId="0" fontId="25" fillId="0" borderId="45" xfId="1" applyFont="1" applyBorder="1" applyAlignment="1">
      <alignment horizontal="center"/>
    </xf>
    <xf numFmtId="0" fontId="25" fillId="0" borderId="0" xfId="1" applyFont="1" applyAlignment="1">
      <alignment horizontal="center"/>
    </xf>
    <xf numFmtId="0" fontId="25" fillId="0" borderId="107" xfId="1" applyFont="1" applyBorder="1" applyAlignment="1">
      <alignment horizontal="center"/>
    </xf>
    <xf numFmtId="0" fontId="25" fillId="0" borderId="108" xfId="1" applyFont="1" applyBorder="1" applyAlignment="1">
      <alignment horizontal="center"/>
    </xf>
    <xf numFmtId="0" fontId="25" fillId="0" borderId="40" xfId="1" applyFont="1" applyBorder="1" applyAlignment="1">
      <alignment horizontal="center"/>
    </xf>
    <xf numFmtId="0" fontId="25" fillId="0" borderId="39" xfId="1" applyFont="1" applyBorder="1" applyAlignment="1">
      <alignment horizontal="center"/>
    </xf>
    <xf numFmtId="0" fontId="19" fillId="0" borderId="38" xfId="1" applyFont="1" applyBorder="1" applyAlignment="1">
      <alignment horizontal="left"/>
    </xf>
    <xf numFmtId="0" fontId="25" fillId="0" borderId="46" xfId="1" applyFont="1" applyBorder="1" applyAlignment="1">
      <alignment horizontal="center"/>
    </xf>
    <xf numFmtId="0" fontId="25" fillId="0" borderId="23" xfId="1" applyFont="1" applyBorder="1" applyAlignment="1">
      <alignment horizontal="center"/>
    </xf>
    <xf numFmtId="0" fontId="25" fillId="0" borderId="48" xfId="1" applyFont="1" applyBorder="1" applyAlignment="1">
      <alignment horizontal="center"/>
    </xf>
    <xf numFmtId="0" fontId="42" fillId="2" borderId="116" xfId="1" applyFont="1" applyFill="1" applyBorder="1" applyAlignment="1">
      <alignment horizontal="center"/>
    </xf>
    <xf numFmtId="0" fontId="42" fillId="2" borderId="117" xfId="1" applyFont="1" applyFill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Alignment="1">
      <alignment horizontal="center"/>
    </xf>
    <xf numFmtId="0" fontId="46" fillId="0" borderId="52" xfId="3" applyFont="1" applyBorder="1" applyAlignment="1">
      <alignment horizontal="center"/>
    </xf>
    <xf numFmtId="0" fontId="45" fillId="0" borderId="15" xfId="3" applyFont="1" applyBorder="1" applyAlignment="1">
      <alignment horizontal="center"/>
    </xf>
    <xf numFmtId="0" fontId="45" fillId="0" borderId="7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0" fontId="45" fillId="0" borderId="8" xfId="3" applyFont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5" fillId="0" borderId="0" xfId="4" applyFont="1" applyAlignment="1">
      <alignment horizontal="center"/>
    </xf>
    <xf numFmtId="0" fontId="6" fillId="0" borderId="0" xfId="4" applyFont="1" applyAlignment="1">
      <alignment horizontal="center"/>
    </xf>
    <xf numFmtId="0" fontId="49" fillId="0" borderId="12" xfId="4" applyFont="1" applyBorder="1" applyAlignment="1">
      <alignment horizontal="left"/>
    </xf>
    <xf numFmtId="0" fontId="49" fillId="0" borderId="13" xfId="4" applyFont="1" applyBorder="1" applyAlignment="1">
      <alignment horizontal="left"/>
    </xf>
    <xf numFmtId="0" fontId="49" fillId="0" borderId="14" xfId="4" applyFont="1" applyBorder="1" applyAlignment="1">
      <alignment horizontal="left"/>
    </xf>
    <xf numFmtId="0" fontId="22" fillId="0" borderId="60" xfId="4" applyFont="1" applyBorder="1" applyAlignment="1">
      <alignment horizontal="center"/>
    </xf>
    <xf numFmtId="0" fontId="22" fillId="0" borderId="27" xfId="4" applyFont="1" applyBorder="1" applyAlignment="1">
      <alignment horizontal="center"/>
    </xf>
    <xf numFmtId="0" fontId="50" fillId="0" borderId="101" xfId="4" applyFont="1" applyBorder="1" applyAlignment="1">
      <alignment horizontal="center"/>
    </xf>
    <xf numFmtId="0" fontId="50" fillId="0" borderId="61" xfId="4" applyFont="1" applyBorder="1" applyAlignment="1">
      <alignment horizontal="center"/>
    </xf>
    <xf numFmtId="0" fontId="50" fillId="0" borderId="27" xfId="4" applyFont="1" applyBorder="1" applyAlignment="1">
      <alignment horizontal="center"/>
    </xf>
    <xf numFmtId="0" fontId="4" fillId="0" borderId="135" xfId="4" applyFont="1" applyBorder="1" applyAlignment="1">
      <alignment horizontal="right"/>
    </xf>
    <xf numFmtId="0" fontId="4" fillId="0" borderId="132" xfId="4" applyFont="1" applyBorder="1" applyAlignment="1">
      <alignment horizontal="right"/>
    </xf>
    <xf numFmtId="0" fontId="22" fillId="0" borderId="132" xfId="4" applyFont="1" applyBorder="1" applyAlignment="1">
      <alignment horizontal="center"/>
    </xf>
    <xf numFmtId="0" fontId="22" fillId="0" borderId="36" xfId="4" applyFont="1" applyBorder="1" applyAlignment="1">
      <alignment horizontal="center"/>
    </xf>
    <xf numFmtId="0" fontId="22" fillId="0" borderId="37" xfId="4" applyFont="1" applyBorder="1" applyAlignment="1">
      <alignment horizontal="center"/>
    </xf>
    <xf numFmtId="0" fontId="22" fillId="0" borderId="46" xfId="4" applyFont="1" applyBorder="1" applyAlignment="1">
      <alignment horizontal="center"/>
    </xf>
    <xf numFmtId="0" fontId="22" fillId="0" borderId="23" xfId="4" applyFont="1" applyBorder="1" applyAlignment="1">
      <alignment horizontal="center"/>
    </xf>
    <xf numFmtId="0" fontId="22" fillId="0" borderId="24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1" fillId="0" borderId="27" xfId="4" applyBorder="1" applyAlignment="1">
      <alignment horizontal="center"/>
    </xf>
    <xf numFmtId="0" fontId="22" fillId="0" borderId="134" xfId="4" applyFont="1" applyBorder="1" applyAlignment="1">
      <alignment horizontal="center"/>
    </xf>
    <xf numFmtId="0" fontId="22" fillId="0" borderId="61" xfId="4" applyFont="1" applyBorder="1" applyAlignment="1">
      <alignment horizontal="center"/>
    </xf>
    <xf numFmtId="0" fontId="50" fillId="0" borderId="101" xfId="4" applyFont="1" applyBorder="1" applyAlignment="1">
      <alignment horizontal="right"/>
    </xf>
    <xf numFmtId="0" fontId="50" fillId="0" borderId="61" xfId="4" applyFont="1" applyBorder="1" applyAlignment="1">
      <alignment horizontal="right"/>
    </xf>
    <xf numFmtId="0" fontId="50" fillId="0" borderId="46" xfId="4" applyFont="1" applyBorder="1" applyAlignment="1">
      <alignment horizontal="right"/>
    </xf>
    <xf numFmtId="0" fontId="50" fillId="0" borderId="23" xfId="4" applyFont="1" applyBorder="1" applyAlignment="1">
      <alignment horizontal="right"/>
    </xf>
    <xf numFmtId="0" fontId="51" fillId="0" borderId="17" xfId="4" applyFont="1" applyBorder="1" applyAlignment="1">
      <alignment horizontal="center"/>
    </xf>
    <xf numFmtId="0" fontId="51" fillId="0" borderId="130" xfId="4" applyFont="1" applyBorder="1" applyAlignment="1">
      <alignment horizontal="center"/>
    </xf>
    <xf numFmtId="0" fontId="51" fillId="0" borderId="131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50" fillId="0" borderId="17" xfId="4" applyFont="1" applyBorder="1" applyAlignment="1">
      <alignment horizontal="center"/>
    </xf>
    <xf numFmtId="0" fontId="22" fillId="0" borderId="130" xfId="4" applyFont="1" applyBorder="1" applyAlignment="1">
      <alignment horizontal="center"/>
    </xf>
    <xf numFmtId="0" fontId="22" fillId="0" borderId="131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22" fillId="0" borderId="17" xfId="4" applyFont="1" applyBorder="1" applyAlignment="1">
      <alignment horizontal="center"/>
    </xf>
    <xf numFmtId="0" fontId="48" fillId="0" borderId="17" xfId="4" applyFont="1" applyBorder="1" applyAlignment="1">
      <alignment horizontal="right"/>
    </xf>
    <xf numFmtId="0" fontId="48" fillId="0" borderId="130" xfId="4" applyFont="1" applyBorder="1" applyAlignment="1">
      <alignment horizontal="right"/>
    </xf>
    <xf numFmtId="0" fontId="22" fillId="0" borderId="0" xfId="4" applyFont="1" applyAlignment="1">
      <alignment horizontal="center"/>
    </xf>
    <xf numFmtId="0" fontId="54" fillId="0" borderId="0" xfId="4" applyFont="1" applyAlignment="1">
      <alignment horizontal="right"/>
    </xf>
    <xf numFmtId="0" fontId="53" fillId="0" borderId="82" xfId="4" applyFont="1" applyBorder="1" applyAlignment="1">
      <alignment horizontal="center"/>
    </xf>
    <xf numFmtId="0" fontId="53" fillId="0" borderId="0" xfId="4" applyFont="1" applyAlignment="1">
      <alignment horizontal="center"/>
    </xf>
    <xf numFmtId="0" fontId="53" fillId="0" borderId="107" xfId="4" applyFont="1" applyBorder="1" applyAlignment="1">
      <alignment horizontal="center"/>
    </xf>
    <xf numFmtId="0" fontId="55" fillId="0" borderId="82" xfId="4" applyFont="1" applyBorder="1" applyAlignment="1">
      <alignment horizontal="center"/>
    </xf>
    <xf numFmtId="0" fontId="55" fillId="0" borderId="0" xfId="4" applyFont="1" applyAlignment="1">
      <alignment horizontal="center"/>
    </xf>
    <xf numFmtId="0" fontId="55" fillId="0" borderId="107" xfId="4" applyFont="1" applyBorder="1" applyAlignment="1">
      <alignment horizontal="center"/>
    </xf>
    <xf numFmtId="0" fontId="72" fillId="0" borderId="0" xfId="4" applyFont="1" applyAlignment="1">
      <alignment horizontal="center"/>
    </xf>
    <xf numFmtId="0" fontId="48" fillId="0" borderId="1" xfId="4" applyFont="1" applyBorder="1" applyAlignment="1">
      <alignment horizontal="right"/>
    </xf>
    <xf numFmtId="0" fontId="48" fillId="0" borderId="131" xfId="4" applyFont="1" applyBorder="1" applyAlignment="1">
      <alignment horizontal="center"/>
    </xf>
    <xf numFmtId="171" fontId="66" fillId="0" borderId="0" xfId="5" applyFont="1" applyAlignment="1">
      <alignment horizontal="center"/>
    </xf>
    <xf numFmtId="171" fontId="66" fillId="0" borderId="21" xfId="5" applyFont="1" applyBorder="1" applyAlignment="1">
      <alignment horizontal="center"/>
    </xf>
    <xf numFmtId="171" fontId="71" fillId="0" borderId="149" xfId="5" applyFont="1" applyBorder="1" applyAlignment="1" applyProtection="1">
      <alignment horizontal="center"/>
      <protection locked="0"/>
    </xf>
    <xf numFmtId="14" fontId="14" fillId="0" borderId="149" xfId="5" quotePrefix="1" applyNumberFormat="1" applyFont="1" applyBorder="1" applyAlignment="1" applyProtection="1">
      <alignment horizontal="center"/>
      <protection locked="0"/>
    </xf>
  </cellXfs>
  <cellStyles count="9">
    <cellStyle name="Normal" xfId="0" builtinId="0"/>
    <cellStyle name="Normal 2" xfId="1" xr:uid="{00000000-0005-0000-0000-000001000000}"/>
    <cellStyle name="Normal 3" xfId="4" xr:uid="{00000000-0005-0000-0000-000002000000}"/>
    <cellStyle name="Normal 3 2" xfId="8" xr:uid="{00000000-0005-0000-0000-000003000000}"/>
    <cellStyle name="Normal 3 3" xfId="7" xr:uid="{00000000-0005-0000-0000-000004000000}"/>
    <cellStyle name="Normal 4" xfId="5" xr:uid="{00000000-0005-0000-0000-000005000000}"/>
    <cellStyle name="Normal 5" xfId="6" xr:uid="{00000000-0005-0000-0000-000006000000}"/>
    <cellStyle name="Normal_OPTEST" xfId="2" xr:uid="{00000000-0005-0000-0000-000007000000}"/>
    <cellStyle name="Normal_PROJ_REV_HIST" xfId="3" xr:uid="{00000000-0005-0000-0000-00000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118.63148311927225</c:v>
                </c:pt>
                <c:pt idx="2">
                  <c:v>220</c:v>
                </c:pt>
                <c:pt idx="3">
                  <c:v>122.44761677662081</c:v>
                </c:pt>
                <c:pt idx="4">
                  <c:v>96.259189977484112</c:v>
                </c:pt>
                <c:pt idx="5">
                  <c:v>84.776656259913935</c:v>
                </c:pt>
                <c:pt idx="6">
                  <c:v>77.6932151771517</c:v>
                </c:pt>
                <c:pt idx="7">
                  <c:v>74.443294321813966</c:v>
                </c:pt>
                <c:pt idx="8">
                  <c:v>72.573025147874347</c:v>
                </c:pt>
                <c:pt idx="9">
                  <c:v>71.437979667140553</c:v>
                </c:pt>
                <c:pt idx="10">
                  <c:v>70.753734064817337</c:v>
                </c:pt>
                <c:pt idx="11">
                  <c:v>70.351002375350674</c:v>
                </c:pt>
                <c:pt idx="12">
                  <c:v>70.122809429200629</c:v>
                </c:pt>
                <c:pt idx="13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1F-4466-9B01-2D1C4BC24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109120"/>
        <c:axId val="245111040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0.2487950474023819</c:v>
                </c:pt>
                <c:pt idx="1">
                  <c:v>129.01593017578125</c:v>
                </c:pt>
                <c:pt idx="2">
                  <c:v>378.78115844726563</c:v>
                </c:pt>
                <c:pt idx="3">
                  <c:v>442.03927612304688</c:v>
                </c:pt>
                <c:pt idx="4">
                  <c:v>460.85833740234375</c:v>
                </c:pt>
                <c:pt idx="5">
                  <c:v>470.89599609375</c:v>
                </c:pt>
                <c:pt idx="6">
                  <c:v>484.47894287109375</c:v>
                </c:pt>
                <c:pt idx="7">
                  <c:v>494.86856079101563</c:v>
                </c:pt>
                <c:pt idx="8">
                  <c:v>503.122802734375</c:v>
                </c:pt>
                <c:pt idx="9">
                  <c:v>509.6976318359375</c:v>
                </c:pt>
                <c:pt idx="10">
                  <c:v>514.95703125</c:v>
                </c:pt>
                <c:pt idx="11">
                  <c:v>519.18328857421875</c:v>
                </c:pt>
                <c:pt idx="12">
                  <c:v>522.67010498046875</c:v>
                </c:pt>
                <c:pt idx="13">
                  <c:v>525.5999755859375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1F-4466-9B01-2D1C4BC24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125504"/>
        <c:axId val="245127040"/>
      </c:scatterChart>
      <c:valAx>
        <c:axId val="245109120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5111040"/>
        <c:crossesAt val="0"/>
        <c:crossBetween val="midCat"/>
        <c:majorUnit val="0.2"/>
        <c:minorUnit val="0.2"/>
      </c:valAx>
      <c:valAx>
        <c:axId val="245111040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5109120"/>
        <c:crosses val="max"/>
        <c:crossBetween val="midCat"/>
        <c:majorUnit val="50"/>
        <c:minorUnit val="50"/>
      </c:valAx>
      <c:valAx>
        <c:axId val="245125504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245127040"/>
        <c:crosses val="autoZero"/>
        <c:crossBetween val="midCat"/>
      </c:valAx>
      <c:valAx>
        <c:axId val="24512704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5125504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118.63148311927225</c:v>
                </c:pt>
                <c:pt idx="2">
                  <c:v>220</c:v>
                </c:pt>
                <c:pt idx="3">
                  <c:v>122.44761677662081</c:v>
                </c:pt>
                <c:pt idx="4">
                  <c:v>96.259189977484112</c:v>
                </c:pt>
                <c:pt idx="5">
                  <c:v>84.776656259913935</c:v>
                </c:pt>
                <c:pt idx="6">
                  <c:v>77.6932151771517</c:v>
                </c:pt>
                <c:pt idx="7">
                  <c:v>74.443294321813966</c:v>
                </c:pt>
                <c:pt idx="8">
                  <c:v>72.573025147874347</c:v>
                </c:pt>
                <c:pt idx="9">
                  <c:v>71.437979667140553</c:v>
                </c:pt>
                <c:pt idx="10">
                  <c:v>70.753734064817337</c:v>
                </c:pt>
                <c:pt idx="11">
                  <c:v>70.351002375350674</c:v>
                </c:pt>
                <c:pt idx="12">
                  <c:v>70.122809429200629</c:v>
                </c:pt>
                <c:pt idx="13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9B-4413-BA82-5C3663B85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025600"/>
        <c:axId val="243271168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0.2487950474023819</c:v>
                </c:pt>
                <c:pt idx="1">
                  <c:v>129.01593017578125</c:v>
                </c:pt>
                <c:pt idx="2">
                  <c:v>378.78115844726563</c:v>
                </c:pt>
                <c:pt idx="3">
                  <c:v>442.03927612304688</c:v>
                </c:pt>
                <c:pt idx="4">
                  <c:v>460.85833740234375</c:v>
                </c:pt>
                <c:pt idx="5">
                  <c:v>470.89599609375</c:v>
                </c:pt>
                <c:pt idx="6">
                  <c:v>484.47894287109375</c:v>
                </c:pt>
                <c:pt idx="7">
                  <c:v>494.86856079101563</c:v>
                </c:pt>
                <c:pt idx="8">
                  <c:v>503.122802734375</c:v>
                </c:pt>
                <c:pt idx="9">
                  <c:v>509.6976318359375</c:v>
                </c:pt>
                <c:pt idx="10">
                  <c:v>514.95703125</c:v>
                </c:pt>
                <c:pt idx="11">
                  <c:v>519.18328857421875</c:v>
                </c:pt>
                <c:pt idx="12">
                  <c:v>522.67010498046875</c:v>
                </c:pt>
                <c:pt idx="13">
                  <c:v>525.5999755859375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9B-4413-BA82-5C3663B85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273088"/>
        <c:axId val="245519488"/>
      </c:scatterChart>
      <c:valAx>
        <c:axId val="246025600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3271168"/>
        <c:crosses val="autoZero"/>
        <c:crossBetween val="midCat"/>
        <c:majorUnit val="20"/>
        <c:minorUnit val="20"/>
      </c:valAx>
      <c:valAx>
        <c:axId val="2432711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6025600"/>
        <c:crosses val="autoZero"/>
        <c:crossBetween val="midCat"/>
      </c:valAx>
      <c:valAx>
        <c:axId val="24327308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45519488"/>
        <c:crosses val="autoZero"/>
        <c:crossBetween val="midCat"/>
      </c:valAx>
      <c:valAx>
        <c:axId val="245519488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3273088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525.6</c:v>
                </c:pt>
                <c:pt idx="1">
                  <c:v>463.07292000000001</c:v>
                </c:pt>
                <c:pt idx="2">
                  <c:v>400.52708000000001</c:v>
                </c:pt>
                <c:pt idx="3">
                  <c:v>338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45.08997433594422</c:v>
                </c:pt>
                <c:pt idx="2">
                  <c:v>60.271914743752291</c:v>
                </c:pt>
                <c:pt idx="3">
                  <c:v>84.634095444837371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0B-4BEF-A8E5-C33C707B9290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525.6</c:v>
                </c:pt>
                <c:pt idx="1">
                  <c:v>463.07292000000001</c:v>
                </c:pt>
                <c:pt idx="2">
                  <c:v>400.52708000000001</c:v>
                </c:pt>
                <c:pt idx="3">
                  <c:v>338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19.324274715404666</c:v>
                </c:pt>
                <c:pt idx="2">
                  <c:v>25.83082060446527</c:v>
                </c:pt>
                <c:pt idx="3">
                  <c:v>36.271755190644591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0B-4BEF-A8E5-C33C707B9290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238</c:v>
                </c:pt>
                <c:pt idx="1">
                  <c:v>138</c:v>
                </c:pt>
                <c:pt idx="2">
                  <c:v>220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85.616330578512404</c:v>
                </c:pt>
                <c:pt idx="3">
                  <c:v>127.89599999999999</c:v>
                </c:pt>
                <c:pt idx="4">
                  <c:v>197.09062544589773</c:v>
                </c:pt>
                <c:pt idx="5" formatCode="0">
                  <c:v>400</c:v>
                </c:pt>
                <c:pt idx="6" formatCode="0">
                  <c:v>800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0B-4BEF-A8E5-C33C707B9290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525.6</c:v>
                </c:pt>
                <c:pt idx="1">
                  <c:v>524.12</c:v>
                </c:pt>
                <c:pt idx="2">
                  <c:v>520.91999999999996</c:v>
                </c:pt>
                <c:pt idx="3">
                  <c:v>517.08000000000004</c:v>
                </c:pt>
                <c:pt idx="4">
                  <c:v>512.32000000000005</c:v>
                </c:pt>
                <c:pt idx="5">
                  <c:v>506.4</c:v>
                </c:pt>
                <c:pt idx="6">
                  <c:v>499</c:v>
                </c:pt>
                <c:pt idx="7">
                  <c:v>489.68</c:v>
                </c:pt>
                <c:pt idx="8">
                  <c:v>477.68</c:v>
                </c:pt>
                <c:pt idx="9">
                  <c:v>465.88</c:v>
                </c:pt>
                <c:pt idx="10">
                  <c:v>451.43999999999994</c:v>
                </c:pt>
                <c:pt idx="11">
                  <c:v>410.4</c:v>
                </c:pt>
                <c:pt idx="12">
                  <c:v>253.88000000000002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1.5069999694824219</c:v>
                </c:pt>
                <c:pt idx="2">
                  <c:v>2.7249999046325684</c:v>
                </c:pt>
                <c:pt idx="3">
                  <c:v>3.8569998741149902</c:v>
                </c:pt>
                <c:pt idx="4">
                  <c:v>4.9889998435974121</c:v>
                </c:pt>
                <c:pt idx="5">
                  <c:v>6.1929998397827148</c:v>
                </c:pt>
                <c:pt idx="6">
                  <c:v>7.5419998168945313</c:v>
                </c:pt>
                <c:pt idx="7">
                  <c:v>9.1499996185302734</c:v>
                </c:pt>
                <c:pt idx="8">
                  <c:v>11.295999526977539</c:v>
                </c:pt>
                <c:pt idx="9">
                  <c:v>12.641999244689941</c:v>
                </c:pt>
                <c:pt idx="10">
                  <c:v>13.754999160766602</c:v>
                </c:pt>
                <c:pt idx="11">
                  <c:v>14.202999114990234</c:v>
                </c:pt>
                <c:pt idx="12">
                  <c:v>14.280999183654785</c:v>
                </c:pt>
                <c:pt idx="13">
                  <c:v>14.425999641418457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20B-4BEF-A8E5-C33C707B9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016192"/>
        <c:axId val="257018112"/>
      </c:scatterChart>
      <c:valAx>
        <c:axId val="257016192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018112"/>
        <c:crossesAt val="0.1"/>
        <c:crossBetween val="midCat"/>
        <c:majorUnit val="100"/>
      </c:valAx>
      <c:valAx>
        <c:axId val="257018112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016192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91.918296813964844</c:v>
                </c:pt>
                <c:pt idx="2">
                  <c:v>94.884056091308594</c:v>
                </c:pt>
                <c:pt idx="3">
                  <c:v>95.680000305175781</c:v>
                </c:pt>
                <c:pt idx="4">
                  <c:v>95.8</c:v>
                </c:pt>
                <c:pt idx="5">
                  <c:v>95.8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92-4CA0-A542-16250EC5F00A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65.05841064453125</c:v>
                </c:pt>
                <c:pt idx="1">
                  <c:v>83.203865051269531</c:v>
                </c:pt>
                <c:pt idx="2">
                  <c:v>88.33746337890625</c:v>
                </c:pt>
                <c:pt idx="3">
                  <c:v>89.831260681152344</c:v>
                </c:pt>
                <c:pt idx="4">
                  <c:v>89.814407348632813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92-4CA0-A542-16250EC5F00A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63.829912019368571</c:v>
                </c:pt>
                <c:pt idx="2">
                  <c:v>49.116581658493054</c:v>
                </c:pt>
                <c:pt idx="3">
                  <c:v>34.156129090790152</c:v>
                </c:pt>
                <c:pt idx="4">
                  <c:v>18.40482650763855</c:v>
                </c:pt>
                <c:pt idx="5">
                  <c:v>2.8322453201647058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92-4CA0-A542-16250EC5F00A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0.46</c:v>
                </c:pt>
                <c:pt idx="1">
                  <c:v>10.149479715927484</c:v>
                </c:pt>
                <c:pt idx="2">
                  <c:v>19.664482453245196</c:v>
                </c:pt>
                <c:pt idx="3">
                  <c:v>29.251344731272749</c:v>
                </c:pt>
                <c:pt idx="4">
                  <c:v>38.911152296313219</c:v>
                </c:pt>
                <c:pt idx="5">
                  <c:v>48.650077082352347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92-4CA0-A542-16250EC5F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787200"/>
        <c:axId val="256789120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62.885218171678446</c:v>
                </c:pt>
                <c:pt idx="1">
                  <c:v>90.072547912597656</c:v>
                </c:pt>
                <c:pt idx="2">
                  <c:v>136.45552062988281</c:v>
                </c:pt>
                <c:pt idx="3">
                  <c:v>191.18464660644531</c:v>
                </c:pt>
                <c:pt idx="4">
                  <c:v>250.09136962890625</c:v>
                </c:pt>
                <c:pt idx="5">
                  <c:v>312.74447631835938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92-4CA0-A542-16250EC5F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799488"/>
        <c:axId val="256801024"/>
      </c:scatterChart>
      <c:valAx>
        <c:axId val="256787200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6789120"/>
        <c:crossesAt val="0"/>
        <c:crossBetween val="midCat"/>
        <c:majorUnit val="25"/>
        <c:minorUnit val="12.5"/>
      </c:valAx>
      <c:valAx>
        <c:axId val="256789120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6787200"/>
        <c:crosses val="autoZero"/>
        <c:crossBetween val="midCat"/>
        <c:majorUnit val="10"/>
        <c:minorUnit val="5"/>
      </c:valAx>
      <c:valAx>
        <c:axId val="25679948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56801024"/>
        <c:crosses val="autoZero"/>
        <c:crossBetween val="midCat"/>
      </c:valAx>
      <c:valAx>
        <c:axId val="256801024"/>
        <c:scaling>
          <c:orientation val="minMax"/>
          <c:max val="4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6799488"/>
        <c:crosses val="max"/>
        <c:crossBetween val="midCat"/>
        <c:majorUnit val="4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5.00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76.0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3.65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15.2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152400</xdr:colOff>
      <xdr:row>39</xdr:row>
      <xdr:rowOff>209550</xdr:rowOff>
    </xdr:from>
    <xdr:to>
      <xdr:col>3</xdr:col>
      <xdr:colOff>746846</xdr:colOff>
      <xdr:row>43</xdr:row>
      <xdr:rowOff>57150</xdr:rowOff>
    </xdr:to>
    <xdr:grpSp>
      <xdr:nvGrpSpPr>
        <xdr:cNvPr id="96" name="Group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GrpSpPr/>
      </xdr:nvGrpSpPr>
      <xdr:grpSpPr>
        <a:xfrm>
          <a:off x="962025" y="9191625"/>
          <a:ext cx="1518371" cy="762000"/>
          <a:chOff x="0" y="8982075"/>
          <a:chExt cx="1518371" cy="762000"/>
        </a:xfrm>
      </xdr:grpSpPr>
      <xdr:sp macro="" textlink="">
        <xdr:nvSpPr>
          <xdr:cNvPr id="97" name="Radius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88720" y="9620250"/>
            <a:ext cx="329651" cy="1238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423.4</a:t>
            </a:r>
          </a:p>
        </xdr:txBody>
      </xdr:sp>
      <xdr:sp macro="" textlink="">
        <xdr:nvSpPr>
          <xdr:cNvPr id="98" name="Clear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04800" y="9363075"/>
            <a:ext cx="264739" cy="11430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50.5</a:t>
            </a:r>
          </a:p>
        </xdr:txBody>
      </xdr:sp>
      <xdr:sp macro="" textlink="">
        <xdr:nvSpPr>
          <xdr:cNvPr id="99" name="Thickness">
            <a:extLst>
              <a:ext uri="{FF2B5EF4-FFF2-40B4-BE49-F238E27FC236}">
                <a16:creationId xmlns:a16="http://schemas.microsoft.com/office/drawing/2014/main" id="{00000000-0008-0000-0100-00006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1495" y="9505950"/>
            <a:ext cx="428625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75.0</a:t>
            </a:r>
          </a:p>
          <a:p>
            <a:pPr algn="ctr" rtl="0">
              <a:defRPr sz="1000"/>
            </a:pPr>
            <a:endParaRPr lang="en-US" sz="600" b="1" i="0" u="none" strike="noStrike" baseline="0">
              <a:solidFill>
                <a:srgbClr val="000000"/>
              </a:solidFill>
              <a:latin typeface="Univers (W1)"/>
            </a:endParaRPr>
          </a:p>
        </xdr:txBody>
      </xdr:sp>
      <xdr:sp macro="" textlink="">
        <xdr:nvSpPr>
          <xdr:cNvPr id="100" name="Line 116">
            <a:extLst>
              <a:ext uri="{FF2B5EF4-FFF2-40B4-BE49-F238E27FC236}">
                <a16:creationId xmlns:a16="http://schemas.microsoft.com/office/drawing/2014/main" id="{00000000-0008-0000-0100-00006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81025" y="9439275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117">
            <a:extLst>
              <a:ext uri="{FF2B5EF4-FFF2-40B4-BE49-F238E27FC236}">
                <a16:creationId xmlns:a16="http://schemas.microsoft.com/office/drawing/2014/main" id="{00000000-0008-0000-0100-00006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85825" y="9448800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118">
            <a:extLst>
              <a:ext uri="{FF2B5EF4-FFF2-40B4-BE49-F238E27FC236}">
                <a16:creationId xmlns:a16="http://schemas.microsoft.com/office/drawing/2014/main" id="{00000000-0008-0000-0100-00006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90550" y="9486900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121">
            <a:extLst>
              <a:ext uri="{FF2B5EF4-FFF2-40B4-BE49-F238E27FC236}">
                <a16:creationId xmlns:a16="http://schemas.microsoft.com/office/drawing/2014/main" id="{00000000-0008-0000-0100-00006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0" y="8982075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122">
            <a:extLst>
              <a:ext uri="{FF2B5EF4-FFF2-40B4-BE49-F238E27FC236}">
                <a16:creationId xmlns:a16="http://schemas.microsoft.com/office/drawing/2014/main" id="{00000000-0008-0000-0100-000068000000}"/>
              </a:ext>
            </a:extLst>
          </xdr:cNvPr>
          <xdr:cNvSpPr>
            <a:spLocks noChangeShapeType="1"/>
          </xdr:cNvSpPr>
        </xdr:nvSpPr>
        <xdr:spPr bwMode="auto">
          <a:xfrm>
            <a:off x="285750" y="8982075"/>
            <a:ext cx="0" cy="7334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123">
            <a:extLst>
              <a:ext uri="{FF2B5EF4-FFF2-40B4-BE49-F238E27FC236}">
                <a16:creationId xmlns:a16="http://schemas.microsoft.com/office/drawing/2014/main" id="{00000000-0008-0000-0100-00006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95275" y="9334500"/>
            <a:ext cx="276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Rectangle 124">
            <a:extLst>
              <a:ext uri="{FF2B5EF4-FFF2-40B4-BE49-F238E27FC236}">
                <a16:creationId xmlns:a16="http://schemas.microsoft.com/office/drawing/2014/main" id="{00000000-0008-0000-0100-00006A000000}"/>
              </a:ext>
            </a:extLst>
          </xdr:cNvPr>
          <xdr:cNvSpPr>
            <a:spLocks noChangeArrowheads="1"/>
          </xdr:cNvSpPr>
        </xdr:nvSpPr>
        <xdr:spPr bwMode="auto">
          <a:xfrm>
            <a:off x="581025" y="8991600"/>
            <a:ext cx="304800" cy="4286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7" name="Line 125">
            <a:extLst>
              <a:ext uri="{FF2B5EF4-FFF2-40B4-BE49-F238E27FC236}">
                <a16:creationId xmlns:a16="http://schemas.microsoft.com/office/drawing/2014/main" id="{00000000-0008-0000-0100-00006B000000}"/>
              </a:ext>
            </a:extLst>
          </xdr:cNvPr>
          <xdr:cNvSpPr>
            <a:spLocks noChangeShapeType="1"/>
          </xdr:cNvSpPr>
        </xdr:nvSpPr>
        <xdr:spPr bwMode="auto">
          <a:xfrm>
            <a:off x="285750" y="9267825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126">
            <a:extLst>
              <a:ext uri="{FF2B5EF4-FFF2-40B4-BE49-F238E27FC236}">
                <a16:creationId xmlns:a16="http://schemas.microsoft.com/office/drawing/2014/main" id="{00000000-0008-0000-0100-00006C000000}"/>
              </a:ext>
            </a:extLst>
          </xdr:cNvPr>
          <xdr:cNvSpPr>
            <a:spLocks noChangeShapeType="1"/>
          </xdr:cNvSpPr>
        </xdr:nvSpPr>
        <xdr:spPr bwMode="auto">
          <a:xfrm>
            <a:off x="285750" y="901065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Line 127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SpPr>
            <a:spLocks noChangeShapeType="1"/>
          </xdr:cNvSpPr>
        </xdr:nvSpPr>
        <xdr:spPr bwMode="auto">
          <a:xfrm>
            <a:off x="933450" y="9420225"/>
            <a:ext cx="3714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28">
            <a:extLst>
              <a:ext uri="{FF2B5EF4-FFF2-40B4-BE49-F238E27FC236}">
                <a16:creationId xmlns:a16="http://schemas.microsoft.com/office/drawing/2014/main" id="{00000000-0008-0000-0100-00006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66825" y="9420225"/>
            <a:ext cx="0" cy="1809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129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SpPr>
            <a:spLocks noChangeShapeType="1"/>
          </xdr:cNvSpPr>
        </xdr:nvSpPr>
        <xdr:spPr bwMode="auto">
          <a:xfrm>
            <a:off x="923925" y="8991600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Thickness">
            <a:extLst>
              <a:ext uri="{FF2B5EF4-FFF2-40B4-BE49-F238E27FC236}">
                <a16:creationId xmlns:a16="http://schemas.microsoft.com/office/drawing/2014/main" id="{00000000-0008-0000-0100-00007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1545" y="9182100"/>
            <a:ext cx="293473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50.0</a:t>
            </a:r>
          </a:p>
        </xdr:txBody>
      </xdr:sp>
      <xdr:sp macro="" textlink="">
        <xdr:nvSpPr>
          <xdr:cNvPr id="113" name="Line 131">
            <a:extLst>
              <a:ext uri="{FF2B5EF4-FFF2-40B4-BE49-F238E27FC236}">
                <a16:creationId xmlns:a16="http://schemas.microsoft.com/office/drawing/2014/main" id="{00000000-0008-0000-0100-00007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066800" y="8991600"/>
            <a:ext cx="0" cy="142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Line 132">
            <a:extLst>
              <a:ext uri="{FF2B5EF4-FFF2-40B4-BE49-F238E27FC236}">
                <a16:creationId xmlns:a16="http://schemas.microsoft.com/office/drawing/2014/main" id="{00000000-0008-0000-0100-000072000000}"/>
              </a:ext>
            </a:extLst>
          </xdr:cNvPr>
          <xdr:cNvSpPr>
            <a:spLocks noChangeShapeType="1"/>
          </xdr:cNvSpPr>
        </xdr:nvSpPr>
        <xdr:spPr bwMode="auto">
          <a:xfrm>
            <a:off x="1076325" y="9296400"/>
            <a:ext cx="0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752475</xdr:colOff>
      <xdr:row>39</xdr:row>
      <xdr:rowOff>209550</xdr:rowOff>
    </xdr:from>
    <xdr:to>
      <xdr:col>4</xdr:col>
      <xdr:colOff>769636</xdr:colOff>
      <xdr:row>40</xdr:row>
      <xdr:rowOff>142875</xdr:rowOff>
    </xdr:to>
    <xdr:sp macro="" textlink="">
      <xdr:nvSpPr>
        <xdr:cNvPr id="115" name="Text 219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2486025" y="9191625"/>
          <a:ext cx="893461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051-TB23</a:t>
          </a:r>
        </a:p>
      </xdr:txBody>
    </xdr:sp>
    <xdr:clientData/>
  </xdr:twoCellAnchor>
  <xdr:twoCellAnchor>
    <xdr:from>
      <xdr:col>3</xdr:col>
      <xdr:colOff>813435</xdr:colOff>
      <xdr:row>33</xdr:row>
      <xdr:rowOff>180975</xdr:rowOff>
    </xdr:from>
    <xdr:to>
      <xdr:col>4</xdr:col>
      <xdr:colOff>586768</xdr:colOff>
      <xdr:row>34</xdr:row>
      <xdr:rowOff>123825</xdr:rowOff>
    </xdr:to>
    <xdr:sp macro="" textlink="">
      <xdr:nvSpPr>
        <xdr:cNvPr id="116" name="Text 219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2546985" y="7791450"/>
          <a:ext cx="649633" cy="171450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411-TB23</a:t>
          </a:r>
        </a:p>
      </xdr:txBody>
    </xdr:sp>
    <xdr:clientData/>
  </xdr:twoCellAnchor>
  <xdr:twoCellAnchor>
    <xdr:from>
      <xdr:col>3</xdr:col>
      <xdr:colOff>813435</xdr:colOff>
      <xdr:row>27</xdr:row>
      <xdr:rowOff>133350</xdr:rowOff>
    </xdr:from>
    <xdr:to>
      <xdr:col>4</xdr:col>
      <xdr:colOff>586768</xdr:colOff>
      <xdr:row>28</xdr:row>
      <xdr:rowOff>76200</xdr:rowOff>
    </xdr:to>
    <xdr:sp macro="" textlink="">
      <xdr:nvSpPr>
        <xdr:cNvPr id="117" name="Text 219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2546985" y="6372225"/>
          <a:ext cx="649633" cy="171450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311-TB23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0.64043</cdr:x>
      <cdr:y>0.64951</cdr:y>
    </cdr:from>
    <cdr:to>
      <cdr:x>0.87628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0.64043</cdr:x>
      <cdr:y>0.54384</cdr:y>
    </cdr:from>
    <cdr:to>
      <cdr:x>0.92325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628651</xdr:colOff>
      <xdr:row>16</xdr:row>
      <xdr:rowOff>85724</xdr:rowOff>
    </xdr:from>
    <xdr:to>
      <xdr:col>0</xdr:col>
      <xdr:colOff>1104901</xdr:colOff>
      <xdr:row>17</xdr:row>
      <xdr:rowOff>85725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628651" y="3981449"/>
          <a:ext cx="476250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0</xdr:col>
      <xdr:colOff>619126</xdr:colOff>
      <xdr:row>18</xdr:row>
      <xdr:rowOff>28574</xdr:rowOff>
    </xdr:from>
    <xdr:to>
      <xdr:col>0</xdr:col>
      <xdr:colOff>1095376</xdr:colOff>
      <xdr:row>19</xdr:row>
      <xdr:rowOff>28575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619126" y="4400549"/>
          <a:ext cx="476250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1798</a:t>
          </a:r>
        </a:p>
      </xdr:txBody>
    </xdr:sp>
    <xdr:clientData/>
  </xdr:twoCellAnchor>
  <xdr:twoCellAnchor>
    <xdr:from>
      <xdr:col>0</xdr:col>
      <xdr:colOff>609601</xdr:colOff>
      <xdr:row>19</xdr:row>
      <xdr:rowOff>200024</xdr:rowOff>
    </xdr:from>
    <xdr:to>
      <xdr:col>0</xdr:col>
      <xdr:colOff>1085851</xdr:colOff>
      <xdr:row>20</xdr:row>
      <xdr:rowOff>200025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609601" y="4810124"/>
          <a:ext cx="476250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1796</a:t>
          </a:r>
        </a:p>
      </xdr:txBody>
    </xdr:sp>
    <xdr:clientData/>
  </xdr:twoCellAnchor>
  <xdr:twoCellAnchor>
    <xdr:from>
      <xdr:col>0</xdr:col>
      <xdr:colOff>609601</xdr:colOff>
      <xdr:row>21</xdr:row>
      <xdr:rowOff>133349</xdr:rowOff>
    </xdr:from>
    <xdr:to>
      <xdr:col>0</xdr:col>
      <xdr:colOff>1085851</xdr:colOff>
      <xdr:row>22</xdr:row>
      <xdr:rowOff>133350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609601" y="5219699"/>
          <a:ext cx="476250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1794</a:t>
          </a:r>
        </a:p>
      </xdr:txBody>
    </xdr:sp>
    <xdr:clientData/>
  </xdr:twoCellAnchor>
  <xdr:twoCellAnchor>
    <xdr:from>
      <xdr:col>0</xdr:col>
      <xdr:colOff>619126</xdr:colOff>
      <xdr:row>23</xdr:row>
      <xdr:rowOff>66674</xdr:rowOff>
    </xdr:from>
    <xdr:to>
      <xdr:col>0</xdr:col>
      <xdr:colOff>1095376</xdr:colOff>
      <xdr:row>24</xdr:row>
      <xdr:rowOff>66675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619126" y="5629274"/>
          <a:ext cx="476250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1792</a:t>
          </a:r>
        </a:p>
      </xdr:txBody>
    </xdr:sp>
    <xdr:clientData/>
  </xdr:twoCellAnchor>
  <xdr:twoCellAnchor>
    <xdr:from>
      <xdr:col>0</xdr:col>
      <xdr:colOff>619126</xdr:colOff>
      <xdr:row>24</xdr:row>
      <xdr:rowOff>238124</xdr:rowOff>
    </xdr:from>
    <xdr:to>
      <xdr:col>0</xdr:col>
      <xdr:colOff>1095376</xdr:colOff>
      <xdr:row>26</xdr:row>
      <xdr:rowOff>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619126" y="6038849"/>
          <a:ext cx="476250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1790</a:t>
          </a:r>
        </a:p>
      </xdr:txBody>
    </xdr:sp>
    <xdr:clientData/>
  </xdr:twoCellAnchor>
  <xdr:twoCellAnchor>
    <xdr:from>
      <xdr:col>0</xdr:col>
      <xdr:colOff>609601</xdr:colOff>
      <xdr:row>26</xdr:row>
      <xdr:rowOff>171449</xdr:rowOff>
    </xdr:from>
    <xdr:to>
      <xdr:col>0</xdr:col>
      <xdr:colOff>1085851</xdr:colOff>
      <xdr:row>27</xdr:row>
      <xdr:rowOff>171450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609601" y="6448424"/>
          <a:ext cx="476250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1788</a:t>
          </a:r>
        </a:p>
      </xdr:txBody>
    </xdr:sp>
    <xdr:clientData/>
  </xdr:twoCellAnchor>
  <xdr:twoCellAnchor>
    <xdr:from>
      <xdr:col>0</xdr:col>
      <xdr:colOff>600076</xdr:colOff>
      <xdr:row>28</xdr:row>
      <xdr:rowOff>104774</xdr:rowOff>
    </xdr:from>
    <xdr:to>
      <xdr:col>0</xdr:col>
      <xdr:colOff>1076326</xdr:colOff>
      <xdr:row>29</xdr:row>
      <xdr:rowOff>104775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600076" y="6857999"/>
          <a:ext cx="476250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1786</a:t>
          </a:r>
        </a:p>
      </xdr:txBody>
    </xdr:sp>
    <xdr:clientData/>
  </xdr:twoCellAnchor>
  <xdr:twoCellAnchor>
    <xdr:from>
      <xdr:col>0</xdr:col>
      <xdr:colOff>600076</xdr:colOff>
      <xdr:row>30</xdr:row>
      <xdr:rowOff>47624</xdr:rowOff>
    </xdr:from>
    <xdr:to>
      <xdr:col>0</xdr:col>
      <xdr:colOff>1076326</xdr:colOff>
      <xdr:row>31</xdr:row>
      <xdr:rowOff>47625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600076" y="7277099"/>
          <a:ext cx="476250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1784</a:t>
          </a:r>
        </a:p>
      </xdr:txBody>
    </xdr:sp>
    <xdr:clientData/>
  </xdr:twoCellAnchor>
  <xdr:twoCellAnchor>
    <xdr:from>
      <xdr:col>0</xdr:col>
      <xdr:colOff>600076</xdr:colOff>
      <xdr:row>31</xdr:row>
      <xdr:rowOff>219074</xdr:rowOff>
    </xdr:from>
    <xdr:to>
      <xdr:col>0</xdr:col>
      <xdr:colOff>1076326</xdr:colOff>
      <xdr:row>32</xdr:row>
      <xdr:rowOff>219075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600076" y="7686674"/>
          <a:ext cx="476250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1782</a:t>
          </a:r>
        </a:p>
      </xdr:txBody>
    </xdr:sp>
    <xdr:clientData/>
  </xdr:twoCellAnchor>
  <xdr:twoCellAnchor>
    <xdr:from>
      <xdr:col>0</xdr:col>
      <xdr:colOff>609601</xdr:colOff>
      <xdr:row>33</xdr:row>
      <xdr:rowOff>152399</xdr:rowOff>
    </xdr:from>
    <xdr:to>
      <xdr:col>0</xdr:col>
      <xdr:colOff>1085851</xdr:colOff>
      <xdr:row>34</xdr:row>
      <xdr:rowOff>152400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609601" y="8096249"/>
          <a:ext cx="476250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314325</xdr:colOff>
      <xdr:row>16</xdr:row>
      <xdr:rowOff>85724</xdr:rowOff>
    </xdr:from>
    <xdr:to>
      <xdr:col>5</xdr:col>
      <xdr:colOff>809625</xdr:colOff>
      <xdr:row>17</xdr:row>
      <xdr:rowOff>76200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5886450" y="3981449"/>
          <a:ext cx="495300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4000</a:t>
          </a:r>
        </a:p>
      </xdr:txBody>
    </xdr:sp>
    <xdr:clientData/>
  </xdr:twoCellAnchor>
  <xdr:twoCellAnchor>
    <xdr:from>
      <xdr:col>5</xdr:col>
      <xdr:colOff>338015</xdr:colOff>
      <xdr:row>25</xdr:row>
      <xdr:rowOff>0</xdr:rowOff>
    </xdr:from>
    <xdr:to>
      <xdr:col>5</xdr:col>
      <xdr:colOff>896815</xdr:colOff>
      <xdr:row>26</xdr:row>
      <xdr:rowOff>1906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5910140" y="6038850"/>
          <a:ext cx="558800" cy="2400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333375</xdr:colOff>
      <xdr:row>26</xdr:row>
      <xdr:rowOff>180974</xdr:rowOff>
    </xdr:from>
    <xdr:to>
      <xdr:col>5</xdr:col>
      <xdr:colOff>828675</xdr:colOff>
      <xdr:row>27</xdr:row>
      <xdr:rowOff>171450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5905500" y="6457949"/>
          <a:ext cx="495300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342900</xdr:colOff>
      <xdr:row>28</xdr:row>
      <xdr:rowOff>114299</xdr:rowOff>
    </xdr:from>
    <xdr:to>
      <xdr:col>5</xdr:col>
      <xdr:colOff>838200</xdr:colOff>
      <xdr:row>29</xdr:row>
      <xdr:rowOff>104775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5915025" y="6867524"/>
          <a:ext cx="495300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333375</xdr:colOff>
      <xdr:row>30</xdr:row>
      <xdr:rowOff>38099</xdr:rowOff>
    </xdr:from>
    <xdr:to>
      <xdr:col>5</xdr:col>
      <xdr:colOff>828675</xdr:colOff>
      <xdr:row>31</xdr:row>
      <xdr:rowOff>28575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5905500" y="7267574"/>
          <a:ext cx="495300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333375</xdr:colOff>
      <xdr:row>31</xdr:row>
      <xdr:rowOff>219074</xdr:rowOff>
    </xdr:from>
    <xdr:to>
      <xdr:col>5</xdr:col>
      <xdr:colOff>828675</xdr:colOff>
      <xdr:row>32</xdr:row>
      <xdr:rowOff>209550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5905500" y="7686674"/>
          <a:ext cx="495300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704850</xdr:colOff>
      <xdr:row>23</xdr:row>
      <xdr:rowOff>9525</xdr:rowOff>
    </xdr:from>
    <xdr:to>
      <xdr:col>5</xdr:col>
      <xdr:colOff>923925</xdr:colOff>
      <xdr:row>28</xdr:row>
      <xdr:rowOff>142875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6276975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333375</xdr:colOff>
      <xdr:row>23</xdr:row>
      <xdr:rowOff>66674</xdr:rowOff>
    </xdr:from>
    <xdr:to>
      <xdr:col>5</xdr:col>
      <xdr:colOff>828675</xdr:colOff>
      <xdr:row>24</xdr:row>
      <xdr:rowOff>57150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5905500" y="5629274"/>
          <a:ext cx="495300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333375</xdr:colOff>
      <xdr:row>21</xdr:row>
      <xdr:rowOff>133349</xdr:rowOff>
    </xdr:from>
    <xdr:to>
      <xdr:col>5</xdr:col>
      <xdr:colOff>828675</xdr:colOff>
      <xdr:row>22</xdr:row>
      <xdr:rowOff>123825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5905500" y="5219699"/>
          <a:ext cx="495300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2800</a:t>
          </a:r>
        </a:p>
      </xdr:txBody>
    </xdr:sp>
    <xdr:clientData/>
  </xdr:twoCellAnchor>
  <xdr:twoCellAnchor>
    <xdr:from>
      <xdr:col>5</xdr:col>
      <xdr:colOff>323850</xdr:colOff>
      <xdr:row>19</xdr:row>
      <xdr:rowOff>200024</xdr:rowOff>
    </xdr:from>
    <xdr:to>
      <xdr:col>5</xdr:col>
      <xdr:colOff>819150</xdr:colOff>
      <xdr:row>20</xdr:row>
      <xdr:rowOff>190500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5895975" y="4810124"/>
          <a:ext cx="495300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3200</a:t>
          </a:r>
        </a:p>
      </xdr:txBody>
    </xdr:sp>
    <xdr:clientData/>
  </xdr:twoCellAnchor>
  <xdr:twoCellAnchor>
    <xdr:from>
      <xdr:col>5</xdr:col>
      <xdr:colOff>323850</xdr:colOff>
      <xdr:row>18</xdr:row>
      <xdr:rowOff>28574</xdr:rowOff>
    </xdr:from>
    <xdr:to>
      <xdr:col>5</xdr:col>
      <xdr:colOff>819150</xdr:colOff>
      <xdr:row>19</xdr:row>
      <xdr:rowOff>19050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5895975" y="4400549"/>
          <a:ext cx="495300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2</xdr:col>
      <xdr:colOff>485775</xdr:colOff>
      <xdr:row>16</xdr:row>
      <xdr:rowOff>228600</xdr:rowOff>
    </xdr:from>
    <xdr:to>
      <xdr:col>2</xdr:col>
      <xdr:colOff>828675</xdr:colOff>
      <xdr:row>17</xdr:row>
      <xdr:rowOff>133350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2714625" y="41243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2</xdr:col>
      <xdr:colOff>885825</xdr:colOff>
      <xdr:row>19</xdr:row>
      <xdr:rowOff>123825</xdr:rowOff>
    </xdr:from>
    <xdr:to>
      <xdr:col>3</xdr:col>
      <xdr:colOff>104775</xdr:colOff>
      <xdr:row>20</xdr:row>
      <xdr:rowOff>57150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3114675" y="4733925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466725</xdr:colOff>
      <xdr:row>25</xdr:row>
      <xdr:rowOff>161925</xdr:rowOff>
    </xdr:from>
    <xdr:to>
      <xdr:col>2</xdr:col>
      <xdr:colOff>809625</xdr:colOff>
      <xdr:row>26</xdr:row>
      <xdr:rowOff>66675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2695575" y="620077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514350</xdr:colOff>
      <xdr:row>31</xdr:row>
      <xdr:rowOff>161925</xdr:rowOff>
    </xdr:from>
    <xdr:to>
      <xdr:col>2</xdr:col>
      <xdr:colOff>1019175</xdr:colOff>
      <xdr:row>32</xdr:row>
      <xdr:rowOff>76200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2743200" y="762952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321896</xdr:colOff>
      <xdr:row>33</xdr:row>
      <xdr:rowOff>142875</xdr:rowOff>
    </xdr:from>
    <xdr:to>
      <xdr:col>5</xdr:col>
      <xdr:colOff>842596</xdr:colOff>
      <xdr:row>34</xdr:row>
      <xdr:rowOff>144781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5894021" y="8086725"/>
          <a:ext cx="520700" cy="2400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J113"/>
  <sheetViews>
    <sheetView topLeftCell="A3" zoomScale="95" zoomScaleNormal="95" workbookViewId="0">
      <selection activeCell="O22" sqref="O22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4" t="s">
        <v>167</v>
      </c>
      <c r="B1" s="2"/>
      <c r="C1" s="2"/>
      <c r="D1" s="2"/>
      <c r="E1" s="2"/>
      <c r="F1" s="2"/>
      <c r="G1" s="2"/>
      <c r="H1" s="2"/>
      <c r="I1" s="125" t="s">
        <v>0</v>
      </c>
      <c r="J1" s="125" t="s">
        <v>202</v>
      </c>
    </row>
    <row r="2" spans="1:10" ht="18.75">
      <c r="A2" s="34" t="s">
        <v>173</v>
      </c>
      <c r="B2" s="2"/>
      <c r="C2" s="2"/>
      <c r="D2" s="2"/>
      <c r="E2" s="2"/>
      <c r="F2" s="2"/>
      <c r="G2" s="2"/>
      <c r="H2" s="2"/>
      <c r="I2" s="2"/>
      <c r="J2" s="131" t="s">
        <v>203</v>
      </c>
    </row>
    <row r="3" spans="1:10" ht="15" customHeight="1" thickBot="1">
      <c r="A3" s="49" t="s">
        <v>1</v>
      </c>
      <c r="B3" s="96" t="s">
        <v>201</v>
      </c>
      <c r="C3" s="1"/>
      <c r="D3" s="49"/>
      <c r="E3" s="1"/>
      <c r="F3" s="1"/>
      <c r="G3" s="49" t="s">
        <v>2</v>
      </c>
      <c r="H3" s="149">
        <v>41983</v>
      </c>
      <c r="I3" s="49" t="s">
        <v>3</v>
      </c>
      <c r="J3" s="150">
        <v>0.36163194444444446</v>
      </c>
    </row>
    <row r="4" spans="1:10" ht="15" customHeight="1">
      <c r="A4" s="12" t="s">
        <v>4</v>
      </c>
      <c r="B4" s="12" t="s">
        <v>171</v>
      </c>
      <c r="C4" s="12" t="s">
        <v>5</v>
      </c>
      <c r="D4" s="12" t="s">
        <v>172</v>
      </c>
      <c r="E4" s="12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4</v>
      </c>
      <c r="B5" s="113">
        <v>2000</v>
      </c>
      <c r="C5" s="143">
        <v>1800</v>
      </c>
      <c r="D5" s="50" t="s">
        <v>176</v>
      </c>
      <c r="E5" s="143">
        <v>4000</v>
      </c>
      <c r="F5" s="143">
        <v>60</v>
      </c>
      <c r="G5" s="50">
        <v>105</v>
      </c>
      <c r="H5" s="78" t="s">
        <v>234</v>
      </c>
      <c r="I5" s="77" t="s">
        <v>239</v>
      </c>
      <c r="J5" s="50" t="s">
        <v>756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42"/>
      <c r="F6" s="14"/>
      <c r="G6" s="15"/>
      <c r="H6" s="43" t="s">
        <v>13</v>
      </c>
      <c r="I6" s="18"/>
      <c r="J6" s="29"/>
    </row>
    <row r="7" spans="1:10" ht="15" customHeight="1" thickBot="1">
      <c r="A7" s="145"/>
      <c r="B7" s="3" t="s">
        <v>14</v>
      </c>
      <c r="C7" s="16" t="s">
        <v>15</v>
      </c>
      <c r="D7" s="145"/>
      <c r="E7" s="18"/>
      <c r="F7" s="3" t="s">
        <v>16</v>
      </c>
      <c r="G7" s="16" t="s">
        <v>17</v>
      </c>
      <c r="H7" s="10" t="s">
        <v>18</v>
      </c>
      <c r="I7" s="68">
        <v>23.125593055555555</v>
      </c>
      <c r="J7" s="106" t="s">
        <v>19</v>
      </c>
    </row>
    <row r="8" spans="1:10" ht="15" customHeight="1">
      <c r="A8" s="6" t="s">
        <v>20</v>
      </c>
      <c r="B8" s="69">
        <v>3.309999942779541</v>
      </c>
      <c r="C8" s="52"/>
      <c r="D8" s="6"/>
      <c r="E8" s="51"/>
      <c r="F8" s="3"/>
      <c r="G8" s="16"/>
      <c r="H8" s="10" t="s">
        <v>21</v>
      </c>
      <c r="I8" s="68">
        <v>28.349058182060801</v>
      </c>
      <c r="J8" s="103" t="s">
        <v>22</v>
      </c>
    </row>
    <row r="9" spans="1:10" ht="15" customHeight="1" thickBot="1">
      <c r="A9" s="6" t="s">
        <v>23</v>
      </c>
      <c r="B9" s="69">
        <v>0.93000000715255737</v>
      </c>
      <c r="C9" s="52"/>
      <c r="D9" s="6" t="s">
        <v>24</v>
      </c>
      <c r="E9" s="53" t="s">
        <v>183</v>
      </c>
      <c r="F9" s="107" t="s">
        <v>25</v>
      </c>
      <c r="G9" s="30"/>
      <c r="H9" s="10" t="s">
        <v>26</v>
      </c>
      <c r="I9" s="69">
        <v>25.737325618808178</v>
      </c>
      <c r="J9" s="104">
        <v>797.99035300261687</v>
      </c>
    </row>
    <row r="10" spans="1:10" ht="15" customHeight="1">
      <c r="A10" s="6" t="s">
        <v>27</v>
      </c>
      <c r="B10" s="69">
        <v>770</v>
      </c>
      <c r="C10" s="73">
        <v>770</v>
      </c>
      <c r="D10" s="6"/>
      <c r="E10" s="51"/>
      <c r="F10" s="117" t="s">
        <v>197</v>
      </c>
      <c r="G10" s="115" t="s">
        <v>198</v>
      </c>
      <c r="H10" s="10" t="s">
        <v>28</v>
      </c>
      <c r="I10" s="68">
        <v>15.409848104495472</v>
      </c>
      <c r="J10" s="103" t="s">
        <v>29</v>
      </c>
    </row>
    <row r="11" spans="1:10" ht="15" customHeight="1" thickBot="1">
      <c r="A11" s="6" t="s">
        <v>30</v>
      </c>
      <c r="B11" s="69">
        <v>815</v>
      </c>
      <c r="C11" s="73">
        <v>523.38000011444092</v>
      </c>
      <c r="D11" s="6" t="s">
        <v>31</v>
      </c>
      <c r="E11" s="68">
        <v>0.83324999999999994</v>
      </c>
      <c r="F11" s="118"/>
      <c r="G11" s="114"/>
      <c r="H11" s="10" t="s">
        <v>32</v>
      </c>
      <c r="I11" s="68">
        <v>27.246162587611465</v>
      </c>
      <c r="J11" s="104">
        <v>54426.302913341184</v>
      </c>
    </row>
    <row r="12" spans="1:10" ht="15" customHeight="1">
      <c r="A12" s="6" t="s">
        <v>33</v>
      </c>
      <c r="B12" s="69">
        <v>530</v>
      </c>
      <c r="C12" s="73">
        <v>300</v>
      </c>
      <c r="D12" s="6" t="s">
        <v>34</v>
      </c>
      <c r="E12" s="138" t="s">
        <v>174</v>
      </c>
      <c r="F12" s="124" t="s">
        <v>190</v>
      </c>
      <c r="G12" s="116" t="s">
        <v>189</v>
      </c>
      <c r="H12" s="10" t="s">
        <v>35</v>
      </c>
      <c r="I12" s="68">
        <v>1.500702206714756</v>
      </c>
      <c r="J12" s="103" t="s">
        <v>36</v>
      </c>
    </row>
    <row r="13" spans="1:10" ht="15" customHeight="1" thickBot="1">
      <c r="A13" s="6" t="s">
        <v>37</v>
      </c>
      <c r="B13" s="69">
        <v>66.5</v>
      </c>
      <c r="C13" s="73">
        <v>71.140000820159912</v>
      </c>
      <c r="D13" s="6" t="s">
        <v>38</v>
      </c>
      <c r="E13" s="70">
        <v>27</v>
      </c>
      <c r="F13" s="124"/>
      <c r="G13" s="116" t="s">
        <v>191</v>
      </c>
      <c r="H13" s="10" t="s">
        <v>40</v>
      </c>
      <c r="I13" s="68">
        <v>1.0404789331673008</v>
      </c>
      <c r="J13" s="104">
        <v>247.36135864257813</v>
      </c>
    </row>
    <row r="14" spans="1:10" ht="15" customHeight="1" thickBot="1">
      <c r="A14" s="134" t="s">
        <v>41</v>
      </c>
      <c r="B14" s="135">
        <v>576.5999755859375</v>
      </c>
      <c r="C14" s="136">
        <v>576.5999755859375</v>
      </c>
      <c r="D14" s="6" t="s">
        <v>42</v>
      </c>
      <c r="E14" s="51" t="s">
        <v>184</v>
      </c>
      <c r="F14" s="51" t="s">
        <v>193</v>
      </c>
      <c r="G14" s="116" t="s">
        <v>192</v>
      </c>
      <c r="H14" s="49" t="s">
        <v>43</v>
      </c>
      <c r="I14" s="68">
        <v>1.5614490310443834</v>
      </c>
      <c r="J14" s="103" t="s">
        <v>44</v>
      </c>
    </row>
    <row r="15" spans="1:10" ht="15" customHeight="1" thickBot="1">
      <c r="A15" s="13" t="s">
        <v>45</v>
      </c>
      <c r="B15" s="141"/>
      <c r="C15" s="142"/>
      <c r="D15" s="6" t="s">
        <v>46</v>
      </c>
      <c r="E15" s="51" t="s">
        <v>185</v>
      </c>
      <c r="F15" s="51"/>
      <c r="G15" s="116"/>
      <c r="H15" s="10" t="s">
        <v>47</v>
      </c>
      <c r="I15" s="68">
        <v>0.96589165240170005</v>
      </c>
      <c r="J15" s="104">
        <v>28.511959876543209</v>
      </c>
    </row>
    <row r="16" spans="1:10" ht="15" customHeight="1">
      <c r="A16" s="6" t="s">
        <v>48</v>
      </c>
      <c r="B16" s="51">
        <v>72</v>
      </c>
      <c r="C16" s="52">
        <v>58</v>
      </c>
      <c r="D16" s="6" t="s">
        <v>49</v>
      </c>
      <c r="E16" s="51">
        <v>4</v>
      </c>
      <c r="F16" s="51"/>
      <c r="G16" s="116"/>
      <c r="H16" s="10" t="s">
        <v>50</v>
      </c>
      <c r="I16" s="68">
        <v>0.95596950205867326</v>
      </c>
      <c r="J16" s="105" t="s">
        <v>51</v>
      </c>
    </row>
    <row r="17" spans="1:10" ht="15" customHeight="1" thickBot="1">
      <c r="A17" s="6" t="s">
        <v>52</v>
      </c>
      <c r="B17" s="51" t="s">
        <v>177</v>
      </c>
      <c r="C17" s="52" t="s">
        <v>178</v>
      </c>
      <c r="D17" s="96" t="s">
        <v>53</v>
      </c>
      <c r="E17" s="51" t="s">
        <v>186</v>
      </c>
      <c r="F17" s="51"/>
      <c r="G17" s="116"/>
      <c r="H17" s="10" t="s">
        <v>54</v>
      </c>
      <c r="I17" s="68">
        <v>0.9233629619890823</v>
      </c>
      <c r="J17" s="104">
        <v>722.00923315836269</v>
      </c>
    </row>
    <row r="18" spans="1:10" ht="15" customHeight="1">
      <c r="A18" s="6" t="s">
        <v>55</v>
      </c>
      <c r="B18" s="51" t="s">
        <v>174</v>
      </c>
      <c r="C18" s="73">
        <v>0</v>
      </c>
      <c r="D18" s="6" t="s">
        <v>56</v>
      </c>
      <c r="E18" s="140">
        <v>1491</v>
      </c>
      <c r="F18" s="70">
        <v>946</v>
      </c>
      <c r="G18" s="74"/>
      <c r="H18" s="13" t="s">
        <v>57</v>
      </c>
      <c r="I18" s="132" t="s">
        <v>199</v>
      </c>
      <c r="J18" s="133"/>
    </row>
    <row r="19" spans="1:10" ht="15" customHeight="1">
      <c r="A19" s="6" t="s">
        <v>58</v>
      </c>
      <c r="B19" s="69">
        <v>76</v>
      </c>
      <c r="C19" s="73">
        <v>40.549999237060547</v>
      </c>
      <c r="D19" s="6" t="s">
        <v>59</v>
      </c>
      <c r="E19" s="70">
        <v>162</v>
      </c>
      <c r="F19" s="51"/>
      <c r="G19" s="52"/>
      <c r="H19" s="146"/>
      <c r="I19" s="3" t="s">
        <v>60</v>
      </c>
      <c r="J19" s="31" t="s">
        <v>61</v>
      </c>
    </row>
    <row r="20" spans="1:10" ht="15" customHeight="1">
      <c r="A20" s="6" t="s">
        <v>62</v>
      </c>
      <c r="B20" s="69" t="s">
        <v>179</v>
      </c>
      <c r="C20" s="73">
        <v>12.050000190734863</v>
      </c>
      <c r="D20" s="6" t="s">
        <v>166</v>
      </c>
      <c r="E20" s="67">
        <v>5.3956962832536148E-2</v>
      </c>
      <c r="F20" s="51"/>
      <c r="G20" s="52"/>
      <c r="H20" s="10" t="s">
        <v>63</v>
      </c>
      <c r="I20" s="68">
        <v>14.760526657104492</v>
      </c>
      <c r="J20" s="72">
        <v>14.760526657104492</v>
      </c>
    </row>
    <row r="21" spans="1:10" ht="15" customHeight="1">
      <c r="A21" s="6" t="s">
        <v>64</v>
      </c>
      <c r="B21" s="69">
        <v>15.199999809265137</v>
      </c>
      <c r="C21" s="73">
        <v>5</v>
      </c>
      <c r="D21" s="10" t="s">
        <v>187</v>
      </c>
      <c r="E21" s="67">
        <v>7.1977952383677879E-2</v>
      </c>
      <c r="F21" s="67">
        <v>6.1620298773050308E-2</v>
      </c>
      <c r="G21" s="71">
        <v>7.6689535095979854E-3</v>
      </c>
      <c r="H21" s="10" t="s">
        <v>65</v>
      </c>
      <c r="I21" s="68">
        <v>20.271615982055664</v>
      </c>
      <c r="J21" s="72">
        <v>14.824084281921387</v>
      </c>
    </row>
    <row r="22" spans="1:10" ht="15" customHeight="1">
      <c r="A22" s="6" t="s">
        <v>66</v>
      </c>
      <c r="B22" s="69">
        <v>3.6500000953674316</v>
      </c>
      <c r="C22" s="73">
        <v>5.5</v>
      </c>
      <c r="D22" s="6" t="s">
        <v>67</v>
      </c>
      <c r="E22" s="51" t="s">
        <v>188</v>
      </c>
      <c r="F22" s="51" t="s">
        <v>188</v>
      </c>
      <c r="G22" s="52" t="s">
        <v>188</v>
      </c>
      <c r="H22" s="10" t="s">
        <v>68</v>
      </c>
      <c r="I22" s="68">
        <v>4.4184255599975586</v>
      </c>
      <c r="J22" s="72">
        <v>4.0802617073059082</v>
      </c>
    </row>
    <row r="23" spans="1:10" ht="15" customHeight="1">
      <c r="A23" s="6" t="s">
        <v>69</v>
      </c>
      <c r="B23" s="69">
        <v>7.925593376159668</v>
      </c>
      <c r="C23" s="73">
        <v>11.912208557128906</v>
      </c>
      <c r="D23" s="6" t="s">
        <v>70</v>
      </c>
      <c r="E23" s="68">
        <v>1.7419999837875366</v>
      </c>
      <c r="F23" s="68">
        <v>1.7419999837875366</v>
      </c>
      <c r="G23" s="72">
        <v>1.7419999837875366</v>
      </c>
      <c r="H23" s="10" t="s">
        <v>71</v>
      </c>
      <c r="I23" s="68">
        <v>14.978128342135244</v>
      </c>
      <c r="J23" s="16" t="s">
        <v>200</v>
      </c>
    </row>
    <row r="24" spans="1:10" ht="15" customHeight="1">
      <c r="A24" s="6" t="s">
        <v>72</v>
      </c>
      <c r="B24" s="69">
        <v>0</v>
      </c>
      <c r="C24" s="73">
        <v>0.80000001192092896</v>
      </c>
      <c r="D24" s="6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3.2736440920171521</v>
      </c>
      <c r="J24" s="72">
        <v>3.0747412279399051</v>
      </c>
    </row>
    <row r="25" spans="1:10" ht="15" customHeight="1">
      <c r="A25" s="6" t="s">
        <v>75</v>
      </c>
      <c r="B25" s="51" t="s">
        <v>174</v>
      </c>
      <c r="C25" s="73">
        <v>0.80000001192092896</v>
      </c>
      <c r="D25" s="109" t="s">
        <v>76</v>
      </c>
      <c r="E25" s="53"/>
      <c r="F25" s="53"/>
      <c r="G25" s="60"/>
      <c r="H25" s="10" t="s">
        <v>77</v>
      </c>
      <c r="I25" s="68">
        <v>0.14126721024513245</v>
      </c>
      <c r="J25" s="72">
        <v>0.29649943113327026</v>
      </c>
    </row>
    <row r="26" spans="1:10" ht="15" customHeight="1">
      <c r="A26" s="6" t="s">
        <v>78</v>
      </c>
      <c r="B26" s="53" t="s">
        <v>180</v>
      </c>
      <c r="C26" s="60" t="s">
        <v>181</v>
      </c>
      <c r="D26" s="10" t="s">
        <v>79</v>
      </c>
      <c r="E26" s="69">
        <v>236.21464432467545</v>
      </c>
      <c r="F26" s="69">
        <v>221.10817693897246</v>
      </c>
      <c r="G26" s="73">
        <v>99.984177484690463</v>
      </c>
      <c r="H26" s="10" t="s">
        <v>80</v>
      </c>
      <c r="I26" s="68">
        <v>2.0536773204803467</v>
      </c>
      <c r="J26" s="72">
        <v>1.8388420343399048</v>
      </c>
    </row>
    <row r="27" spans="1:10" ht="15" customHeight="1" thickBot="1">
      <c r="A27" s="6" t="s">
        <v>81</v>
      </c>
      <c r="B27" s="51" t="s">
        <v>182</v>
      </c>
      <c r="C27" s="52" t="s">
        <v>182</v>
      </c>
      <c r="D27" s="11" t="s">
        <v>82</v>
      </c>
      <c r="E27" s="80">
        <v>266.13835463812671</v>
      </c>
      <c r="F27" s="80" t="s">
        <v>174</v>
      </c>
      <c r="G27" s="82" t="s">
        <v>174</v>
      </c>
      <c r="H27" s="11" t="s">
        <v>83</v>
      </c>
      <c r="I27" s="79">
        <v>2.058530330657959</v>
      </c>
      <c r="J27" s="81">
        <v>1.8625926971435547</v>
      </c>
    </row>
    <row r="28" spans="1:10" ht="15" customHeight="1">
      <c r="A28" s="6" t="s">
        <v>84</v>
      </c>
      <c r="B28" s="1"/>
      <c r="C28" s="39"/>
      <c r="D28" s="13" t="s">
        <v>85</v>
      </c>
      <c r="E28" s="22"/>
      <c r="F28" s="19"/>
      <c r="G28" s="42"/>
      <c r="H28" s="15"/>
      <c r="I28" s="28" t="s">
        <v>86</v>
      </c>
      <c r="J28" s="15"/>
    </row>
    <row r="29" spans="1:10" ht="15" customHeight="1">
      <c r="A29" s="7"/>
      <c r="B29" s="35" t="s">
        <v>87</v>
      </c>
      <c r="C29" s="75">
        <v>35.001719239581497</v>
      </c>
      <c r="D29" s="7"/>
      <c r="E29" s="3" t="s">
        <v>88</v>
      </c>
      <c r="F29" s="3" t="s">
        <v>89</v>
      </c>
      <c r="G29" s="3" t="s">
        <v>90</v>
      </c>
      <c r="H29" s="16" t="s">
        <v>91</v>
      </c>
      <c r="I29" s="3" t="s">
        <v>92</v>
      </c>
      <c r="J29" s="16" t="s">
        <v>93</v>
      </c>
    </row>
    <row r="30" spans="1:10" ht="15" customHeight="1" thickBot="1">
      <c r="A30" s="8"/>
      <c r="B30" s="63" t="s">
        <v>94</v>
      </c>
      <c r="C30" s="76">
        <v>35.036186419923645</v>
      </c>
      <c r="D30" s="10" t="s">
        <v>95</v>
      </c>
      <c r="E30" s="69">
        <v>32.004948124999999</v>
      </c>
      <c r="F30" s="69">
        <v>766.87796752929694</v>
      </c>
      <c r="G30" s="69">
        <v>15.11451235567815</v>
      </c>
      <c r="H30" s="74">
        <v>381.49012795661588</v>
      </c>
      <c r="I30" s="70">
        <v>90164.914563837869</v>
      </c>
      <c r="J30" s="74">
        <v>6246.2594585320267</v>
      </c>
    </row>
    <row r="31" spans="1:10" ht="15" customHeight="1">
      <c r="A31" s="23" t="s">
        <v>96</v>
      </c>
      <c r="B31" s="147"/>
      <c r="C31" s="27"/>
      <c r="D31" s="10" t="s">
        <v>97</v>
      </c>
      <c r="E31" s="69">
        <v>7.6000000000000005</v>
      </c>
      <c r="F31" s="69">
        <v>822.58145049559187</v>
      </c>
      <c r="G31" s="69">
        <v>14.090989419388833</v>
      </c>
      <c r="H31" s="74">
        <v>67.459535056247859</v>
      </c>
      <c r="I31" s="70">
        <v>25006.476095065995</v>
      </c>
      <c r="J31" s="74">
        <v>1546.3280897224001</v>
      </c>
    </row>
    <row r="32" spans="1:10" ht="15" customHeight="1">
      <c r="A32" s="6" t="s">
        <v>98</v>
      </c>
      <c r="B32" s="68" t="s">
        <v>241</v>
      </c>
      <c r="C32" s="110"/>
      <c r="D32" s="10" t="s">
        <v>99</v>
      </c>
      <c r="E32" s="69">
        <v>17.368280379415154</v>
      </c>
      <c r="F32" s="69">
        <v>820.38645472175563</v>
      </c>
      <c r="G32" s="69">
        <v>14.128690751543594</v>
      </c>
      <c r="H32" s="74">
        <v>155.6521052332013</v>
      </c>
      <c r="I32" s="9" t="s">
        <v>100</v>
      </c>
      <c r="J32" s="74">
        <v>7792.587548254427</v>
      </c>
    </row>
    <row r="33" spans="1:10" ht="15" customHeight="1">
      <c r="A33" s="6" t="s">
        <v>101</v>
      </c>
      <c r="B33" s="68" t="s">
        <v>242</v>
      </c>
      <c r="C33" s="111" t="s">
        <v>102</v>
      </c>
      <c r="D33" s="10" t="s">
        <v>97</v>
      </c>
      <c r="E33" s="69">
        <v>4.0549999237060552</v>
      </c>
      <c r="F33" s="69">
        <v>995.94397866619283</v>
      </c>
      <c r="G33" s="69">
        <v>11.638191267587167</v>
      </c>
      <c r="H33" s="74">
        <v>20.586921303931089</v>
      </c>
      <c r="I33" s="9" t="s">
        <v>103</v>
      </c>
      <c r="J33" s="73" t="s">
        <v>211</v>
      </c>
    </row>
    <row r="34" spans="1:10" ht="15" customHeight="1" thickBot="1">
      <c r="A34" s="17" t="s">
        <v>104</v>
      </c>
      <c r="B34" s="79" t="s">
        <v>243</v>
      </c>
      <c r="C34" s="112">
        <v>11.590986515518905</v>
      </c>
      <c r="D34" s="11" t="s">
        <v>20</v>
      </c>
      <c r="E34" s="79">
        <v>0.33099999427795412</v>
      </c>
      <c r="F34" s="80">
        <v>1652.834087881695</v>
      </c>
      <c r="G34" s="80">
        <v>7.0127949323541259</v>
      </c>
      <c r="H34" s="83">
        <v>1847.1817475240894</v>
      </c>
      <c r="I34" s="9" t="s">
        <v>105</v>
      </c>
      <c r="J34" s="73">
        <v>6.0500001907348633</v>
      </c>
    </row>
    <row r="35" spans="1:10" ht="15" customHeight="1">
      <c r="A35" s="13" t="s">
        <v>106</v>
      </c>
      <c r="B35" s="14"/>
      <c r="C35" s="14"/>
      <c r="D35" s="137" t="s">
        <v>213</v>
      </c>
      <c r="E35" s="148" t="s">
        <v>212</v>
      </c>
      <c r="F35" s="15"/>
      <c r="G35" s="26" t="s">
        <v>107</v>
      </c>
      <c r="H35" s="85" t="s">
        <v>206</v>
      </c>
      <c r="I35" s="10" t="s">
        <v>108</v>
      </c>
      <c r="J35" s="74" t="s">
        <v>210</v>
      </c>
    </row>
    <row r="36" spans="1:10" ht="15" customHeight="1">
      <c r="A36" s="6" t="s">
        <v>109</v>
      </c>
      <c r="B36" s="3">
        <v>25</v>
      </c>
      <c r="C36" s="3">
        <v>50</v>
      </c>
      <c r="D36" s="3">
        <v>75</v>
      </c>
      <c r="E36" s="3">
        <v>100</v>
      </c>
      <c r="F36" s="16">
        <v>125</v>
      </c>
      <c r="G36" s="10" t="s">
        <v>110</v>
      </c>
      <c r="H36" s="74" t="s">
        <v>204</v>
      </c>
      <c r="I36" s="10" t="s">
        <v>111</v>
      </c>
      <c r="J36" s="74" t="s">
        <v>209</v>
      </c>
    </row>
    <row r="37" spans="1:10" ht="15" customHeight="1" thickBot="1">
      <c r="A37" s="6" t="s">
        <v>112</v>
      </c>
      <c r="B37" s="69" t="s">
        <v>223</v>
      </c>
      <c r="C37" s="69" t="s">
        <v>224</v>
      </c>
      <c r="D37" s="69" t="s">
        <v>225</v>
      </c>
      <c r="E37" s="69" t="s">
        <v>226</v>
      </c>
      <c r="F37" s="73" t="s">
        <v>227</v>
      </c>
      <c r="G37" s="10" t="s">
        <v>113</v>
      </c>
      <c r="H37" s="74" t="s">
        <v>205</v>
      </c>
      <c r="I37" s="11" t="s">
        <v>114</v>
      </c>
      <c r="J37" s="83" t="s">
        <v>208</v>
      </c>
    </row>
    <row r="38" spans="1:10" ht="15" customHeight="1" thickBot="1">
      <c r="A38" s="6" t="s">
        <v>115</v>
      </c>
      <c r="B38" s="68" t="s">
        <v>215</v>
      </c>
      <c r="C38" s="68" t="s">
        <v>216</v>
      </c>
      <c r="D38" s="68" t="s">
        <v>217</v>
      </c>
      <c r="E38" s="68" t="s">
        <v>218</v>
      </c>
      <c r="F38" s="72" t="s">
        <v>218</v>
      </c>
      <c r="G38" s="17" t="s">
        <v>116</v>
      </c>
      <c r="H38" s="83" t="s">
        <v>207</v>
      </c>
      <c r="I38" s="139" t="s">
        <v>214</v>
      </c>
      <c r="J38" s="84">
        <v>20112.8359375</v>
      </c>
    </row>
    <row r="39" spans="1:10" ht="15" customHeight="1">
      <c r="A39" s="6" t="s">
        <v>117</v>
      </c>
      <c r="B39" s="68" t="s">
        <v>219</v>
      </c>
      <c r="C39" s="68" t="s">
        <v>220</v>
      </c>
      <c r="D39" s="68" t="s">
        <v>221</v>
      </c>
      <c r="E39" s="68" t="s">
        <v>222</v>
      </c>
      <c r="F39" s="72" t="s">
        <v>222</v>
      </c>
      <c r="G39" s="13" t="s">
        <v>118</v>
      </c>
      <c r="H39" s="14"/>
      <c r="I39" s="40" t="s">
        <v>119</v>
      </c>
      <c r="J39" s="41" t="s">
        <v>120</v>
      </c>
    </row>
    <row r="40" spans="1:10" ht="15" customHeight="1">
      <c r="A40" s="6" t="s">
        <v>119</v>
      </c>
      <c r="B40" s="67" t="s">
        <v>236</v>
      </c>
      <c r="C40" s="67" t="s">
        <v>237</v>
      </c>
      <c r="D40" s="67" t="s">
        <v>238</v>
      </c>
      <c r="E40" s="67" t="s">
        <v>239</v>
      </c>
      <c r="F40" s="71" t="s">
        <v>240</v>
      </c>
      <c r="G40" s="36" t="s">
        <v>121</v>
      </c>
      <c r="H40" s="91" t="s">
        <v>244</v>
      </c>
      <c r="I40" s="55"/>
      <c r="J40" s="56"/>
    </row>
    <row r="41" spans="1:10" ht="15" customHeight="1">
      <c r="A41" s="6" t="s">
        <v>5</v>
      </c>
      <c r="B41" s="70" t="s">
        <v>231</v>
      </c>
      <c r="C41" s="70" t="s">
        <v>232</v>
      </c>
      <c r="D41" s="70" t="s">
        <v>233</v>
      </c>
      <c r="E41" s="70" t="s">
        <v>234</v>
      </c>
      <c r="F41" s="74" t="s">
        <v>235</v>
      </c>
      <c r="G41" s="37" t="s">
        <v>122</v>
      </c>
      <c r="H41" s="92" t="s">
        <v>245</v>
      </c>
      <c r="I41" s="57"/>
      <c r="J41" s="58"/>
    </row>
    <row r="42" spans="1:10" ht="15" customHeight="1">
      <c r="A42" s="6" t="s">
        <v>123</v>
      </c>
      <c r="B42" s="68">
        <v>4.270935785590444</v>
      </c>
      <c r="C42" s="68">
        <v>4.270935785590444</v>
      </c>
      <c r="D42" s="68">
        <v>4.270935785590444</v>
      </c>
      <c r="E42" s="68">
        <v>4.270935785590444</v>
      </c>
      <c r="F42" s="72">
        <v>4.270935785590444</v>
      </c>
      <c r="G42" s="36" t="s">
        <v>124</v>
      </c>
      <c r="H42" s="91" t="s">
        <v>246</v>
      </c>
      <c r="I42" s="55"/>
      <c r="J42" s="97">
        <v>0.15919114658526795</v>
      </c>
    </row>
    <row r="43" spans="1:10" ht="15" customHeight="1" thickBot="1">
      <c r="A43" s="17" t="s">
        <v>125</v>
      </c>
      <c r="B43" s="79">
        <v>4.270935785590444</v>
      </c>
      <c r="C43" s="79"/>
      <c r="D43" s="79" t="s">
        <v>249</v>
      </c>
      <c r="E43" s="79"/>
      <c r="F43" s="81"/>
      <c r="G43" s="37" t="s">
        <v>122</v>
      </c>
      <c r="H43" s="92" t="s">
        <v>247</v>
      </c>
      <c r="I43" s="57"/>
      <c r="J43" s="58"/>
    </row>
    <row r="44" spans="1:10" ht="15" customHeight="1">
      <c r="A44" s="5" t="s">
        <v>126</v>
      </c>
      <c r="B44" s="144"/>
      <c r="C44" s="1"/>
      <c r="D44" s="1"/>
      <c r="E44" s="5" t="s">
        <v>127</v>
      </c>
      <c r="F44" s="20"/>
      <c r="G44" s="36" t="s">
        <v>128</v>
      </c>
      <c r="H44" s="93">
        <v>3556.5330859076298</v>
      </c>
      <c r="I44" s="90">
        <v>3.3718410947777167E-2</v>
      </c>
      <c r="J44" s="97">
        <v>0.63500145407399733</v>
      </c>
    </row>
    <row r="45" spans="1:10" ht="15" customHeight="1">
      <c r="A45" s="6" t="s">
        <v>129</v>
      </c>
      <c r="B45" s="68">
        <v>0.27693092823028564</v>
      </c>
      <c r="C45" s="4" t="s">
        <v>130</v>
      </c>
      <c r="D45" s="72">
        <v>7.7049536630511284E-3</v>
      </c>
      <c r="E45" s="6" t="s">
        <v>131</v>
      </c>
      <c r="F45" s="74">
        <v>1128.2054550637513</v>
      </c>
      <c r="G45" s="38" t="s">
        <v>122</v>
      </c>
      <c r="H45" s="86" t="s">
        <v>248</v>
      </c>
      <c r="I45" s="59"/>
      <c r="J45" s="60"/>
    </row>
    <row r="46" spans="1:10" ht="15" customHeight="1">
      <c r="A46" s="6" t="s">
        <v>132</v>
      </c>
      <c r="B46" s="68">
        <v>0.19955497980117798</v>
      </c>
      <c r="C46" s="4" t="s">
        <v>133</v>
      </c>
      <c r="D46" s="72">
        <v>6.7328084260225296E-3</v>
      </c>
      <c r="E46" s="6" t="s">
        <v>134</v>
      </c>
      <c r="F46" s="74">
        <v>1602.8368698070556</v>
      </c>
      <c r="G46" s="37" t="s">
        <v>135</v>
      </c>
      <c r="H46" s="94">
        <v>781.12851775908064</v>
      </c>
      <c r="I46" s="57"/>
      <c r="J46" s="58"/>
    </row>
    <row r="47" spans="1:10" ht="15" customHeight="1">
      <c r="A47" s="6" t="s">
        <v>136</v>
      </c>
      <c r="B47" s="68">
        <v>0.47648590803146362</v>
      </c>
      <c r="C47" s="4" t="s">
        <v>137</v>
      </c>
      <c r="D47" s="72">
        <v>6.0321716591715813E-3</v>
      </c>
      <c r="E47" s="6" t="s">
        <v>138</v>
      </c>
      <c r="F47" s="74">
        <v>1041.1510062886643</v>
      </c>
      <c r="G47" s="64" t="s">
        <v>139</v>
      </c>
      <c r="H47" s="93">
        <v>3438.7019644671618</v>
      </c>
      <c r="I47" s="90">
        <v>3.2563500879337084E-2</v>
      </c>
      <c r="J47" s="95">
        <v>0.64674651360723756</v>
      </c>
    </row>
    <row r="48" spans="1:10" ht="15" customHeight="1">
      <c r="A48" s="6" t="s">
        <v>140</v>
      </c>
      <c r="B48" s="68">
        <v>1.035020686686039E-2</v>
      </c>
      <c r="C48" s="4" t="s">
        <v>100</v>
      </c>
      <c r="D48" s="72">
        <v>3.0820140615105629E-2</v>
      </c>
      <c r="E48" s="6" t="s">
        <v>141</v>
      </c>
      <c r="F48" s="74">
        <v>415.57971884634622</v>
      </c>
      <c r="G48" s="65" t="s">
        <v>122</v>
      </c>
      <c r="H48" s="86">
        <v>230.47600298037278</v>
      </c>
      <c r="I48" s="59"/>
      <c r="J48" s="60"/>
    </row>
    <row r="49" spans="1:10" ht="15" customHeight="1" thickBot="1">
      <c r="A49" s="8"/>
      <c r="B49" s="54"/>
      <c r="C49" s="33" t="s">
        <v>142</v>
      </c>
      <c r="D49" s="81">
        <v>0.96917986869812012</v>
      </c>
      <c r="E49" s="17" t="s">
        <v>143</v>
      </c>
      <c r="F49" s="83">
        <v>1045.2340517479697</v>
      </c>
      <c r="G49" s="66" t="s">
        <v>135</v>
      </c>
      <c r="H49" s="94">
        <v>767.40936663605385</v>
      </c>
      <c r="I49" s="57"/>
      <c r="J49" s="61"/>
    </row>
    <row r="50" spans="1:10" ht="15" customHeight="1">
      <c r="A50" s="13" t="s">
        <v>196</v>
      </c>
      <c r="B50" s="14"/>
      <c r="C50" s="14"/>
      <c r="D50" s="14"/>
      <c r="E50" s="14"/>
      <c r="F50" s="15"/>
      <c r="G50" s="13" t="s">
        <v>144</v>
      </c>
      <c r="H50" s="14"/>
      <c r="I50" s="42"/>
      <c r="J50" s="27"/>
    </row>
    <row r="51" spans="1:10" ht="15" customHeight="1">
      <c r="A51" s="10" t="s">
        <v>145</v>
      </c>
      <c r="B51" s="51">
        <v>58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6.5913625991011637E-2</v>
      </c>
      <c r="I51" s="45" t="s">
        <v>149</v>
      </c>
      <c r="J51" s="39"/>
    </row>
    <row r="52" spans="1:10" ht="15" customHeight="1">
      <c r="A52" s="10" t="s">
        <v>58</v>
      </c>
      <c r="B52" s="69">
        <v>40.549999237060547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169834.50720227114</v>
      </c>
      <c r="I52" s="98" t="s">
        <v>228</v>
      </c>
      <c r="J52" s="62"/>
    </row>
    <row r="53" spans="1:10" ht="15" customHeight="1">
      <c r="A53" s="10" t="s">
        <v>64</v>
      </c>
      <c r="B53" s="69">
        <v>5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176.78433226427072</v>
      </c>
      <c r="I53" s="44" t="s">
        <v>154</v>
      </c>
      <c r="J53" s="39"/>
    </row>
    <row r="54" spans="1:10" ht="15" customHeight="1">
      <c r="A54" s="10" t="s">
        <v>66</v>
      </c>
      <c r="B54" s="69">
        <v>5.5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411819.5</v>
      </c>
      <c r="I54" s="99" t="s">
        <v>229</v>
      </c>
      <c r="J54" s="100" t="s">
        <v>194</v>
      </c>
    </row>
    <row r="55" spans="1:10" ht="15" customHeight="1">
      <c r="A55" s="10" t="s">
        <v>156</v>
      </c>
      <c r="B55" s="69">
        <v>12.050000190734863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</v>
      </c>
      <c r="I55" s="44" t="s">
        <v>160</v>
      </c>
      <c r="J55" s="39"/>
    </row>
    <row r="56" spans="1:10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0.87493749999999992</v>
      </c>
      <c r="I56" s="101" t="s">
        <v>230</v>
      </c>
      <c r="J56" s="61" t="s">
        <v>195</v>
      </c>
    </row>
    <row r="57" spans="1:10" ht="15" customHeight="1">
      <c r="A57" s="23" t="s">
        <v>400</v>
      </c>
      <c r="B57" s="42"/>
      <c r="C57" s="42"/>
      <c r="D57" s="42"/>
      <c r="E57" s="42"/>
      <c r="F57" s="27"/>
      <c r="G57" s="119"/>
      <c r="H57" s="120"/>
      <c r="I57" s="120"/>
      <c r="J57" s="121"/>
    </row>
    <row r="58" spans="1:10" ht="15" customHeight="1">
      <c r="A58" s="102" t="s">
        <v>119</v>
      </c>
      <c r="B58" s="3" t="s">
        <v>165</v>
      </c>
      <c r="C58" s="16" t="s">
        <v>401</v>
      </c>
      <c r="D58" s="3" t="s">
        <v>119</v>
      </c>
      <c r="E58" s="3" t="s">
        <v>165</v>
      </c>
      <c r="F58" s="16" t="s">
        <v>402</v>
      </c>
      <c r="G58" s="122"/>
      <c r="H58" s="32"/>
      <c r="I58" s="32"/>
      <c r="J58" s="46"/>
    </row>
    <row r="59" spans="1:10" ht="15" customHeight="1">
      <c r="A59" s="126">
        <v>0</v>
      </c>
      <c r="B59" s="86">
        <v>0</v>
      </c>
      <c r="C59" s="87">
        <v>0.2487950474023819</v>
      </c>
      <c r="D59" s="128">
        <v>0.68736839294433594</v>
      </c>
      <c r="E59" s="86">
        <v>70.753734064817337</v>
      </c>
      <c r="F59" s="87">
        <v>514.95703125</v>
      </c>
      <c r="G59" s="122"/>
      <c r="H59" s="32"/>
      <c r="I59" s="32"/>
      <c r="J59" s="46"/>
    </row>
    <row r="60" spans="1:10" ht="15" customHeight="1">
      <c r="A60" s="130">
        <v>2.0000003278255463E-3</v>
      </c>
      <c r="B60" s="86">
        <v>118.63148311927225</v>
      </c>
      <c r="C60" s="87">
        <v>129.01593017578125</v>
      </c>
      <c r="D60" s="128">
        <v>0.79157894849777222</v>
      </c>
      <c r="E60" s="86">
        <v>70.351002375350674</v>
      </c>
      <c r="F60" s="87">
        <v>519.18328857421875</v>
      </c>
      <c r="G60" s="122"/>
      <c r="H60" s="32"/>
      <c r="I60" s="32"/>
      <c r="J60" s="46"/>
    </row>
    <row r="61" spans="1:10" ht="15" customHeight="1">
      <c r="A61" s="130">
        <v>1.0000001639127731E-2</v>
      </c>
      <c r="B61" s="86">
        <v>220</v>
      </c>
      <c r="C61" s="87">
        <v>378.78115844726563</v>
      </c>
      <c r="D61" s="128">
        <v>0.89578944444656372</v>
      </c>
      <c r="E61" s="86">
        <v>70.122809429200629</v>
      </c>
      <c r="F61" s="87">
        <v>522.67010498046875</v>
      </c>
      <c r="G61" s="122"/>
      <c r="H61" s="32"/>
      <c r="I61" s="32"/>
      <c r="J61" s="46"/>
    </row>
    <row r="62" spans="1:10" ht="15" customHeight="1">
      <c r="A62" s="126">
        <v>6.2105264514684677E-2</v>
      </c>
      <c r="B62" s="86">
        <v>122.44761677662081</v>
      </c>
      <c r="C62" s="87">
        <v>442.03927612304688</v>
      </c>
      <c r="D62" s="129">
        <v>1</v>
      </c>
      <c r="E62" s="86">
        <v>70</v>
      </c>
      <c r="F62" s="87">
        <v>525.5999755859375</v>
      </c>
      <c r="G62" s="122"/>
      <c r="H62" s="32"/>
      <c r="I62" s="32"/>
      <c r="J62" s="46"/>
    </row>
    <row r="63" spans="1:10" ht="15" customHeight="1" thickBot="1">
      <c r="A63" s="126">
        <v>0.11421053111553192</v>
      </c>
      <c r="B63" s="86">
        <v>96.259189977484112</v>
      </c>
      <c r="C63" s="87">
        <v>460.85833740234375</v>
      </c>
      <c r="D63" s="386"/>
      <c r="E63" s="88"/>
      <c r="F63" s="387"/>
      <c r="G63" s="122"/>
      <c r="H63" s="32"/>
      <c r="I63" s="32"/>
      <c r="J63" s="46"/>
    </row>
    <row r="64" spans="1:10" ht="15" customHeight="1">
      <c r="A64" s="126">
        <v>0.16631579399108887</v>
      </c>
      <c r="B64" s="86">
        <v>84.776656259913935</v>
      </c>
      <c r="C64" s="87">
        <v>470.89599609375</v>
      </c>
      <c r="D64" s="388" t="s">
        <v>435</v>
      </c>
      <c r="E64" s="389"/>
      <c r="F64" s="389"/>
      <c r="G64" s="122"/>
      <c r="H64" s="32"/>
      <c r="I64" s="32"/>
      <c r="J64" s="46"/>
    </row>
    <row r="65" spans="1:10" ht="15" customHeight="1">
      <c r="A65" s="126">
        <v>0.27052631974220276</v>
      </c>
      <c r="B65" s="86">
        <v>77.6932151771517</v>
      </c>
      <c r="C65" s="87">
        <v>484.47894287109375</v>
      </c>
      <c r="D65" s="390" t="s">
        <v>419</v>
      </c>
      <c r="E65" s="392" t="s">
        <v>433</v>
      </c>
      <c r="F65" s="392"/>
      <c r="G65" s="122"/>
      <c r="H65" s="32"/>
      <c r="I65" s="32"/>
      <c r="J65" s="46"/>
    </row>
    <row r="66" spans="1:10" ht="15" customHeight="1">
      <c r="A66" s="126">
        <v>0.37473684549331665</v>
      </c>
      <c r="B66" s="86">
        <v>74.443294321813966</v>
      </c>
      <c r="C66" s="87">
        <v>494.86856079101563</v>
      </c>
      <c r="D66" s="390" t="s">
        <v>416</v>
      </c>
      <c r="E66" s="392" t="s">
        <v>434</v>
      </c>
      <c r="F66" s="392"/>
      <c r="G66" s="122"/>
      <c r="H66" s="32"/>
      <c r="I66" s="32"/>
      <c r="J66" s="46"/>
    </row>
    <row r="67" spans="1:10" ht="15" customHeight="1">
      <c r="A67" s="126">
        <v>0.47894737124443054</v>
      </c>
      <c r="B67" s="86">
        <v>72.573025147874347</v>
      </c>
      <c r="C67" s="87">
        <v>503.122802734375</v>
      </c>
      <c r="D67" s="390" t="s">
        <v>423</v>
      </c>
      <c r="E67" s="392" t="s">
        <v>436</v>
      </c>
      <c r="F67" s="392"/>
      <c r="G67" s="122"/>
      <c r="H67" s="32"/>
      <c r="I67" s="32"/>
      <c r="J67" s="46"/>
    </row>
    <row r="68" spans="1:10" ht="15" customHeight="1" thickBot="1">
      <c r="A68" s="127">
        <v>0.58315789699554443</v>
      </c>
      <c r="B68" s="88">
        <v>71.437979667140553</v>
      </c>
      <c r="C68" s="89">
        <v>509.6976318359375</v>
      </c>
      <c r="D68" s="391" t="s">
        <v>424</v>
      </c>
      <c r="E68" s="393" t="s">
        <v>437</v>
      </c>
      <c r="F68" s="393"/>
      <c r="G68" s="123"/>
      <c r="H68" s="47"/>
      <c r="I68" s="47"/>
      <c r="J68" s="48"/>
    </row>
    <row r="69" spans="1:10" ht="1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58" t="s">
        <v>432</v>
      </c>
      <c r="B99" s="358"/>
      <c r="C99" s="358"/>
      <c r="D99" s="358"/>
      <c r="E99" s="358"/>
      <c r="F99" s="358"/>
      <c r="G99" s="358"/>
      <c r="H99" s="358"/>
      <c r="I99" s="358"/>
    </row>
    <row r="100" spans="1:9">
      <c r="A100" s="358">
        <v>100</v>
      </c>
      <c r="B100" s="358"/>
      <c r="C100" s="358"/>
      <c r="D100" s="358"/>
      <c r="E100" s="358"/>
      <c r="F100" s="358"/>
      <c r="G100" s="358"/>
      <c r="H100" s="358"/>
      <c r="I100" s="358"/>
    </row>
    <row r="101" spans="1:9">
      <c r="A101" s="358">
        <v>99.599998474121094</v>
      </c>
      <c r="B101" s="358"/>
      <c r="C101" s="358"/>
      <c r="D101" s="358"/>
      <c r="E101" s="358"/>
      <c r="F101" s="358"/>
      <c r="G101" s="358"/>
      <c r="H101" s="358"/>
      <c r="I101" s="358"/>
    </row>
    <row r="102" spans="1:9">
      <c r="A102" s="358">
        <v>98</v>
      </c>
      <c r="B102" s="358"/>
      <c r="C102" s="358"/>
      <c r="D102" s="358"/>
      <c r="E102" s="358"/>
      <c r="F102" s="358"/>
      <c r="G102" s="358"/>
      <c r="H102" s="358"/>
      <c r="I102" s="358"/>
    </row>
    <row r="103" spans="1:9">
      <c r="A103" s="358">
        <v>83.852630615234375</v>
      </c>
      <c r="B103" s="358"/>
      <c r="C103" s="358"/>
      <c r="D103" s="358"/>
      <c r="E103" s="358"/>
      <c r="F103" s="358"/>
      <c r="G103" s="358"/>
      <c r="H103" s="358"/>
      <c r="I103" s="358"/>
    </row>
    <row r="104" spans="1:9">
      <c r="A104" s="358">
        <v>70.305259704589844</v>
      </c>
      <c r="B104" s="358"/>
      <c r="C104" s="358"/>
      <c r="D104" s="358"/>
      <c r="E104" s="358"/>
      <c r="F104" s="358"/>
      <c r="G104" s="358"/>
      <c r="H104" s="358"/>
      <c r="I104" s="358"/>
    </row>
    <row r="105" spans="1:9">
      <c r="A105" s="358">
        <v>57.410526275634766</v>
      </c>
      <c r="B105" s="358"/>
      <c r="C105" s="358"/>
      <c r="D105" s="358"/>
      <c r="E105" s="358"/>
      <c r="F105" s="358"/>
      <c r="G105" s="358"/>
      <c r="H105" s="358"/>
      <c r="I105" s="358"/>
    </row>
    <row r="106" spans="1:9">
      <c r="A106" s="358">
        <v>38.010524749755859</v>
      </c>
      <c r="B106" s="358"/>
      <c r="C106" s="358"/>
      <c r="D106" s="358"/>
      <c r="E106" s="358"/>
      <c r="F106" s="358"/>
      <c r="G106" s="358"/>
      <c r="H106" s="358"/>
      <c r="I106" s="358"/>
    </row>
    <row r="107" spans="1:9">
      <c r="A107" s="358">
        <v>24.778947830200195</v>
      </c>
      <c r="B107" s="358"/>
      <c r="C107" s="358"/>
      <c r="D107" s="358"/>
      <c r="E107" s="358"/>
      <c r="F107" s="358"/>
      <c r="G107" s="358"/>
      <c r="H107" s="358"/>
      <c r="I107" s="358"/>
    </row>
    <row r="108" spans="1:9">
      <c r="A108" s="358">
        <v>15.684209823608398</v>
      </c>
      <c r="B108" s="358"/>
      <c r="C108" s="358"/>
      <c r="D108" s="358"/>
      <c r="E108" s="358"/>
      <c r="F108" s="358"/>
      <c r="G108" s="358"/>
      <c r="H108" s="358"/>
      <c r="I108" s="358"/>
    </row>
    <row r="109" spans="1:9">
      <c r="A109" s="358">
        <v>9.0105257034301758</v>
      </c>
      <c r="B109" s="358"/>
      <c r="C109" s="358"/>
      <c r="D109" s="358"/>
      <c r="E109" s="358"/>
      <c r="F109" s="358"/>
      <c r="G109" s="358"/>
      <c r="H109" s="358"/>
      <c r="I109" s="358"/>
    </row>
    <row r="110" spans="1:9">
      <c r="A110" s="358">
        <v>6.2526321411132813</v>
      </c>
      <c r="B110" s="358"/>
      <c r="C110" s="358"/>
      <c r="D110" s="358"/>
      <c r="E110" s="358"/>
      <c r="F110" s="358"/>
      <c r="G110" s="358"/>
      <c r="H110" s="358"/>
      <c r="I110" s="358"/>
    </row>
    <row r="111" spans="1:9">
      <c r="A111" s="358">
        <v>7.8315787315368652</v>
      </c>
      <c r="B111" s="358"/>
      <c r="C111" s="358"/>
      <c r="D111" s="358"/>
      <c r="E111" s="358"/>
      <c r="F111" s="358"/>
      <c r="G111" s="358"/>
      <c r="H111" s="358"/>
      <c r="I111" s="358"/>
    </row>
    <row r="112" spans="1:9">
      <c r="A112" s="358">
        <v>14.70526123046875</v>
      </c>
      <c r="B112" s="358"/>
      <c r="C112" s="358"/>
      <c r="D112" s="358"/>
      <c r="E112" s="358"/>
      <c r="F112" s="358"/>
      <c r="G112" s="358"/>
      <c r="H112" s="358"/>
      <c r="I112" s="358"/>
    </row>
    <row r="113" spans="1:9">
      <c r="A113" s="358">
        <v>30</v>
      </c>
      <c r="B113" s="358"/>
      <c r="C113" s="358"/>
      <c r="D113" s="358"/>
      <c r="E113" s="358"/>
      <c r="F113" s="358"/>
      <c r="G113" s="358"/>
      <c r="H113" s="358"/>
      <c r="I113" s="358"/>
    </row>
  </sheetData>
  <printOptions horizontalCentered="1"/>
  <pageMargins left="0.86614173228346503" right="0" top="0.23622047244094499" bottom="0.23622047244094499" header="0" footer="0"/>
  <pageSetup scale="7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topLeftCell="A16" workbookViewId="0">
      <selection activeCell="L30" sqref="L30"/>
    </sheetView>
  </sheetViews>
  <sheetFormatPr defaultRowHeight="15.75"/>
  <cols>
    <col min="1" max="1" width="12.140625" style="301" customWidth="1"/>
    <col min="2" max="2" width="6.140625" style="301" customWidth="1"/>
    <col min="3" max="3" width="7.7109375" style="301" customWidth="1"/>
    <col min="4" max="5" width="13.140625" style="301" customWidth="1"/>
    <col min="6" max="6" width="9.42578125" style="301" customWidth="1"/>
    <col min="7" max="7" width="5.7109375" style="301" customWidth="1"/>
    <col min="8" max="8" width="7.85546875" style="301" customWidth="1"/>
    <col min="9" max="9" width="8.85546875" style="301" customWidth="1"/>
    <col min="10" max="11" width="12" style="301" customWidth="1"/>
    <col min="12" max="12" width="16" style="151" customWidth="1"/>
    <col min="13" max="26" width="9.140625" style="151"/>
    <col min="27" max="16384" width="9.140625" style="152"/>
  </cols>
  <sheetData>
    <row r="1" spans="1:26" ht="20.25" customHeight="1">
      <c r="A1" s="522" t="s">
        <v>250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</row>
    <row r="2" spans="1:26" ht="20.25" customHeight="1">
      <c r="A2" s="523" t="s">
        <v>251</v>
      </c>
      <c r="B2" s="523"/>
      <c r="C2" s="523"/>
      <c r="D2" s="523"/>
      <c r="E2" s="523"/>
      <c r="F2" s="523"/>
      <c r="G2" s="523"/>
      <c r="H2" s="523"/>
      <c r="I2" s="523"/>
      <c r="J2" s="523"/>
      <c r="K2" s="523"/>
    </row>
    <row r="3" spans="1:26" ht="18.75" customHeight="1" thickBot="1">
      <c r="A3" s="153" t="s">
        <v>1</v>
      </c>
      <c r="B3" s="154" t="s">
        <v>361</v>
      </c>
      <c r="C3" s="155"/>
      <c r="D3" s="155"/>
      <c r="E3" s="155"/>
      <c r="F3" s="156"/>
      <c r="G3" s="155"/>
      <c r="H3" s="155"/>
      <c r="I3" s="153" t="s">
        <v>252</v>
      </c>
      <c r="J3" s="524" t="s">
        <v>758</v>
      </c>
      <c r="K3" s="524"/>
    </row>
    <row r="4" spans="1:26" s="165" customFormat="1" ht="18.399999999999999" customHeight="1" thickBot="1">
      <c r="A4" s="157" t="s">
        <v>757</v>
      </c>
      <c r="B4" s="158"/>
      <c r="C4" s="159"/>
      <c r="D4" s="159"/>
      <c r="E4" s="159"/>
      <c r="F4" s="159"/>
      <c r="G4" s="159"/>
      <c r="H4" s="159"/>
      <c r="I4" s="159"/>
      <c r="J4" s="159"/>
      <c r="K4" s="160"/>
      <c r="L4" s="161"/>
      <c r="M4" s="161"/>
      <c r="N4" s="161"/>
      <c r="O4" s="161"/>
      <c r="P4" s="161"/>
      <c r="Q4" s="162" t="s">
        <v>253</v>
      </c>
      <c r="R4" s="163"/>
      <c r="S4" s="161"/>
      <c r="T4" s="162" t="s">
        <v>254</v>
      </c>
      <c r="U4" s="164"/>
      <c r="V4" s="161"/>
      <c r="W4" s="161"/>
      <c r="X4" s="161"/>
      <c r="Y4" s="161"/>
      <c r="Z4" s="161"/>
    </row>
    <row r="5" spans="1:26" s="165" customFormat="1" ht="18.399999999999999" customHeight="1">
      <c r="A5" s="525" t="s">
        <v>255</v>
      </c>
      <c r="B5" s="526"/>
      <c r="C5" s="526"/>
      <c r="D5" s="166"/>
      <c r="E5" s="167"/>
      <c r="F5" s="168" t="s">
        <v>256</v>
      </c>
      <c r="G5" s="155"/>
      <c r="H5" s="155"/>
      <c r="I5" s="169"/>
      <c r="J5" s="170" t="s">
        <v>257</v>
      </c>
      <c r="K5" s="171" t="s">
        <v>258</v>
      </c>
      <c r="L5" s="161"/>
      <c r="M5" s="161"/>
      <c r="N5" s="161"/>
      <c r="O5" s="161"/>
      <c r="P5" s="161"/>
      <c r="Q5" s="172" t="s">
        <v>259</v>
      </c>
      <c r="R5" s="173"/>
      <c r="S5" s="161"/>
      <c r="T5" s="172" t="s">
        <v>260</v>
      </c>
      <c r="U5" s="174"/>
      <c r="V5" s="161"/>
      <c r="W5" s="161"/>
      <c r="X5" s="161"/>
      <c r="Y5" s="161"/>
      <c r="Z5" s="161"/>
    </row>
    <row r="6" spans="1:26" s="165" customFormat="1" ht="18.399999999999999" customHeight="1">
      <c r="A6" s="527" t="s">
        <v>67</v>
      </c>
      <c r="B6" s="528"/>
      <c r="C6" s="528"/>
      <c r="D6" s="529" t="s">
        <v>264</v>
      </c>
      <c r="E6" s="530"/>
      <c r="F6" s="531" t="s">
        <v>262</v>
      </c>
      <c r="G6" s="532"/>
      <c r="H6" s="532"/>
      <c r="I6" s="532"/>
      <c r="J6" s="532"/>
      <c r="K6" s="533"/>
      <c r="L6" s="161"/>
      <c r="M6" s="161"/>
      <c r="N6" s="161"/>
      <c r="O6" s="161"/>
      <c r="P6" s="161"/>
      <c r="Q6" s="172" t="s">
        <v>263</v>
      </c>
      <c r="R6" s="173"/>
      <c r="S6" s="161"/>
      <c r="T6" s="172" t="s">
        <v>264</v>
      </c>
      <c r="U6" s="174"/>
      <c r="V6" s="161"/>
      <c r="W6" s="161"/>
      <c r="X6" s="161"/>
      <c r="Y6" s="161"/>
      <c r="Z6" s="161"/>
    </row>
    <row r="7" spans="1:26" s="165" customFormat="1" ht="18.399999999999999" customHeight="1">
      <c r="A7" s="537" t="s">
        <v>20</v>
      </c>
      <c r="B7" s="538"/>
      <c r="C7" s="538"/>
      <c r="D7" s="539">
        <v>3.3099999427795401</v>
      </c>
      <c r="E7" s="540"/>
      <c r="F7" s="175" t="s">
        <v>265</v>
      </c>
      <c r="G7" s="176"/>
      <c r="H7" s="177"/>
      <c r="I7" s="178"/>
      <c r="J7" s="179">
        <v>55</v>
      </c>
      <c r="K7" s="180" t="s">
        <v>174</v>
      </c>
      <c r="L7" s="161"/>
      <c r="M7" s="161"/>
      <c r="N7" s="161"/>
      <c r="O7" s="161"/>
      <c r="P7" s="161"/>
      <c r="Q7" s="172" t="s">
        <v>266</v>
      </c>
      <c r="R7" s="173"/>
      <c r="S7" s="161"/>
      <c r="T7" s="172" t="s">
        <v>261</v>
      </c>
      <c r="U7" s="174"/>
      <c r="V7" s="161"/>
      <c r="W7" s="161"/>
      <c r="X7" s="161"/>
      <c r="Y7" s="161"/>
      <c r="Z7" s="161"/>
    </row>
    <row r="8" spans="1:26" s="165" customFormat="1" ht="18.399999999999999" customHeight="1">
      <c r="A8" s="537" t="s">
        <v>267</v>
      </c>
      <c r="B8" s="538"/>
      <c r="C8" s="538"/>
      <c r="D8" s="541">
        <v>770</v>
      </c>
      <c r="E8" s="542"/>
      <c r="F8" s="181" t="s">
        <v>268</v>
      </c>
      <c r="G8" s="182"/>
      <c r="H8" s="183"/>
      <c r="I8" s="184"/>
      <c r="J8" s="185">
        <v>18414</v>
      </c>
      <c r="K8" s="186" t="s">
        <v>174</v>
      </c>
      <c r="L8" s="161"/>
      <c r="M8" s="161"/>
      <c r="N8" s="161"/>
      <c r="O8" s="161"/>
      <c r="P8" s="161"/>
      <c r="Q8" s="172" t="s">
        <v>269</v>
      </c>
      <c r="R8" s="173"/>
      <c r="S8" s="161"/>
      <c r="T8" s="172" t="s">
        <v>270</v>
      </c>
      <c r="U8" s="174"/>
      <c r="V8" s="161"/>
      <c r="W8" s="161"/>
      <c r="X8" s="161"/>
      <c r="Y8" s="161"/>
      <c r="Z8" s="161"/>
    </row>
    <row r="9" spans="1:26" s="165" customFormat="1" ht="18.399999999999999" customHeight="1">
      <c r="A9" s="543" t="s">
        <v>271</v>
      </c>
      <c r="B9" s="544"/>
      <c r="C9" s="545"/>
      <c r="D9" s="541" t="s">
        <v>712</v>
      </c>
      <c r="E9" s="542"/>
      <c r="F9" s="175" t="s">
        <v>272</v>
      </c>
      <c r="G9" s="176"/>
      <c r="H9" s="187">
        <v>3</v>
      </c>
      <c r="I9" s="188" t="s">
        <v>273</v>
      </c>
      <c r="J9" s="189">
        <v>337</v>
      </c>
      <c r="K9" s="186" t="s">
        <v>174</v>
      </c>
      <c r="L9" s="161"/>
      <c r="M9" s="161"/>
      <c r="N9" s="161"/>
      <c r="O9" s="161"/>
      <c r="P9" s="161"/>
      <c r="Q9" s="172" t="s">
        <v>274</v>
      </c>
      <c r="R9" s="173"/>
      <c r="S9" s="161"/>
      <c r="T9" s="172" t="s">
        <v>275</v>
      </c>
      <c r="U9" s="174"/>
      <c r="V9" s="161"/>
      <c r="W9" s="161"/>
      <c r="X9" s="161"/>
      <c r="Y9" s="161"/>
      <c r="Z9" s="161"/>
    </row>
    <row r="10" spans="1:26" s="165" customFormat="1" ht="18.399999999999999" customHeight="1" thickBot="1">
      <c r="A10" s="543" t="s">
        <v>276</v>
      </c>
      <c r="B10" s="544"/>
      <c r="C10" s="545"/>
      <c r="D10" s="546" t="s">
        <v>184</v>
      </c>
      <c r="E10" s="547"/>
      <c r="F10" s="175" t="s">
        <v>277</v>
      </c>
      <c r="G10" s="176"/>
      <c r="H10" s="187">
        <v>3</v>
      </c>
      <c r="I10" s="188" t="s">
        <v>273</v>
      </c>
      <c r="J10" s="189">
        <v>1150</v>
      </c>
      <c r="K10" s="186" t="s">
        <v>174</v>
      </c>
      <c r="L10" s="161"/>
      <c r="M10" s="161"/>
      <c r="N10" s="161"/>
      <c r="O10" s="161"/>
      <c r="P10" s="161"/>
      <c r="Q10" s="172" t="s">
        <v>278</v>
      </c>
      <c r="R10" s="173"/>
      <c r="S10" s="161"/>
      <c r="T10" s="190" t="s">
        <v>279</v>
      </c>
      <c r="U10" s="191"/>
      <c r="V10" s="161"/>
      <c r="W10" s="161"/>
      <c r="X10" s="161"/>
      <c r="Y10" s="161"/>
      <c r="Z10" s="161"/>
    </row>
    <row r="11" spans="1:26" s="165" customFormat="1" ht="18.399999999999999" customHeight="1" thickBot="1">
      <c r="A11" s="543" t="s">
        <v>280</v>
      </c>
      <c r="B11" s="544"/>
      <c r="C11" s="545"/>
      <c r="D11" s="548" t="s">
        <v>185</v>
      </c>
      <c r="E11" s="549"/>
      <c r="F11" s="192" t="s">
        <v>281</v>
      </c>
      <c r="G11" s="193"/>
      <c r="H11" s="194">
        <v>3</v>
      </c>
      <c r="I11" s="188" t="s">
        <v>273</v>
      </c>
      <c r="J11" s="195">
        <v>91230</v>
      </c>
      <c r="K11" s="196" t="s">
        <v>174</v>
      </c>
      <c r="L11" s="161"/>
      <c r="M11" s="161"/>
      <c r="N11" s="161"/>
      <c r="O11" s="161"/>
      <c r="P11" s="161"/>
      <c r="Q11" s="190" t="s">
        <v>282</v>
      </c>
      <c r="R11" s="197"/>
      <c r="S11" s="161"/>
      <c r="T11" s="161"/>
      <c r="U11" s="161"/>
      <c r="V11" s="161"/>
      <c r="W11" s="161"/>
      <c r="X11" s="161"/>
      <c r="Y11" s="161"/>
      <c r="Z11" s="161"/>
    </row>
    <row r="12" spans="1:26" s="165" customFormat="1" ht="18.399999999999999" customHeight="1">
      <c r="A12" s="198" t="s">
        <v>283</v>
      </c>
      <c r="C12" s="199"/>
      <c r="D12" s="550" t="s">
        <v>174</v>
      </c>
      <c r="E12" s="551"/>
      <c r="F12" s="534" t="s">
        <v>284</v>
      </c>
      <c r="G12" s="535"/>
      <c r="H12" s="535"/>
      <c r="I12" s="535"/>
      <c r="J12" s="535"/>
      <c r="K12" s="536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</row>
    <row r="13" spans="1:26" s="165" customFormat="1" ht="18.399999999999999" customHeight="1">
      <c r="A13" s="543" t="s">
        <v>53</v>
      </c>
      <c r="B13" s="544"/>
      <c r="C13" s="545"/>
      <c r="D13" s="552" t="s">
        <v>363</v>
      </c>
      <c r="E13" s="553"/>
      <c r="F13" s="200"/>
      <c r="G13" s="201" t="s">
        <v>285</v>
      </c>
      <c r="H13" s="202"/>
      <c r="I13" s="203" t="s">
        <v>286</v>
      </c>
      <c r="J13" s="204" t="s">
        <v>399</v>
      </c>
      <c r="K13" s="205" t="s">
        <v>174</v>
      </c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</row>
    <row r="14" spans="1:26" s="165" customFormat="1" ht="18.399999999999999" customHeight="1">
      <c r="A14" s="543" t="s">
        <v>56</v>
      </c>
      <c r="B14" s="544"/>
      <c r="C14" s="545"/>
      <c r="D14" s="550">
        <v>1491</v>
      </c>
      <c r="E14" s="551"/>
      <c r="F14" s="200"/>
      <c r="G14" s="206" t="s">
        <v>10</v>
      </c>
      <c r="H14" s="207"/>
      <c r="I14" s="207"/>
      <c r="J14" s="189" t="s">
        <v>174</v>
      </c>
      <c r="K14" s="186" t="s">
        <v>174</v>
      </c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</row>
    <row r="15" spans="1:26" s="165" customFormat="1" ht="18.399999999999999" customHeight="1">
      <c r="A15" s="554" t="s">
        <v>287</v>
      </c>
      <c r="B15" s="555"/>
      <c r="C15" s="556"/>
      <c r="D15" s="557">
        <v>17.572402954101563</v>
      </c>
      <c r="E15" s="558"/>
      <c r="F15" s="200"/>
      <c r="G15" s="206" t="s">
        <v>288</v>
      </c>
      <c r="H15" s="207"/>
      <c r="I15" s="207"/>
      <c r="J15" s="189" t="s">
        <v>174</v>
      </c>
      <c r="K15" s="186" t="s">
        <v>174</v>
      </c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</row>
    <row r="16" spans="1:26" s="165" customFormat="1" ht="18.399999999999999" customHeight="1">
      <c r="A16" s="559" t="s">
        <v>289</v>
      </c>
      <c r="B16" s="560"/>
      <c r="C16" s="561"/>
      <c r="D16" s="557">
        <v>3.8017997741699219</v>
      </c>
      <c r="E16" s="558"/>
      <c r="F16" s="208"/>
      <c r="G16" s="209" t="s">
        <v>17</v>
      </c>
      <c r="H16" s="210"/>
      <c r="I16" s="210"/>
      <c r="J16" s="195" t="s">
        <v>174</v>
      </c>
      <c r="K16" s="196" t="s">
        <v>174</v>
      </c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</row>
    <row r="17" spans="1:26" s="165" customFormat="1" ht="18.399999999999999" customHeight="1">
      <c r="A17" s="211" t="s">
        <v>290</v>
      </c>
      <c r="B17" s="212"/>
      <c r="C17" s="213"/>
      <c r="D17" s="548" t="s">
        <v>362</v>
      </c>
      <c r="E17" s="549"/>
      <c r="F17" s="534" t="s">
        <v>291</v>
      </c>
      <c r="G17" s="535"/>
      <c r="H17" s="535"/>
      <c r="I17" s="535"/>
      <c r="J17" s="535"/>
      <c r="K17" s="536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</row>
    <row r="18" spans="1:26" s="165" customFormat="1" ht="18.399999999999999" customHeight="1">
      <c r="A18" s="214" t="s">
        <v>292</v>
      </c>
      <c r="B18" s="215"/>
      <c r="C18" s="213"/>
      <c r="D18" s="546" t="s">
        <v>174</v>
      </c>
      <c r="E18" s="547"/>
      <c r="F18" s="562"/>
      <c r="G18" s="563"/>
      <c r="H18" s="216" t="s">
        <v>293</v>
      </c>
      <c r="I18" s="217"/>
      <c r="J18" s="185">
        <v>250</v>
      </c>
      <c r="K18" s="186"/>
      <c r="L18" s="161"/>
      <c r="M18" s="161">
        <f>J18*6.5</f>
        <v>1625</v>
      </c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</row>
    <row r="19" spans="1:26" s="165" customFormat="1" ht="18.399999999999999" customHeight="1">
      <c r="A19" s="568" t="s">
        <v>294</v>
      </c>
      <c r="B19" s="569"/>
      <c r="C19" s="570"/>
      <c r="D19" s="571" t="s">
        <v>174</v>
      </c>
      <c r="E19" s="549"/>
      <c r="F19" s="564"/>
      <c r="G19" s="565"/>
      <c r="H19" s="216" t="s">
        <v>5</v>
      </c>
      <c r="I19" s="178"/>
      <c r="J19" s="185">
        <v>1784</v>
      </c>
      <c r="K19" s="186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</row>
    <row r="20" spans="1:26" s="165" customFormat="1" ht="18.399999999999999" customHeight="1" thickBot="1">
      <c r="A20" s="218" t="s">
        <v>295</v>
      </c>
      <c r="C20" s="219"/>
      <c r="D20" s="572" t="s">
        <v>183</v>
      </c>
      <c r="E20" s="542"/>
      <c r="F20" s="564"/>
      <c r="G20" s="565"/>
      <c r="H20" s="216" t="s">
        <v>296</v>
      </c>
      <c r="I20" s="178"/>
      <c r="J20" s="189" t="s">
        <v>337</v>
      </c>
      <c r="K20" s="186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</row>
    <row r="21" spans="1:26" s="165" customFormat="1" ht="18.399999999999999" customHeight="1" thickBot="1">
      <c r="A21" s="554" t="s">
        <v>297</v>
      </c>
      <c r="B21" s="555"/>
      <c r="C21" s="556"/>
      <c r="D21" s="541" t="s">
        <v>174</v>
      </c>
      <c r="E21" s="542"/>
      <c r="F21" s="564"/>
      <c r="G21" s="565"/>
      <c r="H21" s="220" t="s">
        <v>298</v>
      </c>
      <c r="I21" s="178"/>
      <c r="J21" s="189">
        <v>1.1499999999999999</v>
      </c>
      <c r="K21" s="186"/>
      <c r="L21" s="161"/>
      <c r="M21" s="161"/>
      <c r="N21" s="161"/>
      <c r="O21" s="161"/>
      <c r="P21" s="161"/>
      <c r="Q21" s="162" t="s">
        <v>299</v>
      </c>
      <c r="R21" s="164"/>
      <c r="S21" s="161"/>
      <c r="T21" s="161"/>
      <c r="U21" s="161"/>
      <c r="V21" s="161"/>
      <c r="W21" s="161"/>
      <c r="X21" s="161"/>
      <c r="Y21" s="161"/>
      <c r="Z21" s="161"/>
    </row>
    <row r="22" spans="1:26" s="165" customFormat="1" ht="18.399999999999999" customHeight="1">
      <c r="A22" s="214" t="s">
        <v>300</v>
      </c>
      <c r="B22" s="221"/>
      <c r="C22" s="221"/>
      <c r="D22" s="573">
        <v>5.525E-2</v>
      </c>
      <c r="E22" s="574"/>
      <c r="F22" s="564"/>
      <c r="G22" s="565"/>
      <c r="H22" s="216" t="s">
        <v>257</v>
      </c>
      <c r="I22" s="178"/>
      <c r="J22" s="189" t="s">
        <v>174</v>
      </c>
      <c r="K22" s="186"/>
      <c r="L22" s="161"/>
      <c r="M22" s="161"/>
      <c r="N22" s="161"/>
      <c r="O22" s="161"/>
      <c r="P22" s="161"/>
      <c r="Q22" s="172" t="s">
        <v>302</v>
      </c>
      <c r="R22" s="174"/>
      <c r="S22" s="161"/>
      <c r="T22" s="161"/>
      <c r="U22" s="161"/>
      <c r="V22" s="161"/>
      <c r="W22" s="161"/>
      <c r="X22" s="161"/>
      <c r="Y22" s="161"/>
      <c r="Z22" s="161"/>
    </row>
    <row r="23" spans="1:26" s="165" customFormat="1" ht="18.399999999999999" customHeight="1">
      <c r="A23" s="222" t="s">
        <v>303</v>
      </c>
      <c r="B23" s="223" t="s">
        <v>304</v>
      </c>
      <c r="C23" s="224"/>
      <c r="D23" s="552">
        <v>538</v>
      </c>
      <c r="E23" s="553"/>
      <c r="F23" s="564"/>
      <c r="G23" s="565"/>
      <c r="H23" s="225" t="s">
        <v>305</v>
      </c>
      <c r="I23" s="226"/>
      <c r="J23" s="227"/>
      <c r="K23" s="228"/>
      <c r="L23" s="161"/>
      <c r="Q23" s="172" t="s">
        <v>306</v>
      </c>
      <c r="R23" s="174"/>
      <c r="S23" s="161"/>
      <c r="T23" s="161"/>
      <c r="U23" s="161"/>
      <c r="V23" s="161"/>
      <c r="W23" s="161"/>
      <c r="X23" s="161"/>
      <c r="Y23" s="161"/>
      <c r="Z23" s="161"/>
    </row>
    <row r="24" spans="1:26" s="165" customFormat="1" ht="18.399999999999999" customHeight="1" thickBot="1">
      <c r="A24" s="229" t="s">
        <v>307</v>
      </c>
      <c r="B24" s="230" t="s">
        <v>308</v>
      </c>
      <c r="C24" s="231"/>
      <c r="D24" s="575">
        <v>604</v>
      </c>
      <c r="E24" s="576"/>
      <c r="F24" s="564"/>
      <c r="G24" s="565"/>
      <c r="H24" s="216" t="s">
        <v>309</v>
      </c>
      <c r="I24" s="199"/>
      <c r="J24" s="232"/>
      <c r="K24" s="233"/>
      <c r="Q24" s="234" t="s">
        <v>174</v>
      </c>
      <c r="R24" s="235"/>
      <c r="S24" s="161"/>
      <c r="T24" s="161"/>
      <c r="U24" s="161"/>
      <c r="V24" s="161"/>
      <c r="W24" s="161"/>
      <c r="X24" s="161"/>
      <c r="Y24" s="161"/>
      <c r="Z24" s="161"/>
    </row>
    <row r="25" spans="1:26" s="165" customFormat="1" ht="18.399999999999999" customHeight="1">
      <c r="A25" s="236" t="s">
        <v>310</v>
      </c>
      <c r="B25" s="237"/>
      <c r="C25" s="237"/>
      <c r="D25" s="238"/>
      <c r="E25" s="238" t="s">
        <v>311</v>
      </c>
      <c r="F25" s="564"/>
      <c r="G25" s="565"/>
      <c r="H25" s="216" t="s">
        <v>312</v>
      </c>
      <c r="I25" s="199"/>
      <c r="J25" s="239" t="s">
        <v>174</v>
      </c>
      <c r="K25" s="233"/>
      <c r="R25" s="161"/>
      <c r="S25" s="161"/>
      <c r="T25" s="161"/>
      <c r="U25" s="161"/>
      <c r="V25" s="161"/>
      <c r="W25" s="161"/>
      <c r="X25" s="161"/>
      <c r="Y25" s="161"/>
      <c r="Z25" s="161"/>
    </row>
    <row r="26" spans="1:26" s="165" customFormat="1" ht="18.399999999999999" customHeight="1">
      <c r="A26" s="240" t="s">
        <v>313</v>
      </c>
      <c r="B26" s="241"/>
      <c r="C26" s="242"/>
      <c r="D26" s="243" t="s">
        <v>365</v>
      </c>
      <c r="E26" s="243" t="s">
        <v>366</v>
      </c>
      <c r="F26" s="566"/>
      <c r="G26" s="567"/>
      <c r="H26" s="577"/>
      <c r="I26" s="578"/>
      <c r="J26" s="244"/>
      <c r="K26" s="245"/>
      <c r="R26" s="161"/>
      <c r="S26" s="161"/>
      <c r="T26" s="161"/>
      <c r="U26" s="161"/>
      <c r="V26" s="161"/>
      <c r="W26" s="161"/>
      <c r="X26" s="161"/>
      <c r="Y26" s="161"/>
      <c r="Z26" s="161"/>
    </row>
    <row r="27" spans="1:26" s="165" customFormat="1" ht="18.399999999999999" customHeight="1">
      <c r="A27" s="579" t="s">
        <v>314</v>
      </c>
      <c r="B27" s="580"/>
      <c r="C27" s="580"/>
      <c r="D27" s="580"/>
      <c r="E27" s="580"/>
      <c r="F27" s="531" t="s">
        <v>315</v>
      </c>
      <c r="G27" s="532"/>
      <c r="H27" s="532"/>
      <c r="I27" s="532"/>
      <c r="J27" s="532"/>
      <c r="K27" s="533"/>
      <c r="R27" s="161"/>
      <c r="S27" s="161"/>
      <c r="T27" s="161"/>
      <c r="U27" s="161"/>
      <c r="V27" s="161"/>
      <c r="W27" s="161"/>
      <c r="X27" s="161"/>
      <c r="Y27" s="161"/>
      <c r="Z27" s="161"/>
    </row>
    <row r="28" spans="1:26" s="165" customFormat="1" ht="18.399999999999999" customHeight="1">
      <c r="A28" s="583"/>
      <c r="B28" s="584"/>
      <c r="C28" s="584"/>
      <c r="D28" s="584"/>
      <c r="E28" s="585"/>
      <c r="F28" s="246"/>
      <c r="G28" s="247"/>
      <c r="H28" s="206" t="s">
        <v>316</v>
      </c>
      <c r="I28" s="248" t="s">
        <v>364</v>
      </c>
      <c r="J28" s="185">
        <v>1314</v>
      </c>
      <c r="K28" s="249" t="s">
        <v>174</v>
      </c>
      <c r="M28" s="165">
        <f>(J28/J18)*100</f>
        <v>525.6</v>
      </c>
      <c r="N28" s="250"/>
      <c r="O28" s="250"/>
      <c r="R28" s="161"/>
      <c r="S28" s="161"/>
      <c r="T28" s="161"/>
      <c r="U28" s="161"/>
      <c r="V28" s="161"/>
      <c r="W28" s="161"/>
      <c r="X28" s="161"/>
      <c r="Y28" s="161"/>
      <c r="Z28" s="161"/>
    </row>
    <row r="29" spans="1:26" s="165" customFormat="1" ht="18.399999999999999" customHeight="1">
      <c r="A29" s="583"/>
      <c r="B29" s="584"/>
      <c r="C29" s="584"/>
      <c r="D29" s="584"/>
      <c r="E29" s="585"/>
      <c r="F29" s="251"/>
      <c r="G29" s="252"/>
      <c r="H29" s="206" t="s">
        <v>317</v>
      </c>
      <c r="I29" s="253">
        <v>60</v>
      </c>
      <c r="J29" s="185">
        <v>71</v>
      </c>
      <c r="K29" s="254" t="s">
        <v>174</v>
      </c>
      <c r="Q29" s="161"/>
      <c r="R29" s="161"/>
      <c r="S29" s="161"/>
      <c r="T29" s="161"/>
      <c r="U29" s="161"/>
      <c r="V29" s="161"/>
      <c r="W29" s="161"/>
      <c r="X29" s="161"/>
      <c r="Y29" s="161"/>
      <c r="Z29" s="161"/>
    </row>
    <row r="30" spans="1:26" s="165" customFormat="1" ht="18.399999999999999" customHeight="1">
      <c r="A30" s="583"/>
      <c r="B30" s="584"/>
      <c r="C30" s="584"/>
      <c r="D30" s="584"/>
      <c r="E30" s="585"/>
      <c r="F30" s="251"/>
      <c r="G30" s="252"/>
      <c r="H30" s="206" t="s">
        <v>318</v>
      </c>
      <c r="I30" s="253">
        <v>175</v>
      </c>
      <c r="J30" s="185">
        <v>221</v>
      </c>
      <c r="K30" s="255" t="s">
        <v>174</v>
      </c>
      <c r="L30" s="161"/>
      <c r="R30" s="161"/>
      <c r="S30" s="161"/>
      <c r="T30" s="161"/>
      <c r="U30" s="161"/>
      <c r="V30" s="161"/>
      <c r="W30" s="161"/>
      <c r="X30" s="161"/>
      <c r="Y30" s="161"/>
      <c r="Z30" s="161"/>
    </row>
    <row r="31" spans="1:26" s="165" customFormat="1" ht="18.399999999999999" customHeight="1">
      <c r="A31" s="583"/>
      <c r="B31" s="584"/>
      <c r="C31" s="584"/>
      <c r="D31" s="584"/>
      <c r="E31" s="585"/>
      <c r="F31" s="251"/>
      <c r="G31" s="252"/>
      <c r="H31" s="206" t="s">
        <v>319</v>
      </c>
      <c r="I31" s="207"/>
      <c r="J31" s="256">
        <v>0.9</v>
      </c>
      <c r="K31" s="180" t="s">
        <v>174</v>
      </c>
      <c r="L31" s="161"/>
      <c r="R31" s="161"/>
      <c r="S31" s="161"/>
      <c r="T31" s="161"/>
      <c r="U31" s="161"/>
      <c r="V31" s="161"/>
      <c r="W31" s="161"/>
      <c r="X31" s="161"/>
      <c r="Y31" s="161"/>
      <c r="Z31" s="161"/>
    </row>
    <row r="32" spans="1:26" s="165" customFormat="1" ht="18.399999999999999" customHeight="1">
      <c r="A32" s="586"/>
      <c r="B32" s="587"/>
      <c r="C32" s="587"/>
      <c r="D32" s="587"/>
      <c r="E32" s="588"/>
      <c r="F32" s="251"/>
      <c r="G32" s="257" t="s">
        <v>320</v>
      </c>
      <c r="H32" s="206" t="s">
        <v>321</v>
      </c>
      <c r="I32" s="258"/>
      <c r="J32" s="179">
        <v>95.8</v>
      </c>
      <c r="K32" s="254" t="s">
        <v>174</v>
      </c>
      <c r="L32" s="161"/>
      <c r="N32" s="259"/>
      <c r="R32" s="161"/>
      <c r="S32" s="161"/>
      <c r="T32" s="161"/>
      <c r="U32" s="161"/>
      <c r="V32" s="161"/>
      <c r="W32" s="161"/>
      <c r="X32" s="161"/>
      <c r="Y32" s="161"/>
      <c r="Z32" s="161"/>
    </row>
    <row r="33" spans="1:26" s="165" customFormat="1" ht="18.399999999999999" customHeight="1">
      <c r="A33" s="579" t="s">
        <v>322</v>
      </c>
      <c r="B33" s="580"/>
      <c r="C33" s="580"/>
      <c r="D33" s="580"/>
      <c r="E33" s="589"/>
      <c r="F33" s="260"/>
      <c r="G33" s="261"/>
      <c r="H33" s="262" t="s">
        <v>323</v>
      </c>
      <c r="I33" s="263"/>
      <c r="J33" s="264">
        <v>89.8</v>
      </c>
      <c r="K33" s="265" t="s">
        <v>174</v>
      </c>
      <c r="L33" s="161"/>
      <c r="R33" s="161"/>
      <c r="S33" s="161"/>
      <c r="T33" s="161"/>
      <c r="U33" s="161"/>
      <c r="V33" s="161"/>
      <c r="W33" s="161"/>
      <c r="X33" s="161"/>
      <c r="Y33" s="161"/>
      <c r="Z33" s="161"/>
    </row>
    <row r="34" spans="1:26" s="165" customFormat="1" ht="18.399999999999999" customHeight="1">
      <c r="A34" s="583"/>
      <c r="B34" s="584"/>
      <c r="C34" s="584"/>
      <c r="D34" s="584"/>
      <c r="E34" s="585"/>
      <c r="F34" s="181" t="s">
        <v>324</v>
      </c>
      <c r="G34" s="266"/>
      <c r="H34" s="267" t="s">
        <v>14</v>
      </c>
      <c r="I34" s="268"/>
      <c r="J34" s="269">
        <v>12067</v>
      </c>
      <c r="K34" s="270" t="s">
        <v>174</v>
      </c>
      <c r="L34" s="271"/>
      <c r="M34" s="272"/>
      <c r="R34" s="161"/>
      <c r="S34" s="161"/>
      <c r="T34" s="161"/>
      <c r="U34" s="161"/>
      <c r="V34" s="161"/>
      <c r="W34" s="161"/>
      <c r="X34" s="161"/>
      <c r="Y34" s="161"/>
      <c r="Z34" s="161"/>
    </row>
    <row r="35" spans="1:26" s="165" customFormat="1" ht="18.399999999999999" customHeight="1">
      <c r="A35" s="583"/>
      <c r="B35" s="584"/>
      <c r="C35" s="584"/>
      <c r="D35" s="584"/>
      <c r="E35" s="585"/>
      <c r="F35" s="200"/>
      <c r="G35" s="273"/>
      <c r="H35" s="274" t="s">
        <v>15</v>
      </c>
      <c r="I35" s="275"/>
      <c r="J35" s="185">
        <v>14084</v>
      </c>
      <c r="K35" s="180" t="s">
        <v>174</v>
      </c>
      <c r="L35" s="276"/>
      <c r="M35" s="272"/>
      <c r="R35" s="161"/>
      <c r="S35" s="161"/>
      <c r="T35" s="161"/>
      <c r="U35" s="161"/>
      <c r="V35" s="161"/>
      <c r="W35" s="161"/>
      <c r="X35" s="161"/>
      <c r="Y35" s="161"/>
      <c r="Z35" s="161"/>
    </row>
    <row r="36" spans="1:26" s="165" customFormat="1" ht="18.399999999999999" customHeight="1">
      <c r="A36" s="583"/>
      <c r="B36" s="584"/>
      <c r="C36" s="584"/>
      <c r="D36" s="584"/>
      <c r="E36" s="585"/>
      <c r="F36" s="200"/>
      <c r="G36" s="273"/>
      <c r="H36" s="274" t="s">
        <v>325</v>
      </c>
      <c r="I36" s="275"/>
      <c r="J36" s="185">
        <v>7818</v>
      </c>
      <c r="K36" s="180" t="s">
        <v>174</v>
      </c>
      <c r="L36" s="276"/>
      <c r="M36" s="250"/>
      <c r="Q36" s="161"/>
      <c r="R36" s="161"/>
      <c r="S36" s="161"/>
      <c r="T36" s="161"/>
      <c r="U36" s="161"/>
      <c r="V36" s="161"/>
      <c r="W36" s="161"/>
      <c r="X36" s="161"/>
      <c r="Y36" s="161"/>
      <c r="Z36" s="161"/>
    </row>
    <row r="37" spans="1:26" s="165" customFormat="1" ht="18.399999999999999" customHeight="1">
      <c r="A37" s="583"/>
      <c r="B37" s="584"/>
      <c r="C37" s="584"/>
      <c r="D37" s="584"/>
      <c r="E37" s="585"/>
      <c r="F37" s="251"/>
      <c r="G37" s="273"/>
      <c r="H37" s="274" t="s">
        <v>759</v>
      </c>
      <c r="I37" s="275"/>
      <c r="J37" s="185">
        <v>10768</v>
      </c>
      <c r="K37" s="180" t="s">
        <v>174</v>
      </c>
      <c r="L37" s="276"/>
      <c r="M37" s="250"/>
      <c r="N37" s="276"/>
      <c r="R37" s="161"/>
      <c r="S37" s="161"/>
      <c r="T37" s="161"/>
      <c r="U37" s="161"/>
      <c r="V37" s="161"/>
      <c r="W37" s="161"/>
      <c r="X37" s="161"/>
      <c r="Y37" s="161"/>
      <c r="Z37" s="161"/>
    </row>
    <row r="38" spans="1:26" s="165" customFormat="1" ht="18.399999999999999" customHeight="1">
      <c r="A38" s="586"/>
      <c r="B38" s="587"/>
      <c r="C38" s="587"/>
      <c r="D38" s="587"/>
      <c r="E38" s="588"/>
      <c r="F38" s="208"/>
      <c r="G38" s="277"/>
      <c r="H38" s="278" t="s">
        <v>326</v>
      </c>
      <c r="I38" s="279"/>
      <c r="J38" s="280">
        <v>20113</v>
      </c>
      <c r="K38" s="281" t="s">
        <v>174</v>
      </c>
      <c r="R38" s="161"/>
      <c r="S38" s="161"/>
      <c r="T38" s="161"/>
      <c r="U38" s="161"/>
      <c r="V38" s="161"/>
      <c r="W38" s="161"/>
      <c r="X38" s="161"/>
      <c r="Y38" s="161"/>
      <c r="Z38" s="161"/>
    </row>
    <row r="39" spans="1:26" s="165" customFormat="1" ht="18.399999999999999" customHeight="1">
      <c r="A39" s="579" t="s">
        <v>327</v>
      </c>
      <c r="B39" s="580"/>
      <c r="C39" s="580"/>
      <c r="D39" s="580"/>
      <c r="E39" s="580"/>
      <c r="F39" s="282" t="s">
        <v>328</v>
      </c>
      <c r="G39" s="283"/>
      <c r="H39" s="283"/>
      <c r="I39" s="283"/>
      <c r="J39" s="283"/>
      <c r="K39" s="284"/>
      <c r="R39" s="161"/>
      <c r="S39" s="161"/>
      <c r="T39" s="161"/>
      <c r="U39" s="161"/>
      <c r="V39" s="161"/>
      <c r="W39" s="161"/>
      <c r="X39" s="161"/>
      <c r="Y39" s="161"/>
      <c r="Z39" s="161"/>
    </row>
    <row r="40" spans="1:26" s="165" customFormat="1" ht="18.399999999999999" customHeight="1">
      <c r="A40" s="583"/>
      <c r="B40" s="584"/>
      <c r="C40" s="584"/>
      <c r="D40" s="584"/>
      <c r="E40" s="585"/>
      <c r="F40" s="285" t="s">
        <v>760</v>
      </c>
      <c r="G40" s="286" t="s">
        <v>761</v>
      </c>
      <c r="H40" s="286"/>
      <c r="I40" s="286"/>
      <c r="J40" s="286"/>
      <c r="K40" s="287"/>
      <c r="R40" s="161"/>
      <c r="S40" s="161"/>
      <c r="T40" s="161"/>
      <c r="U40" s="161"/>
      <c r="V40" s="161"/>
      <c r="W40" s="161"/>
      <c r="X40" s="161"/>
      <c r="Y40" s="161"/>
      <c r="Z40" s="161"/>
    </row>
    <row r="41" spans="1:26" s="165" customFormat="1" ht="18.399999999999999" customHeight="1">
      <c r="A41" s="583"/>
      <c r="B41" s="584"/>
      <c r="C41" s="584"/>
      <c r="D41" s="584"/>
      <c r="E41" s="585"/>
      <c r="F41" s="285"/>
      <c r="G41" s="288" t="s">
        <v>762</v>
      </c>
      <c r="H41" s="288"/>
      <c r="I41" s="288"/>
      <c r="J41" s="288"/>
      <c r="K41" s="289"/>
      <c r="L41" s="290"/>
      <c r="R41" s="161"/>
      <c r="S41" s="161"/>
      <c r="T41" s="161"/>
      <c r="U41" s="161"/>
      <c r="V41" s="161"/>
      <c r="W41" s="161"/>
      <c r="X41" s="161"/>
      <c r="Y41" s="161"/>
      <c r="Z41" s="161"/>
    </row>
    <row r="42" spans="1:26" s="165" customFormat="1" ht="18.399999999999999" customHeight="1">
      <c r="A42" s="583"/>
      <c r="B42" s="584"/>
      <c r="C42" s="584"/>
      <c r="D42" s="584"/>
      <c r="E42" s="585"/>
      <c r="F42" s="285"/>
      <c r="G42" s="288"/>
      <c r="H42" s="288"/>
      <c r="I42" s="288"/>
      <c r="J42" s="288"/>
      <c r="K42" s="289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</row>
    <row r="43" spans="1:26" s="165" customFormat="1" ht="18.399999999999999" customHeight="1">
      <c r="A43" s="583"/>
      <c r="B43" s="584"/>
      <c r="C43" s="584"/>
      <c r="D43" s="584"/>
      <c r="E43" s="585"/>
      <c r="F43" s="285"/>
      <c r="G43" s="288" t="s">
        <v>713</v>
      </c>
      <c r="H43" s="288"/>
      <c r="I43" s="288"/>
      <c r="J43" s="288"/>
      <c r="K43" s="289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</row>
    <row r="44" spans="1:26" s="165" customFormat="1" ht="17.100000000000001" customHeight="1" thickBot="1">
      <c r="A44" s="590"/>
      <c r="B44" s="591"/>
      <c r="C44" s="591"/>
      <c r="D44" s="591"/>
      <c r="E44" s="592"/>
      <c r="F44" s="285"/>
      <c r="G44" s="288" t="s">
        <v>755</v>
      </c>
      <c r="H44" s="288"/>
      <c r="I44" s="288"/>
      <c r="J44" s="288"/>
      <c r="K44" s="289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</row>
    <row r="45" spans="1:26" s="165" customFormat="1" ht="17.100000000000001" customHeight="1">
      <c r="A45" s="291" t="s">
        <v>329</v>
      </c>
      <c r="B45" s="593"/>
      <c r="C45" s="594"/>
      <c r="D45" s="292" t="s">
        <v>330</v>
      </c>
      <c r="E45" s="293" t="s">
        <v>331</v>
      </c>
      <c r="F45" s="294"/>
      <c r="G45" s="288"/>
      <c r="H45" s="288"/>
      <c r="I45" s="288"/>
      <c r="J45" s="288"/>
      <c r="K45" s="289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</row>
    <row r="46" spans="1:26" s="165" customFormat="1" ht="17.100000000000001" customHeight="1" thickBot="1">
      <c r="A46" s="295" t="s">
        <v>332</v>
      </c>
      <c r="B46" s="581"/>
      <c r="C46" s="582"/>
      <c r="D46" s="296" t="s">
        <v>332</v>
      </c>
      <c r="E46" s="297">
        <v>41983</v>
      </c>
      <c r="F46" s="298"/>
      <c r="G46" s="299" t="s">
        <v>714</v>
      </c>
      <c r="H46" s="299"/>
      <c r="I46" s="299"/>
      <c r="J46" s="299"/>
      <c r="K46" s="300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</row>
    <row r="47" spans="1:26" s="165" customFormat="1" ht="17.100000000000001" customHeight="1">
      <c r="F47" s="30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</row>
    <row r="48" spans="1:26" s="165" customFormat="1" ht="17.100000000000001" customHeight="1">
      <c r="F48" s="161"/>
      <c r="G48" s="161"/>
      <c r="H48" s="161"/>
      <c r="I48" s="161"/>
      <c r="J48" s="161"/>
      <c r="K48" s="161"/>
    </row>
    <row r="49" spans="2:26" ht="17.100000000000001" customHeight="1">
      <c r="F49" s="151"/>
      <c r="G49" s="151"/>
      <c r="H49" s="151"/>
      <c r="I49" s="151"/>
      <c r="J49" s="151"/>
      <c r="K49" s="151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</row>
    <row r="50" spans="2:26">
      <c r="F50" s="151"/>
      <c r="G50" s="151"/>
      <c r="H50" s="151"/>
      <c r="I50" s="151"/>
      <c r="J50" s="151"/>
      <c r="K50" s="151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</row>
    <row r="51" spans="2:26">
      <c r="F51" s="151"/>
      <c r="G51" s="151"/>
      <c r="H51" s="151"/>
      <c r="I51" s="151"/>
      <c r="J51" s="151"/>
      <c r="K51" s="151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</row>
    <row r="52" spans="2:26"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 spans="2:26">
      <c r="F53" s="151"/>
      <c r="G53" s="151"/>
      <c r="H53" s="151"/>
      <c r="I53" s="151"/>
      <c r="J53" s="151"/>
      <c r="K53" s="151"/>
      <c r="Q53" s="152"/>
      <c r="R53" s="152"/>
      <c r="S53" s="152"/>
      <c r="T53" s="152"/>
      <c r="U53" s="152"/>
      <c r="V53" s="152"/>
      <c r="W53" s="152"/>
      <c r="X53" s="152"/>
      <c r="Y53" s="152"/>
      <c r="Z53" s="152"/>
    </row>
  </sheetData>
  <mergeCells count="49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zoomScale="75" zoomScaleNormal="75" workbookViewId="0"/>
  </sheetViews>
  <sheetFormatPr defaultColWidth="9.140625" defaultRowHeight="12.75"/>
  <cols>
    <col min="1" max="1" width="9.140625" style="307" customWidth="1"/>
    <col min="2" max="2" width="18.140625" style="307" customWidth="1"/>
    <col min="3" max="3" width="21.5703125" style="307" customWidth="1"/>
    <col min="4" max="4" width="21.28515625" style="307" bestFit="1" customWidth="1"/>
    <col min="5" max="5" width="6.85546875" style="307" bestFit="1" customWidth="1"/>
    <col min="6" max="6" width="29.85546875" style="307" customWidth="1"/>
    <col min="7" max="7" width="43.7109375" style="307" customWidth="1"/>
    <col min="8" max="8" width="17.140625" style="307" customWidth="1"/>
    <col min="9" max="9" width="7.85546875" style="307" customWidth="1"/>
    <col min="10" max="10" width="2.28515625" style="307" bestFit="1" customWidth="1"/>
    <col min="11" max="12" width="2.28515625" style="307" customWidth="1"/>
    <col min="13" max="13" width="2.5703125" style="307" bestFit="1" customWidth="1"/>
    <col min="14" max="14" width="2.28515625" style="307" bestFit="1" customWidth="1"/>
    <col min="15" max="16384" width="9.140625" style="307"/>
  </cols>
  <sheetData>
    <row r="1" spans="2:14" ht="12.75" customHeight="1">
      <c r="B1" s="302"/>
      <c r="C1" s="303"/>
      <c r="D1" s="303"/>
      <c r="E1" s="303"/>
      <c r="F1" s="303"/>
      <c r="G1" s="303"/>
      <c r="H1" s="304"/>
      <c r="I1" s="305"/>
      <c r="J1" s="306" t="s">
        <v>333</v>
      </c>
      <c r="K1" s="306" t="s">
        <v>334</v>
      </c>
      <c r="L1" s="306" t="s">
        <v>335</v>
      </c>
      <c r="M1" s="306" t="s">
        <v>334</v>
      </c>
      <c r="N1" s="306"/>
    </row>
    <row r="2" spans="2:14" ht="12.75" customHeight="1">
      <c r="B2" s="603" t="s">
        <v>336</v>
      </c>
      <c r="C2" s="604"/>
      <c r="D2" s="604"/>
      <c r="E2" s="604"/>
      <c r="F2" s="604"/>
      <c r="G2" s="604"/>
      <c r="H2" s="308"/>
      <c r="I2" s="309"/>
      <c r="J2" s="310" t="s">
        <v>337</v>
      </c>
      <c r="K2" s="310" t="s">
        <v>338</v>
      </c>
      <c r="L2" s="310" t="s">
        <v>339</v>
      </c>
      <c r="M2" s="310" t="s">
        <v>340</v>
      </c>
      <c r="N2" s="310" t="s">
        <v>341</v>
      </c>
    </row>
    <row r="3" spans="2:14" ht="12.75" customHeight="1">
      <c r="B3" s="603"/>
      <c r="C3" s="604"/>
      <c r="D3" s="604"/>
      <c r="E3" s="604"/>
      <c r="F3" s="604"/>
      <c r="G3" s="604"/>
      <c r="H3" s="308"/>
      <c r="I3" s="309"/>
      <c r="J3" s="310" t="s">
        <v>342</v>
      </c>
      <c r="K3" s="310"/>
      <c r="L3" s="310" t="s">
        <v>343</v>
      </c>
      <c r="M3" s="310" t="s">
        <v>333</v>
      </c>
      <c r="N3" s="310"/>
    </row>
    <row r="4" spans="2:14" ht="12.75" customHeight="1">
      <c r="B4" s="603"/>
      <c r="C4" s="604"/>
      <c r="D4" s="604"/>
      <c r="E4" s="604"/>
      <c r="F4" s="604"/>
      <c r="G4" s="604"/>
      <c r="H4" s="308"/>
      <c r="I4" s="309"/>
      <c r="J4" s="310" t="s">
        <v>344</v>
      </c>
      <c r="K4" s="310"/>
      <c r="L4" s="310" t="s">
        <v>339</v>
      </c>
      <c r="M4" s="310" t="s">
        <v>337</v>
      </c>
      <c r="N4" s="310"/>
    </row>
    <row r="5" spans="2:14" ht="12.75" customHeight="1">
      <c r="B5" s="311"/>
      <c r="C5" s="312"/>
      <c r="D5" s="312"/>
      <c r="E5" s="312"/>
      <c r="F5" s="312"/>
      <c r="G5" s="312"/>
      <c r="H5" s="308"/>
      <c r="I5" s="309"/>
      <c r="J5" s="310"/>
      <c r="K5" s="310" t="s">
        <v>345</v>
      </c>
      <c r="L5" s="310" t="s">
        <v>334</v>
      </c>
      <c r="M5" s="310"/>
      <c r="N5" s="310" t="s">
        <v>339</v>
      </c>
    </row>
    <row r="6" spans="2:14" ht="12" customHeight="1">
      <c r="B6" s="313"/>
      <c r="C6" s="314"/>
      <c r="D6" s="314"/>
      <c r="F6" s="314"/>
      <c r="H6" s="315"/>
      <c r="I6" s="309"/>
      <c r="J6" s="310" t="s">
        <v>338</v>
      </c>
      <c r="K6" s="310" t="s">
        <v>346</v>
      </c>
      <c r="L6" s="310"/>
      <c r="M6" s="310" t="s">
        <v>334</v>
      </c>
      <c r="N6" s="310" t="s">
        <v>347</v>
      </c>
    </row>
    <row r="7" spans="2:14" ht="12.75" customHeight="1">
      <c r="B7" s="313"/>
      <c r="D7" s="316"/>
      <c r="H7" s="315"/>
      <c r="I7" s="309"/>
      <c r="J7" s="310" t="s">
        <v>348</v>
      </c>
      <c r="K7" s="310" t="s">
        <v>342</v>
      </c>
      <c r="L7" s="310" t="s">
        <v>342</v>
      </c>
      <c r="M7" s="310" t="s">
        <v>337</v>
      </c>
      <c r="N7" s="310" t="s">
        <v>349</v>
      </c>
    </row>
    <row r="8" spans="2:14" ht="12.75" customHeight="1">
      <c r="B8" s="313"/>
      <c r="G8" s="316"/>
      <c r="H8" s="317"/>
      <c r="I8" s="310" t="s">
        <v>349</v>
      </c>
      <c r="J8" s="310" t="s">
        <v>334</v>
      </c>
      <c r="K8" s="310" t="s">
        <v>350</v>
      </c>
      <c r="L8" s="310" t="s">
        <v>337</v>
      </c>
      <c r="M8" s="310" t="s">
        <v>349</v>
      </c>
      <c r="N8" s="310" t="s">
        <v>346</v>
      </c>
    </row>
    <row r="9" spans="2:14">
      <c r="B9" s="310" t="s">
        <v>351</v>
      </c>
      <c r="C9" s="317" t="s">
        <v>352</v>
      </c>
      <c r="D9" s="317" t="s">
        <v>353</v>
      </c>
      <c r="E9" s="317" t="s">
        <v>354</v>
      </c>
      <c r="F9" s="310" t="s">
        <v>355</v>
      </c>
      <c r="G9" s="310" t="s">
        <v>356</v>
      </c>
      <c r="H9" s="310" t="s">
        <v>357</v>
      </c>
      <c r="I9" s="310" t="s">
        <v>344</v>
      </c>
      <c r="J9" s="310" t="s">
        <v>348</v>
      </c>
      <c r="K9" s="310" t="s">
        <v>337</v>
      </c>
      <c r="L9" s="310" t="s">
        <v>350</v>
      </c>
      <c r="M9" s="310" t="s">
        <v>334</v>
      </c>
      <c r="N9" s="310" t="s">
        <v>335</v>
      </c>
    </row>
    <row r="10" spans="2:14" ht="15" customHeight="1">
      <c r="B10" s="318"/>
      <c r="C10" s="319"/>
      <c r="D10" s="319"/>
      <c r="E10" s="319"/>
      <c r="F10" s="320"/>
      <c r="G10" s="321"/>
      <c r="H10" s="321"/>
      <c r="I10" s="322"/>
      <c r="J10" s="323"/>
      <c r="K10" s="323"/>
      <c r="L10" s="323"/>
      <c r="M10" s="323"/>
      <c r="N10" s="324"/>
    </row>
    <row r="11" spans="2:14" ht="15" customHeight="1">
      <c r="B11" s="318"/>
      <c r="C11" s="320"/>
      <c r="D11" s="320"/>
      <c r="E11" s="320"/>
      <c r="F11" s="320"/>
      <c r="G11" s="320"/>
      <c r="H11" s="320"/>
      <c r="I11" s="325"/>
      <c r="J11" s="323"/>
      <c r="K11" s="323"/>
      <c r="L11" s="323"/>
      <c r="M11" s="323"/>
      <c r="N11" s="324"/>
    </row>
    <row r="12" spans="2:14" ht="15" customHeight="1">
      <c r="B12" s="318"/>
      <c r="C12" s="320"/>
      <c r="D12" s="320"/>
      <c r="E12" s="320"/>
      <c r="F12" s="320"/>
      <c r="G12" s="320"/>
      <c r="H12" s="320"/>
      <c r="I12" s="325"/>
      <c r="J12" s="326"/>
      <c r="K12" s="323"/>
      <c r="L12" s="323"/>
      <c r="M12" s="323"/>
      <c r="N12" s="324"/>
    </row>
    <row r="13" spans="2:14" ht="15" customHeight="1">
      <c r="B13" s="318"/>
      <c r="C13" s="320"/>
      <c r="D13" s="320"/>
      <c r="E13" s="320"/>
      <c r="F13" s="320"/>
      <c r="G13" s="320"/>
      <c r="H13" s="320"/>
      <c r="I13" s="325"/>
      <c r="J13" s="323"/>
      <c r="K13" s="323"/>
      <c r="L13" s="323"/>
      <c r="M13" s="323"/>
      <c r="N13" s="324"/>
    </row>
    <row r="14" spans="2:14" ht="15" customHeight="1">
      <c r="B14" s="318"/>
      <c r="C14" s="320"/>
      <c r="D14" s="320"/>
      <c r="E14" s="320"/>
      <c r="F14" s="320"/>
      <c r="G14" s="320"/>
      <c r="H14" s="320"/>
      <c r="I14" s="325"/>
      <c r="J14" s="323"/>
      <c r="K14" s="323"/>
      <c r="L14" s="323"/>
      <c r="M14" s="323"/>
      <c r="N14" s="324"/>
    </row>
    <row r="15" spans="2:14" ht="15" customHeight="1">
      <c r="B15" s="318"/>
      <c r="C15" s="320"/>
      <c r="D15" s="320"/>
      <c r="E15" s="320"/>
      <c r="F15" s="320"/>
      <c r="G15" s="320"/>
      <c r="H15" s="320"/>
      <c r="I15" s="325"/>
      <c r="J15" s="323"/>
      <c r="K15" s="323"/>
      <c r="L15" s="323"/>
      <c r="M15" s="323"/>
      <c r="N15" s="324"/>
    </row>
    <row r="16" spans="2:14" ht="15" customHeight="1">
      <c r="B16" s="318"/>
      <c r="C16" s="320"/>
      <c r="D16" s="320"/>
      <c r="E16" s="320"/>
      <c r="F16" s="320"/>
      <c r="G16" s="320"/>
      <c r="H16" s="320"/>
      <c r="I16" s="325"/>
      <c r="J16" s="323"/>
      <c r="K16" s="323"/>
      <c r="L16" s="323"/>
      <c r="M16" s="323"/>
      <c r="N16" s="324"/>
    </row>
    <row r="17" spans="2:14" ht="15" customHeight="1">
      <c r="B17" s="318"/>
      <c r="C17" s="320"/>
      <c r="D17" s="320"/>
      <c r="E17" s="320"/>
      <c r="F17" s="320"/>
      <c r="G17" s="320"/>
      <c r="H17" s="320"/>
      <c r="I17" s="325"/>
      <c r="J17" s="323"/>
      <c r="K17" s="323"/>
      <c r="L17" s="323"/>
      <c r="M17" s="323"/>
      <c r="N17" s="324"/>
    </row>
    <row r="18" spans="2:14" ht="15" customHeight="1">
      <c r="B18" s="318"/>
      <c r="C18" s="320"/>
      <c r="D18" s="320"/>
      <c r="E18" s="320"/>
      <c r="F18" s="320"/>
      <c r="G18" s="320"/>
      <c r="H18" s="320"/>
      <c r="I18" s="325"/>
      <c r="J18" s="323"/>
      <c r="K18" s="323"/>
      <c r="L18" s="323"/>
      <c r="M18" s="323"/>
      <c r="N18" s="324"/>
    </row>
    <row r="19" spans="2:14" ht="15" customHeight="1">
      <c r="B19" s="318"/>
      <c r="C19" s="320"/>
      <c r="D19" s="320"/>
      <c r="E19" s="320"/>
      <c r="F19" s="320"/>
      <c r="G19" s="320"/>
      <c r="H19" s="320"/>
      <c r="I19" s="325"/>
      <c r="J19" s="323"/>
      <c r="K19" s="323"/>
      <c r="L19" s="323"/>
      <c r="M19" s="323"/>
      <c r="N19" s="324"/>
    </row>
    <row r="20" spans="2:14" ht="15" customHeight="1">
      <c r="B20" s="318"/>
      <c r="C20" s="320"/>
      <c r="D20" s="320"/>
      <c r="E20" s="320"/>
      <c r="F20" s="320"/>
      <c r="G20" s="320"/>
      <c r="H20" s="320"/>
      <c r="I20" s="325"/>
      <c r="J20" s="323"/>
      <c r="K20" s="323"/>
      <c r="L20" s="323"/>
      <c r="M20" s="323"/>
      <c r="N20" s="324"/>
    </row>
    <row r="21" spans="2:14" ht="15" customHeight="1">
      <c r="B21" s="318"/>
      <c r="C21" s="320"/>
      <c r="D21" s="320"/>
      <c r="E21" s="320"/>
      <c r="F21" s="320"/>
      <c r="G21" s="320"/>
      <c r="H21" s="320"/>
      <c r="I21" s="325"/>
      <c r="J21" s="323"/>
      <c r="K21" s="323"/>
      <c r="L21" s="323"/>
      <c r="M21" s="323"/>
      <c r="N21" s="324"/>
    </row>
    <row r="22" spans="2:14" ht="15" customHeight="1">
      <c r="B22" s="318"/>
      <c r="C22" s="320"/>
      <c r="D22" s="320"/>
      <c r="E22" s="320"/>
      <c r="F22" s="320"/>
      <c r="G22" s="320"/>
      <c r="H22" s="320"/>
      <c r="I22" s="325"/>
      <c r="J22" s="323"/>
      <c r="K22" s="323"/>
      <c r="L22" s="323"/>
      <c r="M22" s="323"/>
      <c r="N22" s="324"/>
    </row>
    <row r="23" spans="2:14" ht="15" customHeight="1">
      <c r="B23" s="318"/>
      <c r="C23" s="320"/>
      <c r="D23" s="320"/>
      <c r="E23" s="320"/>
      <c r="F23" s="320"/>
      <c r="G23" s="320"/>
      <c r="H23" s="320"/>
      <c r="I23" s="325"/>
      <c r="J23" s="323"/>
      <c r="K23" s="323"/>
      <c r="L23" s="323"/>
      <c r="M23" s="323"/>
      <c r="N23" s="324"/>
    </row>
    <row r="24" spans="2:14" ht="15" customHeight="1">
      <c r="B24" s="318"/>
      <c r="C24" s="320"/>
      <c r="D24" s="320"/>
      <c r="E24" s="320"/>
      <c r="F24" s="320"/>
      <c r="G24" s="320"/>
      <c r="H24" s="320"/>
      <c r="I24" s="325"/>
      <c r="J24" s="323"/>
      <c r="K24" s="323"/>
      <c r="L24" s="323"/>
      <c r="M24" s="323"/>
      <c r="N24" s="324"/>
    </row>
    <row r="25" spans="2:14" ht="15" customHeight="1">
      <c r="B25" s="318"/>
      <c r="C25" s="320"/>
      <c r="D25" s="320"/>
      <c r="E25" s="320"/>
      <c r="F25" s="320"/>
      <c r="G25" s="320"/>
      <c r="H25" s="320"/>
      <c r="I25" s="325"/>
      <c r="J25" s="323"/>
      <c r="K25" s="323"/>
      <c r="L25" s="323"/>
      <c r="M25" s="323"/>
      <c r="N25" s="324"/>
    </row>
    <row r="26" spans="2:14" ht="15" customHeight="1">
      <c r="B26" s="318"/>
      <c r="C26" s="320"/>
      <c r="D26" s="320"/>
      <c r="E26" s="320"/>
      <c r="F26" s="320"/>
      <c r="G26" s="320"/>
      <c r="H26" s="320"/>
      <c r="I26" s="325"/>
      <c r="J26" s="323"/>
      <c r="K26" s="323"/>
      <c r="L26" s="323"/>
      <c r="M26" s="323"/>
      <c r="N26" s="324"/>
    </row>
    <row r="27" spans="2:14" ht="15" customHeight="1">
      <c r="B27" s="318"/>
      <c r="C27" s="320"/>
      <c r="D27" s="320"/>
      <c r="E27" s="320"/>
      <c r="F27" s="320"/>
      <c r="G27" s="320"/>
      <c r="H27" s="320"/>
      <c r="I27" s="325"/>
      <c r="J27" s="323"/>
      <c r="K27" s="323"/>
      <c r="L27" s="323"/>
      <c r="M27" s="323"/>
      <c r="N27" s="324"/>
    </row>
    <row r="28" spans="2:14" ht="15" customHeight="1">
      <c r="B28" s="318"/>
      <c r="C28" s="320"/>
      <c r="D28" s="320"/>
      <c r="E28" s="320"/>
      <c r="F28" s="320"/>
      <c r="G28" s="320"/>
      <c r="H28" s="320"/>
      <c r="I28" s="325"/>
      <c r="J28" s="323"/>
      <c r="K28" s="323"/>
      <c r="L28" s="323"/>
      <c r="M28" s="323"/>
      <c r="N28" s="324"/>
    </row>
    <row r="29" spans="2:14" ht="15" customHeight="1">
      <c r="B29" s="318"/>
      <c r="C29" s="320"/>
      <c r="D29" s="320"/>
      <c r="E29" s="320"/>
      <c r="F29" s="320"/>
      <c r="G29" s="320"/>
      <c r="H29" s="320"/>
      <c r="I29" s="325"/>
      <c r="J29" s="323"/>
      <c r="K29" s="323"/>
      <c r="L29" s="323"/>
      <c r="M29" s="323"/>
      <c r="N29" s="324"/>
    </row>
    <row r="30" spans="2:14" ht="15" customHeight="1">
      <c r="B30" s="318"/>
      <c r="C30" s="320"/>
      <c r="D30" s="320"/>
      <c r="E30" s="320"/>
      <c r="F30" s="320"/>
      <c r="G30" s="320"/>
      <c r="H30" s="320"/>
      <c r="I30" s="325"/>
      <c r="J30" s="323"/>
      <c r="K30" s="323"/>
      <c r="L30" s="323"/>
      <c r="M30" s="323"/>
      <c r="N30" s="324"/>
    </row>
    <row r="31" spans="2:14" ht="15" customHeight="1">
      <c r="B31" s="318"/>
      <c r="C31" s="320"/>
      <c r="D31" s="320"/>
      <c r="E31" s="320"/>
      <c r="F31" s="320"/>
      <c r="G31" s="320"/>
      <c r="H31" s="320"/>
      <c r="I31" s="325"/>
      <c r="J31" s="323"/>
      <c r="K31" s="323"/>
      <c r="L31" s="323"/>
      <c r="M31" s="323"/>
      <c r="N31" s="324"/>
    </row>
    <row r="32" spans="2:14" ht="15" customHeight="1">
      <c r="B32" s="318"/>
      <c r="C32" s="320"/>
      <c r="D32" s="320"/>
      <c r="E32" s="320"/>
      <c r="F32" s="320"/>
      <c r="G32" s="320"/>
      <c r="H32" s="320"/>
      <c r="I32" s="325"/>
      <c r="J32" s="323"/>
      <c r="K32" s="323"/>
      <c r="L32" s="323"/>
      <c r="M32" s="323"/>
      <c r="N32" s="324"/>
    </row>
    <row r="33" spans="2:14" ht="15" customHeight="1">
      <c r="B33" s="318"/>
      <c r="C33" s="320"/>
      <c r="D33" s="320"/>
      <c r="E33" s="320"/>
      <c r="F33" s="320"/>
      <c r="G33" s="320"/>
      <c r="H33" s="320"/>
      <c r="I33" s="325"/>
      <c r="J33" s="323"/>
      <c r="K33" s="323"/>
      <c r="L33" s="323"/>
      <c r="M33" s="323"/>
      <c r="N33" s="324"/>
    </row>
    <row r="34" spans="2:14" ht="15" customHeight="1">
      <c r="B34" s="318"/>
      <c r="C34" s="320"/>
      <c r="D34" s="320"/>
      <c r="E34" s="320"/>
      <c r="F34" s="320"/>
      <c r="G34" s="320"/>
      <c r="H34" s="320"/>
      <c r="I34" s="325"/>
      <c r="J34" s="323"/>
      <c r="K34" s="323"/>
      <c r="L34" s="323"/>
      <c r="M34" s="323"/>
      <c r="N34" s="324"/>
    </row>
    <row r="35" spans="2:14" ht="15" customHeight="1">
      <c r="B35" s="318"/>
      <c r="C35" s="320"/>
      <c r="D35" s="320"/>
      <c r="E35" s="320"/>
      <c r="F35" s="320"/>
      <c r="G35" s="320"/>
      <c r="H35" s="320"/>
      <c r="I35" s="325"/>
      <c r="J35" s="323"/>
      <c r="K35" s="323"/>
      <c r="L35" s="323"/>
      <c r="M35" s="323"/>
      <c r="N35" s="324"/>
    </row>
    <row r="36" spans="2:14" ht="15" customHeight="1">
      <c r="B36" s="318"/>
      <c r="C36" s="320"/>
      <c r="D36" s="320"/>
      <c r="E36" s="320"/>
      <c r="F36" s="320"/>
      <c r="G36" s="320"/>
      <c r="H36" s="320"/>
      <c r="I36" s="325"/>
      <c r="J36" s="323"/>
      <c r="K36" s="323"/>
      <c r="L36" s="323"/>
      <c r="M36" s="323"/>
      <c r="N36" s="324"/>
    </row>
    <row r="37" spans="2:14" ht="15" customHeight="1">
      <c r="B37" s="318"/>
      <c r="C37" s="320"/>
      <c r="D37" s="320"/>
      <c r="E37" s="320"/>
      <c r="F37" s="320"/>
      <c r="G37" s="320"/>
      <c r="H37" s="320"/>
      <c r="I37" s="325"/>
      <c r="J37" s="323"/>
      <c r="K37" s="323"/>
      <c r="L37" s="323"/>
      <c r="M37" s="323"/>
      <c r="N37" s="324"/>
    </row>
    <row r="38" spans="2:14" ht="15" customHeight="1">
      <c r="B38" s="318"/>
      <c r="C38" s="320"/>
      <c r="D38" s="320"/>
      <c r="E38" s="320"/>
      <c r="F38" s="320"/>
      <c r="G38" s="320"/>
      <c r="H38" s="320"/>
      <c r="I38" s="325"/>
      <c r="J38" s="323"/>
      <c r="K38" s="323"/>
      <c r="L38" s="323"/>
      <c r="M38" s="323"/>
      <c r="N38" s="324"/>
    </row>
    <row r="39" spans="2:14" ht="15" customHeight="1">
      <c r="B39" s="318"/>
      <c r="C39" s="320"/>
      <c r="D39" s="320"/>
      <c r="E39" s="320"/>
      <c r="F39" s="320"/>
      <c r="G39" s="320"/>
      <c r="H39" s="320"/>
      <c r="I39" s="325"/>
      <c r="J39" s="323"/>
      <c r="K39" s="323"/>
      <c r="L39" s="323"/>
      <c r="M39" s="323"/>
      <c r="N39" s="324"/>
    </row>
    <row r="40" spans="2:14" ht="15" customHeight="1">
      <c r="B40" s="318"/>
      <c r="C40" s="320"/>
      <c r="D40" s="320"/>
      <c r="E40" s="320"/>
      <c r="F40" s="320"/>
      <c r="G40" s="320"/>
      <c r="H40" s="320"/>
      <c r="I40" s="325"/>
      <c r="J40" s="323"/>
      <c r="K40" s="323"/>
      <c r="L40" s="323"/>
      <c r="M40" s="323"/>
      <c r="N40" s="324"/>
    </row>
    <row r="41" spans="2:14" ht="15" customHeight="1">
      <c r="B41" s="318"/>
      <c r="C41" s="320"/>
      <c r="D41" s="320"/>
      <c r="E41" s="320"/>
      <c r="F41" s="320"/>
      <c r="G41" s="320"/>
      <c r="H41" s="320"/>
      <c r="I41" s="325"/>
      <c r="J41" s="323"/>
      <c r="K41" s="323"/>
      <c r="L41" s="323"/>
      <c r="M41" s="323"/>
      <c r="N41" s="324"/>
    </row>
    <row r="42" spans="2:14" ht="15" customHeight="1">
      <c r="B42" s="318"/>
      <c r="C42" s="320"/>
      <c r="D42" s="320"/>
      <c r="E42" s="320"/>
      <c r="F42" s="320"/>
      <c r="G42" s="320"/>
      <c r="H42" s="320"/>
      <c r="I42" s="325"/>
      <c r="J42" s="323"/>
      <c r="K42" s="323"/>
      <c r="L42" s="323"/>
      <c r="M42" s="323"/>
      <c r="N42" s="324"/>
    </row>
    <row r="43" spans="2:14" ht="15" customHeight="1">
      <c r="B43" s="318"/>
      <c r="C43" s="320"/>
      <c r="D43" s="320"/>
      <c r="E43" s="320"/>
      <c r="F43" s="320"/>
      <c r="G43" s="320"/>
      <c r="H43" s="320"/>
      <c r="I43" s="325"/>
      <c r="J43" s="323"/>
      <c r="K43" s="323"/>
      <c r="L43" s="323"/>
      <c r="M43" s="323"/>
      <c r="N43" s="324"/>
    </row>
    <row r="44" spans="2:14" ht="15" customHeight="1">
      <c r="B44" s="318"/>
      <c r="C44" s="320"/>
      <c r="D44" s="320"/>
      <c r="E44" s="320"/>
      <c r="F44" s="320"/>
      <c r="G44" s="320"/>
      <c r="H44" s="320"/>
      <c r="I44" s="325"/>
      <c r="J44" s="323"/>
      <c r="K44" s="323"/>
      <c r="L44" s="323"/>
      <c r="M44" s="323"/>
      <c r="N44" s="324"/>
    </row>
    <row r="45" spans="2:14" ht="15" customHeight="1">
      <c r="B45" s="318"/>
      <c r="C45" s="320"/>
      <c r="D45" s="320"/>
      <c r="E45" s="320"/>
      <c r="F45" s="320"/>
      <c r="G45" s="320"/>
      <c r="H45" s="320"/>
      <c r="I45" s="325"/>
      <c r="J45" s="323"/>
      <c r="K45" s="323"/>
      <c r="L45" s="323"/>
      <c r="M45" s="323"/>
      <c r="N45" s="324"/>
    </row>
    <row r="46" spans="2:14" ht="15" customHeight="1">
      <c r="B46" s="318"/>
      <c r="C46" s="320"/>
      <c r="D46" s="320"/>
      <c r="E46" s="320"/>
      <c r="F46" s="320"/>
      <c r="G46" s="320"/>
      <c r="H46" s="320"/>
      <c r="I46" s="325"/>
      <c r="J46" s="323"/>
      <c r="K46" s="323"/>
      <c r="L46" s="323"/>
      <c r="M46" s="323"/>
      <c r="N46" s="324"/>
    </row>
    <row r="47" spans="2:14" ht="15" customHeight="1">
      <c r="B47" s="318"/>
      <c r="C47" s="320"/>
      <c r="D47" s="320"/>
      <c r="E47" s="320"/>
      <c r="F47" s="320"/>
      <c r="G47" s="320"/>
      <c r="H47" s="320"/>
      <c r="I47" s="325"/>
      <c r="J47" s="323"/>
      <c r="K47" s="323"/>
      <c r="L47" s="323"/>
      <c r="M47" s="323"/>
      <c r="N47" s="324"/>
    </row>
    <row r="48" spans="2:14" ht="15" customHeight="1">
      <c r="B48" s="318"/>
      <c r="C48" s="320"/>
      <c r="D48" s="320"/>
      <c r="E48" s="320"/>
      <c r="F48" s="320"/>
      <c r="G48" s="320"/>
      <c r="H48" s="320"/>
      <c r="I48" s="325"/>
      <c r="J48" s="323"/>
      <c r="K48" s="323"/>
      <c r="L48" s="323"/>
      <c r="M48" s="323"/>
      <c r="N48" s="324"/>
    </row>
    <row r="49" spans="2:14" ht="15" customHeight="1">
      <c r="B49" s="318"/>
      <c r="C49" s="320"/>
      <c r="D49" s="320"/>
      <c r="E49" s="320"/>
      <c r="F49" s="320"/>
      <c r="G49" s="320"/>
      <c r="H49" s="320"/>
      <c r="I49" s="325"/>
      <c r="J49" s="323"/>
      <c r="K49" s="323"/>
      <c r="L49" s="323"/>
      <c r="M49" s="323"/>
      <c r="N49" s="324"/>
    </row>
    <row r="50" spans="2:14" ht="15" customHeight="1">
      <c r="B50" s="318"/>
      <c r="C50" s="320"/>
      <c r="D50" s="320"/>
      <c r="E50" s="320"/>
      <c r="F50" s="320"/>
      <c r="G50" s="320"/>
      <c r="H50" s="320"/>
      <c r="I50" s="325"/>
      <c r="J50" s="323"/>
      <c r="K50" s="323"/>
      <c r="L50" s="323"/>
      <c r="M50" s="323"/>
      <c r="N50" s="324"/>
    </row>
    <row r="51" spans="2:14" ht="15" customHeight="1">
      <c r="B51" s="318"/>
      <c r="C51" s="320"/>
      <c r="D51" s="320"/>
      <c r="E51" s="320"/>
      <c r="F51" s="320"/>
      <c r="G51" s="320"/>
      <c r="H51" s="320"/>
      <c r="I51" s="325"/>
      <c r="J51" s="323"/>
      <c r="K51" s="323"/>
      <c r="L51" s="323"/>
      <c r="M51" s="323"/>
      <c r="N51" s="324"/>
    </row>
    <row r="52" spans="2:14" ht="15" customHeight="1" thickBot="1">
      <c r="B52" s="327"/>
      <c r="C52" s="328"/>
      <c r="D52" s="328"/>
      <c r="E52" s="328"/>
      <c r="F52" s="328"/>
      <c r="G52" s="328"/>
      <c r="H52" s="328"/>
      <c r="I52" s="329"/>
      <c r="J52" s="330"/>
      <c r="K52" s="330"/>
      <c r="L52" s="330"/>
      <c r="M52" s="330"/>
      <c r="N52" s="331"/>
    </row>
    <row r="53" spans="2:14" ht="20.25" customHeight="1" thickBot="1">
      <c r="B53" s="605" t="s">
        <v>358</v>
      </c>
      <c r="C53" s="605"/>
      <c r="D53" s="605"/>
      <c r="E53" s="605"/>
      <c r="F53" s="605"/>
      <c r="G53" s="605"/>
      <c r="H53" s="605"/>
      <c r="I53" s="605"/>
      <c r="J53" s="605"/>
      <c r="K53" s="605"/>
      <c r="L53" s="605"/>
      <c r="M53" s="605"/>
      <c r="N53" s="605"/>
    </row>
    <row r="54" spans="2:14" ht="15" customHeight="1" thickBot="1">
      <c r="B54" s="332" t="s">
        <v>359</v>
      </c>
      <c r="C54" s="606" t="s">
        <v>356</v>
      </c>
      <c r="D54" s="607"/>
      <c r="E54" s="607"/>
      <c r="F54" s="607"/>
      <c r="G54" s="607"/>
      <c r="H54" s="333"/>
      <c r="I54" s="606" t="s">
        <v>351</v>
      </c>
      <c r="J54" s="607"/>
      <c r="K54" s="608"/>
      <c r="L54" s="606" t="s">
        <v>360</v>
      </c>
      <c r="M54" s="607"/>
      <c r="N54" s="609"/>
    </row>
    <row r="55" spans="2:14" ht="15" customHeight="1">
      <c r="B55" s="334"/>
      <c r="C55" s="595"/>
      <c r="D55" s="596"/>
      <c r="E55" s="596"/>
      <c r="F55" s="596"/>
      <c r="G55" s="596"/>
      <c r="H55" s="335"/>
      <c r="I55" s="597"/>
      <c r="J55" s="598"/>
      <c r="K55" s="599"/>
      <c r="L55" s="600"/>
      <c r="M55" s="601"/>
      <c r="N55" s="602"/>
    </row>
    <row r="56" spans="2:14" ht="15" customHeight="1">
      <c r="B56" s="336"/>
      <c r="C56" s="610"/>
      <c r="D56" s="611"/>
      <c r="E56" s="611"/>
      <c r="F56" s="611"/>
      <c r="G56" s="611"/>
      <c r="H56" s="337"/>
      <c r="I56" s="612"/>
      <c r="J56" s="613"/>
      <c r="K56" s="614"/>
      <c r="L56" s="615"/>
      <c r="M56" s="616"/>
      <c r="N56" s="617"/>
    </row>
    <row r="57" spans="2:14" ht="15" customHeight="1">
      <c r="B57" s="336"/>
      <c r="C57" s="610"/>
      <c r="D57" s="611"/>
      <c r="E57" s="611"/>
      <c r="F57" s="611"/>
      <c r="G57" s="611"/>
      <c r="H57" s="337"/>
      <c r="I57" s="612"/>
      <c r="J57" s="613"/>
      <c r="K57" s="614"/>
      <c r="L57" s="615"/>
      <c r="M57" s="616"/>
      <c r="N57" s="617"/>
    </row>
    <row r="58" spans="2:14" ht="15" customHeight="1">
      <c r="B58" s="336"/>
      <c r="C58" s="610"/>
      <c r="D58" s="611"/>
      <c r="E58" s="611"/>
      <c r="F58" s="611"/>
      <c r="G58" s="611"/>
      <c r="H58" s="337"/>
      <c r="I58" s="612"/>
      <c r="J58" s="613"/>
      <c r="K58" s="614"/>
      <c r="L58" s="615"/>
      <c r="M58" s="616"/>
      <c r="N58" s="617"/>
    </row>
    <row r="59" spans="2:14" ht="15" customHeight="1">
      <c r="B59" s="336"/>
      <c r="C59" s="610"/>
      <c r="D59" s="611"/>
      <c r="E59" s="611"/>
      <c r="F59" s="611"/>
      <c r="G59" s="611"/>
      <c r="H59" s="337"/>
      <c r="I59" s="612"/>
      <c r="J59" s="613"/>
      <c r="K59" s="614"/>
      <c r="L59" s="615"/>
      <c r="M59" s="616"/>
      <c r="N59" s="617"/>
    </row>
    <row r="60" spans="2:14" ht="15" customHeight="1">
      <c r="B60" s="336"/>
      <c r="C60" s="610"/>
      <c r="D60" s="611"/>
      <c r="E60" s="611"/>
      <c r="F60" s="611"/>
      <c r="G60" s="611"/>
      <c r="H60" s="337"/>
      <c r="I60" s="612"/>
      <c r="J60" s="613"/>
      <c r="K60" s="614"/>
      <c r="L60" s="615"/>
      <c r="M60" s="616"/>
      <c r="N60" s="617"/>
    </row>
    <row r="61" spans="2:14" ht="15" customHeight="1">
      <c r="B61" s="336"/>
      <c r="C61" s="610"/>
      <c r="D61" s="611"/>
      <c r="E61" s="611"/>
      <c r="F61" s="611"/>
      <c r="G61" s="611"/>
      <c r="H61" s="337"/>
      <c r="I61" s="612"/>
      <c r="J61" s="613"/>
      <c r="K61" s="614"/>
      <c r="L61" s="615"/>
      <c r="M61" s="616"/>
      <c r="N61" s="617"/>
    </row>
    <row r="62" spans="2:14" ht="15" customHeight="1">
      <c r="B62" s="336"/>
      <c r="C62" s="610"/>
      <c r="D62" s="611"/>
      <c r="E62" s="611"/>
      <c r="F62" s="611"/>
      <c r="G62" s="611"/>
      <c r="H62" s="337"/>
      <c r="I62" s="612"/>
      <c r="J62" s="613"/>
      <c r="K62" s="614"/>
      <c r="L62" s="615"/>
      <c r="M62" s="616"/>
      <c r="N62" s="617"/>
    </row>
    <row r="63" spans="2:14" ht="15" customHeight="1">
      <c r="B63" s="336"/>
      <c r="C63" s="610"/>
      <c r="D63" s="611"/>
      <c r="E63" s="611"/>
      <c r="F63" s="611"/>
      <c r="G63" s="611"/>
      <c r="H63" s="337"/>
      <c r="I63" s="612"/>
      <c r="J63" s="613"/>
      <c r="K63" s="614"/>
      <c r="L63" s="615"/>
      <c r="M63" s="616"/>
      <c r="N63" s="617"/>
    </row>
    <row r="64" spans="2:14" ht="15" customHeight="1">
      <c r="B64" s="336"/>
      <c r="C64" s="610"/>
      <c r="D64" s="611"/>
      <c r="E64" s="611"/>
      <c r="F64" s="611"/>
      <c r="G64" s="611"/>
      <c r="H64" s="337"/>
      <c r="I64" s="612"/>
      <c r="J64" s="613"/>
      <c r="K64" s="614"/>
      <c r="L64" s="615"/>
      <c r="M64" s="616"/>
      <c r="N64" s="617"/>
    </row>
    <row r="65" spans="2:14" ht="15" customHeight="1">
      <c r="B65" s="336"/>
      <c r="C65" s="610"/>
      <c r="D65" s="611"/>
      <c r="E65" s="611"/>
      <c r="F65" s="611"/>
      <c r="G65" s="611"/>
      <c r="H65" s="337"/>
      <c r="I65" s="612"/>
      <c r="J65" s="613"/>
      <c r="K65" s="614"/>
      <c r="L65" s="615"/>
      <c r="M65" s="616"/>
      <c r="N65" s="617"/>
    </row>
    <row r="66" spans="2:14" ht="15" customHeight="1">
      <c r="B66" s="336"/>
      <c r="C66" s="610"/>
      <c r="D66" s="611"/>
      <c r="E66" s="611"/>
      <c r="F66" s="611"/>
      <c r="G66" s="611"/>
      <c r="H66" s="337"/>
      <c r="I66" s="612"/>
      <c r="J66" s="613"/>
      <c r="K66" s="614"/>
      <c r="L66" s="615"/>
      <c r="M66" s="616"/>
      <c r="N66" s="617"/>
    </row>
    <row r="67" spans="2:14" ht="15" customHeight="1">
      <c r="B67" s="336"/>
      <c r="C67" s="610"/>
      <c r="D67" s="611"/>
      <c r="E67" s="611"/>
      <c r="F67" s="611"/>
      <c r="G67" s="611"/>
      <c r="H67" s="337"/>
      <c r="I67" s="612"/>
      <c r="J67" s="613"/>
      <c r="K67" s="614"/>
      <c r="L67" s="615"/>
      <c r="M67" s="616"/>
      <c r="N67" s="617"/>
    </row>
    <row r="68" spans="2:14" ht="15" customHeight="1">
      <c r="B68" s="336"/>
      <c r="C68" s="610"/>
      <c r="D68" s="611"/>
      <c r="E68" s="611"/>
      <c r="F68" s="611"/>
      <c r="G68" s="611"/>
      <c r="H68" s="337"/>
      <c r="I68" s="612"/>
      <c r="J68" s="613"/>
      <c r="K68" s="614"/>
      <c r="L68" s="615"/>
      <c r="M68" s="616"/>
      <c r="N68" s="617"/>
    </row>
    <row r="69" spans="2:14" ht="15" customHeight="1">
      <c r="B69" s="336"/>
      <c r="C69" s="610"/>
      <c r="D69" s="611"/>
      <c r="E69" s="611"/>
      <c r="F69" s="611"/>
      <c r="G69" s="611"/>
      <c r="H69" s="337"/>
      <c r="I69" s="612"/>
      <c r="J69" s="613"/>
      <c r="K69" s="614"/>
      <c r="L69" s="615"/>
      <c r="M69" s="616"/>
      <c r="N69" s="617"/>
    </row>
    <row r="70" spans="2:14" ht="15" customHeight="1">
      <c r="B70" s="336"/>
      <c r="C70" s="610"/>
      <c r="D70" s="611"/>
      <c r="E70" s="611"/>
      <c r="F70" s="611"/>
      <c r="G70" s="611"/>
      <c r="H70" s="337"/>
      <c r="I70" s="612"/>
      <c r="J70" s="613"/>
      <c r="K70" s="614"/>
      <c r="L70" s="615"/>
      <c r="M70" s="616"/>
      <c r="N70" s="617"/>
    </row>
    <row r="71" spans="2:14" ht="15" customHeight="1">
      <c r="B71" s="336"/>
      <c r="C71" s="610"/>
      <c r="D71" s="611"/>
      <c r="E71" s="611"/>
      <c r="F71" s="611"/>
      <c r="G71" s="611"/>
      <c r="H71" s="337"/>
      <c r="I71" s="612"/>
      <c r="J71" s="613"/>
      <c r="K71" s="614"/>
      <c r="L71" s="615"/>
      <c r="M71" s="616"/>
      <c r="N71" s="617"/>
    </row>
    <row r="72" spans="2:14">
      <c r="B72" s="336"/>
      <c r="C72" s="610"/>
      <c r="D72" s="611"/>
      <c r="E72" s="611"/>
      <c r="F72" s="611"/>
      <c r="G72" s="611"/>
      <c r="H72" s="337"/>
      <c r="I72" s="612"/>
      <c r="J72" s="613"/>
      <c r="K72" s="614"/>
      <c r="L72" s="615"/>
      <c r="M72" s="616"/>
      <c r="N72" s="617"/>
    </row>
    <row r="73" spans="2:14">
      <c r="B73" s="336"/>
      <c r="C73" s="610"/>
      <c r="D73" s="611"/>
      <c r="E73" s="611"/>
      <c r="F73" s="611"/>
      <c r="G73" s="611"/>
      <c r="H73" s="337"/>
      <c r="I73" s="612"/>
      <c r="J73" s="613"/>
      <c r="K73" s="614"/>
      <c r="L73" s="615"/>
      <c r="M73" s="616"/>
      <c r="N73" s="617"/>
    </row>
    <row r="74" spans="2:14">
      <c r="B74" s="336"/>
      <c r="C74" s="610"/>
      <c r="D74" s="611"/>
      <c r="E74" s="611"/>
      <c r="F74" s="611"/>
      <c r="G74" s="611"/>
      <c r="H74" s="337"/>
      <c r="I74" s="612"/>
      <c r="J74" s="613"/>
      <c r="K74" s="614"/>
      <c r="L74" s="615"/>
      <c r="M74" s="616"/>
      <c r="N74" s="617"/>
    </row>
    <row r="75" spans="2:14">
      <c r="B75" s="336"/>
      <c r="C75" s="610"/>
      <c r="D75" s="611"/>
      <c r="E75" s="611"/>
      <c r="F75" s="611"/>
      <c r="G75" s="611"/>
      <c r="H75" s="337"/>
      <c r="I75" s="612"/>
      <c r="J75" s="613"/>
      <c r="K75" s="614"/>
      <c r="L75" s="615"/>
      <c r="M75" s="616"/>
      <c r="N75" s="617"/>
    </row>
    <row r="76" spans="2:14">
      <c r="B76" s="336"/>
      <c r="C76" s="610"/>
      <c r="D76" s="611"/>
      <c r="E76" s="611"/>
      <c r="F76" s="611"/>
      <c r="G76" s="611"/>
      <c r="H76" s="337"/>
      <c r="I76" s="612"/>
      <c r="J76" s="613"/>
      <c r="K76" s="614"/>
      <c r="L76" s="615"/>
      <c r="M76" s="616"/>
      <c r="N76" s="617"/>
    </row>
    <row r="77" spans="2:14">
      <c r="B77" s="336"/>
      <c r="C77" s="610"/>
      <c r="D77" s="611"/>
      <c r="E77" s="611"/>
      <c r="F77" s="611"/>
      <c r="G77" s="611"/>
      <c r="H77" s="337"/>
      <c r="I77" s="612"/>
      <c r="J77" s="613"/>
      <c r="K77" s="614"/>
      <c r="L77" s="615"/>
      <c r="M77" s="616"/>
      <c r="N77" s="617"/>
    </row>
    <row r="78" spans="2:14">
      <c r="B78" s="336"/>
      <c r="C78" s="610"/>
      <c r="D78" s="611"/>
      <c r="E78" s="611"/>
      <c r="F78" s="611"/>
      <c r="G78" s="611"/>
      <c r="H78" s="337"/>
      <c r="I78" s="612"/>
      <c r="J78" s="613"/>
      <c r="K78" s="614"/>
      <c r="L78" s="615"/>
      <c r="M78" s="616"/>
      <c r="N78" s="617"/>
    </row>
    <row r="79" spans="2:14" ht="13.5" thickBot="1">
      <c r="B79" s="338"/>
      <c r="C79" s="618"/>
      <c r="D79" s="619"/>
      <c r="E79" s="619"/>
      <c r="F79" s="619"/>
      <c r="G79" s="619"/>
      <c r="H79" s="339"/>
      <c r="I79" s="620"/>
      <c r="J79" s="621"/>
      <c r="K79" s="622"/>
      <c r="L79" s="623"/>
      <c r="M79" s="624"/>
      <c r="N79" s="625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1"/>
  <sheetViews>
    <sheetView workbookViewId="0">
      <selection sqref="A1:F1"/>
    </sheetView>
  </sheetViews>
  <sheetFormatPr defaultRowHeight="12.75"/>
  <cols>
    <col min="1" max="6" width="14.7109375" style="340" customWidth="1"/>
    <col min="7" max="16384" width="9.140625" style="340"/>
  </cols>
  <sheetData>
    <row r="1" spans="1:7" ht="20.25">
      <c r="A1" s="626" t="s">
        <v>367</v>
      </c>
      <c r="B1" s="626"/>
      <c r="C1" s="626"/>
      <c r="D1" s="626"/>
      <c r="E1" s="626"/>
      <c r="F1" s="626"/>
    </row>
    <row r="2" spans="1:7" ht="19.5" thickBot="1">
      <c r="A2" s="341"/>
      <c r="B2" s="341"/>
      <c r="C2" s="627" t="s">
        <v>379</v>
      </c>
      <c r="D2" s="627"/>
      <c r="E2" s="341"/>
      <c r="F2" s="341"/>
      <c r="G2" s="341"/>
    </row>
    <row r="3" spans="1:7" ht="19.5">
      <c r="A3" s="628" t="s">
        <v>368</v>
      </c>
      <c r="B3" s="629"/>
      <c r="C3" s="630"/>
      <c r="D3" s="628" t="s">
        <v>369</v>
      </c>
      <c r="E3" s="629"/>
      <c r="F3" s="630"/>
      <c r="G3" s="341"/>
    </row>
    <row r="4" spans="1:7" ht="15.75">
      <c r="A4" s="342" t="s">
        <v>380</v>
      </c>
      <c r="B4" s="631" t="s">
        <v>382</v>
      </c>
      <c r="C4" s="632"/>
      <c r="D4" s="633" t="s">
        <v>384</v>
      </c>
      <c r="E4" s="634"/>
      <c r="F4" s="635"/>
      <c r="G4" s="341"/>
    </row>
    <row r="5" spans="1:7" ht="16.5" thickBot="1">
      <c r="A5" s="343" t="s">
        <v>381</v>
      </c>
      <c r="B5" s="639" t="s">
        <v>383</v>
      </c>
      <c r="C5" s="640"/>
      <c r="D5" s="641" t="s">
        <v>385</v>
      </c>
      <c r="E5" s="642"/>
      <c r="F5" s="643"/>
      <c r="G5" s="341"/>
    </row>
    <row r="6" spans="1:7" ht="19.5">
      <c r="A6" s="628" t="s">
        <v>370</v>
      </c>
      <c r="B6" s="629"/>
      <c r="C6" s="629"/>
      <c r="D6" s="629"/>
      <c r="E6" s="629"/>
      <c r="F6" s="630"/>
      <c r="G6" s="341"/>
    </row>
    <row r="7" spans="1:7" ht="15.75">
      <c r="A7" s="344" t="s">
        <v>371</v>
      </c>
      <c r="B7" s="345" t="s">
        <v>386</v>
      </c>
      <c r="C7" s="346" t="s">
        <v>372</v>
      </c>
      <c r="D7" s="347" t="s">
        <v>388</v>
      </c>
      <c r="E7" s="644" t="s">
        <v>373</v>
      </c>
      <c r="F7" s="645"/>
      <c r="G7" s="341"/>
    </row>
    <row r="8" spans="1:7" ht="16.5" thickBot="1">
      <c r="A8" s="348"/>
      <c r="B8" s="349" t="s">
        <v>387</v>
      </c>
      <c r="C8" s="350"/>
      <c r="D8" s="351" t="s">
        <v>389</v>
      </c>
      <c r="E8" s="646" t="s">
        <v>390</v>
      </c>
      <c r="F8" s="643"/>
      <c r="G8" s="341"/>
    </row>
    <row r="9" spans="1:7" ht="19.5">
      <c r="A9" s="628" t="s">
        <v>374</v>
      </c>
      <c r="B9" s="629"/>
      <c r="C9" s="630"/>
      <c r="D9" s="628" t="s">
        <v>375</v>
      </c>
      <c r="E9" s="629"/>
      <c r="F9" s="630"/>
      <c r="G9" s="341"/>
    </row>
    <row r="10" spans="1:7" ht="15.75">
      <c r="A10" s="352" t="s">
        <v>376</v>
      </c>
      <c r="B10" s="647" t="s">
        <v>391</v>
      </c>
      <c r="C10" s="632"/>
      <c r="D10" s="648" t="s">
        <v>393</v>
      </c>
      <c r="E10" s="649"/>
      <c r="F10" s="353" t="s">
        <v>395</v>
      </c>
      <c r="G10" s="341"/>
    </row>
    <row r="11" spans="1:7" ht="16.5" thickBot="1">
      <c r="A11" s="354" t="s">
        <v>377</v>
      </c>
      <c r="B11" s="642" t="s">
        <v>392</v>
      </c>
      <c r="C11" s="643"/>
      <c r="D11" s="650" t="s">
        <v>394</v>
      </c>
      <c r="E11" s="651"/>
      <c r="F11" s="355" t="s">
        <v>396</v>
      </c>
      <c r="G11" s="341"/>
    </row>
    <row r="12" spans="1:7" ht="19.5">
      <c r="A12" s="628" t="s">
        <v>378</v>
      </c>
      <c r="B12" s="629"/>
      <c r="C12" s="629"/>
      <c r="D12" s="629"/>
      <c r="E12" s="629"/>
      <c r="F12" s="630"/>
      <c r="G12" s="341"/>
    </row>
    <row r="13" spans="1:7" ht="16.5" thickBot="1">
      <c r="A13" s="636" t="s">
        <v>397</v>
      </c>
      <c r="B13" s="637"/>
      <c r="C13" s="638" t="s">
        <v>398</v>
      </c>
      <c r="D13" s="638"/>
      <c r="E13" s="638"/>
      <c r="F13" s="356"/>
      <c r="G13" s="341"/>
    </row>
    <row r="14" spans="1:7" ht="18.95" customHeight="1">
      <c r="A14" s="357"/>
      <c r="B14" s="357"/>
      <c r="C14" s="357"/>
      <c r="D14" s="357"/>
      <c r="E14" s="357"/>
      <c r="F14" s="357"/>
      <c r="G14" s="341"/>
    </row>
    <row r="15" spans="1:7" ht="15.75">
      <c r="G15" s="341"/>
    </row>
    <row r="16" spans="1:7" ht="15.75">
      <c r="G16" s="341"/>
    </row>
    <row r="17" spans="7:7" ht="15.75">
      <c r="G17" s="341"/>
    </row>
    <row r="18" spans="7:7" ht="15.75">
      <c r="G18" s="341"/>
    </row>
    <row r="19" spans="7:7" ht="15.75">
      <c r="G19" s="341"/>
    </row>
    <row r="20" spans="7:7" ht="15.75">
      <c r="G20" s="341"/>
    </row>
    <row r="21" spans="7:7" ht="15.75">
      <c r="G21" s="341"/>
    </row>
    <row r="22" spans="7:7" ht="15.75">
      <c r="G22" s="341"/>
    </row>
    <row r="23" spans="7:7" ht="15.75">
      <c r="G23" s="341"/>
    </row>
    <row r="24" spans="7:7" ht="15.75">
      <c r="G24" s="341"/>
    </row>
    <row r="25" spans="7:7" ht="15.75">
      <c r="G25" s="341"/>
    </row>
    <row r="26" spans="7:7" ht="15.75">
      <c r="G26" s="341"/>
    </row>
    <row r="27" spans="7:7" ht="18.95" customHeight="1">
      <c r="G27" s="341"/>
    </row>
    <row r="28" spans="7:7" ht="15.75">
      <c r="G28" s="341"/>
    </row>
    <row r="29" spans="7:7" ht="15.75">
      <c r="G29" s="341"/>
    </row>
    <row r="30" spans="7:7" ht="15.75">
      <c r="G30" s="341"/>
    </row>
    <row r="31" spans="7:7" ht="15.75">
      <c r="G31" s="341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67"/>
  <sheetViews>
    <sheetView workbookViewId="0">
      <selection activeCell="D11" sqref="D11"/>
    </sheetView>
  </sheetViews>
  <sheetFormatPr defaultRowHeight="12.75"/>
  <cols>
    <col min="1" max="6" width="16.7109375" style="340" customWidth="1"/>
    <col min="7" max="16384" width="9.140625" style="340"/>
  </cols>
  <sheetData>
    <row r="1" spans="1:6" ht="18.95" customHeight="1">
      <c r="A1" s="359"/>
      <c r="B1" s="360"/>
      <c r="C1" s="360"/>
      <c r="D1" s="360"/>
      <c r="E1" s="360"/>
      <c r="F1" s="361"/>
    </row>
    <row r="2" spans="1:6" ht="26.1" customHeight="1">
      <c r="A2" s="362" t="s">
        <v>250</v>
      </c>
      <c r="B2" s="363"/>
      <c r="C2" s="363"/>
      <c r="D2" s="363"/>
      <c r="E2" s="363"/>
      <c r="F2" s="364"/>
    </row>
    <row r="3" spans="1:6" ht="18.95" customHeight="1">
      <c r="A3" s="365" t="s">
        <v>403</v>
      </c>
      <c r="B3" s="363"/>
      <c r="C3" s="363"/>
      <c r="D3" s="363"/>
      <c r="E3" s="363"/>
      <c r="F3" s="364"/>
    </row>
    <row r="4" spans="1:6" ht="18.95" customHeight="1">
      <c r="A4" s="366"/>
      <c r="B4" s="367"/>
      <c r="C4" s="367"/>
      <c r="D4" s="367"/>
      <c r="E4" s="367"/>
      <c r="F4" s="368"/>
    </row>
    <row r="5" spans="1:6" ht="18.95" customHeight="1">
      <c r="A5" s="366"/>
      <c r="B5" s="367"/>
      <c r="C5" s="367"/>
      <c r="D5" s="367"/>
      <c r="E5" s="367"/>
      <c r="F5" s="368"/>
    </row>
    <row r="6" spans="1:6" ht="18.95" customHeight="1">
      <c r="A6" s="369" t="s">
        <v>404</v>
      </c>
      <c r="B6" s="652" t="str">
        <f>'Performance Data Sheet'!C17</f>
        <v>M405TCQL11E-C</v>
      </c>
      <c r="C6" s="653"/>
      <c r="D6" s="654"/>
      <c r="E6" s="369" t="s">
        <v>405</v>
      </c>
      <c r="F6" s="370">
        <v>250</v>
      </c>
    </row>
    <row r="7" spans="1:6" ht="18.95" customHeight="1">
      <c r="A7" s="369" t="s">
        <v>406</v>
      </c>
      <c r="B7" s="370" t="str">
        <f>'Performance Data Sheet'!F14</f>
        <v>TEAAC</v>
      </c>
      <c r="C7" s="369" t="s">
        <v>407</v>
      </c>
      <c r="D7" s="370" t="s">
        <v>429</v>
      </c>
      <c r="E7" s="369" t="s">
        <v>408</v>
      </c>
      <c r="F7" s="370" t="str">
        <f>'Performance Data Sheet'!C14</f>
        <v>6810US</v>
      </c>
    </row>
    <row r="8" spans="1:6" ht="18.95" customHeight="1">
      <c r="A8" s="369" t="s">
        <v>409</v>
      </c>
      <c r="B8" s="370">
        <v>4</v>
      </c>
      <c r="C8" s="369" t="s">
        <v>410</v>
      </c>
      <c r="D8" s="370" t="s">
        <v>411</v>
      </c>
      <c r="E8" s="369" t="s">
        <v>412</v>
      </c>
      <c r="F8" s="370" t="str">
        <f>'Performance Data Sheet'!M15</f>
        <v>F</v>
      </c>
    </row>
    <row r="9" spans="1:6" ht="18.95" customHeight="1">
      <c r="A9" s="369" t="s">
        <v>413</v>
      </c>
      <c r="B9" s="370">
        <v>2000</v>
      </c>
      <c r="C9" s="369" t="s">
        <v>414</v>
      </c>
      <c r="D9" s="370" t="s">
        <v>430</v>
      </c>
      <c r="E9" s="369" t="s">
        <v>2</v>
      </c>
      <c r="F9" s="371">
        <f>'Performance Data Sheet'!K45</f>
        <v>41983</v>
      </c>
    </row>
    <row r="10" spans="1:6" ht="18.95" customHeight="1">
      <c r="A10" s="369" t="s">
        <v>415</v>
      </c>
      <c r="B10" s="370">
        <v>1784</v>
      </c>
      <c r="C10" s="369" t="s">
        <v>416</v>
      </c>
      <c r="D10" s="370" t="s">
        <v>417</v>
      </c>
      <c r="E10" s="369" t="s">
        <v>1</v>
      </c>
      <c r="F10" s="370" t="s">
        <v>361</v>
      </c>
    </row>
    <row r="11" spans="1:6" ht="18.95" customHeight="1">
      <c r="A11" s="366"/>
      <c r="B11" s="367"/>
      <c r="C11" s="367"/>
      <c r="D11" s="367"/>
      <c r="E11" s="367"/>
      <c r="F11" s="368"/>
    </row>
    <row r="12" spans="1:6" ht="18.95" customHeight="1">
      <c r="A12" s="366"/>
      <c r="B12" s="372" t="s">
        <v>418</v>
      </c>
      <c r="C12" s="373" t="s">
        <v>431</v>
      </c>
      <c r="D12" s="372" t="s">
        <v>419</v>
      </c>
      <c r="E12" s="373" t="s">
        <v>417</v>
      </c>
      <c r="F12" s="368"/>
    </row>
    <row r="13" spans="1:6" ht="18.95" customHeight="1">
      <c r="A13" s="366"/>
      <c r="B13" s="372" t="s">
        <v>420</v>
      </c>
      <c r="C13" s="374">
        <v>0.7</v>
      </c>
      <c r="D13" s="372" t="s">
        <v>421</v>
      </c>
      <c r="E13" s="373" t="s">
        <v>417</v>
      </c>
      <c r="F13" s="368"/>
    </row>
    <row r="14" spans="1:6" ht="18.95" customHeight="1">
      <c r="A14" s="366"/>
      <c r="B14" s="372" t="s">
        <v>422</v>
      </c>
      <c r="C14" s="374">
        <v>2.2000000000000002</v>
      </c>
      <c r="D14" s="372" t="s">
        <v>423</v>
      </c>
      <c r="E14" s="373" t="s">
        <v>417</v>
      </c>
      <c r="F14" s="368"/>
    </row>
    <row r="15" spans="1:6" ht="18.95" customHeight="1">
      <c r="A15" s="366"/>
      <c r="B15" s="372" t="s">
        <v>424</v>
      </c>
      <c r="C15" s="373" t="s">
        <v>715</v>
      </c>
      <c r="D15" s="367"/>
      <c r="E15" s="367"/>
      <c r="F15" s="368"/>
    </row>
    <row r="16" spans="1:6" ht="18.95" customHeight="1">
      <c r="A16" s="366"/>
      <c r="B16" s="367"/>
      <c r="C16" s="367"/>
      <c r="D16" s="367"/>
      <c r="E16" s="367"/>
      <c r="F16" s="368"/>
    </row>
    <row r="17" spans="1:6" ht="18.95" customHeight="1">
      <c r="A17" s="366"/>
      <c r="B17" s="367"/>
      <c r="C17" s="367"/>
      <c r="D17" s="367"/>
      <c r="E17" s="367"/>
      <c r="F17" s="368"/>
    </row>
    <row r="18" spans="1:6" ht="18.95" customHeight="1">
      <c r="A18" s="366"/>
      <c r="B18" s="367"/>
      <c r="C18" s="367"/>
      <c r="D18" s="367"/>
      <c r="E18" s="367"/>
      <c r="F18" s="368"/>
    </row>
    <row r="19" spans="1:6" ht="18.95" customHeight="1">
      <c r="A19" s="366"/>
      <c r="B19" s="367"/>
      <c r="C19" s="367"/>
      <c r="D19" s="367"/>
      <c r="E19" s="367"/>
      <c r="F19" s="368"/>
    </row>
    <row r="20" spans="1:6" ht="18.95" customHeight="1">
      <c r="A20" s="366"/>
      <c r="B20" s="367"/>
      <c r="C20" s="367"/>
      <c r="D20" s="367"/>
      <c r="E20" s="367"/>
      <c r="F20" s="368"/>
    </row>
    <row r="21" spans="1:6" ht="18.95" customHeight="1">
      <c r="A21" s="366"/>
      <c r="B21" s="367"/>
      <c r="C21" s="367"/>
      <c r="D21" s="367"/>
      <c r="E21" s="367"/>
      <c r="F21" s="368"/>
    </row>
    <row r="22" spans="1:6" ht="18.95" customHeight="1">
      <c r="A22" s="366"/>
      <c r="B22" s="367"/>
      <c r="C22" s="367"/>
      <c r="D22" s="367"/>
      <c r="E22" s="367"/>
      <c r="F22" s="368"/>
    </row>
    <row r="23" spans="1:6" ht="18.95" customHeight="1">
      <c r="A23" s="366"/>
      <c r="B23" s="367"/>
      <c r="C23" s="367"/>
      <c r="D23" s="367"/>
      <c r="E23" s="367"/>
      <c r="F23" s="368"/>
    </row>
    <row r="24" spans="1:6" ht="18.95" customHeight="1">
      <c r="A24" s="366"/>
      <c r="B24" s="367"/>
      <c r="C24" s="367"/>
      <c r="D24" s="367"/>
      <c r="E24" s="367"/>
      <c r="F24" s="368"/>
    </row>
    <row r="25" spans="1:6" ht="18.95" customHeight="1">
      <c r="A25" s="366"/>
      <c r="B25" s="367"/>
      <c r="C25" s="367"/>
      <c r="D25" s="367"/>
      <c r="E25" s="367"/>
      <c r="F25" s="368"/>
    </row>
    <row r="26" spans="1:6" ht="18.95" customHeight="1">
      <c r="A26" s="366"/>
      <c r="B26" s="367"/>
      <c r="C26" s="367"/>
      <c r="D26" s="367"/>
      <c r="E26" s="367"/>
      <c r="F26" s="368"/>
    </row>
    <row r="27" spans="1:6" ht="18.95" customHeight="1">
      <c r="A27" s="366"/>
      <c r="B27" s="367"/>
      <c r="C27" s="367"/>
      <c r="D27" s="367"/>
      <c r="E27" s="367"/>
      <c r="F27" s="368"/>
    </row>
    <row r="28" spans="1:6" ht="18.95" customHeight="1">
      <c r="A28" s="366"/>
      <c r="B28" s="367"/>
      <c r="C28" s="367"/>
      <c r="D28" s="367"/>
      <c r="E28" s="367"/>
      <c r="F28" s="368"/>
    </row>
    <row r="29" spans="1:6" ht="18.95" customHeight="1">
      <c r="A29" s="366"/>
      <c r="B29" s="367"/>
      <c r="C29" s="367"/>
      <c r="D29" s="367"/>
      <c r="E29" s="367"/>
      <c r="F29" s="368"/>
    </row>
    <row r="30" spans="1:6" ht="18.95" customHeight="1">
      <c r="A30" s="366"/>
      <c r="B30" s="367"/>
      <c r="C30" s="367"/>
      <c r="D30" s="367"/>
      <c r="E30" s="367"/>
      <c r="F30" s="368"/>
    </row>
    <row r="31" spans="1:6" ht="18.95" customHeight="1">
      <c r="A31" s="366"/>
      <c r="B31" s="367"/>
      <c r="C31" s="367"/>
      <c r="D31" s="367"/>
      <c r="E31" s="367"/>
      <c r="F31" s="368"/>
    </row>
    <row r="32" spans="1:6" ht="18.95" customHeight="1">
      <c r="A32" s="366"/>
      <c r="B32" s="367"/>
      <c r="C32" s="367"/>
      <c r="D32" s="367"/>
      <c r="E32" s="367"/>
      <c r="F32" s="368"/>
    </row>
    <row r="33" spans="1:6" ht="18.95" customHeight="1">
      <c r="A33" s="366"/>
      <c r="B33" s="367"/>
      <c r="C33" s="367"/>
      <c r="D33" s="367"/>
      <c r="E33" s="367"/>
      <c r="F33" s="368"/>
    </row>
    <row r="34" spans="1:6" ht="18.95" customHeight="1">
      <c r="A34" s="366"/>
      <c r="B34" s="367"/>
      <c r="C34" s="367"/>
      <c r="D34" s="367"/>
      <c r="E34" s="367"/>
      <c r="F34" s="368"/>
    </row>
    <row r="35" spans="1:6" ht="18.95" customHeight="1">
      <c r="A35" s="366"/>
      <c r="B35" s="367"/>
      <c r="C35" s="367"/>
      <c r="D35" s="367"/>
      <c r="E35" s="367"/>
      <c r="F35" s="368"/>
    </row>
    <row r="36" spans="1:6" ht="18.95" customHeight="1">
      <c r="A36" s="366"/>
      <c r="B36" s="367"/>
      <c r="C36" s="367"/>
      <c r="D36" s="367"/>
      <c r="E36" s="367"/>
      <c r="F36" s="368"/>
    </row>
    <row r="37" spans="1:6" ht="18.95" customHeight="1">
      <c r="A37" s="366"/>
      <c r="B37" s="367"/>
      <c r="C37" s="367"/>
      <c r="D37" s="367"/>
      <c r="E37" s="367"/>
      <c r="F37" s="368"/>
    </row>
    <row r="38" spans="1:6" ht="18.95" customHeight="1">
      <c r="A38" s="366"/>
      <c r="B38" s="367"/>
      <c r="C38" s="367"/>
      <c r="D38" s="367"/>
      <c r="E38" s="367"/>
      <c r="F38" s="368"/>
    </row>
    <row r="39" spans="1:6" ht="18.95" customHeight="1">
      <c r="A39" s="375" t="s">
        <v>425</v>
      </c>
      <c r="B39" s="376"/>
      <c r="C39" s="376"/>
      <c r="D39" s="367"/>
      <c r="E39" s="372" t="s">
        <v>426</v>
      </c>
      <c r="F39" s="377" t="s">
        <v>361</v>
      </c>
    </row>
    <row r="40" spans="1:6" ht="18.95" customHeight="1">
      <c r="A40" s="366"/>
      <c r="B40" s="376"/>
      <c r="C40" s="376"/>
      <c r="D40" s="367"/>
      <c r="E40" s="367"/>
      <c r="F40" s="368"/>
    </row>
    <row r="41" spans="1:6" ht="18.95" customHeight="1">
      <c r="A41" s="366"/>
      <c r="B41" s="376"/>
      <c r="C41" s="376"/>
      <c r="D41" s="367"/>
      <c r="E41" s="367"/>
      <c r="F41" s="368"/>
    </row>
    <row r="42" spans="1:6" ht="18.95" customHeight="1">
      <c r="A42" s="366"/>
      <c r="B42" s="367"/>
      <c r="C42" s="367"/>
      <c r="D42" s="367"/>
      <c r="E42" s="367"/>
      <c r="F42" s="368"/>
    </row>
    <row r="43" spans="1:6" ht="18.95" customHeight="1">
      <c r="A43" s="378"/>
      <c r="B43" s="376"/>
      <c r="C43" s="379" t="s">
        <v>427</v>
      </c>
      <c r="D43" s="380" t="str">
        <f>'Performance Data Sheet'!K43</f>
        <v>Mario L</v>
      </c>
      <c r="E43" s="379" t="s">
        <v>428</v>
      </c>
      <c r="F43" s="380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84">
        <v>100</v>
      </c>
      <c r="B54" s="358">
        <v>0</v>
      </c>
      <c r="C54" s="358">
        <v>0.2487950474023819</v>
      </c>
    </row>
    <row r="55" spans="1:3" ht="15" customHeight="1">
      <c r="A55" s="384">
        <v>99.799999967217445</v>
      </c>
      <c r="B55" s="358">
        <v>118.63148311927225</v>
      </c>
      <c r="C55" s="358">
        <v>129.01593017578125</v>
      </c>
    </row>
    <row r="56" spans="1:3" ht="15" customHeight="1">
      <c r="A56" s="384">
        <v>98.999999836087227</v>
      </c>
      <c r="B56" s="358">
        <v>220</v>
      </c>
      <c r="C56" s="358">
        <v>378.78115844726563</v>
      </c>
    </row>
    <row r="57" spans="1:3">
      <c r="A57" s="384">
        <v>93.789473548531532</v>
      </c>
      <c r="B57" s="358">
        <v>122.44761677662081</v>
      </c>
      <c r="C57" s="358">
        <v>442.03927612304688</v>
      </c>
    </row>
    <row r="58" spans="1:3">
      <c r="A58" s="384">
        <v>88.578946888446808</v>
      </c>
      <c r="B58" s="358">
        <v>96.259189977484112</v>
      </c>
      <c r="C58" s="358">
        <v>460.85833740234375</v>
      </c>
    </row>
    <row r="59" spans="1:3">
      <c r="A59" s="384">
        <v>83.368420600891113</v>
      </c>
      <c r="B59" s="358">
        <v>84.776656259913935</v>
      </c>
      <c r="C59" s="358">
        <v>470.89599609375</v>
      </c>
    </row>
    <row r="60" spans="1:3">
      <c r="A60" s="384">
        <v>72.947368025779724</v>
      </c>
      <c r="B60" s="358">
        <v>77.6932151771517</v>
      </c>
      <c r="C60" s="358">
        <v>484.47894287109375</v>
      </c>
    </row>
    <row r="61" spans="1:3">
      <c r="A61" s="384">
        <v>62.526315450668335</v>
      </c>
      <c r="B61" s="358">
        <v>74.443294321813966</v>
      </c>
      <c r="C61" s="358">
        <v>494.86856079101563</v>
      </c>
    </row>
    <row r="62" spans="1:3">
      <c r="A62" s="384">
        <v>52.105262875556946</v>
      </c>
      <c r="B62" s="358">
        <v>72.573025147874347</v>
      </c>
      <c r="C62" s="358">
        <v>503.122802734375</v>
      </c>
    </row>
    <row r="63" spans="1:3">
      <c r="A63" s="384">
        <v>41.684210300445557</v>
      </c>
      <c r="B63" s="358">
        <v>71.437979667140553</v>
      </c>
      <c r="C63" s="358">
        <v>509.6976318359375</v>
      </c>
    </row>
    <row r="64" spans="1:3">
      <c r="A64" s="384">
        <v>31.263160705566406</v>
      </c>
      <c r="B64" s="358">
        <v>70.753734064817337</v>
      </c>
      <c r="C64" s="358">
        <v>514.95703125</v>
      </c>
    </row>
    <row r="65" spans="1:3">
      <c r="A65" s="384">
        <v>20.842105150222778</v>
      </c>
      <c r="B65" s="358">
        <v>70.351002375350674</v>
      </c>
      <c r="C65" s="358">
        <v>519.18328857421875</v>
      </c>
    </row>
    <row r="66" spans="1:3">
      <c r="A66" s="384">
        <v>10.421055555343628</v>
      </c>
      <c r="B66" s="358">
        <v>70.122809429200629</v>
      </c>
      <c r="C66" s="358">
        <v>522.67010498046875</v>
      </c>
    </row>
    <row r="67" spans="1:3">
      <c r="A67" s="385">
        <v>0</v>
      </c>
      <c r="B67" s="358">
        <v>70</v>
      </c>
      <c r="C67" s="358">
        <v>525.5999755859375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1"/>
  <sheetViews>
    <sheetView topLeftCell="A13" workbookViewId="0"/>
  </sheetViews>
  <sheetFormatPr defaultRowHeight="12.75"/>
  <cols>
    <col min="1" max="1" width="19.7109375" style="340" customWidth="1"/>
    <col min="2" max="7" width="10.7109375" style="340" customWidth="1"/>
    <col min="8" max="16384" width="9.140625" style="340"/>
  </cols>
  <sheetData>
    <row r="1" spans="1:12" ht="21" customHeight="1">
      <c r="A1" s="394" t="s">
        <v>438</v>
      </c>
      <c r="B1" s="627" t="s">
        <v>477</v>
      </c>
      <c r="C1" s="627"/>
      <c r="D1" s="627"/>
      <c r="E1" s="627"/>
      <c r="F1" s="627"/>
      <c r="G1" s="627"/>
    </row>
    <row r="2" spans="1:12" ht="15" customHeight="1"/>
    <row r="3" spans="1:12" ht="20.25">
      <c r="A3" s="395" t="s">
        <v>439</v>
      </c>
    </row>
    <row r="4" spans="1:12" ht="12" customHeight="1">
      <c r="A4" s="341"/>
      <c r="B4" s="341"/>
      <c r="C4" s="341"/>
      <c r="D4" s="341" t="s">
        <v>491</v>
      </c>
      <c r="E4" s="341"/>
      <c r="F4" s="341"/>
      <c r="G4" s="341"/>
      <c r="H4" s="341"/>
      <c r="I4" s="341"/>
      <c r="J4" s="341"/>
      <c r="K4" s="341"/>
      <c r="L4" s="341"/>
    </row>
    <row r="5" spans="1:12" ht="15.6" customHeight="1">
      <c r="A5" s="396" t="s">
        <v>5</v>
      </c>
      <c r="B5" s="396" t="s">
        <v>440</v>
      </c>
      <c r="C5" s="396" t="s">
        <v>441</v>
      </c>
      <c r="D5" s="396" t="s">
        <v>442</v>
      </c>
      <c r="E5" s="396" t="s">
        <v>443</v>
      </c>
      <c r="F5" s="396" t="s">
        <v>444</v>
      </c>
      <c r="G5" s="396" t="s">
        <v>445</v>
      </c>
      <c r="H5" s="341"/>
      <c r="I5" s="341"/>
      <c r="J5" s="341"/>
      <c r="K5" s="341"/>
      <c r="L5" s="341"/>
    </row>
    <row r="6" spans="1:12" ht="15.6" customHeight="1">
      <c r="A6" s="397" t="s">
        <v>446</v>
      </c>
      <c r="B6" s="397" t="s">
        <v>165</v>
      </c>
      <c r="C6" s="397" t="s">
        <v>165</v>
      </c>
      <c r="D6" s="397" t="s">
        <v>447</v>
      </c>
      <c r="E6" s="397" t="s">
        <v>135</v>
      </c>
      <c r="F6" s="397" t="s">
        <v>448</v>
      </c>
      <c r="G6" s="397" t="s">
        <v>448</v>
      </c>
      <c r="H6" s="341"/>
      <c r="I6" s="341"/>
      <c r="J6" s="341"/>
      <c r="K6" s="341"/>
      <c r="L6" s="341"/>
    </row>
    <row r="7" spans="1:12" ht="15.95" customHeight="1">
      <c r="A7" s="398" t="s">
        <v>478</v>
      </c>
      <c r="B7" s="398" t="s">
        <v>492</v>
      </c>
      <c r="C7" s="398" t="s">
        <v>505</v>
      </c>
      <c r="D7" s="398" t="s">
        <v>518</v>
      </c>
      <c r="E7" s="398" t="s">
        <v>530</v>
      </c>
      <c r="F7" s="398" t="s">
        <v>543</v>
      </c>
      <c r="G7" s="398" t="s">
        <v>556</v>
      </c>
      <c r="H7" s="341"/>
      <c r="I7" s="341"/>
      <c r="J7" s="341"/>
      <c r="K7" s="341"/>
      <c r="L7" s="341"/>
    </row>
    <row r="8" spans="1:12" ht="15.95" customHeight="1">
      <c r="A8" s="398" t="s">
        <v>479</v>
      </c>
      <c r="B8" s="398" t="s">
        <v>493</v>
      </c>
      <c r="C8" s="398" t="s">
        <v>506</v>
      </c>
      <c r="D8" s="398" t="s">
        <v>519</v>
      </c>
      <c r="E8" s="398" t="s">
        <v>531</v>
      </c>
      <c r="F8" s="398" t="s">
        <v>544</v>
      </c>
      <c r="G8" s="398" t="s">
        <v>557</v>
      </c>
      <c r="H8" s="341"/>
      <c r="I8" s="341"/>
      <c r="J8" s="341"/>
      <c r="K8" s="341"/>
      <c r="L8" s="341"/>
    </row>
    <row r="9" spans="1:12" ht="15.95" customHeight="1">
      <c r="A9" s="398" t="s">
        <v>480</v>
      </c>
      <c r="B9" s="398" t="s">
        <v>494</v>
      </c>
      <c r="C9" s="398" t="s">
        <v>507</v>
      </c>
      <c r="D9" s="398" t="s">
        <v>520</v>
      </c>
      <c r="E9" s="398" t="s">
        <v>532</v>
      </c>
      <c r="F9" s="398" t="s">
        <v>545</v>
      </c>
      <c r="G9" s="398" t="s">
        <v>558</v>
      </c>
      <c r="H9" s="341"/>
      <c r="I9" s="341"/>
      <c r="J9" s="341"/>
      <c r="K9" s="341"/>
      <c r="L9" s="341"/>
    </row>
    <row r="10" spans="1:12" ht="15.95" customHeight="1">
      <c r="A10" s="398" t="s">
        <v>481</v>
      </c>
      <c r="B10" s="398" t="s">
        <v>495</v>
      </c>
      <c r="C10" s="398" t="s">
        <v>508</v>
      </c>
      <c r="D10" s="398" t="s">
        <v>520</v>
      </c>
      <c r="E10" s="398" t="s">
        <v>533</v>
      </c>
      <c r="F10" s="398" t="s">
        <v>546</v>
      </c>
      <c r="G10" s="398" t="s">
        <v>559</v>
      </c>
      <c r="H10" s="341"/>
      <c r="I10" s="341"/>
      <c r="J10" s="341"/>
      <c r="K10" s="341"/>
      <c r="L10" s="341"/>
    </row>
    <row r="11" spans="1:12" ht="15.95" customHeight="1">
      <c r="A11" s="398" t="s">
        <v>482</v>
      </c>
      <c r="B11" s="398" t="s">
        <v>496</v>
      </c>
      <c r="C11" s="398" t="s">
        <v>509</v>
      </c>
      <c r="D11" s="398" t="s">
        <v>521</v>
      </c>
      <c r="E11" s="398" t="s">
        <v>534</v>
      </c>
      <c r="F11" s="398" t="s">
        <v>547</v>
      </c>
      <c r="G11" s="398" t="s">
        <v>560</v>
      </c>
      <c r="H11" s="341"/>
      <c r="I11" s="341"/>
      <c r="J11" s="341"/>
      <c r="K11" s="341"/>
      <c r="L11" s="341"/>
    </row>
    <row r="12" spans="1:12" ht="15.95" customHeight="1">
      <c r="A12" s="398" t="s">
        <v>483</v>
      </c>
      <c r="B12" s="398" t="s">
        <v>497</v>
      </c>
      <c r="C12" s="398" t="s">
        <v>510</v>
      </c>
      <c r="D12" s="398" t="s">
        <v>522</v>
      </c>
      <c r="E12" s="398" t="s">
        <v>535</v>
      </c>
      <c r="F12" s="398" t="s">
        <v>548</v>
      </c>
      <c r="G12" s="398" t="s">
        <v>561</v>
      </c>
      <c r="H12" s="341"/>
      <c r="I12" s="341"/>
      <c r="J12" s="341"/>
      <c r="K12" s="341"/>
      <c r="L12" s="341"/>
    </row>
    <row r="13" spans="1:12" ht="15.95" customHeight="1">
      <c r="A13" s="398" t="s">
        <v>484</v>
      </c>
      <c r="B13" s="398" t="s">
        <v>498</v>
      </c>
      <c r="C13" s="398" t="s">
        <v>511</v>
      </c>
      <c r="D13" s="398" t="s">
        <v>523</v>
      </c>
      <c r="E13" s="398" t="s">
        <v>536</v>
      </c>
      <c r="F13" s="398" t="s">
        <v>549</v>
      </c>
      <c r="G13" s="398" t="s">
        <v>562</v>
      </c>
      <c r="H13" s="341"/>
      <c r="I13" s="341"/>
      <c r="J13" s="341"/>
      <c r="K13" s="341"/>
      <c r="L13" s="341"/>
    </row>
    <row r="14" spans="1:12" ht="15.95" customHeight="1">
      <c r="A14" s="398" t="s">
        <v>485</v>
      </c>
      <c r="B14" s="398" t="s">
        <v>499</v>
      </c>
      <c r="C14" s="398" t="s">
        <v>512</v>
      </c>
      <c r="D14" s="398" t="s">
        <v>524</v>
      </c>
      <c r="E14" s="398" t="s">
        <v>537</v>
      </c>
      <c r="F14" s="398" t="s">
        <v>550</v>
      </c>
      <c r="G14" s="398" t="s">
        <v>563</v>
      </c>
      <c r="H14" s="341"/>
      <c r="I14" s="341"/>
      <c r="J14" s="341"/>
      <c r="K14" s="341"/>
      <c r="L14" s="341"/>
    </row>
    <row r="15" spans="1:12" ht="15.95" customHeight="1">
      <c r="A15" s="398" t="s">
        <v>486</v>
      </c>
      <c r="B15" s="398" t="s">
        <v>500</v>
      </c>
      <c r="C15" s="398" t="s">
        <v>513</v>
      </c>
      <c r="D15" s="398" t="s">
        <v>525</v>
      </c>
      <c r="E15" s="398" t="s">
        <v>538</v>
      </c>
      <c r="F15" s="398" t="s">
        <v>551</v>
      </c>
      <c r="G15" s="398" t="s">
        <v>564</v>
      </c>
      <c r="H15" s="341"/>
      <c r="I15" s="341"/>
      <c r="J15" s="341"/>
      <c r="K15" s="341"/>
      <c r="L15" s="341"/>
    </row>
    <row r="16" spans="1:12" ht="15.95" customHeight="1">
      <c r="A16" s="398" t="s">
        <v>487</v>
      </c>
      <c r="B16" s="398" t="s">
        <v>501</v>
      </c>
      <c r="C16" s="398" t="s">
        <v>514</v>
      </c>
      <c r="D16" s="398" t="s">
        <v>526</v>
      </c>
      <c r="E16" s="398" t="s">
        <v>539</v>
      </c>
      <c r="F16" s="398" t="s">
        <v>552</v>
      </c>
      <c r="G16" s="398" t="s">
        <v>565</v>
      </c>
      <c r="H16" s="341"/>
      <c r="I16" s="341"/>
      <c r="J16" s="341"/>
      <c r="K16" s="341"/>
      <c r="L16" s="341"/>
    </row>
    <row r="17" spans="1:12" ht="15.95" customHeight="1">
      <c r="A17" s="398" t="s">
        <v>488</v>
      </c>
      <c r="B17" s="398" t="s">
        <v>502</v>
      </c>
      <c r="C17" s="398" t="s">
        <v>515</v>
      </c>
      <c r="D17" s="398" t="s">
        <v>527</v>
      </c>
      <c r="E17" s="398" t="s">
        <v>540</v>
      </c>
      <c r="F17" s="398" t="s">
        <v>553</v>
      </c>
      <c r="G17" s="398" t="s">
        <v>566</v>
      </c>
      <c r="H17" s="341"/>
      <c r="I17" s="341"/>
      <c r="J17" s="341"/>
      <c r="K17" s="341"/>
      <c r="L17" s="341"/>
    </row>
    <row r="18" spans="1:12" ht="15.95" customHeight="1">
      <c r="A18" s="398" t="s">
        <v>489</v>
      </c>
      <c r="B18" s="398" t="s">
        <v>503</v>
      </c>
      <c r="C18" s="398" t="s">
        <v>516</v>
      </c>
      <c r="D18" s="398" t="s">
        <v>528</v>
      </c>
      <c r="E18" s="398" t="s">
        <v>541</v>
      </c>
      <c r="F18" s="398" t="s">
        <v>554</v>
      </c>
      <c r="G18" s="398" t="s">
        <v>567</v>
      </c>
      <c r="H18" s="341"/>
      <c r="I18" s="341"/>
      <c r="J18" s="341"/>
      <c r="K18" s="341"/>
      <c r="L18" s="341"/>
    </row>
    <row r="19" spans="1:12" ht="15.95" customHeight="1">
      <c r="A19" s="398" t="s">
        <v>490</v>
      </c>
      <c r="B19" s="398" t="s">
        <v>504</v>
      </c>
      <c r="C19" s="398" t="s">
        <v>517</v>
      </c>
      <c r="D19" s="398" t="s">
        <v>529</v>
      </c>
      <c r="E19" s="398" t="s">
        <v>542</v>
      </c>
      <c r="F19" s="398" t="s">
        <v>555</v>
      </c>
      <c r="G19" s="398" t="s">
        <v>568</v>
      </c>
      <c r="H19" s="341"/>
      <c r="I19" s="341"/>
      <c r="J19" s="341"/>
      <c r="K19" s="341"/>
      <c r="L19" s="341"/>
    </row>
    <row r="20" spans="1:12" ht="15.75">
      <c r="A20" s="341"/>
      <c r="B20" s="341"/>
      <c r="C20" s="341"/>
      <c r="D20" s="341"/>
      <c r="E20" s="341"/>
      <c r="F20" s="341"/>
      <c r="G20" s="341"/>
      <c r="H20" s="341"/>
      <c r="I20" s="341"/>
      <c r="J20" s="341"/>
      <c r="K20" s="341"/>
      <c r="L20" s="341"/>
    </row>
    <row r="21" spans="1:12" ht="15.75">
      <c r="A21" s="341"/>
      <c r="B21" s="341"/>
      <c r="C21" s="341"/>
      <c r="D21" s="656" t="s">
        <v>578</v>
      </c>
      <c r="E21" s="657"/>
      <c r="F21" s="657"/>
      <c r="G21" s="658"/>
      <c r="H21" s="341"/>
      <c r="I21" s="341"/>
      <c r="J21" s="341"/>
      <c r="K21" s="341"/>
      <c r="L21" s="341"/>
    </row>
    <row r="22" spans="1:12" ht="17.25" customHeight="1">
      <c r="A22" s="341"/>
      <c r="B22" s="659" t="s">
        <v>449</v>
      </c>
      <c r="C22" s="659"/>
      <c r="D22" s="659" t="s">
        <v>450</v>
      </c>
      <c r="E22" s="659"/>
      <c r="F22" s="659" t="s">
        <v>451</v>
      </c>
      <c r="G22" s="659"/>
      <c r="H22" s="341"/>
      <c r="I22" s="341"/>
      <c r="J22" s="341"/>
      <c r="K22" s="341"/>
      <c r="L22" s="341"/>
    </row>
    <row r="23" spans="1:12" ht="15.75">
      <c r="A23" s="399" t="s">
        <v>452</v>
      </c>
      <c r="B23" s="655" t="s">
        <v>569</v>
      </c>
      <c r="C23" s="655"/>
      <c r="D23" s="655" t="s">
        <v>572</v>
      </c>
      <c r="E23" s="655"/>
      <c r="F23" s="655" t="s">
        <v>575</v>
      </c>
      <c r="G23" s="655"/>
      <c r="H23" s="341"/>
      <c r="I23" s="341"/>
      <c r="J23" s="341"/>
      <c r="K23" s="341"/>
      <c r="L23" s="341"/>
    </row>
    <row r="24" spans="1:12" ht="18" customHeight="1">
      <c r="A24" s="399" t="s">
        <v>453</v>
      </c>
      <c r="B24" s="655" t="s">
        <v>570</v>
      </c>
      <c r="C24" s="655"/>
      <c r="D24" s="655" t="s">
        <v>573</v>
      </c>
      <c r="E24" s="655"/>
      <c r="F24" s="655" t="s">
        <v>576</v>
      </c>
      <c r="G24" s="655"/>
      <c r="H24" s="341"/>
      <c r="I24" s="341"/>
      <c r="J24" s="341"/>
      <c r="K24" s="341"/>
      <c r="L24" s="341"/>
    </row>
    <row r="25" spans="1:12" ht="15.75">
      <c r="A25" s="399" t="s">
        <v>454</v>
      </c>
      <c r="B25" s="655" t="s">
        <v>571</v>
      </c>
      <c r="C25" s="655"/>
      <c r="D25" s="655" t="s">
        <v>574</v>
      </c>
      <c r="E25" s="655"/>
      <c r="F25" s="655" t="s">
        <v>577</v>
      </c>
      <c r="G25" s="655"/>
      <c r="H25" s="341"/>
      <c r="I25" s="341"/>
      <c r="J25" s="341"/>
      <c r="K25" s="341"/>
      <c r="L25" s="341"/>
    </row>
    <row r="26" spans="1:12" ht="15.75">
      <c r="A26" s="341"/>
      <c r="B26" s="341"/>
      <c r="C26" s="341"/>
      <c r="D26" s="341"/>
      <c r="E26" s="341"/>
      <c r="F26" s="341"/>
      <c r="G26" s="341"/>
      <c r="H26" s="341"/>
      <c r="I26" s="341"/>
      <c r="J26" s="341"/>
      <c r="K26" s="341"/>
      <c r="L26" s="341"/>
    </row>
    <row r="27" spans="1:12" ht="20.25">
      <c r="A27" s="395" t="s">
        <v>455</v>
      </c>
      <c r="B27" s="341"/>
      <c r="C27" s="341"/>
      <c r="D27" s="341"/>
      <c r="E27" s="341"/>
      <c r="F27" s="341"/>
      <c r="G27" s="341"/>
      <c r="H27" s="341"/>
      <c r="I27" s="341"/>
      <c r="J27" s="341"/>
      <c r="K27" s="341"/>
      <c r="L27" s="341"/>
    </row>
    <row r="28" spans="1:12" ht="15.75">
      <c r="A28" s="341"/>
      <c r="B28" s="341"/>
      <c r="C28" s="341"/>
      <c r="D28" s="341"/>
      <c r="E28" s="660" t="s">
        <v>456</v>
      </c>
      <c r="F28" s="657"/>
      <c r="G28" s="658"/>
      <c r="H28" s="341"/>
      <c r="I28" s="341"/>
      <c r="J28" s="341"/>
      <c r="K28" s="341"/>
      <c r="L28" s="341"/>
    </row>
    <row r="29" spans="1:12" ht="15.75">
      <c r="A29" s="341"/>
      <c r="B29" s="659" t="s">
        <v>457</v>
      </c>
      <c r="C29" s="659"/>
      <c r="D29" s="400" t="s">
        <v>458</v>
      </c>
      <c r="E29" s="400" t="s">
        <v>459</v>
      </c>
      <c r="F29" s="659" t="s">
        <v>460</v>
      </c>
      <c r="G29" s="659"/>
      <c r="H29" s="341"/>
      <c r="I29" s="341"/>
      <c r="J29" s="341"/>
      <c r="K29" s="341"/>
      <c r="L29" s="341"/>
    </row>
    <row r="30" spans="1:12" ht="15.75">
      <c r="A30" s="399" t="s">
        <v>461</v>
      </c>
      <c r="B30" s="655" t="s">
        <v>579</v>
      </c>
      <c r="C30" s="655"/>
      <c r="D30" s="398" t="s">
        <v>582</v>
      </c>
      <c r="E30" s="398" t="s">
        <v>462</v>
      </c>
      <c r="F30" s="655" t="s">
        <v>585</v>
      </c>
      <c r="G30" s="655"/>
      <c r="H30" s="341"/>
      <c r="I30" s="341"/>
      <c r="J30" s="341"/>
      <c r="K30" s="341"/>
      <c r="L30" s="341"/>
    </row>
    <row r="31" spans="1:12" ht="15.75">
      <c r="A31" s="399" t="s">
        <v>463</v>
      </c>
      <c r="B31" s="655" t="s">
        <v>580</v>
      </c>
      <c r="C31" s="655"/>
      <c r="D31" s="398" t="s">
        <v>583</v>
      </c>
      <c r="E31" s="398" t="s">
        <v>464</v>
      </c>
      <c r="F31" s="655" t="s">
        <v>586</v>
      </c>
      <c r="G31" s="655"/>
      <c r="H31" s="341"/>
      <c r="I31" s="341"/>
      <c r="J31" s="341"/>
      <c r="K31" s="341"/>
      <c r="L31" s="341"/>
    </row>
    <row r="32" spans="1:12" ht="15.75">
      <c r="A32" s="399" t="s">
        <v>465</v>
      </c>
      <c r="B32" s="655" t="s">
        <v>581</v>
      </c>
      <c r="C32" s="655"/>
      <c r="D32" s="398" t="s">
        <v>584</v>
      </c>
      <c r="E32" s="398" t="s">
        <v>466</v>
      </c>
      <c r="F32" s="655" t="s">
        <v>587</v>
      </c>
      <c r="G32" s="655"/>
      <c r="H32" s="341"/>
      <c r="I32" s="341"/>
      <c r="J32" s="341"/>
      <c r="K32" s="341"/>
      <c r="L32" s="341"/>
    </row>
    <row r="33" spans="1:12" ht="15.75">
      <c r="A33" s="341"/>
      <c r="B33" s="341"/>
      <c r="C33" s="341"/>
      <c r="D33" s="341"/>
      <c r="E33" s="341"/>
      <c r="F33" s="341"/>
      <c r="G33" s="341"/>
      <c r="H33" s="341"/>
      <c r="I33" s="341"/>
      <c r="J33" s="341"/>
      <c r="K33" s="341"/>
      <c r="L33" s="341"/>
    </row>
    <row r="34" spans="1:12" ht="15.75">
      <c r="A34" s="341"/>
      <c r="B34" s="341"/>
      <c r="C34" s="341"/>
      <c r="D34" s="341"/>
      <c r="E34" s="660" t="s">
        <v>467</v>
      </c>
      <c r="F34" s="657"/>
      <c r="G34" s="658"/>
      <c r="H34" s="341"/>
      <c r="I34" s="341"/>
      <c r="J34" s="341"/>
      <c r="K34" s="341"/>
      <c r="L34" s="341"/>
    </row>
    <row r="35" spans="1:12" ht="15.75">
      <c r="A35" s="341"/>
      <c r="B35" s="659" t="s">
        <v>468</v>
      </c>
      <c r="C35" s="659"/>
      <c r="D35" s="400" t="s">
        <v>459</v>
      </c>
      <c r="E35" s="400" t="s">
        <v>469</v>
      </c>
      <c r="F35" s="400" t="s">
        <v>100</v>
      </c>
      <c r="G35" s="400" t="s">
        <v>470</v>
      </c>
      <c r="H35" s="341"/>
      <c r="I35" s="341"/>
      <c r="J35" s="341"/>
      <c r="K35" s="341"/>
      <c r="L35" s="341"/>
    </row>
    <row r="36" spans="1:12" ht="15.75">
      <c r="A36" s="399" t="s">
        <v>461</v>
      </c>
      <c r="B36" s="661" t="s">
        <v>588</v>
      </c>
      <c r="C36" s="662"/>
      <c r="D36" s="401" t="s">
        <v>590</v>
      </c>
      <c r="E36" s="401" t="s">
        <v>471</v>
      </c>
      <c r="F36" s="402" t="s">
        <v>472</v>
      </c>
      <c r="G36" s="398" t="s">
        <v>593</v>
      </c>
      <c r="H36" s="341"/>
      <c r="I36" s="341"/>
      <c r="J36" s="341"/>
      <c r="K36" s="341"/>
      <c r="L36" s="341"/>
    </row>
    <row r="37" spans="1:12" ht="15.75">
      <c r="A37" s="399" t="s">
        <v>463</v>
      </c>
      <c r="B37" s="661" t="s">
        <v>589</v>
      </c>
      <c r="C37" s="662"/>
      <c r="D37" s="401" t="s">
        <v>591</v>
      </c>
      <c r="E37" s="401" t="s">
        <v>471</v>
      </c>
      <c r="F37" s="402" t="s">
        <v>473</v>
      </c>
      <c r="G37" s="403" t="s">
        <v>594</v>
      </c>
      <c r="H37" s="341"/>
      <c r="I37" s="341"/>
      <c r="J37" s="341"/>
      <c r="K37" s="341"/>
      <c r="L37" s="341"/>
    </row>
    <row r="38" spans="1:12" ht="15.75">
      <c r="A38" s="399" t="s">
        <v>465</v>
      </c>
      <c r="B38" s="661" t="s">
        <v>589</v>
      </c>
      <c r="C38" s="662"/>
      <c r="D38" s="401" t="s">
        <v>592</v>
      </c>
      <c r="E38" s="401" t="s">
        <v>471</v>
      </c>
      <c r="F38" s="402" t="s">
        <v>474</v>
      </c>
      <c r="G38" s="398" t="s">
        <v>595</v>
      </c>
      <c r="H38" s="341"/>
      <c r="I38" s="341"/>
      <c r="J38" s="341"/>
      <c r="K38" s="341"/>
      <c r="L38" s="341"/>
    </row>
    <row r="39" spans="1:12" ht="15.75">
      <c r="A39" s="341"/>
      <c r="B39" s="341"/>
      <c r="C39" s="341"/>
      <c r="D39" s="341"/>
      <c r="E39" s="341"/>
      <c r="F39" s="341"/>
      <c r="G39" s="341"/>
      <c r="H39" s="341"/>
      <c r="I39" s="341"/>
      <c r="J39" s="341"/>
      <c r="K39" s="341"/>
      <c r="L39" s="341"/>
    </row>
    <row r="40" spans="1:12" ht="15.75">
      <c r="A40" s="404" t="s">
        <v>475</v>
      </c>
      <c r="B40" s="663" t="s">
        <v>596</v>
      </c>
      <c r="C40" s="663"/>
      <c r="D40" s="664" t="s">
        <v>476</v>
      </c>
      <c r="E40" s="664"/>
      <c r="F40" s="663" t="s">
        <v>597</v>
      </c>
      <c r="G40" s="663"/>
      <c r="H40" s="341"/>
      <c r="I40" s="341"/>
      <c r="J40" s="341"/>
      <c r="K40" s="341"/>
      <c r="L40" s="341"/>
    </row>
    <row r="41" spans="1:12" ht="15.75">
      <c r="A41" s="341"/>
      <c r="B41" s="341"/>
      <c r="C41" s="341"/>
      <c r="D41" s="341"/>
      <c r="E41" s="341"/>
      <c r="F41" s="341"/>
      <c r="G41" s="341"/>
      <c r="H41" s="341"/>
      <c r="I41" s="341"/>
      <c r="J41" s="341"/>
      <c r="K41" s="341"/>
      <c r="L41" s="341"/>
    </row>
    <row r="42" spans="1:12" ht="15.75">
      <c r="A42" s="341"/>
      <c r="B42" s="341"/>
      <c r="C42" s="341"/>
      <c r="D42" s="341"/>
      <c r="E42" s="341"/>
      <c r="F42" s="341"/>
      <c r="G42" s="341"/>
      <c r="H42" s="341"/>
      <c r="I42" s="341"/>
      <c r="J42" s="341"/>
      <c r="K42" s="341"/>
      <c r="L42" s="341"/>
    </row>
    <row r="43" spans="1:12" ht="15.75">
      <c r="A43" s="341"/>
      <c r="B43" s="341"/>
      <c r="C43" s="341"/>
      <c r="D43" s="341"/>
      <c r="E43" s="341"/>
      <c r="F43" s="341"/>
      <c r="G43" s="341"/>
      <c r="H43" s="341"/>
      <c r="I43" s="341"/>
      <c r="J43" s="341"/>
      <c r="K43" s="341"/>
      <c r="L43" s="341"/>
    </row>
    <row r="44" spans="1:12" ht="15.75">
      <c r="A44" s="341"/>
      <c r="B44" s="341"/>
      <c r="C44" s="341"/>
      <c r="D44" s="341"/>
      <c r="E44" s="341"/>
      <c r="F44" s="341"/>
      <c r="G44" s="341"/>
      <c r="H44" s="341"/>
      <c r="I44" s="341"/>
      <c r="J44" s="341"/>
      <c r="K44" s="341"/>
      <c r="L44" s="341"/>
    </row>
    <row r="45" spans="1:12" ht="15.75">
      <c r="A45" s="341"/>
      <c r="B45" s="341"/>
      <c r="C45" s="341"/>
      <c r="D45" s="341"/>
      <c r="E45" s="341"/>
      <c r="F45" s="341"/>
      <c r="G45" s="341"/>
      <c r="H45" s="341"/>
      <c r="I45" s="341"/>
      <c r="J45" s="341"/>
      <c r="K45" s="341"/>
      <c r="L45" s="341"/>
    </row>
    <row r="46" spans="1:12" ht="15.75">
      <c r="A46" s="341"/>
      <c r="B46" s="341"/>
      <c r="C46" s="341"/>
      <c r="D46" s="341"/>
      <c r="E46" s="341"/>
      <c r="F46" s="341"/>
      <c r="G46" s="341"/>
      <c r="H46" s="341"/>
      <c r="I46" s="341"/>
      <c r="J46" s="341"/>
      <c r="K46" s="341"/>
      <c r="L46" s="341"/>
    </row>
    <row r="47" spans="1:12" ht="15.75">
      <c r="A47" s="341"/>
      <c r="B47" s="341"/>
      <c r="C47" s="341"/>
      <c r="D47" s="341"/>
      <c r="E47" s="341"/>
      <c r="F47" s="341"/>
      <c r="G47" s="341"/>
      <c r="H47" s="341"/>
      <c r="I47" s="341"/>
      <c r="J47" s="341"/>
      <c r="K47" s="341"/>
      <c r="L47" s="341"/>
    </row>
    <row r="48" spans="1:12" ht="15.75">
      <c r="A48" s="341"/>
      <c r="B48" s="341"/>
      <c r="C48" s="341"/>
      <c r="D48" s="341"/>
      <c r="E48" s="341"/>
      <c r="F48" s="341"/>
      <c r="G48" s="341"/>
      <c r="H48" s="341"/>
      <c r="I48" s="341"/>
      <c r="J48" s="341"/>
      <c r="K48" s="341"/>
      <c r="L48" s="341"/>
    </row>
    <row r="49" spans="1:12" ht="15.75">
      <c r="A49" s="341"/>
      <c r="B49" s="341"/>
      <c r="C49" s="341"/>
      <c r="D49" s="341"/>
      <c r="E49" s="341"/>
      <c r="F49" s="341"/>
      <c r="G49" s="341"/>
      <c r="H49" s="341"/>
      <c r="I49" s="341"/>
      <c r="J49" s="341"/>
      <c r="K49" s="341"/>
      <c r="L49" s="341"/>
    </row>
    <row r="50" spans="1:12" ht="15.75">
      <c r="A50" s="341"/>
      <c r="B50" s="341"/>
      <c r="C50" s="341"/>
      <c r="D50" s="341"/>
      <c r="E50" s="341"/>
      <c r="F50" s="341"/>
      <c r="G50" s="341"/>
      <c r="H50" s="341"/>
      <c r="I50" s="341"/>
      <c r="J50" s="341"/>
      <c r="K50" s="341"/>
      <c r="L50" s="341"/>
    </row>
    <row r="51" spans="1:12" ht="15.75">
      <c r="A51" s="341"/>
      <c r="B51" s="341"/>
      <c r="C51" s="341"/>
      <c r="D51" s="341"/>
      <c r="E51" s="341"/>
      <c r="F51" s="341"/>
      <c r="G51" s="341"/>
      <c r="H51" s="341"/>
      <c r="I51" s="341"/>
      <c r="J51" s="341"/>
      <c r="K51" s="341"/>
      <c r="L51" s="341"/>
    </row>
    <row r="52" spans="1:12" ht="15.75">
      <c r="A52" s="341"/>
      <c r="B52" s="341"/>
      <c r="C52" s="341"/>
      <c r="D52" s="341"/>
      <c r="E52" s="341"/>
      <c r="F52" s="341"/>
      <c r="G52" s="341"/>
      <c r="H52" s="341"/>
      <c r="I52" s="341"/>
      <c r="J52" s="341"/>
      <c r="K52" s="341"/>
      <c r="L52" s="341"/>
    </row>
    <row r="53" spans="1:12" ht="15.75">
      <c r="A53" s="341"/>
      <c r="B53" s="341"/>
      <c r="C53" s="341"/>
      <c r="D53" s="341"/>
      <c r="E53" s="341"/>
      <c r="F53" s="341"/>
      <c r="G53" s="341"/>
      <c r="H53" s="341"/>
      <c r="I53" s="341"/>
      <c r="J53" s="341"/>
      <c r="K53" s="341"/>
      <c r="L53" s="341"/>
    </row>
    <row r="54" spans="1:12" ht="15.75">
      <c r="A54" s="341"/>
      <c r="B54" s="341"/>
      <c r="C54" s="341"/>
      <c r="D54" s="341"/>
      <c r="E54" s="341"/>
      <c r="F54" s="341"/>
      <c r="G54" s="341"/>
      <c r="H54" s="341"/>
      <c r="I54" s="341"/>
      <c r="J54" s="341"/>
      <c r="K54" s="341"/>
      <c r="L54" s="341"/>
    </row>
    <row r="55" spans="1:12" ht="15.75">
      <c r="A55" s="341"/>
      <c r="B55" s="341"/>
      <c r="C55" s="341"/>
      <c r="D55" s="341"/>
      <c r="E55" s="341"/>
      <c r="F55" s="341"/>
      <c r="G55" s="341"/>
      <c r="H55" s="341"/>
      <c r="I55" s="341"/>
      <c r="J55" s="341"/>
      <c r="K55" s="341"/>
      <c r="L55" s="341"/>
    </row>
    <row r="56" spans="1:12" ht="15.75">
      <c r="A56" s="341"/>
      <c r="B56" s="341"/>
      <c r="C56" s="341"/>
      <c r="D56" s="341"/>
      <c r="E56" s="341"/>
      <c r="F56" s="341"/>
      <c r="G56" s="341"/>
      <c r="H56" s="341"/>
      <c r="I56" s="341"/>
      <c r="J56" s="341"/>
      <c r="K56" s="341"/>
      <c r="L56" s="341"/>
    </row>
    <row r="57" spans="1:12" ht="15.75">
      <c r="A57" s="341"/>
      <c r="B57" s="341"/>
      <c r="C57" s="341"/>
      <c r="D57" s="341"/>
      <c r="E57" s="341"/>
      <c r="F57" s="341"/>
      <c r="G57" s="341"/>
      <c r="H57" s="341"/>
      <c r="I57" s="341"/>
      <c r="J57" s="341"/>
      <c r="K57" s="341"/>
      <c r="L57" s="341"/>
    </row>
    <row r="58" spans="1:12" ht="15.75">
      <c r="A58" s="341"/>
      <c r="B58" s="341"/>
      <c r="C58" s="341"/>
      <c r="D58" s="341"/>
      <c r="E58" s="341"/>
      <c r="F58" s="341"/>
      <c r="G58" s="341"/>
      <c r="H58" s="341"/>
      <c r="I58" s="341"/>
      <c r="J58" s="341"/>
      <c r="K58" s="341"/>
      <c r="L58" s="341"/>
    </row>
    <row r="59" spans="1:12" ht="15.75">
      <c r="A59" s="341"/>
      <c r="B59" s="341"/>
      <c r="C59" s="341"/>
      <c r="D59" s="341"/>
      <c r="E59" s="341"/>
      <c r="F59" s="341"/>
      <c r="G59" s="341"/>
      <c r="H59" s="341"/>
      <c r="I59" s="341"/>
      <c r="J59" s="341"/>
      <c r="K59" s="341"/>
      <c r="L59" s="341"/>
    </row>
    <row r="60" spans="1:12" ht="15.75">
      <c r="A60" s="341"/>
      <c r="B60" s="341"/>
      <c r="C60" s="341"/>
      <c r="D60" s="341"/>
      <c r="E60" s="341"/>
      <c r="F60" s="341"/>
      <c r="G60" s="341"/>
      <c r="H60" s="341"/>
      <c r="I60" s="341"/>
      <c r="J60" s="341"/>
      <c r="K60" s="341"/>
      <c r="L60" s="341"/>
    </row>
    <row r="61" spans="1:12" ht="15.75">
      <c r="A61" s="341"/>
      <c r="B61" s="341"/>
      <c r="C61" s="341"/>
      <c r="D61" s="341"/>
      <c r="E61" s="341"/>
      <c r="F61" s="341"/>
      <c r="G61" s="341"/>
      <c r="H61" s="341"/>
      <c r="I61" s="341"/>
      <c r="J61" s="341"/>
      <c r="K61" s="341"/>
      <c r="L61" s="341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workbookViewId="0">
      <selection activeCell="A39" sqref="A39:F43"/>
    </sheetView>
  </sheetViews>
  <sheetFormatPr defaultRowHeight="12.75"/>
  <cols>
    <col min="1" max="6" width="16.7109375" style="340" customWidth="1"/>
    <col min="7" max="16384" width="9.140625" style="340"/>
  </cols>
  <sheetData>
    <row r="1" spans="1:6" ht="18.95" customHeight="1">
      <c r="A1" s="359"/>
      <c r="B1" s="360"/>
      <c r="C1" s="360"/>
      <c r="D1" s="360"/>
      <c r="E1" s="360"/>
      <c r="F1" s="361"/>
    </row>
    <row r="2" spans="1:6" ht="26.1" customHeight="1">
      <c r="A2" s="362" t="s">
        <v>250</v>
      </c>
      <c r="B2" s="363"/>
      <c r="C2" s="363"/>
      <c r="D2" s="363"/>
      <c r="E2" s="363"/>
      <c r="F2" s="364"/>
    </row>
    <row r="3" spans="1:6" ht="18.95" customHeight="1">
      <c r="A3" s="665" t="s">
        <v>598</v>
      </c>
      <c r="B3" s="666"/>
      <c r="C3" s="666"/>
      <c r="D3" s="666"/>
      <c r="E3" s="666"/>
      <c r="F3" s="667"/>
    </row>
    <row r="4" spans="1:6" ht="18.95" customHeight="1">
      <c r="A4" s="668" t="s">
        <v>599</v>
      </c>
      <c r="B4" s="669"/>
      <c r="C4" s="669"/>
      <c r="D4" s="669"/>
      <c r="E4" s="669"/>
      <c r="F4" s="670"/>
    </row>
    <row r="5" spans="1:6" ht="18.95" customHeight="1">
      <c r="A5" s="366"/>
      <c r="B5" s="367"/>
      <c r="C5" s="367"/>
      <c r="D5" s="367"/>
      <c r="E5" s="367"/>
      <c r="F5" s="368"/>
    </row>
    <row r="6" spans="1:6" ht="18.95" customHeight="1">
      <c r="A6" s="369" t="s">
        <v>404</v>
      </c>
      <c r="B6" s="652" t="str">
        <f>'Performance Data Sheet'!C17</f>
        <v>M405TCQL11E-C</v>
      </c>
      <c r="C6" s="653"/>
      <c r="D6" s="654"/>
      <c r="E6" s="369" t="s">
        <v>405</v>
      </c>
      <c r="F6" s="370">
        <v>250</v>
      </c>
    </row>
    <row r="7" spans="1:6" ht="18.95" customHeight="1">
      <c r="A7" s="369" t="s">
        <v>406</v>
      </c>
      <c r="B7" s="370" t="str">
        <f>'Performance Data Sheet'!F14</f>
        <v>TEAAC</v>
      </c>
      <c r="C7" s="369" t="s">
        <v>407</v>
      </c>
      <c r="D7" s="370" t="s">
        <v>429</v>
      </c>
      <c r="E7" s="369" t="s">
        <v>408</v>
      </c>
      <c r="F7" s="370" t="str">
        <f>'Performance Data Sheet'!C14</f>
        <v>6810US</v>
      </c>
    </row>
    <row r="8" spans="1:6" ht="18.95" customHeight="1">
      <c r="A8" s="369" t="s">
        <v>409</v>
      </c>
      <c r="B8" s="370">
        <v>4</v>
      </c>
      <c r="C8" s="369" t="s">
        <v>410</v>
      </c>
      <c r="D8" s="370" t="s">
        <v>411</v>
      </c>
      <c r="E8" s="369" t="s">
        <v>412</v>
      </c>
      <c r="F8" s="370" t="str">
        <f>'Performance Data Sheet'!M15</f>
        <v>F</v>
      </c>
    </row>
    <row r="9" spans="1:6" ht="18.95" customHeight="1">
      <c r="A9" s="369" t="s">
        <v>413</v>
      </c>
      <c r="B9" s="370">
        <v>2000</v>
      </c>
      <c r="C9" s="369" t="s">
        <v>414</v>
      </c>
      <c r="D9" s="370" t="s">
        <v>430</v>
      </c>
      <c r="E9" s="369" t="s">
        <v>2</v>
      </c>
      <c r="F9" s="371">
        <f>'Performance Data Sheet'!K45</f>
        <v>41983</v>
      </c>
    </row>
    <row r="10" spans="1:6" ht="18.95" customHeight="1">
      <c r="A10" s="369" t="s">
        <v>415</v>
      </c>
      <c r="B10" s="370">
        <v>1784</v>
      </c>
      <c r="C10" s="369" t="s">
        <v>416</v>
      </c>
      <c r="D10" s="370" t="s">
        <v>604</v>
      </c>
      <c r="E10" s="369" t="s">
        <v>1</v>
      </c>
      <c r="F10" s="370" t="s">
        <v>361</v>
      </c>
    </row>
    <row r="11" spans="1:6" ht="18.95" customHeight="1">
      <c r="A11" s="366"/>
      <c r="B11" s="367"/>
      <c r="C11" s="367"/>
      <c r="D11" s="367"/>
      <c r="E11" s="367"/>
      <c r="F11" s="368"/>
    </row>
    <row r="12" spans="1:6" ht="18.95" customHeight="1">
      <c r="A12" s="366"/>
      <c r="B12" s="372"/>
      <c r="C12" s="373"/>
      <c r="D12" s="372"/>
      <c r="E12" s="373"/>
      <c r="F12" s="368"/>
    </row>
    <row r="13" spans="1:6" ht="18.95" customHeight="1">
      <c r="A13" s="366"/>
      <c r="B13" s="372"/>
      <c r="C13" s="374"/>
      <c r="D13" s="372"/>
      <c r="E13" s="373"/>
      <c r="F13" s="368"/>
    </row>
    <row r="14" spans="1:6" ht="18.95" customHeight="1">
      <c r="A14" s="366"/>
      <c r="B14" s="372"/>
      <c r="C14" s="374"/>
      <c r="D14" s="372"/>
      <c r="E14" s="373"/>
      <c r="F14" s="368"/>
    </row>
    <row r="15" spans="1:6" ht="18.95" customHeight="1">
      <c r="A15" s="366"/>
      <c r="B15" s="372"/>
      <c r="C15" s="373"/>
      <c r="D15" s="367"/>
      <c r="E15" s="367"/>
      <c r="F15" s="368"/>
    </row>
    <row r="16" spans="1:6" ht="18.95" customHeight="1">
      <c r="A16" s="366"/>
      <c r="B16" s="367"/>
      <c r="C16" s="367"/>
      <c r="D16" s="367"/>
      <c r="E16" s="367"/>
      <c r="F16" s="368"/>
    </row>
    <row r="17" spans="1:6" ht="18.95" customHeight="1">
      <c r="A17" s="366"/>
      <c r="B17" s="367"/>
      <c r="C17" s="367"/>
      <c r="D17" s="367"/>
      <c r="E17" s="367"/>
      <c r="F17" s="368"/>
    </row>
    <row r="18" spans="1:6" ht="18.95" customHeight="1">
      <c r="A18" s="366"/>
      <c r="B18" s="367"/>
      <c r="C18" s="367"/>
      <c r="D18" s="367"/>
      <c r="E18" s="367"/>
      <c r="F18" s="368"/>
    </row>
    <row r="19" spans="1:6" ht="18.95" customHeight="1">
      <c r="A19" s="366"/>
      <c r="B19" s="367"/>
      <c r="C19" s="367"/>
      <c r="D19" s="367"/>
      <c r="E19" s="367"/>
      <c r="F19" s="368"/>
    </row>
    <row r="20" spans="1:6" ht="18.95" customHeight="1">
      <c r="A20" s="366"/>
      <c r="B20" s="367"/>
      <c r="C20" s="367"/>
      <c r="D20" s="367"/>
      <c r="E20" s="367"/>
      <c r="F20" s="368"/>
    </row>
    <row r="21" spans="1:6" ht="18.95" customHeight="1">
      <c r="A21" s="366"/>
      <c r="B21" s="367"/>
      <c r="C21" s="367"/>
      <c r="D21" s="367"/>
      <c r="E21" s="367"/>
      <c r="F21" s="368"/>
    </row>
    <row r="22" spans="1:6" ht="18.95" customHeight="1">
      <c r="A22" s="366"/>
      <c r="B22" s="367"/>
      <c r="C22" s="367"/>
      <c r="D22" s="367"/>
      <c r="E22" s="367"/>
      <c r="F22" s="368"/>
    </row>
    <row r="23" spans="1:6" ht="18.95" customHeight="1">
      <c r="A23" s="366"/>
      <c r="B23" s="367"/>
      <c r="C23" s="367"/>
      <c r="D23" s="367"/>
      <c r="E23" s="367"/>
      <c r="F23" s="368"/>
    </row>
    <row r="24" spans="1:6" ht="18.95" customHeight="1">
      <c r="A24" s="366"/>
      <c r="B24" s="367"/>
      <c r="C24" s="367"/>
      <c r="D24" s="367"/>
      <c r="E24" s="367"/>
      <c r="F24" s="368"/>
    </row>
    <row r="25" spans="1:6" ht="18.95" customHeight="1">
      <c r="A25" s="366"/>
      <c r="B25" s="367"/>
      <c r="C25" s="367"/>
      <c r="D25" s="367"/>
      <c r="E25" s="367"/>
      <c r="F25" s="368"/>
    </row>
    <row r="26" spans="1:6" ht="18.95" customHeight="1">
      <c r="A26" s="366"/>
      <c r="B26" s="367"/>
      <c r="C26" s="367"/>
      <c r="D26" s="367"/>
      <c r="E26" s="367"/>
      <c r="F26" s="368"/>
    </row>
    <row r="27" spans="1:6" ht="18.95" customHeight="1">
      <c r="A27" s="366"/>
      <c r="B27" s="367"/>
      <c r="C27" s="367"/>
      <c r="D27" s="367"/>
      <c r="E27" s="367"/>
      <c r="F27" s="368"/>
    </row>
    <row r="28" spans="1:6" ht="18.95" customHeight="1">
      <c r="A28" s="366"/>
      <c r="B28" s="367"/>
      <c r="C28" s="367"/>
      <c r="D28" s="367"/>
      <c r="E28" s="367"/>
      <c r="F28" s="368"/>
    </row>
    <row r="29" spans="1:6" ht="18.95" customHeight="1">
      <c r="A29" s="366"/>
      <c r="B29" s="367"/>
      <c r="C29" s="367"/>
      <c r="D29" s="367"/>
      <c r="E29" s="367"/>
      <c r="F29" s="368"/>
    </row>
    <row r="30" spans="1:6" ht="18.95" customHeight="1">
      <c r="A30" s="366"/>
      <c r="B30" s="367"/>
      <c r="C30" s="367"/>
      <c r="D30" s="367"/>
      <c r="E30" s="367"/>
      <c r="F30" s="368"/>
    </row>
    <row r="31" spans="1:6" ht="18.95" customHeight="1">
      <c r="A31" s="366"/>
      <c r="B31" s="367"/>
      <c r="C31" s="367"/>
      <c r="D31" s="367"/>
      <c r="E31" s="367"/>
      <c r="F31" s="368"/>
    </row>
    <row r="32" spans="1:6" ht="18.95" customHeight="1">
      <c r="A32" s="366"/>
      <c r="B32" s="367"/>
      <c r="C32" s="367"/>
      <c r="D32" s="367"/>
      <c r="E32" s="367"/>
      <c r="F32" s="368"/>
    </row>
    <row r="33" spans="1:6" ht="18.95" customHeight="1">
      <c r="A33" s="366"/>
      <c r="B33" s="367"/>
      <c r="C33" s="367"/>
      <c r="D33" s="367"/>
      <c r="E33" s="367"/>
      <c r="F33" s="368"/>
    </row>
    <row r="34" spans="1:6" ht="18.95" customHeight="1">
      <c r="A34" s="366"/>
      <c r="B34" s="367"/>
      <c r="C34" s="367"/>
      <c r="D34" s="367"/>
      <c r="E34" s="367"/>
      <c r="F34" s="368"/>
    </row>
    <row r="35" spans="1:6" ht="18.95" customHeight="1">
      <c r="A35" s="366"/>
      <c r="B35" s="367"/>
      <c r="C35" s="367"/>
      <c r="D35" s="367"/>
      <c r="E35" s="367"/>
      <c r="F35" s="368"/>
    </row>
    <row r="36" spans="1:6" ht="18.95" customHeight="1">
      <c r="A36" s="366"/>
      <c r="B36" s="367"/>
      <c r="C36" s="367"/>
      <c r="D36" s="367"/>
      <c r="E36" s="367"/>
      <c r="F36" s="368"/>
    </row>
    <row r="37" spans="1:6" ht="18.95" customHeight="1">
      <c r="A37" s="366"/>
      <c r="B37" s="367"/>
      <c r="C37" s="367"/>
      <c r="D37" s="367"/>
      <c r="E37" s="367"/>
      <c r="F37" s="368"/>
    </row>
    <row r="38" spans="1:6" ht="18.95" customHeight="1">
      <c r="A38" s="366"/>
      <c r="B38" s="367"/>
      <c r="C38" s="367"/>
      <c r="D38" s="367"/>
      <c r="E38" s="367"/>
      <c r="F38" s="368"/>
    </row>
    <row r="39" spans="1:6" ht="18.95" customHeight="1">
      <c r="A39" s="375" t="s">
        <v>425</v>
      </c>
      <c r="B39" s="376"/>
      <c r="C39" s="376"/>
      <c r="D39" s="367"/>
      <c r="E39" s="372" t="s">
        <v>426</v>
      </c>
      <c r="F39" s="377" t="s">
        <v>361</v>
      </c>
    </row>
    <row r="40" spans="1:6" ht="18.95" customHeight="1">
      <c r="A40" s="366"/>
      <c r="B40" s="376"/>
      <c r="C40" s="376"/>
      <c r="D40" s="367"/>
      <c r="E40" s="367"/>
      <c r="F40" s="368"/>
    </row>
    <row r="41" spans="1:6" ht="18.95" customHeight="1">
      <c r="A41" s="366"/>
      <c r="B41" s="376"/>
      <c r="C41" s="376"/>
      <c r="D41" s="367"/>
      <c r="E41" s="367"/>
      <c r="F41" s="368"/>
    </row>
    <row r="42" spans="1:6" ht="18.95" customHeight="1">
      <c r="A42" s="366"/>
      <c r="B42" s="367"/>
      <c r="C42" s="367"/>
      <c r="D42" s="367"/>
      <c r="E42" s="367"/>
      <c r="F42" s="368"/>
    </row>
    <row r="43" spans="1:6" ht="18.95" customHeight="1">
      <c r="A43" s="378"/>
      <c r="B43" s="376"/>
      <c r="C43" s="379" t="s">
        <v>427</v>
      </c>
      <c r="D43" s="380" t="str">
        <f>'Performance Data Sheet'!K43</f>
        <v>Mario L</v>
      </c>
      <c r="E43" s="379" t="s">
        <v>428</v>
      </c>
      <c r="F43" s="380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05" t="e">
        <f>5252.1*B50/D53</f>
        <v>#DIV/0!</v>
      </c>
      <c r="G50" s="405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06"/>
    </row>
    <row r="63" spans="6:9">
      <c r="I63" s="340" t="s">
        <v>39</v>
      </c>
    </row>
    <row r="66" spans="1:6">
      <c r="D66" s="405" t="e">
        <f>D65/D64</f>
        <v>#DIV/0!</v>
      </c>
    </row>
    <row r="67" spans="1:6">
      <c r="A67" s="407" t="s">
        <v>401</v>
      </c>
      <c r="B67" s="407" t="s">
        <v>600</v>
      </c>
      <c r="C67" s="407" t="s">
        <v>601</v>
      </c>
      <c r="E67" s="407" t="s">
        <v>602</v>
      </c>
      <c r="F67" s="407" t="s">
        <v>603</v>
      </c>
    </row>
    <row r="68" spans="1:6">
      <c r="A68" s="408">
        <v>525.6</v>
      </c>
      <c r="B68" s="409">
        <v>35</v>
      </c>
      <c r="C68" s="409">
        <v>15</v>
      </c>
      <c r="E68" s="408">
        <f>A68</f>
        <v>525.6</v>
      </c>
      <c r="F68" s="409">
        <v>1E-4</v>
      </c>
    </row>
    <row r="69" spans="1:6">
      <c r="A69" s="408">
        <v>463.07292000000001</v>
      </c>
      <c r="B69" s="409">
        <f>((A68/A69)^2)*B68</f>
        <v>45.08997433594422</v>
      </c>
      <c r="C69" s="409">
        <f>((A68/A69)^2)*C68</f>
        <v>19.324274715404666</v>
      </c>
      <c r="E69" s="408">
        <v>524.12</v>
      </c>
      <c r="F69" s="409">
        <v>1.5069999694824219</v>
      </c>
    </row>
    <row r="70" spans="1:6">
      <c r="A70" s="408">
        <v>400.52708000000001</v>
      </c>
      <c r="B70" s="409">
        <f>((A68/A70)^2)*B68</f>
        <v>60.271914743752291</v>
      </c>
      <c r="C70" s="409">
        <f>((A68/A70)^2)*C68</f>
        <v>25.83082060446527</v>
      </c>
      <c r="E70" s="408">
        <v>520.91999999999996</v>
      </c>
      <c r="F70" s="409">
        <v>2.7249999046325684</v>
      </c>
    </row>
    <row r="71" spans="1:6">
      <c r="A71" s="408">
        <v>338</v>
      </c>
      <c r="B71" s="409">
        <f>((A68/A71)^2)*B68</f>
        <v>84.634095444837371</v>
      </c>
      <c r="C71" s="409">
        <f>((A68/A71)^2)*C68</f>
        <v>36.271755190644591</v>
      </c>
      <c r="E71" s="408">
        <v>517.08000000000004</v>
      </c>
      <c r="F71" s="409">
        <v>3.8569998741149902</v>
      </c>
    </row>
    <row r="72" spans="1:6">
      <c r="A72" s="408">
        <f>A71-100</f>
        <v>238</v>
      </c>
      <c r="B72" s="409">
        <f>((A68/A72)^2)*B68</f>
        <v>170.69658922392489</v>
      </c>
      <c r="C72" s="409"/>
      <c r="E72" s="408">
        <v>512.32000000000005</v>
      </c>
      <c r="F72" s="409">
        <v>4.9889998435974121</v>
      </c>
    </row>
    <row r="73" spans="1:6">
      <c r="A73" s="408">
        <f>A72-100</f>
        <v>138</v>
      </c>
      <c r="B73" s="409">
        <f>((A68/A73)^2)*B68</f>
        <v>507.71568998109649</v>
      </c>
      <c r="C73" s="409"/>
      <c r="E73" s="408">
        <v>506.4</v>
      </c>
      <c r="F73" s="409">
        <v>6.1929998397827148</v>
      </c>
    </row>
    <row r="74" spans="1:6">
      <c r="A74" s="408">
        <v>220</v>
      </c>
      <c r="B74" s="409">
        <f>((A68/A74)^2)*B68</f>
        <v>199.77143801652895</v>
      </c>
      <c r="C74" s="409">
        <f>((A68/A74)^2)*C68</f>
        <v>85.616330578512404</v>
      </c>
      <c r="E74" s="408">
        <v>499</v>
      </c>
      <c r="F74" s="409">
        <v>7.5419998168945313</v>
      </c>
    </row>
    <row r="75" spans="1:6">
      <c r="A75" s="410">
        <v>180</v>
      </c>
      <c r="B75" s="409">
        <f>((A68/A75)^2)*B69</f>
        <v>384.45515717799475</v>
      </c>
      <c r="C75" s="409">
        <f>((A68/A75)^2)*C68</f>
        <v>127.89599999999999</v>
      </c>
      <c r="E75" s="408">
        <v>489.68</v>
      </c>
      <c r="F75" s="409">
        <v>9.1499996185302734</v>
      </c>
    </row>
    <row r="76" spans="1:6">
      <c r="A76" s="410">
        <v>145</v>
      </c>
      <c r="B76" s="409">
        <f>((A68/A76)^2)*B68</f>
        <v>459.87812604042807</v>
      </c>
      <c r="C76" s="409">
        <f>((A68/A76)^2)*C68</f>
        <v>197.09062544589773</v>
      </c>
      <c r="E76" s="408">
        <v>477.68</v>
      </c>
      <c r="F76" s="409">
        <v>11.295999526977539</v>
      </c>
    </row>
    <row r="77" spans="1:6">
      <c r="A77" s="410">
        <v>125</v>
      </c>
      <c r="B77" s="409"/>
      <c r="C77" s="408">
        <f>CEILING(C76*2,100)</f>
        <v>400</v>
      </c>
      <c r="E77" s="408">
        <v>465.88</v>
      </c>
      <c r="F77" s="409">
        <v>12.641999244689941</v>
      </c>
    </row>
    <row r="78" spans="1:6">
      <c r="A78" s="410">
        <v>125</v>
      </c>
      <c r="B78" s="409"/>
      <c r="C78" s="408">
        <f>2*C77</f>
        <v>800</v>
      </c>
      <c r="E78" s="408">
        <v>451.43999999999994</v>
      </c>
      <c r="F78" s="409">
        <v>13.754999160766602</v>
      </c>
    </row>
    <row r="79" spans="1:6">
      <c r="A79" s="410">
        <v>125</v>
      </c>
      <c r="B79" s="410"/>
      <c r="C79" s="410">
        <v>10000</v>
      </c>
      <c r="E79" s="408">
        <v>410.4</v>
      </c>
      <c r="F79" s="409">
        <v>14.202999114990234</v>
      </c>
    </row>
    <row r="80" spans="1:6">
      <c r="E80" s="408">
        <v>253.88000000000002</v>
      </c>
      <c r="F80" s="409">
        <v>14.280999183654785</v>
      </c>
    </row>
    <row r="81" spans="5:6">
      <c r="E81" s="408">
        <v>0</v>
      </c>
      <c r="F81" s="409">
        <v>14.425999641418457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3"/>
  <sheetViews>
    <sheetView workbookViewId="0">
      <selection activeCell="L29" sqref="L29"/>
    </sheetView>
  </sheetViews>
  <sheetFormatPr defaultRowHeight="12.75"/>
  <cols>
    <col min="1" max="1" width="9.5703125" style="340" customWidth="1"/>
    <col min="2" max="11" width="7.7109375" style="340" customWidth="1"/>
    <col min="12" max="16384" width="9.140625" style="340"/>
  </cols>
  <sheetData>
    <row r="1" spans="1:12" ht="20.25">
      <c r="A1" s="671" t="s">
        <v>717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341"/>
    </row>
    <row r="2" spans="1:12" ht="30" customHeight="1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</row>
    <row r="3" spans="1:12" ht="19.5">
      <c r="A3" s="372" t="s">
        <v>438</v>
      </c>
      <c r="B3" s="517" t="s">
        <v>477</v>
      </c>
      <c r="C3" s="341"/>
      <c r="D3" s="341"/>
      <c r="E3" s="341"/>
      <c r="F3" s="341"/>
      <c r="G3" s="341"/>
      <c r="H3" s="341"/>
      <c r="I3" s="341"/>
      <c r="J3" s="341"/>
      <c r="K3" s="341"/>
      <c r="L3" s="341"/>
    </row>
    <row r="4" spans="1:12" ht="12" customHeight="1">
      <c r="A4" s="341"/>
      <c r="B4" s="341"/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1:12" ht="19.5">
      <c r="A5" s="518" t="s">
        <v>718</v>
      </c>
      <c r="B5" s="367"/>
      <c r="C5" s="367"/>
      <c r="D5" s="367"/>
      <c r="E5" s="367"/>
      <c r="F5" s="341"/>
      <c r="G5" s="341"/>
      <c r="H5" s="341"/>
      <c r="I5" s="341"/>
      <c r="J5" s="341"/>
      <c r="K5" s="341"/>
      <c r="L5" s="341"/>
    </row>
    <row r="6" spans="1:12" ht="17.25" customHeight="1">
      <c r="A6" s="341"/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</row>
    <row r="7" spans="1:12" ht="15.75">
      <c r="A7" s="341"/>
      <c r="B7" s="519" t="s">
        <v>719</v>
      </c>
      <c r="C7" s="520">
        <v>0</v>
      </c>
      <c r="D7" s="519" t="s">
        <v>719</v>
      </c>
      <c r="E7" s="521" t="s">
        <v>720</v>
      </c>
      <c r="F7" s="519" t="s">
        <v>719</v>
      </c>
      <c r="G7" s="521" t="s">
        <v>721</v>
      </c>
      <c r="H7" s="519" t="s">
        <v>722</v>
      </c>
      <c r="I7" s="521">
        <v>0</v>
      </c>
      <c r="J7" s="519" t="s">
        <v>722</v>
      </c>
      <c r="K7" s="521">
        <v>7.0000000000000001E-3</v>
      </c>
      <c r="L7" s="341"/>
    </row>
    <row r="8" spans="1:12" ht="15.75">
      <c r="A8" s="398" t="s">
        <v>723</v>
      </c>
      <c r="B8" s="655">
        <v>10</v>
      </c>
      <c r="C8" s="655"/>
      <c r="D8" s="655">
        <v>22</v>
      </c>
      <c r="E8" s="655"/>
      <c r="F8" s="655">
        <v>2</v>
      </c>
      <c r="G8" s="655"/>
      <c r="H8" s="655" t="s">
        <v>738</v>
      </c>
      <c r="I8" s="655"/>
      <c r="J8" s="655" t="s">
        <v>739</v>
      </c>
      <c r="K8" s="655"/>
      <c r="L8" s="341"/>
    </row>
    <row r="9" spans="1:12" ht="15.75">
      <c r="A9" s="398" t="s">
        <v>724</v>
      </c>
      <c r="B9" s="655">
        <v>18</v>
      </c>
      <c r="C9" s="655"/>
      <c r="D9" s="655">
        <v>30</v>
      </c>
      <c r="E9" s="655"/>
      <c r="F9" s="655">
        <v>6</v>
      </c>
      <c r="G9" s="655"/>
      <c r="H9" s="655" t="s">
        <v>740</v>
      </c>
      <c r="I9" s="655"/>
      <c r="J9" s="655" t="s">
        <v>741</v>
      </c>
      <c r="K9" s="655"/>
      <c r="L9" s="341"/>
    </row>
    <row r="10" spans="1:12" ht="15.75">
      <c r="A10" s="398" t="s">
        <v>725</v>
      </c>
      <c r="B10" s="655">
        <v>14</v>
      </c>
      <c r="C10" s="655"/>
      <c r="D10" s="655">
        <v>26</v>
      </c>
      <c r="E10" s="655"/>
      <c r="F10" s="655">
        <v>2</v>
      </c>
      <c r="G10" s="655"/>
      <c r="H10" s="655" t="s">
        <v>742</v>
      </c>
      <c r="I10" s="655"/>
      <c r="J10" s="655" t="s">
        <v>743</v>
      </c>
      <c r="K10" s="655"/>
      <c r="L10" s="341"/>
    </row>
    <row r="11" spans="1:12" ht="26.25" customHeight="1">
      <c r="A11" s="341"/>
      <c r="B11" s="341"/>
      <c r="C11" s="341"/>
      <c r="D11" s="341"/>
      <c r="E11" s="341"/>
      <c r="F11" s="341"/>
      <c r="G11" s="341"/>
      <c r="H11" s="341"/>
      <c r="I11" s="341"/>
      <c r="J11" s="341"/>
      <c r="K11" s="341"/>
      <c r="L11" s="341"/>
    </row>
    <row r="12" spans="1:12" ht="19.5">
      <c r="A12" s="518" t="s">
        <v>726</v>
      </c>
      <c r="B12" s="341"/>
      <c r="C12" s="341"/>
      <c r="D12" s="341"/>
      <c r="E12" s="341"/>
      <c r="F12" s="341"/>
      <c r="G12" s="341"/>
      <c r="H12" s="341"/>
      <c r="I12" s="341"/>
      <c r="J12" s="341"/>
      <c r="K12" s="341"/>
      <c r="L12" s="341"/>
    </row>
    <row r="13" spans="1:12" ht="15.75">
      <c r="A13" s="341"/>
      <c r="B13" s="341"/>
      <c r="C13" s="341"/>
      <c r="D13" s="341"/>
      <c r="E13" s="341"/>
      <c r="F13" s="341"/>
      <c r="G13" s="341"/>
      <c r="H13" s="341"/>
      <c r="I13" s="341"/>
      <c r="J13" s="341"/>
      <c r="K13" s="341"/>
      <c r="L13" s="341"/>
    </row>
    <row r="14" spans="1:12" ht="15.75">
      <c r="A14" s="341"/>
      <c r="B14" s="672" t="s">
        <v>727</v>
      </c>
      <c r="C14" s="661"/>
      <c r="D14" s="673" t="s">
        <v>744</v>
      </c>
      <c r="E14" s="655"/>
      <c r="F14" s="672" t="s">
        <v>728</v>
      </c>
      <c r="G14" s="661"/>
      <c r="H14" s="673" t="s">
        <v>749</v>
      </c>
      <c r="I14" s="655"/>
      <c r="J14" s="341"/>
      <c r="K14" s="341"/>
      <c r="L14" s="341"/>
    </row>
    <row r="15" spans="1:12" ht="15.75">
      <c r="A15" s="341"/>
      <c r="B15" s="672" t="s">
        <v>729</v>
      </c>
      <c r="C15" s="661"/>
      <c r="D15" s="673" t="s">
        <v>745</v>
      </c>
      <c r="E15" s="655"/>
      <c r="F15" s="672" t="s">
        <v>730</v>
      </c>
      <c r="G15" s="661"/>
      <c r="H15" s="673" t="s">
        <v>750</v>
      </c>
      <c r="I15" s="655"/>
      <c r="J15" s="341"/>
      <c r="K15" s="341"/>
      <c r="L15" s="341"/>
    </row>
    <row r="16" spans="1:12" ht="15.75">
      <c r="A16" s="341"/>
      <c r="B16" s="672" t="s">
        <v>731</v>
      </c>
      <c r="C16" s="661"/>
      <c r="D16" s="673" t="s">
        <v>746</v>
      </c>
      <c r="E16" s="655"/>
      <c r="F16" s="672" t="s">
        <v>732</v>
      </c>
      <c r="G16" s="661"/>
      <c r="H16" s="673" t="s">
        <v>751</v>
      </c>
      <c r="I16" s="655"/>
      <c r="J16" s="341"/>
      <c r="K16" s="341"/>
      <c r="L16" s="341"/>
    </row>
    <row r="17" spans="1:12" ht="15.75">
      <c r="A17" s="341"/>
      <c r="B17" s="672" t="s">
        <v>733</v>
      </c>
      <c r="C17" s="661"/>
      <c r="D17" s="673" t="s">
        <v>747</v>
      </c>
      <c r="E17" s="655"/>
      <c r="F17" s="672" t="s">
        <v>734</v>
      </c>
      <c r="G17" s="661"/>
      <c r="H17" s="673" t="s">
        <v>752</v>
      </c>
      <c r="I17" s="655"/>
      <c r="J17" s="341"/>
      <c r="K17" s="341"/>
      <c r="L17" s="341"/>
    </row>
    <row r="18" spans="1:12" ht="15.75">
      <c r="A18" s="341"/>
      <c r="B18" s="672" t="s">
        <v>735</v>
      </c>
      <c r="C18" s="661"/>
      <c r="D18" s="673" t="s">
        <v>748</v>
      </c>
      <c r="E18" s="655"/>
      <c r="F18" s="672" t="s">
        <v>736</v>
      </c>
      <c r="G18" s="661"/>
      <c r="H18" s="673" t="s">
        <v>753</v>
      </c>
      <c r="I18" s="655"/>
      <c r="J18" s="341"/>
      <c r="K18" s="341"/>
      <c r="L18" s="341"/>
    </row>
    <row r="19" spans="1:12" ht="27" customHeight="1">
      <c r="A19" s="341"/>
      <c r="B19" s="341"/>
      <c r="C19" s="341"/>
      <c r="D19" s="341"/>
      <c r="E19" s="341"/>
      <c r="F19" s="341"/>
      <c r="G19" s="341"/>
      <c r="H19" s="341"/>
      <c r="I19" s="341"/>
      <c r="J19" s="341"/>
      <c r="K19" s="341"/>
      <c r="L19" s="341"/>
    </row>
    <row r="20" spans="1:12" ht="19.5">
      <c r="A20" s="518" t="s">
        <v>737</v>
      </c>
      <c r="B20" s="341"/>
      <c r="C20" s="341"/>
      <c r="D20" s="341"/>
      <c r="E20" s="341"/>
      <c r="F20" s="341"/>
      <c r="G20" s="341"/>
      <c r="H20" s="341"/>
      <c r="I20" s="341"/>
      <c r="J20" s="341"/>
      <c r="K20" s="341"/>
      <c r="L20" s="341"/>
    </row>
    <row r="21" spans="1:12" ht="15.75">
      <c r="A21" s="341"/>
      <c r="B21" s="341"/>
      <c r="C21" s="341"/>
      <c r="D21" s="341"/>
      <c r="E21" s="341"/>
      <c r="F21" s="341"/>
      <c r="G21" s="341"/>
      <c r="H21" s="341"/>
      <c r="I21" s="341"/>
      <c r="J21" s="341"/>
      <c r="K21" s="341"/>
      <c r="L21" s="341"/>
    </row>
    <row r="22" spans="1:12" ht="19.5">
      <c r="A22" s="341"/>
      <c r="B22" s="518" t="s">
        <v>754</v>
      </c>
      <c r="C22" s="341"/>
      <c r="D22" s="341"/>
      <c r="E22" s="341"/>
      <c r="F22" s="341"/>
      <c r="G22" s="341"/>
      <c r="H22" s="341"/>
      <c r="I22" s="341"/>
      <c r="J22" s="341"/>
      <c r="K22" s="341"/>
      <c r="L22" s="341"/>
    </row>
    <row r="23" spans="1:12" ht="15.75">
      <c r="A23" s="341"/>
      <c r="B23" s="341"/>
      <c r="C23" s="341"/>
      <c r="D23" s="341"/>
      <c r="E23" s="341"/>
      <c r="F23" s="341"/>
      <c r="G23" s="341"/>
      <c r="H23" s="341"/>
      <c r="I23" s="341"/>
      <c r="J23" s="341"/>
      <c r="K23" s="341"/>
      <c r="L23" s="341"/>
    </row>
    <row r="24" spans="1:12" ht="15.75">
      <c r="A24" s="341"/>
      <c r="B24" s="341"/>
      <c r="C24" s="341"/>
      <c r="D24" s="341"/>
      <c r="E24" s="341"/>
      <c r="F24" s="341"/>
      <c r="G24" s="341"/>
      <c r="H24" s="341"/>
      <c r="I24" s="341"/>
      <c r="J24" s="341"/>
      <c r="K24" s="341"/>
      <c r="L24" s="341"/>
    </row>
    <row r="25" spans="1:12" ht="15.75">
      <c r="A25" s="341"/>
      <c r="B25" s="341"/>
      <c r="C25" s="341"/>
      <c r="D25" s="341"/>
      <c r="E25" s="341"/>
      <c r="F25" s="341"/>
      <c r="G25" s="341"/>
      <c r="H25" s="341"/>
      <c r="I25" s="341"/>
      <c r="J25" s="341"/>
      <c r="K25" s="341"/>
      <c r="L25" s="341"/>
    </row>
    <row r="26" spans="1:12" ht="15.75">
      <c r="A26" s="341"/>
      <c r="B26" s="341"/>
      <c r="C26" s="341"/>
      <c r="D26" s="341"/>
      <c r="E26" s="341"/>
      <c r="F26" s="341"/>
      <c r="G26" s="341"/>
      <c r="H26" s="341"/>
      <c r="I26" s="341"/>
      <c r="J26" s="341"/>
      <c r="K26" s="341"/>
      <c r="L26" s="341"/>
    </row>
    <row r="27" spans="1:12" ht="15.75">
      <c r="A27" s="341"/>
      <c r="B27" s="341"/>
      <c r="C27" s="341"/>
      <c r="D27" s="341"/>
      <c r="E27" s="341"/>
      <c r="F27" s="341"/>
      <c r="G27" s="341"/>
      <c r="H27" s="341"/>
      <c r="I27" s="341"/>
      <c r="J27" s="341"/>
      <c r="K27" s="341"/>
      <c r="L27" s="341"/>
    </row>
    <row r="28" spans="1:12" ht="15.75">
      <c r="A28" s="341"/>
      <c r="B28" s="341"/>
      <c r="C28" s="341"/>
      <c r="D28" s="341"/>
      <c r="E28" s="341"/>
      <c r="F28" s="341"/>
      <c r="G28" s="341"/>
      <c r="H28" s="341"/>
      <c r="I28" s="341"/>
      <c r="J28" s="341"/>
      <c r="K28" s="341"/>
      <c r="L28" s="341"/>
    </row>
    <row r="29" spans="1:12" ht="15.75">
      <c r="A29" s="341"/>
      <c r="B29" s="341"/>
      <c r="C29" s="341"/>
      <c r="D29" s="341"/>
      <c r="E29" s="341"/>
      <c r="F29" s="341"/>
      <c r="G29" s="341"/>
      <c r="H29" s="341"/>
      <c r="I29" s="341"/>
      <c r="J29" s="341"/>
      <c r="K29" s="341"/>
      <c r="L29" s="341"/>
    </row>
    <row r="30" spans="1:12" ht="15.75">
      <c r="A30" s="341"/>
      <c r="B30" s="341"/>
      <c r="C30" s="341"/>
      <c r="D30" s="341"/>
      <c r="E30" s="341"/>
      <c r="F30" s="341"/>
      <c r="G30" s="341"/>
      <c r="H30" s="341"/>
      <c r="I30" s="341"/>
      <c r="J30" s="341"/>
      <c r="K30" s="341"/>
      <c r="L30" s="341"/>
    </row>
    <row r="31" spans="1:12" ht="15.75">
      <c r="A31" s="341"/>
      <c r="B31" s="341"/>
      <c r="C31" s="341"/>
      <c r="D31" s="341"/>
      <c r="E31" s="341"/>
      <c r="F31" s="341"/>
      <c r="G31" s="341"/>
      <c r="H31" s="341"/>
      <c r="I31" s="341"/>
      <c r="J31" s="341"/>
      <c r="K31" s="341"/>
      <c r="L31" s="341"/>
    </row>
    <row r="32" spans="1:12" ht="15.75">
      <c r="A32" s="341"/>
      <c r="B32" s="341"/>
      <c r="C32" s="341"/>
      <c r="D32" s="341"/>
      <c r="E32" s="341"/>
      <c r="F32" s="341"/>
      <c r="G32" s="341"/>
      <c r="H32" s="341"/>
      <c r="I32" s="341"/>
      <c r="J32" s="341"/>
      <c r="K32" s="341"/>
      <c r="L32" s="341"/>
    </row>
    <row r="33" spans="1:12" ht="15.75">
      <c r="A33" s="341"/>
      <c r="B33" s="341"/>
      <c r="C33" s="341"/>
      <c r="D33" s="341"/>
      <c r="E33" s="341"/>
      <c r="F33" s="341"/>
      <c r="G33" s="341"/>
      <c r="H33" s="341"/>
      <c r="I33" s="341"/>
      <c r="J33" s="341"/>
      <c r="K33" s="341"/>
      <c r="L33" s="341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67"/>
  <sheetViews>
    <sheetView topLeftCell="A22" workbookViewId="0">
      <selection activeCell="C64" sqref="C64"/>
    </sheetView>
  </sheetViews>
  <sheetFormatPr defaultRowHeight="12.75"/>
  <cols>
    <col min="1" max="6" width="16.7109375" style="340" customWidth="1"/>
    <col min="7" max="16384" width="9.140625" style="340"/>
  </cols>
  <sheetData>
    <row r="1" spans="1:6" ht="18.95" customHeight="1">
      <c r="A1" s="359"/>
      <c r="B1" s="360"/>
      <c r="C1" s="360"/>
      <c r="D1" s="360"/>
      <c r="E1" s="360"/>
      <c r="F1" s="361"/>
    </row>
    <row r="2" spans="1:6" ht="26.1" customHeight="1">
      <c r="A2" s="362" t="s">
        <v>250</v>
      </c>
      <c r="B2" s="363"/>
      <c r="C2" s="363"/>
      <c r="D2" s="363"/>
      <c r="E2" s="363"/>
      <c r="F2" s="364"/>
    </row>
    <row r="3" spans="1:6" ht="18.95" customHeight="1">
      <c r="A3" s="365" t="s">
        <v>605</v>
      </c>
      <c r="B3" s="363"/>
      <c r="C3" s="363"/>
      <c r="D3" s="363"/>
      <c r="E3" s="363"/>
      <c r="F3" s="364"/>
    </row>
    <row r="4" spans="1:6" ht="18.95" customHeight="1">
      <c r="A4" s="668" t="s">
        <v>599</v>
      </c>
      <c r="B4" s="669"/>
      <c r="C4" s="669"/>
      <c r="D4" s="669"/>
      <c r="E4" s="669"/>
      <c r="F4" s="670"/>
    </row>
    <row r="5" spans="1:6" ht="18.95" customHeight="1">
      <c r="A5" s="366"/>
      <c r="B5" s="367"/>
      <c r="C5" s="367"/>
      <c r="D5" s="367"/>
      <c r="E5" s="367"/>
      <c r="F5" s="368"/>
    </row>
    <row r="6" spans="1:6" ht="18.95" customHeight="1">
      <c r="A6" s="369" t="s">
        <v>404</v>
      </c>
      <c r="B6" s="652" t="str">
        <f>'Performance Data Sheet'!C17</f>
        <v>M405TCQL11E-C</v>
      </c>
      <c r="C6" s="653"/>
      <c r="D6" s="654"/>
      <c r="E6" s="369" t="s">
        <v>405</v>
      </c>
      <c r="F6" s="370">
        <v>250</v>
      </c>
    </row>
    <row r="7" spans="1:6" ht="18.95" customHeight="1">
      <c r="A7" s="369" t="s">
        <v>406</v>
      </c>
      <c r="B7" s="370" t="str">
        <f>'Performance Data Sheet'!F14</f>
        <v>TEAAC</v>
      </c>
      <c r="C7" s="369" t="s">
        <v>407</v>
      </c>
      <c r="D7" s="370" t="s">
        <v>429</v>
      </c>
      <c r="E7" s="369" t="s">
        <v>408</v>
      </c>
      <c r="F7" s="370" t="str">
        <f>'Performance Data Sheet'!C14</f>
        <v>6810US</v>
      </c>
    </row>
    <row r="8" spans="1:6" ht="18.95" customHeight="1">
      <c r="A8" s="369" t="s">
        <v>409</v>
      </c>
      <c r="B8" s="370">
        <v>4</v>
      </c>
      <c r="C8" s="369" t="s">
        <v>410</v>
      </c>
      <c r="D8" s="370" t="s">
        <v>411</v>
      </c>
      <c r="E8" s="369" t="s">
        <v>412</v>
      </c>
      <c r="F8" s="370" t="str">
        <f>'Performance Data Sheet'!M15</f>
        <v>F</v>
      </c>
    </row>
    <row r="9" spans="1:6" ht="18.95" customHeight="1">
      <c r="A9" s="369" t="s">
        <v>413</v>
      </c>
      <c r="B9" s="370">
        <v>2000</v>
      </c>
      <c r="C9" s="369" t="s">
        <v>414</v>
      </c>
      <c r="D9" s="370" t="s">
        <v>430</v>
      </c>
      <c r="E9" s="369" t="s">
        <v>2</v>
      </c>
      <c r="F9" s="371">
        <f>'Performance Data Sheet'!K45</f>
        <v>41983</v>
      </c>
    </row>
    <row r="10" spans="1:6" ht="18.95" customHeight="1">
      <c r="A10" s="369" t="s">
        <v>415</v>
      </c>
      <c r="B10" s="370">
        <v>1784</v>
      </c>
      <c r="C10" s="369" t="s">
        <v>416</v>
      </c>
      <c r="D10" s="370" t="s">
        <v>417</v>
      </c>
      <c r="E10" s="369" t="s">
        <v>1</v>
      </c>
      <c r="F10" s="370" t="s">
        <v>361</v>
      </c>
    </row>
    <row r="11" spans="1:6" ht="18.95" customHeight="1">
      <c r="A11" s="366"/>
      <c r="B11" s="367"/>
      <c r="C11" s="367"/>
      <c r="D11" s="367"/>
      <c r="E11" s="367"/>
      <c r="F11" s="368"/>
    </row>
    <row r="12" spans="1:6" ht="18.95" customHeight="1">
      <c r="A12" s="366"/>
      <c r="B12" s="372" t="s">
        <v>418</v>
      </c>
      <c r="C12" s="373" t="s">
        <v>431</v>
      </c>
      <c r="D12" s="372" t="s">
        <v>419</v>
      </c>
      <c r="E12" s="373" t="s">
        <v>417</v>
      </c>
      <c r="F12" s="368"/>
    </row>
    <row r="13" spans="1:6" ht="18.95" customHeight="1">
      <c r="A13" s="366"/>
      <c r="B13" s="372" t="s">
        <v>420</v>
      </c>
      <c r="C13" s="374">
        <v>0.7</v>
      </c>
      <c r="D13" s="372" t="s">
        <v>421</v>
      </c>
      <c r="E13" s="373" t="s">
        <v>417</v>
      </c>
      <c r="F13" s="368"/>
    </row>
    <row r="14" spans="1:6" ht="18.95" customHeight="1">
      <c r="A14" s="366"/>
      <c r="B14" s="372" t="s">
        <v>422</v>
      </c>
      <c r="C14" s="374">
        <v>2.2000000000000002</v>
      </c>
      <c r="D14" s="372" t="s">
        <v>423</v>
      </c>
      <c r="E14" s="373" t="s">
        <v>417</v>
      </c>
      <c r="F14" s="368"/>
    </row>
    <row r="15" spans="1:6" ht="18.95" customHeight="1">
      <c r="A15" s="366"/>
      <c r="B15" s="372" t="s">
        <v>424</v>
      </c>
      <c r="C15" s="373" t="s">
        <v>715</v>
      </c>
      <c r="D15" s="367"/>
      <c r="E15" s="367"/>
      <c r="F15" s="368"/>
    </row>
    <row r="16" spans="1:6" ht="18.95" customHeight="1">
      <c r="A16" s="366"/>
      <c r="B16" s="367"/>
      <c r="C16" s="367"/>
      <c r="D16" s="367"/>
      <c r="E16" s="367"/>
      <c r="F16" s="368"/>
    </row>
    <row r="17" spans="1:8" ht="18.95" customHeight="1">
      <c r="A17" s="366"/>
      <c r="B17" s="367"/>
      <c r="C17" s="367"/>
      <c r="D17" s="367"/>
      <c r="E17" s="367"/>
      <c r="F17" s="368"/>
    </row>
    <row r="18" spans="1:8" ht="18.95" customHeight="1">
      <c r="A18" s="366"/>
      <c r="B18" s="367"/>
      <c r="C18" s="367"/>
      <c r="D18" s="367"/>
      <c r="E18" s="367"/>
      <c r="F18" s="368"/>
    </row>
    <row r="19" spans="1:8" ht="18.95" customHeight="1">
      <c r="A19" s="366"/>
      <c r="B19" s="367"/>
      <c r="C19" s="367"/>
      <c r="D19" s="367"/>
      <c r="E19" s="367"/>
      <c r="F19" s="368"/>
    </row>
    <row r="20" spans="1:8" ht="18.95" customHeight="1">
      <c r="A20" s="366"/>
      <c r="B20" s="367"/>
      <c r="C20" s="367"/>
      <c r="D20" s="367"/>
      <c r="E20" s="367"/>
      <c r="F20" s="368"/>
    </row>
    <row r="21" spans="1:8" ht="18.95" customHeight="1">
      <c r="A21" s="366"/>
      <c r="B21" s="367"/>
      <c r="C21" s="367"/>
      <c r="D21" s="367"/>
      <c r="E21" s="367"/>
      <c r="F21" s="368"/>
    </row>
    <row r="22" spans="1:8" ht="18.95" customHeight="1">
      <c r="A22" s="366"/>
      <c r="B22" s="367"/>
      <c r="C22" s="367"/>
      <c r="D22" s="367"/>
      <c r="E22" s="367"/>
      <c r="F22" s="368"/>
    </row>
    <row r="23" spans="1:8" ht="18.95" customHeight="1">
      <c r="A23" s="366"/>
      <c r="B23" s="367"/>
      <c r="C23" s="367"/>
      <c r="D23" s="367"/>
      <c r="E23" s="367"/>
      <c r="F23" s="368"/>
    </row>
    <row r="24" spans="1:8" ht="18.95" customHeight="1">
      <c r="A24" s="366"/>
      <c r="B24" s="367"/>
      <c r="C24" s="367"/>
      <c r="D24" s="367"/>
      <c r="E24" s="367"/>
      <c r="F24" s="368"/>
      <c r="H24" s="411"/>
    </row>
    <row r="25" spans="1:8" ht="18.95" customHeight="1">
      <c r="A25" s="366"/>
      <c r="B25" s="367"/>
      <c r="C25" s="367"/>
      <c r="D25" s="367"/>
      <c r="E25" s="367"/>
      <c r="F25" s="368"/>
    </row>
    <row r="26" spans="1:8" ht="18.95" customHeight="1">
      <c r="A26" s="366"/>
      <c r="B26" s="367"/>
      <c r="C26" s="367"/>
      <c r="D26" s="367"/>
      <c r="E26" s="367"/>
      <c r="F26" s="368"/>
    </row>
    <row r="27" spans="1:8" ht="18.95" customHeight="1">
      <c r="A27" s="366"/>
      <c r="B27" s="367"/>
      <c r="C27" s="367"/>
      <c r="D27" s="367"/>
      <c r="E27" s="367"/>
      <c r="F27" s="368"/>
    </row>
    <row r="28" spans="1:8" ht="18.95" customHeight="1">
      <c r="A28" s="366"/>
      <c r="B28" s="367"/>
      <c r="C28" s="367"/>
      <c r="D28" s="367"/>
      <c r="E28" s="367"/>
      <c r="F28" s="368"/>
    </row>
    <row r="29" spans="1:8" ht="18.95" customHeight="1">
      <c r="A29" s="366"/>
      <c r="B29" s="367"/>
      <c r="C29" s="367"/>
      <c r="D29" s="367"/>
      <c r="E29" s="367"/>
      <c r="F29" s="368"/>
    </row>
    <row r="30" spans="1:8" ht="18.95" customHeight="1">
      <c r="A30" s="366"/>
      <c r="B30" s="367"/>
      <c r="C30" s="367"/>
      <c r="D30" s="367"/>
      <c r="E30" s="367"/>
      <c r="F30" s="368"/>
    </row>
    <row r="31" spans="1:8" ht="18.95" customHeight="1">
      <c r="A31" s="366"/>
      <c r="B31" s="367"/>
      <c r="C31" s="367"/>
      <c r="D31" s="367"/>
      <c r="E31" s="367"/>
      <c r="F31" s="368"/>
    </row>
    <row r="32" spans="1:8" ht="18.95" customHeight="1">
      <c r="A32" s="366"/>
      <c r="B32" s="367"/>
      <c r="C32" s="367"/>
      <c r="D32" s="367"/>
      <c r="E32" s="367"/>
      <c r="F32" s="368"/>
    </row>
    <row r="33" spans="1:6" ht="18.95" customHeight="1">
      <c r="A33" s="366"/>
      <c r="B33" s="367"/>
      <c r="C33" s="367"/>
      <c r="D33" s="367"/>
      <c r="E33" s="367"/>
      <c r="F33" s="368"/>
    </row>
    <row r="34" spans="1:6" ht="18.95" customHeight="1">
      <c r="A34" s="366"/>
      <c r="B34" s="367"/>
      <c r="C34" s="367"/>
      <c r="D34" s="367"/>
      <c r="E34" s="367"/>
      <c r="F34" s="368"/>
    </row>
    <row r="35" spans="1:6" ht="18.95" customHeight="1">
      <c r="A35" s="366"/>
      <c r="B35" s="367"/>
      <c r="C35" s="367"/>
      <c r="D35" s="367"/>
      <c r="E35" s="367"/>
      <c r="F35" s="368"/>
    </row>
    <row r="36" spans="1:6" ht="18.95" customHeight="1">
      <c r="A36" s="366"/>
      <c r="B36" s="367"/>
      <c r="C36" s="367"/>
      <c r="D36" s="367"/>
      <c r="E36" s="367"/>
      <c r="F36" s="368"/>
    </row>
    <row r="37" spans="1:6" ht="18.95" customHeight="1">
      <c r="A37" s="366"/>
      <c r="B37" s="367"/>
      <c r="C37" s="367"/>
      <c r="D37" s="367"/>
      <c r="E37" s="367"/>
      <c r="F37" s="368"/>
    </row>
    <row r="38" spans="1:6" ht="18.95" customHeight="1">
      <c r="A38" s="366"/>
      <c r="B38" s="367"/>
      <c r="C38" s="367"/>
      <c r="D38" s="367"/>
      <c r="E38" s="367"/>
      <c r="F38" s="368"/>
    </row>
    <row r="39" spans="1:6" ht="18.95" customHeight="1">
      <c r="A39" s="375" t="s">
        <v>425</v>
      </c>
      <c r="B39" s="376"/>
      <c r="C39" s="376"/>
      <c r="D39" s="367"/>
      <c r="E39" s="372" t="s">
        <v>426</v>
      </c>
      <c r="F39" s="377" t="s">
        <v>361</v>
      </c>
    </row>
    <row r="40" spans="1:6" ht="18.95" customHeight="1">
      <c r="A40" s="366"/>
      <c r="B40" s="376"/>
      <c r="C40" s="376"/>
      <c r="D40" s="367"/>
      <c r="E40" s="367"/>
      <c r="F40" s="368"/>
    </row>
    <row r="41" spans="1:6" ht="18.95" customHeight="1">
      <c r="A41" s="366"/>
      <c r="B41" s="376"/>
      <c r="C41" s="376"/>
      <c r="D41" s="367"/>
      <c r="E41" s="367"/>
      <c r="F41" s="368"/>
    </row>
    <row r="42" spans="1:6" ht="18.95" customHeight="1">
      <c r="A42" s="366"/>
      <c r="B42" s="367"/>
      <c r="C42" s="367"/>
      <c r="D42" s="367"/>
      <c r="E42" s="367"/>
      <c r="F42" s="368"/>
    </row>
    <row r="43" spans="1:6" ht="18.95" customHeight="1">
      <c r="A43" s="378"/>
      <c r="B43" s="376"/>
      <c r="C43" s="379" t="s">
        <v>427</v>
      </c>
      <c r="D43" s="380" t="str">
        <f>'Performance Data Sheet'!K43</f>
        <v>Mario L</v>
      </c>
      <c r="E43" s="379" t="s">
        <v>428</v>
      </c>
      <c r="F43" s="380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12" t="s">
        <v>432</v>
      </c>
      <c r="B53" s="412" t="s">
        <v>142</v>
      </c>
      <c r="C53" s="412" t="s">
        <v>120</v>
      </c>
      <c r="D53" s="412" t="s">
        <v>135</v>
      </c>
      <c r="E53" s="412" t="s">
        <v>5</v>
      </c>
      <c r="F53" s="413" t="s">
        <v>606</v>
      </c>
    </row>
    <row r="54" spans="1:6" ht="15" customHeight="1">
      <c r="A54" s="414">
        <v>0</v>
      </c>
      <c r="B54" s="415"/>
      <c r="C54" s="416"/>
      <c r="D54" s="416">
        <v>62.885218171678446</v>
      </c>
      <c r="E54" s="416">
        <v>100</v>
      </c>
      <c r="F54" s="417">
        <v>0.46</v>
      </c>
    </row>
    <row r="55" spans="1:6" ht="15" customHeight="1">
      <c r="A55" s="418">
        <v>25</v>
      </c>
      <c r="B55" s="419">
        <v>91.918296813964844</v>
      </c>
      <c r="C55" s="420">
        <v>65.05841064453125</v>
      </c>
      <c r="D55" s="420">
        <v>90.072547912597656</v>
      </c>
      <c r="E55" s="420">
        <v>63.829912019368571</v>
      </c>
      <c r="F55" s="421">
        <v>10.149479715927484</v>
      </c>
    </row>
    <row r="56" spans="1:6" ht="15" customHeight="1">
      <c r="A56" s="418">
        <v>50</v>
      </c>
      <c r="B56" s="419">
        <v>94.884056091308594</v>
      </c>
      <c r="C56" s="420">
        <v>83.203865051269531</v>
      </c>
      <c r="D56" s="420">
        <v>136.45552062988281</v>
      </c>
      <c r="E56" s="420">
        <v>49.116581658493054</v>
      </c>
      <c r="F56" s="421">
        <v>19.664482453245196</v>
      </c>
    </row>
    <row r="57" spans="1:6">
      <c r="A57" s="418">
        <v>75</v>
      </c>
      <c r="B57" s="419">
        <v>95.680000305175781</v>
      </c>
      <c r="C57" s="420">
        <v>88.33746337890625</v>
      </c>
      <c r="D57" s="420">
        <v>191.18464660644531</v>
      </c>
      <c r="E57" s="420">
        <v>34.156129090790152</v>
      </c>
      <c r="F57" s="421">
        <v>29.251344731272749</v>
      </c>
    </row>
    <row r="58" spans="1:6">
      <c r="A58" s="418">
        <v>100</v>
      </c>
      <c r="B58" s="419">
        <v>95.8</v>
      </c>
      <c r="C58" s="420">
        <v>89.831260681152344</v>
      </c>
      <c r="D58" s="420">
        <v>250.09136962890625</v>
      </c>
      <c r="E58" s="420">
        <v>18.40482650763855</v>
      </c>
      <c r="F58" s="421">
        <v>38.911152296313219</v>
      </c>
    </row>
    <row r="59" spans="1:6" ht="13.5" thickBot="1">
      <c r="A59" s="422">
        <v>125</v>
      </c>
      <c r="B59" s="423">
        <v>95.8</v>
      </c>
      <c r="C59" s="424">
        <v>89.814407348632813</v>
      </c>
      <c r="D59" s="424">
        <v>312.74447631835938</v>
      </c>
      <c r="E59" s="424">
        <v>2.8322453201647058</v>
      </c>
      <c r="F59" s="425">
        <v>48.650077082352347</v>
      </c>
    </row>
    <row r="60" spans="1:6">
      <c r="A60" s="381"/>
      <c r="B60" s="382"/>
      <c r="C60" s="382"/>
    </row>
    <row r="61" spans="1:6">
      <c r="A61" s="381"/>
      <c r="B61" s="382"/>
      <c r="C61" s="382"/>
    </row>
    <row r="62" spans="1:6">
      <c r="A62" s="381"/>
      <c r="B62" s="382"/>
      <c r="C62" s="382"/>
    </row>
    <row r="63" spans="1:6">
      <c r="A63" s="381"/>
      <c r="B63" s="382"/>
      <c r="C63" s="382"/>
    </row>
    <row r="64" spans="1:6">
      <c r="A64" s="381"/>
      <c r="B64" s="382"/>
      <c r="C64" s="382"/>
    </row>
    <row r="65" spans="1:3">
      <c r="A65" s="381"/>
      <c r="B65" s="382"/>
      <c r="C65" s="382"/>
    </row>
    <row r="66" spans="1:3">
      <c r="A66" s="381"/>
      <c r="B66" s="382"/>
      <c r="C66" s="382"/>
    </row>
    <row r="67" spans="1:3">
      <c r="A67" s="383"/>
      <c r="B67" s="382"/>
      <c r="C67" s="382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syncVertical="1" syncRef="A1" transitionEvaluation="1"/>
  <dimension ref="A1:N121"/>
  <sheetViews>
    <sheetView showGridLines="0" zoomScale="90" workbookViewId="0">
      <selection activeCell="E34" sqref="E34"/>
    </sheetView>
  </sheetViews>
  <sheetFormatPr defaultColWidth="12.5703125" defaultRowHeight="15.75"/>
  <cols>
    <col min="1" max="13" width="7" style="433" customWidth="1"/>
    <col min="14" max="14" width="7.140625" style="433" customWidth="1"/>
    <col min="15" max="16384" width="12.5703125" style="433"/>
  </cols>
  <sheetData>
    <row r="1" spans="1:14" ht="17.100000000000001" customHeight="1">
      <c r="A1" s="426" t="s">
        <v>250</v>
      </c>
      <c r="B1" s="427"/>
      <c r="C1" s="427"/>
      <c r="D1" s="427"/>
      <c r="E1" s="427"/>
      <c r="F1" s="427"/>
      <c r="G1" s="427"/>
      <c r="H1" s="427"/>
      <c r="I1" s="427"/>
      <c r="J1" s="428" t="s">
        <v>607</v>
      </c>
      <c r="K1" s="429"/>
      <c r="L1" s="430" t="s">
        <v>608</v>
      </c>
      <c r="M1" s="431"/>
      <c r="N1" s="432"/>
    </row>
    <row r="2" spans="1:14" ht="17.100000000000001" customHeight="1">
      <c r="A2" s="434" t="s">
        <v>609</v>
      </c>
      <c r="B2" s="435"/>
      <c r="C2" s="435"/>
      <c r="D2" s="435"/>
      <c r="E2" s="435"/>
      <c r="F2" s="435"/>
      <c r="G2" s="435"/>
      <c r="H2" s="435"/>
      <c r="I2" s="435"/>
      <c r="J2" s="436" t="s">
        <v>610</v>
      </c>
      <c r="K2" s="437"/>
      <c r="L2" s="438" t="s">
        <v>611</v>
      </c>
      <c r="M2" s="439"/>
      <c r="N2" s="432"/>
    </row>
    <row r="3" spans="1:14" ht="15.95" customHeight="1">
      <c r="A3" s="440"/>
      <c r="B3" s="441"/>
      <c r="C3" s="441"/>
      <c r="D3" s="441"/>
      <c r="E3" s="441"/>
      <c r="F3" s="441"/>
      <c r="G3" s="441"/>
      <c r="H3" s="441"/>
      <c r="I3" s="441"/>
      <c r="J3" s="436" t="s">
        <v>612</v>
      </c>
      <c r="K3" s="437"/>
      <c r="L3" s="442" t="s">
        <v>613</v>
      </c>
      <c r="M3" s="439"/>
      <c r="N3" s="432"/>
    </row>
    <row r="4" spans="1:14" ht="15.95" customHeight="1">
      <c r="A4" s="443"/>
      <c r="B4" s="441"/>
      <c r="C4" s="441"/>
      <c r="D4" s="441"/>
      <c r="E4" s="441"/>
      <c r="F4" s="441"/>
      <c r="G4" s="441"/>
      <c r="H4" s="441"/>
      <c r="I4" s="441"/>
      <c r="J4" s="436" t="s">
        <v>614</v>
      </c>
      <c r="K4" s="437"/>
      <c r="L4" s="442" t="s">
        <v>615</v>
      </c>
      <c r="M4" s="439"/>
      <c r="N4" s="432"/>
    </row>
    <row r="5" spans="1:14" ht="15.95" customHeight="1">
      <c r="A5" s="440"/>
      <c r="B5" s="441"/>
      <c r="C5" s="441"/>
      <c r="D5" s="441"/>
      <c r="E5" s="441"/>
      <c r="F5" s="441"/>
      <c r="G5" s="441"/>
      <c r="H5" s="441"/>
      <c r="I5" s="441"/>
      <c r="J5" s="436" t="s">
        <v>616</v>
      </c>
      <c r="K5" s="437"/>
      <c r="L5" s="438">
        <v>1</v>
      </c>
      <c r="M5" s="439"/>
      <c r="N5" s="432"/>
    </row>
    <row r="6" spans="1:14" ht="15.95" customHeight="1">
      <c r="A6" s="444" t="s">
        <v>617</v>
      </c>
      <c r="B6" s="441"/>
      <c r="C6" s="441"/>
      <c r="D6" s="441"/>
      <c r="E6" s="441"/>
      <c r="F6" s="441"/>
      <c r="G6" s="441"/>
      <c r="H6" s="441"/>
      <c r="I6" s="441"/>
      <c r="J6" s="436" t="s">
        <v>618</v>
      </c>
      <c r="K6" s="437"/>
      <c r="L6" s="438" t="s">
        <v>619</v>
      </c>
      <c r="M6" s="439"/>
      <c r="N6" s="432"/>
    </row>
    <row r="7" spans="1:14" ht="15.95" customHeight="1" thickBot="1">
      <c r="A7" s="445" t="s">
        <v>620</v>
      </c>
      <c r="B7" s="446"/>
      <c r="C7" s="446"/>
      <c r="D7" s="446"/>
      <c r="E7" s="446"/>
      <c r="F7" s="446"/>
      <c r="G7" s="446"/>
      <c r="H7" s="446"/>
      <c r="I7" s="446"/>
      <c r="J7" s="447" t="s">
        <v>621</v>
      </c>
      <c r="K7" s="448"/>
      <c r="L7" s="449" t="s">
        <v>622</v>
      </c>
      <c r="M7" s="450"/>
      <c r="N7" s="432"/>
    </row>
    <row r="8" spans="1:14" ht="15.95" customHeight="1">
      <c r="A8" s="451"/>
      <c r="B8" s="441"/>
      <c r="C8" s="441"/>
      <c r="D8" s="441"/>
      <c r="E8" s="441"/>
      <c r="F8" s="441"/>
      <c r="G8" s="441"/>
      <c r="H8" s="441"/>
      <c r="I8" s="441"/>
      <c r="J8" s="441"/>
      <c r="K8" s="452"/>
      <c r="L8" s="453"/>
      <c r="M8" s="454"/>
      <c r="N8" s="441"/>
    </row>
    <row r="9" spans="1:14" ht="12" customHeight="1">
      <c r="A9" s="455"/>
      <c r="B9" s="456" t="s">
        <v>623</v>
      </c>
      <c r="C9" s="457"/>
      <c r="D9" s="458"/>
      <c r="E9" s="458"/>
      <c r="F9" s="458"/>
      <c r="G9" s="458"/>
      <c r="H9" s="458"/>
      <c r="I9" s="458"/>
      <c r="J9" s="458"/>
      <c r="K9" s="459"/>
      <c r="L9" s="455"/>
      <c r="M9" s="458"/>
      <c r="N9" s="441"/>
    </row>
    <row r="10" spans="1:14" ht="12" customHeight="1">
      <c r="A10" s="455"/>
      <c r="B10" s="456" t="s">
        <v>624</v>
      </c>
      <c r="C10" s="460"/>
      <c r="D10" s="455"/>
      <c r="E10" s="455"/>
      <c r="F10" s="455"/>
      <c r="G10" s="455"/>
      <c r="H10" s="455"/>
      <c r="I10" s="455"/>
      <c r="J10" s="455"/>
      <c r="K10" s="455"/>
      <c r="L10" s="455"/>
      <c r="M10" s="455"/>
      <c r="N10" s="453"/>
    </row>
    <row r="11" spans="1:14" ht="16.5" thickBot="1">
      <c r="A11" s="453"/>
      <c r="B11" s="453"/>
      <c r="C11" s="453"/>
      <c r="D11" s="453"/>
      <c r="E11" s="453"/>
      <c r="F11" s="453"/>
      <c r="G11" s="453"/>
      <c r="H11" s="453"/>
      <c r="I11" s="453"/>
      <c r="J11" s="453"/>
      <c r="K11" s="453"/>
      <c r="L11" s="453"/>
      <c r="M11" s="453"/>
      <c r="N11" s="453"/>
    </row>
    <row r="12" spans="1:14" ht="20.100000000000001" customHeight="1" thickBot="1">
      <c r="A12" s="461" t="s">
        <v>625</v>
      </c>
      <c r="B12" s="462"/>
      <c r="C12" s="462"/>
      <c r="D12" s="462"/>
      <c r="E12" s="462"/>
      <c r="F12" s="462"/>
      <c r="G12" s="462"/>
      <c r="H12" s="462"/>
      <c r="I12" s="462"/>
      <c r="J12" s="462"/>
      <c r="K12" s="462"/>
      <c r="L12" s="462"/>
      <c r="M12" s="463"/>
      <c r="N12" s="432"/>
    </row>
    <row r="13" spans="1:14" ht="12.95" customHeight="1" thickTop="1">
      <c r="A13" s="464"/>
      <c r="B13" s="456" t="s">
        <v>626</v>
      </c>
      <c r="C13" s="465">
        <v>2000</v>
      </c>
      <c r="D13" s="455"/>
      <c r="E13" s="456" t="s">
        <v>627</v>
      </c>
      <c r="F13" s="465">
        <v>4000</v>
      </c>
      <c r="G13" s="455"/>
      <c r="H13" s="456" t="s">
        <v>628</v>
      </c>
      <c r="I13" s="465" t="s">
        <v>710</v>
      </c>
      <c r="J13" s="455"/>
      <c r="K13" s="455"/>
      <c r="L13" s="456" t="s">
        <v>629</v>
      </c>
      <c r="M13" s="466">
        <v>1800</v>
      </c>
      <c r="N13" s="432"/>
    </row>
    <row r="14" spans="1:14" ht="12.95" customHeight="1">
      <c r="A14" s="464"/>
      <c r="B14" s="456" t="s">
        <v>630</v>
      </c>
      <c r="C14" s="465" t="s">
        <v>756</v>
      </c>
      <c r="D14" s="455"/>
      <c r="E14" s="456" t="s">
        <v>631</v>
      </c>
      <c r="F14" s="465" t="s">
        <v>711</v>
      </c>
      <c r="G14" s="455"/>
      <c r="H14" s="456" t="s">
        <v>632</v>
      </c>
      <c r="I14" s="465">
        <v>250</v>
      </c>
      <c r="J14" s="455"/>
      <c r="K14" s="455"/>
      <c r="L14" s="456" t="s">
        <v>415</v>
      </c>
      <c r="M14" s="466">
        <v>1784</v>
      </c>
      <c r="N14" s="432"/>
    </row>
    <row r="15" spans="1:14" ht="12.95" customHeight="1">
      <c r="A15" s="464"/>
      <c r="B15" s="456" t="s">
        <v>633</v>
      </c>
      <c r="C15" s="465" t="s">
        <v>176</v>
      </c>
      <c r="D15" s="455"/>
      <c r="E15" s="456" t="s">
        <v>634</v>
      </c>
      <c r="F15" s="465">
        <v>1.1499999999999999</v>
      </c>
      <c r="G15" s="455"/>
      <c r="H15" s="467" t="s">
        <v>635</v>
      </c>
      <c r="I15" s="465" t="s">
        <v>174</v>
      </c>
      <c r="J15" s="455"/>
      <c r="K15" s="455"/>
      <c r="L15" s="456" t="s">
        <v>636</v>
      </c>
      <c r="M15" s="466" t="s">
        <v>344</v>
      </c>
      <c r="N15" s="432"/>
    </row>
    <row r="16" spans="1:14" ht="12.95" customHeight="1">
      <c r="A16" s="464"/>
      <c r="B16" s="456" t="s">
        <v>637</v>
      </c>
      <c r="C16" s="465" t="s">
        <v>709</v>
      </c>
      <c r="D16" s="455"/>
      <c r="E16" s="456" t="s">
        <v>638</v>
      </c>
      <c r="F16" s="465" t="s">
        <v>471</v>
      </c>
      <c r="G16" s="455"/>
      <c r="H16" s="468" t="s">
        <v>639</v>
      </c>
      <c r="I16" s="469" t="s">
        <v>337</v>
      </c>
      <c r="J16" s="455"/>
      <c r="K16" s="455"/>
      <c r="L16" s="456" t="s">
        <v>640</v>
      </c>
      <c r="M16" s="466" t="s">
        <v>641</v>
      </c>
      <c r="N16" s="432"/>
    </row>
    <row r="17" spans="1:14" ht="12.95" customHeight="1">
      <c r="A17" s="464"/>
      <c r="B17" s="456" t="s">
        <v>642</v>
      </c>
      <c r="C17" s="457" t="s">
        <v>758</v>
      </c>
      <c r="D17" s="455"/>
      <c r="E17" s="456"/>
      <c r="F17" s="470"/>
      <c r="G17" s="455"/>
      <c r="H17" s="456" t="s">
        <v>643</v>
      </c>
      <c r="I17" s="469"/>
      <c r="J17" s="455"/>
      <c r="K17" s="455"/>
      <c r="L17" s="456"/>
      <c r="M17" s="471"/>
      <c r="N17" s="432"/>
    </row>
    <row r="18" spans="1:14" ht="12.95" customHeight="1" thickBot="1">
      <c r="A18" s="472"/>
      <c r="B18" s="473" t="s">
        <v>644</v>
      </c>
      <c r="C18" s="474" t="s">
        <v>174</v>
      </c>
      <c r="D18" s="475"/>
      <c r="E18" s="473" t="s">
        <v>645</v>
      </c>
      <c r="F18" s="474" t="s">
        <v>174</v>
      </c>
      <c r="G18" s="476"/>
      <c r="H18" s="473" t="s">
        <v>646</v>
      </c>
      <c r="I18" s="474" t="s">
        <v>174</v>
      </c>
      <c r="J18" s="475"/>
      <c r="K18" s="475"/>
      <c r="L18" s="475"/>
      <c r="M18" s="477"/>
      <c r="N18" s="432"/>
    </row>
    <row r="19" spans="1:14" ht="16.5" thickBot="1">
      <c r="A19" s="432"/>
      <c r="B19" s="432"/>
      <c r="C19" s="432"/>
      <c r="D19" s="432"/>
      <c r="E19" s="432"/>
      <c r="F19" s="432"/>
      <c r="G19" s="432"/>
      <c r="H19" s="432"/>
      <c r="I19" s="432"/>
      <c r="J19" s="432"/>
      <c r="K19" s="432"/>
      <c r="L19" s="432"/>
      <c r="M19" s="432"/>
      <c r="N19" s="432"/>
    </row>
    <row r="20" spans="1:14" ht="20.100000000000001" customHeight="1" thickBot="1">
      <c r="A20" s="461"/>
      <c r="B20" s="462"/>
      <c r="C20" s="462"/>
      <c r="D20" s="462"/>
      <c r="E20" s="462"/>
      <c r="F20" s="462"/>
      <c r="G20" s="462"/>
      <c r="H20" s="462"/>
      <c r="I20" s="462"/>
      <c r="J20" s="462"/>
      <c r="K20" s="462"/>
      <c r="L20" s="462"/>
      <c r="M20" s="463"/>
    </row>
    <row r="21" spans="1:14" ht="15.95" customHeight="1" thickTop="1">
      <c r="A21" s="478" t="s">
        <v>647</v>
      </c>
      <c r="B21" s="479"/>
      <c r="C21" s="453"/>
      <c r="D21" s="480"/>
      <c r="E21" s="481" t="s">
        <v>648</v>
      </c>
      <c r="F21" s="482"/>
      <c r="G21" s="482"/>
      <c r="H21" s="483"/>
      <c r="I21" s="484" t="s">
        <v>649</v>
      </c>
      <c r="J21" s="482"/>
      <c r="K21" s="482"/>
      <c r="L21" s="453"/>
      <c r="M21" s="485"/>
    </row>
    <row r="22" spans="1:14" ht="15.95" customHeight="1">
      <c r="A22" s="486"/>
      <c r="B22" s="455"/>
      <c r="C22" s="456" t="s">
        <v>650</v>
      </c>
      <c r="D22" s="487">
        <v>1314</v>
      </c>
      <c r="E22" s="456"/>
      <c r="G22" s="468" t="s">
        <v>651</v>
      </c>
      <c r="H22" s="488">
        <v>5888</v>
      </c>
      <c r="I22" s="456"/>
      <c r="J22" s="455"/>
      <c r="K22" s="456" t="s">
        <v>652</v>
      </c>
      <c r="L22" s="674" t="s">
        <v>716</v>
      </c>
      <c r="M22" s="675"/>
    </row>
    <row r="23" spans="1:14" ht="15.95" customHeight="1">
      <c r="A23" s="486"/>
      <c r="B23" s="456"/>
      <c r="C23" s="459"/>
      <c r="D23" s="489"/>
      <c r="E23" s="456"/>
      <c r="G23" s="456" t="s">
        <v>653</v>
      </c>
      <c r="H23" s="487">
        <v>70</v>
      </c>
      <c r="I23" s="455"/>
      <c r="J23" s="455"/>
      <c r="K23" s="456" t="s">
        <v>654</v>
      </c>
      <c r="L23" s="674" t="s">
        <v>716</v>
      </c>
      <c r="M23" s="675"/>
    </row>
    <row r="24" spans="1:14" ht="15.95" customHeight="1">
      <c r="A24" s="464"/>
      <c r="B24" s="456"/>
      <c r="C24" s="455"/>
      <c r="D24" s="489"/>
      <c r="E24" s="456"/>
      <c r="G24" s="468" t="s">
        <v>655</v>
      </c>
      <c r="H24" s="487">
        <v>220</v>
      </c>
      <c r="I24" s="455"/>
      <c r="J24" s="456"/>
      <c r="K24" s="455"/>
      <c r="L24" s="455"/>
      <c r="M24" s="471"/>
    </row>
    <row r="25" spans="1:14" ht="15.95" customHeight="1" thickBot="1">
      <c r="A25" s="472"/>
      <c r="B25" s="473"/>
      <c r="C25" s="475"/>
      <c r="D25" s="490"/>
      <c r="E25" s="473"/>
      <c r="F25" s="473"/>
      <c r="G25" s="473"/>
      <c r="H25" s="491"/>
      <c r="I25" s="475"/>
      <c r="J25" s="473"/>
      <c r="K25" s="475"/>
      <c r="L25" s="475"/>
      <c r="M25" s="477"/>
    </row>
    <row r="26" spans="1:14" ht="18.95" customHeight="1" thickBot="1">
      <c r="A26" s="451"/>
      <c r="B26" s="451"/>
      <c r="C26" s="451"/>
      <c r="D26" s="432"/>
      <c r="E26" s="432"/>
      <c r="F26" s="432"/>
      <c r="G26" s="432"/>
      <c r="H26" s="432"/>
      <c r="I26" s="432"/>
      <c r="J26" s="432"/>
      <c r="K26" s="432"/>
      <c r="L26" s="432"/>
      <c r="M26" s="432"/>
      <c r="N26" s="432"/>
    </row>
    <row r="27" spans="1:14" ht="20.100000000000001" customHeight="1" thickBot="1">
      <c r="A27" s="492"/>
      <c r="B27" s="493"/>
      <c r="C27" s="493"/>
      <c r="D27" s="493"/>
      <c r="E27" s="493"/>
      <c r="F27" s="493"/>
      <c r="G27" s="494"/>
      <c r="H27" s="493"/>
      <c r="I27" s="493"/>
      <c r="J27" s="493"/>
      <c r="K27" s="493"/>
      <c r="L27" s="493"/>
      <c r="M27" s="495"/>
    </row>
    <row r="28" spans="1:14" ht="15.95" customHeight="1" thickTop="1">
      <c r="A28" s="496" t="s">
        <v>656</v>
      </c>
      <c r="B28" s="479"/>
      <c r="C28" s="453"/>
      <c r="D28" s="453"/>
      <c r="E28" s="482"/>
      <c r="F28" s="482"/>
      <c r="G28" s="497"/>
      <c r="H28" s="481" t="s">
        <v>657</v>
      </c>
      <c r="I28" s="482"/>
      <c r="J28" s="482"/>
      <c r="K28" s="481"/>
      <c r="L28" s="482"/>
      <c r="M28" s="485"/>
    </row>
    <row r="29" spans="1:14" ht="15.95" customHeight="1">
      <c r="A29" s="464"/>
      <c r="B29" s="456"/>
      <c r="C29" s="456" t="s">
        <v>658</v>
      </c>
      <c r="D29" s="498">
        <v>95.8</v>
      </c>
      <c r="E29" s="456"/>
      <c r="F29" s="456"/>
      <c r="G29" s="497"/>
      <c r="H29" s="468"/>
      <c r="I29" s="456"/>
      <c r="J29" s="456" t="s">
        <v>658</v>
      </c>
      <c r="K29" s="498">
        <v>89.8</v>
      </c>
      <c r="L29" s="455"/>
      <c r="M29" s="471"/>
    </row>
    <row r="30" spans="1:14" ht="15.95" customHeight="1">
      <c r="A30" s="499"/>
      <c r="B30" s="455"/>
      <c r="C30" s="456" t="s">
        <v>659</v>
      </c>
      <c r="D30" s="498">
        <v>95.7</v>
      </c>
      <c r="E30" s="456"/>
      <c r="F30" s="456"/>
      <c r="G30" s="497"/>
      <c r="H30" s="456"/>
      <c r="I30" s="455"/>
      <c r="J30" s="456" t="s">
        <v>659</v>
      </c>
      <c r="K30" s="498">
        <v>88.3</v>
      </c>
      <c r="L30" s="455"/>
      <c r="M30" s="471"/>
    </row>
    <row r="31" spans="1:14" ht="15.95" customHeight="1">
      <c r="A31" s="464"/>
      <c r="B31" s="456"/>
      <c r="C31" s="456" t="s">
        <v>660</v>
      </c>
      <c r="D31" s="498">
        <v>94.9</v>
      </c>
      <c r="E31" s="456"/>
      <c r="F31" s="456"/>
      <c r="G31" s="497"/>
      <c r="H31" s="456"/>
      <c r="I31" s="455"/>
      <c r="J31" s="456" t="s">
        <v>660</v>
      </c>
      <c r="K31" s="498">
        <v>83.2</v>
      </c>
      <c r="L31" s="456"/>
      <c r="M31" s="471"/>
    </row>
    <row r="32" spans="1:14" ht="15.95" customHeight="1" thickBot="1">
      <c r="A32" s="472"/>
      <c r="B32" s="473"/>
      <c r="C32" s="475"/>
      <c r="D32" s="475"/>
      <c r="E32" s="473"/>
      <c r="F32" s="473"/>
      <c r="G32" s="500"/>
      <c r="H32" s="473"/>
      <c r="I32" s="475"/>
      <c r="J32" s="473"/>
      <c r="K32" s="475"/>
      <c r="L32" s="473"/>
      <c r="M32" s="477"/>
    </row>
    <row r="33" spans="1:14" ht="20.100000000000001" customHeight="1" thickBot="1">
      <c r="A33" s="501"/>
      <c r="B33" s="501"/>
      <c r="C33" s="501"/>
      <c r="D33" s="501"/>
      <c r="E33" s="501"/>
      <c r="F33" s="501"/>
      <c r="G33" s="501"/>
      <c r="H33" s="501"/>
      <c r="I33" s="501"/>
      <c r="J33" s="501"/>
      <c r="K33" s="501"/>
      <c r="L33" s="501"/>
      <c r="M33" s="501"/>
      <c r="N33" s="501"/>
    </row>
    <row r="34" spans="1:14" ht="20.100000000000001" customHeight="1" thickBot="1">
      <c r="A34" s="502"/>
      <c r="B34" s="503"/>
      <c r="C34" s="503"/>
      <c r="D34" s="503"/>
      <c r="E34" s="503"/>
      <c r="F34" s="503"/>
      <c r="G34" s="503"/>
      <c r="H34" s="503"/>
      <c r="I34" s="503"/>
      <c r="J34" s="503"/>
      <c r="K34" s="503"/>
      <c r="L34" s="503"/>
      <c r="M34" s="504"/>
    </row>
    <row r="35" spans="1:14" ht="15.95" customHeight="1" thickTop="1">
      <c r="A35" s="505" t="s">
        <v>661</v>
      </c>
      <c r="B35" s="459"/>
      <c r="C35" s="459"/>
      <c r="D35" s="459"/>
      <c r="E35" s="459"/>
      <c r="F35" s="459"/>
      <c r="G35" s="459"/>
      <c r="H35" s="459"/>
      <c r="I35" s="459"/>
      <c r="J35" s="459"/>
      <c r="K35" s="459"/>
      <c r="L35" s="459"/>
      <c r="M35" s="506"/>
    </row>
    <row r="36" spans="1:14" ht="15.95" customHeight="1">
      <c r="A36" s="499" t="s">
        <v>662</v>
      </c>
      <c r="B36" s="459"/>
      <c r="C36" s="459"/>
      <c r="D36" s="459"/>
      <c r="E36" s="459"/>
      <c r="F36" s="459"/>
      <c r="G36" s="459"/>
      <c r="H36" s="459"/>
      <c r="I36" s="459"/>
      <c r="J36" s="459"/>
      <c r="K36" s="459"/>
      <c r="L36" s="459"/>
      <c r="M36" s="506"/>
    </row>
    <row r="37" spans="1:14" ht="15.95" customHeight="1">
      <c r="A37" s="507" t="s">
        <v>663</v>
      </c>
      <c r="B37" s="459"/>
      <c r="C37" s="459"/>
      <c r="D37" s="459"/>
      <c r="E37" s="508"/>
      <c r="F37" s="459"/>
      <c r="G37" s="459"/>
      <c r="H37" s="459"/>
      <c r="I37" s="459"/>
      <c r="J37" s="459"/>
      <c r="K37" s="459"/>
      <c r="L37" s="459"/>
      <c r="M37" s="506"/>
    </row>
    <row r="38" spans="1:14" ht="15.95" customHeight="1">
      <c r="A38" s="509" t="s">
        <v>664</v>
      </c>
      <c r="B38" s="459"/>
      <c r="C38" s="459"/>
      <c r="D38" s="459"/>
      <c r="E38" s="459"/>
      <c r="F38" s="459"/>
      <c r="G38" s="459"/>
      <c r="H38" s="459"/>
      <c r="I38" s="459"/>
      <c r="J38" s="459"/>
      <c r="K38" s="459"/>
      <c r="L38" s="459"/>
      <c r="M38" s="506"/>
    </row>
    <row r="39" spans="1:14" ht="15.95" customHeight="1">
      <c r="A39" s="510" t="s">
        <v>665</v>
      </c>
      <c r="B39" s="459"/>
      <c r="C39" s="459"/>
      <c r="D39" s="459"/>
      <c r="E39" s="459"/>
      <c r="F39" s="459"/>
      <c r="G39" s="459"/>
      <c r="H39" s="459"/>
      <c r="I39" s="459"/>
      <c r="J39" s="459"/>
      <c r="K39" s="459"/>
      <c r="L39" s="459"/>
      <c r="M39" s="506"/>
    </row>
    <row r="40" spans="1:14" ht="15.95" customHeight="1" thickBot="1">
      <c r="A40" s="511" t="s">
        <v>666</v>
      </c>
      <c r="B40" s="512"/>
      <c r="C40" s="512"/>
      <c r="D40" s="512"/>
      <c r="E40" s="512"/>
      <c r="F40" s="512"/>
      <c r="G40" s="512"/>
      <c r="H40" s="512"/>
      <c r="I40" s="512"/>
      <c r="J40" s="512"/>
      <c r="K40" s="512"/>
      <c r="L40" s="512"/>
      <c r="M40" s="513"/>
    </row>
    <row r="41" spans="1:14" ht="15.95" customHeight="1">
      <c r="A41" s="459"/>
      <c r="B41" s="459"/>
      <c r="C41" s="459"/>
      <c r="D41" s="459"/>
      <c r="E41" s="459"/>
      <c r="F41" s="459"/>
      <c r="G41" s="459"/>
      <c r="H41" s="459"/>
      <c r="I41" s="459"/>
      <c r="J41" s="459"/>
      <c r="K41" s="459"/>
      <c r="L41" s="459"/>
      <c r="M41" s="459"/>
    </row>
    <row r="42" spans="1:14" ht="15.95" customHeight="1"/>
    <row r="43" spans="1:14" ht="18">
      <c r="A43" s="514"/>
      <c r="B43" s="514"/>
      <c r="C43" s="514"/>
      <c r="D43" s="514"/>
      <c r="E43" s="514"/>
      <c r="F43" s="514"/>
      <c r="G43" s="514"/>
      <c r="H43" s="432"/>
      <c r="I43" s="432"/>
      <c r="J43" s="515" t="s">
        <v>667</v>
      </c>
      <c r="K43" s="676" t="s">
        <v>331</v>
      </c>
      <c r="L43" s="676"/>
      <c r="M43" s="676"/>
      <c r="N43" s="514"/>
    </row>
    <row r="44" spans="1:14" ht="7.5" customHeight="1">
      <c r="H44" s="432"/>
      <c r="I44" s="432"/>
      <c r="J44" s="432"/>
      <c r="K44" s="432"/>
      <c r="L44" s="432"/>
      <c r="M44" s="432"/>
    </row>
    <row r="45" spans="1:14" ht="16.5">
      <c r="H45" s="432"/>
      <c r="I45" s="432"/>
      <c r="J45" s="515" t="s">
        <v>668</v>
      </c>
      <c r="K45" s="677">
        <v>41983</v>
      </c>
      <c r="L45" s="677"/>
      <c r="M45" s="677"/>
    </row>
    <row r="60" spans="1:5">
      <c r="A60" s="433" t="s">
        <v>174</v>
      </c>
      <c r="B60" s="433" t="s">
        <v>716</v>
      </c>
      <c r="D60" s="433">
        <v>1</v>
      </c>
      <c r="E60" s="516" t="s">
        <v>174</v>
      </c>
    </row>
    <row r="61" spans="1:5">
      <c r="A61" s="433" t="s">
        <v>669</v>
      </c>
      <c r="B61" s="433" t="s">
        <v>670</v>
      </c>
      <c r="D61" s="433">
        <v>1.1499999999999999</v>
      </c>
      <c r="E61" s="516" t="s">
        <v>348</v>
      </c>
    </row>
    <row r="62" spans="1:5">
      <c r="A62" s="433" t="s">
        <v>671</v>
      </c>
      <c r="B62" s="433" t="s">
        <v>672</v>
      </c>
      <c r="E62" s="516" t="s">
        <v>301</v>
      </c>
    </row>
    <row r="63" spans="1:5">
      <c r="B63" s="433" t="s">
        <v>673</v>
      </c>
    </row>
    <row r="64" spans="1:5">
      <c r="B64" s="433" t="s">
        <v>674</v>
      </c>
    </row>
    <row r="65" spans="2:2">
      <c r="B65" s="433" t="s">
        <v>675</v>
      </c>
    </row>
    <row r="66" spans="2:2">
      <c r="B66" s="433" t="s">
        <v>676</v>
      </c>
    </row>
    <row r="67" spans="2:2">
      <c r="B67" s="433" t="s">
        <v>677</v>
      </c>
    </row>
    <row r="68" spans="2:2">
      <c r="B68" s="433" t="s">
        <v>678</v>
      </c>
    </row>
    <row r="69" spans="2:2">
      <c r="B69" s="433" t="s">
        <v>679</v>
      </c>
    </row>
    <row r="70" spans="2:2">
      <c r="B70" s="433" t="s">
        <v>680</v>
      </c>
    </row>
    <row r="71" spans="2:2">
      <c r="B71" s="433" t="s">
        <v>681</v>
      </c>
    </row>
    <row r="72" spans="2:2">
      <c r="B72" s="433" t="s">
        <v>682</v>
      </c>
    </row>
    <row r="73" spans="2:2">
      <c r="B73" s="433" t="s">
        <v>683</v>
      </c>
    </row>
    <row r="74" spans="2:2">
      <c r="B74" s="433" t="s">
        <v>684</v>
      </c>
    </row>
    <row r="75" spans="2:2">
      <c r="B75" s="433" t="s">
        <v>685</v>
      </c>
    </row>
    <row r="76" spans="2:2">
      <c r="B76" s="433" t="s">
        <v>686</v>
      </c>
    </row>
    <row r="77" spans="2:2">
      <c r="B77" s="433" t="s">
        <v>687</v>
      </c>
    </row>
    <row r="78" spans="2:2">
      <c r="B78" s="433" t="s">
        <v>688</v>
      </c>
    </row>
    <row r="79" spans="2:2">
      <c r="B79" s="433" t="s">
        <v>689</v>
      </c>
    </row>
    <row r="80" spans="2:2">
      <c r="B80" s="433" t="s">
        <v>690</v>
      </c>
    </row>
    <row r="81" spans="2:2">
      <c r="B81" s="433">
        <v>6312</v>
      </c>
    </row>
    <row r="82" spans="2:2">
      <c r="B82" s="433" t="s">
        <v>691</v>
      </c>
    </row>
    <row r="83" spans="2:2">
      <c r="B83" s="433" t="s">
        <v>692</v>
      </c>
    </row>
    <row r="84" spans="2:2">
      <c r="B84" s="433" t="s">
        <v>693</v>
      </c>
    </row>
    <row r="85" spans="2:2">
      <c r="B85" s="433" t="s">
        <v>694</v>
      </c>
    </row>
    <row r="86" spans="2:2">
      <c r="B86" s="433">
        <v>6313</v>
      </c>
    </row>
    <row r="87" spans="2:2">
      <c r="B87" s="433" t="s">
        <v>695</v>
      </c>
    </row>
    <row r="88" spans="2:2">
      <c r="B88" s="433" t="s">
        <v>696</v>
      </c>
    </row>
    <row r="89" spans="2:2">
      <c r="B89" s="433" t="s">
        <v>697</v>
      </c>
    </row>
    <row r="90" spans="2:2">
      <c r="B90" s="433">
        <v>6314</v>
      </c>
    </row>
    <row r="91" spans="2:2">
      <c r="B91" s="433" t="s">
        <v>698</v>
      </c>
    </row>
    <row r="92" spans="2:2">
      <c r="B92" s="433">
        <v>6317</v>
      </c>
    </row>
    <row r="93" spans="2:2">
      <c r="B93" s="433" t="s">
        <v>699</v>
      </c>
    </row>
    <row r="94" spans="2:2">
      <c r="B94" s="433">
        <v>6318</v>
      </c>
    </row>
    <row r="95" spans="2:2">
      <c r="B95" s="433" t="s">
        <v>700</v>
      </c>
    </row>
    <row r="96" spans="2:2">
      <c r="B96" s="433" t="s">
        <v>701</v>
      </c>
    </row>
    <row r="97" spans="2:2">
      <c r="B97" s="433" t="s">
        <v>702</v>
      </c>
    </row>
    <row r="98" spans="2:2">
      <c r="B98" s="433">
        <v>6320</v>
      </c>
    </row>
    <row r="99" spans="2:2">
      <c r="B99" s="433" t="s">
        <v>703</v>
      </c>
    </row>
    <row r="100" spans="2:2">
      <c r="B100" s="433" t="s">
        <v>704</v>
      </c>
    </row>
    <row r="101" spans="2:2">
      <c r="B101" s="433" t="s">
        <v>705</v>
      </c>
    </row>
    <row r="102" spans="2:2">
      <c r="B102" s="433" t="s">
        <v>706</v>
      </c>
    </row>
    <row r="103" spans="2:2">
      <c r="B103" s="433" t="s">
        <v>706</v>
      </c>
    </row>
    <row r="119" spans="2:2">
      <c r="B119" s="433" t="s">
        <v>707</v>
      </c>
    </row>
    <row r="121" spans="2:2">
      <c r="B121" s="433" t="s">
        <v>708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 xr:uid="{00000000-0002-0000-0900-000000000000}">
      <formula1>$E$60:$E$62</formula1>
    </dataValidation>
    <dataValidation type="list" allowBlank="1" showInputMessage="1" showErrorMessage="1" prompt="Pick from list" sqref="F15" xr:uid="{00000000-0002-0000-0900-000001000000}">
      <formula1>$D$60:$D$61</formula1>
    </dataValidation>
    <dataValidation type="list" allowBlank="1" showInputMessage="1" showErrorMessage="1" prompt="Choose from list" sqref="L22:L23" xr:uid="{00000000-0002-0000-0900-000002000000}">
      <formula1>$B$60:$B$103</formula1>
    </dataValidation>
    <dataValidation type="list" errorStyle="warning" allowBlank="1" showInputMessage="1" showErrorMessage="1" error="You should choose from the list!" prompt="Choose Enclosure Type" sqref="F14" xr:uid="{00000000-0002-0000-0900-000003000000}">
      <formula1>$A$60:$A$62</formula1>
    </dataValidation>
  </dataValidations>
  <printOptions horizontalCentered="1" gridLinesSet="0"/>
  <pageMargins left="0.5" right="0.5" top="0.5" bottom="0.5" header="0.5" footer="0.5"/>
  <pageSetup orientation="portrait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Performance</vt:lpstr>
      <vt:lpstr>Performance Data Sheet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Xie, Zichao (TIC)</cp:lastModifiedBy>
  <cp:lastPrinted>2014-12-15T21:41:14Z</cp:lastPrinted>
  <dcterms:created xsi:type="dcterms:W3CDTF">1997-10-03T20:37:30Z</dcterms:created>
  <dcterms:modified xsi:type="dcterms:W3CDTF">2025-10-03T13:44:08Z</dcterms:modified>
</cp:coreProperties>
</file>