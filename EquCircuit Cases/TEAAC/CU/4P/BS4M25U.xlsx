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8" yWindow="1080" windowWidth="4800" windowHeight="5196" tabRatio="765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  <fileRecoveryPr repairLoad="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<sst xmlns="http://schemas.openxmlformats.org/spreadsheetml/2006/main" count="993" uniqueCount="757">
  <si>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</si>
  <si>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</si>
  <si>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</si>
  <si>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</si>
  <si>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</si>
  <si>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</si>
  <si>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</si>
  <si>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</si>
  <si>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</si>
  <si>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</si>
  <si>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</si>
  <si>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</si>
  <si>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</si>
  <si>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</si>
  <si>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</si>
  <si>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</si>
  <si>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</si>
  <si>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</si>
  <si>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</si>
  <si>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</si>
  <si>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</si>
  <si>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</si>
  <si>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</si>
  <si>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</si>
  <si>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</si>
  <si>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</si>
  <si>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</si>
  <si>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</si>
  <si>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</si>
  <si>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</si>
  <si>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</si>
  <si>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</si>
  <si>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</si>
  <si>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</si>
  <si>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</si>
  <si>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</si>
  <si>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</si>
  <si>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</si>
  <si>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</si>
  <si>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</si>
  <si>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</si>
  <si>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</si>
  <si>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</si>
  <si>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</si>
  <si>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</si>
  <si>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</si>
  <si>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</si>
  <si>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</si>
  <si>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</si>
  <si>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</si>
  <si>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</si>
  <si>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</si>
  <si>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</si>
  <si>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</si>
  <si>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</si>
  <si>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</si>
  <si>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</si>
  <si>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</si>
  <si>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</si>
  <si>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</si>
  <si>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</si>
  <si>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</si>
  <si>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</si>
  <si>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</si>
  <si>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</si>
  <si>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</si>
  <si>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</si>
  <si>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</si>
  <si>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</si>
  <si>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</si>
  <si>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</si>
  <si>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</si>
  <si>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</si>
  <si>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</si>
  <si>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</si>
  <si>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</si>
  <si>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</si>
  <si>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</si>
  <si>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</si>
  <si>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</si>
  <si>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</si>
  <si>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</si>
  <si>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</si>
  <si>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</si>
  <si>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</si>
  <si>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</si>
  <si>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</si>
  <si>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</si>
  <si>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</si>
  <si>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</si>
  <si>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</si>
  <si>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</si>
  <si>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</si>
  <si>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</si>
  <si>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</si>
  <si>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</si>
  <si>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</si>
  <si>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</si>
  <si>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</si>
  <si>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</si>
  <si>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</si>
  <si>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</si>
  <si>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</si>
  <si>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</si>
  <si>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</si>
  <si>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</si>
  <si>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</si>
  <si>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</si>
  <si>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</si>
  <si>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</si>
  <si>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</si>
  <si>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</si>
  <si>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</si>
  <si>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</si>
  <si>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</si>
  <si>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</si>
  <si>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</si>
  <si>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</si>
  <si>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</si>
  <si>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</si>
  <si>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</si>
  <si>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</si>
  <si>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</si>
  <si>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</si>
  <si>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</si>
  <si>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</si>
  <si>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</si>
  <si>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</si>
  <si>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</si>
  <si>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</si>
  <si>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</si>
  <si>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</si>
  <si>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</si>
  <si>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</si>
  <si>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</si>
  <si>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</si>
  <si>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</si>
  <si>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</si>
  <si>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</si>
  <si>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</si>
  <si>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</si>
  <si>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</si>
  <si>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</si>
  <si>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</si>
  <si>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</si>
  <si>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</si>
  <si>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</si>
  <si>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</si>
  <si>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</si>
  <si>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</si>
  <si>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</si>
  <si>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</si>
  <si>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</si>
  <si>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</si>
  <si>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</si>
  <si>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</si>
  <si>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</si>
  <si>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</si>
  <si>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</si>
  <si>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</si>
  <si>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</si>
  <si>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</si>
  <si>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</si>
  <si>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</si>
  <si>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</si>
  <si>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</si>
  <si>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</si>
  <si>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</si>
  <si>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</si>
  <si>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</si>
  <si>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</si>
  <si>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</si>
  <si>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</si>
  <si>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</si>
  <si>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</si>
  <si>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</si>
  <si>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</si>
  <si>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Open</t>
  </si>
  <si>
    <t>Rectang</t>
  </si>
  <si>
    <t>15.20 - 15.20</t>
  </si>
  <si>
    <t>1.20 - 0.50</t>
  </si>
  <si>
    <t>Normal</t>
  </si>
  <si>
    <t>19 x 6</t>
  </si>
  <si>
    <t>1 ~ 16</t>
  </si>
  <si>
    <t>(.114"x.204")x1</t>
  </si>
  <si>
    <t>(.114"x.229")x1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</si>
  <si>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</si>
  <si>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</si>
  <si>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</si>
  <si>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</si>
  <si>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</si>
  <si>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</si>
  <si>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</si>
  <si>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</si>
  <si>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</si>
  <si>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</si>
  <si>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</si>
  <si>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</si>
  <si>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</si>
  <si>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0.0486)</t>
  </si>
  <si>
    <t>Skew R.: 0.00</t>
  </si>
  <si>
    <t>Z:\Motor R&amp;D\Active Projects\6810 Development\Electrical Design\TEAAC\4P\Series\BS4M25U.rat</t>
  </si>
  <si>
    <t>2-2-2-0-1-2</t>
  </si>
  <si>
    <t>B.L.-1  P.F.-1</t>
  </si>
  <si>
    <t>7916.2 / 7230.0</t>
  </si>
  <si>
    <t>5981.6 / 8047.6</t>
  </si>
  <si>
    <t>22556.7 / 15584.5</t>
  </si>
  <si>
    <t>9000.0 / 10095.0</t>
  </si>
  <si>
    <t>13070.0 / 5758.3</t>
  </si>
  <si>
    <t>2989.4 / 1317.1</t>
  </si>
  <si>
    <t>10080.6 / 4441.2</t>
  </si>
  <si>
    <t>1.75 / 0.77</t>
  </si>
  <si>
    <t>37 / 37</t>
  </si>
  <si>
    <t>Temp. Rise @ 100%:</t>
  </si>
  <si>
    <t>Stray Loss</t>
  </si>
  <si>
    <t>0.908 / 0.901</t>
  </si>
  <si>
    <t>0.947 / 0.940</t>
  </si>
  <si>
    <t>0.959 / 0.952</t>
  </si>
  <si>
    <t>0.963 / 0.956</t>
  </si>
  <si>
    <t>0.965 / 0.957</t>
  </si>
  <si>
    <t>0.605 / 0.604</t>
  </si>
  <si>
    <t>0.803 / 0.802</t>
  </si>
  <si>
    <t>0.868 / 0.866</t>
  </si>
  <si>
    <t>0.890 / 0.888</t>
  </si>
  <si>
    <t>0.895 / 0.893</t>
  </si>
  <si>
    <t>61.25 / 61.80</t>
  </si>
  <si>
    <t>88.43 / 89.21</t>
  </si>
  <si>
    <t>121.31 / 122.38</t>
  </si>
  <si>
    <t>157.03 / 158.43</t>
  </si>
  <si>
    <t>194.93 / 196.66</t>
  </si>
  <si>
    <t>2.55 / 2.58</t>
  </si>
  <si>
    <t>UB: 3.43 / 3.46</t>
  </si>
  <si>
    <t>UER: 1.78 / 1.79</t>
  </si>
  <si>
    <t>1797.2 / 1793.0</t>
  </si>
  <si>
    <t>1794.5 / 1790.3</t>
  </si>
  <si>
    <t>1791.7 / 1787.5</t>
  </si>
  <si>
    <t>1788.9 / 1784.7</t>
  </si>
  <si>
    <t>1786.0 / 1781.8</t>
  </si>
  <si>
    <t>0.0016 / 0.0039</t>
  </si>
  <si>
    <t>0.0031 / 0.0054</t>
  </si>
  <si>
    <t>0.0046 / 0.0069</t>
  </si>
  <si>
    <t>0.0062 / 0.0085</t>
  </si>
  <si>
    <t>0.0078 / 0.0101</t>
  </si>
  <si>
    <t>44.970 / 39.455</t>
  </si>
  <si>
    <t>1.885 / 1.653</t>
  </si>
  <si>
    <t>45.01 / 39.49</t>
  </si>
  <si>
    <t>833.1 / 882.5</t>
  </si>
  <si>
    <t>530.5 / 562.0</t>
  </si>
  <si>
    <t>367.8 / 380.9</t>
  </si>
  <si>
    <t>72.4 / 75.0</t>
  </si>
  <si>
    <t>256.4 / 239.7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</si>
  <si>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</si>
  <si>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</si>
  <si>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</si>
  <si>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</si>
  <si>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</si>
  <si>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</si>
  <si>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</si>
  <si>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</si>
  <si>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</si>
  <si>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</si>
  <si>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</si>
  <si>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</si>
  <si>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</si>
  <si>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</si>
  <si>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</si>
  <si>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</si>
  <si>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</si>
  <si>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</si>
  <si>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</si>
  <si>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</si>
  <si>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</si>
  <si>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</si>
  <si>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</si>
  <si>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</si>
  <si>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</si>
  <si>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</si>
  <si>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</si>
  <si>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</si>
  <si>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</si>
  <si>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</si>
  <si>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</si>
  <si>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</si>
  <si>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</si>
  <si>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</si>
  <si>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</si>
  <si>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</si>
  <si>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</si>
  <si>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</si>
  <si>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</si>
  <si>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</si>
  <si>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</si>
  <si>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</si>
  <si>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</si>
  <si>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</si>
  <si>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</si>
  <si>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</si>
  <si>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</si>
  <si>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</si>
  <si>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</si>
  <si>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</si>
  <si>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</si>
  <si>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</si>
  <si>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</si>
  <si>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</si>
  <si>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</si>
  <si>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</si>
  <si>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</si>
  <si>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</si>
  <si>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</si>
  <si>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</si>
  <si>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</si>
  <si>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</si>
  <si>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</si>
  <si>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</si>
  <si>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</si>
  <si>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</si>
  <si>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</si>
  <si>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</si>
  <si>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</si>
  <si>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</si>
  <si>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</si>
  <si>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</si>
  <si>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</si>
  <si>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</si>
  <si>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</si>
  <si>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</si>
  <si>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</si>
  <si>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</si>
  <si>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</si>
  <si>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</si>
  <si>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</si>
  <si>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</si>
  <si>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</si>
  <si>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</si>
  <si>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</si>
  <si>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</si>
  <si>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</si>
  <si>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</si>
  <si>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</si>
  <si>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</si>
  <si>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</si>
  <si>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</si>
  <si>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</si>
  <si>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</si>
  <si>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</si>
  <si>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</si>
  <si>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</si>
  <si>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</si>
  <si>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</si>
  <si>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</si>
  <si>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</si>
  <si>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</si>
  <si>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</si>
  <si>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</si>
  <si>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</si>
  <si>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</si>
  <si>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</si>
  <si>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</si>
  <si>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</si>
  <si>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</si>
  <si>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</si>
  <si>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</si>
  <si>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BS4M25U</t>
  </si>
  <si>
    <t>18 x 2</t>
  </si>
  <si>
    <t>2 x Wye</t>
  </si>
  <si>
    <t xml:space="preserve"> - </t>
  </si>
  <si>
    <t>37 / 49</t>
  </si>
  <si>
    <t>258 / 1442</t>
  </si>
  <si>
    <t>346 / 179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</si>
  <si>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</si>
  <si>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</si>
  <si>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</si>
  <si>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</si>
  <si>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</si>
  <si>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</si>
  <si>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</si>
  <si>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</si>
  <si>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</si>
  <si>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</si>
  <si>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</si>
  <si>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</si>
  <si>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1311.0</t>
  </si>
  <si>
    <t xml:space="preserve">9T: </t>
  </si>
  <si>
    <t/>
  </si>
  <si>
    <t>0.0135 ~ 0.0130</t>
  </si>
  <si>
    <t>AWG. (02 x 2) x 3</t>
  </si>
  <si>
    <t>0.00092</t>
  </si>
  <si>
    <t>9T: 27.86</t>
  </si>
  <si>
    <t>9T: 11.40</t>
  </si>
  <si>
    <t>15.30 ~ 14.90</t>
  </si>
  <si>
    <t>16.63</t>
  </si>
  <si>
    <t>3.80</t>
  </si>
  <si>
    <t xml:space="preserve"> (.114"x.204")x 1: </t>
  </si>
  <si>
    <t xml:space="preserve"> (.114"x.229")x 1: </t>
  </si>
  <si>
    <t>500 lbs.</t>
  </si>
  <si>
    <t>561 lbs.</t>
  </si>
  <si>
    <t xml:space="preserve">1-2, 2-3, 3-1: </t>
  </si>
  <si>
    <t>0.165 ~ 0.156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</si>
  <si>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</si>
  <si>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</si>
  <si>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</si>
  <si>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</si>
  <si>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</si>
  <si>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</si>
  <si>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</si>
  <si>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</si>
  <si>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</si>
  <si>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</si>
  <si>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</si>
  <si>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</si>
  <si>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</si>
  <si>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</si>
  <si>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</si>
  <si>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</si>
  <si>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</si>
  <si>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</si>
  <si>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</si>
  <si>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</si>
  <si>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</si>
  <si>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</si>
  <si>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</si>
  <si>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</si>
  <si>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</si>
  <si>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</si>
  <si>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</si>
  <si>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</si>
  <si>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</si>
  <si>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</si>
  <si>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805.2 lb-ft²</t>
  </si>
  <si>
    <t>883 A</t>
  </si>
  <si>
    <t>Load</t>
  </si>
  <si>
    <t>Fan / Pump</t>
  </si>
  <si>
    <t>686.6 kg.m²</t>
  </si>
  <si>
    <t>Acceleration Data (FV V)</t>
  </si>
  <si>
    <t>14.4 (s)</t>
  </si>
  <si>
    <t>507.7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</si>
  <si>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</si>
  <si>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</si>
  <si>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</si>
  <si>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</si>
  <si>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</si>
  <si>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</si>
  <si>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</si>
  <si>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</si>
  <si>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</si>
  <si>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</si>
  <si>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</si>
  <si>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</si>
  <si>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</si>
  <si>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</si>
  <si>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</si>
  <si>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</si>
  <si>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</si>
  <si>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</si>
  <si>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</si>
  <si>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</si>
  <si>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</si>
  <si>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</si>
  <si>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</si>
  <si>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</si>
  <si>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</si>
  <si>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</si>
  <si>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</si>
  <si>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</si>
  <si>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</si>
  <si>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</si>
  <si>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</si>
  <si>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</si>
  <si>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</si>
  <si>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</si>
  <si>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</si>
  <si>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</si>
  <si>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</si>
  <si>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</si>
  <si>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</si>
  <si>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- 1250.0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</si>
  <si>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</si>
  <si>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</si>
  <si>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</si>
  <si>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</si>
  <si>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</si>
  <si>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</si>
  <si>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</si>
  <si>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</si>
  <si>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</si>
  <si>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</si>
  <si>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</si>
  <si>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</si>
  <si>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</si>
  <si>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- 4073.0 lb-ft²</t>
  </si>
  <si>
    <t>75.1</t>
  </si>
  <si>
    <t>75.2</t>
  </si>
  <si>
    <t>75.6</t>
  </si>
  <si>
    <t>76.1</t>
  </si>
  <si>
    <t>77.1</t>
  </si>
  <si>
    <t>78.6</t>
  </si>
  <si>
    <t>81.3</t>
  </si>
  <si>
    <t>86.9</t>
  </si>
  <si>
    <t>96.8</t>
  </si>
  <si>
    <t>117.0</t>
  </si>
  <si>
    <t>183.0</t>
  </si>
  <si>
    <t>180.8</t>
  </si>
  <si>
    <t>113.3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</si>
  <si>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</si>
  <si>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</si>
  <si>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</si>
  <si>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</si>
  <si>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</si>
  <si>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</si>
  <si>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</si>
  <si>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</si>
  <si>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</si>
  <si>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90.9</t>
  </si>
  <si>
    <t>98.8</t>
  </si>
  <si>
    <t>99.8</t>
  </si>
  <si>
    <t>1.537</t>
  </si>
  <si>
    <t>1.266</t>
  </si>
  <si>
    <t>1.183</t>
  </si>
  <si>
    <t>1.252</t>
  </si>
  <si>
    <t>1.387</t>
  </si>
  <si>
    <t>1.623</t>
  </si>
  <si>
    <t>2.067</t>
  </si>
  <si>
    <t>1.227</t>
  </si>
  <si>
    <t>1.015</t>
  </si>
  <si>
    <t>0.440</t>
  </si>
  <si>
    <t>0.076</t>
  </si>
  <si>
    <t>0.115</t>
  </si>
  <si>
    <t>880.7</t>
  </si>
  <si>
    <t>875.7</t>
  </si>
  <si>
    <t>869.7</t>
  </si>
  <si>
    <t>862.4</t>
  </si>
  <si>
    <t>853.1</t>
  </si>
  <si>
    <t>841.5</t>
  </si>
  <si>
    <t>826.8</t>
  </si>
  <si>
    <t>807.7</t>
  </si>
  <si>
    <t>788.5</t>
  </si>
  <si>
    <t>764.5</t>
  </si>
  <si>
    <t>695.2</t>
  </si>
  <si>
    <t>430.4</t>
  </si>
  <si>
    <t>145.1</t>
  </si>
  <si>
    <t>384.8</t>
  </si>
  <si>
    <t>313.6</t>
  </si>
  <si>
    <t>289.4</t>
  </si>
  <si>
    <t>285.0</t>
  </si>
  <si>
    <t>296.1</t>
  </si>
  <si>
    <t>320.2</t>
  </si>
  <si>
    <t>363.4</t>
  </si>
  <si>
    <t>444.5</t>
  </si>
  <si>
    <t>250.1</t>
  </si>
  <si>
    <t>198.4</t>
  </si>
  <si>
    <t>79.1</t>
  </si>
  <si>
    <t>10.0</t>
  </si>
  <si>
    <t>0.9</t>
  </si>
  <si>
    <t>1024.8</t>
  </si>
  <si>
    <t>757.2</t>
  </si>
  <si>
    <t>627.1</t>
  </si>
  <si>
    <t>547.5</t>
  </si>
  <si>
    <t>496.4</t>
  </si>
  <si>
    <t>458.6</t>
  </si>
  <si>
    <t>430.6</t>
  </si>
  <si>
    <t>412.8</t>
  </si>
  <si>
    <t>329.1</t>
  </si>
  <si>
    <t>212.3</t>
  </si>
  <si>
    <t>63.6</t>
  </si>
  <si>
    <t>20.6</t>
  </si>
  <si>
    <t>41.8</t>
  </si>
  <si>
    <t>3236 kW / s</t>
  </si>
  <si>
    <t>4700 kW / s</t>
  </si>
  <si>
    <t>722 kW / s</t>
  </si>
  <si>
    <t>18°C</t>
  </si>
  <si>
    <t>67°C</t>
  </si>
  <si>
    <t>19°C</t>
  </si>
  <si>
    <t>36°C</t>
  </si>
  <si>
    <t>134°C</t>
  </si>
  <si>
    <t>38°C</t>
  </si>
  <si>
    <t>Acceleration Time:  14.4 s</t>
  </si>
  <si>
    <t>1.5°C / s</t>
  </si>
  <si>
    <t>8.6°C / s</t>
  </si>
  <si>
    <t>2.4°C / s</t>
  </si>
  <si>
    <t>261.9 kW</t>
  </si>
  <si>
    <t>606.2 kW</t>
  </si>
  <si>
    <t>93.2 kW</t>
  </si>
  <si>
    <t>109.3 s</t>
  </si>
  <si>
    <t>30.1 s</t>
  </si>
  <si>
    <t>74.4 s</t>
  </si>
  <si>
    <t>37°C    +</t>
  </si>
  <si>
    <t>45°C    +</t>
  </si>
  <si>
    <t>123°C    +</t>
  </si>
  <si>
    <t>215°C   +</t>
  </si>
  <si>
    <t>135°C   +</t>
  </si>
  <si>
    <t>84.0 s</t>
  </si>
  <si>
    <t>24.9 s</t>
  </si>
  <si>
    <t>55.8 s</t>
  </si>
  <si>
    <t>64.7 s</t>
  </si>
  <si>
    <t>48.5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</si>
  <si>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</si>
  <si>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</si>
  <si>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</si>
  <si>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</si>
  <si>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</si>
  <si>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</si>
  <si>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4073.0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</si>
  <si>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</si>
  <si>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</si>
  <si>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</si>
  <si>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</si>
  <si>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</si>
  <si>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</si>
  <si>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</si>
  <si>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</si>
  <si>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</si>
  <si>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</si>
  <si>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</si>
  <si>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</si>
  <si>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</si>
  <si>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</si>
  <si>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</si>
  <si>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</si>
  <si>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</si>
  <si>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</si>
  <si>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</si>
  <si>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</si>
  <si>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</si>
  <si>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</si>
  <si>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1849.2 Hz</t>
  </si>
  <si>
    <t>1620.0 Hz</t>
  </si>
  <si>
    <t>1609.2 Hz</t>
  </si>
  <si>
    <t>1740.0 Hz</t>
  </si>
  <si>
    <t>1729.2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</si>
  <si>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</si>
  <si>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</si>
  <si>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</si>
  <si>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</si>
  <si>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</si>
  <si>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</si>
  <si>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</si>
  <si>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</si>
  <si>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</si>
  <si>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</si>
  <si>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</si>
  <si>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</si>
  <si>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</si>
  <si>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</si>
  <si>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</si>
  <si>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</si>
  <si>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</si>
  <si>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</si>
  <si>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</si>
  <si>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</si>
  <si>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</si>
  <si>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</si>
  <si>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</si>
  <si>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</si>
  <si>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</si>
  <si>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</si>
  <si>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</si>
  <si>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</si>
  <si>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</si>
  <si>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</si>
  <si>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</si>
  <si>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</si>
  <si>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</si>
  <si>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</si>
  <si>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</si>
  <si>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</si>
  <si>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</si>
  <si>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</si>
  <si>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</si>
  <si>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</si>
  <si>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</si>
  <si>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</si>
  <si>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</si>
  <si>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</si>
  <si>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</si>
  <si>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</si>
  <si>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</si>
  <si>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</si>
  <si>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</si>
  <si>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</si>
  <si>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</si>
  <si>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</si>
  <si>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</si>
  <si>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</si>
  <si>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</si>
  <si>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</si>
  <si>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</si>
  <si>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</si>
  <si>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</si>
  <si>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</si>
  <si>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</si>
  <si>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</si>
  <si>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</si>
  <si>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</si>
  <si>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</si>
  <si>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</si>
  <si>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</si>
  <si>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</si>
  <si>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</si>
  <si>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</si>
  <si>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</si>
  <si>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</si>
  <si>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</si>
  <si>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</si>
  <si>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</si>
  <si>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</si>
  <si>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</si>
  <si>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</si>
  <si>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</si>
  <si>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</si>
  <si>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</si>
  <si>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</si>
  <si>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</si>
  <si>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</si>
  <si>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</si>
  <si>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</si>
  <si>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</si>
  <si>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</si>
  <si>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</si>
  <si>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</si>
  <si>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</si>
  <si>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</si>
  <si>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</si>
  <si>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</si>
  <si>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</si>
  <si>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</si>
  <si>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</si>
  <si>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</si>
  <si>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</si>
  <si>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</si>
  <si>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</si>
  <si>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</si>
  <si>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</si>
  <si>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</si>
  <si>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</si>
  <si>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</si>
  <si>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</si>
  <si>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</si>
  <si>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</si>
  <si>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</si>
  <si>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</si>
  <si>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</si>
  <si>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</si>
  <si>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</si>
  <si>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</si>
  <si>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</si>
  <si>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</si>
  <si>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T530</t>
  </si>
  <si>
    <t>Rev 0: First Issue</t>
  </si>
  <si>
    <t>Limits: BS4M25U</t>
  </si>
  <si>
    <t>M255TCQL11F-C</t>
  </si>
  <si>
    <t>3678 lb-ft</t>
  </si>
  <si>
    <t>TEAAC</t>
  </si>
  <si>
    <t>M11-125 INS</t>
  </si>
  <si>
    <t>6810US</t>
  </si>
  <si>
    <t>Type: TIKE - Form: FCW4 - 4 Pole - 1250 HP - 4000 V - 60 Hz - 6810US - Class F</t>
  </si>
  <si>
    <t>F &amp; W(Sleeve Brg)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</si>
</sst>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126.68125582787656</c:v>
                </c:pt>
                <c:pt idx="2">
                  <c:v>235</c:v>
                </c:pt>
                <c:pt idx="3">
                  <c:v>131.07021744559574</c:v>
                </c:pt>
                <c:pt idx="4">
                  <c:v>102.97934751200661</c:v>
                </c:pt>
                <c:pt idx="5">
                  <c:v>90.666068100233872</c:v>
                </c:pt>
                <c:pt idx="6">
                  <c:v>83.066596426740119</c:v>
                </c:pt>
                <c:pt idx="7">
                  <c:v>79.615648330344811</c:v>
                </c:pt>
                <c:pt idx="8">
                  <c:v>77.65393122921688</c:v>
                </c:pt>
                <c:pt idx="9">
                  <c:v>76.475088131896612</c:v>
                </c:pt>
                <c:pt idx="10">
                  <c:v>75.768531943111071</c:v>
                </c:pt>
                <c:pt idx="11">
                  <c:v>75.356322754165717</c:v>
                </c:pt>
                <c:pt idx="12">
                  <c:v>75.124168548080732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615808"/>
        <c:axId val="26261772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0.28486967086791992</c:v>
                </c:pt>
                <c:pt idx="1">
                  <c:v>138.66130065917969</c:v>
                </c:pt>
                <c:pt idx="2">
                  <c:v>406.15032958984375</c:v>
                </c:pt>
                <c:pt idx="3">
                  <c:v>473.87982177734375</c:v>
                </c:pt>
                <c:pt idx="4">
                  <c:v>493.82098388671875</c:v>
                </c:pt>
                <c:pt idx="5">
                  <c:v>504.2652587890625</c:v>
                </c:pt>
                <c:pt idx="6">
                  <c:v>518.0836181640625</c:v>
                </c:pt>
                <c:pt idx="7">
                  <c:v>528.48223876953125</c:v>
                </c:pt>
                <c:pt idx="8">
                  <c:v>536.69512939453125</c:v>
                </c:pt>
                <c:pt idx="9">
                  <c:v>543.22015380859375</c:v>
                </c:pt>
                <c:pt idx="10">
                  <c:v>548.37457275390625</c:v>
                </c:pt>
                <c:pt idx="11">
                  <c:v>552.5447998046875</c:v>
                </c:pt>
                <c:pt idx="12">
                  <c:v>555.97930908203125</c:v>
                </c:pt>
                <c:pt idx="13">
                  <c:v>558.86077880859375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636288"/>
        <c:axId val="262637824"/>
      </c:scatterChart>
      <c:valAx>
        <c:axId val="26261580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2617728"/>
        <c:crossesAt val="0"/>
        <c:crossBetween val="midCat"/>
        <c:majorUnit val="0.2"/>
        <c:minorUnit val="0.2"/>
      </c:valAx>
      <c:valAx>
        <c:axId val="26261772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2615808"/>
        <c:crosses val="max"/>
        <c:crossBetween val="midCat"/>
        <c:majorUnit val="50"/>
        <c:minorUnit val="50"/>
      </c:valAx>
      <c:valAx>
        <c:axId val="26263628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62637824"/>
        <c:crosses val="autoZero"/>
        <c:crossBetween val="midCat"/>
      </c:valAx>
      <c:valAx>
        <c:axId val="26263782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263628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126.68125582787656</c:v>
                </c:pt>
                <c:pt idx="2">
                  <c:v>235</c:v>
                </c:pt>
                <c:pt idx="3">
                  <c:v>131.07021744559574</c:v>
                </c:pt>
                <c:pt idx="4">
                  <c:v>102.97934751200661</c:v>
                </c:pt>
                <c:pt idx="5">
                  <c:v>90.666068100233872</c:v>
                </c:pt>
                <c:pt idx="6">
                  <c:v>83.066596426740119</c:v>
                </c:pt>
                <c:pt idx="7">
                  <c:v>79.615648330344811</c:v>
                </c:pt>
                <c:pt idx="8">
                  <c:v>77.65393122921688</c:v>
                </c:pt>
                <c:pt idx="9">
                  <c:v>76.475088131896612</c:v>
                </c:pt>
                <c:pt idx="10">
                  <c:v>75.768531943111071</c:v>
                </c:pt>
                <c:pt idx="11">
                  <c:v>75.356322754165717</c:v>
                </c:pt>
                <c:pt idx="12">
                  <c:v>75.124168548080732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701632"/>
        <c:axId val="26370355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0.28486967086791992</c:v>
                </c:pt>
                <c:pt idx="1">
                  <c:v>138.66130065917969</c:v>
                </c:pt>
                <c:pt idx="2">
                  <c:v>406.15032958984375</c:v>
                </c:pt>
                <c:pt idx="3">
                  <c:v>473.87982177734375</c:v>
                </c:pt>
                <c:pt idx="4">
                  <c:v>493.82098388671875</c:v>
                </c:pt>
                <c:pt idx="5">
                  <c:v>504.2652587890625</c:v>
                </c:pt>
                <c:pt idx="6">
                  <c:v>518.0836181640625</c:v>
                </c:pt>
                <c:pt idx="7">
                  <c:v>528.48223876953125</c:v>
                </c:pt>
                <c:pt idx="8">
                  <c:v>536.69512939453125</c:v>
                </c:pt>
                <c:pt idx="9">
                  <c:v>543.22015380859375</c:v>
                </c:pt>
                <c:pt idx="10">
                  <c:v>548.37457275390625</c:v>
                </c:pt>
                <c:pt idx="11">
                  <c:v>552.5447998046875</c:v>
                </c:pt>
                <c:pt idx="12">
                  <c:v>555.97930908203125</c:v>
                </c:pt>
                <c:pt idx="13">
                  <c:v>558.86077880859375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705728"/>
        <c:axId val="263707264"/>
      </c:scatterChart>
      <c:valAx>
        <c:axId val="26370163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3703552"/>
        <c:crosses val="autoZero"/>
        <c:crossBetween val="midCat"/>
        <c:majorUnit val="20"/>
        <c:minorUnit val="20"/>
      </c:valAx>
      <c:valAx>
        <c:axId val="263703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3701632"/>
        <c:crosses val="autoZero"/>
        <c:crossBetween val="midCat"/>
      </c:valAx>
      <c:valAx>
        <c:axId val="2637057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63707264"/>
        <c:crosses val="autoZero"/>
        <c:crossBetween val="midCat"/>
      </c:valAx>
      <c:valAx>
        <c:axId val="26370726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370572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558.86075949367091</c:v>
                </c:pt>
                <c:pt idx="1">
                  <c:v>492.58046835443042</c:v>
                </c:pt>
                <c:pt idx="2">
                  <c:v>426.28029113924049</c:v>
                </c:pt>
                <c:pt idx="3">
                  <c:v>360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45.052708261709071</c:v>
                </c:pt>
                <c:pt idx="2">
                  <c:v>60.156806089309143</c:v>
                </c:pt>
                <c:pt idx="3">
                  <c:v>84.347123437997638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558.86075949367091</c:v>
                </c:pt>
                <c:pt idx="1">
                  <c:v>492.58046835443042</c:v>
                </c:pt>
                <c:pt idx="2">
                  <c:v>426.28029113924049</c:v>
                </c:pt>
                <c:pt idx="3">
                  <c:v>360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19.308303540732457</c:v>
                </c:pt>
                <c:pt idx="2">
                  <c:v>25.781488323989635</c:v>
                </c:pt>
                <c:pt idx="3">
                  <c:v>36.148767187713275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260</c:v>
                </c:pt>
                <c:pt idx="1">
                  <c:v>160</c:v>
                </c:pt>
                <c:pt idx="2">
                  <c:v>235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84.832598053918332</c:v>
                </c:pt>
                <c:pt idx="3">
                  <c:v>144.5950687508531</c:v>
                </c:pt>
                <c:pt idx="4">
                  <c:v>222.82426765886515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558.86075949367091</c:v>
                </c:pt>
                <c:pt idx="1">
                  <c:v>557.40506329113919</c:v>
                </c:pt>
                <c:pt idx="2">
                  <c:v>554.24050632911394</c:v>
                </c:pt>
                <c:pt idx="3">
                  <c:v>550.44303797468353</c:v>
                </c:pt>
                <c:pt idx="4">
                  <c:v>545.82278481012656</c:v>
                </c:pt>
                <c:pt idx="5">
                  <c:v>539.9367088607595</c:v>
                </c:pt>
                <c:pt idx="6">
                  <c:v>532.59493670886081</c:v>
                </c:pt>
                <c:pt idx="7">
                  <c:v>523.29113924050637</c:v>
                </c:pt>
                <c:pt idx="8">
                  <c:v>511.20253164556959</c:v>
                </c:pt>
                <c:pt idx="9">
                  <c:v>499.05063291139243</c:v>
                </c:pt>
                <c:pt idx="10">
                  <c:v>483.86075949367091</c:v>
                </c:pt>
                <c:pt idx="11">
                  <c:v>440</c:v>
                </c:pt>
                <c:pt idx="12">
                  <c:v>272.40506329113924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1.5369999408721924</c:v>
                </c:pt>
                <c:pt idx="2">
                  <c:v>2.8029999732971191</c:v>
                </c:pt>
                <c:pt idx="3">
                  <c:v>3.9860000610351562</c:v>
                </c:pt>
                <c:pt idx="4">
                  <c:v>5.1690001487731934</c:v>
                </c:pt>
                <c:pt idx="5">
                  <c:v>6.4210000038146973</c:v>
                </c:pt>
                <c:pt idx="6">
                  <c:v>7.8080000877380371</c:v>
                </c:pt>
                <c:pt idx="7">
                  <c:v>9.430999755859375</c:v>
                </c:pt>
                <c:pt idx="8">
                  <c:v>11.498000144958496</c:v>
                </c:pt>
                <c:pt idx="9">
                  <c:v>12.725000381469727</c:v>
                </c:pt>
                <c:pt idx="10">
                  <c:v>13.74000072479248</c:v>
                </c:pt>
                <c:pt idx="11">
                  <c:v>14.180000305175781</c:v>
                </c:pt>
                <c:pt idx="12">
                  <c:v>14.256000518798828</c:v>
                </c:pt>
                <c:pt idx="13">
                  <c:v>14.371000289916992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241728"/>
        <c:axId val="263243648"/>
      </c:scatterChart>
      <c:valAx>
        <c:axId val="26324172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3243648"/>
        <c:crossesAt val="0.1"/>
        <c:crossBetween val="midCat"/>
        <c:majorUnit val="100"/>
      </c:valAx>
      <c:valAx>
        <c:axId val="26324364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324172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90.140289306640625</c:v>
                </c:pt>
                <c:pt idx="2">
                  <c:v>94.052261352539063</c:v>
                </c:pt>
                <c:pt idx="3">
                  <c:v>95.22113037109375</c:v>
                </c:pt>
                <c:pt idx="4">
                  <c:v>95.5</c:v>
                </c:pt>
                <c:pt idx="5">
                  <c:v>95.6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60.362815856933594</c:v>
                </c:pt>
                <c:pt idx="1">
                  <c:v>80.144012451171875</c:v>
                </c:pt>
                <c:pt idx="2">
                  <c:v>86.559051513671875</c:v>
                </c:pt>
                <c:pt idx="3">
                  <c:v>88.756027221679688</c:v>
                </c:pt>
                <c:pt idx="4">
                  <c:v>89.265655517578125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64.762161602735006</c:v>
                </c:pt>
                <c:pt idx="2">
                  <c:v>51.240261565976439</c:v>
                </c:pt>
                <c:pt idx="3">
                  <c:v>37.408137655925678</c:v>
                </c:pt>
                <c:pt idx="4">
                  <c:v>23.333891824132781</c:v>
                </c:pt>
                <c:pt idx="5">
                  <c:v>8.8547512915690625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0.40594999999999998</c:v>
                </c:pt>
                <c:pt idx="1">
                  <c:v>6.460847226773156</c:v>
                </c:pt>
                <c:pt idx="2">
                  <c:v>12.384234698813168</c:v>
                </c:pt>
                <c:pt idx="3">
                  <c:v>18.348321871158841</c:v>
                </c:pt>
                <c:pt idx="4">
                  <c:v>24.355189995135571</c:v>
                </c:pt>
                <c:pt idx="5">
                  <c:v>30.406675506260754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410624"/>
        <c:axId val="26241254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45.410689940492595</c:v>
                </c:pt>
                <c:pt idx="1">
                  <c:v>61.797672271728516</c:v>
                </c:pt>
                <c:pt idx="2">
                  <c:v>89.217529296875</c:v>
                </c:pt>
                <c:pt idx="3">
                  <c:v>122.38719177246094</c:v>
                </c:pt>
                <c:pt idx="4">
                  <c:v>158.43305969238281</c:v>
                </c:pt>
                <c:pt idx="5">
                  <c:v>196.66932678222656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422912"/>
        <c:axId val="262424448"/>
      </c:scatterChart>
      <c:valAx>
        <c:axId val="26241062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412544"/>
        <c:crossesAt val="0"/>
        <c:crossBetween val="midCat"/>
        <c:majorUnit val="25"/>
        <c:minorUnit val="12.5"/>
      </c:valAx>
      <c:valAx>
        <c:axId val="26241254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235143746566563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410624"/>
        <c:crosses val="autoZero"/>
        <c:crossBetween val="midCat"/>
        <c:majorUnit val="10"/>
        <c:minorUnit val="5"/>
      </c:valAx>
      <c:valAx>
        <c:axId val="26242291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62424448"/>
        <c:crosses val="autoZero"/>
        <c:crossBetween val="midCat"/>
      </c:valAx>
      <c:valAx>
        <c:axId val="262424448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422912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54455" y="7778115"/>
          <a:ext cx="82105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49680" y="6273165"/>
          <a:ext cx="95440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123825</xdr:colOff>
      <xdr:row>40</xdr:row>
      <xdr:rowOff>0</xdr:rowOff>
    </xdr:from>
    <xdr:to>
      <xdr:col>3</xdr:col>
      <xdr:colOff>718271</xdr:colOff>
      <xdr:row>43</xdr:row>
      <xdr:rowOff>76200</xdr:rowOff>
    </xdr:to>
    <xdr:grpSp>
      <xdr:nvGrpSpPr>
        <xdr:cNvPr id="96" name="Group 95"/>
        <xdr:cNvGrpSpPr/>
      </xdr:nvGrpSpPr>
      <xdr:grpSpPr>
        <a:xfrm>
          <a:off x="954405" y="9197340"/>
          <a:ext cx="1539326" cy="762000"/>
          <a:chOff x="0" y="8982075"/>
          <a:chExt cx="1518371" cy="762000"/>
        </a:xfrm>
      </xdr:grpSpPr>
      <xdr:sp macro="" textlink="">
        <xdr:nvSpPr>
          <xdr:cNvPr id="97" name="Radius"/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/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/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/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/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/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/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/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/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/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/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/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/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/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/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/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/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/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723900</xdr:colOff>
      <xdr:row>40</xdr:row>
      <xdr:rowOff>0</xdr:rowOff>
    </xdr:from>
    <xdr:to>
      <xdr:col>4</xdr:col>
      <xdr:colOff>741061</xdr:colOff>
      <xdr:row>40</xdr:row>
      <xdr:rowOff>161925</xdr:rowOff>
    </xdr:to>
    <xdr:sp macro="" textlink="">
      <xdr:nvSpPr>
        <xdr:cNvPr id="115" name="Text 219"/>
        <xdr:cNvSpPr txBox="1">
          <a:spLocks noChangeArrowheads="1"/>
        </xdr:cNvSpPr>
      </xdr:nvSpPr>
      <xdr:spPr bwMode="auto">
        <a:xfrm>
          <a:off x="2457450" y="921067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784860</xdr:colOff>
      <xdr:row>33</xdr:row>
      <xdr:rowOff>200025</xdr:rowOff>
    </xdr:from>
    <xdr:to>
      <xdr:col>4</xdr:col>
      <xdr:colOff>558193</xdr:colOff>
      <xdr:row>34</xdr:row>
      <xdr:rowOff>142875</xdr:rowOff>
    </xdr:to>
    <xdr:sp macro="" textlink="">
      <xdr:nvSpPr>
        <xdr:cNvPr id="116" name="Text 219"/>
        <xdr:cNvSpPr txBox="1">
          <a:spLocks noChangeArrowheads="1"/>
        </xdr:cNvSpPr>
      </xdr:nvSpPr>
      <xdr:spPr bwMode="auto">
        <a:xfrm>
          <a:off x="2518410" y="781050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784860</xdr:colOff>
      <xdr:row>27</xdr:row>
      <xdr:rowOff>152400</xdr:rowOff>
    </xdr:from>
    <xdr:to>
      <xdr:col>4</xdr:col>
      <xdr:colOff>558193</xdr:colOff>
      <xdr:row>28</xdr:row>
      <xdr:rowOff>95250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518410" y="639127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685800</xdr:colOff>
      <xdr:row>16</xdr:row>
      <xdr:rowOff>85724</xdr:rowOff>
    </xdr:from>
    <xdr:to>
      <xdr:col>1</xdr:col>
      <xdr:colOff>47624</xdr:colOff>
      <xdr:row>17</xdr:row>
      <xdr:rowOff>66675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85800" y="398144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676275</xdr:colOff>
      <xdr:row>18</xdr:row>
      <xdr:rowOff>28574</xdr:rowOff>
    </xdr:from>
    <xdr:to>
      <xdr:col>1</xdr:col>
      <xdr:colOff>38099</xdr:colOff>
      <xdr:row>19</xdr:row>
      <xdr:rowOff>9525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76275" y="440054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666750</xdr:colOff>
      <xdr:row>19</xdr:row>
      <xdr:rowOff>200024</xdr:rowOff>
    </xdr:from>
    <xdr:to>
      <xdr:col>1</xdr:col>
      <xdr:colOff>28574</xdr:colOff>
      <xdr:row>20</xdr:row>
      <xdr:rowOff>180975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66750" y="4810124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666750</xdr:colOff>
      <xdr:row>21</xdr:row>
      <xdr:rowOff>133349</xdr:rowOff>
    </xdr:from>
    <xdr:to>
      <xdr:col>1</xdr:col>
      <xdr:colOff>28574</xdr:colOff>
      <xdr:row>22</xdr:row>
      <xdr:rowOff>114300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66750" y="521969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676275</xdr:colOff>
      <xdr:row>23</xdr:row>
      <xdr:rowOff>66674</xdr:rowOff>
    </xdr:from>
    <xdr:to>
      <xdr:col>1</xdr:col>
      <xdr:colOff>38099</xdr:colOff>
      <xdr:row>24</xdr:row>
      <xdr:rowOff>47625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76275" y="5629274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676275</xdr:colOff>
      <xdr:row>24</xdr:row>
      <xdr:rowOff>238124</xdr:rowOff>
    </xdr:from>
    <xdr:to>
      <xdr:col>1</xdr:col>
      <xdr:colOff>38099</xdr:colOff>
      <xdr:row>25</xdr:row>
      <xdr:rowOff>219075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76275" y="603884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666750</xdr:colOff>
      <xdr:row>26</xdr:row>
      <xdr:rowOff>171449</xdr:rowOff>
    </xdr:from>
    <xdr:to>
      <xdr:col>1</xdr:col>
      <xdr:colOff>28574</xdr:colOff>
      <xdr:row>27</xdr:row>
      <xdr:rowOff>152400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66750" y="6448424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657225</xdr:colOff>
      <xdr:row>28</xdr:row>
      <xdr:rowOff>104774</xdr:rowOff>
    </xdr:from>
    <xdr:to>
      <xdr:col>1</xdr:col>
      <xdr:colOff>19049</xdr:colOff>
      <xdr:row>29</xdr:row>
      <xdr:rowOff>85725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57225" y="685799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657225</xdr:colOff>
      <xdr:row>30</xdr:row>
      <xdr:rowOff>47624</xdr:rowOff>
    </xdr:from>
    <xdr:to>
      <xdr:col>1</xdr:col>
      <xdr:colOff>19049</xdr:colOff>
      <xdr:row>31</xdr:row>
      <xdr:rowOff>28575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57225" y="727709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657225</xdr:colOff>
      <xdr:row>31</xdr:row>
      <xdr:rowOff>219074</xdr:rowOff>
    </xdr:from>
    <xdr:to>
      <xdr:col>1</xdr:col>
      <xdr:colOff>19049</xdr:colOff>
      <xdr:row>32</xdr:row>
      <xdr:rowOff>200025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57225" y="7686674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666750</xdr:colOff>
      <xdr:row>33</xdr:row>
      <xdr:rowOff>152399</xdr:rowOff>
    </xdr:from>
    <xdr:to>
      <xdr:col>1</xdr:col>
      <xdr:colOff>28574</xdr:colOff>
      <xdr:row>34</xdr:row>
      <xdr:rowOff>133350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66750" y="8096249"/>
          <a:ext cx="476249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304801</xdr:colOff>
      <xdr:row>16</xdr:row>
      <xdr:rowOff>85725</xdr:rowOff>
    </xdr:from>
    <xdr:to>
      <xdr:col>5</xdr:col>
      <xdr:colOff>781051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76926" y="39814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327269</xdr:colOff>
      <xdr:row>25</xdr:row>
      <xdr:rowOff>0</xdr:rowOff>
    </xdr:from>
    <xdr:to>
      <xdr:col>5</xdr:col>
      <xdr:colOff>864576</xdr:colOff>
      <xdr:row>26</xdr:row>
      <xdr:rowOff>1906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899394" y="6038850"/>
          <a:ext cx="537307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323851</xdr:colOff>
      <xdr:row>26</xdr:row>
      <xdr:rowOff>180975</xdr:rowOff>
    </xdr:from>
    <xdr:to>
      <xdr:col>5</xdr:col>
      <xdr:colOff>800101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895976" y="64579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333376</xdr:colOff>
      <xdr:row>28</xdr:row>
      <xdr:rowOff>114300</xdr:rowOff>
    </xdr:from>
    <xdr:to>
      <xdr:col>5</xdr:col>
      <xdr:colOff>809626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05501" y="6867525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323851</xdr:colOff>
      <xdr:row>30</xdr:row>
      <xdr:rowOff>38100</xdr:rowOff>
    </xdr:from>
    <xdr:to>
      <xdr:col>5</xdr:col>
      <xdr:colOff>800101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895976" y="7267575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323851</xdr:colOff>
      <xdr:row>31</xdr:row>
      <xdr:rowOff>219075</xdr:rowOff>
    </xdr:from>
    <xdr:to>
      <xdr:col>5</xdr:col>
      <xdr:colOff>800101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895976" y="7686675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723900</xdr:colOff>
      <xdr:row>23</xdr:row>
      <xdr:rowOff>9525</xdr:rowOff>
    </xdr:from>
    <xdr:to>
      <xdr:col>5</xdr:col>
      <xdr:colOff>942975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9602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323851</xdr:colOff>
      <xdr:row>23</xdr:row>
      <xdr:rowOff>66675</xdr:rowOff>
    </xdr:from>
    <xdr:to>
      <xdr:col>5</xdr:col>
      <xdr:colOff>800101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895976" y="5629275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323851</xdr:colOff>
      <xdr:row>21</xdr:row>
      <xdr:rowOff>133350</xdr:rowOff>
    </xdr:from>
    <xdr:to>
      <xdr:col>5</xdr:col>
      <xdr:colOff>800101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895976" y="521970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314326</xdr:colOff>
      <xdr:row>19</xdr:row>
      <xdr:rowOff>200025</xdr:rowOff>
    </xdr:from>
    <xdr:to>
      <xdr:col>5</xdr:col>
      <xdr:colOff>790576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86451" y="4810125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314326</xdr:colOff>
      <xdr:row>18</xdr:row>
      <xdr:rowOff>28575</xdr:rowOff>
    </xdr:from>
    <xdr:to>
      <xdr:col>5</xdr:col>
      <xdr:colOff>790576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86451" y="44005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476250</xdr:colOff>
      <xdr:row>16</xdr:row>
      <xdr:rowOff>228600</xdr:rowOff>
    </xdr:from>
    <xdr:to>
      <xdr:col>2</xdr:col>
      <xdr:colOff>819150</xdr:colOff>
      <xdr:row>17</xdr:row>
      <xdr:rowOff>133350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705100" y="41243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133350</xdr:colOff>
      <xdr:row>19</xdr:row>
      <xdr:rowOff>123825</xdr:rowOff>
    </xdr:from>
    <xdr:to>
      <xdr:col>3</xdr:col>
      <xdr:colOff>466725</xdr:colOff>
      <xdr:row>20</xdr:row>
      <xdr:rowOff>57150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476625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466725</xdr:colOff>
      <xdr:row>23</xdr:row>
      <xdr:rowOff>209550</xdr:rowOff>
    </xdr:from>
    <xdr:to>
      <xdr:col>2</xdr:col>
      <xdr:colOff>809625</xdr:colOff>
      <xdr:row>24</xdr:row>
      <xdr:rowOff>114300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2695575" y="57721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609600</xdr:colOff>
      <xdr:row>32</xdr:row>
      <xdr:rowOff>142875</xdr:rowOff>
    </xdr:from>
    <xdr:to>
      <xdr:col>3</xdr:col>
      <xdr:colOff>0</xdr:colOff>
      <xdr:row>33</xdr:row>
      <xdr:rowOff>57150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38450" y="78486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311883</xdr:colOff>
      <xdr:row>33</xdr:row>
      <xdr:rowOff>142875</xdr:rowOff>
    </xdr:from>
    <xdr:to>
      <xdr:col>5</xdr:col>
      <xdr:colOff>812556</xdr:colOff>
      <xdr:row>34</xdr:row>
      <xdr:rowOff>144781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84008" y="8086725"/>
          <a:ext cx="500673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J6" sqref="J6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7.399999999999999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41984</v>
      </c>
      <c r="I3" s="51" t="s">
        <v>3</v>
      </c>
      <c r="J3" s="152">
        <v>0.35841435185185189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4</v>
      </c>
      <c r="B5" s="115">
        <v>1250</v>
      </c>
      <c r="C5" s="145">
        <v>1800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754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23.125593055555555</v>
      </c>
      <c r="J7" s="108" t="s">
        <v>19</v>
      </c>
    </row>
    <row r="8" spans="1:10" ht="15" customHeight="1">
      <c r="A8" s="7" t="s">
        <v>20</v>
      </c>
      <c r="B8" s="71">
        <v>3.309999942779541</v>
      </c>
      <c r="C8" s="54"/>
      <c r="D8" s="7"/>
      <c r="E8" s="53"/>
      <c r="F8" s="4"/>
      <c r="G8" s="17"/>
      <c r="H8" s="11" t="s">
        <v>21</v>
      </c>
      <c r="I8" s="70">
        <v>28.349058182060801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25.737325618808178</v>
      </c>
      <c r="J9" s="106">
        <v>754.01391017142055</v>
      </c>
    </row>
    <row r="10" spans="1:10" ht="15" customHeight="1">
      <c r="A10" s="7" t="s">
        <v>27</v>
      </c>
      <c r="B10" s="71">
        <v>590</v>
      </c>
      <c r="C10" s="75">
        <v>590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15.409848104495472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523.38000011444092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27.246162587611465</v>
      </c>
      <c r="J11" s="106">
        <v>32017.951910569205</v>
      </c>
    </row>
    <row r="12" spans="1:10" ht="15" customHeight="1">
      <c r="A12" s="7" t="s">
        <v>33</v>
      </c>
      <c r="B12" s="71">
        <v>530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1.500702206714756</v>
      </c>
      <c r="J12" s="105" t="s">
        <v>36</v>
      </c>
    </row>
    <row r="13" spans="1:10" ht="15" customHeight="1" thickBot="1">
      <c r="A13" s="7" t="s">
        <v>37</v>
      </c>
      <c r="B13" s="71">
        <v>66.5</v>
      </c>
      <c r="C13" s="75">
        <v>71.140000820159912</v>
      </c>
      <c r="D13" s="7" t="s">
        <v>38</v>
      </c>
      <c r="E13" s="72">
        <v>18</v>
      </c>
      <c r="F13" s="126"/>
      <c r="G13" s="118" t="s">
        <v>191</v>
      </c>
      <c r="H13" s="11" t="s">
        <v>40</v>
      </c>
      <c r="I13" s="70">
        <v>1.0404789331673008</v>
      </c>
      <c r="J13" s="106">
        <v>157.03302001953125</v>
      </c>
    </row>
    <row r="14" spans="1:10" ht="15" customHeight="1" thickBot="1">
      <c r="A14" s="136" t="s">
        <v>41</v>
      </c>
      <c r="B14" s="137">
        <v>442.67999267578125</v>
      </c>
      <c r="C14" s="138">
        <v>442.67999267578125</v>
      </c>
      <c r="D14" s="7" t="s">
        <v>42</v>
      </c>
      <c r="E14" s="53" t="s">
        <v>184</v>
      </c>
      <c r="F14" s="53" t="s">
        <v>193</v>
      </c>
      <c r="G14" s="118" t="s">
        <v>192</v>
      </c>
      <c r="H14" s="51" t="s">
        <v>43</v>
      </c>
      <c r="I14" s="70">
        <v>1.5614490310443834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185</v>
      </c>
      <c r="F15" s="53"/>
      <c r="G15" s="118"/>
      <c r="H15" s="11" t="s">
        <v>47</v>
      </c>
      <c r="I15" s="70">
        <v>0.96589165240170005</v>
      </c>
      <c r="J15" s="106">
        <v>21.383969907407408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0.95596950205867326</v>
      </c>
      <c r="J16" s="107" t="s">
        <v>51</v>
      </c>
    </row>
    <row r="17" spans="1:10" ht="15" customHeight="1" thickBot="1">
      <c r="A17" s="7" t="s">
        <v>52</v>
      </c>
      <c r="B17" s="53" t="s">
        <v>177</v>
      </c>
      <c r="C17" s="54" t="s">
        <v>178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0.9233629619890823</v>
      </c>
      <c r="J17" s="106">
        <v>611.13986429691113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1311</v>
      </c>
      <c r="F18" s="72">
        <v>766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76</v>
      </c>
      <c r="C19" s="75">
        <v>40.549999237060547</v>
      </c>
      <c r="D19" s="7" t="s">
        <v>59</v>
      </c>
      <c r="E19" s="72">
        <v>216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179</v>
      </c>
      <c r="C20" s="75">
        <v>12.050000190734863</v>
      </c>
      <c r="D20" s="7" t="s">
        <v>166</v>
      </c>
      <c r="E20" s="69">
        <v>8.0216375523868136E-2</v>
      </c>
      <c r="F20" s="53"/>
      <c r="G20" s="54"/>
      <c r="H20" s="11" t="s">
        <v>63</v>
      </c>
      <c r="I20" s="70">
        <v>14.760526657104492</v>
      </c>
      <c r="J20" s="74">
        <v>14.760526657104492</v>
      </c>
    </row>
    <row r="21" spans="1:10" ht="15" customHeight="1">
      <c r="A21" s="7" t="s">
        <v>64</v>
      </c>
      <c r="B21" s="71">
        <v>15.199999809265137</v>
      </c>
      <c r="C21" s="75">
        <v>5</v>
      </c>
      <c r="D21" s="11" t="s">
        <v>187</v>
      </c>
      <c r="E21" s="69">
        <v>0.10700769937270424</v>
      </c>
      <c r="F21" s="69">
        <v>8.870311826467514E-2</v>
      </c>
      <c r="G21" s="73">
        <v>1.36336951281742E-2</v>
      </c>
      <c r="H21" s="11" t="s">
        <v>65</v>
      </c>
      <c r="I21" s="70">
        <v>20.271615982055664</v>
      </c>
      <c r="J21" s="74">
        <v>14.824084281921387</v>
      </c>
    </row>
    <row r="22" spans="1:10" ht="15" customHeight="1">
      <c r="A22" s="7" t="s">
        <v>66</v>
      </c>
      <c r="B22" s="71">
        <v>3.6500000953674316</v>
      </c>
      <c r="C22" s="75">
        <v>5.5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4.4184255599975586</v>
      </c>
      <c r="J22" s="74">
        <v>4.1796879768371582</v>
      </c>
    </row>
    <row r="23" spans="1:10" ht="15" customHeight="1">
      <c r="A23" s="7" t="s">
        <v>69</v>
      </c>
      <c r="B23" s="71">
        <v>7.925593376159668</v>
      </c>
      <c r="C23" s="75">
        <v>11.912208557128906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19.509326832192965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3.2736440920171521</v>
      </c>
      <c r="J24" s="74">
        <v>3.1388472159007019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0.2093445211648941</v>
      </c>
      <c r="J25" s="74">
        <v>0.43280306458473206</v>
      </c>
    </row>
    <row r="26" spans="1:10" ht="15" customHeight="1">
      <c r="A26" s="7" t="s">
        <v>78</v>
      </c>
      <c r="B26" s="55" t="s">
        <v>180</v>
      </c>
      <c r="C26" s="62" t="s">
        <v>181</v>
      </c>
      <c r="D26" s="11" t="s">
        <v>79</v>
      </c>
      <c r="E26" s="71">
        <v>218.32894667664772</v>
      </c>
      <c r="F26" s="71">
        <v>182.12730343357086</v>
      </c>
      <c r="G26" s="75">
        <v>99.984177484690463</v>
      </c>
      <c r="H26" s="11" t="s">
        <v>80</v>
      </c>
      <c r="I26" s="70">
        <v>3.0231242179870605</v>
      </c>
      <c r="J26" s="74">
        <v>2.738309383392334</v>
      </c>
    </row>
    <row r="27" spans="1:10" ht="15" customHeight="1" thickBot="1">
      <c r="A27" s="7" t="s">
        <v>81</v>
      </c>
      <c r="B27" s="53" t="s">
        <v>182</v>
      </c>
      <c r="C27" s="54" t="s">
        <v>182</v>
      </c>
      <c r="D27" s="12" t="s">
        <v>82</v>
      </c>
      <c r="E27" s="82">
        <v>246.10187073948168</v>
      </c>
      <c r="F27" s="82" t="s">
        <v>174</v>
      </c>
      <c r="G27" s="84" t="s">
        <v>174</v>
      </c>
      <c r="H27" s="12" t="s">
        <v>83</v>
      </c>
      <c r="I27" s="81">
        <v>3.0303637981414795</v>
      </c>
      <c r="J27" s="83">
        <v>2.7723016738891602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32.004948124999999</v>
      </c>
      <c r="F30" s="71">
        <v>588.76439025878904</v>
      </c>
      <c r="G30" s="71">
        <v>14.765227025394827</v>
      </c>
      <c r="H30" s="76">
        <v>342.87550796916935</v>
      </c>
      <c r="I30" s="72">
        <v>69223.387805682112</v>
      </c>
      <c r="J30" s="76">
        <v>4617.2755868857421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7.6000000000000005</v>
      </c>
      <c r="F31" s="71">
        <v>631.53029118772486</v>
      </c>
      <c r="G31" s="71">
        <v>13.765356955863069</v>
      </c>
      <c r="H31" s="76">
        <v>66.237862403879049</v>
      </c>
      <c r="I31" s="72">
        <v>19198.520852106838</v>
      </c>
      <c r="J31" s="76">
        <v>1143.0557736820069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17.368280379415154</v>
      </c>
      <c r="F32" s="71">
        <v>629.84510084046929</v>
      </c>
      <c r="G32" s="71">
        <v>13.802187037795267</v>
      </c>
      <c r="H32" s="76">
        <v>152.67521344944649</v>
      </c>
      <c r="I32" s="10" t="s">
        <v>100</v>
      </c>
      <c r="J32" s="76">
        <v>5760.3313605677486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4.0549999237060552</v>
      </c>
      <c r="F33" s="71">
        <v>764.6279775392195</v>
      </c>
      <c r="G33" s="71">
        <v>11.3692411761029</v>
      </c>
      <c r="H33" s="76">
        <v>19.113405428110596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8.6932398866391782</v>
      </c>
      <c r="D34" s="12" t="s">
        <v>20</v>
      </c>
      <c r="E34" s="81">
        <v>0.33099999427795412</v>
      </c>
      <c r="F34" s="82">
        <v>1268.950041664011</v>
      </c>
      <c r="G34" s="82">
        <v>6.8507345452619086</v>
      </c>
      <c r="H34" s="85">
        <v>1804.4947743670198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11492.5224609375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6.2980435299967796</v>
      </c>
      <c r="C42" s="70">
        <v>6.2980435299967796</v>
      </c>
      <c r="D42" s="70">
        <v>6.2980435299967796</v>
      </c>
      <c r="E42" s="70">
        <v>6.2980435299967796</v>
      </c>
      <c r="F42" s="74">
        <v>6.2980435299967796</v>
      </c>
      <c r="G42" s="37" t="s">
        <v>124</v>
      </c>
      <c r="H42" s="93" t="s">
        <v>248</v>
      </c>
      <c r="I42" s="57"/>
      <c r="J42" s="99">
        <v>0.15612152406676325</v>
      </c>
    </row>
    <row r="43" spans="1:10" ht="15" customHeight="1" thickBot="1">
      <c r="A43" s="18" t="s">
        <v>125</v>
      </c>
      <c r="B43" s="81">
        <v>6.2980435299967796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2406.2521351219775</v>
      </c>
      <c r="I44" s="92">
        <v>3.3830156567776638E-2</v>
      </c>
      <c r="J44" s="99">
        <v>0.6324711986863899</v>
      </c>
    </row>
    <row r="45" spans="1:10" ht="15" customHeight="1">
      <c r="A45" s="7" t="s">
        <v>129</v>
      </c>
      <c r="B45" s="70">
        <v>0.32217493653297424</v>
      </c>
      <c r="C45" s="5" t="s">
        <v>130</v>
      </c>
      <c r="D45" s="74">
        <v>7.2184605523943901E-3</v>
      </c>
      <c r="E45" s="7" t="s">
        <v>131</v>
      </c>
      <c r="F45" s="76">
        <v>826.60011019639353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0.18271508812904358</v>
      </c>
      <c r="C46" s="5" t="s">
        <v>133</v>
      </c>
      <c r="D46" s="74">
        <v>6.1851511709392071E-3</v>
      </c>
      <c r="E46" s="7" t="s">
        <v>134</v>
      </c>
      <c r="F46" s="76">
        <v>1174.3473914815347</v>
      </c>
      <c r="G46" s="38" t="s">
        <v>135</v>
      </c>
      <c r="H46" s="96">
        <v>530.54290599266835</v>
      </c>
      <c r="I46" s="59"/>
      <c r="J46" s="60"/>
    </row>
    <row r="47" spans="1:10" ht="15" customHeight="1">
      <c r="A47" s="7" t="s">
        <v>136</v>
      </c>
      <c r="B47" s="70">
        <v>0.50489002466201782</v>
      </c>
      <c r="C47" s="5" t="s">
        <v>137</v>
      </c>
      <c r="D47" s="74">
        <v>9.65147465467453E-3</v>
      </c>
      <c r="E47" s="7" t="s">
        <v>138</v>
      </c>
      <c r="F47" s="76">
        <v>762.81809546884801</v>
      </c>
      <c r="G47" s="66" t="s">
        <v>139</v>
      </c>
      <c r="H47" s="95">
        <v>2326.2718006507948</v>
      </c>
      <c r="I47" s="92">
        <v>3.2667281366475891E-2</v>
      </c>
      <c r="J47" s="97">
        <v>0.64421433433877429</v>
      </c>
    </row>
    <row r="48" spans="1:10" ht="15" customHeight="1">
      <c r="A48" s="7" t="s">
        <v>140</v>
      </c>
      <c r="B48" s="70">
        <v>1.209669653326273E-2</v>
      </c>
      <c r="C48" s="5" t="s">
        <v>100</v>
      </c>
      <c r="D48" s="74">
        <v>3.5151783376932144E-2</v>
      </c>
      <c r="E48" s="7" t="s">
        <v>141</v>
      </c>
      <c r="F48" s="76">
        <v>305.10066797433416</v>
      </c>
      <c r="G48" s="67" t="s">
        <v>122</v>
      </c>
      <c r="H48" s="88">
        <v>249.46614484190829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0.96484822034835815</v>
      </c>
      <c r="E49" s="18" t="s">
        <v>143</v>
      </c>
      <c r="F49" s="85">
        <v>767.87566049090412</v>
      </c>
      <c r="G49" s="68" t="s">
        <v>135</v>
      </c>
      <c r="H49" s="96">
        <v>521.19078359897856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4.4914228604787269E-2</v>
      </c>
      <c r="I51" s="46" t="s">
        <v>149</v>
      </c>
      <c r="J51" s="40"/>
    </row>
    <row r="52" spans="1:10" ht="15" customHeight="1">
      <c r="A52" s="11" t="s">
        <v>58</v>
      </c>
      <c r="B52" s="71">
        <v>40.549999237060547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130389.07327142106</v>
      </c>
      <c r="I52" s="100" t="s">
        <v>230</v>
      </c>
      <c r="J52" s="64"/>
    </row>
    <row r="53" spans="1:10" ht="15" customHeight="1">
      <c r="A53" s="11" t="s">
        <v>64</v>
      </c>
      <c r="B53" s="71">
        <v>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135.72474541579496</v>
      </c>
      <c r="I53" s="45" t="s">
        <v>154</v>
      </c>
      <c r="J53" s="40"/>
    </row>
    <row r="54" spans="1:10" ht="15" customHeight="1">
      <c r="A54" s="11" t="s">
        <v>66</v>
      </c>
      <c r="B54" s="71">
        <v>5.5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316171.10000000003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399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400</v>
      </c>
      <c r="D58" s="4" t="s">
        <v>119</v>
      </c>
      <c r="E58" s="4" t="s">
        <v>165</v>
      </c>
      <c r="F58" s="17" t="s">
        <v>401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0.28486967086791992</v>
      </c>
      <c r="D59" s="130">
        <v>0.68736839294433594</v>
      </c>
      <c r="E59" s="88">
        <v>75.768531943111071</v>
      </c>
      <c r="F59" s="89">
        <v>548.37457275390625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126.68125582787656</v>
      </c>
      <c r="C60" s="89">
        <v>138.66130065917969</v>
      </c>
      <c r="D60" s="130">
        <v>0.79157894849777222</v>
      </c>
      <c r="E60" s="88">
        <v>75.356322754165717</v>
      </c>
      <c r="F60" s="89">
        <v>552.5447998046875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235</v>
      </c>
      <c r="C61" s="89">
        <v>406.15032958984375</v>
      </c>
      <c r="D61" s="130">
        <v>0.89578944444656372</v>
      </c>
      <c r="E61" s="88">
        <v>75.124168548080732</v>
      </c>
      <c r="F61" s="89">
        <v>555.97930908203125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131.07021744559574</v>
      </c>
      <c r="C62" s="89">
        <v>473.87982177734375</v>
      </c>
      <c r="D62" s="131">
        <v>1</v>
      </c>
      <c r="E62" s="88">
        <v>75</v>
      </c>
      <c r="F62" s="89">
        <v>558.86077880859375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102.97934751200661</v>
      </c>
      <c r="C63" s="89">
        <v>493.82098388671875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90.666068100233872</v>
      </c>
      <c r="C64" s="89">
        <v>504.2652587890625</v>
      </c>
      <c r="D64" s="394" t="s">
        <v>434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83.066596426740119</v>
      </c>
      <c r="C65" s="89">
        <v>518.0836181640625</v>
      </c>
      <c r="D65" s="396" t="s">
        <v>418</v>
      </c>
      <c r="E65" s="398" t="s">
        <v>432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79.615648330344811</v>
      </c>
      <c r="C66" s="89">
        <v>528.48223876953125</v>
      </c>
      <c r="D66" s="396" t="s">
        <v>415</v>
      </c>
      <c r="E66" s="398" t="s">
        <v>433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77.65393122921688</v>
      </c>
      <c r="C67" s="89">
        <v>536.69512939453125</v>
      </c>
      <c r="D67" s="396" t="s">
        <v>422</v>
      </c>
      <c r="E67" s="398" t="s">
        <v>435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76.475088131896612</v>
      </c>
      <c r="C68" s="91">
        <v>543.22015380859375</v>
      </c>
      <c r="D68" s="397" t="s">
        <v>423</v>
      </c>
      <c r="E68" s="400" t="s">
        <v>436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431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L8" sqref="L8"/>
    </sheetView>
  </sheetViews>
  <sheetFormatPr defaultColWidth="9.109375" defaultRowHeight="15"/>
  <cols>
    <col min="1" max="1" width="12.109375" style="304" customWidth="1"/>
    <col min="2" max="2" width="6.109375" style="304" customWidth="1"/>
    <col min="3" max="3" width="7.6640625" style="304" customWidth="1"/>
    <col min="4" max="5" width="13.109375" style="304" customWidth="1"/>
    <col min="6" max="6" width="9.44140625" style="304" customWidth="1"/>
    <col min="7" max="7" width="5.6640625" style="304" customWidth="1"/>
    <col min="8" max="8" width="7.88671875" style="304" customWidth="1"/>
    <col min="9" max="9" width="7.44140625" style="304" customWidth="1"/>
    <col min="10" max="10" width="12" style="305" customWidth="1"/>
    <col min="11" max="11" width="12" style="304" customWidth="1"/>
    <col min="12" max="12" width="16" style="153" customWidth="1"/>
    <col min="13" max="26" width="9.109375" style="153"/>
    <col min="27" max="16384" width="9.109375" style="154"/>
  </cols>
  <sheetData>
    <row r="1" spans="1:26" ht="20.25" customHeight="1">
      <c r="A1" s="563" t="s">
        <v>252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</row>
    <row r="2" spans="1:26" ht="20.25" customHeight="1">
      <c r="A2" s="564" t="s">
        <v>253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</row>
    <row r="3" spans="1:26" ht="18.75" customHeight="1" thickBot="1">
      <c r="A3" s="155" t="s">
        <v>1</v>
      </c>
      <c r="B3" s="156" t="s">
        <v>363</v>
      </c>
      <c r="C3" s="157"/>
      <c r="D3" s="157"/>
      <c r="E3" s="157"/>
      <c r="F3" s="158"/>
      <c r="G3" s="157"/>
      <c r="H3" s="157"/>
      <c r="I3" s="155" t="s">
        <v>254</v>
      </c>
      <c r="J3" s="565" t="s">
        <v>750</v>
      </c>
      <c r="K3" s="565"/>
    </row>
    <row r="4" spans="1:26" s="167" customFormat="1" ht="18.45" customHeight="1" thickBot="1">
      <c r="A4" s="159" t="s">
        <v>755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45" customHeight="1">
      <c r="A5" s="566" t="s">
        <v>257</v>
      </c>
      <c r="B5" s="567"/>
      <c r="C5" s="567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45" customHeight="1">
      <c r="A6" s="568" t="s">
        <v>67</v>
      </c>
      <c r="B6" s="569"/>
      <c r="C6" s="569"/>
      <c r="D6" s="570" t="s">
        <v>266</v>
      </c>
      <c r="E6" s="571"/>
      <c r="F6" s="572" t="s">
        <v>264</v>
      </c>
      <c r="G6" s="573"/>
      <c r="H6" s="573"/>
      <c r="I6" s="573"/>
      <c r="J6" s="573"/>
      <c r="K6" s="574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45" customHeight="1">
      <c r="A7" s="578" t="s">
        <v>20</v>
      </c>
      <c r="B7" s="579"/>
      <c r="C7" s="579"/>
      <c r="D7" s="580">
        <v>3.3099999427795401</v>
      </c>
      <c r="E7" s="581"/>
      <c r="F7" s="178" t="s">
        <v>267</v>
      </c>
      <c r="G7" s="179"/>
      <c r="H7" s="180"/>
      <c r="I7" s="181"/>
      <c r="J7" s="182">
        <v>40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45" customHeight="1">
      <c r="A8" s="578" t="s">
        <v>269</v>
      </c>
      <c r="B8" s="579"/>
      <c r="C8" s="579"/>
      <c r="D8" s="582">
        <v>590</v>
      </c>
      <c r="E8" s="583"/>
      <c r="F8" s="184" t="s">
        <v>270</v>
      </c>
      <c r="G8" s="185"/>
      <c r="H8" s="186"/>
      <c r="I8" s="187"/>
      <c r="J8" s="188">
        <v>16238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45" customHeight="1">
      <c r="A9" s="584" t="s">
        <v>273</v>
      </c>
      <c r="B9" s="585"/>
      <c r="C9" s="586"/>
      <c r="D9" s="582">
        <v>9</v>
      </c>
      <c r="E9" s="583"/>
      <c r="F9" s="178" t="s">
        <v>274</v>
      </c>
      <c r="G9" s="179"/>
      <c r="H9" s="190">
        <v>3</v>
      </c>
      <c r="I9" s="191" t="s">
        <v>275</v>
      </c>
      <c r="J9" s="192">
        <v>248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45" customHeight="1" thickBot="1">
      <c r="A10" s="584" t="s">
        <v>278</v>
      </c>
      <c r="B10" s="585"/>
      <c r="C10" s="586"/>
      <c r="D10" s="587" t="s">
        <v>184</v>
      </c>
      <c r="E10" s="588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45" customHeight="1" thickBot="1">
      <c r="A11" s="584" t="s">
        <v>282</v>
      </c>
      <c r="B11" s="585"/>
      <c r="C11" s="586"/>
      <c r="D11" s="589" t="s">
        <v>185</v>
      </c>
      <c r="E11" s="590"/>
      <c r="F11" s="195" t="s">
        <v>283</v>
      </c>
      <c r="G11" s="196"/>
      <c r="H11" s="197">
        <v>3</v>
      </c>
      <c r="I11" s="191" t="s">
        <v>275</v>
      </c>
      <c r="J11" s="198">
        <v>66973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45" customHeight="1">
      <c r="A12" s="201" t="s">
        <v>285</v>
      </c>
      <c r="C12" s="202"/>
      <c r="D12" s="591" t="s">
        <v>174</v>
      </c>
      <c r="E12" s="592"/>
      <c r="F12" s="575" t="s">
        <v>286</v>
      </c>
      <c r="G12" s="576"/>
      <c r="H12" s="576"/>
      <c r="I12" s="576"/>
      <c r="J12" s="576"/>
      <c r="K12" s="577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45" customHeight="1">
      <c r="A13" s="584" t="s">
        <v>53</v>
      </c>
      <c r="B13" s="585"/>
      <c r="C13" s="586"/>
      <c r="D13" s="593" t="s">
        <v>365</v>
      </c>
      <c r="E13" s="594"/>
      <c r="F13" s="203"/>
      <c r="G13" s="204" t="s">
        <v>287</v>
      </c>
      <c r="H13" s="205"/>
      <c r="I13" s="206" t="s">
        <v>288</v>
      </c>
      <c r="J13" s="207" t="s">
        <v>367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45" customHeight="1">
      <c r="A14" s="584" t="s">
        <v>56</v>
      </c>
      <c r="B14" s="585"/>
      <c r="C14" s="586"/>
      <c r="D14" s="591">
        <v>1311</v>
      </c>
      <c r="E14" s="592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45" customHeight="1">
      <c r="A15" s="595" t="s">
        <v>289</v>
      </c>
      <c r="B15" s="596"/>
      <c r="C15" s="597"/>
      <c r="D15" s="598">
        <v>16.629199981689453</v>
      </c>
      <c r="E15" s="599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45" customHeight="1">
      <c r="A16" s="600" t="s">
        <v>291</v>
      </c>
      <c r="B16" s="601"/>
      <c r="C16" s="602"/>
      <c r="D16" s="598">
        <v>3.8017997741699219</v>
      </c>
      <c r="E16" s="599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45" customHeight="1">
      <c r="A17" s="214" t="s">
        <v>292</v>
      </c>
      <c r="B17" s="215"/>
      <c r="C17" s="216"/>
      <c r="D17" s="589" t="s">
        <v>364</v>
      </c>
      <c r="E17" s="590"/>
      <c r="F17" s="575" t="s">
        <v>293</v>
      </c>
      <c r="G17" s="576"/>
      <c r="H17" s="576"/>
      <c r="I17" s="576"/>
      <c r="J17" s="576"/>
      <c r="K17" s="577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45" customHeight="1">
      <c r="A18" s="217" t="s">
        <v>294</v>
      </c>
      <c r="B18" s="218"/>
      <c r="C18" s="216"/>
      <c r="D18" s="587" t="s">
        <v>174</v>
      </c>
      <c r="E18" s="588"/>
      <c r="F18" s="603"/>
      <c r="G18" s="604"/>
      <c r="H18" s="219" t="s">
        <v>295</v>
      </c>
      <c r="I18" s="220"/>
      <c r="J18" s="188">
        <v>158</v>
      </c>
      <c r="K18" s="189"/>
      <c r="L18" s="163"/>
      <c r="M18" s="163">
        <f>J18*6.5</f>
        <v>1027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45" customHeight="1">
      <c r="A19" s="609" t="s">
        <v>296</v>
      </c>
      <c r="B19" s="610"/>
      <c r="C19" s="611"/>
      <c r="D19" s="612" t="s">
        <v>174</v>
      </c>
      <c r="E19" s="590"/>
      <c r="F19" s="605"/>
      <c r="G19" s="606"/>
      <c r="H19" s="219" t="s">
        <v>5</v>
      </c>
      <c r="I19" s="181"/>
      <c r="J19" s="188">
        <v>1785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45" customHeight="1" thickBot="1">
      <c r="A20" s="221" t="s">
        <v>297</v>
      </c>
      <c r="C20" s="222"/>
      <c r="D20" s="613" t="s">
        <v>183</v>
      </c>
      <c r="E20" s="583"/>
      <c r="F20" s="605"/>
      <c r="G20" s="606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45" customHeight="1" thickBot="1">
      <c r="A21" s="595" t="s">
        <v>299</v>
      </c>
      <c r="B21" s="596"/>
      <c r="C21" s="597"/>
      <c r="D21" s="582" t="s">
        <v>174</v>
      </c>
      <c r="E21" s="583"/>
      <c r="F21" s="605"/>
      <c r="G21" s="606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45" customHeight="1">
      <c r="A22" s="217" t="s">
        <v>302</v>
      </c>
      <c r="B22" s="224"/>
      <c r="C22" s="224"/>
      <c r="D22" s="614">
        <v>8.0250000000000002E-2</v>
      </c>
      <c r="E22" s="615"/>
      <c r="F22" s="605"/>
      <c r="G22" s="606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45" customHeight="1">
      <c r="A23" s="225" t="s">
        <v>305</v>
      </c>
      <c r="B23" s="226" t="s">
        <v>306</v>
      </c>
      <c r="C23" s="227"/>
      <c r="D23" s="593">
        <v>500</v>
      </c>
      <c r="E23" s="594"/>
      <c r="F23" s="605"/>
      <c r="G23" s="606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45" customHeight="1" thickBot="1">
      <c r="A24" s="232" t="s">
        <v>309</v>
      </c>
      <c r="B24" s="233" t="s">
        <v>310</v>
      </c>
      <c r="C24" s="234"/>
      <c r="D24" s="616">
        <v>561</v>
      </c>
      <c r="E24" s="617"/>
      <c r="F24" s="605"/>
      <c r="G24" s="606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45" customHeight="1">
      <c r="A25" s="239" t="s">
        <v>312</v>
      </c>
      <c r="B25" s="240"/>
      <c r="C25" s="240"/>
      <c r="D25" s="241"/>
      <c r="E25" s="241" t="s">
        <v>313</v>
      </c>
      <c r="F25" s="605"/>
      <c r="G25" s="606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45" customHeight="1">
      <c r="A26" s="243" t="s">
        <v>315</v>
      </c>
      <c r="B26" s="244"/>
      <c r="C26" s="245"/>
      <c r="D26" s="246" t="s">
        <v>368</v>
      </c>
      <c r="E26" s="246" t="s">
        <v>369</v>
      </c>
      <c r="F26" s="607"/>
      <c r="G26" s="608"/>
      <c r="H26" s="618"/>
      <c r="I26" s="619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45" customHeight="1">
      <c r="A27" s="620" t="s">
        <v>316</v>
      </c>
      <c r="B27" s="621"/>
      <c r="C27" s="621"/>
      <c r="D27" s="621"/>
      <c r="E27" s="621"/>
      <c r="F27" s="572" t="s">
        <v>317</v>
      </c>
      <c r="G27" s="573"/>
      <c r="H27" s="573"/>
      <c r="I27" s="573"/>
      <c r="J27" s="573"/>
      <c r="K27" s="574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45" customHeight="1">
      <c r="A28" s="624"/>
      <c r="B28" s="625"/>
      <c r="C28" s="625"/>
      <c r="D28" s="625"/>
      <c r="E28" s="626"/>
      <c r="F28" s="249"/>
      <c r="G28" s="250"/>
      <c r="H28" s="209" t="s">
        <v>318</v>
      </c>
      <c r="I28" s="251" t="s">
        <v>366</v>
      </c>
      <c r="J28" s="188">
        <v>883</v>
      </c>
      <c r="K28" s="252" t="s">
        <v>174</v>
      </c>
      <c r="M28" s="167">
        <f>(J28/J18)*100</f>
        <v>558.8607594936708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45" customHeight="1">
      <c r="A29" s="624"/>
      <c r="B29" s="625"/>
      <c r="C29" s="625"/>
      <c r="D29" s="625"/>
      <c r="E29" s="626"/>
      <c r="F29" s="254"/>
      <c r="G29" s="255"/>
      <c r="H29" s="209" t="s">
        <v>319</v>
      </c>
      <c r="I29" s="256">
        <v>60</v>
      </c>
      <c r="J29" s="188">
        <v>75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45" customHeight="1">
      <c r="A30" s="624"/>
      <c r="B30" s="625"/>
      <c r="C30" s="625"/>
      <c r="D30" s="625"/>
      <c r="E30" s="626"/>
      <c r="F30" s="254"/>
      <c r="G30" s="255"/>
      <c r="H30" s="209" t="s">
        <v>320</v>
      </c>
      <c r="I30" s="256">
        <v>175</v>
      </c>
      <c r="J30" s="188">
        <v>239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45" customHeight="1">
      <c r="A31" s="624"/>
      <c r="B31" s="625"/>
      <c r="C31" s="625"/>
      <c r="D31" s="625"/>
      <c r="E31" s="626"/>
      <c r="F31" s="254"/>
      <c r="G31" s="255"/>
      <c r="H31" s="209" t="s">
        <v>321</v>
      </c>
      <c r="I31" s="210"/>
      <c r="J31" s="259">
        <v>0.85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45" customHeight="1">
      <c r="A32" s="627"/>
      <c r="B32" s="628"/>
      <c r="C32" s="628"/>
      <c r="D32" s="628"/>
      <c r="E32" s="629"/>
      <c r="F32" s="254"/>
      <c r="G32" s="260" t="s">
        <v>322</v>
      </c>
      <c r="H32" s="209" t="s">
        <v>323</v>
      </c>
      <c r="I32" s="261"/>
      <c r="J32" s="182">
        <v>95.5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45" customHeight="1">
      <c r="A33" s="620" t="s">
        <v>324</v>
      </c>
      <c r="B33" s="621"/>
      <c r="C33" s="621"/>
      <c r="D33" s="621"/>
      <c r="E33" s="630"/>
      <c r="F33" s="263"/>
      <c r="G33" s="264"/>
      <c r="H33" s="265" t="s">
        <v>325</v>
      </c>
      <c r="I33" s="266"/>
      <c r="J33" s="267">
        <v>88.8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45" customHeight="1">
      <c r="A34" s="624"/>
      <c r="B34" s="625"/>
      <c r="C34" s="625"/>
      <c r="D34" s="625"/>
      <c r="E34" s="626"/>
      <c r="F34" s="184" t="s">
        <v>326</v>
      </c>
      <c r="G34" s="269"/>
      <c r="H34" s="270" t="s">
        <v>14</v>
      </c>
      <c r="I34" s="271"/>
      <c r="J34" s="272">
        <v>7230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45" customHeight="1">
      <c r="A35" s="624"/>
      <c r="B35" s="625"/>
      <c r="C35" s="625"/>
      <c r="D35" s="625"/>
      <c r="E35" s="626"/>
      <c r="F35" s="203"/>
      <c r="G35" s="276"/>
      <c r="H35" s="277" t="s">
        <v>15</v>
      </c>
      <c r="I35" s="278"/>
      <c r="J35" s="188">
        <v>8048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45" customHeight="1">
      <c r="A36" s="624"/>
      <c r="B36" s="625"/>
      <c r="C36" s="625"/>
      <c r="D36" s="625"/>
      <c r="E36" s="626"/>
      <c r="F36" s="203"/>
      <c r="G36" s="276"/>
      <c r="H36" s="277" t="s">
        <v>327</v>
      </c>
      <c r="I36" s="278"/>
      <c r="J36" s="188">
        <v>5758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45" customHeight="1">
      <c r="A37" s="624"/>
      <c r="B37" s="625"/>
      <c r="C37" s="625"/>
      <c r="D37" s="625"/>
      <c r="E37" s="626"/>
      <c r="F37" s="254"/>
      <c r="G37" s="276"/>
      <c r="H37" s="277" t="s">
        <v>756</v>
      </c>
      <c r="I37" s="278"/>
      <c r="J37" s="188">
        <v>10768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45" customHeight="1">
      <c r="A38" s="627"/>
      <c r="B38" s="628"/>
      <c r="C38" s="628"/>
      <c r="D38" s="628"/>
      <c r="E38" s="629"/>
      <c r="F38" s="211"/>
      <c r="G38" s="280"/>
      <c r="H38" s="281" t="s">
        <v>328</v>
      </c>
      <c r="I38" s="282"/>
      <c r="J38" s="283">
        <v>11493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45" customHeight="1">
      <c r="A39" s="620" t="s">
        <v>329</v>
      </c>
      <c r="B39" s="621"/>
      <c r="C39" s="621"/>
      <c r="D39" s="621"/>
      <c r="E39" s="621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45" customHeight="1">
      <c r="A40" s="624"/>
      <c r="B40" s="625"/>
      <c r="C40" s="625"/>
      <c r="D40" s="625"/>
      <c r="E40" s="626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45" customHeight="1">
      <c r="A41" s="624"/>
      <c r="B41" s="625"/>
      <c r="C41" s="625"/>
      <c r="D41" s="625"/>
      <c r="E41" s="626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45" customHeight="1">
      <c r="A42" s="624"/>
      <c r="B42" s="625"/>
      <c r="C42" s="625"/>
      <c r="D42" s="625"/>
      <c r="E42" s="626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45" customHeight="1">
      <c r="A43" s="624"/>
      <c r="B43" s="625"/>
      <c r="C43" s="625"/>
      <c r="D43" s="625"/>
      <c r="E43" s="626"/>
      <c r="F43" s="288"/>
      <c r="G43" s="546" t="s">
        <v>747</v>
      </c>
      <c r="H43" s="546"/>
      <c r="I43" s="546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31"/>
      <c r="B44" s="632"/>
      <c r="C44" s="632"/>
      <c r="D44" s="632"/>
      <c r="E44" s="633"/>
      <c r="F44" s="288"/>
      <c r="G44" s="546" t="s">
        <v>749</v>
      </c>
      <c r="H44" s="546"/>
      <c r="I44" s="546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634"/>
      <c r="C45" s="635"/>
      <c r="D45" s="295" t="s">
        <v>332</v>
      </c>
      <c r="E45" s="296" t="s">
        <v>333</v>
      </c>
      <c r="F45" s="297"/>
      <c r="G45" s="546"/>
      <c r="H45" s="546"/>
      <c r="I45" s="546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622"/>
      <c r="C46" s="623"/>
      <c r="D46" s="299" t="s">
        <v>334</v>
      </c>
      <c r="E46" s="300">
        <v>41984</v>
      </c>
      <c r="F46" s="301"/>
      <c r="G46" s="547" t="s">
        <v>748</v>
      </c>
      <c r="H46" s="547"/>
      <c r="I46" s="547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90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09375" defaultRowHeight="13.2"/>
  <cols>
    <col min="1" max="1" width="9.109375" style="311" customWidth="1"/>
    <col min="2" max="2" width="18.109375" style="311" customWidth="1"/>
    <col min="3" max="3" width="21.5546875" style="311" customWidth="1"/>
    <col min="4" max="4" width="21.33203125" style="311" bestFit="1" customWidth="1"/>
    <col min="5" max="5" width="6.88671875" style="311" bestFit="1" customWidth="1"/>
    <col min="6" max="6" width="29.88671875" style="311" customWidth="1"/>
    <col min="7" max="7" width="43.6640625" style="311" customWidth="1"/>
    <col min="8" max="8" width="17.109375" style="311" customWidth="1"/>
    <col min="9" max="9" width="7.88671875" style="311" customWidth="1"/>
    <col min="10" max="10" width="2.33203125" style="311" bestFit="1" customWidth="1"/>
    <col min="11" max="12" width="2.33203125" style="311" customWidth="1"/>
    <col min="13" max="13" width="2.5546875" style="311" bestFit="1" customWidth="1"/>
    <col min="14" max="14" width="2.33203125" style="311" bestFit="1" customWidth="1"/>
    <col min="15" max="16384" width="9.10937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44" t="s">
        <v>338</v>
      </c>
      <c r="C2" s="645"/>
      <c r="D2" s="645"/>
      <c r="E2" s="645"/>
      <c r="F2" s="645"/>
      <c r="G2" s="645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44"/>
      <c r="C3" s="645"/>
      <c r="D3" s="645"/>
      <c r="E3" s="645"/>
      <c r="F3" s="645"/>
      <c r="G3" s="645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44"/>
      <c r="C4" s="645"/>
      <c r="D4" s="645"/>
      <c r="E4" s="645"/>
      <c r="F4" s="645"/>
      <c r="G4" s="645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46" t="s">
        <v>360</v>
      </c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</row>
    <row r="54" spans="2:14" ht="15" customHeight="1" thickBot="1">
      <c r="B54" s="336" t="s">
        <v>361</v>
      </c>
      <c r="C54" s="647" t="s">
        <v>358</v>
      </c>
      <c r="D54" s="648"/>
      <c r="E54" s="648"/>
      <c r="F54" s="648"/>
      <c r="G54" s="648"/>
      <c r="H54" s="337"/>
      <c r="I54" s="647" t="s">
        <v>353</v>
      </c>
      <c r="J54" s="648"/>
      <c r="K54" s="649"/>
      <c r="L54" s="647" t="s">
        <v>362</v>
      </c>
      <c r="M54" s="648"/>
      <c r="N54" s="650"/>
    </row>
    <row r="55" spans="2:14" ht="15" customHeight="1">
      <c r="B55" s="338"/>
      <c r="C55" s="636"/>
      <c r="D55" s="637"/>
      <c r="E55" s="637"/>
      <c r="F55" s="637"/>
      <c r="G55" s="637"/>
      <c r="H55" s="339"/>
      <c r="I55" s="638"/>
      <c r="J55" s="639"/>
      <c r="K55" s="640"/>
      <c r="L55" s="641"/>
      <c r="M55" s="642"/>
      <c r="N55" s="643"/>
    </row>
    <row r="56" spans="2:14" ht="15" customHeight="1">
      <c r="B56" s="340"/>
      <c r="C56" s="651"/>
      <c r="D56" s="652"/>
      <c r="E56" s="652"/>
      <c r="F56" s="652"/>
      <c r="G56" s="652"/>
      <c r="H56" s="341"/>
      <c r="I56" s="653"/>
      <c r="J56" s="654"/>
      <c r="K56" s="655"/>
      <c r="L56" s="656"/>
      <c r="M56" s="657"/>
      <c r="N56" s="658"/>
    </row>
    <row r="57" spans="2:14" ht="15" customHeight="1">
      <c r="B57" s="340"/>
      <c r="C57" s="651"/>
      <c r="D57" s="652"/>
      <c r="E57" s="652"/>
      <c r="F57" s="652"/>
      <c r="G57" s="652"/>
      <c r="H57" s="341"/>
      <c r="I57" s="653"/>
      <c r="J57" s="654"/>
      <c r="K57" s="655"/>
      <c r="L57" s="656"/>
      <c r="M57" s="657"/>
      <c r="N57" s="658"/>
    </row>
    <row r="58" spans="2:14" ht="15" customHeight="1">
      <c r="B58" s="340"/>
      <c r="C58" s="651"/>
      <c r="D58" s="652"/>
      <c r="E58" s="652"/>
      <c r="F58" s="652"/>
      <c r="G58" s="652"/>
      <c r="H58" s="341"/>
      <c r="I58" s="653"/>
      <c r="J58" s="654"/>
      <c r="K58" s="655"/>
      <c r="L58" s="656"/>
      <c r="M58" s="657"/>
      <c r="N58" s="658"/>
    </row>
    <row r="59" spans="2:14" ht="15" customHeight="1">
      <c r="B59" s="340"/>
      <c r="C59" s="651"/>
      <c r="D59" s="652"/>
      <c r="E59" s="652"/>
      <c r="F59" s="652"/>
      <c r="G59" s="652"/>
      <c r="H59" s="341"/>
      <c r="I59" s="653"/>
      <c r="J59" s="654"/>
      <c r="K59" s="655"/>
      <c r="L59" s="656"/>
      <c r="M59" s="657"/>
      <c r="N59" s="658"/>
    </row>
    <row r="60" spans="2:14" ht="15" customHeight="1">
      <c r="B60" s="340"/>
      <c r="C60" s="651"/>
      <c r="D60" s="652"/>
      <c r="E60" s="652"/>
      <c r="F60" s="652"/>
      <c r="G60" s="652"/>
      <c r="H60" s="341"/>
      <c r="I60" s="653"/>
      <c r="J60" s="654"/>
      <c r="K60" s="655"/>
      <c r="L60" s="656"/>
      <c r="M60" s="657"/>
      <c r="N60" s="658"/>
    </row>
    <row r="61" spans="2:14" ht="15" customHeight="1">
      <c r="B61" s="340"/>
      <c r="C61" s="651"/>
      <c r="D61" s="652"/>
      <c r="E61" s="652"/>
      <c r="F61" s="652"/>
      <c r="G61" s="652"/>
      <c r="H61" s="341"/>
      <c r="I61" s="653"/>
      <c r="J61" s="654"/>
      <c r="K61" s="655"/>
      <c r="L61" s="656"/>
      <c r="M61" s="657"/>
      <c r="N61" s="658"/>
    </row>
    <row r="62" spans="2:14" ht="15" customHeight="1">
      <c r="B62" s="340"/>
      <c r="C62" s="651"/>
      <c r="D62" s="652"/>
      <c r="E62" s="652"/>
      <c r="F62" s="652"/>
      <c r="G62" s="652"/>
      <c r="H62" s="341"/>
      <c r="I62" s="653"/>
      <c r="J62" s="654"/>
      <c r="K62" s="655"/>
      <c r="L62" s="656"/>
      <c r="M62" s="657"/>
      <c r="N62" s="658"/>
    </row>
    <row r="63" spans="2:14" ht="15" customHeight="1">
      <c r="B63" s="340"/>
      <c r="C63" s="651"/>
      <c r="D63" s="652"/>
      <c r="E63" s="652"/>
      <c r="F63" s="652"/>
      <c r="G63" s="652"/>
      <c r="H63" s="341"/>
      <c r="I63" s="653"/>
      <c r="J63" s="654"/>
      <c r="K63" s="655"/>
      <c r="L63" s="656"/>
      <c r="M63" s="657"/>
      <c r="N63" s="658"/>
    </row>
    <row r="64" spans="2:14" ht="15" customHeight="1">
      <c r="B64" s="340"/>
      <c r="C64" s="651"/>
      <c r="D64" s="652"/>
      <c r="E64" s="652"/>
      <c r="F64" s="652"/>
      <c r="G64" s="652"/>
      <c r="H64" s="341"/>
      <c r="I64" s="653"/>
      <c r="J64" s="654"/>
      <c r="K64" s="655"/>
      <c r="L64" s="656"/>
      <c r="M64" s="657"/>
      <c r="N64" s="658"/>
    </row>
    <row r="65" spans="2:14" ht="15" customHeight="1">
      <c r="B65" s="340"/>
      <c r="C65" s="651"/>
      <c r="D65" s="652"/>
      <c r="E65" s="652"/>
      <c r="F65" s="652"/>
      <c r="G65" s="652"/>
      <c r="H65" s="341"/>
      <c r="I65" s="653"/>
      <c r="J65" s="654"/>
      <c r="K65" s="655"/>
      <c r="L65" s="656"/>
      <c r="M65" s="657"/>
      <c r="N65" s="658"/>
    </row>
    <row r="66" spans="2:14" ht="15" customHeight="1">
      <c r="B66" s="340"/>
      <c r="C66" s="651"/>
      <c r="D66" s="652"/>
      <c r="E66" s="652"/>
      <c r="F66" s="652"/>
      <c r="G66" s="652"/>
      <c r="H66" s="341"/>
      <c r="I66" s="653"/>
      <c r="J66" s="654"/>
      <c r="K66" s="655"/>
      <c r="L66" s="656"/>
      <c r="M66" s="657"/>
      <c r="N66" s="658"/>
    </row>
    <row r="67" spans="2:14" ht="15" customHeight="1">
      <c r="B67" s="340"/>
      <c r="C67" s="651"/>
      <c r="D67" s="652"/>
      <c r="E67" s="652"/>
      <c r="F67" s="652"/>
      <c r="G67" s="652"/>
      <c r="H67" s="341"/>
      <c r="I67" s="653"/>
      <c r="J67" s="654"/>
      <c r="K67" s="655"/>
      <c r="L67" s="656"/>
      <c r="M67" s="657"/>
      <c r="N67" s="658"/>
    </row>
    <row r="68" spans="2:14" ht="15" customHeight="1">
      <c r="B68" s="340"/>
      <c r="C68" s="651"/>
      <c r="D68" s="652"/>
      <c r="E68" s="652"/>
      <c r="F68" s="652"/>
      <c r="G68" s="652"/>
      <c r="H68" s="341"/>
      <c r="I68" s="653"/>
      <c r="J68" s="654"/>
      <c r="K68" s="655"/>
      <c r="L68" s="656"/>
      <c r="M68" s="657"/>
      <c r="N68" s="658"/>
    </row>
    <row r="69" spans="2:14" ht="15" customHeight="1">
      <c r="B69" s="340"/>
      <c r="C69" s="651"/>
      <c r="D69" s="652"/>
      <c r="E69" s="652"/>
      <c r="F69" s="652"/>
      <c r="G69" s="652"/>
      <c r="H69" s="341"/>
      <c r="I69" s="653"/>
      <c r="J69" s="654"/>
      <c r="K69" s="655"/>
      <c r="L69" s="656"/>
      <c r="M69" s="657"/>
      <c r="N69" s="658"/>
    </row>
    <row r="70" spans="2:14" ht="15" customHeight="1">
      <c r="B70" s="340"/>
      <c r="C70" s="651"/>
      <c r="D70" s="652"/>
      <c r="E70" s="652"/>
      <c r="F70" s="652"/>
      <c r="G70" s="652"/>
      <c r="H70" s="341"/>
      <c r="I70" s="653"/>
      <c r="J70" s="654"/>
      <c r="K70" s="655"/>
      <c r="L70" s="656"/>
      <c r="M70" s="657"/>
      <c r="N70" s="658"/>
    </row>
    <row r="71" spans="2:14" ht="15" customHeight="1">
      <c r="B71" s="340"/>
      <c r="C71" s="651"/>
      <c r="D71" s="652"/>
      <c r="E71" s="652"/>
      <c r="F71" s="652"/>
      <c r="G71" s="652"/>
      <c r="H71" s="341"/>
      <c r="I71" s="653"/>
      <c r="J71" s="654"/>
      <c r="K71" s="655"/>
      <c r="L71" s="656"/>
      <c r="M71" s="657"/>
      <c r="N71" s="658"/>
    </row>
    <row r="72" spans="2:14">
      <c r="B72" s="340"/>
      <c r="C72" s="651"/>
      <c r="D72" s="652"/>
      <c r="E72" s="652"/>
      <c r="F72" s="652"/>
      <c r="G72" s="652"/>
      <c r="H72" s="341"/>
      <c r="I72" s="653"/>
      <c r="J72" s="654"/>
      <c r="K72" s="655"/>
      <c r="L72" s="656"/>
      <c r="M72" s="657"/>
      <c r="N72" s="658"/>
    </row>
    <row r="73" spans="2:14">
      <c r="B73" s="340"/>
      <c r="C73" s="651"/>
      <c r="D73" s="652"/>
      <c r="E73" s="652"/>
      <c r="F73" s="652"/>
      <c r="G73" s="652"/>
      <c r="H73" s="341"/>
      <c r="I73" s="653"/>
      <c r="J73" s="654"/>
      <c r="K73" s="655"/>
      <c r="L73" s="656"/>
      <c r="M73" s="657"/>
      <c r="N73" s="658"/>
    </row>
    <row r="74" spans="2:14">
      <c r="B74" s="340"/>
      <c r="C74" s="651"/>
      <c r="D74" s="652"/>
      <c r="E74" s="652"/>
      <c r="F74" s="652"/>
      <c r="G74" s="652"/>
      <c r="H74" s="341"/>
      <c r="I74" s="653"/>
      <c r="J74" s="654"/>
      <c r="K74" s="655"/>
      <c r="L74" s="656"/>
      <c r="M74" s="657"/>
      <c r="N74" s="658"/>
    </row>
    <row r="75" spans="2:14">
      <c r="B75" s="340"/>
      <c r="C75" s="651"/>
      <c r="D75" s="652"/>
      <c r="E75" s="652"/>
      <c r="F75" s="652"/>
      <c r="G75" s="652"/>
      <c r="H75" s="341"/>
      <c r="I75" s="653"/>
      <c r="J75" s="654"/>
      <c r="K75" s="655"/>
      <c r="L75" s="656"/>
      <c r="M75" s="657"/>
      <c r="N75" s="658"/>
    </row>
    <row r="76" spans="2:14">
      <c r="B76" s="340"/>
      <c r="C76" s="651"/>
      <c r="D76" s="652"/>
      <c r="E76" s="652"/>
      <c r="F76" s="652"/>
      <c r="G76" s="652"/>
      <c r="H76" s="341"/>
      <c r="I76" s="653"/>
      <c r="J76" s="654"/>
      <c r="K76" s="655"/>
      <c r="L76" s="656"/>
      <c r="M76" s="657"/>
      <c r="N76" s="658"/>
    </row>
    <row r="77" spans="2:14">
      <c r="B77" s="340"/>
      <c r="C77" s="651"/>
      <c r="D77" s="652"/>
      <c r="E77" s="652"/>
      <c r="F77" s="652"/>
      <c r="G77" s="652"/>
      <c r="H77" s="341"/>
      <c r="I77" s="653"/>
      <c r="J77" s="654"/>
      <c r="K77" s="655"/>
      <c r="L77" s="656"/>
      <c r="M77" s="657"/>
      <c r="N77" s="658"/>
    </row>
    <row r="78" spans="2:14">
      <c r="B78" s="340"/>
      <c r="C78" s="651"/>
      <c r="D78" s="652"/>
      <c r="E78" s="652"/>
      <c r="F78" s="652"/>
      <c r="G78" s="652"/>
      <c r="H78" s="341"/>
      <c r="I78" s="653"/>
      <c r="J78" s="654"/>
      <c r="K78" s="655"/>
      <c r="L78" s="656"/>
      <c r="M78" s="657"/>
      <c r="N78" s="658"/>
    </row>
    <row r="79" spans="2:14" ht="13.8" thickBot="1">
      <c r="B79" s="342"/>
      <c r="C79" s="659"/>
      <c r="D79" s="660"/>
      <c r="E79" s="660"/>
      <c r="F79" s="660"/>
      <c r="G79" s="660"/>
      <c r="H79" s="343"/>
      <c r="I79" s="661"/>
      <c r="J79" s="662"/>
      <c r="K79" s="663"/>
      <c r="L79" s="664"/>
      <c r="M79" s="665"/>
      <c r="N79" s="666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B37" sqref="B37"/>
    </sheetView>
  </sheetViews>
  <sheetFormatPr defaultColWidth="9.109375" defaultRowHeight="13.2"/>
  <cols>
    <col min="1" max="6" width="14.6640625" style="344" customWidth="1"/>
    <col min="7" max="16384" width="9.109375" style="344"/>
  </cols>
  <sheetData>
    <row r="1" spans="1:7" ht="20.399999999999999">
      <c r="A1" s="667" t="s">
        <v>370</v>
      </c>
      <c r="B1" s="667"/>
      <c r="C1" s="667"/>
      <c r="D1" s="667"/>
      <c r="E1" s="667"/>
      <c r="F1" s="667"/>
    </row>
    <row r="2" spans="1:7" ht="18" thickBot="1">
      <c r="A2" s="345"/>
      <c r="B2" s="345"/>
      <c r="C2" s="668" t="s">
        <v>382</v>
      </c>
      <c r="D2" s="668"/>
      <c r="E2" s="345"/>
      <c r="F2" s="345"/>
      <c r="G2" s="345"/>
    </row>
    <row r="3" spans="1:7" ht="18">
      <c r="A3" s="669" t="s">
        <v>371</v>
      </c>
      <c r="B3" s="670"/>
      <c r="C3" s="671"/>
      <c r="D3" s="669" t="s">
        <v>372</v>
      </c>
      <c r="E3" s="670"/>
      <c r="F3" s="671"/>
      <c r="G3" s="345"/>
    </row>
    <row r="4" spans="1:7" ht="16.2">
      <c r="A4" s="346" t="s">
        <v>383</v>
      </c>
      <c r="B4" s="672" t="s">
        <v>385</v>
      </c>
      <c r="C4" s="673"/>
      <c r="D4" s="674" t="s">
        <v>386</v>
      </c>
      <c r="E4" s="675"/>
      <c r="F4" s="676"/>
      <c r="G4" s="345"/>
    </row>
    <row r="5" spans="1:7" ht="16.8" thickBot="1">
      <c r="A5" s="347" t="s">
        <v>384</v>
      </c>
      <c r="B5" s="680" t="s">
        <v>384</v>
      </c>
      <c r="C5" s="681"/>
      <c r="D5" s="682" t="s">
        <v>387</v>
      </c>
      <c r="E5" s="683"/>
      <c r="F5" s="684"/>
      <c r="G5" s="345"/>
    </row>
    <row r="6" spans="1:7" ht="18">
      <c r="A6" s="669" t="s">
        <v>373</v>
      </c>
      <c r="B6" s="670"/>
      <c r="C6" s="670"/>
      <c r="D6" s="670"/>
      <c r="E6" s="670"/>
      <c r="F6" s="671"/>
      <c r="G6" s="345"/>
    </row>
    <row r="7" spans="1:7" ht="16.2">
      <c r="A7" s="348" t="s">
        <v>374</v>
      </c>
      <c r="B7" s="349" t="s">
        <v>388</v>
      </c>
      <c r="C7" s="350" t="s">
        <v>375</v>
      </c>
      <c r="D7" s="351" t="s">
        <v>389</v>
      </c>
      <c r="E7" s="685" t="s">
        <v>376</v>
      </c>
      <c r="F7" s="686"/>
      <c r="G7" s="345"/>
    </row>
    <row r="8" spans="1:7" ht="16.2" thickBot="1">
      <c r="A8" s="352"/>
      <c r="B8" s="353" t="s">
        <v>384</v>
      </c>
      <c r="C8" s="354"/>
      <c r="D8" s="355" t="s">
        <v>384</v>
      </c>
      <c r="E8" s="687" t="s">
        <v>390</v>
      </c>
      <c r="F8" s="684"/>
      <c r="G8" s="345"/>
    </row>
    <row r="9" spans="1:7" ht="18">
      <c r="A9" s="669" t="s">
        <v>377</v>
      </c>
      <c r="B9" s="670"/>
      <c r="C9" s="671"/>
      <c r="D9" s="669" t="s">
        <v>378</v>
      </c>
      <c r="E9" s="670"/>
      <c r="F9" s="671"/>
      <c r="G9" s="345"/>
    </row>
    <row r="10" spans="1:7" ht="16.2">
      <c r="A10" s="356" t="s">
        <v>379</v>
      </c>
      <c r="B10" s="688" t="s">
        <v>391</v>
      </c>
      <c r="C10" s="673"/>
      <c r="D10" s="689" t="s">
        <v>393</v>
      </c>
      <c r="E10" s="690"/>
      <c r="F10" s="357" t="s">
        <v>395</v>
      </c>
      <c r="G10" s="345"/>
    </row>
    <row r="11" spans="1:7" ht="16.8" thickBot="1">
      <c r="A11" s="358" t="s">
        <v>380</v>
      </c>
      <c r="B11" s="683" t="s">
        <v>392</v>
      </c>
      <c r="C11" s="684"/>
      <c r="D11" s="691" t="s">
        <v>394</v>
      </c>
      <c r="E11" s="692"/>
      <c r="F11" s="359" t="s">
        <v>396</v>
      </c>
      <c r="G11" s="345"/>
    </row>
    <row r="12" spans="1:7" ht="18">
      <c r="A12" s="669" t="s">
        <v>381</v>
      </c>
      <c r="B12" s="670"/>
      <c r="C12" s="670"/>
      <c r="D12" s="670"/>
      <c r="E12" s="670"/>
      <c r="F12" s="671"/>
      <c r="G12" s="345"/>
    </row>
    <row r="13" spans="1:7" ht="16.2" thickBot="1">
      <c r="A13" s="677" t="s">
        <v>397</v>
      </c>
      <c r="B13" s="678"/>
      <c r="C13" s="679" t="s">
        <v>398</v>
      </c>
      <c r="D13" s="679"/>
      <c r="E13" s="679"/>
      <c r="F13" s="360"/>
      <c r="G13" s="345"/>
    </row>
    <row r="14" spans="1:7" ht="18.899999999999999" customHeight="1">
      <c r="A14" s="361"/>
      <c r="B14" s="361"/>
      <c r="C14" s="361"/>
      <c r="D14" s="361"/>
      <c r="E14" s="361"/>
      <c r="F14" s="361"/>
      <c r="G14" s="345"/>
    </row>
    <row r="15" spans="1:7" ht="15.6">
      <c r="G15" s="345"/>
    </row>
    <row r="16" spans="1:7" ht="15.6">
      <c r="G16" s="345"/>
    </row>
    <row r="17" spans="7:7" ht="15.6">
      <c r="G17" s="345"/>
    </row>
    <row r="18" spans="7:7" ht="15.6">
      <c r="G18" s="345"/>
    </row>
    <row r="19" spans="7:7" ht="15.6">
      <c r="G19" s="345"/>
    </row>
    <row r="20" spans="7:7" ht="15.6">
      <c r="G20" s="345"/>
    </row>
    <row r="21" spans="7:7" ht="15.6">
      <c r="G21" s="345"/>
    </row>
    <row r="22" spans="7:7" ht="15.6">
      <c r="G22" s="345"/>
    </row>
    <row r="23" spans="7:7" ht="15.6">
      <c r="G23" s="345"/>
    </row>
    <row r="24" spans="7:7" ht="15.6">
      <c r="G24" s="345"/>
    </row>
    <row r="25" spans="7:7" ht="15.6">
      <c r="G25" s="345"/>
    </row>
    <row r="26" spans="7:7" ht="15.6">
      <c r="G26" s="345"/>
    </row>
    <row r="27" spans="7:7" ht="18.899999999999999" customHeight="1">
      <c r="G27" s="345"/>
    </row>
    <row r="28" spans="7:7" ht="15.6">
      <c r="G28" s="345"/>
    </row>
    <row r="29" spans="7:7" ht="15.6">
      <c r="G29" s="345"/>
    </row>
    <row r="30" spans="7:7" ht="15.6">
      <c r="G30" s="345"/>
    </row>
    <row r="31" spans="7:7" ht="15.6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I11" sqref="I11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369" t="s">
        <v>402</v>
      </c>
      <c r="B3" s="367"/>
      <c r="C3" s="367"/>
      <c r="D3" s="367"/>
      <c r="E3" s="367"/>
      <c r="F3" s="368"/>
    </row>
    <row r="4" spans="1:6" ht="18.899999999999999" customHeight="1">
      <c r="A4" s="370"/>
      <c r="B4" s="371"/>
      <c r="C4" s="371"/>
      <c r="D4" s="371"/>
      <c r="E4" s="371"/>
      <c r="F4" s="372"/>
    </row>
    <row r="5" spans="1:6" ht="18.899999999999999" customHeight="1">
      <c r="A5" s="370"/>
      <c r="B5" s="371"/>
      <c r="C5" s="371"/>
      <c r="D5" s="371"/>
      <c r="E5" s="371"/>
      <c r="F5" s="372"/>
    </row>
    <row r="6" spans="1:6" ht="18.899999999999999" customHeight="1">
      <c r="A6" s="551" t="s">
        <v>403</v>
      </c>
      <c r="B6" s="693" t="str">
        <f>'Performance Data Sheet'!C17</f>
        <v>M255TCQL11F-C</v>
      </c>
      <c r="C6" s="694"/>
      <c r="D6" s="695"/>
      <c r="E6" s="551" t="s">
        <v>404</v>
      </c>
      <c r="F6" s="552">
        <v>158</v>
      </c>
    </row>
    <row r="7" spans="1:6" ht="18.899999999999999" customHeight="1">
      <c r="A7" s="551" t="s">
        <v>405</v>
      </c>
      <c r="B7" s="552" t="str">
        <f>'Performance Data Sheet'!F14</f>
        <v>TEAAC</v>
      </c>
      <c r="C7" s="551" t="s">
        <v>406</v>
      </c>
      <c r="D7" s="552" t="s">
        <v>428</v>
      </c>
      <c r="E7" s="551" t="s">
        <v>407</v>
      </c>
      <c r="F7" s="552" t="str">
        <f>'Performance Data Sheet'!C14</f>
        <v>6810US</v>
      </c>
    </row>
    <row r="8" spans="1:6" ht="18.899999999999999" customHeight="1">
      <c r="A8" s="551" t="s">
        <v>408</v>
      </c>
      <c r="B8" s="552">
        <v>4</v>
      </c>
      <c r="C8" s="551" t="s">
        <v>409</v>
      </c>
      <c r="D8" s="552" t="s">
        <v>410</v>
      </c>
      <c r="E8" s="551" t="s">
        <v>411</v>
      </c>
      <c r="F8" s="552" t="str">
        <f>'Performance Data Sheet'!M15</f>
        <v>F</v>
      </c>
    </row>
    <row r="9" spans="1:6" ht="18.899999999999999" customHeight="1">
      <c r="A9" s="551" t="s">
        <v>412</v>
      </c>
      <c r="B9" s="552">
        <v>1250</v>
      </c>
      <c r="C9" s="551" t="s">
        <v>413</v>
      </c>
      <c r="D9" s="552" t="s">
        <v>429</v>
      </c>
      <c r="E9" s="551" t="s">
        <v>2</v>
      </c>
      <c r="F9" s="553">
        <f>'Performance Data Sheet'!K45</f>
        <v>41984</v>
      </c>
    </row>
    <row r="10" spans="1:6" ht="18.899999999999999" customHeight="1">
      <c r="A10" s="551" t="s">
        <v>414</v>
      </c>
      <c r="B10" s="552">
        <v>1785</v>
      </c>
      <c r="C10" s="551" t="s">
        <v>415</v>
      </c>
      <c r="D10" s="552" t="s">
        <v>416</v>
      </c>
      <c r="E10" s="551" t="s">
        <v>1</v>
      </c>
      <c r="F10" s="552" t="s">
        <v>363</v>
      </c>
    </row>
    <row r="11" spans="1:6" ht="18.899999999999999" customHeight="1">
      <c r="A11" s="370"/>
      <c r="B11" s="371"/>
      <c r="C11" s="371"/>
      <c r="D11" s="371"/>
      <c r="E11" s="371"/>
      <c r="F11" s="372"/>
    </row>
    <row r="12" spans="1:6" ht="18.899999999999999" customHeight="1">
      <c r="A12" s="370"/>
      <c r="B12" s="376" t="s">
        <v>417</v>
      </c>
      <c r="C12" s="377" t="s">
        <v>430</v>
      </c>
      <c r="D12" s="376" t="s">
        <v>418</v>
      </c>
      <c r="E12" s="377" t="s">
        <v>416</v>
      </c>
      <c r="F12" s="372"/>
    </row>
    <row r="13" spans="1:6" ht="18.899999999999999" customHeight="1">
      <c r="A13" s="370"/>
      <c r="B13" s="376" t="s">
        <v>419</v>
      </c>
      <c r="C13" s="378">
        <v>0.75</v>
      </c>
      <c r="D13" s="376" t="s">
        <v>420</v>
      </c>
      <c r="E13" s="377" t="s">
        <v>416</v>
      </c>
      <c r="F13" s="372"/>
    </row>
    <row r="14" spans="1:6" ht="18.899999999999999" customHeight="1">
      <c r="A14" s="370"/>
      <c r="B14" s="376" t="s">
        <v>421</v>
      </c>
      <c r="C14" s="378">
        <v>2.35</v>
      </c>
      <c r="D14" s="376" t="s">
        <v>422</v>
      </c>
      <c r="E14" s="377" t="s">
        <v>416</v>
      </c>
      <c r="F14" s="372"/>
    </row>
    <row r="15" spans="1:6" ht="18.899999999999999" customHeight="1">
      <c r="A15" s="370"/>
      <c r="B15" s="376" t="s">
        <v>423</v>
      </c>
      <c r="C15" s="377" t="s">
        <v>751</v>
      </c>
      <c r="D15" s="371"/>
      <c r="E15" s="371"/>
      <c r="F15" s="372"/>
    </row>
    <row r="16" spans="1:6" ht="18.899999999999999" customHeight="1">
      <c r="A16" s="370"/>
      <c r="B16" s="371"/>
      <c r="C16" s="371"/>
      <c r="D16" s="371"/>
      <c r="E16" s="371"/>
      <c r="F16" s="372"/>
    </row>
    <row r="17" spans="1:6" ht="18.899999999999999" customHeight="1">
      <c r="A17" s="370"/>
      <c r="B17" s="371"/>
      <c r="C17" s="371"/>
      <c r="D17" s="371"/>
      <c r="E17" s="371"/>
      <c r="F17" s="372"/>
    </row>
    <row r="18" spans="1:6" ht="18.899999999999999" customHeight="1">
      <c r="A18" s="370"/>
      <c r="B18" s="371"/>
      <c r="C18" s="371"/>
      <c r="D18" s="371"/>
      <c r="E18" s="371"/>
      <c r="F18" s="372"/>
    </row>
    <row r="19" spans="1:6" ht="18.899999999999999" customHeight="1">
      <c r="A19" s="370"/>
      <c r="B19" s="371"/>
      <c r="C19" s="371"/>
      <c r="D19" s="371"/>
      <c r="E19" s="371"/>
      <c r="F19" s="372"/>
    </row>
    <row r="20" spans="1:6" ht="18.899999999999999" customHeight="1">
      <c r="A20" s="370"/>
      <c r="B20" s="371"/>
      <c r="C20" s="371"/>
      <c r="D20" s="371"/>
      <c r="E20" s="371"/>
      <c r="F20" s="372"/>
    </row>
    <row r="21" spans="1:6" ht="18.899999999999999" customHeight="1">
      <c r="A21" s="370"/>
      <c r="B21" s="371"/>
      <c r="C21" s="371"/>
      <c r="D21" s="371"/>
      <c r="E21" s="371"/>
      <c r="F21" s="372"/>
    </row>
    <row r="22" spans="1:6" ht="18.899999999999999" customHeight="1">
      <c r="A22" s="370"/>
      <c r="B22" s="371"/>
      <c r="C22" s="371"/>
      <c r="D22" s="371"/>
      <c r="E22" s="371"/>
      <c r="F22" s="372"/>
    </row>
    <row r="23" spans="1:6" ht="18.899999999999999" customHeight="1">
      <c r="A23" s="370"/>
      <c r="B23" s="371"/>
      <c r="C23" s="371"/>
      <c r="D23" s="371"/>
      <c r="E23" s="371"/>
      <c r="F23" s="372"/>
    </row>
    <row r="24" spans="1:6" ht="18.899999999999999" customHeight="1">
      <c r="A24" s="370"/>
      <c r="B24" s="371"/>
      <c r="C24" s="371"/>
      <c r="D24" s="371"/>
      <c r="E24" s="371"/>
      <c r="F24" s="372"/>
    </row>
    <row r="25" spans="1:6" ht="18.899999999999999" customHeight="1">
      <c r="A25" s="370"/>
      <c r="B25" s="371"/>
      <c r="C25" s="371"/>
      <c r="D25" s="371"/>
      <c r="E25" s="371"/>
      <c r="F25" s="372"/>
    </row>
    <row r="26" spans="1:6" ht="18.899999999999999" customHeight="1">
      <c r="A26" s="370"/>
      <c r="B26" s="371"/>
      <c r="C26" s="371"/>
      <c r="D26" s="371"/>
      <c r="E26" s="371"/>
      <c r="F26" s="372"/>
    </row>
    <row r="27" spans="1:6" ht="18.899999999999999" customHeight="1">
      <c r="A27" s="370"/>
      <c r="B27" s="371"/>
      <c r="C27" s="371"/>
      <c r="D27" s="371"/>
      <c r="E27" s="371"/>
      <c r="F27" s="372"/>
    </row>
    <row r="28" spans="1:6" ht="18.899999999999999" customHeight="1">
      <c r="A28" s="370"/>
      <c r="B28" s="371"/>
      <c r="C28" s="371"/>
      <c r="D28" s="371"/>
      <c r="E28" s="371"/>
      <c r="F28" s="372"/>
    </row>
    <row r="29" spans="1:6" ht="18.899999999999999" customHeight="1">
      <c r="A29" s="370"/>
      <c r="B29" s="371"/>
      <c r="C29" s="371"/>
      <c r="D29" s="371"/>
      <c r="E29" s="371"/>
      <c r="F29" s="372"/>
    </row>
    <row r="30" spans="1:6" ht="18.899999999999999" customHeight="1">
      <c r="A30" s="370"/>
      <c r="B30" s="371"/>
      <c r="C30" s="371"/>
      <c r="D30" s="371"/>
      <c r="E30" s="371"/>
      <c r="F30" s="372"/>
    </row>
    <row r="31" spans="1:6" ht="18.899999999999999" customHeight="1">
      <c r="A31" s="370"/>
      <c r="B31" s="371"/>
      <c r="C31" s="371"/>
      <c r="D31" s="371"/>
      <c r="E31" s="371"/>
      <c r="F31" s="372"/>
    </row>
    <row r="32" spans="1:6" ht="18.899999999999999" customHeight="1">
      <c r="A32" s="370"/>
      <c r="B32" s="371"/>
      <c r="C32" s="371"/>
      <c r="D32" s="371"/>
      <c r="E32" s="371"/>
      <c r="F32" s="372"/>
    </row>
    <row r="33" spans="1:6" ht="18.899999999999999" customHeight="1">
      <c r="A33" s="370"/>
      <c r="B33" s="371"/>
      <c r="C33" s="371"/>
      <c r="D33" s="371"/>
      <c r="E33" s="371"/>
      <c r="F33" s="372"/>
    </row>
    <row r="34" spans="1:6" ht="18.899999999999999" customHeight="1">
      <c r="A34" s="370"/>
      <c r="B34" s="371"/>
      <c r="C34" s="371"/>
      <c r="D34" s="371"/>
      <c r="E34" s="371"/>
      <c r="F34" s="372"/>
    </row>
    <row r="35" spans="1:6" ht="18.899999999999999" customHeight="1">
      <c r="A35" s="370"/>
      <c r="B35" s="371"/>
      <c r="C35" s="371"/>
      <c r="D35" s="371"/>
      <c r="E35" s="371"/>
      <c r="F35" s="372"/>
    </row>
    <row r="36" spans="1:6" ht="18.899999999999999" customHeight="1">
      <c r="A36" s="370"/>
      <c r="B36" s="371"/>
      <c r="C36" s="371"/>
      <c r="D36" s="371"/>
      <c r="E36" s="371"/>
      <c r="F36" s="372"/>
    </row>
    <row r="37" spans="1:6" ht="18.899999999999999" customHeight="1">
      <c r="A37" s="370"/>
      <c r="B37" s="371"/>
      <c r="C37" s="371"/>
      <c r="D37" s="371"/>
      <c r="E37" s="371"/>
      <c r="F37" s="372"/>
    </row>
    <row r="38" spans="1:6" ht="18.899999999999999" customHeight="1">
      <c r="A38" s="370"/>
      <c r="B38" s="371"/>
      <c r="C38" s="371"/>
      <c r="D38" s="371"/>
      <c r="E38" s="371"/>
      <c r="F38" s="372"/>
    </row>
    <row r="39" spans="1:6" ht="18.899999999999999" customHeight="1">
      <c r="A39" s="557" t="s">
        <v>424</v>
      </c>
      <c r="B39" s="558"/>
      <c r="C39" s="558"/>
      <c r="D39" s="549"/>
      <c r="E39" s="554" t="s">
        <v>425</v>
      </c>
      <c r="F39" s="559" t="s">
        <v>363</v>
      </c>
    </row>
    <row r="40" spans="1:6" ht="18.899999999999999" customHeight="1">
      <c r="A40" s="548"/>
      <c r="B40" s="558"/>
      <c r="C40" s="558"/>
      <c r="D40" s="549"/>
      <c r="E40" s="549"/>
      <c r="F40" s="550"/>
    </row>
    <row r="41" spans="1:6" ht="18.899999999999999" customHeight="1">
      <c r="A41" s="548"/>
      <c r="B41" s="558"/>
      <c r="C41" s="558"/>
      <c r="D41" s="549"/>
      <c r="E41" s="549"/>
      <c r="F41" s="550"/>
    </row>
    <row r="42" spans="1:6" ht="18.899999999999999" customHeight="1">
      <c r="A42" s="548"/>
      <c r="B42" s="549"/>
      <c r="C42" s="549"/>
      <c r="D42" s="549"/>
      <c r="E42" s="549"/>
      <c r="F42" s="550"/>
    </row>
    <row r="43" spans="1:6" ht="18.899999999999999" customHeight="1">
      <c r="A43" s="560"/>
      <c r="B43" s="558"/>
      <c r="C43" s="561" t="s">
        <v>426</v>
      </c>
      <c r="D43" s="562" t="str">
        <f>'Performance Data Sheet'!K43</f>
        <v>Mario L</v>
      </c>
      <c r="E43" s="561" t="s">
        <v>427</v>
      </c>
      <c r="F43" s="56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0.28486967086791992</v>
      </c>
    </row>
    <row r="55" spans="1:3" ht="15" customHeight="1">
      <c r="A55" s="388">
        <v>99.799999967217445</v>
      </c>
      <c r="B55" s="362">
        <v>126.68125582787656</v>
      </c>
      <c r="C55" s="362">
        <v>138.66130065917969</v>
      </c>
    </row>
    <row r="56" spans="1:3" ht="15" customHeight="1">
      <c r="A56" s="388">
        <v>98.999999836087227</v>
      </c>
      <c r="B56" s="362">
        <v>235</v>
      </c>
      <c r="C56" s="362">
        <v>406.15032958984375</v>
      </c>
    </row>
    <row r="57" spans="1:3">
      <c r="A57" s="388">
        <v>93.789473548531532</v>
      </c>
      <c r="B57" s="362">
        <v>131.07021744559574</v>
      </c>
      <c r="C57" s="362">
        <v>473.87982177734375</v>
      </c>
    </row>
    <row r="58" spans="1:3">
      <c r="A58" s="388">
        <v>88.578946888446808</v>
      </c>
      <c r="B58" s="362">
        <v>102.97934751200661</v>
      </c>
      <c r="C58" s="362">
        <v>493.82098388671875</v>
      </c>
    </row>
    <row r="59" spans="1:3">
      <c r="A59" s="388">
        <v>83.368420600891113</v>
      </c>
      <c r="B59" s="362">
        <v>90.666068100233872</v>
      </c>
      <c r="C59" s="362">
        <v>504.2652587890625</v>
      </c>
    </row>
    <row r="60" spans="1:3">
      <c r="A60" s="388">
        <v>72.947368025779724</v>
      </c>
      <c r="B60" s="362">
        <v>83.066596426740119</v>
      </c>
      <c r="C60" s="362">
        <v>518.0836181640625</v>
      </c>
    </row>
    <row r="61" spans="1:3">
      <c r="A61" s="388">
        <v>62.526315450668335</v>
      </c>
      <c r="B61" s="362">
        <v>79.615648330344811</v>
      </c>
      <c r="C61" s="362">
        <v>528.48223876953125</v>
      </c>
    </row>
    <row r="62" spans="1:3">
      <c r="A62" s="388">
        <v>52.105262875556946</v>
      </c>
      <c r="B62" s="362">
        <v>77.65393122921688</v>
      </c>
      <c r="C62" s="362">
        <v>536.69512939453125</v>
      </c>
    </row>
    <row r="63" spans="1:3">
      <c r="A63" s="388">
        <v>41.684210300445557</v>
      </c>
      <c r="B63" s="362">
        <v>76.475088131896612</v>
      </c>
      <c r="C63" s="362">
        <v>543.22015380859375</v>
      </c>
    </row>
    <row r="64" spans="1:3">
      <c r="A64" s="388">
        <v>31.263160705566406</v>
      </c>
      <c r="B64" s="362">
        <v>75.768531943111071</v>
      </c>
      <c r="C64" s="362">
        <v>548.37457275390625</v>
      </c>
    </row>
    <row r="65" spans="1:3">
      <c r="A65" s="388">
        <v>20.842105150222778</v>
      </c>
      <c r="B65" s="362">
        <v>75.356322754165717</v>
      </c>
      <c r="C65" s="362">
        <v>552.5447998046875</v>
      </c>
    </row>
    <row r="66" spans="1:3">
      <c r="A66" s="388">
        <v>10.421055555343628</v>
      </c>
      <c r="B66" s="362">
        <v>75.124168548080732</v>
      </c>
      <c r="C66" s="362">
        <v>555.97930908203125</v>
      </c>
    </row>
    <row r="67" spans="1:3">
      <c r="A67" s="389">
        <v>0</v>
      </c>
      <c r="B67" s="362">
        <v>75</v>
      </c>
      <c r="C67" s="362">
        <v>558.86077880859375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44" customWidth="1"/>
    <col min="2" max="7" width="10.6640625" style="344" customWidth="1"/>
    <col min="8" max="16384" width="9.109375" style="344"/>
  </cols>
  <sheetData>
    <row r="1" spans="1:12" ht="21" customHeight="1">
      <c r="A1" s="401" t="s">
        <v>437</v>
      </c>
      <c r="B1" s="697" t="s">
        <v>476</v>
      </c>
      <c r="C1" s="697"/>
      <c r="D1" s="697"/>
      <c r="E1" s="697"/>
      <c r="F1" s="697"/>
      <c r="G1" s="697"/>
    </row>
    <row r="2" spans="1:12" ht="15" customHeight="1"/>
    <row r="3" spans="1:12" ht="20.399999999999999">
      <c r="A3" s="402" t="s">
        <v>438</v>
      </c>
    </row>
    <row r="4" spans="1:12" ht="12" customHeight="1">
      <c r="A4" s="345"/>
      <c r="B4" s="345"/>
      <c r="C4" s="345"/>
      <c r="D4" s="345" t="s">
        <v>490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439</v>
      </c>
      <c r="C5" s="403" t="s">
        <v>440</v>
      </c>
      <c r="D5" s="403" t="s">
        <v>441</v>
      </c>
      <c r="E5" s="403" t="s">
        <v>442</v>
      </c>
      <c r="F5" s="403" t="s">
        <v>443</v>
      </c>
      <c r="G5" s="403" t="s">
        <v>444</v>
      </c>
      <c r="H5" s="345"/>
      <c r="I5" s="345"/>
      <c r="J5" s="345"/>
      <c r="K5" s="345"/>
      <c r="L5" s="345"/>
    </row>
    <row r="6" spans="1:12" ht="15.6" customHeight="1">
      <c r="A6" s="404" t="s">
        <v>445</v>
      </c>
      <c r="B6" s="404" t="s">
        <v>165</v>
      </c>
      <c r="C6" s="404" t="s">
        <v>165</v>
      </c>
      <c r="D6" s="404" t="s">
        <v>446</v>
      </c>
      <c r="E6" s="404" t="s">
        <v>135</v>
      </c>
      <c r="F6" s="404" t="s">
        <v>447</v>
      </c>
      <c r="G6" s="404" t="s">
        <v>447</v>
      </c>
      <c r="H6" s="345"/>
      <c r="I6" s="345"/>
      <c r="J6" s="345"/>
      <c r="K6" s="345"/>
      <c r="L6" s="345"/>
    </row>
    <row r="7" spans="1:12" ht="15.9" customHeight="1">
      <c r="A7" s="405" t="s">
        <v>477</v>
      </c>
      <c r="B7" s="405" t="s">
        <v>491</v>
      </c>
      <c r="C7" s="405" t="s">
        <v>504</v>
      </c>
      <c r="D7" s="405" t="s">
        <v>516</v>
      </c>
      <c r="E7" s="405" t="s">
        <v>528</v>
      </c>
      <c r="F7" s="405" t="s">
        <v>541</v>
      </c>
      <c r="G7" s="405" t="s">
        <v>554</v>
      </c>
      <c r="H7" s="345"/>
      <c r="I7" s="345"/>
      <c r="J7" s="345"/>
      <c r="K7" s="345"/>
      <c r="L7" s="345"/>
    </row>
    <row r="8" spans="1:12" ht="15.9" customHeight="1">
      <c r="A8" s="405" t="s">
        <v>478</v>
      </c>
      <c r="B8" s="405" t="s">
        <v>492</v>
      </c>
      <c r="C8" s="405" t="s">
        <v>505</v>
      </c>
      <c r="D8" s="405" t="s">
        <v>517</v>
      </c>
      <c r="E8" s="405" t="s">
        <v>529</v>
      </c>
      <c r="F8" s="405" t="s">
        <v>542</v>
      </c>
      <c r="G8" s="405" t="s">
        <v>555</v>
      </c>
      <c r="H8" s="345"/>
      <c r="I8" s="345"/>
      <c r="J8" s="345"/>
      <c r="K8" s="345"/>
      <c r="L8" s="345"/>
    </row>
    <row r="9" spans="1:12" ht="15.9" customHeight="1">
      <c r="A9" s="405" t="s">
        <v>479</v>
      </c>
      <c r="B9" s="405" t="s">
        <v>493</v>
      </c>
      <c r="C9" s="405" t="s">
        <v>506</v>
      </c>
      <c r="D9" s="405" t="s">
        <v>518</v>
      </c>
      <c r="E9" s="405" t="s">
        <v>530</v>
      </c>
      <c r="F9" s="405" t="s">
        <v>543</v>
      </c>
      <c r="G9" s="405" t="s">
        <v>556</v>
      </c>
      <c r="H9" s="345"/>
      <c r="I9" s="345"/>
      <c r="J9" s="345"/>
      <c r="K9" s="345"/>
      <c r="L9" s="345"/>
    </row>
    <row r="10" spans="1:12" ht="15.9" customHeight="1">
      <c r="A10" s="405" t="s">
        <v>480</v>
      </c>
      <c r="B10" s="405" t="s">
        <v>494</v>
      </c>
      <c r="C10" s="405" t="s">
        <v>507</v>
      </c>
      <c r="D10" s="405" t="s">
        <v>518</v>
      </c>
      <c r="E10" s="405" t="s">
        <v>531</v>
      </c>
      <c r="F10" s="405" t="s">
        <v>544</v>
      </c>
      <c r="G10" s="405" t="s">
        <v>557</v>
      </c>
      <c r="H10" s="345"/>
      <c r="I10" s="345"/>
      <c r="J10" s="345"/>
      <c r="K10" s="345"/>
      <c r="L10" s="345"/>
    </row>
    <row r="11" spans="1:12" ht="15.9" customHeight="1">
      <c r="A11" s="405" t="s">
        <v>481</v>
      </c>
      <c r="B11" s="405" t="s">
        <v>495</v>
      </c>
      <c r="C11" s="405" t="s">
        <v>508</v>
      </c>
      <c r="D11" s="405" t="s">
        <v>519</v>
      </c>
      <c r="E11" s="405" t="s">
        <v>532</v>
      </c>
      <c r="F11" s="405" t="s">
        <v>545</v>
      </c>
      <c r="G11" s="405" t="s">
        <v>558</v>
      </c>
      <c r="H11" s="345"/>
      <c r="I11" s="345"/>
      <c r="J11" s="345"/>
      <c r="K11" s="345"/>
      <c r="L11" s="345"/>
    </row>
    <row r="12" spans="1:12" ht="15.9" customHeight="1">
      <c r="A12" s="405" t="s">
        <v>482</v>
      </c>
      <c r="B12" s="405" t="s">
        <v>496</v>
      </c>
      <c r="C12" s="405" t="s">
        <v>509</v>
      </c>
      <c r="D12" s="405" t="s">
        <v>520</v>
      </c>
      <c r="E12" s="405" t="s">
        <v>533</v>
      </c>
      <c r="F12" s="405" t="s">
        <v>546</v>
      </c>
      <c r="G12" s="405" t="s">
        <v>559</v>
      </c>
      <c r="H12" s="345"/>
      <c r="I12" s="345"/>
      <c r="J12" s="345"/>
      <c r="K12" s="345"/>
      <c r="L12" s="345"/>
    </row>
    <row r="13" spans="1:12" ht="15.9" customHeight="1">
      <c r="A13" s="405" t="s">
        <v>483</v>
      </c>
      <c r="B13" s="405" t="s">
        <v>497</v>
      </c>
      <c r="C13" s="405" t="s">
        <v>510</v>
      </c>
      <c r="D13" s="405" t="s">
        <v>521</v>
      </c>
      <c r="E13" s="405" t="s">
        <v>534</v>
      </c>
      <c r="F13" s="405" t="s">
        <v>547</v>
      </c>
      <c r="G13" s="405" t="s">
        <v>560</v>
      </c>
      <c r="H13" s="345"/>
      <c r="I13" s="345"/>
      <c r="J13" s="345"/>
      <c r="K13" s="345"/>
      <c r="L13" s="345"/>
    </row>
    <row r="14" spans="1:12" ht="15.9" customHeight="1">
      <c r="A14" s="405" t="s">
        <v>484</v>
      </c>
      <c r="B14" s="405" t="s">
        <v>498</v>
      </c>
      <c r="C14" s="405" t="s">
        <v>511</v>
      </c>
      <c r="D14" s="405" t="s">
        <v>522</v>
      </c>
      <c r="E14" s="405" t="s">
        <v>535</v>
      </c>
      <c r="F14" s="405" t="s">
        <v>548</v>
      </c>
      <c r="G14" s="405" t="s">
        <v>561</v>
      </c>
      <c r="H14" s="345"/>
      <c r="I14" s="345"/>
      <c r="J14" s="345"/>
      <c r="K14" s="345"/>
      <c r="L14" s="345"/>
    </row>
    <row r="15" spans="1:12" ht="15.9" customHeight="1">
      <c r="A15" s="405" t="s">
        <v>485</v>
      </c>
      <c r="B15" s="405" t="s">
        <v>499</v>
      </c>
      <c r="C15" s="405" t="s">
        <v>512</v>
      </c>
      <c r="D15" s="405" t="s">
        <v>523</v>
      </c>
      <c r="E15" s="405" t="s">
        <v>536</v>
      </c>
      <c r="F15" s="405" t="s">
        <v>549</v>
      </c>
      <c r="G15" s="405" t="s">
        <v>562</v>
      </c>
      <c r="H15" s="345"/>
      <c r="I15" s="345"/>
      <c r="J15" s="345"/>
      <c r="K15" s="345"/>
      <c r="L15" s="345"/>
    </row>
    <row r="16" spans="1:12" ht="15.9" customHeight="1">
      <c r="A16" s="405" t="s">
        <v>486</v>
      </c>
      <c r="B16" s="405" t="s">
        <v>500</v>
      </c>
      <c r="C16" s="405" t="s">
        <v>495</v>
      </c>
      <c r="D16" s="405" t="s">
        <v>524</v>
      </c>
      <c r="E16" s="405" t="s">
        <v>537</v>
      </c>
      <c r="F16" s="405" t="s">
        <v>550</v>
      </c>
      <c r="G16" s="405" t="s">
        <v>563</v>
      </c>
      <c r="H16" s="345"/>
      <c r="I16" s="345"/>
      <c r="J16" s="345"/>
      <c r="K16" s="345"/>
      <c r="L16" s="345"/>
    </row>
    <row r="17" spans="1:12" ht="15.9" customHeight="1">
      <c r="A17" s="405" t="s">
        <v>487</v>
      </c>
      <c r="B17" s="405" t="s">
        <v>501</v>
      </c>
      <c r="C17" s="405" t="s">
        <v>513</v>
      </c>
      <c r="D17" s="405" t="s">
        <v>525</v>
      </c>
      <c r="E17" s="405" t="s">
        <v>538</v>
      </c>
      <c r="F17" s="405" t="s">
        <v>551</v>
      </c>
      <c r="G17" s="405" t="s">
        <v>564</v>
      </c>
      <c r="H17" s="345"/>
      <c r="I17" s="345"/>
      <c r="J17" s="345"/>
      <c r="K17" s="345"/>
      <c r="L17" s="345"/>
    </row>
    <row r="18" spans="1:12" ht="15.9" customHeight="1">
      <c r="A18" s="405" t="s">
        <v>488</v>
      </c>
      <c r="B18" s="405" t="s">
        <v>502</v>
      </c>
      <c r="C18" s="405" t="s">
        <v>514</v>
      </c>
      <c r="D18" s="405" t="s">
        <v>526</v>
      </c>
      <c r="E18" s="405" t="s">
        <v>539</v>
      </c>
      <c r="F18" s="405" t="s">
        <v>552</v>
      </c>
      <c r="G18" s="405" t="s">
        <v>565</v>
      </c>
      <c r="H18" s="345"/>
      <c r="I18" s="345"/>
      <c r="J18" s="345"/>
      <c r="K18" s="345"/>
      <c r="L18" s="345"/>
    </row>
    <row r="19" spans="1:12" ht="15.9" customHeight="1">
      <c r="A19" s="405" t="s">
        <v>489</v>
      </c>
      <c r="B19" s="405" t="s">
        <v>503</v>
      </c>
      <c r="C19" s="405" t="s">
        <v>515</v>
      </c>
      <c r="D19" s="405" t="s">
        <v>527</v>
      </c>
      <c r="E19" s="405" t="s">
        <v>540</v>
      </c>
      <c r="F19" s="405" t="s">
        <v>553</v>
      </c>
      <c r="G19" s="405" t="s">
        <v>566</v>
      </c>
      <c r="H19" s="345"/>
      <c r="I19" s="345"/>
      <c r="J19" s="345"/>
      <c r="K19" s="345"/>
      <c r="L19" s="345"/>
    </row>
    <row r="20" spans="1:12" ht="15.6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6.2">
      <c r="A21" s="345"/>
      <c r="B21" s="345"/>
      <c r="C21" s="345"/>
      <c r="D21" s="698" t="s">
        <v>576</v>
      </c>
      <c r="E21" s="699"/>
      <c r="F21" s="699"/>
      <c r="G21" s="700"/>
      <c r="H21" s="345"/>
      <c r="I21" s="345"/>
      <c r="J21" s="345"/>
      <c r="K21" s="345"/>
      <c r="L21" s="345"/>
    </row>
    <row r="22" spans="1:12" ht="17.25" customHeight="1">
      <c r="A22" s="345"/>
      <c r="B22" s="701" t="s">
        <v>448</v>
      </c>
      <c r="C22" s="701"/>
      <c r="D22" s="701" t="s">
        <v>449</v>
      </c>
      <c r="E22" s="701"/>
      <c r="F22" s="701" t="s">
        <v>450</v>
      </c>
      <c r="G22" s="701"/>
      <c r="H22" s="345"/>
      <c r="I22" s="345"/>
      <c r="J22" s="345"/>
      <c r="K22" s="345"/>
      <c r="L22" s="345"/>
    </row>
    <row r="23" spans="1:12" ht="15.6">
      <c r="A23" s="406" t="s">
        <v>451</v>
      </c>
      <c r="B23" s="696" t="s">
        <v>567</v>
      </c>
      <c r="C23" s="696"/>
      <c r="D23" s="696" t="s">
        <v>570</v>
      </c>
      <c r="E23" s="696"/>
      <c r="F23" s="696" t="s">
        <v>573</v>
      </c>
      <c r="G23" s="696"/>
      <c r="H23" s="345"/>
      <c r="I23" s="345"/>
      <c r="J23" s="345"/>
      <c r="K23" s="345"/>
      <c r="L23" s="345"/>
    </row>
    <row r="24" spans="1:12" ht="18" customHeight="1">
      <c r="A24" s="406" t="s">
        <v>452</v>
      </c>
      <c r="B24" s="696" t="s">
        <v>568</v>
      </c>
      <c r="C24" s="696"/>
      <c r="D24" s="696" t="s">
        <v>571</v>
      </c>
      <c r="E24" s="696"/>
      <c r="F24" s="696" t="s">
        <v>574</v>
      </c>
      <c r="G24" s="696"/>
      <c r="H24" s="345"/>
      <c r="I24" s="345"/>
      <c r="J24" s="345"/>
      <c r="K24" s="345"/>
      <c r="L24" s="345"/>
    </row>
    <row r="25" spans="1:12" ht="15.6">
      <c r="A25" s="406" t="s">
        <v>453</v>
      </c>
      <c r="B25" s="696" t="s">
        <v>569</v>
      </c>
      <c r="C25" s="696"/>
      <c r="D25" s="696" t="s">
        <v>572</v>
      </c>
      <c r="E25" s="696"/>
      <c r="F25" s="696" t="s">
        <v>575</v>
      </c>
      <c r="G25" s="696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399999999999999">
      <c r="A27" s="402" t="s">
        <v>454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702" t="s">
        <v>455</v>
      </c>
      <c r="F28" s="699"/>
      <c r="G28" s="700"/>
      <c r="H28" s="345"/>
      <c r="I28" s="345"/>
      <c r="J28" s="345"/>
      <c r="K28" s="345"/>
      <c r="L28" s="345"/>
    </row>
    <row r="29" spans="1:12" ht="15.6">
      <c r="A29" s="345"/>
      <c r="B29" s="701" t="s">
        <v>456</v>
      </c>
      <c r="C29" s="701"/>
      <c r="D29" s="407" t="s">
        <v>457</v>
      </c>
      <c r="E29" s="407" t="s">
        <v>458</v>
      </c>
      <c r="F29" s="701" t="s">
        <v>459</v>
      </c>
      <c r="G29" s="701"/>
      <c r="H29" s="345"/>
      <c r="I29" s="345"/>
      <c r="J29" s="345"/>
      <c r="K29" s="345"/>
      <c r="L29" s="345"/>
    </row>
    <row r="30" spans="1:12" ht="15.6">
      <c r="A30" s="406" t="s">
        <v>460</v>
      </c>
      <c r="B30" s="696" t="s">
        <v>577</v>
      </c>
      <c r="C30" s="696"/>
      <c r="D30" s="405" t="s">
        <v>580</v>
      </c>
      <c r="E30" s="405" t="s">
        <v>461</v>
      </c>
      <c r="F30" s="696" t="s">
        <v>583</v>
      </c>
      <c r="G30" s="696"/>
      <c r="H30" s="345"/>
      <c r="I30" s="345"/>
      <c r="J30" s="345"/>
      <c r="K30" s="345"/>
      <c r="L30" s="345"/>
    </row>
    <row r="31" spans="1:12" ht="15.6">
      <c r="A31" s="406" t="s">
        <v>462</v>
      </c>
      <c r="B31" s="696" t="s">
        <v>578</v>
      </c>
      <c r="C31" s="696"/>
      <c r="D31" s="405" t="s">
        <v>581</v>
      </c>
      <c r="E31" s="405" t="s">
        <v>463</v>
      </c>
      <c r="F31" s="696" t="s">
        <v>584</v>
      </c>
      <c r="G31" s="696"/>
      <c r="H31" s="345"/>
      <c r="I31" s="345"/>
      <c r="J31" s="345"/>
      <c r="K31" s="345"/>
      <c r="L31" s="345"/>
    </row>
    <row r="32" spans="1:12" ht="15.6">
      <c r="A32" s="406" t="s">
        <v>464</v>
      </c>
      <c r="B32" s="696" t="s">
        <v>579</v>
      </c>
      <c r="C32" s="696"/>
      <c r="D32" s="405" t="s">
        <v>582</v>
      </c>
      <c r="E32" s="405" t="s">
        <v>465</v>
      </c>
      <c r="F32" s="696" t="s">
        <v>585</v>
      </c>
      <c r="G32" s="696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6">
      <c r="A34" s="345"/>
      <c r="B34" s="345"/>
      <c r="C34" s="345"/>
      <c r="D34" s="345"/>
      <c r="E34" s="702" t="s">
        <v>466</v>
      </c>
      <c r="F34" s="699"/>
      <c r="G34" s="700"/>
      <c r="H34" s="345"/>
      <c r="I34" s="345"/>
      <c r="J34" s="345"/>
      <c r="K34" s="345"/>
      <c r="L34" s="345"/>
    </row>
    <row r="35" spans="1:12" ht="15.6">
      <c r="A35" s="345"/>
      <c r="B35" s="701" t="s">
        <v>467</v>
      </c>
      <c r="C35" s="701"/>
      <c r="D35" s="407" t="s">
        <v>458</v>
      </c>
      <c r="E35" s="407" t="s">
        <v>468</v>
      </c>
      <c r="F35" s="407" t="s">
        <v>100</v>
      </c>
      <c r="G35" s="407" t="s">
        <v>469</v>
      </c>
      <c r="H35" s="345"/>
      <c r="I35" s="345"/>
      <c r="J35" s="345"/>
      <c r="K35" s="345"/>
      <c r="L35" s="345"/>
    </row>
    <row r="36" spans="1:12" ht="15.6">
      <c r="A36" s="406" t="s">
        <v>460</v>
      </c>
      <c r="B36" s="703" t="s">
        <v>586</v>
      </c>
      <c r="C36" s="704"/>
      <c r="D36" s="408" t="s">
        <v>588</v>
      </c>
      <c r="E36" s="408" t="s">
        <v>470</v>
      </c>
      <c r="F36" s="409" t="s">
        <v>471</v>
      </c>
      <c r="G36" s="405" t="s">
        <v>591</v>
      </c>
      <c r="H36" s="345"/>
      <c r="I36" s="345"/>
      <c r="J36" s="345"/>
      <c r="K36" s="345"/>
      <c r="L36" s="345"/>
    </row>
    <row r="37" spans="1:12" ht="15.6">
      <c r="A37" s="406" t="s">
        <v>462</v>
      </c>
      <c r="B37" s="703" t="s">
        <v>587</v>
      </c>
      <c r="C37" s="704"/>
      <c r="D37" s="408" t="s">
        <v>589</v>
      </c>
      <c r="E37" s="408" t="s">
        <v>470</v>
      </c>
      <c r="F37" s="409" t="s">
        <v>472</v>
      </c>
      <c r="G37" s="410" t="s">
        <v>592</v>
      </c>
      <c r="H37" s="345"/>
      <c r="I37" s="345"/>
      <c r="J37" s="345"/>
      <c r="K37" s="345"/>
      <c r="L37" s="345"/>
    </row>
    <row r="38" spans="1:12" ht="15.6">
      <c r="A38" s="406" t="s">
        <v>464</v>
      </c>
      <c r="B38" s="703" t="s">
        <v>587</v>
      </c>
      <c r="C38" s="704"/>
      <c r="D38" s="408" t="s">
        <v>590</v>
      </c>
      <c r="E38" s="408" t="s">
        <v>470</v>
      </c>
      <c r="F38" s="409" t="s">
        <v>473</v>
      </c>
      <c r="G38" s="405" t="s">
        <v>593</v>
      </c>
      <c r="H38" s="345"/>
      <c r="I38" s="345"/>
      <c r="J38" s="345"/>
      <c r="K38" s="345"/>
      <c r="L38" s="345"/>
    </row>
    <row r="39" spans="1:12" ht="15.6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6">
      <c r="A40" s="411" t="s">
        <v>474</v>
      </c>
      <c r="B40" s="705" t="s">
        <v>594</v>
      </c>
      <c r="C40" s="705"/>
      <c r="D40" s="706" t="s">
        <v>475</v>
      </c>
      <c r="E40" s="706"/>
      <c r="F40" s="705" t="s">
        <v>595</v>
      </c>
      <c r="G40" s="705"/>
      <c r="H40" s="345"/>
      <c r="I40" s="345"/>
      <c r="J40" s="345"/>
      <c r="K40" s="345"/>
      <c r="L40" s="345"/>
    </row>
    <row r="41" spans="1:12" ht="15.6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6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6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6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6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6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6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6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6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6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6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6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6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6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6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6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6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6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6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6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6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A39" sqref="A39:F43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707" t="s">
        <v>596</v>
      </c>
      <c r="B3" s="708"/>
      <c r="C3" s="708"/>
      <c r="D3" s="708"/>
      <c r="E3" s="708"/>
      <c r="F3" s="709"/>
    </row>
    <row r="4" spans="1:6" ht="18.899999999999999" customHeight="1">
      <c r="A4" s="710" t="s">
        <v>597</v>
      </c>
      <c r="B4" s="711"/>
      <c r="C4" s="711"/>
      <c r="D4" s="711"/>
      <c r="E4" s="711"/>
      <c r="F4" s="712"/>
    </row>
    <row r="5" spans="1:6" ht="18.899999999999999" customHeight="1">
      <c r="A5" s="370"/>
      <c r="B5" s="371"/>
      <c r="C5" s="371"/>
      <c r="D5" s="371"/>
      <c r="E5" s="371"/>
      <c r="F5" s="372"/>
    </row>
    <row r="6" spans="1:6" ht="18.899999999999999" customHeight="1">
      <c r="A6" s="373" t="s">
        <v>403</v>
      </c>
      <c r="B6" s="693" t="str">
        <f>'Performance Data Sheet'!C17</f>
        <v>M255TCQL11F-C</v>
      </c>
      <c r="C6" s="694"/>
      <c r="D6" s="695"/>
      <c r="E6" s="373" t="s">
        <v>404</v>
      </c>
      <c r="F6" s="374">
        <v>158</v>
      </c>
    </row>
    <row r="7" spans="1:6" ht="18.899999999999999" customHeight="1">
      <c r="A7" s="373" t="s">
        <v>405</v>
      </c>
      <c r="B7" s="374" t="str">
        <f>'Performance Data Sheet'!F14</f>
        <v>TEAAC</v>
      </c>
      <c r="C7" s="373" t="s">
        <v>406</v>
      </c>
      <c r="D7" s="374" t="s">
        <v>428</v>
      </c>
      <c r="E7" s="373" t="s">
        <v>407</v>
      </c>
      <c r="F7" s="374" t="str">
        <f>'Performance Data Sheet'!C14</f>
        <v>6810US</v>
      </c>
    </row>
    <row r="8" spans="1:6" ht="18.899999999999999" customHeight="1">
      <c r="A8" s="373" t="s">
        <v>408</v>
      </c>
      <c r="B8" s="374">
        <v>4</v>
      </c>
      <c r="C8" s="373" t="s">
        <v>409</v>
      </c>
      <c r="D8" s="374" t="s">
        <v>410</v>
      </c>
      <c r="E8" s="373" t="s">
        <v>411</v>
      </c>
      <c r="F8" s="374" t="str">
        <f>'Performance Data Sheet'!M15</f>
        <v>F</v>
      </c>
    </row>
    <row r="9" spans="1:6" ht="18.899999999999999" customHeight="1">
      <c r="A9" s="373" t="s">
        <v>412</v>
      </c>
      <c r="B9" s="374">
        <v>1250</v>
      </c>
      <c r="C9" s="373" t="s">
        <v>413</v>
      </c>
      <c r="D9" s="374" t="s">
        <v>429</v>
      </c>
      <c r="E9" s="373" t="s">
        <v>2</v>
      </c>
      <c r="F9" s="375">
        <f>'Performance Data Sheet'!K45</f>
        <v>41984</v>
      </c>
    </row>
    <row r="10" spans="1:6" ht="18.899999999999999" customHeight="1">
      <c r="A10" s="373" t="s">
        <v>414</v>
      </c>
      <c r="B10" s="374">
        <v>1785</v>
      </c>
      <c r="C10" s="373" t="s">
        <v>415</v>
      </c>
      <c r="D10" s="374" t="s">
        <v>602</v>
      </c>
      <c r="E10" s="373" t="s">
        <v>1</v>
      </c>
      <c r="F10" s="374" t="s">
        <v>363</v>
      </c>
    </row>
    <row r="11" spans="1:6" ht="18.899999999999999" customHeight="1">
      <c r="A11" s="370"/>
      <c r="B11" s="371"/>
      <c r="C11" s="371"/>
      <c r="D11" s="371"/>
      <c r="E11" s="371"/>
      <c r="F11" s="372"/>
    </row>
    <row r="12" spans="1:6" ht="18.899999999999999" customHeight="1">
      <c r="A12" s="370"/>
      <c r="B12" s="376"/>
      <c r="C12" s="377"/>
      <c r="D12" s="376"/>
      <c r="E12" s="377"/>
      <c r="F12" s="372"/>
    </row>
    <row r="13" spans="1:6" ht="18.899999999999999" customHeight="1">
      <c r="A13" s="370"/>
      <c r="B13" s="376"/>
      <c r="C13" s="378"/>
      <c r="D13" s="376"/>
      <c r="E13" s="377"/>
      <c r="F13" s="372"/>
    </row>
    <row r="14" spans="1:6" ht="18.899999999999999" customHeight="1">
      <c r="A14" s="370"/>
      <c r="B14" s="376"/>
      <c r="C14" s="378"/>
      <c r="D14" s="376"/>
      <c r="E14" s="377"/>
      <c r="F14" s="372"/>
    </row>
    <row r="15" spans="1:6" ht="18.899999999999999" customHeight="1">
      <c r="A15" s="370"/>
      <c r="B15" s="376"/>
      <c r="C15" s="377"/>
      <c r="D15" s="371"/>
      <c r="E15" s="371"/>
      <c r="F15" s="372"/>
    </row>
    <row r="16" spans="1:6" ht="18.899999999999999" customHeight="1">
      <c r="A16" s="370"/>
      <c r="B16" s="371"/>
      <c r="C16" s="371"/>
      <c r="D16" s="371"/>
      <c r="E16" s="371"/>
      <c r="F16" s="372"/>
    </row>
    <row r="17" spans="1:6" ht="18.899999999999999" customHeight="1">
      <c r="A17" s="370"/>
      <c r="B17" s="371"/>
      <c r="C17" s="371"/>
      <c r="D17" s="371"/>
      <c r="E17" s="371"/>
      <c r="F17" s="372"/>
    </row>
    <row r="18" spans="1:6" ht="18.899999999999999" customHeight="1">
      <c r="A18" s="370"/>
      <c r="B18" s="371"/>
      <c r="C18" s="371"/>
      <c r="D18" s="371"/>
      <c r="E18" s="371"/>
      <c r="F18" s="372"/>
    </row>
    <row r="19" spans="1:6" ht="18.899999999999999" customHeight="1">
      <c r="A19" s="370"/>
      <c r="B19" s="371"/>
      <c r="C19" s="371"/>
      <c r="D19" s="371"/>
      <c r="E19" s="371"/>
      <c r="F19" s="372"/>
    </row>
    <row r="20" spans="1:6" ht="18.899999999999999" customHeight="1">
      <c r="A20" s="370"/>
      <c r="B20" s="371"/>
      <c r="C20" s="371"/>
      <c r="D20" s="371"/>
      <c r="E20" s="371"/>
      <c r="F20" s="372"/>
    </row>
    <row r="21" spans="1:6" ht="18.899999999999999" customHeight="1">
      <c r="A21" s="370"/>
      <c r="B21" s="371"/>
      <c r="C21" s="371"/>
      <c r="D21" s="371"/>
      <c r="E21" s="371"/>
      <c r="F21" s="372"/>
    </row>
    <row r="22" spans="1:6" ht="18.899999999999999" customHeight="1">
      <c r="A22" s="370"/>
      <c r="B22" s="371"/>
      <c r="C22" s="371"/>
      <c r="D22" s="371"/>
      <c r="E22" s="371"/>
      <c r="F22" s="372"/>
    </row>
    <row r="23" spans="1:6" ht="18.899999999999999" customHeight="1">
      <c r="A23" s="370"/>
      <c r="B23" s="371"/>
      <c r="C23" s="371"/>
      <c r="D23" s="371"/>
      <c r="E23" s="371"/>
      <c r="F23" s="372"/>
    </row>
    <row r="24" spans="1:6" ht="18.899999999999999" customHeight="1">
      <c r="A24" s="370"/>
      <c r="B24" s="371"/>
      <c r="C24" s="371"/>
      <c r="D24" s="371"/>
      <c r="E24" s="371"/>
      <c r="F24" s="372"/>
    </row>
    <row r="25" spans="1:6" ht="18.899999999999999" customHeight="1">
      <c r="A25" s="370"/>
      <c r="B25" s="371"/>
      <c r="C25" s="371"/>
      <c r="D25" s="371"/>
      <c r="E25" s="371"/>
      <c r="F25" s="372"/>
    </row>
    <row r="26" spans="1:6" ht="18.899999999999999" customHeight="1">
      <c r="A26" s="370"/>
      <c r="B26" s="371"/>
      <c r="C26" s="371"/>
      <c r="D26" s="371"/>
      <c r="E26" s="371"/>
      <c r="F26" s="372"/>
    </row>
    <row r="27" spans="1:6" ht="18.899999999999999" customHeight="1">
      <c r="A27" s="370"/>
      <c r="B27" s="371"/>
      <c r="C27" s="371"/>
      <c r="D27" s="371"/>
      <c r="E27" s="371"/>
      <c r="F27" s="372"/>
    </row>
    <row r="28" spans="1:6" ht="18.899999999999999" customHeight="1">
      <c r="A28" s="370"/>
      <c r="B28" s="371"/>
      <c r="C28" s="371"/>
      <c r="D28" s="371"/>
      <c r="E28" s="371"/>
      <c r="F28" s="372"/>
    </row>
    <row r="29" spans="1:6" ht="18.899999999999999" customHeight="1">
      <c r="A29" s="370"/>
      <c r="B29" s="371"/>
      <c r="C29" s="371"/>
      <c r="D29" s="371"/>
      <c r="E29" s="371"/>
      <c r="F29" s="372"/>
    </row>
    <row r="30" spans="1:6" ht="18.899999999999999" customHeight="1">
      <c r="A30" s="370"/>
      <c r="B30" s="371"/>
      <c r="C30" s="371"/>
      <c r="D30" s="371"/>
      <c r="E30" s="371"/>
      <c r="F30" s="372"/>
    </row>
    <row r="31" spans="1:6" ht="18.899999999999999" customHeight="1">
      <c r="A31" s="370"/>
      <c r="B31" s="371"/>
      <c r="C31" s="371"/>
      <c r="D31" s="371"/>
      <c r="E31" s="371"/>
      <c r="F31" s="372"/>
    </row>
    <row r="32" spans="1:6" ht="18.899999999999999" customHeight="1">
      <c r="A32" s="370"/>
      <c r="B32" s="371"/>
      <c r="C32" s="371"/>
      <c r="D32" s="371"/>
      <c r="E32" s="371"/>
      <c r="F32" s="372"/>
    </row>
    <row r="33" spans="1:6" ht="18.899999999999999" customHeight="1">
      <c r="A33" s="370"/>
      <c r="B33" s="371"/>
      <c r="C33" s="371"/>
      <c r="D33" s="371"/>
      <c r="E33" s="371"/>
      <c r="F33" s="372"/>
    </row>
    <row r="34" spans="1:6" ht="18.899999999999999" customHeight="1">
      <c r="A34" s="370"/>
      <c r="B34" s="371"/>
      <c r="C34" s="371"/>
      <c r="D34" s="371"/>
      <c r="E34" s="371"/>
      <c r="F34" s="372"/>
    </row>
    <row r="35" spans="1:6" ht="18.899999999999999" customHeight="1">
      <c r="A35" s="370"/>
      <c r="B35" s="371"/>
      <c r="C35" s="371"/>
      <c r="D35" s="371"/>
      <c r="E35" s="371"/>
      <c r="F35" s="372"/>
    </row>
    <row r="36" spans="1:6" ht="18.899999999999999" customHeight="1">
      <c r="A36" s="370"/>
      <c r="B36" s="371"/>
      <c r="C36" s="371"/>
      <c r="D36" s="371"/>
      <c r="E36" s="371"/>
      <c r="F36" s="372"/>
    </row>
    <row r="37" spans="1:6" ht="18.899999999999999" customHeight="1">
      <c r="A37" s="370"/>
      <c r="B37" s="371"/>
      <c r="C37" s="371"/>
      <c r="D37" s="371"/>
      <c r="E37" s="371"/>
      <c r="F37" s="372"/>
    </row>
    <row r="38" spans="1:6" ht="18.899999999999999" customHeight="1">
      <c r="A38" s="370"/>
      <c r="B38" s="371"/>
      <c r="C38" s="371"/>
      <c r="D38" s="371"/>
      <c r="E38" s="371"/>
      <c r="F38" s="372"/>
    </row>
    <row r="39" spans="1:6" ht="18.899999999999999" customHeight="1">
      <c r="A39" s="379" t="s">
        <v>424</v>
      </c>
      <c r="B39" s="380"/>
      <c r="C39" s="380"/>
      <c r="D39" s="371"/>
      <c r="E39" s="376" t="s">
        <v>425</v>
      </c>
      <c r="F39" s="381" t="s">
        <v>363</v>
      </c>
    </row>
    <row r="40" spans="1:6" ht="18.899999999999999" customHeight="1">
      <c r="A40" s="370"/>
      <c r="B40" s="380"/>
      <c r="C40" s="380"/>
      <c r="D40" s="371"/>
      <c r="E40" s="371"/>
      <c r="F40" s="372"/>
    </row>
    <row r="41" spans="1:6" ht="18.899999999999999" customHeight="1">
      <c r="A41" s="370"/>
      <c r="B41" s="380"/>
      <c r="C41" s="380"/>
      <c r="D41" s="371"/>
      <c r="E41" s="371"/>
      <c r="F41" s="372"/>
    </row>
    <row r="42" spans="1:6" ht="18.899999999999999" customHeight="1">
      <c r="A42" s="370"/>
      <c r="B42" s="371"/>
      <c r="C42" s="371"/>
      <c r="D42" s="371"/>
      <c r="E42" s="371"/>
      <c r="F42" s="372"/>
    </row>
    <row r="43" spans="1:6" ht="18.899999999999999" customHeight="1">
      <c r="A43" s="382"/>
      <c r="B43" s="380"/>
      <c r="C43" s="383" t="s">
        <v>426</v>
      </c>
      <c r="D43" s="384" t="str">
        <f>'Performance Data Sheet'!K43</f>
        <v>Mario L</v>
      </c>
      <c r="E43" s="383" t="s">
        <v>427</v>
      </c>
      <c r="F43" s="38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400</v>
      </c>
      <c r="B67" s="416" t="s">
        <v>598</v>
      </c>
      <c r="C67" s="416" t="s">
        <v>599</v>
      </c>
      <c r="E67" s="416" t="s">
        <v>600</v>
      </c>
      <c r="F67" s="416" t="s">
        <v>601</v>
      </c>
    </row>
    <row r="68" spans="1:9">
      <c r="A68" s="417">
        <v>558.86075949367091</v>
      </c>
      <c r="B68" s="418">
        <v>35</v>
      </c>
      <c r="C68" s="418">
        <v>15</v>
      </c>
      <c r="E68" s="417">
        <f>A68</f>
        <v>558.86075949367091</v>
      </c>
      <c r="F68" s="418">
        <v>1E-4</v>
      </c>
    </row>
    <row r="69" spans="1:9">
      <c r="A69" s="417">
        <v>492.58046835443042</v>
      </c>
      <c r="B69" s="418">
        <f>((A68/A69)^2)*B68</f>
        <v>45.052708261709071</v>
      </c>
      <c r="C69" s="418">
        <f>((A68/A69)^2)*C68</f>
        <v>19.308303540732457</v>
      </c>
      <c r="E69" s="417">
        <v>557.40506329113919</v>
      </c>
      <c r="F69" s="418">
        <v>1.5369999408721924</v>
      </c>
    </row>
    <row r="70" spans="1:9">
      <c r="A70" s="417">
        <v>426.28029113924049</v>
      </c>
      <c r="B70" s="418">
        <f>((A68/A70)^2)*B68</f>
        <v>60.156806089309143</v>
      </c>
      <c r="C70" s="418">
        <f>((A68/A70)^2)*C68</f>
        <v>25.781488323989635</v>
      </c>
      <c r="E70" s="417">
        <v>554.24050632911394</v>
      </c>
      <c r="F70" s="418">
        <v>2.8029999732971191</v>
      </c>
    </row>
    <row r="71" spans="1:9">
      <c r="A71" s="417">
        <v>360</v>
      </c>
      <c r="B71" s="418">
        <f>((A68/A71)^2)*B68</f>
        <v>84.347123437997638</v>
      </c>
      <c r="C71" s="418">
        <f>((A68/A71)^2)*C68</f>
        <v>36.148767187713275</v>
      </c>
      <c r="E71" s="417">
        <v>550.44303797468353</v>
      </c>
      <c r="F71" s="418">
        <v>3.9860000610351562</v>
      </c>
    </row>
    <row r="72" spans="1:9">
      <c r="A72" s="417">
        <f>A71-100</f>
        <v>260</v>
      </c>
      <c r="B72" s="418">
        <f>((A68/A72)^2)*B68</f>
        <v>161.70691120657537</v>
      </c>
      <c r="C72" s="418"/>
      <c r="E72" s="417">
        <v>545.82278481012656</v>
      </c>
      <c r="F72" s="418">
        <v>5.1690001487731934</v>
      </c>
    </row>
    <row r="73" spans="1:9">
      <c r="A73" s="417">
        <f>A72-100</f>
        <v>160</v>
      </c>
      <c r="B73" s="418">
        <f>((A68/A73)^2)*B68</f>
        <v>427.007312404863</v>
      </c>
      <c r="C73" s="418"/>
      <c r="E73" s="417">
        <v>539.9367088607595</v>
      </c>
      <c r="F73" s="418">
        <v>6.4210000038146973</v>
      </c>
    </row>
    <row r="74" spans="1:9">
      <c r="A74" s="417">
        <v>235</v>
      </c>
      <c r="B74" s="418">
        <f>((A68/A74)^2)*B68</f>
        <v>197.94272879247612</v>
      </c>
      <c r="C74" s="418">
        <f>((A68/A74)^2)*C68</f>
        <v>84.832598053918332</v>
      </c>
      <c r="E74" s="417">
        <v>532.59493670886081</v>
      </c>
      <c r="F74" s="418">
        <v>7.8080000877380371</v>
      </c>
    </row>
    <row r="75" spans="1:9">
      <c r="A75" s="419">
        <v>180</v>
      </c>
      <c r="B75" s="418">
        <f>((A68/A75)^2)*B69</f>
        <v>434.29329656759671</v>
      </c>
      <c r="C75" s="418">
        <f>((A68/A75)^2)*C68</f>
        <v>144.5950687508531</v>
      </c>
      <c r="E75" s="417">
        <v>523.29113924050637</v>
      </c>
      <c r="F75" s="418">
        <v>9.430999755859375</v>
      </c>
    </row>
    <row r="76" spans="1:9">
      <c r="A76" s="419">
        <v>145</v>
      </c>
      <c r="B76" s="418">
        <f>((A68/A76)^2)*B68</f>
        <v>519.92329120401871</v>
      </c>
      <c r="C76" s="418">
        <f>((A68/A76)^2)*C68</f>
        <v>222.82426765886515</v>
      </c>
      <c r="E76" s="417">
        <v>511.20253164556959</v>
      </c>
      <c r="F76" s="418">
        <v>11.498000144958496</v>
      </c>
    </row>
    <row r="77" spans="1:9">
      <c r="A77" s="419">
        <v>125</v>
      </c>
      <c r="B77" s="418"/>
      <c r="C77" s="417">
        <f>CEILING(C76*2,100)</f>
        <v>500</v>
      </c>
      <c r="E77" s="417">
        <v>499.05063291139243</v>
      </c>
      <c r="F77" s="418">
        <v>12.725000381469727</v>
      </c>
    </row>
    <row r="78" spans="1:9">
      <c r="A78" s="419">
        <v>125</v>
      </c>
      <c r="B78" s="418"/>
      <c r="C78" s="417">
        <f>2*C77</f>
        <v>1000</v>
      </c>
      <c r="E78" s="417">
        <v>483.86075949367091</v>
      </c>
      <c r="F78" s="418">
        <v>13.74000072479248</v>
      </c>
    </row>
    <row r="79" spans="1:9">
      <c r="A79" s="419">
        <v>125</v>
      </c>
      <c r="B79" s="419"/>
      <c r="C79" s="419">
        <v>10000</v>
      </c>
      <c r="E79" s="417">
        <v>440</v>
      </c>
      <c r="F79" s="418">
        <v>14.180000305175781</v>
      </c>
    </row>
    <row r="80" spans="1:9">
      <c r="E80" s="417">
        <v>272.40506329113924</v>
      </c>
      <c r="F80" s="418">
        <v>14.256000518798828</v>
      </c>
    </row>
    <row r="81" spans="5:6">
      <c r="E81" s="417">
        <v>0</v>
      </c>
      <c r="F81" s="418">
        <v>14.371000289916992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ColWidth="9.109375" defaultRowHeight="13.2"/>
  <cols>
    <col min="1" max="1" width="9.5546875" style="344" customWidth="1"/>
    <col min="2" max="11" width="7.6640625" style="344" customWidth="1"/>
    <col min="12" max="16384" width="9.109375" style="344"/>
  </cols>
  <sheetData>
    <row r="1" spans="1:12" ht="20.399999999999999">
      <c r="A1" s="713" t="s">
        <v>603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8">
      <c r="A3" s="420" t="s">
        <v>437</v>
      </c>
      <c r="B3" s="421" t="s">
        <v>476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8">
      <c r="A5" s="422" t="s">
        <v>604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6">
      <c r="A7" s="345"/>
      <c r="B7" s="424" t="s">
        <v>605</v>
      </c>
      <c r="C7" s="425">
        <v>0</v>
      </c>
      <c r="D7" s="424" t="s">
        <v>605</v>
      </c>
      <c r="E7" s="426" t="s">
        <v>606</v>
      </c>
      <c r="F7" s="424" t="s">
        <v>605</v>
      </c>
      <c r="G7" s="426" t="s">
        <v>607</v>
      </c>
      <c r="H7" s="424" t="s">
        <v>608</v>
      </c>
      <c r="I7" s="426">
        <v>0</v>
      </c>
      <c r="J7" s="424" t="s">
        <v>608</v>
      </c>
      <c r="K7" s="426">
        <v>6.0000000000000001E-3</v>
      </c>
      <c r="L7" s="345"/>
    </row>
    <row r="8" spans="1:12" ht="15.6">
      <c r="A8" s="405" t="s">
        <v>609</v>
      </c>
      <c r="B8" s="696">
        <v>10</v>
      </c>
      <c r="C8" s="696"/>
      <c r="D8" s="696">
        <v>22</v>
      </c>
      <c r="E8" s="696"/>
      <c r="F8" s="696">
        <v>2</v>
      </c>
      <c r="G8" s="696"/>
      <c r="H8" s="696" t="s">
        <v>624</v>
      </c>
      <c r="I8" s="696"/>
      <c r="J8" s="696" t="s">
        <v>625</v>
      </c>
      <c r="K8" s="696"/>
      <c r="L8" s="345"/>
    </row>
    <row r="9" spans="1:12" ht="15.6">
      <c r="A9" s="405" t="s">
        <v>610</v>
      </c>
      <c r="B9" s="696">
        <v>18</v>
      </c>
      <c r="C9" s="696"/>
      <c r="D9" s="696">
        <v>30</v>
      </c>
      <c r="E9" s="696"/>
      <c r="F9" s="696">
        <v>6</v>
      </c>
      <c r="G9" s="696"/>
      <c r="H9" s="696" t="s">
        <v>626</v>
      </c>
      <c r="I9" s="696"/>
      <c r="J9" s="696" t="s">
        <v>627</v>
      </c>
      <c r="K9" s="696"/>
      <c r="L9" s="345"/>
    </row>
    <row r="10" spans="1:12" ht="15.6">
      <c r="A10" s="405" t="s">
        <v>611</v>
      </c>
      <c r="B10" s="696">
        <v>14</v>
      </c>
      <c r="C10" s="696"/>
      <c r="D10" s="696">
        <v>26</v>
      </c>
      <c r="E10" s="696"/>
      <c r="F10" s="696">
        <v>2</v>
      </c>
      <c r="G10" s="696"/>
      <c r="H10" s="696" t="s">
        <v>628</v>
      </c>
      <c r="I10" s="696"/>
      <c r="J10" s="696" t="s">
        <v>629</v>
      </c>
      <c r="K10" s="696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8">
      <c r="A12" s="422" t="s">
        <v>612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6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6">
      <c r="A14" s="345"/>
      <c r="B14" s="714" t="s">
        <v>613</v>
      </c>
      <c r="C14" s="703"/>
      <c r="D14" s="715" t="s">
        <v>630</v>
      </c>
      <c r="E14" s="696"/>
      <c r="F14" s="714" t="s">
        <v>614</v>
      </c>
      <c r="G14" s="703"/>
      <c r="H14" s="715" t="s">
        <v>635</v>
      </c>
      <c r="I14" s="696"/>
      <c r="J14" s="345"/>
      <c r="K14" s="345"/>
      <c r="L14" s="345"/>
    </row>
    <row r="15" spans="1:12" ht="15.6">
      <c r="A15" s="345"/>
      <c r="B15" s="714" t="s">
        <v>615</v>
      </c>
      <c r="C15" s="703"/>
      <c r="D15" s="715" t="s">
        <v>631</v>
      </c>
      <c r="E15" s="696"/>
      <c r="F15" s="714" t="s">
        <v>616</v>
      </c>
      <c r="G15" s="703"/>
      <c r="H15" s="715" t="s">
        <v>636</v>
      </c>
      <c r="I15" s="696"/>
      <c r="J15" s="345"/>
      <c r="K15" s="345"/>
      <c r="L15" s="345"/>
    </row>
    <row r="16" spans="1:12" ht="15.6">
      <c r="A16" s="345"/>
      <c r="B16" s="714" t="s">
        <v>617</v>
      </c>
      <c r="C16" s="703"/>
      <c r="D16" s="715" t="s">
        <v>632</v>
      </c>
      <c r="E16" s="696"/>
      <c r="F16" s="714" t="s">
        <v>618</v>
      </c>
      <c r="G16" s="703"/>
      <c r="H16" s="715" t="s">
        <v>637</v>
      </c>
      <c r="I16" s="696"/>
      <c r="J16" s="345"/>
      <c r="K16" s="345"/>
      <c r="L16" s="345"/>
    </row>
    <row r="17" spans="1:12" ht="15.6">
      <c r="A17" s="345"/>
      <c r="B17" s="714" t="s">
        <v>619</v>
      </c>
      <c r="C17" s="703"/>
      <c r="D17" s="715" t="s">
        <v>633</v>
      </c>
      <c r="E17" s="696"/>
      <c r="F17" s="714" t="s">
        <v>620</v>
      </c>
      <c r="G17" s="703"/>
      <c r="H17" s="715" t="s">
        <v>638</v>
      </c>
      <c r="I17" s="696"/>
      <c r="J17" s="345"/>
      <c r="K17" s="345"/>
      <c r="L17" s="345"/>
    </row>
    <row r="18" spans="1:12" ht="15.6">
      <c r="A18" s="345"/>
      <c r="B18" s="714" t="s">
        <v>621</v>
      </c>
      <c r="C18" s="703"/>
      <c r="D18" s="715" t="s">
        <v>634</v>
      </c>
      <c r="E18" s="696"/>
      <c r="F18" s="714" t="s">
        <v>622</v>
      </c>
      <c r="G18" s="703"/>
      <c r="H18" s="715" t="s">
        <v>639</v>
      </c>
      <c r="I18" s="696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8">
      <c r="A20" s="422" t="s">
        <v>623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6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8">
      <c r="A22" s="345"/>
      <c r="B22" s="422" t="s">
        <v>640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6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6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6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6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6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6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6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6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4" workbookViewId="0">
      <selection activeCell="B64" sqref="B64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369" t="s">
        <v>641</v>
      </c>
      <c r="B3" s="367"/>
      <c r="C3" s="367"/>
      <c r="D3" s="367"/>
      <c r="E3" s="367"/>
      <c r="F3" s="368"/>
    </row>
    <row r="4" spans="1:6" ht="18.899999999999999" customHeight="1">
      <c r="A4" s="710" t="s">
        <v>597</v>
      </c>
      <c r="B4" s="711"/>
      <c r="C4" s="711"/>
      <c r="D4" s="711"/>
      <c r="E4" s="711"/>
      <c r="F4" s="712"/>
    </row>
    <row r="5" spans="1:6" ht="18.899999999999999" customHeight="1">
      <c r="A5" s="370"/>
      <c r="B5" s="371"/>
      <c r="C5" s="371"/>
      <c r="D5" s="371"/>
      <c r="E5" s="371"/>
      <c r="F5" s="372"/>
    </row>
    <row r="6" spans="1:6" ht="18.899999999999999" customHeight="1">
      <c r="A6" s="551" t="s">
        <v>403</v>
      </c>
      <c r="B6" s="693" t="str">
        <f>'Performance Data Sheet'!C17</f>
        <v>M255TCQL11F-C</v>
      </c>
      <c r="C6" s="694"/>
      <c r="D6" s="695"/>
      <c r="E6" s="551" t="s">
        <v>404</v>
      </c>
      <c r="F6" s="552">
        <v>158</v>
      </c>
    </row>
    <row r="7" spans="1:6" ht="18.899999999999999" customHeight="1">
      <c r="A7" s="551" t="s">
        <v>405</v>
      </c>
      <c r="B7" s="552" t="str">
        <f>'Performance Data Sheet'!F14</f>
        <v>TEAAC</v>
      </c>
      <c r="C7" s="551" t="s">
        <v>406</v>
      </c>
      <c r="D7" s="552" t="s">
        <v>428</v>
      </c>
      <c r="E7" s="551" t="s">
        <v>407</v>
      </c>
      <c r="F7" s="552" t="str">
        <f>'Performance Data Sheet'!C14</f>
        <v>6810US</v>
      </c>
    </row>
    <row r="8" spans="1:6" ht="18.899999999999999" customHeight="1">
      <c r="A8" s="551" t="s">
        <v>408</v>
      </c>
      <c r="B8" s="552">
        <v>4</v>
      </c>
      <c r="C8" s="551" t="s">
        <v>409</v>
      </c>
      <c r="D8" s="552" t="s">
        <v>410</v>
      </c>
      <c r="E8" s="551" t="s">
        <v>411</v>
      </c>
      <c r="F8" s="552" t="str">
        <f>'Performance Data Sheet'!M15</f>
        <v>F</v>
      </c>
    </row>
    <row r="9" spans="1:6" ht="18.899999999999999" customHeight="1">
      <c r="A9" s="551" t="s">
        <v>412</v>
      </c>
      <c r="B9" s="552">
        <v>1250</v>
      </c>
      <c r="C9" s="551" t="s">
        <v>413</v>
      </c>
      <c r="D9" s="552" t="s">
        <v>429</v>
      </c>
      <c r="E9" s="551" t="s">
        <v>2</v>
      </c>
      <c r="F9" s="553">
        <f>'Performance Data Sheet'!K45</f>
        <v>41984</v>
      </c>
    </row>
    <row r="10" spans="1:6" ht="18.899999999999999" customHeight="1">
      <c r="A10" s="551" t="s">
        <v>414</v>
      </c>
      <c r="B10" s="552">
        <v>1785</v>
      </c>
      <c r="C10" s="551" t="s">
        <v>415</v>
      </c>
      <c r="D10" s="552" t="s">
        <v>602</v>
      </c>
      <c r="E10" s="551" t="s">
        <v>1</v>
      </c>
      <c r="F10" s="552" t="s">
        <v>363</v>
      </c>
    </row>
    <row r="11" spans="1:6" ht="18.899999999999999" customHeight="1">
      <c r="A11" s="370"/>
      <c r="B11" s="371"/>
      <c r="C11" s="371"/>
      <c r="D11" s="371"/>
      <c r="E11" s="371"/>
      <c r="F11" s="372"/>
    </row>
    <row r="12" spans="1:6" ht="18.899999999999999" customHeight="1">
      <c r="A12" s="548"/>
      <c r="B12" s="554" t="s">
        <v>417</v>
      </c>
      <c r="C12" s="555" t="s">
        <v>430</v>
      </c>
      <c r="D12" s="554" t="s">
        <v>418</v>
      </c>
      <c r="E12" s="555" t="s">
        <v>416</v>
      </c>
      <c r="F12" s="372"/>
    </row>
    <row r="13" spans="1:6" ht="18.899999999999999" customHeight="1">
      <c r="A13" s="548"/>
      <c r="B13" s="554" t="s">
        <v>419</v>
      </c>
      <c r="C13" s="556">
        <v>0.75</v>
      </c>
      <c r="D13" s="554" t="s">
        <v>420</v>
      </c>
      <c r="E13" s="555" t="s">
        <v>416</v>
      </c>
      <c r="F13" s="372"/>
    </row>
    <row r="14" spans="1:6" ht="18.899999999999999" customHeight="1">
      <c r="A14" s="548"/>
      <c r="B14" s="554" t="s">
        <v>421</v>
      </c>
      <c r="C14" s="556">
        <v>2.35</v>
      </c>
      <c r="D14" s="554" t="s">
        <v>422</v>
      </c>
      <c r="E14" s="555" t="s">
        <v>416</v>
      </c>
      <c r="F14" s="372"/>
    </row>
    <row r="15" spans="1:6" ht="18.899999999999999" customHeight="1">
      <c r="A15" s="548"/>
      <c r="B15" s="554" t="s">
        <v>423</v>
      </c>
      <c r="C15" s="555" t="s">
        <v>751</v>
      </c>
      <c r="D15" s="549"/>
      <c r="E15" s="549"/>
      <c r="F15" s="372"/>
    </row>
    <row r="16" spans="1:6" ht="18.899999999999999" customHeight="1">
      <c r="A16" s="370"/>
      <c r="B16" s="371"/>
      <c r="C16" s="371"/>
      <c r="D16" s="371"/>
      <c r="E16" s="371"/>
      <c r="F16" s="372"/>
    </row>
    <row r="17" spans="1:8" ht="18.899999999999999" customHeight="1">
      <c r="A17" s="370"/>
      <c r="B17" s="371"/>
      <c r="C17" s="371"/>
      <c r="D17" s="371"/>
      <c r="E17" s="371"/>
      <c r="F17" s="372"/>
    </row>
    <row r="18" spans="1:8" ht="18.899999999999999" customHeight="1">
      <c r="A18" s="370"/>
      <c r="B18" s="371"/>
      <c r="C18" s="371"/>
      <c r="D18" s="371"/>
      <c r="E18" s="371"/>
      <c r="F18" s="372"/>
    </row>
    <row r="19" spans="1:8" ht="18.899999999999999" customHeight="1">
      <c r="A19" s="370"/>
      <c r="B19" s="371"/>
      <c r="C19" s="371"/>
      <c r="D19" s="371"/>
      <c r="E19" s="371"/>
      <c r="F19" s="372"/>
    </row>
    <row r="20" spans="1:8" ht="18.899999999999999" customHeight="1">
      <c r="A20" s="370"/>
      <c r="B20" s="371"/>
      <c r="C20" s="371"/>
      <c r="D20" s="371"/>
      <c r="E20" s="371"/>
      <c r="F20" s="372"/>
    </row>
    <row r="21" spans="1:8" ht="18.899999999999999" customHeight="1">
      <c r="A21" s="370"/>
      <c r="B21" s="371"/>
      <c r="C21" s="371"/>
      <c r="D21" s="371"/>
      <c r="E21" s="371"/>
      <c r="F21" s="372"/>
    </row>
    <row r="22" spans="1:8" ht="18.899999999999999" customHeight="1">
      <c r="A22" s="370"/>
      <c r="B22" s="371"/>
      <c r="C22" s="371"/>
      <c r="D22" s="371"/>
      <c r="E22" s="371"/>
      <c r="F22" s="372"/>
    </row>
    <row r="23" spans="1:8" ht="18.899999999999999" customHeight="1">
      <c r="A23" s="370"/>
      <c r="B23" s="371"/>
      <c r="C23" s="371"/>
      <c r="D23" s="371"/>
      <c r="E23" s="371"/>
      <c r="F23" s="372"/>
    </row>
    <row r="24" spans="1:8" ht="18.899999999999999" customHeight="1">
      <c r="A24" s="370"/>
      <c r="B24" s="371"/>
      <c r="C24" s="371"/>
      <c r="D24" s="371"/>
      <c r="E24" s="371"/>
      <c r="F24" s="372"/>
      <c r="H24" s="427"/>
    </row>
    <row r="25" spans="1:8" ht="18.899999999999999" customHeight="1">
      <c r="A25" s="370"/>
      <c r="B25" s="371"/>
      <c r="C25" s="371"/>
      <c r="D25" s="371"/>
      <c r="E25" s="371"/>
      <c r="F25" s="372"/>
    </row>
    <row r="26" spans="1:8" ht="18.899999999999999" customHeight="1">
      <c r="A26" s="370"/>
      <c r="B26" s="371"/>
      <c r="C26" s="371"/>
      <c r="D26" s="371"/>
      <c r="E26" s="371"/>
      <c r="F26" s="372"/>
    </row>
    <row r="27" spans="1:8" ht="18.899999999999999" customHeight="1">
      <c r="A27" s="370"/>
      <c r="B27" s="371"/>
      <c r="C27" s="371"/>
      <c r="D27" s="371"/>
      <c r="E27" s="371"/>
      <c r="F27" s="372"/>
    </row>
    <row r="28" spans="1:8" ht="18.899999999999999" customHeight="1">
      <c r="A28" s="370"/>
      <c r="B28" s="371"/>
      <c r="C28" s="371"/>
      <c r="D28" s="371"/>
      <c r="E28" s="371"/>
      <c r="F28" s="372"/>
    </row>
    <row r="29" spans="1:8" ht="18.899999999999999" customHeight="1">
      <c r="A29" s="370"/>
      <c r="B29" s="371"/>
      <c r="C29" s="371"/>
      <c r="D29" s="371"/>
      <c r="E29" s="371"/>
      <c r="F29" s="372"/>
    </row>
    <row r="30" spans="1:8" ht="18.899999999999999" customHeight="1">
      <c r="A30" s="370"/>
      <c r="B30" s="371"/>
      <c r="C30" s="371"/>
      <c r="D30" s="371"/>
      <c r="E30" s="371"/>
      <c r="F30" s="372"/>
    </row>
    <row r="31" spans="1:8" ht="18.899999999999999" customHeight="1">
      <c r="A31" s="370"/>
      <c r="B31" s="371"/>
      <c r="C31" s="371"/>
      <c r="D31" s="371"/>
      <c r="E31" s="371"/>
      <c r="F31" s="372"/>
    </row>
    <row r="32" spans="1:8" ht="18.899999999999999" customHeight="1">
      <c r="A32" s="370"/>
      <c r="B32" s="371"/>
      <c r="C32" s="371"/>
      <c r="D32" s="371"/>
      <c r="E32" s="371"/>
      <c r="F32" s="372"/>
    </row>
    <row r="33" spans="1:6" ht="18.899999999999999" customHeight="1">
      <c r="A33" s="370"/>
      <c r="B33" s="371"/>
      <c r="C33" s="371"/>
      <c r="D33" s="371"/>
      <c r="E33" s="371"/>
      <c r="F33" s="372"/>
    </row>
    <row r="34" spans="1:6" ht="18.899999999999999" customHeight="1">
      <c r="A34" s="370"/>
      <c r="B34" s="371"/>
      <c r="C34" s="371"/>
      <c r="D34" s="371"/>
      <c r="E34" s="371"/>
      <c r="F34" s="372"/>
    </row>
    <row r="35" spans="1:6" ht="18.899999999999999" customHeight="1">
      <c r="A35" s="370"/>
      <c r="B35" s="371"/>
      <c r="C35" s="371"/>
      <c r="D35" s="371"/>
      <c r="E35" s="371"/>
      <c r="F35" s="372"/>
    </row>
    <row r="36" spans="1:6" ht="18.899999999999999" customHeight="1">
      <c r="A36" s="370"/>
      <c r="B36" s="371"/>
      <c r="C36" s="371"/>
      <c r="D36" s="371"/>
      <c r="E36" s="371"/>
      <c r="F36" s="372"/>
    </row>
    <row r="37" spans="1:6" ht="18.899999999999999" customHeight="1">
      <c r="A37" s="370"/>
      <c r="B37" s="371"/>
      <c r="C37" s="371"/>
      <c r="D37" s="371"/>
      <c r="E37" s="371"/>
      <c r="F37" s="372"/>
    </row>
    <row r="38" spans="1:6" ht="18.899999999999999" customHeight="1">
      <c r="A38" s="370"/>
      <c r="B38" s="371"/>
      <c r="C38" s="371"/>
      <c r="D38" s="371"/>
      <c r="E38" s="371"/>
      <c r="F38" s="372"/>
    </row>
    <row r="39" spans="1:6" ht="18.899999999999999" customHeight="1">
      <c r="A39" s="557" t="s">
        <v>424</v>
      </c>
      <c r="B39" s="558"/>
      <c r="C39" s="558"/>
      <c r="D39" s="549"/>
      <c r="E39" s="554" t="s">
        <v>425</v>
      </c>
      <c r="F39" s="559" t="s">
        <v>363</v>
      </c>
    </row>
    <row r="40" spans="1:6" ht="18.899999999999999" customHeight="1">
      <c r="A40" s="548"/>
      <c r="B40" s="558"/>
      <c r="C40" s="558"/>
      <c r="D40" s="549"/>
      <c r="E40" s="549"/>
      <c r="F40" s="550"/>
    </row>
    <row r="41" spans="1:6" ht="18.899999999999999" customHeight="1">
      <c r="A41" s="548"/>
      <c r="B41" s="558"/>
      <c r="C41" s="558"/>
      <c r="D41" s="549"/>
      <c r="E41" s="549"/>
      <c r="F41" s="550"/>
    </row>
    <row r="42" spans="1:6" ht="18.899999999999999" customHeight="1">
      <c r="A42" s="548"/>
      <c r="B42" s="549"/>
      <c r="C42" s="549"/>
      <c r="D42" s="549"/>
      <c r="E42" s="549"/>
      <c r="F42" s="550"/>
    </row>
    <row r="43" spans="1:6" ht="18.899999999999999" customHeight="1">
      <c r="A43" s="560"/>
      <c r="B43" s="558"/>
      <c r="C43" s="561" t="s">
        <v>426</v>
      </c>
      <c r="D43" s="562" t="str">
        <f>'Performance Data Sheet'!K43</f>
        <v>Mario L</v>
      </c>
      <c r="E43" s="561" t="s">
        <v>427</v>
      </c>
      <c r="F43" s="56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431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642</v>
      </c>
    </row>
    <row r="54" spans="1:6" ht="15" customHeight="1">
      <c r="A54" s="430">
        <v>0</v>
      </c>
      <c r="B54" s="431"/>
      <c r="C54" s="432"/>
      <c r="D54" s="432">
        <v>45.410689940492595</v>
      </c>
      <c r="E54" s="432">
        <v>100</v>
      </c>
      <c r="F54" s="433">
        <v>0.40594999999999998</v>
      </c>
    </row>
    <row r="55" spans="1:6" ht="15" customHeight="1">
      <c r="A55" s="434">
        <v>25</v>
      </c>
      <c r="B55" s="435">
        <v>90.140289306640625</v>
      </c>
      <c r="C55" s="436">
        <v>60.362815856933594</v>
      </c>
      <c r="D55" s="436">
        <v>61.797672271728516</v>
      </c>
      <c r="E55" s="436">
        <v>64.762161602735006</v>
      </c>
      <c r="F55" s="437">
        <v>6.460847226773156</v>
      </c>
    </row>
    <row r="56" spans="1:6" ht="15" customHeight="1">
      <c r="A56" s="434">
        <v>50</v>
      </c>
      <c r="B56" s="435">
        <v>94.052261352539063</v>
      </c>
      <c r="C56" s="436">
        <v>80.144012451171875</v>
      </c>
      <c r="D56" s="436">
        <v>89.217529296875</v>
      </c>
      <c r="E56" s="436">
        <v>51.240261565976439</v>
      </c>
      <c r="F56" s="437">
        <v>12.384234698813168</v>
      </c>
    </row>
    <row r="57" spans="1:6">
      <c r="A57" s="434">
        <v>75</v>
      </c>
      <c r="B57" s="435">
        <v>95.22113037109375</v>
      </c>
      <c r="C57" s="436">
        <v>86.559051513671875</v>
      </c>
      <c r="D57" s="436">
        <v>122.38719177246094</v>
      </c>
      <c r="E57" s="436">
        <v>37.408137655925678</v>
      </c>
      <c r="F57" s="437">
        <v>18.348321871158841</v>
      </c>
    </row>
    <row r="58" spans="1:6">
      <c r="A58" s="434">
        <v>100</v>
      </c>
      <c r="B58" s="435">
        <v>95.5</v>
      </c>
      <c r="C58" s="436">
        <v>88.756027221679688</v>
      </c>
      <c r="D58" s="436">
        <v>158.43305969238281</v>
      </c>
      <c r="E58" s="436">
        <v>23.333891824132781</v>
      </c>
      <c r="F58" s="437">
        <v>24.355189995135571</v>
      </c>
    </row>
    <row r="59" spans="1:6" ht="13.8" thickBot="1">
      <c r="A59" s="438">
        <v>125</v>
      </c>
      <c r="B59" s="439">
        <v>95.6</v>
      </c>
      <c r="C59" s="440">
        <v>89.265655517578125</v>
      </c>
      <c r="D59" s="440">
        <v>196.66932678222656</v>
      </c>
      <c r="E59" s="440">
        <v>8.8547512915690625</v>
      </c>
      <c r="F59" s="441">
        <v>30.406675506260754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1"/>
  <sheetViews>
    <sheetView showGridLines="0" zoomScale="90" workbookViewId="0">
      <selection activeCell="I36" sqref="I36"/>
    </sheetView>
  </sheetViews>
  <sheetFormatPr defaultColWidth="12.5546875" defaultRowHeight="15.6"/>
  <cols>
    <col min="1" max="13" width="7" style="449" customWidth="1"/>
    <col min="14" max="14" width="7.109375" style="449" customWidth="1"/>
    <col min="15" max="16384" width="12.554687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643</v>
      </c>
      <c r="K1" s="445"/>
      <c r="L1" s="446" t="s">
        <v>644</v>
      </c>
      <c r="M1" s="447"/>
      <c r="N1" s="448"/>
    </row>
    <row r="2" spans="1:14" ht="17.100000000000001" customHeight="1">
      <c r="A2" s="450" t="s">
        <v>645</v>
      </c>
      <c r="B2" s="451"/>
      <c r="C2" s="451"/>
      <c r="D2" s="451"/>
      <c r="E2" s="451"/>
      <c r="F2" s="451"/>
      <c r="G2" s="451"/>
      <c r="H2" s="451"/>
      <c r="I2" s="451"/>
      <c r="J2" s="452" t="s">
        <v>646</v>
      </c>
      <c r="K2" s="453"/>
      <c r="L2" s="454" t="s">
        <v>647</v>
      </c>
      <c r="M2" s="455"/>
      <c r="N2" s="448"/>
    </row>
    <row r="3" spans="1:14" ht="15.9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648</v>
      </c>
      <c r="K3" s="453"/>
      <c r="L3" s="458" t="s">
        <v>649</v>
      </c>
      <c r="M3" s="455"/>
      <c r="N3" s="448"/>
    </row>
    <row r="4" spans="1:14" ht="15.9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650</v>
      </c>
      <c r="K4" s="453"/>
      <c r="L4" s="460" t="s">
        <v>651</v>
      </c>
      <c r="M4" s="455"/>
      <c r="N4" s="448"/>
    </row>
    <row r="5" spans="1:14" ht="15.9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652</v>
      </c>
      <c r="K5" s="453"/>
      <c r="L5" s="454">
        <v>1</v>
      </c>
      <c r="M5" s="455"/>
      <c r="N5" s="448"/>
    </row>
    <row r="6" spans="1:14" ht="15.9" customHeight="1">
      <c r="A6" s="461" t="s">
        <v>653</v>
      </c>
      <c r="B6" s="457"/>
      <c r="C6" s="457"/>
      <c r="D6" s="457"/>
      <c r="E6" s="457"/>
      <c r="F6" s="457"/>
      <c r="G6" s="457"/>
      <c r="H6" s="457"/>
      <c r="I6" s="457"/>
      <c r="J6" s="452" t="s">
        <v>654</v>
      </c>
      <c r="K6" s="453"/>
      <c r="L6" s="462" t="s">
        <v>655</v>
      </c>
      <c r="M6" s="455"/>
      <c r="N6" s="448"/>
    </row>
    <row r="7" spans="1:14" ht="15.9" customHeight="1" thickBot="1">
      <c r="A7" s="463" t="s">
        <v>656</v>
      </c>
      <c r="B7" s="464"/>
      <c r="C7" s="464"/>
      <c r="D7" s="464"/>
      <c r="E7" s="464"/>
      <c r="F7" s="464"/>
      <c r="G7" s="464"/>
      <c r="H7" s="464"/>
      <c r="I7" s="464"/>
      <c r="J7" s="465" t="s">
        <v>657</v>
      </c>
      <c r="K7" s="466"/>
      <c r="L7" s="467" t="s">
        <v>658</v>
      </c>
      <c r="M7" s="468"/>
      <c r="N7" s="448"/>
    </row>
    <row r="8" spans="1:14" ht="15.9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659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660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2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661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" customHeight="1" thickTop="1">
      <c r="A13" s="484"/>
      <c r="B13" s="485" t="s">
        <v>662</v>
      </c>
      <c r="C13" s="486">
        <v>1250</v>
      </c>
      <c r="D13" s="478"/>
      <c r="E13" s="485" t="s">
        <v>663</v>
      </c>
      <c r="F13" s="486">
        <v>4000</v>
      </c>
      <c r="G13" s="478"/>
      <c r="H13" s="485" t="s">
        <v>664</v>
      </c>
      <c r="I13" s="486" t="s">
        <v>746</v>
      </c>
      <c r="J13" s="478"/>
      <c r="K13" s="478"/>
      <c r="L13" s="485" t="s">
        <v>665</v>
      </c>
      <c r="M13" s="487">
        <v>1800</v>
      </c>
      <c r="N13" s="448"/>
    </row>
    <row r="14" spans="1:14" ht="12.9" customHeight="1">
      <c r="A14" s="484"/>
      <c r="B14" s="485" t="s">
        <v>666</v>
      </c>
      <c r="C14" s="486" t="s">
        <v>754</v>
      </c>
      <c r="D14" s="478"/>
      <c r="E14" s="485" t="s">
        <v>667</v>
      </c>
      <c r="F14" s="486" t="s">
        <v>752</v>
      </c>
      <c r="G14" s="478"/>
      <c r="H14" s="485" t="s">
        <v>668</v>
      </c>
      <c r="I14" s="486">
        <v>158</v>
      </c>
      <c r="J14" s="478"/>
      <c r="K14" s="478"/>
      <c r="L14" s="485" t="s">
        <v>414</v>
      </c>
      <c r="M14" s="487">
        <v>1785</v>
      </c>
      <c r="N14" s="448"/>
    </row>
    <row r="15" spans="1:14" ht="12.9" customHeight="1">
      <c r="A15" s="484"/>
      <c r="B15" s="485" t="s">
        <v>669</v>
      </c>
      <c r="C15" s="486" t="s">
        <v>176</v>
      </c>
      <c r="D15" s="478"/>
      <c r="E15" s="485" t="s">
        <v>670</v>
      </c>
      <c r="F15" s="486">
        <v>1.1499999999999999</v>
      </c>
      <c r="G15" s="478"/>
      <c r="H15" s="488" t="s">
        <v>671</v>
      </c>
      <c r="I15" s="486" t="s">
        <v>174</v>
      </c>
      <c r="J15" s="478"/>
      <c r="K15" s="478"/>
      <c r="L15" s="485" t="s">
        <v>672</v>
      </c>
      <c r="M15" s="487" t="s">
        <v>346</v>
      </c>
      <c r="N15" s="448"/>
    </row>
    <row r="16" spans="1:14" ht="12.9" customHeight="1">
      <c r="A16" s="484"/>
      <c r="B16" s="485" t="s">
        <v>673</v>
      </c>
      <c r="C16" s="486" t="s">
        <v>745</v>
      </c>
      <c r="D16" s="478"/>
      <c r="E16" s="485" t="s">
        <v>674</v>
      </c>
      <c r="F16" s="486" t="s">
        <v>470</v>
      </c>
      <c r="G16" s="478"/>
      <c r="H16" s="489" t="s">
        <v>675</v>
      </c>
      <c r="I16" s="490" t="s">
        <v>339</v>
      </c>
      <c r="J16" s="478"/>
      <c r="K16" s="478"/>
      <c r="L16" s="485" t="s">
        <v>676</v>
      </c>
      <c r="M16" s="487" t="s">
        <v>677</v>
      </c>
      <c r="N16" s="448"/>
    </row>
    <row r="17" spans="1:14" ht="12.9" customHeight="1">
      <c r="A17" s="484"/>
      <c r="B17" s="485" t="s">
        <v>678</v>
      </c>
      <c r="C17" s="491" t="s">
        <v>750</v>
      </c>
      <c r="D17" s="478"/>
      <c r="E17" s="485"/>
      <c r="F17" s="492"/>
      <c r="G17" s="478"/>
      <c r="H17" s="485" t="s">
        <v>679</v>
      </c>
      <c r="I17" s="490"/>
      <c r="J17" s="478"/>
      <c r="K17" s="478"/>
      <c r="L17" s="485"/>
      <c r="M17" s="493"/>
      <c r="N17" s="448"/>
    </row>
    <row r="18" spans="1:14" ht="12.9" customHeight="1" thickBot="1">
      <c r="A18" s="494"/>
      <c r="B18" s="495" t="s">
        <v>680</v>
      </c>
      <c r="C18" s="496" t="s">
        <v>174</v>
      </c>
      <c r="D18" s="497"/>
      <c r="E18" s="498" t="s">
        <v>681</v>
      </c>
      <c r="F18" s="496" t="s">
        <v>174</v>
      </c>
      <c r="G18" s="499"/>
      <c r="H18" s="498" t="s">
        <v>682</v>
      </c>
      <c r="I18" s="496" t="s">
        <v>174</v>
      </c>
      <c r="J18" s="497"/>
      <c r="K18" s="497"/>
      <c r="L18" s="497"/>
      <c r="M18" s="500"/>
      <c r="N18" s="448"/>
    </row>
    <row r="19" spans="1:14" ht="16.8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14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14" ht="15.9" customHeight="1" thickTop="1">
      <c r="A21" s="501" t="s">
        <v>683</v>
      </c>
      <c r="B21" s="502"/>
      <c r="C21" s="471"/>
      <c r="D21" s="503"/>
      <c r="E21" s="504" t="s">
        <v>684</v>
      </c>
      <c r="F21" s="505"/>
      <c r="G21" s="505"/>
      <c r="H21" s="506"/>
      <c r="I21" s="507" t="s">
        <v>685</v>
      </c>
      <c r="J21" s="508"/>
      <c r="K21" s="508"/>
      <c r="L21" s="471"/>
      <c r="M21" s="509"/>
    </row>
    <row r="22" spans="1:14" ht="15.9" customHeight="1">
      <c r="A22" s="510"/>
      <c r="B22" s="478"/>
      <c r="C22" s="511" t="s">
        <v>686</v>
      </c>
      <c r="D22" s="512">
        <v>883</v>
      </c>
      <c r="E22" s="485"/>
      <c r="G22" s="489" t="s">
        <v>687</v>
      </c>
      <c r="H22" s="513">
        <v>3678</v>
      </c>
      <c r="I22" s="511"/>
      <c r="J22" s="478"/>
      <c r="K22" s="511" t="s">
        <v>688</v>
      </c>
      <c r="L22" s="716" t="s">
        <v>753</v>
      </c>
      <c r="M22" s="717"/>
    </row>
    <row r="23" spans="1:14" ht="15.9" customHeight="1">
      <c r="A23" s="510"/>
      <c r="B23" s="511"/>
      <c r="C23" s="514"/>
      <c r="D23" s="515"/>
      <c r="E23" s="485"/>
      <c r="G23" s="485" t="s">
        <v>689</v>
      </c>
      <c r="H23" s="512">
        <v>75</v>
      </c>
      <c r="I23" s="478"/>
      <c r="J23" s="478"/>
      <c r="K23" s="485" t="s">
        <v>690</v>
      </c>
      <c r="L23" s="716" t="s">
        <v>753</v>
      </c>
      <c r="M23" s="717"/>
    </row>
    <row r="24" spans="1:14" ht="15.9" customHeight="1">
      <c r="A24" s="484"/>
      <c r="B24" s="485"/>
      <c r="C24" s="478"/>
      <c r="D24" s="515"/>
      <c r="E24" s="485"/>
      <c r="G24" s="489" t="s">
        <v>691</v>
      </c>
      <c r="H24" s="512">
        <v>235</v>
      </c>
      <c r="I24" s="478"/>
      <c r="J24" s="485"/>
      <c r="K24" s="478"/>
      <c r="L24" s="478"/>
      <c r="M24" s="493"/>
    </row>
    <row r="25" spans="1:14" ht="15.9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</row>
    <row r="26" spans="1:14" ht="18.899999999999999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</row>
    <row r="27" spans="1:14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</row>
    <row r="28" spans="1:14" ht="15.9" customHeight="1" thickTop="1">
      <c r="A28" s="524" t="s">
        <v>692</v>
      </c>
      <c r="B28" s="502"/>
      <c r="C28" s="471"/>
      <c r="D28" s="471"/>
      <c r="E28" s="505"/>
      <c r="F28" s="505"/>
      <c r="G28" s="525"/>
      <c r="H28" s="504" t="s">
        <v>693</v>
      </c>
      <c r="I28" s="505"/>
      <c r="J28" s="508"/>
      <c r="K28" s="504"/>
      <c r="L28" s="508"/>
      <c r="M28" s="509"/>
    </row>
    <row r="29" spans="1:14" ht="15.9" customHeight="1">
      <c r="A29" s="484"/>
      <c r="B29" s="511"/>
      <c r="C29" s="511" t="s">
        <v>694</v>
      </c>
      <c r="D29" s="526">
        <v>95.5</v>
      </c>
      <c r="E29" s="485"/>
      <c r="F29" s="485"/>
      <c r="G29" s="525"/>
      <c r="H29" s="489"/>
      <c r="I29" s="511"/>
      <c r="J29" s="511" t="s">
        <v>694</v>
      </c>
      <c r="K29" s="526">
        <v>88.8</v>
      </c>
      <c r="L29" s="478"/>
      <c r="M29" s="493"/>
    </row>
    <row r="30" spans="1:14" ht="15.9" customHeight="1">
      <c r="A30" s="527"/>
      <c r="B30" s="478"/>
      <c r="C30" s="511" t="s">
        <v>695</v>
      </c>
      <c r="D30" s="526">
        <v>95.2</v>
      </c>
      <c r="E30" s="485"/>
      <c r="F30" s="485"/>
      <c r="G30" s="525"/>
      <c r="H30" s="485"/>
      <c r="I30" s="478"/>
      <c r="J30" s="511" t="s">
        <v>695</v>
      </c>
      <c r="K30" s="526">
        <v>86.6</v>
      </c>
      <c r="L30" s="478"/>
      <c r="M30" s="493"/>
    </row>
    <row r="31" spans="1:14" ht="15.9" customHeight="1">
      <c r="A31" s="484"/>
      <c r="B31" s="485"/>
      <c r="C31" s="511" t="s">
        <v>696</v>
      </c>
      <c r="D31" s="526">
        <v>94</v>
      </c>
      <c r="E31" s="485"/>
      <c r="F31" s="485"/>
      <c r="G31" s="525"/>
      <c r="H31" s="485"/>
      <c r="I31" s="478"/>
      <c r="J31" s="511" t="s">
        <v>696</v>
      </c>
      <c r="K31" s="526">
        <v>80.2</v>
      </c>
      <c r="L31" s="485"/>
      <c r="M31" s="493"/>
    </row>
    <row r="32" spans="1:14" ht="15.9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</row>
    <row r="33" spans="1:14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</row>
    <row r="34" spans="1:14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14" ht="15.9" customHeight="1" thickTop="1">
      <c r="A35" s="534" t="s">
        <v>697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14" ht="15.9" customHeight="1">
      <c r="A36" s="527" t="s">
        <v>698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14" ht="15.9" customHeight="1">
      <c r="A37" s="536" t="s">
        <v>699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14" ht="15.9" customHeight="1">
      <c r="A38" s="538" t="s">
        <v>700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14" ht="15.9" customHeight="1">
      <c r="A39" s="539" t="s">
        <v>701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14" ht="15.9" customHeight="1" thickBot="1">
      <c r="A40" s="540" t="s">
        <v>702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14" ht="15.9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14" ht="15.9" customHeight="1"/>
    <row r="43" spans="1:14" ht="18.600000000000001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703</v>
      </c>
      <c r="K43" s="718" t="s">
        <v>333</v>
      </c>
      <c r="L43" s="718"/>
      <c r="M43" s="718"/>
      <c r="N43" s="543"/>
    </row>
    <row r="44" spans="1:14" ht="7.5" customHeight="1">
      <c r="H44" s="448"/>
      <c r="I44" s="448"/>
      <c r="J44" s="448"/>
      <c r="K44" s="448"/>
      <c r="L44" s="448"/>
      <c r="M44" s="448"/>
    </row>
    <row r="45" spans="1:14" ht="17.399999999999999">
      <c r="H45" s="448"/>
      <c r="I45" s="448"/>
      <c r="J45" s="544" t="s">
        <v>704</v>
      </c>
      <c r="K45" s="719">
        <v>41984</v>
      </c>
      <c r="L45" s="719"/>
      <c r="M45" s="719"/>
    </row>
    <row r="60" spans="1:5">
      <c r="A60" s="449" t="s">
        <v>174</v>
      </c>
      <c r="B60" s="449" t="s">
        <v>753</v>
      </c>
      <c r="D60" s="449">
        <v>1</v>
      </c>
      <c r="E60" s="545" t="s">
        <v>174</v>
      </c>
    </row>
    <row r="61" spans="1:5">
      <c r="A61" s="449" t="s">
        <v>705</v>
      </c>
      <c r="B61" s="449" t="s">
        <v>706</v>
      </c>
      <c r="D61" s="449">
        <v>1.1499999999999999</v>
      </c>
      <c r="E61" s="545" t="s">
        <v>350</v>
      </c>
    </row>
    <row r="62" spans="1:5">
      <c r="A62" s="449" t="s">
        <v>707</v>
      </c>
      <c r="B62" s="449" t="s">
        <v>708</v>
      </c>
      <c r="E62" s="545" t="s">
        <v>303</v>
      </c>
    </row>
    <row r="63" spans="1:5">
      <c r="B63" s="449" t="s">
        <v>709</v>
      </c>
    </row>
    <row r="64" spans="1:5">
      <c r="B64" s="449" t="s">
        <v>710</v>
      </c>
    </row>
    <row r="65" spans="2:2">
      <c r="B65" s="449" t="s">
        <v>711</v>
      </c>
    </row>
    <row r="66" spans="2:2">
      <c r="B66" s="449" t="s">
        <v>712</v>
      </c>
    </row>
    <row r="67" spans="2:2">
      <c r="B67" s="449" t="s">
        <v>713</v>
      </c>
    </row>
    <row r="68" spans="2:2">
      <c r="B68" s="449" t="s">
        <v>714</v>
      </c>
    </row>
    <row r="69" spans="2:2">
      <c r="B69" s="449" t="s">
        <v>715</v>
      </c>
    </row>
    <row r="70" spans="2:2">
      <c r="B70" s="449" t="s">
        <v>716</v>
      </c>
    </row>
    <row r="71" spans="2:2">
      <c r="B71" s="449" t="s">
        <v>717</v>
      </c>
    </row>
    <row r="72" spans="2:2">
      <c r="B72" s="449" t="s">
        <v>718</v>
      </c>
    </row>
    <row r="73" spans="2:2">
      <c r="B73" s="449" t="s">
        <v>719</v>
      </c>
    </row>
    <row r="74" spans="2:2">
      <c r="B74" s="449" t="s">
        <v>720</v>
      </c>
    </row>
    <row r="75" spans="2:2">
      <c r="B75" s="449" t="s">
        <v>721</v>
      </c>
    </row>
    <row r="76" spans="2:2">
      <c r="B76" s="449" t="s">
        <v>722</v>
      </c>
    </row>
    <row r="77" spans="2:2">
      <c r="B77" s="449" t="s">
        <v>723</v>
      </c>
    </row>
    <row r="78" spans="2:2">
      <c r="B78" s="449" t="s">
        <v>724</v>
      </c>
    </row>
    <row r="79" spans="2:2">
      <c r="B79" s="449" t="s">
        <v>725</v>
      </c>
    </row>
    <row r="80" spans="2:2">
      <c r="B80" s="449" t="s">
        <v>726</v>
      </c>
    </row>
    <row r="81" spans="2:2">
      <c r="B81" s="449">
        <v>6312</v>
      </c>
    </row>
    <row r="82" spans="2:2">
      <c r="B82" s="449" t="s">
        <v>727</v>
      </c>
    </row>
    <row r="83" spans="2:2">
      <c r="B83" s="449" t="s">
        <v>728</v>
      </c>
    </row>
    <row r="84" spans="2:2">
      <c r="B84" s="449" t="s">
        <v>729</v>
      </c>
    </row>
    <row r="85" spans="2:2">
      <c r="B85" s="449" t="s">
        <v>730</v>
      </c>
    </row>
    <row r="86" spans="2:2">
      <c r="B86" s="449">
        <v>6313</v>
      </c>
    </row>
    <row r="87" spans="2:2">
      <c r="B87" s="449" t="s">
        <v>731</v>
      </c>
    </row>
    <row r="88" spans="2:2">
      <c r="B88" s="449" t="s">
        <v>732</v>
      </c>
    </row>
    <row r="89" spans="2:2">
      <c r="B89" s="449" t="s">
        <v>733</v>
      </c>
    </row>
    <row r="90" spans="2:2">
      <c r="B90" s="449">
        <v>6314</v>
      </c>
    </row>
    <row r="91" spans="2:2">
      <c r="B91" s="449" t="s">
        <v>734</v>
      </c>
    </row>
    <row r="92" spans="2:2">
      <c r="B92" s="449">
        <v>6317</v>
      </c>
    </row>
    <row r="93" spans="2:2">
      <c r="B93" s="449" t="s">
        <v>735</v>
      </c>
    </row>
    <row r="94" spans="2:2">
      <c r="B94" s="449">
        <v>6318</v>
      </c>
    </row>
    <row r="95" spans="2:2">
      <c r="B95" s="449" t="s">
        <v>736</v>
      </c>
    </row>
    <row r="96" spans="2:2">
      <c r="B96" s="449" t="s">
        <v>737</v>
      </c>
    </row>
    <row r="97" spans="2:2">
      <c r="B97" s="449" t="s">
        <v>738</v>
      </c>
    </row>
    <row r="98" spans="2:2">
      <c r="B98" s="449">
        <v>6320</v>
      </c>
    </row>
    <row r="99" spans="2:2">
      <c r="B99" s="449" t="s">
        <v>739</v>
      </c>
    </row>
    <row r="100" spans="2:2">
      <c r="B100" s="449" t="s">
        <v>740</v>
      </c>
    </row>
    <row r="101" spans="2:2">
      <c r="B101" s="449" t="s">
        <v>741</v>
      </c>
    </row>
    <row r="102" spans="2:2">
      <c r="B102" s="449" t="s">
        <v>742</v>
      </c>
    </row>
    <row r="103" spans="2:2">
      <c r="B103" s="449" t="s">
        <v>742</v>
      </c>
    </row>
    <row r="119" spans="2:2">
      <c r="B119" s="449" t="s">
        <v>743</v>
      </c>
    </row>
    <row r="121" spans="2:2">
      <c r="B121" s="449" t="s">
        <v>744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</cp:lastModifiedBy>
  <cp:lastPrinted>2018-11-15T17:14:28Z</cp:lastPrinted>
  <dcterms:created xsi:type="dcterms:W3CDTF">1997-10-03T20:37:30Z</dcterms:created>
  <dcterms:modified xsi:type="dcterms:W3CDTF">2018-11-15T20:47:33Z</dcterms:modified>
</cp:coreProperties>
</file>