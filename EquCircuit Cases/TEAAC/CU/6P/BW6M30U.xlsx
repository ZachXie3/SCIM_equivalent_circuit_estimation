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19" firstSheet="1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10" r:id="rId8"/>
    <sheet name="Performance" sheetId="11" r:id="rId9"/>
    <sheet name="Performance Data Sheet" sheetId="12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6" l="1"/>
  <c r="D43" i="11"/>
  <c r="F9" i="11"/>
  <c r="F8" i="11"/>
  <c r="F7" i="11"/>
  <c r="B7" i="11"/>
  <c r="B6" i="11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B69" i="8" l="1"/>
  <c r="B75" i="8" s="1"/>
  <c r="M28" i="3"/>
  <c r="M18" i="3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<sst xmlns="http://schemas.openxmlformats.org/spreadsheetml/2006/main" count="1002" uniqueCount="766">
  <si>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</si>
  <si>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</si>
  <si>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</si>
  <si>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</si>
  <si>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</si>
  <si>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</si>
  <si>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</si>
  <si>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</si>
  <si>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</si>
  <si>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</si>
  <si>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</si>
  <si>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</si>
  <si>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</si>
  <si>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</si>
  <si>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</si>
  <si>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</si>
  <si>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</si>
  <si>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</si>
  <si>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</si>
  <si>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</si>
  <si>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</si>
  <si>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</si>
  <si>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</si>
  <si>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</si>
  <si>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</si>
  <si>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</si>
  <si>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</si>
  <si>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</si>
  <si>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</si>
  <si>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</si>
  <si>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</si>
  <si>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</si>
  <si>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</si>
  <si>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</si>
  <si>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</si>
  <si>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</si>
  <si>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</si>
  <si>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</si>
  <si>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</si>
  <si>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</si>
  <si>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</si>
  <si>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</si>
  <si>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</si>
  <si>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</si>
  <si>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</si>
  <si>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</si>
  <si>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</si>
  <si>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</si>
  <si>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</si>
  <si>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</si>
  <si>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</si>
  <si>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</si>
  <si>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</si>
  <si>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</si>
  <si>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</si>
  <si>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</si>
  <si>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</si>
  <si>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</si>
  <si>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</si>
  <si>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</si>
  <si>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</si>
  <si>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</si>
  <si>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</si>
  <si>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</si>
  <si>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</si>
  <si>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</si>
  <si>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</si>
  <si>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</si>
  <si>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</si>
  <si>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</si>
  <si>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</si>
  <si>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</si>
  <si>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</si>
  <si>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</si>
  <si>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</si>
  <si>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</si>
  <si>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</si>
  <si>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</si>
  <si>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</si>
  <si>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</si>
  <si>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</si>
  <si>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</si>
  <si>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</si>
  <si>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</si>
  <si>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</si>
  <si>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</si>
  <si>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</si>
  <si>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</si>
  <si>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</si>
  <si>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</si>
  <si>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</si>
  <si>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</si>
  <si>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</si>
  <si>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</si>
  <si>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</si>
  <si>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</si>
  <si>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</si>
  <si>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</si>
  <si>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</si>
  <si>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</si>
  <si>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</si>
  <si>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</si>
  <si>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</si>
  <si>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</si>
  <si>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</si>
  <si>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</si>
  <si>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</si>
  <si>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</si>
  <si>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</si>
  <si>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</si>
  <si>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</si>
  <si>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</si>
  <si>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</si>
  <si>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</si>
  <si>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</si>
  <si>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</si>
  <si>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</si>
  <si>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</si>
  <si>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</si>
  <si>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</si>
  <si>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</si>
  <si>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</si>
  <si>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</si>
  <si>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</si>
  <si>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</si>
  <si>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</si>
  <si>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</si>
  <si>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</si>
  <si>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</si>
  <si>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</si>
  <si>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</si>
  <si>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</si>
  <si>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</si>
  <si>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</si>
  <si>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</si>
  <si>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</si>
  <si>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</si>
  <si>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</si>
  <si>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</si>
  <si>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</si>
  <si>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</si>
  <si>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</si>
  <si>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</si>
  <si>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</si>
  <si>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</si>
  <si>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</si>
  <si>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</si>
  <si>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</si>
  <si>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</si>
  <si>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</si>
  <si>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</si>
  <si>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</si>
  <si>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</si>
  <si>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</si>
  <si>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</si>
  <si>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</si>
  <si>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</si>
  <si>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</si>
  <si>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</si>
  <si>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</si>
  <si>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</si>
  <si>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</si>
  <si>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</si>
  <si>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</si>
  <si>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</si>
  <si>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</si>
  <si>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</si>
  <si>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</si>
  <si>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</si>
  <si>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</si>
  <si>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</si>
  <si>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</si>
  <si>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</si>
  <si>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</si>
  <si>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</si>
  <si>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</si>
  <si>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</si>
  <si>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</si>
  <si>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</si>
  <si>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</si>
  <si>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</si>
  <si>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</si>
  <si>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</si>
  <si>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28 x 6</t>
  </si>
  <si>
    <t>1 ~ 11</t>
  </si>
  <si>
    <t>(.114"x.182")x2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</si>
  <si>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</si>
  <si>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</si>
  <si>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</si>
  <si>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</si>
  <si>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</si>
  <si>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</si>
  <si>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</si>
  <si>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</si>
  <si>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</si>
  <si>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</si>
  <si>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</si>
  <si>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</si>
  <si>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</si>
  <si>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0.0493)</t>
  </si>
  <si>
    <t>Skew R.: 0.00</t>
  </si>
  <si>
    <t>Z:\Motor R&amp;D\Active Projects\6810 Development\Electrical Design\TEAAC\6P\Series\BS6M30U.rat</t>
  </si>
  <si>
    <t>2-2-2-0-1-2</t>
  </si>
  <si>
    <t>B.L.-1  P.F.-1</t>
  </si>
  <si>
    <t>11635.3 / 10537.8</t>
  </si>
  <si>
    <t>7863.0 / 7740.3</t>
  </si>
  <si>
    <t>24230.7 / 17083.6</t>
  </si>
  <si>
    <t>10116.0 / 9343.1</t>
  </si>
  <si>
    <t>13593.2 / 5151.0</t>
  </si>
  <si>
    <t>2051.5 / 777.4</t>
  </si>
  <si>
    <t>11541.8 / 4373.6</t>
  </si>
  <si>
    <t>1.75 / 0.66</t>
  </si>
  <si>
    <t>62 / 63</t>
  </si>
  <si>
    <t>Temp. Rise @ 100%:</t>
  </si>
  <si>
    <t>Stray Loss</t>
  </si>
  <si>
    <t>0.916 / 0.911</t>
  </si>
  <si>
    <t>0.951 / 0.946</t>
  </si>
  <si>
    <t>0.961 / 0.955</t>
  </si>
  <si>
    <t>0.963 / 0.958</t>
  </si>
  <si>
    <t>0.964 / 0.958</t>
  </si>
  <si>
    <t>0.668 / 0.660</t>
  </si>
  <si>
    <t>0.844 / 0.833</t>
  </si>
  <si>
    <t>0.894 / 0.882</t>
  </si>
  <si>
    <t>0.909 / 0.897</t>
  </si>
  <si>
    <t>0.910 / 0.898</t>
  </si>
  <si>
    <t>65.94 / 67.16</t>
  </si>
  <si>
    <t>100.60 / 102.46</t>
  </si>
  <si>
    <t>141.11 / 143.72</t>
  </si>
  <si>
    <t>184.47 / 187.88</t>
  </si>
  <si>
    <t>230.31 / 234.56</t>
  </si>
  <si>
    <t>3.59 / 3.66</t>
  </si>
  <si>
    <t>UB: 3.45 / 3.51</t>
  </si>
  <si>
    <t>UER: 2.99 / 3.04</t>
  </si>
  <si>
    <t>1198.0 / 1198.1</t>
  </si>
  <si>
    <t>1196.0 / 1196.1</t>
  </si>
  <si>
    <t>1194.0 / 1194.1</t>
  </si>
  <si>
    <t>1191.9 / 1192.0</t>
  </si>
  <si>
    <t>1189.8 / 1189.9</t>
  </si>
  <si>
    <t>0.0017 / 0.0016</t>
  </si>
  <si>
    <t>0.0033 / 0.0032</t>
  </si>
  <si>
    <t>0.0050 / 0.0049</t>
  </si>
  <si>
    <t>0.0067 / 0.0067</t>
  </si>
  <si>
    <t>0.0085 / 0.0084</t>
  </si>
  <si>
    <t>45.107 / 40.016</t>
  </si>
  <si>
    <t>1.960 / 1.739</t>
  </si>
  <si>
    <t>45.15 / 40.05</t>
  </si>
  <si>
    <t>1084.2 / 1032.7</t>
  </si>
  <si>
    <t>587.7 / 559.8</t>
  </si>
  <si>
    <t>845.3 / 727.8</t>
  </si>
  <si>
    <t>92.4 / 79.6</t>
  </si>
  <si>
    <t>256.4 / 226.2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</si>
  <si>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</si>
  <si>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</si>
  <si>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</si>
  <si>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</si>
  <si>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</si>
  <si>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</si>
  <si>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</si>
  <si>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</si>
  <si>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</si>
  <si>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</si>
  <si>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</si>
  <si>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</si>
  <si>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</si>
  <si>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</si>
  <si>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</si>
  <si>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</si>
  <si>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</si>
  <si>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</si>
  <si>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</si>
  <si>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</si>
  <si>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</si>
  <si>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</si>
  <si>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</si>
  <si>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</si>
  <si>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</si>
  <si>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</si>
  <si>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</si>
  <si>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</si>
  <si>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</si>
  <si>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</si>
  <si>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</si>
  <si>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</si>
  <si>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</si>
  <si>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</si>
  <si>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</si>
  <si>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</si>
  <si>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</si>
  <si>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</si>
  <si>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</si>
  <si>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</si>
  <si>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</si>
  <si>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</si>
  <si>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</si>
  <si>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</si>
  <si>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</si>
  <si>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</si>
  <si>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</si>
  <si>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</si>
  <si>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</si>
  <si>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</si>
  <si>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</si>
  <si>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</si>
  <si>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</si>
  <si>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</si>
  <si>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</si>
  <si>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</si>
  <si>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</si>
  <si>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</si>
  <si>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</si>
  <si>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</si>
  <si>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</si>
  <si>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</si>
  <si>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</si>
  <si>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</si>
  <si>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</si>
  <si>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</si>
  <si>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</si>
  <si>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</si>
  <si>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</si>
  <si>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</si>
  <si>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</si>
  <si>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</si>
  <si>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</si>
  <si>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</si>
  <si>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</si>
  <si>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</si>
  <si>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</si>
  <si>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</si>
  <si>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</si>
  <si>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</si>
  <si>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</si>
  <si>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</si>
  <si>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</si>
  <si>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</si>
  <si>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</si>
  <si>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</si>
  <si>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</si>
  <si>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</si>
  <si>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</si>
  <si>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</si>
  <si>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</si>
  <si>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</si>
  <si>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</si>
  <si>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</si>
  <si>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</si>
  <si>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</si>
  <si>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</si>
  <si>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</si>
  <si>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</si>
  <si>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</si>
  <si>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</si>
  <si>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</si>
  <si>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</si>
  <si>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</si>
  <si>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</si>
  <si>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</si>
  <si>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</si>
  <si>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</si>
  <si>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</si>
  <si>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</si>
  <si>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</si>
  <si>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</si>
  <si>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15 x 2</t>
  </si>
  <si>
    <t>2 x Wye</t>
  </si>
  <si>
    <t xml:space="preserve"> - </t>
  </si>
  <si>
    <t>366 / 2011</t>
  </si>
  <si>
    <t>351 / 304</t>
  </si>
  <si>
    <t>63 / 82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</si>
  <si>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</si>
  <si>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</si>
  <si>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</si>
  <si>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</si>
  <si>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</si>
  <si>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</si>
  <si>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</si>
  <si>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</si>
  <si>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</si>
  <si>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</si>
  <si>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</si>
  <si>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</si>
  <si>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1399.0</t>
  </si>
  <si>
    <t xml:space="preserve">7T: </t>
  </si>
  <si>
    <t xml:space="preserve">8T: </t>
  </si>
  <si>
    <t>0.0132 ~ 0.0127</t>
  </si>
  <si>
    <t>0.0151 ~ 0.0145</t>
  </si>
  <si>
    <t>AWG. 2/0 x 3</t>
  </si>
  <si>
    <t>0.00091</t>
  </si>
  <si>
    <t>7T: 21.67</t>
  </si>
  <si>
    <t>8T: 24.76</t>
  </si>
  <si>
    <t>7T: 9.65</t>
  </si>
  <si>
    <t>8T: 9.65</t>
  </si>
  <si>
    <t>13.30 ~ 12.90</t>
  </si>
  <si>
    <t>12.74</t>
  </si>
  <si>
    <t>3.55</t>
  </si>
  <si>
    <t xml:space="preserve"> (.114"x.182")x 2: </t>
  </si>
  <si>
    <t>793 lbs.</t>
  </si>
  <si>
    <t/>
  </si>
  <si>
    <t xml:space="preserve">1-2, 2-3, 3-1: </t>
  </si>
  <si>
    <t>0.174 ~ 0.163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</si>
  <si>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</si>
  <si>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</si>
  <si>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</si>
  <si>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</si>
  <si>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</si>
  <si>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</si>
  <si>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</si>
  <si>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</si>
  <si>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</si>
  <si>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</si>
  <si>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</si>
  <si>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</si>
  <si>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</si>
  <si>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</si>
  <si>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</si>
  <si>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</si>
  <si>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</si>
  <si>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</si>
  <si>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</si>
  <si>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</si>
  <si>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</si>
  <si>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</si>
  <si>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</si>
  <si>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</si>
  <si>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</si>
  <si>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</si>
  <si>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</si>
  <si>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</si>
  <si>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</si>
  <si>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</si>
  <si>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1470.2 lb-ft²</t>
  </si>
  <si>
    <t>1033 A</t>
  </si>
  <si>
    <t>Load</t>
  </si>
  <si>
    <t>Fan / Pump</t>
  </si>
  <si>
    <t>2234.7 kg.m²</t>
  </si>
  <si>
    <t>Acceleration Data (FV V)</t>
  </si>
  <si>
    <t>16.3 (s)</t>
  </si>
  <si>
    <t>914.4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</si>
  <si>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</si>
  <si>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</si>
  <si>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</si>
  <si>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</si>
  <si>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</si>
  <si>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</si>
  <si>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</si>
  <si>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</si>
  <si>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</si>
  <si>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</si>
  <si>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</si>
  <si>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</si>
  <si>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</si>
  <si>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</si>
  <si>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</si>
  <si>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</si>
  <si>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</si>
  <si>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</si>
  <si>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</si>
  <si>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</si>
  <si>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</si>
  <si>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</si>
  <si>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</si>
  <si>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</si>
  <si>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</si>
  <si>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</si>
  <si>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</si>
  <si>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</si>
  <si>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</si>
  <si>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</si>
  <si>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</si>
  <si>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</si>
  <si>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</si>
  <si>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</si>
  <si>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</si>
  <si>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</si>
  <si>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</si>
  <si>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</si>
  <si>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</si>
  <si>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- 1500.0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</si>
  <si>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</si>
  <si>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</si>
  <si>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</si>
  <si>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</si>
  <si>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</si>
  <si>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</si>
  <si>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</si>
  <si>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</si>
  <si>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</si>
  <si>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</si>
  <si>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</si>
  <si>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</si>
  <si>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</si>
  <si>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- 13257.0 lb-ft²</t>
  </si>
  <si>
    <t>75.1</t>
  </si>
  <si>
    <t>75.3</t>
  </si>
  <si>
    <t>75.7</t>
  </si>
  <si>
    <t>76.4</t>
  </si>
  <si>
    <t>77.5</t>
  </si>
  <si>
    <t>79.3</t>
  </si>
  <si>
    <t>82.2</t>
  </si>
  <si>
    <t>88.1</t>
  </si>
  <si>
    <t>98.4</t>
  </si>
  <si>
    <t>118.4</t>
  </si>
  <si>
    <t>178.6</t>
  </si>
  <si>
    <t>165.2</t>
  </si>
  <si>
    <t>102.7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</si>
  <si>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</si>
  <si>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</si>
  <si>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</si>
  <si>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</si>
  <si>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</si>
  <si>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</si>
  <si>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</si>
  <si>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</si>
  <si>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</si>
  <si>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</si>
  <si>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</si>
  <si>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</si>
  <si>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</si>
  <si>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1.718</t>
  </si>
  <si>
    <t>1.415</t>
  </si>
  <si>
    <t>1.318</t>
  </si>
  <si>
    <t>1.391</t>
  </si>
  <si>
    <t>1.534</t>
  </si>
  <si>
    <t>1.782</t>
  </si>
  <si>
    <t>2.241</t>
  </si>
  <si>
    <t>1.312</t>
  </si>
  <si>
    <t>1.096</t>
  </si>
  <si>
    <t>0.517</t>
  </si>
  <si>
    <t>0.105</t>
  </si>
  <si>
    <t>0.599</t>
  </si>
  <si>
    <t>1029.4</t>
  </si>
  <si>
    <t>1021.4</t>
  </si>
  <si>
    <t>1011.9</t>
  </si>
  <si>
    <t>1000.1</t>
  </si>
  <si>
    <t>985.1</t>
  </si>
  <si>
    <t>966.3</t>
  </si>
  <si>
    <t>943.2</t>
  </si>
  <si>
    <t>913.7</t>
  </si>
  <si>
    <t>884.8</t>
  </si>
  <si>
    <t>849.9</t>
  </si>
  <si>
    <t>756.3</t>
  </si>
  <si>
    <t>451.3</t>
  </si>
  <si>
    <t>151.1</t>
  </si>
  <si>
    <t>626.8</t>
  </si>
  <si>
    <t>508.9</t>
  </si>
  <si>
    <t>466.1</t>
  </si>
  <si>
    <t>456.7</t>
  </si>
  <si>
    <t>469.3</t>
  </si>
  <si>
    <t>500.5</t>
  </si>
  <si>
    <t>556.9</t>
  </si>
  <si>
    <t>663.3</t>
  </si>
  <si>
    <t>361.0</t>
  </si>
  <si>
    <t>285.3</t>
  </si>
  <si>
    <t>120.9</t>
  </si>
  <si>
    <t>16.8</t>
  </si>
  <si>
    <t>7.2</t>
  </si>
  <si>
    <t>1298.1</t>
  </si>
  <si>
    <t>959.5</t>
  </si>
  <si>
    <t>793.0</t>
  </si>
  <si>
    <t>693.2</t>
  </si>
  <si>
    <t>627.5</t>
  </si>
  <si>
    <t>578.7</t>
  </si>
  <si>
    <t>540.7</t>
  </si>
  <si>
    <t>513.8</t>
  </si>
  <si>
    <t>404.7</t>
  </si>
  <si>
    <t>264.0</t>
  </si>
  <si>
    <t>85.4</t>
  </si>
  <si>
    <t>30.9</t>
  </si>
  <si>
    <t>223.6</t>
  </si>
  <si>
    <t>5040 kW / s</t>
  </si>
  <si>
    <t>6086 kW / s</t>
  </si>
  <si>
    <t>927 kW / s</t>
  </si>
  <si>
    <t>38°C</t>
  </si>
  <si>
    <t>71°C</t>
  </si>
  <si>
    <t>55°C</t>
  </si>
  <si>
    <t>76°C</t>
  </si>
  <si>
    <t>142°C</t>
  </si>
  <si>
    <t>110°C</t>
  </si>
  <si>
    <t>Acceleration Time:  16.3 s</t>
  </si>
  <si>
    <t>3.2°C / s</t>
  </si>
  <si>
    <t>8.5°C / s</t>
  </si>
  <si>
    <t>6.6°C / s</t>
  </si>
  <si>
    <t>418.3 kW</t>
  </si>
  <si>
    <t>728.3 kW</t>
  </si>
  <si>
    <t>111.0 kW</t>
  </si>
  <si>
    <t>50.8 s</t>
  </si>
  <si>
    <t>30.5 s</t>
  </si>
  <si>
    <t>27.4 s</t>
  </si>
  <si>
    <t>63°C    +</t>
  </si>
  <si>
    <t>83°C    +</t>
  </si>
  <si>
    <t>97°C    +</t>
  </si>
  <si>
    <t>177°C   +</t>
  </si>
  <si>
    <t>97°C   +</t>
  </si>
  <si>
    <t>30.8 s</t>
  </si>
  <si>
    <t>20.8 s</t>
  </si>
  <si>
    <t>14.7 s</t>
  </si>
  <si>
    <t>52.8 s</t>
  </si>
  <si>
    <t>28.4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</si>
  <si>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</si>
  <si>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</si>
  <si>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</si>
  <si>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</si>
  <si>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</si>
  <si>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</si>
  <si>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13257.0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</si>
  <si>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</si>
  <si>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</si>
  <si>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</si>
  <si>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</si>
  <si>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</si>
  <si>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</si>
  <si>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</si>
  <si>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</si>
  <si>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</si>
  <si>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</si>
  <si>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</si>
  <si>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</si>
  <si>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</si>
  <si>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</si>
  <si>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</si>
  <si>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</si>
  <si>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</si>
  <si>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</si>
  <si>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</si>
  <si>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</si>
  <si>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</si>
  <si>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</si>
  <si>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1272.2 Hz</t>
  </si>
  <si>
    <t>1040.0 Hz</t>
  </si>
  <si>
    <t>1032.2 Hz</t>
  </si>
  <si>
    <t>1160.0 Hz</t>
  </si>
  <si>
    <t>1152.2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</si>
  <si>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</si>
  <si>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</si>
  <si>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</si>
  <si>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</si>
  <si>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</si>
  <si>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</si>
  <si>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</si>
  <si>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</si>
  <si>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</si>
  <si>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</si>
  <si>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</si>
  <si>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</si>
  <si>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</si>
  <si>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</si>
  <si>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</si>
  <si>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</si>
  <si>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</si>
  <si>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</si>
  <si>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</si>
  <si>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</si>
  <si>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</si>
  <si>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</si>
  <si>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</si>
  <si>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</si>
  <si>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</si>
  <si>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</si>
  <si>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</si>
  <si>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</si>
  <si>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</si>
  <si>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</si>
  <si>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</si>
  <si>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</si>
  <si>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</si>
  <si>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</si>
  <si>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</si>
  <si>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</si>
  <si>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</si>
  <si>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</si>
  <si>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</si>
  <si>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</si>
  <si>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</si>
  <si>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</si>
  <si>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</si>
  <si>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</si>
  <si>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</si>
  <si>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</si>
  <si>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</si>
  <si>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</si>
  <si>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</si>
  <si>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</si>
  <si>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</si>
  <si>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</si>
  <si>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</si>
  <si>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</si>
  <si>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</si>
  <si>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</si>
  <si>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</si>
  <si>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</si>
  <si>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</si>
  <si>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</si>
  <si>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</si>
  <si>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</si>
  <si>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</si>
  <si>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</si>
  <si>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</si>
  <si>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</si>
  <si>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</si>
  <si>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</si>
  <si>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</si>
  <si>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</si>
  <si>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</si>
  <si>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</si>
  <si>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</si>
  <si>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</si>
  <si>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</si>
  <si>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</si>
  <si>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</si>
  <si>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</si>
  <si>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</si>
  <si>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</si>
  <si>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</si>
  <si>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</si>
  <si>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</si>
  <si>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</si>
  <si>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</si>
  <si>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</si>
  <si>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</si>
  <si>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</si>
  <si>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</si>
  <si>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</si>
  <si>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</si>
  <si>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</si>
  <si>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</si>
  <si>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</si>
  <si>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</si>
  <si>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</si>
  <si>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</si>
  <si>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</si>
  <si>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</si>
  <si>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</si>
  <si>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</si>
  <si>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</si>
  <si>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</si>
  <si>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</si>
  <si>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</si>
  <si>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</si>
  <si>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</si>
  <si>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</si>
  <si>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</si>
  <si>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</si>
  <si>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</si>
  <si>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</si>
  <si>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</si>
  <si>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</si>
  <si>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</si>
  <si>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</si>
  <si>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</si>
  <si>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</si>
  <si>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M11-125 INS</t>
  </si>
  <si>
    <t>7, 8</t>
  </si>
  <si>
    <t>Outer Fan: 550OD</t>
  </si>
  <si>
    <t>Rev 0: First Issue</t>
  </si>
  <si>
    <t>TEAAC</t>
  </si>
  <si>
    <t>6609 lb-ft</t>
  </si>
  <si>
    <t>Type: TIKE - Form: FCW4 - 6 Pole - 1500 HP - 4000 V - 60 Hz - 6810US - Class F</t>
  </si>
  <si>
    <t>FCW4</t>
  </si>
  <si>
    <t>A. Gracia</t>
  </si>
  <si>
    <t>AG</t>
  </si>
  <si>
    <t>BW6M30U</t>
  </si>
  <si>
    <t>M307TCAL11E-C</t>
  </si>
  <si>
    <t>F &amp; W( Ball Brg)</t>
  </si>
  <si>
    <t>Limits: BW6M30U</t>
  </si>
  <si>
    <t>6328 C3</t>
  </si>
  <si>
    <t>6328 C3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</si>
</sst>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171" fontId="60" fillId="0" borderId="0" xfId="5" applyBorder="1"/>
    <xf numFmtId="0" fontId="3" fillId="0" borderId="0" xfId="0" applyFont="1" applyBorder="1"/>
    <xf numFmtId="2" fontId="2" fillId="0" borderId="0" xfId="0" applyNumberFormat="1" applyFont="1" applyBorder="1" applyAlignment="1">
      <alignment horizontal="center"/>
    </xf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 applyBorder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105.44271294434149</c:v>
                </c:pt>
                <c:pt idx="2">
                  <c:v>225</c:v>
                </c:pt>
                <c:pt idx="3">
                  <c:v>132.10738231780218</c:v>
                </c:pt>
                <c:pt idx="4">
                  <c:v>104.65557031172133</c:v>
                </c:pt>
                <c:pt idx="5">
                  <c:v>92.044721647407684</c:v>
                </c:pt>
                <c:pt idx="6">
                  <c:v>84.112412934111262</c:v>
                </c:pt>
                <c:pt idx="7">
                  <c:v>80.356065923886121</c:v>
                </c:pt>
                <c:pt idx="8">
                  <c:v>78.150955169279939</c:v>
                </c:pt>
                <c:pt idx="9">
                  <c:v>76.791220114541247</c:v>
                </c:pt>
                <c:pt idx="10">
                  <c:v>75.952305935007502</c:v>
                </c:pt>
                <c:pt idx="11">
                  <c:v>75.447601753860511</c:v>
                </c:pt>
                <c:pt idx="12">
                  <c:v>75.157999084477353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46528"/>
        <c:axId val="23264870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0.24015910923480988</c:v>
                </c:pt>
                <c:pt idx="1">
                  <c:v>115.6265869140625</c:v>
                </c:pt>
                <c:pt idx="2">
                  <c:v>364.52740478515625</c:v>
                </c:pt>
                <c:pt idx="3">
                  <c:v>440.04702758789063</c:v>
                </c:pt>
                <c:pt idx="4">
                  <c:v>464.12713623046875</c:v>
                </c:pt>
                <c:pt idx="5">
                  <c:v>477.15814208984375</c:v>
                </c:pt>
                <c:pt idx="6">
                  <c:v>494.90237426757812</c:v>
                </c:pt>
                <c:pt idx="7">
                  <c:v>508.51727294921875</c:v>
                </c:pt>
                <c:pt idx="8">
                  <c:v>519.510498046875</c:v>
                </c:pt>
                <c:pt idx="9">
                  <c:v>528.45111083984375</c:v>
                </c:pt>
                <c:pt idx="10">
                  <c:v>535.5050048828125</c:v>
                </c:pt>
                <c:pt idx="11">
                  <c:v>541.0291748046875</c:v>
                </c:pt>
                <c:pt idx="12">
                  <c:v>545.6072998046875</c:v>
                </c:pt>
                <c:pt idx="13">
                  <c:v>549.46807861328125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50624"/>
        <c:axId val="232652160"/>
      </c:scatterChart>
      <c:valAx>
        <c:axId val="23264652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2648704"/>
        <c:crossesAt val="0"/>
        <c:crossBetween val="midCat"/>
        <c:majorUnit val="0.2"/>
        <c:minorUnit val="0.2"/>
      </c:valAx>
      <c:valAx>
        <c:axId val="23264870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2646528"/>
        <c:crosses val="max"/>
        <c:crossBetween val="midCat"/>
        <c:majorUnit val="50"/>
        <c:minorUnit val="50"/>
      </c:valAx>
      <c:valAx>
        <c:axId val="23265062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32652160"/>
        <c:crosses val="autoZero"/>
        <c:crossBetween val="midCat"/>
      </c:valAx>
      <c:valAx>
        <c:axId val="23265216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265062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105.44271294434149</c:v>
                </c:pt>
                <c:pt idx="2">
                  <c:v>225</c:v>
                </c:pt>
                <c:pt idx="3">
                  <c:v>132.10738231780218</c:v>
                </c:pt>
                <c:pt idx="4">
                  <c:v>104.65557031172133</c:v>
                </c:pt>
                <c:pt idx="5">
                  <c:v>92.044721647407684</c:v>
                </c:pt>
                <c:pt idx="6">
                  <c:v>84.112412934111262</c:v>
                </c:pt>
                <c:pt idx="7">
                  <c:v>80.356065923886121</c:v>
                </c:pt>
                <c:pt idx="8">
                  <c:v>78.150955169279939</c:v>
                </c:pt>
                <c:pt idx="9">
                  <c:v>76.791220114541247</c:v>
                </c:pt>
                <c:pt idx="10">
                  <c:v>75.952305935007502</c:v>
                </c:pt>
                <c:pt idx="11">
                  <c:v>75.447601753860511</c:v>
                </c:pt>
                <c:pt idx="12">
                  <c:v>75.157999084477353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386944"/>
        <c:axId val="22957747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0.24015910923480988</c:v>
                </c:pt>
                <c:pt idx="1">
                  <c:v>115.6265869140625</c:v>
                </c:pt>
                <c:pt idx="2">
                  <c:v>364.52740478515625</c:v>
                </c:pt>
                <c:pt idx="3">
                  <c:v>440.04702758789063</c:v>
                </c:pt>
                <c:pt idx="4">
                  <c:v>464.12713623046875</c:v>
                </c:pt>
                <c:pt idx="5">
                  <c:v>477.15814208984375</c:v>
                </c:pt>
                <c:pt idx="6">
                  <c:v>494.90237426757812</c:v>
                </c:pt>
                <c:pt idx="7">
                  <c:v>508.51727294921875</c:v>
                </c:pt>
                <c:pt idx="8">
                  <c:v>519.510498046875</c:v>
                </c:pt>
                <c:pt idx="9">
                  <c:v>528.45111083984375</c:v>
                </c:pt>
                <c:pt idx="10">
                  <c:v>535.5050048828125</c:v>
                </c:pt>
                <c:pt idx="11">
                  <c:v>541.0291748046875</c:v>
                </c:pt>
                <c:pt idx="12">
                  <c:v>545.6072998046875</c:v>
                </c:pt>
                <c:pt idx="13">
                  <c:v>549.46807861328125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79392"/>
        <c:axId val="229581184"/>
      </c:scatterChart>
      <c:valAx>
        <c:axId val="23638694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9577472"/>
        <c:crosses val="autoZero"/>
        <c:crossBetween val="midCat"/>
        <c:majorUnit val="20"/>
        <c:minorUnit val="20"/>
      </c:valAx>
      <c:valAx>
        <c:axId val="229577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386944"/>
        <c:crosses val="autoZero"/>
        <c:crossBetween val="midCat"/>
      </c:valAx>
      <c:valAx>
        <c:axId val="22957939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29581184"/>
        <c:crosses val="autoZero"/>
        <c:crossBetween val="midCat"/>
      </c:valAx>
      <c:valAx>
        <c:axId val="22958118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9579392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549.468085106383</c:v>
                </c:pt>
                <c:pt idx="1">
                  <c:v>480.98557234042551</c:v>
                </c:pt>
                <c:pt idx="2">
                  <c:v>412.48251276595744</c:v>
                </c:pt>
                <c:pt idx="3">
                  <c:v>344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45.676086837570764</c:v>
                </c:pt>
                <c:pt idx="2">
                  <c:v>62.107193704465615</c:v>
                </c:pt>
                <c:pt idx="3">
                  <c:v>89.296842712840032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549.468085106383</c:v>
                </c:pt>
                <c:pt idx="1">
                  <c:v>480.98557234042551</c:v>
                </c:pt>
                <c:pt idx="2">
                  <c:v>412.48251276595744</c:v>
                </c:pt>
                <c:pt idx="3">
                  <c:v>344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19.575465787530327</c:v>
                </c:pt>
                <c:pt idx="2">
                  <c:v>26.617368730485264</c:v>
                </c:pt>
                <c:pt idx="3">
                  <c:v>38.270075448360018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244</c:v>
                </c:pt>
                <c:pt idx="1">
                  <c:v>144</c:v>
                </c:pt>
                <c:pt idx="2">
                  <c:v>225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89.45634860754825</c:v>
                </c:pt>
                <c:pt idx="3">
                  <c:v>139.77554469929413</c:v>
                </c:pt>
                <c:pt idx="4">
                  <c:v>215.39727221199195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549.468085106383</c:v>
                </c:pt>
                <c:pt idx="1">
                  <c:v>547.55319148936178</c:v>
                </c:pt>
                <c:pt idx="2">
                  <c:v>543.29787234042556</c:v>
                </c:pt>
                <c:pt idx="3">
                  <c:v>538.24468085106378</c:v>
                </c:pt>
                <c:pt idx="4">
                  <c:v>531.968085106383</c:v>
                </c:pt>
                <c:pt idx="5">
                  <c:v>523.98936170212767</c:v>
                </c:pt>
                <c:pt idx="6">
                  <c:v>513.98936170212767</c:v>
                </c:pt>
                <c:pt idx="7">
                  <c:v>501.70212765957444</c:v>
                </c:pt>
                <c:pt idx="8">
                  <c:v>486.01063829787233</c:v>
                </c:pt>
                <c:pt idx="9">
                  <c:v>470.63829787234044</c:v>
                </c:pt>
                <c:pt idx="10">
                  <c:v>452.07446808510639</c:v>
                </c:pt>
                <c:pt idx="11">
                  <c:v>402.28723404255317</c:v>
                </c:pt>
                <c:pt idx="12">
                  <c:v>240.05319148936169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1.718000054359436</c:v>
                </c:pt>
                <c:pt idx="2">
                  <c:v>3.1330001354217529</c:v>
                </c:pt>
                <c:pt idx="3">
                  <c:v>4.4510002136230469</c:v>
                </c:pt>
                <c:pt idx="4">
                  <c:v>5.7690000534057617</c:v>
                </c:pt>
                <c:pt idx="5">
                  <c:v>7.1599998474121094</c:v>
                </c:pt>
                <c:pt idx="6">
                  <c:v>8.694000244140625</c:v>
                </c:pt>
                <c:pt idx="7">
                  <c:v>10.47599983215332</c:v>
                </c:pt>
                <c:pt idx="8">
                  <c:v>12.717000007629395</c:v>
                </c:pt>
                <c:pt idx="9">
                  <c:v>14.029000282287598</c:v>
                </c:pt>
                <c:pt idx="10">
                  <c:v>15.125</c:v>
                </c:pt>
                <c:pt idx="11">
                  <c:v>15.642000198364258</c:v>
                </c:pt>
                <c:pt idx="12">
                  <c:v>15.746999740600586</c:v>
                </c:pt>
                <c:pt idx="13">
                  <c:v>16.346000671386719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82560"/>
        <c:axId val="236484480"/>
      </c:scatterChart>
      <c:valAx>
        <c:axId val="23648256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84480"/>
        <c:crossesAt val="0.1"/>
        <c:crossBetween val="midCat"/>
        <c:majorUnit val="100"/>
      </c:valAx>
      <c:valAx>
        <c:axId val="23648448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8256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91.132667541503906</c:v>
                </c:pt>
                <c:pt idx="2">
                  <c:v>94.596847534179688</c:v>
                </c:pt>
                <c:pt idx="3">
                  <c:v>95.555168151855469</c:v>
                </c:pt>
                <c:pt idx="4">
                  <c:v>95.844741821289063</c:v>
                </c:pt>
                <c:pt idx="5">
                  <c:v>95.85040283203125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65.954612731933594</c:v>
                </c:pt>
                <c:pt idx="1">
                  <c:v>83.303421020507813</c:v>
                </c:pt>
                <c:pt idx="2">
                  <c:v>88.188720703125</c:v>
                </c:pt>
                <c:pt idx="3">
                  <c:v>89.671958923339844</c:v>
                </c:pt>
                <c:pt idx="4">
                  <c:v>89.778266906738281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90.32967937178995</c:v>
                </c:pt>
                <c:pt idx="2">
                  <c:v>80.485561109386339</c:v>
                </c:pt>
                <c:pt idx="3">
                  <c:v>70.49120138873235</c:v>
                </c:pt>
                <c:pt idx="4">
                  <c:v>60.04812772181225</c:v>
                </c:pt>
                <c:pt idx="5">
                  <c:v>49.683467751313515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0.37245</c:v>
                </c:pt>
                <c:pt idx="1">
                  <c:v>7.6723578105754395</c:v>
                </c:pt>
                <c:pt idx="2">
                  <c:v>14.782784922285209</c:v>
                </c:pt>
                <c:pt idx="3">
                  <c:v>21.951793530935291</c:v>
                </c:pt>
                <c:pt idx="4">
                  <c:v>29.180626505881484</c:v>
                </c:pt>
                <c:pt idx="5">
                  <c:v>36.47362972976218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91392"/>
        <c:axId val="23169331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45.984529102267345</c:v>
                </c:pt>
                <c:pt idx="1">
                  <c:v>67.16387939453125</c:v>
                </c:pt>
                <c:pt idx="2">
                  <c:v>102.45791625976562</c:v>
                </c:pt>
                <c:pt idx="3">
                  <c:v>143.71731567382812</c:v>
                </c:pt>
                <c:pt idx="4">
                  <c:v>187.88410949707031</c:v>
                </c:pt>
                <c:pt idx="5">
                  <c:v>234.56320190429688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95488"/>
        <c:axId val="231697024"/>
      </c:scatterChart>
      <c:valAx>
        <c:axId val="23169139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693312"/>
        <c:crossesAt val="0"/>
        <c:crossBetween val="midCat"/>
        <c:majorUnit val="25"/>
        <c:minorUnit val="12.5"/>
      </c:valAx>
      <c:valAx>
        <c:axId val="23169331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691392"/>
        <c:crosses val="autoZero"/>
        <c:crossBetween val="midCat"/>
        <c:majorUnit val="10"/>
        <c:minorUnit val="5"/>
      </c:valAx>
      <c:valAx>
        <c:axId val="23169548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31697024"/>
        <c:crosses val="autoZero"/>
        <c:crossBetween val="midCat"/>
      </c:valAx>
      <c:valAx>
        <c:axId val="23169702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695488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720090</xdr:colOff>
      <xdr:row>39</xdr:row>
      <xdr:rowOff>219075</xdr:rowOff>
    </xdr:from>
    <xdr:to>
      <xdr:col>4</xdr:col>
      <xdr:colOff>746863</xdr:colOff>
      <xdr:row>40</xdr:row>
      <xdr:rowOff>152400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53640" y="92011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219075</xdr:colOff>
      <xdr:row>39</xdr:row>
      <xdr:rowOff>209550</xdr:rowOff>
    </xdr:from>
    <xdr:to>
      <xdr:col>3</xdr:col>
      <xdr:colOff>823076</xdr:colOff>
      <xdr:row>43</xdr:row>
      <xdr:rowOff>57150</xdr:rowOff>
    </xdr:to>
    <xdr:grpSp>
      <xdr:nvGrpSpPr>
        <xdr:cNvPr id="97" name="Group 96"/>
        <xdr:cNvGrpSpPr/>
      </xdr:nvGrpSpPr>
      <xdr:grpSpPr>
        <a:xfrm>
          <a:off x="1028700" y="9191625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720090</xdr:colOff>
      <xdr:row>33</xdr:row>
      <xdr:rowOff>180975</xdr:rowOff>
    </xdr:from>
    <xdr:to>
      <xdr:col>4</xdr:col>
      <xdr:colOff>746863</xdr:colOff>
      <xdr:row>34</xdr:row>
      <xdr:rowOff>114300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53640" y="77914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710565</xdr:colOff>
      <xdr:row>27</xdr:row>
      <xdr:rowOff>219075</xdr:rowOff>
    </xdr:from>
    <xdr:to>
      <xdr:col>4</xdr:col>
      <xdr:colOff>737338</xdr:colOff>
      <xdr:row>28</xdr:row>
      <xdr:rowOff>152400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44115" y="64579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0.58831</cdr:x>
      <cdr:y>0.61401</cdr:y>
    </cdr:from>
    <cdr:to>
      <cdr:x>0.82416</cdr:x>
      <cdr:y>0.6347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40659" y="39535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0.57854</cdr:x>
      <cdr:y>0.51869</cdr:y>
    </cdr:from>
    <cdr:to>
      <cdr:x>0.86136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83509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0</xdr:colOff>
      <xdr:row>17</xdr:row>
      <xdr:rowOff>85724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814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0</xdr:col>
      <xdr:colOff>1104900</xdr:colOff>
      <xdr:row>19</xdr:row>
      <xdr:rowOff>28574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4005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0</xdr:col>
      <xdr:colOff>1095375</xdr:colOff>
      <xdr:row>20</xdr:row>
      <xdr:rowOff>200024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81012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0</xdr:col>
      <xdr:colOff>1095375</xdr:colOff>
      <xdr:row>22</xdr:row>
      <xdr:rowOff>133349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21969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0</xdr:col>
      <xdr:colOff>1104900</xdr:colOff>
      <xdr:row>24</xdr:row>
      <xdr:rowOff>66674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62927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0</xdr:col>
      <xdr:colOff>1104900</xdr:colOff>
      <xdr:row>25</xdr:row>
      <xdr:rowOff>238124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60388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0</xdr:col>
      <xdr:colOff>1095375</xdr:colOff>
      <xdr:row>27</xdr:row>
      <xdr:rowOff>171449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4842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1085850</xdr:colOff>
      <xdr:row>29</xdr:row>
      <xdr:rowOff>104774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5799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1085850</xdr:colOff>
      <xdr:row>31</xdr:row>
      <xdr:rowOff>47624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7709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1085850</xdr:colOff>
      <xdr:row>32</xdr:row>
      <xdr:rowOff>219074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8667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0</xdr:col>
      <xdr:colOff>1095375</xdr:colOff>
      <xdr:row>34</xdr:row>
      <xdr:rowOff>152399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962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333375</xdr:colOff>
      <xdr:row>16</xdr:row>
      <xdr:rowOff>85724</xdr:rowOff>
    </xdr:from>
    <xdr:to>
      <xdr:col>5</xdr:col>
      <xdr:colOff>800100</xdr:colOff>
      <xdr:row>17</xdr:row>
      <xdr:rowOff>114300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05500" y="398144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359507</xdr:colOff>
      <xdr:row>25</xdr:row>
      <xdr:rowOff>0</xdr:rowOff>
    </xdr:from>
    <xdr:to>
      <xdr:col>5</xdr:col>
      <xdr:colOff>886069</xdr:colOff>
      <xdr:row>26</xdr:row>
      <xdr:rowOff>41911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31632" y="6038850"/>
          <a:ext cx="526562" cy="2800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352425</xdr:colOff>
      <xdr:row>26</xdr:row>
      <xdr:rowOff>180974</xdr:rowOff>
    </xdr:from>
    <xdr:to>
      <xdr:col>5</xdr:col>
      <xdr:colOff>819150</xdr:colOff>
      <xdr:row>27</xdr:row>
      <xdr:rowOff>209550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24550" y="645794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361950</xdr:colOff>
      <xdr:row>28</xdr:row>
      <xdr:rowOff>114299</xdr:rowOff>
    </xdr:from>
    <xdr:to>
      <xdr:col>5</xdr:col>
      <xdr:colOff>828675</xdr:colOff>
      <xdr:row>29</xdr:row>
      <xdr:rowOff>142875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34075" y="686752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352425</xdr:colOff>
      <xdr:row>30</xdr:row>
      <xdr:rowOff>38099</xdr:rowOff>
    </xdr:from>
    <xdr:to>
      <xdr:col>5</xdr:col>
      <xdr:colOff>819150</xdr:colOff>
      <xdr:row>31</xdr:row>
      <xdr:rowOff>66675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24550" y="726757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352425</xdr:colOff>
      <xdr:row>31</xdr:row>
      <xdr:rowOff>219074</xdr:rowOff>
    </xdr:from>
    <xdr:to>
      <xdr:col>5</xdr:col>
      <xdr:colOff>819150</xdr:colOff>
      <xdr:row>33</xdr:row>
      <xdr:rowOff>9525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24550" y="768667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723900</xdr:colOff>
      <xdr:row>23</xdr:row>
      <xdr:rowOff>9525</xdr:rowOff>
    </xdr:from>
    <xdr:to>
      <xdr:col>5</xdr:col>
      <xdr:colOff>942975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9602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352425</xdr:colOff>
      <xdr:row>23</xdr:row>
      <xdr:rowOff>66674</xdr:rowOff>
    </xdr:from>
    <xdr:to>
      <xdr:col>5</xdr:col>
      <xdr:colOff>819150</xdr:colOff>
      <xdr:row>24</xdr:row>
      <xdr:rowOff>95250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24550" y="562927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352425</xdr:colOff>
      <xdr:row>21</xdr:row>
      <xdr:rowOff>133349</xdr:rowOff>
    </xdr:from>
    <xdr:to>
      <xdr:col>5</xdr:col>
      <xdr:colOff>819150</xdr:colOff>
      <xdr:row>22</xdr:row>
      <xdr:rowOff>161925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24550" y="521969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342900</xdr:colOff>
      <xdr:row>19</xdr:row>
      <xdr:rowOff>200024</xdr:rowOff>
    </xdr:from>
    <xdr:to>
      <xdr:col>5</xdr:col>
      <xdr:colOff>809625</xdr:colOff>
      <xdr:row>20</xdr:row>
      <xdr:rowOff>228600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15025" y="481012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342900</xdr:colOff>
      <xdr:row>18</xdr:row>
      <xdr:rowOff>28574</xdr:rowOff>
    </xdr:from>
    <xdr:to>
      <xdr:col>5</xdr:col>
      <xdr:colOff>809625</xdr:colOff>
      <xdr:row>19</xdr:row>
      <xdr:rowOff>57150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15025" y="440054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885825</xdr:colOff>
      <xdr:row>16</xdr:row>
      <xdr:rowOff>219075</xdr:rowOff>
    </xdr:from>
    <xdr:to>
      <xdr:col>3</xdr:col>
      <xdr:colOff>114300</xdr:colOff>
      <xdr:row>17</xdr:row>
      <xdr:rowOff>123825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114675" y="41148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923925</xdr:colOff>
      <xdr:row>18</xdr:row>
      <xdr:rowOff>180975</xdr:rowOff>
    </xdr:from>
    <xdr:to>
      <xdr:col>4</xdr:col>
      <xdr:colOff>142875</xdr:colOff>
      <xdr:row>19</xdr:row>
      <xdr:rowOff>114300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67200" y="45529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3</xdr:col>
      <xdr:colOff>552450</xdr:colOff>
      <xdr:row>30</xdr:row>
      <xdr:rowOff>209550</xdr:rowOff>
    </xdr:from>
    <xdr:to>
      <xdr:col>3</xdr:col>
      <xdr:colOff>1057275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895725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341924</xdr:colOff>
      <xdr:row>33</xdr:row>
      <xdr:rowOff>142875</xdr:rowOff>
    </xdr:from>
    <xdr:to>
      <xdr:col>5</xdr:col>
      <xdr:colOff>832584</xdr:colOff>
      <xdr:row>34</xdr:row>
      <xdr:rowOff>184786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14049" y="8086725"/>
          <a:ext cx="490660" cy="2800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31" zoomScale="95" zoomScaleNormal="95" workbookViewId="0">
      <selection activeCell="L15" sqref="L15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0.62143518518518526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1500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680.57938575893729</v>
      </c>
    </row>
    <row r="10" spans="1:10" ht="15" customHeight="1">
      <c r="A10" s="7" t="s">
        <v>27</v>
      </c>
      <c r="B10" s="71">
        <v>864</v>
      </c>
      <c r="C10" s="75">
        <v>864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41723.275281201903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15</v>
      </c>
      <c r="F13" s="126"/>
      <c r="G13" s="118" t="s">
        <v>191</v>
      </c>
      <c r="H13" s="11" t="s">
        <v>40</v>
      </c>
      <c r="I13" s="70">
        <v>1.0284131572919286</v>
      </c>
      <c r="J13" s="106">
        <v>184.47402954101562</v>
      </c>
    </row>
    <row r="14" spans="1:10" ht="15" customHeight="1" thickBot="1">
      <c r="A14" s="136" t="s">
        <v>41</v>
      </c>
      <c r="B14" s="137">
        <v>647.280029296875</v>
      </c>
      <c r="C14" s="138">
        <v>647.280029296875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25.660763888888887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561.21728762254031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1399</v>
      </c>
      <c r="F18" s="72">
        <v>995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180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8.5434882296947262E-2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0.11396912589317719</v>
      </c>
      <c r="F21" s="69">
        <v>8.0270402133464813E-2</v>
      </c>
      <c r="G21" s="73">
        <v>1.2228499947661477E-2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4.8469905853271484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6.6003544075733744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2.8881536753203894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0.20646803081035614</v>
      </c>
      <c r="J25" s="74">
        <v>0.40868309140205383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344.83901256782275</v>
      </c>
      <c r="F26" s="71">
        <v>221.97441857242583</v>
      </c>
      <c r="G26" s="75">
        <v>43.799240591961784</v>
      </c>
      <c r="H26" s="11" t="s">
        <v>80</v>
      </c>
      <c r="I26" s="70">
        <v>2.5185742378234863</v>
      </c>
      <c r="J26" s="74">
        <v>2.0905055999755859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2.5270230770111084</v>
      </c>
      <c r="J27" s="83">
        <v>2.1300787925720215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815.57283691406246</v>
      </c>
      <c r="G30" s="71">
        <v>12.770496904926016</v>
      </c>
      <c r="H30" s="76">
        <v>189.3750181751326</v>
      </c>
      <c r="I30" s="72">
        <v>96338.549623903949</v>
      </c>
      <c r="J30" s="76">
        <v>5079.4965694787306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889.57674904044723</v>
      </c>
      <c r="G31" s="71">
        <v>11.708118946214952</v>
      </c>
      <c r="H31" s="76">
        <v>38.182919945679508</v>
      </c>
      <c r="I31" s="72">
        <v>33092.255064304634</v>
      </c>
      <c r="J31" s="76">
        <v>1515.7914215352155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1214.9446261015325</v>
      </c>
      <c r="G32" s="71">
        <v>8.5726297032753518</v>
      </c>
      <c r="H32" s="76">
        <v>35.709417351706996</v>
      </c>
      <c r="I32" s="10" t="s">
        <v>100</v>
      </c>
      <c r="J32" s="76">
        <v>6595.2879910139463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899.21150995550443</v>
      </c>
      <c r="G33" s="71">
        <v>11.582670233022419</v>
      </c>
      <c r="H33" s="76">
        <v>21.591133441625278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10.415270389552765</v>
      </c>
      <c r="D34" s="12" t="s">
        <v>20</v>
      </c>
      <c r="E34" s="81">
        <v>0.20999999046325685</v>
      </c>
      <c r="F34" s="82">
        <v>1663.1357725023784</v>
      </c>
      <c r="G34" s="82">
        <v>6.2624294190256018</v>
      </c>
      <c r="H34" s="85">
        <v>1046.5322641339221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15806.669921875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4.9707282399085688</v>
      </c>
      <c r="C42" s="70">
        <v>4.9707282399085688</v>
      </c>
      <c r="D42" s="70">
        <v>4.9707282399085688</v>
      </c>
      <c r="E42" s="70">
        <v>4.9707282399085688</v>
      </c>
      <c r="F42" s="74">
        <v>4.9565227085628178</v>
      </c>
      <c r="G42" s="37" t="s">
        <v>124</v>
      </c>
      <c r="H42" s="93" t="s">
        <v>248</v>
      </c>
      <c r="I42" s="57"/>
      <c r="J42" s="99">
        <v>0.19186861629077351</v>
      </c>
    </row>
    <row r="43" spans="1:10" ht="15" customHeight="1" thickBot="1">
      <c r="A43" s="18" t="s">
        <v>125</v>
      </c>
      <c r="B43" s="81">
        <v>4.9707282399085688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2888.5788379072919</v>
      </c>
      <c r="I44" s="92">
        <v>3.6689148332163739E-2</v>
      </c>
      <c r="J44" s="99">
        <v>0.6338988672275746</v>
      </c>
    </row>
    <row r="45" spans="1:10" ht="15" customHeight="1">
      <c r="A45" s="7" t="s">
        <v>129</v>
      </c>
      <c r="B45" s="70">
        <v>0.26796796917915344</v>
      </c>
      <c r="C45" s="5" t="s">
        <v>130</v>
      </c>
      <c r="D45" s="74">
        <v>9.0832235291600227E-3</v>
      </c>
      <c r="E45" s="7" t="s">
        <v>131</v>
      </c>
      <c r="F45" s="76">
        <v>1076.6678204123468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0.18357227742671967</v>
      </c>
      <c r="C46" s="5" t="s">
        <v>133</v>
      </c>
      <c r="D46" s="74">
        <v>6.7420029081404209E-3</v>
      </c>
      <c r="E46" s="7" t="s">
        <v>134</v>
      </c>
      <c r="F46" s="76">
        <v>1929.2230232899506</v>
      </c>
      <c r="G46" s="38" t="s">
        <v>135</v>
      </c>
      <c r="H46" s="96">
        <v>633.5740154357801</v>
      </c>
      <c r="I46" s="59"/>
      <c r="J46" s="60"/>
    </row>
    <row r="47" spans="1:10" ht="15" customHeight="1">
      <c r="A47" s="7" t="s">
        <v>136</v>
      </c>
      <c r="B47" s="70">
        <v>0.45154023170471191</v>
      </c>
      <c r="C47" s="5" t="s">
        <v>137</v>
      </c>
      <c r="D47" s="74">
        <v>9.0402141213417053E-3</v>
      </c>
      <c r="E47" s="7" t="s">
        <v>138</v>
      </c>
      <c r="F47" s="76">
        <v>1580.5433432660502</v>
      </c>
      <c r="G47" s="66" t="s">
        <v>139</v>
      </c>
      <c r="H47" s="95">
        <v>2784.627331592088</v>
      </c>
      <c r="I47" s="92">
        <v>3.5311368538442571E-2</v>
      </c>
      <c r="J47" s="97">
        <v>0.64684477158515219</v>
      </c>
    </row>
    <row r="48" spans="1:10" ht="15" customHeight="1">
      <c r="A48" s="7" t="s">
        <v>140</v>
      </c>
      <c r="B48" s="70">
        <v>1.0648543015122414E-2</v>
      </c>
      <c r="C48" s="5" t="s">
        <v>100</v>
      </c>
      <c r="D48" s="74">
        <v>3.5513982176780701E-2</v>
      </c>
      <c r="E48" s="7" t="s">
        <v>141</v>
      </c>
      <c r="F48" s="76">
        <v>477.67726143725838</v>
      </c>
      <c r="G48" s="67" t="s">
        <v>122</v>
      </c>
      <c r="H48" s="88">
        <v>248.84962748812225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0.96448600292205811</v>
      </c>
      <c r="E49" s="18" t="s">
        <v>143</v>
      </c>
      <c r="F49" s="85">
        <v>1034.7222629084706</v>
      </c>
      <c r="G49" s="68" t="s">
        <v>135</v>
      </c>
      <c r="H49" s="96">
        <v>621.34622567125803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7.5025105245267343E-2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218889.66158889406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247.82422076507527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462300.60000000003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400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401</v>
      </c>
      <c r="D58" s="4" t="s">
        <v>119</v>
      </c>
      <c r="E58" s="4" t="s">
        <v>165</v>
      </c>
      <c r="F58" s="17" t="s">
        <v>402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0.24015910923480988</v>
      </c>
      <c r="D59" s="130">
        <v>0.68736839294433594</v>
      </c>
      <c r="E59" s="88">
        <v>75.952305935007502</v>
      </c>
      <c r="F59" s="89">
        <v>535.5050048828125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105.44271294434149</v>
      </c>
      <c r="C60" s="89">
        <v>115.6265869140625</v>
      </c>
      <c r="D60" s="130">
        <v>0.79157894849777222</v>
      </c>
      <c r="E60" s="88">
        <v>75.447601753860511</v>
      </c>
      <c r="F60" s="89">
        <v>541.0291748046875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225</v>
      </c>
      <c r="C61" s="89">
        <v>364.52740478515625</v>
      </c>
      <c r="D61" s="130">
        <v>0.89578944444656372</v>
      </c>
      <c r="E61" s="88">
        <v>75.157999084477353</v>
      </c>
      <c r="F61" s="89">
        <v>545.6072998046875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132.10738231780218</v>
      </c>
      <c r="C62" s="89">
        <v>440.04702758789063</v>
      </c>
      <c r="D62" s="131">
        <v>1</v>
      </c>
      <c r="E62" s="88">
        <v>75</v>
      </c>
      <c r="F62" s="89">
        <v>549.46807861328125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104.65557031172133</v>
      </c>
      <c r="C63" s="89">
        <v>464.12713623046875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92.044721647407684</v>
      </c>
      <c r="C64" s="89">
        <v>477.15814208984375</v>
      </c>
      <c r="D64" s="394" t="s">
        <v>435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84.112412934111262</v>
      </c>
      <c r="C65" s="89">
        <v>494.90237426757812</v>
      </c>
      <c r="D65" s="396" t="s">
        <v>419</v>
      </c>
      <c r="E65" s="398" t="s">
        <v>433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80.356065923886121</v>
      </c>
      <c r="C66" s="89">
        <v>508.51727294921875</v>
      </c>
      <c r="D66" s="396" t="s">
        <v>416</v>
      </c>
      <c r="E66" s="398" t="s">
        <v>434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78.150955169279939</v>
      </c>
      <c r="C67" s="89">
        <v>519.510498046875</v>
      </c>
      <c r="D67" s="396" t="s">
        <v>423</v>
      </c>
      <c r="E67" s="398" t="s">
        <v>436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76.791220114541247</v>
      </c>
      <c r="C68" s="91">
        <v>528.45111083984375</v>
      </c>
      <c r="D68" s="397" t="s">
        <v>424</v>
      </c>
      <c r="E68" s="400" t="s">
        <v>437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432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H48" sqref="H48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567" t="s">
        <v>252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</row>
    <row r="2" spans="1:26" ht="20.25" customHeight="1">
      <c r="A2" s="568" t="s">
        <v>253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</row>
    <row r="3" spans="1:26" ht="18.75" customHeight="1" thickBot="1">
      <c r="A3" s="155" t="s">
        <v>1</v>
      </c>
      <c r="B3" s="156" t="s">
        <v>760</v>
      </c>
      <c r="C3" s="157"/>
      <c r="D3" s="157"/>
      <c r="E3" s="157"/>
      <c r="F3" s="158"/>
      <c r="G3" s="157"/>
      <c r="H3" s="157"/>
      <c r="I3" s="155" t="s">
        <v>254</v>
      </c>
      <c r="J3" s="569" t="s">
        <v>761</v>
      </c>
      <c r="K3" s="569"/>
    </row>
    <row r="4" spans="1:26" s="167" customFormat="1" ht="18.399999999999999" customHeight="1" thickBot="1">
      <c r="A4" s="159" t="s">
        <v>756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570" t="s">
        <v>257</v>
      </c>
      <c r="B5" s="571"/>
      <c r="C5" s="571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572" t="s">
        <v>67</v>
      </c>
      <c r="B6" s="573"/>
      <c r="C6" s="573"/>
      <c r="D6" s="574" t="s">
        <v>266</v>
      </c>
      <c r="E6" s="575"/>
      <c r="F6" s="576" t="s">
        <v>264</v>
      </c>
      <c r="G6" s="577"/>
      <c r="H6" s="577"/>
      <c r="I6" s="577"/>
      <c r="J6" s="577"/>
      <c r="K6" s="578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582" t="s">
        <v>20</v>
      </c>
      <c r="B7" s="583"/>
      <c r="C7" s="583"/>
      <c r="D7" s="584">
        <v>2.0999999046325701</v>
      </c>
      <c r="E7" s="585"/>
      <c r="F7" s="178" t="s">
        <v>267</v>
      </c>
      <c r="G7" s="179"/>
      <c r="H7" s="180"/>
      <c r="I7" s="181"/>
      <c r="J7" s="182">
        <v>40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582" t="s">
        <v>269</v>
      </c>
      <c r="B8" s="583"/>
      <c r="C8" s="583"/>
      <c r="D8" s="586">
        <v>864</v>
      </c>
      <c r="E8" s="587"/>
      <c r="F8" s="184" t="s">
        <v>270</v>
      </c>
      <c r="G8" s="185"/>
      <c r="H8" s="186"/>
      <c r="I8" s="187"/>
      <c r="J8" s="188">
        <v>14898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588" t="s">
        <v>273</v>
      </c>
      <c r="B9" s="589"/>
      <c r="C9" s="590"/>
      <c r="D9" s="586" t="s">
        <v>751</v>
      </c>
      <c r="E9" s="587"/>
      <c r="F9" s="178" t="s">
        <v>274</v>
      </c>
      <c r="G9" s="179"/>
      <c r="H9" s="190">
        <v>3</v>
      </c>
      <c r="I9" s="191" t="s">
        <v>275</v>
      </c>
      <c r="J9" s="192">
        <v>286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588" t="s">
        <v>278</v>
      </c>
      <c r="B10" s="589"/>
      <c r="C10" s="590"/>
      <c r="D10" s="591" t="s">
        <v>185</v>
      </c>
      <c r="E10" s="592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588" t="s">
        <v>282</v>
      </c>
      <c r="B11" s="589"/>
      <c r="C11" s="590"/>
      <c r="D11" s="593" t="s">
        <v>174</v>
      </c>
      <c r="E11" s="594"/>
      <c r="F11" s="195" t="s">
        <v>283</v>
      </c>
      <c r="G11" s="196"/>
      <c r="H11" s="197">
        <v>3</v>
      </c>
      <c r="I11" s="191" t="s">
        <v>275</v>
      </c>
      <c r="J11" s="198">
        <v>88328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595" t="s">
        <v>174</v>
      </c>
      <c r="E12" s="596"/>
      <c r="F12" s="579" t="s">
        <v>286</v>
      </c>
      <c r="G12" s="580"/>
      <c r="H12" s="580"/>
      <c r="I12" s="580"/>
      <c r="J12" s="580"/>
      <c r="K12" s="581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588" t="s">
        <v>53</v>
      </c>
      <c r="B13" s="589"/>
      <c r="C13" s="590"/>
      <c r="D13" s="597" t="s">
        <v>364</v>
      </c>
      <c r="E13" s="598"/>
      <c r="F13" s="203"/>
      <c r="G13" s="204" t="s">
        <v>287</v>
      </c>
      <c r="H13" s="205"/>
      <c r="I13" s="206" t="s">
        <v>288</v>
      </c>
      <c r="J13" s="207" t="s">
        <v>368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588" t="s">
        <v>56</v>
      </c>
      <c r="B14" s="589"/>
      <c r="C14" s="590"/>
      <c r="D14" s="595">
        <v>1399</v>
      </c>
      <c r="E14" s="596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599" t="s">
        <v>289</v>
      </c>
      <c r="B15" s="600"/>
      <c r="C15" s="601"/>
      <c r="D15" s="602">
        <v>12.736000061035156</v>
      </c>
      <c r="E15" s="603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604" t="s">
        <v>291</v>
      </c>
      <c r="B16" s="605"/>
      <c r="C16" s="606"/>
      <c r="D16" s="602">
        <v>3.5543997287750244</v>
      </c>
      <c r="E16" s="603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93" t="s">
        <v>363</v>
      </c>
      <c r="E17" s="594"/>
      <c r="F17" s="579" t="s">
        <v>293</v>
      </c>
      <c r="G17" s="580"/>
      <c r="H17" s="580"/>
      <c r="I17" s="580"/>
      <c r="J17" s="580"/>
      <c r="K17" s="581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1" t="s">
        <v>174</v>
      </c>
      <c r="E18" s="592"/>
      <c r="F18" s="607"/>
      <c r="G18" s="608"/>
      <c r="H18" s="219" t="s">
        <v>295</v>
      </c>
      <c r="I18" s="220"/>
      <c r="J18" s="188">
        <v>188</v>
      </c>
      <c r="K18" s="189"/>
      <c r="L18" s="163"/>
      <c r="M18" s="163">
        <f>J18*6.5</f>
        <v>1222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13" t="s">
        <v>296</v>
      </c>
      <c r="B19" s="614"/>
      <c r="C19" s="615"/>
      <c r="D19" s="616" t="s">
        <v>174</v>
      </c>
      <c r="E19" s="594"/>
      <c r="F19" s="609"/>
      <c r="G19" s="610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17" t="s">
        <v>184</v>
      </c>
      <c r="E20" s="587"/>
      <c r="F20" s="609"/>
      <c r="G20" s="610"/>
      <c r="H20" s="219" t="s">
        <v>298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599" t="s">
        <v>299</v>
      </c>
      <c r="B21" s="600"/>
      <c r="C21" s="601"/>
      <c r="D21" s="586" t="s">
        <v>174</v>
      </c>
      <c r="E21" s="587"/>
      <c r="F21" s="609"/>
      <c r="G21" s="610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8">
        <v>8.4250000000000005E-2</v>
      </c>
      <c r="E22" s="619"/>
      <c r="F22" s="609"/>
      <c r="G22" s="610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597">
        <v>793</v>
      </c>
      <c r="E23" s="598"/>
      <c r="F23" s="609"/>
      <c r="G23" s="610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20" t="s">
        <v>174</v>
      </c>
      <c r="E24" s="621"/>
      <c r="F24" s="609"/>
      <c r="G24" s="610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609"/>
      <c r="G25" s="610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366</v>
      </c>
      <c r="E26" s="246" t="s">
        <v>367</v>
      </c>
      <c r="F26" s="611"/>
      <c r="G26" s="612"/>
      <c r="H26" s="622"/>
      <c r="I26" s="623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632" t="s">
        <v>316</v>
      </c>
      <c r="B27" s="633"/>
      <c r="C27" s="633"/>
      <c r="D27" s="633"/>
      <c r="E27" s="633"/>
      <c r="F27" s="576" t="s">
        <v>317</v>
      </c>
      <c r="G27" s="577"/>
      <c r="H27" s="577"/>
      <c r="I27" s="577"/>
      <c r="J27" s="577"/>
      <c r="K27" s="578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626"/>
      <c r="B28" s="627"/>
      <c r="C28" s="627"/>
      <c r="D28" s="627"/>
      <c r="E28" s="628"/>
      <c r="F28" s="249"/>
      <c r="G28" s="250"/>
      <c r="H28" s="209" t="s">
        <v>318</v>
      </c>
      <c r="I28" s="251" t="s">
        <v>365</v>
      </c>
      <c r="J28" s="188">
        <v>1033</v>
      </c>
      <c r="K28" s="252" t="s">
        <v>174</v>
      </c>
      <c r="M28" s="167">
        <f>(J28/J18)*100</f>
        <v>549.468085106383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626"/>
      <c r="B29" s="627"/>
      <c r="C29" s="627"/>
      <c r="D29" s="627"/>
      <c r="E29" s="628"/>
      <c r="F29" s="254"/>
      <c r="G29" s="255"/>
      <c r="H29" s="209" t="s">
        <v>319</v>
      </c>
      <c r="I29" s="256">
        <v>60</v>
      </c>
      <c r="J29" s="188">
        <v>79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626"/>
      <c r="B30" s="627"/>
      <c r="C30" s="627"/>
      <c r="D30" s="627"/>
      <c r="E30" s="628"/>
      <c r="F30" s="254"/>
      <c r="G30" s="255"/>
      <c r="H30" s="209" t="s">
        <v>320</v>
      </c>
      <c r="I30" s="256">
        <v>175</v>
      </c>
      <c r="J30" s="188">
        <v>226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626"/>
      <c r="B31" s="627"/>
      <c r="C31" s="627"/>
      <c r="D31" s="627"/>
      <c r="E31" s="628"/>
      <c r="F31" s="254"/>
      <c r="G31" s="255"/>
      <c r="H31" s="209" t="s">
        <v>321</v>
      </c>
      <c r="I31" s="210"/>
      <c r="J31" s="259">
        <v>0.67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629"/>
      <c r="B32" s="630"/>
      <c r="C32" s="630"/>
      <c r="D32" s="630"/>
      <c r="E32" s="631"/>
      <c r="F32" s="254"/>
      <c r="G32" s="260" t="s">
        <v>322</v>
      </c>
      <c r="H32" s="209" t="s">
        <v>323</v>
      </c>
      <c r="I32" s="261"/>
      <c r="J32" s="182">
        <v>95.8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632" t="s">
        <v>324</v>
      </c>
      <c r="B33" s="633"/>
      <c r="C33" s="633"/>
      <c r="D33" s="633"/>
      <c r="E33" s="634"/>
      <c r="F33" s="263"/>
      <c r="G33" s="264"/>
      <c r="H33" s="265" t="s">
        <v>325</v>
      </c>
      <c r="I33" s="266"/>
      <c r="J33" s="267">
        <v>89.7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626"/>
      <c r="B34" s="627"/>
      <c r="C34" s="627"/>
      <c r="D34" s="627"/>
      <c r="E34" s="628"/>
      <c r="F34" s="184" t="s">
        <v>326</v>
      </c>
      <c r="G34" s="269"/>
      <c r="H34" s="270" t="s">
        <v>14</v>
      </c>
      <c r="I34" s="271"/>
      <c r="J34" s="272">
        <v>10538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626"/>
      <c r="B35" s="627"/>
      <c r="C35" s="627"/>
      <c r="D35" s="627"/>
      <c r="E35" s="628"/>
      <c r="F35" s="203"/>
      <c r="G35" s="276"/>
      <c r="H35" s="277" t="s">
        <v>15</v>
      </c>
      <c r="I35" s="278"/>
      <c r="J35" s="188">
        <v>7740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626"/>
      <c r="B36" s="627"/>
      <c r="C36" s="627"/>
      <c r="D36" s="627"/>
      <c r="E36" s="628"/>
      <c r="F36" s="203"/>
      <c r="G36" s="276"/>
      <c r="H36" s="277" t="s">
        <v>327</v>
      </c>
      <c r="I36" s="278"/>
      <c r="J36" s="188">
        <v>5151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626"/>
      <c r="B37" s="627"/>
      <c r="C37" s="627"/>
      <c r="D37" s="627"/>
      <c r="E37" s="628"/>
      <c r="F37" s="254"/>
      <c r="G37" s="276"/>
      <c r="H37" s="277" t="s">
        <v>762</v>
      </c>
      <c r="I37" s="278"/>
      <c r="J37" s="188">
        <v>8700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629"/>
      <c r="B38" s="630"/>
      <c r="C38" s="630"/>
      <c r="D38" s="630"/>
      <c r="E38" s="631"/>
      <c r="F38" s="211"/>
      <c r="G38" s="280"/>
      <c r="H38" s="281" t="s">
        <v>328</v>
      </c>
      <c r="I38" s="282"/>
      <c r="J38" s="283">
        <v>15807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632" t="s">
        <v>329</v>
      </c>
      <c r="B39" s="633"/>
      <c r="C39" s="633"/>
      <c r="D39" s="633"/>
      <c r="E39" s="633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626"/>
      <c r="B40" s="627"/>
      <c r="C40" s="627"/>
      <c r="D40" s="627"/>
      <c r="E40" s="628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626"/>
      <c r="B41" s="627"/>
      <c r="C41" s="627"/>
      <c r="D41" s="627"/>
      <c r="E41" s="628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626"/>
      <c r="B42" s="627"/>
      <c r="C42" s="627"/>
      <c r="D42" s="627"/>
      <c r="E42" s="628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626"/>
      <c r="B43" s="627"/>
      <c r="C43" s="627"/>
      <c r="D43" s="627"/>
      <c r="E43" s="628"/>
      <c r="F43" s="288"/>
      <c r="G43" s="549" t="s">
        <v>752</v>
      </c>
      <c r="H43" s="549"/>
      <c r="I43" s="549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35"/>
      <c r="B44" s="636"/>
      <c r="C44" s="636"/>
      <c r="D44" s="636"/>
      <c r="E44" s="637"/>
      <c r="F44" s="288"/>
      <c r="G44" s="549" t="s">
        <v>763</v>
      </c>
      <c r="H44" s="549"/>
      <c r="I44" s="549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638" t="s">
        <v>758</v>
      </c>
      <c r="C45" s="639"/>
      <c r="D45" s="295" t="s">
        <v>332</v>
      </c>
      <c r="E45" s="296" t="s">
        <v>333</v>
      </c>
      <c r="F45" s="297"/>
      <c r="G45" s="549"/>
      <c r="H45" s="549"/>
      <c r="I45" s="549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624">
        <v>42019</v>
      </c>
      <c r="C46" s="625"/>
      <c r="D46" s="299" t="s">
        <v>334</v>
      </c>
      <c r="E46" s="300">
        <v>41992</v>
      </c>
      <c r="F46" s="301"/>
      <c r="G46" s="550" t="s">
        <v>753</v>
      </c>
      <c r="H46" s="550"/>
      <c r="I46" s="550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52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48" t="s">
        <v>338</v>
      </c>
      <c r="C2" s="649"/>
      <c r="D2" s="649"/>
      <c r="E2" s="649"/>
      <c r="F2" s="649"/>
      <c r="G2" s="649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48"/>
      <c r="C3" s="649"/>
      <c r="D3" s="649"/>
      <c r="E3" s="649"/>
      <c r="F3" s="649"/>
      <c r="G3" s="649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48"/>
      <c r="C4" s="649"/>
      <c r="D4" s="649"/>
      <c r="E4" s="649"/>
      <c r="F4" s="649"/>
      <c r="G4" s="649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50" t="s">
        <v>360</v>
      </c>
      <c r="C53" s="650"/>
      <c r="D53" s="650"/>
      <c r="E53" s="650"/>
      <c r="F53" s="650"/>
      <c r="G53" s="650"/>
      <c r="H53" s="650"/>
      <c r="I53" s="650"/>
      <c r="J53" s="650"/>
      <c r="K53" s="650"/>
      <c r="L53" s="650"/>
      <c r="M53" s="650"/>
      <c r="N53" s="650"/>
    </row>
    <row r="54" spans="2:14" ht="15" customHeight="1" thickBot="1">
      <c r="B54" s="336" t="s">
        <v>361</v>
      </c>
      <c r="C54" s="651" t="s">
        <v>358</v>
      </c>
      <c r="D54" s="652"/>
      <c r="E54" s="652"/>
      <c r="F54" s="652"/>
      <c r="G54" s="652"/>
      <c r="H54" s="337"/>
      <c r="I54" s="651" t="s">
        <v>353</v>
      </c>
      <c r="J54" s="652"/>
      <c r="K54" s="653"/>
      <c r="L54" s="651" t="s">
        <v>362</v>
      </c>
      <c r="M54" s="652"/>
      <c r="N54" s="654"/>
    </row>
    <row r="55" spans="2:14" ht="15" customHeight="1">
      <c r="B55" s="338"/>
      <c r="C55" s="640"/>
      <c r="D55" s="641"/>
      <c r="E55" s="641"/>
      <c r="F55" s="641"/>
      <c r="G55" s="641"/>
      <c r="H55" s="339"/>
      <c r="I55" s="642"/>
      <c r="J55" s="643"/>
      <c r="K55" s="644"/>
      <c r="L55" s="645"/>
      <c r="M55" s="646"/>
      <c r="N55" s="647"/>
    </row>
    <row r="56" spans="2:14" ht="15" customHeight="1">
      <c r="B56" s="340"/>
      <c r="C56" s="655"/>
      <c r="D56" s="656"/>
      <c r="E56" s="656"/>
      <c r="F56" s="656"/>
      <c r="G56" s="656"/>
      <c r="H56" s="341"/>
      <c r="I56" s="657"/>
      <c r="J56" s="658"/>
      <c r="K56" s="659"/>
      <c r="L56" s="660"/>
      <c r="M56" s="661"/>
      <c r="N56" s="662"/>
    </row>
    <row r="57" spans="2:14" ht="15" customHeight="1">
      <c r="B57" s="340"/>
      <c r="C57" s="655"/>
      <c r="D57" s="656"/>
      <c r="E57" s="656"/>
      <c r="F57" s="656"/>
      <c r="G57" s="656"/>
      <c r="H57" s="341"/>
      <c r="I57" s="657"/>
      <c r="J57" s="658"/>
      <c r="K57" s="659"/>
      <c r="L57" s="660"/>
      <c r="M57" s="661"/>
      <c r="N57" s="662"/>
    </row>
    <row r="58" spans="2:14" ht="15" customHeight="1">
      <c r="B58" s="340"/>
      <c r="C58" s="655"/>
      <c r="D58" s="656"/>
      <c r="E58" s="656"/>
      <c r="F58" s="656"/>
      <c r="G58" s="656"/>
      <c r="H58" s="341"/>
      <c r="I58" s="657"/>
      <c r="J58" s="658"/>
      <c r="K58" s="659"/>
      <c r="L58" s="660"/>
      <c r="M58" s="661"/>
      <c r="N58" s="662"/>
    </row>
    <row r="59" spans="2:14" ht="15" customHeight="1">
      <c r="B59" s="340"/>
      <c r="C59" s="655"/>
      <c r="D59" s="656"/>
      <c r="E59" s="656"/>
      <c r="F59" s="656"/>
      <c r="G59" s="656"/>
      <c r="H59" s="341"/>
      <c r="I59" s="657"/>
      <c r="J59" s="658"/>
      <c r="K59" s="659"/>
      <c r="L59" s="660"/>
      <c r="M59" s="661"/>
      <c r="N59" s="662"/>
    </row>
    <row r="60" spans="2:14" ht="15" customHeight="1">
      <c r="B60" s="340"/>
      <c r="C60" s="655"/>
      <c r="D60" s="656"/>
      <c r="E60" s="656"/>
      <c r="F60" s="656"/>
      <c r="G60" s="656"/>
      <c r="H60" s="341"/>
      <c r="I60" s="657"/>
      <c r="J60" s="658"/>
      <c r="K60" s="659"/>
      <c r="L60" s="660"/>
      <c r="M60" s="661"/>
      <c r="N60" s="662"/>
    </row>
    <row r="61" spans="2:14" ht="15" customHeight="1">
      <c r="B61" s="340"/>
      <c r="C61" s="655"/>
      <c r="D61" s="656"/>
      <c r="E61" s="656"/>
      <c r="F61" s="656"/>
      <c r="G61" s="656"/>
      <c r="H61" s="341"/>
      <c r="I61" s="657"/>
      <c r="J61" s="658"/>
      <c r="K61" s="659"/>
      <c r="L61" s="660"/>
      <c r="M61" s="661"/>
      <c r="N61" s="662"/>
    </row>
    <row r="62" spans="2:14" ht="15" customHeight="1">
      <c r="B62" s="340"/>
      <c r="C62" s="655"/>
      <c r="D62" s="656"/>
      <c r="E62" s="656"/>
      <c r="F62" s="656"/>
      <c r="G62" s="656"/>
      <c r="H62" s="341"/>
      <c r="I62" s="657"/>
      <c r="J62" s="658"/>
      <c r="K62" s="659"/>
      <c r="L62" s="660"/>
      <c r="M62" s="661"/>
      <c r="N62" s="662"/>
    </row>
    <row r="63" spans="2:14" ht="15" customHeight="1">
      <c r="B63" s="340"/>
      <c r="C63" s="655"/>
      <c r="D63" s="656"/>
      <c r="E63" s="656"/>
      <c r="F63" s="656"/>
      <c r="G63" s="656"/>
      <c r="H63" s="341"/>
      <c r="I63" s="657"/>
      <c r="J63" s="658"/>
      <c r="K63" s="659"/>
      <c r="L63" s="660"/>
      <c r="M63" s="661"/>
      <c r="N63" s="662"/>
    </row>
    <row r="64" spans="2:14" ht="15" customHeight="1">
      <c r="B64" s="340"/>
      <c r="C64" s="655"/>
      <c r="D64" s="656"/>
      <c r="E64" s="656"/>
      <c r="F64" s="656"/>
      <c r="G64" s="656"/>
      <c r="H64" s="341"/>
      <c r="I64" s="657"/>
      <c r="J64" s="658"/>
      <c r="K64" s="659"/>
      <c r="L64" s="660"/>
      <c r="M64" s="661"/>
      <c r="N64" s="662"/>
    </row>
    <row r="65" spans="2:14" ht="15" customHeight="1">
      <c r="B65" s="340"/>
      <c r="C65" s="655"/>
      <c r="D65" s="656"/>
      <c r="E65" s="656"/>
      <c r="F65" s="656"/>
      <c r="G65" s="656"/>
      <c r="H65" s="341"/>
      <c r="I65" s="657"/>
      <c r="J65" s="658"/>
      <c r="K65" s="659"/>
      <c r="L65" s="660"/>
      <c r="M65" s="661"/>
      <c r="N65" s="662"/>
    </row>
    <row r="66" spans="2:14" ht="15" customHeight="1">
      <c r="B66" s="340"/>
      <c r="C66" s="655"/>
      <c r="D66" s="656"/>
      <c r="E66" s="656"/>
      <c r="F66" s="656"/>
      <c r="G66" s="656"/>
      <c r="H66" s="341"/>
      <c r="I66" s="657"/>
      <c r="J66" s="658"/>
      <c r="K66" s="659"/>
      <c r="L66" s="660"/>
      <c r="M66" s="661"/>
      <c r="N66" s="662"/>
    </row>
    <row r="67" spans="2:14" ht="15" customHeight="1">
      <c r="B67" s="340"/>
      <c r="C67" s="655"/>
      <c r="D67" s="656"/>
      <c r="E67" s="656"/>
      <c r="F67" s="656"/>
      <c r="G67" s="656"/>
      <c r="H67" s="341"/>
      <c r="I67" s="657"/>
      <c r="J67" s="658"/>
      <c r="K67" s="659"/>
      <c r="L67" s="660"/>
      <c r="M67" s="661"/>
      <c r="N67" s="662"/>
    </row>
    <row r="68" spans="2:14" ht="15" customHeight="1">
      <c r="B68" s="340"/>
      <c r="C68" s="655"/>
      <c r="D68" s="656"/>
      <c r="E68" s="656"/>
      <c r="F68" s="656"/>
      <c r="G68" s="656"/>
      <c r="H68" s="341"/>
      <c r="I68" s="657"/>
      <c r="J68" s="658"/>
      <c r="K68" s="659"/>
      <c r="L68" s="660"/>
      <c r="M68" s="661"/>
      <c r="N68" s="662"/>
    </row>
    <row r="69" spans="2:14" ht="15" customHeight="1">
      <c r="B69" s="340"/>
      <c r="C69" s="655"/>
      <c r="D69" s="656"/>
      <c r="E69" s="656"/>
      <c r="F69" s="656"/>
      <c r="G69" s="656"/>
      <c r="H69" s="341"/>
      <c r="I69" s="657"/>
      <c r="J69" s="658"/>
      <c r="K69" s="659"/>
      <c r="L69" s="660"/>
      <c r="M69" s="661"/>
      <c r="N69" s="662"/>
    </row>
    <row r="70" spans="2:14" ht="15" customHeight="1">
      <c r="B70" s="340"/>
      <c r="C70" s="655"/>
      <c r="D70" s="656"/>
      <c r="E70" s="656"/>
      <c r="F70" s="656"/>
      <c r="G70" s="656"/>
      <c r="H70" s="341"/>
      <c r="I70" s="657"/>
      <c r="J70" s="658"/>
      <c r="K70" s="659"/>
      <c r="L70" s="660"/>
      <c r="M70" s="661"/>
      <c r="N70" s="662"/>
    </row>
    <row r="71" spans="2:14" ht="15" customHeight="1">
      <c r="B71" s="340"/>
      <c r="C71" s="655"/>
      <c r="D71" s="656"/>
      <c r="E71" s="656"/>
      <c r="F71" s="656"/>
      <c r="G71" s="656"/>
      <c r="H71" s="341"/>
      <c r="I71" s="657"/>
      <c r="J71" s="658"/>
      <c r="K71" s="659"/>
      <c r="L71" s="660"/>
      <c r="M71" s="661"/>
      <c r="N71" s="662"/>
    </row>
    <row r="72" spans="2:14">
      <c r="B72" s="340"/>
      <c r="C72" s="655"/>
      <c r="D72" s="656"/>
      <c r="E72" s="656"/>
      <c r="F72" s="656"/>
      <c r="G72" s="656"/>
      <c r="H72" s="341"/>
      <c r="I72" s="657"/>
      <c r="J72" s="658"/>
      <c r="K72" s="659"/>
      <c r="L72" s="660"/>
      <c r="M72" s="661"/>
      <c r="N72" s="662"/>
    </row>
    <row r="73" spans="2:14">
      <c r="B73" s="340"/>
      <c r="C73" s="655"/>
      <c r="D73" s="656"/>
      <c r="E73" s="656"/>
      <c r="F73" s="656"/>
      <c r="G73" s="656"/>
      <c r="H73" s="341"/>
      <c r="I73" s="657"/>
      <c r="J73" s="658"/>
      <c r="K73" s="659"/>
      <c r="L73" s="660"/>
      <c r="M73" s="661"/>
      <c r="N73" s="662"/>
    </row>
    <row r="74" spans="2:14">
      <c r="B74" s="340"/>
      <c r="C74" s="655"/>
      <c r="D74" s="656"/>
      <c r="E74" s="656"/>
      <c r="F74" s="656"/>
      <c r="G74" s="656"/>
      <c r="H74" s="341"/>
      <c r="I74" s="657"/>
      <c r="J74" s="658"/>
      <c r="K74" s="659"/>
      <c r="L74" s="660"/>
      <c r="M74" s="661"/>
      <c r="N74" s="662"/>
    </row>
    <row r="75" spans="2:14">
      <c r="B75" s="340"/>
      <c r="C75" s="655"/>
      <c r="D75" s="656"/>
      <c r="E75" s="656"/>
      <c r="F75" s="656"/>
      <c r="G75" s="656"/>
      <c r="H75" s="341"/>
      <c r="I75" s="657"/>
      <c r="J75" s="658"/>
      <c r="K75" s="659"/>
      <c r="L75" s="660"/>
      <c r="M75" s="661"/>
      <c r="N75" s="662"/>
    </row>
    <row r="76" spans="2:14">
      <c r="B76" s="340"/>
      <c r="C76" s="655"/>
      <c r="D76" s="656"/>
      <c r="E76" s="656"/>
      <c r="F76" s="656"/>
      <c r="G76" s="656"/>
      <c r="H76" s="341"/>
      <c r="I76" s="657"/>
      <c r="J76" s="658"/>
      <c r="K76" s="659"/>
      <c r="L76" s="660"/>
      <c r="M76" s="661"/>
      <c r="N76" s="662"/>
    </row>
    <row r="77" spans="2:14">
      <c r="B77" s="340"/>
      <c r="C77" s="655"/>
      <c r="D77" s="656"/>
      <c r="E77" s="656"/>
      <c r="F77" s="656"/>
      <c r="G77" s="656"/>
      <c r="H77" s="341"/>
      <c r="I77" s="657"/>
      <c r="J77" s="658"/>
      <c r="K77" s="659"/>
      <c r="L77" s="660"/>
      <c r="M77" s="661"/>
      <c r="N77" s="662"/>
    </row>
    <row r="78" spans="2:14">
      <c r="B78" s="340"/>
      <c r="C78" s="655"/>
      <c r="D78" s="656"/>
      <c r="E78" s="656"/>
      <c r="F78" s="656"/>
      <c r="G78" s="656"/>
      <c r="H78" s="341"/>
      <c r="I78" s="657"/>
      <c r="J78" s="658"/>
      <c r="K78" s="659"/>
      <c r="L78" s="660"/>
      <c r="M78" s="661"/>
      <c r="N78" s="662"/>
    </row>
    <row r="79" spans="2:14" ht="13.5" thickBot="1">
      <c r="B79" s="342"/>
      <c r="C79" s="663"/>
      <c r="D79" s="664"/>
      <c r="E79" s="664"/>
      <c r="F79" s="664"/>
      <c r="G79" s="664"/>
      <c r="H79" s="343"/>
      <c r="I79" s="665"/>
      <c r="J79" s="666"/>
      <c r="K79" s="667"/>
      <c r="L79" s="668"/>
      <c r="M79" s="669"/>
      <c r="N79" s="670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71" t="s">
        <v>369</v>
      </c>
      <c r="B1" s="671"/>
      <c r="C1" s="671"/>
      <c r="D1" s="671"/>
      <c r="E1" s="671"/>
      <c r="F1" s="671"/>
    </row>
    <row r="2" spans="1:7" ht="19.5" thickBot="1">
      <c r="A2" s="345"/>
      <c r="B2" s="345"/>
      <c r="C2" s="672" t="s">
        <v>381</v>
      </c>
      <c r="D2" s="672"/>
      <c r="E2" s="345"/>
      <c r="F2" s="345"/>
      <c r="G2" s="345"/>
    </row>
    <row r="3" spans="1:7" ht="19.5">
      <c r="A3" s="673" t="s">
        <v>370</v>
      </c>
      <c r="B3" s="674"/>
      <c r="C3" s="675"/>
      <c r="D3" s="673" t="s">
        <v>371</v>
      </c>
      <c r="E3" s="674"/>
      <c r="F3" s="675"/>
      <c r="G3" s="345"/>
    </row>
    <row r="4" spans="1:7" ht="15.75">
      <c r="A4" s="346" t="s">
        <v>382</v>
      </c>
      <c r="B4" s="676" t="s">
        <v>384</v>
      </c>
      <c r="C4" s="677"/>
      <c r="D4" s="678" t="s">
        <v>386</v>
      </c>
      <c r="E4" s="679"/>
      <c r="F4" s="680"/>
      <c r="G4" s="345"/>
    </row>
    <row r="5" spans="1:7" ht="16.5" thickBot="1">
      <c r="A5" s="347" t="s">
        <v>383</v>
      </c>
      <c r="B5" s="684" t="s">
        <v>385</v>
      </c>
      <c r="C5" s="685"/>
      <c r="D5" s="686" t="s">
        <v>387</v>
      </c>
      <c r="E5" s="687"/>
      <c r="F5" s="688"/>
      <c r="G5" s="345"/>
    </row>
    <row r="6" spans="1:7" ht="19.5">
      <c r="A6" s="673" t="s">
        <v>372</v>
      </c>
      <c r="B6" s="674"/>
      <c r="C6" s="674"/>
      <c r="D6" s="674"/>
      <c r="E6" s="674"/>
      <c r="F6" s="675"/>
      <c r="G6" s="345"/>
    </row>
    <row r="7" spans="1:7" ht="15.75">
      <c r="A7" s="348" t="s">
        <v>373</v>
      </c>
      <c r="B7" s="349" t="s">
        <v>388</v>
      </c>
      <c r="C7" s="350" t="s">
        <v>374</v>
      </c>
      <c r="D7" s="351" t="s">
        <v>390</v>
      </c>
      <c r="E7" s="689" t="s">
        <v>375</v>
      </c>
      <c r="F7" s="690"/>
      <c r="G7" s="345"/>
    </row>
    <row r="8" spans="1:7" ht="16.5" thickBot="1">
      <c r="A8" s="352"/>
      <c r="B8" s="353" t="s">
        <v>389</v>
      </c>
      <c r="C8" s="354"/>
      <c r="D8" s="355" t="s">
        <v>391</v>
      </c>
      <c r="E8" s="691" t="s">
        <v>392</v>
      </c>
      <c r="F8" s="688"/>
      <c r="G8" s="345"/>
    </row>
    <row r="9" spans="1:7" ht="19.5">
      <c r="A9" s="673" t="s">
        <v>376</v>
      </c>
      <c r="B9" s="674"/>
      <c r="C9" s="675"/>
      <c r="D9" s="673" t="s">
        <v>377</v>
      </c>
      <c r="E9" s="674"/>
      <c r="F9" s="675"/>
      <c r="G9" s="345"/>
    </row>
    <row r="10" spans="1:7" ht="15.75">
      <c r="A10" s="356" t="s">
        <v>378</v>
      </c>
      <c r="B10" s="692" t="s">
        <v>393</v>
      </c>
      <c r="C10" s="677"/>
      <c r="D10" s="693" t="s">
        <v>395</v>
      </c>
      <c r="E10" s="694"/>
      <c r="F10" s="357" t="s">
        <v>396</v>
      </c>
      <c r="G10" s="345"/>
    </row>
    <row r="11" spans="1:7" ht="16.5" thickBot="1">
      <c r="A11" s="358" t="s">
        <v>379</v>
      </c>
      <c r="B11" s="687" t="s">
        <v>394</v>
      </c>
      <c r="C11" s="688"/>
      <c r="D11" s="695"/>
      <c r="E11" s="696"/>
      <c r="F11" s="359" t="s">
        <v>397</v>
      </c>
      <c r="G11" s="345"/>
    </row>
    <row r="12" spans="1:7" ht="19.5">
      <c r="A12" s="673" t="s">
        <v>380</v>
      </c>
      <c r="B12" s="674"/>
      <c r="C12" s="674"/>
      <c r="D12" s="674"/>
      <c r="E12" s="674"/>
      <c r="F12" s="675"/>
      <c r="G12" s="345"/>
    </row>
    <row r="13" spans="1:7" ht="16.5" thickBot="1">
      <c r="A13" s="681" t="s">
        <v>398</v>
      </c>
      <c r="B13" s="682"/>
      <c r="C13" s="683" t="s">
        <v>399</v>
      </c>
      <c r="D13" s="683"/>
      <c r="E13" s="683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H39" sqref="H39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403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404</v>
      </c>
      <c r="B6" s="697" t="str">
        <f>'Performance Data Sheet'!C17</f>
        <v>M307TCAL11E-C</v>
      </c>
      <c r="C6" s="698"/>
      <c r="D6" s="699"/>
      <c r="E6" s="554" t="s">
        <v>405</v>
      </c>
      <c r="F6" s="555">
        <v>188</v>
      </c>
    </row>
    <row r="7" spans="1:6" ht="18.95" customHeight="1">
      <c r="A7" s="554" t="s">
        <v>406</v>
      </c>
      <c r="B7" s="555" t="str">
        <f>'Performance Data Sheet'!F14</f>
        <v>TEAAC</v>
      </c>
      <c r="C7" s="554" t="s">
        <v>407</v>
      </c>
      <c r="D7" s="555" t="s">
        <v>429</v>
      </c>
      <c r="E7" s="554" t="s">
        <v>408</v>
      </c>
      <c r="F7" s="555" t="str">
        <f>'Performance Data Sheet'!C14</f>
        <v>6810US</v>
      </c>
    </row>
    <row r="8" spans="1:6" ht="18.95" customHeight="1">
      <c r="A8" s="554" t="s">
        <v>409</v>
      </c>
      <c r="B8" s="555">
        <v>6</v>
      </c>
      <c r="C8" s="554" t="s">
        <v>410</v>
      </c>
      <c r="D8" s="555" t="s">
        <v>411</v>
      </c>
      <c r="E8" s="554" t="s">
        <v>412</v>
      </c>
      <c r="F8" s="555" t="str">
        <f>'Performance Data Sheet'!M15</f>
        <v>F</v>
      </c>
    </row>
    <row r="9" spans="1:6" ht="18.95" customHeight="1">
      <c r="A9" s="554" t="s">
        <v>413</v>
      </c>
      <c r="B9" s="555">
        <v>1500</v>
      </c>
      <c r="C9" s="554" t="s">
        <v>414</v>
      </c>
      <c r="D9" s="555" t="s">
        <v>430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415</v>
      </c>
      <c r="B10" s="555">
        <v>1192</v>
      </c>
      <c r="C10" s="554" t="s">
        <v>416</v>
      </c>
      <c r="D10" s="555" t="s">
        <v>417</v>
      </c>
      <c r="E10" s="554" t="s">
        <v>1</v>
      </c>
      <c r="F10" s="555" t="s">
        <v>760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418</v>
      </c>
      <c r="C12" s="377" t="s">
        <v>431</v>
      </c>
      <c r="D12" s="376" t="s">
        <v>419</v>
      </c>
      <c r="E12" s="377" t="s">
        <v>417</v>
      </c>
      <c r="F12" s="372"/>
    </row>
    <row r="13" spans="1:6" ht="18.95" customHeight="1">
      <c r="A13" s="370"/>
      <c r="B13" s="376" t="s">
        <v>420</v>
      </c>
      <c r="C13" s="378">
        <v>0.75</v>
      </c>
      <c r="D13" s="376" t="s">
        <v>421</v>
      </c>
      <c r="E13" s="377" t="s">
        <v>417</v>
      </c>
      <c r="F13" s="372"/>
    </row>
    <row r="14" spans="1:6" ht="18.95" customHeight="1">
      <c r="A14" s="370"/>
      <c r="B14" s="376" t="s">
        <v>422</v>
      </c>
      <c r="C14" s="378">
        <v>2.25</v>
      </c>
      <c r="D14" s="376" t="s">
        <v>423</v>
      </c>
      <c r="E14" s="377" t="s">
        <v>417</v>
      </c>
      <c r="F14" s="372"/>
    </row>
    <row r="15" spans="1:6" ht="18.95" customHeight="1">
      <c r="A15" s="370"/>
      <c r="B15" s="376" t="s">
        <v>424</v>
      </c>
      <c r="C15" s="377" t="s">
        <v>755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425</v>
      </c>
      <c r="B39" s="561"/>
      <c r="C39" s="561"/>
      <c r="D39" s="552"/>
      <c r="E39" s="557" t="s">
        <v>426</v>
      </c>
      <c r="F39" s="562" t="s">
        <v>760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427</v>
      </c>
      <c r="D43" s="565" t="str">
        <f>'Performance Data Sheet'!K43</f>
        <v>Mario L</v>
      </c>
      <c r="E43" s="564" t="s">
        <v>428</v>
      </c>
      <c r="F43" s="565" t="s">
        <v>759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0.24015910923480988</v>
      </c>
    </row>
    <row r="55" spans="1:3" ht="15" customHeight="1">
      <c r="A55" s="388">
        <v>99.799999967217445</v>
      </c>
      <c r="B55" s="362">
        <v>105.44271294434149</v>
      </c>
      <c r="C55" s="362">
        <v>115.6265869140625</v>
      </c>
    </row>
    <row r="56" spans="1:3" ht="15" customHeight="1">
      <c r="A56" s="388">
        <v>98.999999836087227</v>
      </c>
      <c r="B56" s="362">
        <v>225</v>
      </c>
      <c r="C56" s="362">
        <v>364.52740478515625</v>
      </c>
    </row>
    <row r="57" spans="1:3">
      <c r="A57" s="388">
        <v>93.789473548531532</v>
      </c>
      <c r="B57" s="362">
        <v>132.10738231780218</v>
      </c>
      <c r="C57" s="362">
        <v>440.04702758789063</v>
      </c>
    </row>
    <row r="58" spans="1:3">
      <c r="A58" s="388">
        <v>88.578946888446808</v>
      </c>
      <c r="B58" s="362">
        <v>104.65557031172133</v>
      </c>
      <c r="C58" s="362">
        <v>464.12713623046875</v>
      </c>
    </row>
    <row r="59" spans="1:3">
      <c r="A59" s="388">
        <v>83.368420600891113</v>
      </c>
      <c r="B59" s="362">
        <v>92.044721647407684</v>
      </c>
      <c r="C59" s="362">
        <v>477.15814208984375</v>
      </c>
    </row>
    <row r="60" spans="1:3">
      <c r="A60" s="388">
        <v>72.947368025779724</v>
      </c>
      <c r="B60" s="362">
        <v>84.112412934111262</v>
      </c>
      <c r="C60" s="362">
        <v>494.90237426757812</v>
      </c>
    </row>
    <row r="61" spans="1:3">
      <c r="A61" s="388">
        <v>62.526315450668335</v>
      </c>
      <c r="B61" s="362">
        <v>80.356065923886121</v>
      </c>
      <c r="C61" s="362">
        <v>508.51727294921875</v>
      </c>
    </row>
    <row r="62" spans="1:3">
      <c r="A62" s="388">
        <v>52.105262875556946</v>
      </c>
      <c r="B62" s="362">
        <v>78.150955169279939</v>
      </c>
      <c r="C62" s="362">
        <v>519.510498046875</v>
      </c>
    </row>
    <row r="63" spans="1:3">
      <c r="A63" s="388">
        <v>41.684210300445557</v>
      </c>
      <c r="B63" s="362">
        <v>76.791220114541247</v>
      </c>
      <c r="C63" s="362">
        <v>528.45111083984375</v>
      </c>
    </row>
    <row r="64" spans="1:3">
      <c r="A64" s="388">
        <v>31.263160705566406</v>
      </c>
      <c r="B64" s="362">
        <v>75.952305935007502</v>
      </c>
      <c r="C64" s="362">
        <v>535.5050048828125</v>
      </c>
    </row>
    <row r="65" spans="1:3">
      <c r="A65" s="388">
        <v>20.842105150222778</v>
      </c>
      <c r="B65" s="362">
        <v>75.447601753860511</v>
      </c>
      <c r="C65" s="362">
        <v>541.0291748046875</v>
      </c>
    </row>
    <row r="66" spans="1:3">
      <c r="A66" s="388">
        <v>10.421055555343628</v>
      </c>
      <c r="B66" s="362">
        <v>75.157999084477353</v>
      </c>
      <c r="C66" s="362">
        <v>545.6072998046875</v>
      </c>
    </row>
    <row r="67" spans="1:3">
      <c r="A67" s="389">
        <v>0</v>
      </c>
      <c r="B67" s="362">
        <v>75</v>
      </c>
      <c r="C67" s="362">
        <v>549.46807861328125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10" workbookViewId="0"/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438</v>
      </c>
      <c r="B1" s="701" t="s">
        <v>477</v>
      </c>
      <c r="C1" s="701"/>
      <c r="D1" s="701"/>
      <c r="E1" s="701"/>
      <c r="F1" s="701"/>
      <c r="G1" s="701"/>
    </row>
    <row r="2" spans="1:12" ht="15" customHeight="1"/>
    <row r="3" spans="1:12" ht="20.25">
      <c r="A3" s="402" t="s">
        <v>439</v>
      </c>
    </row>
    <row r="4" spans="1:12" ht="12" customHeight="1">
      <c r="A4" s="345"/>
      <c r="B4" s="345"/>
      <c r="C4" s="345"/>
      <c r="D4" s="345" t="s">
        <v>491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440</v>
      </c>
      <c r="C5" s="403" t="s">
        <v>441</v>
      </c>
      <c r="D5" s="403" t="s">
        <v>442</v>
      </c>
      <c r="E5" s="403" t="s">
        <v>443</v>
      </c>
      <c r="F5" s="403" t="s">
        <v>444</v>
      </c>
      <c r="G5" s="403" t="s">
        <v>445</v>
      </c>
      <c r="H5" s="345"/>
      <c r="I5" s="345"/>
      <c r="J5" s="345"/>
      <c r="K5" s="345"/>
      <c r="L5" s="345"/>
    </row>
    <row r="6" spans="1:12" ht="15.6" customHeight="1">
      <c r="A6" s="404" t="s">
        <v>446</v>
      </c>
      <c r="B6" s="404" t="s">
        <v>165</v>
      </c>
      <c r="C6" s="404" t="s">
        <v>165</v>
      </c>
      <c r="D6" s="404" t="s">
        <v>447</v>
      </c>
      <c r="E6" s="404" t="s">
        <v>135</v>
      </c>
      <c r="F6" s="404" t="s">
        <v>448</v>
      </c>
      <c r="G6" s="404" t="s">
        <v>448</v>
      </c>
      <c r="H6" s="345"/>
      <c r="I6" s="345"/>
      <c r="J6" s="345"/>
      <c r="K6" s="345"/>
      <c r="L6" s="345"/>
    </row>
    <row r="7" spans="1:12" ht="15.95" customHeight="1">
      <c r="A7" s="405" t="s">
        <v>478</v>
      </c>
      <c r="B7" s="405" t="s">
        <v>492</v>
      </c>
      <c r="C7" s="405" t="s">
        <v>505</v>
      </c>
      <c r="D7" s="405" t="s">
        <v>518</v>
      </c>
      <c r="E7" s="405" t="s">
        <v>530</v>
      </c>
      <c r="F7" s="405" t="s">
        <v>543</v>
      </c>
      <c r="G7" s="405" t="s">
        <v>556</v>
      </c>
      <c r="H7" s="345"/>
      <c r="I7" s="345"/>
      <c r="J7" s="345"/>
      <c r="K7" s="345"/>
      <c r="L7" s="345"/>
    </row>
    <row r="8" spans="1:12" ht="15.95" customHeight="1">
      <c r="A8" s="405" t="s">
        <v>479</v>
      </c>
      <c r="B8" s="405" t="s">
        <v>493</v>
      </c>
      <c r="C8" s="405" t="s">
        <v>506</v>
      </c>
      <c r="D8" s="405" t="s">
        <v>519</v>
      </c>
      <c r="E8" s="405" t="s">
        <v>531</v>
      </c>
      <c r="F8" s="405" t="s">
        <v>544</v>
      </c>
      <c r="G8" s="405" t="s">
        <v>557</v>
      </c>
      <c r="H8" s="345"/>
      <c r="I8" s="345"/>
      <c r="J8" s="345"/>
      <c r="K8" s="345"/>
      <c r="L8" s="345"/>
    </row>
    <row r="9" spans="1:12" ht="15.95" customHeight="1">
      <c r="A9" s="405" t="s">
        <v>480</v>
      </c>
      <c r="B9" s="405" t="s">
        <v>494</v>
      </c>
      <c r="C9" s="405" t="s">
        <v>507</v>
      </c>
      <c r="D9" s="405" t="s">
        <v>520</v>
      </c>
      <c r="E9" s="405" t="s">
        <v>532</v>
      </c>
      <c r="F9" s="405" t="s">
        <v>545</v>
      </c>
      <c r="G9" s="405" t="s">
        <v>558</v>
      </c>
      <c r="H9" s="345"/>
      <c r="I9" s="345"/>
      <c r="J9" s="345"/>
      <c r="K9" s="345"/>
      <c r="L9" s="345"/>
    </row>
    <row r="10" spans="1:12" ht="15.95" customHeight="1">
      <c r="A10" s="405" t="s">
        <v>481</v>
      </c>
      <c r="B10" s="405" t="s">
        <v>495</v>
      </c>
      <c r="C10" s="405" t="s">
        <v>508</v>
      </c>
      <c r="D10" s="405" t="s">
        <v>520</v>
      </c>
      <c r="E10" s="405" t="s">
        <v>533</v>
      </c>
      <c r="F10" s="405" t="s">
        <v>546</v>
      </c>
      <c r="G10" s="405" t="s">
        <v>559</v>
      </c>
      <c r="H10" s="345"/>
      <c r="I10" s="345"/>
      <c r="J10" s="345"/>
      <c r="K10" s="345"/>
      <c r="L10" s="345"/>
    </row>
    <row r="11" spans="1:12" ht="15.95" customHeight="1">
      <c r="A11" s="405" t="s">
        <v>482</v>
      </c>
      <c r="B11" s="405" t="s">
        <v>496</v>
      </c>
      <c r="C11" s="405" t="s">
        <v>509</v>
      </c>
      <c r="D11" s="405" t="s">
        <v>521</v>
      </c>
      <c r="E11" s="405" t="s">
        <v>534</v>
      </c>
      <c r="F11" s="405" t="s">
        <v>547</v>
      </c>
      <c r="G11" s="405" t="s">
        <v>560</v>
      </c>
      <c r="H11" s="345"/>
      <c r="I11" s="345"/>
      <c r="J11" s="345"/>
      <c r="K11" s="345"/>
      <c r="L11" s="345"/>
    </row>
    <row r="12" spans="1:12" ht="15.95" customHeight="1">
      <c r="A12" s="405" t="s">
        <v>483</v>
      </c>
      <c r="B12" s="405" t="s">
        <v>497</v>
      </c>
      <c r="C12" s="405" t="s">
        <v>510</v>
      </c>
      <c r="D12" s="405" t="s">
        <v>522</v>
      </c>
      <c r="E12" s="405" t="s">
        <v>535</v>
      </c>
      <c r="F12" s="405" t="s">
        <v>548</v>
      </c>
      <c r="G12" s="405" t="s">
        <v>561</v>
      </c>
      <c r="H12" s="345"/>
      <c r="I12" s="345"/>
      <c r="J12" s="345"/>
      <c r="K12" s="345"/>
      <c r="L12" s="345"/>
    </row>
    <row r="13" spans="1:12" ht="15.95" customHeight="1">
      <c r="A13" s="405" t="s">
        <v>484</v>
      </c>
      <c r="B13" s="405" t="s">
        <v>498</v>
      </c>
      <c r="C13" s="405" t="s">
        <v>511</v>
      </c>
      <c r="D13" s="405" t="s">
        <v>523</v>
      </c>
      <c r="E13" s="405" t="s">
        <v>536</v>
      </c>
      <c r="F13" s="405" t="s">
        <v>549</v>
      </c>
      <c r="G13" s="405" t="s">
        <v>562</v>
      </c>
      <c r="H13" s="345"/>
      <c r="I13" s="345"/>
      <c r="J13" s="345"/>
      <c r="K13" s="345"/>
      <c r="L13" s="345"/>
    </row>
    <row r="14" spans="1:12" ht="15.95" customHeight="1">
      <c r="A14" s="405" t="s">
        <v>485</v>
      </c>
      <c r="B14" s="405" t="s">
        <v>499</v>
      </c>
      <c r="C14" s="405" t="s">
        <v>512</v>
      </c>
      <c r="D14" s="405" t="s">
        <v>524</v>
      </c>
      <c r="E14" s="405" t="s">
        <v>537</v>
      </c>
      <c r="F14" s="405" t="s">
        <v>550</v>
      </c>
      <c r="G14" s="405" t="s">
        <v>563</v>
      </c>
      <c r="H14" s="345"/>
      <c r="I14" s="345"/>
      <c r="J14" s="345"/>
      <c r="K14" s="345"/>
      <c r="L14" s="345"/>
    </row>
    <row r="15" spans="1:12" ht="15.95" customHeight="1">
      <c r="A15" s="405" t="s">
        <v>486</v>
      </c>
      <c r="B15" s="405" t="s">
        <v>500</v>
      </c>
      <c r="C15" s="405" t="s">
        <v>513</v>
      </c>
      <c r="D15" s="405" t="s">
        <v>525</v>
      </c>
      <c r="E15" s="405" t="s">
        <v>538</v>
      </c>
      <c r="F15" s="405" t="s">
        <v>551</v>
      </c>
      <c r="G15" s="405" t="s">
        <v>564</v>
      </c>
      <c r="H15" s="345"/>
      <c r="I15" s="345"/>
      <c r="J15" s="345"/>
      <c r="K15" s="345"/>
      <c r="L15" s="345"/>
    </row>
    <row r="16" spans="1:12" ht="15.95" customHeight="1">
      <c r="A16" s="405" t="s">
        <v>487</v>
      </c>
      <c r="B16" s="405" t="s">
        <v>501</v>
      </c>
      <c r="C16" s="405" t="s">
        <v>514</v>
      </c>
      <c r="D16" s="405" t="s">
        <v>526</v>
      </c>
      <c r="E16" s="405" t="s">
        <v>539</v>
      </c>
      <c r="F16" s="405" t="s">
        <v>552</v>
      </c>
      <c r="G16" s="405" t="s">
        <v>565</v>
      </c>
      <c r="H16" s="345"/>
      <c r="I16" s="345"/>
      <c r="J16" s="345"/>
      <c r="K16" s="345"/>
      <c r="L16" s="345"/>
    </row>
    <row r="17" spans="1:12" ht="15.95" customHeight="1">
      <c r="A17" s="405" t="s">
        <v>488</v>
      </c>
      <c r="B17" s="405" t="s">
        <v>502</v>
      </c>
      <c r="C17" s="405" t="s">
        <v>515</v>
      </c>
      <c r="D17" s="405" t="s">
        <v>527</v>
      </c>
      <c r="E17" s="405" t="s">
        <v>540</v>
      </c>
      <c r="F17" s="405" t="s">
        <v>553</v>
      </c>
      <c r="G17" s="405" t="s">
        <v>566</v>
      </c>
      <c r="H17" s="345"/>
      <c r="I17" s="345"/>
      <c r="J17" s="345"/>
      <c r="K17" s="345"/>
      <c r="L17" s="345"/>
    </row>
    <row r="18" spans="1:12" ht="15.95" customHeight="1">
      <c r="A18" s="405" t="s">
        <v>489</v>
      </c>
      <c r="B18" s="405" t="s">
        <v>503</v>
      </c>
      <c r="C18" s="405" t="s">
        <v>516</v>
      </c>
      <c r="D18" s="405" t="s">
        <v>528</v>
      </c>
      <c r="E18" s="405" t="s">
        <v>541</v>
      </c>
      <c r="F18" s="405" t="s">
        <v>554</v>
      </c>
      <c r="G18" s="405" t="s">
        <v>567</v>
      </c>
      <c r="H18" s="345"/>
      <c r="I18" s="345"/>
      <c r="J18" s="345"/>
      <c r="K18" s="345"/>
      <c r="L18" s="345"/>
    </row>
    <row r="19" spans="1:12" ht="15.95" customHeight="1">
      <c r="A19" s="405" t="s">
        <v>490</v>
      </c>
      <c r="B19" s="405" t="s">
        <v>504</v>
      </c>
      <c r="C19" s="405" t="s">
        <v>517</v>
      </c>
      <c r="D19" s="405" t="s">
        <v>529</v>
      </c>
      <c r="E19" s="405" t="s">
        <v>542</v>
      </c>
      <c r="F19" s="405" t="s">
        <v>555</v>
      </c>
      <c r="G19" s="405" t="s">
        <v>568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702" t="s">
        <v>578</v>
      </c>
      <c r="E21" s="703"/>
      <c r="F21" s="703"/>
      <c r="G21" s="704"/>
      <c r="H21" s="345"/>
      <c r="I21" s="345"/>
      <c r="J21" s="345"/>
      <c r="K21" s="345"/>
      <c r="L21" s="345"/>
    </row>
    <row r="22" spans="1:12" ht="17.25" customHeight="1">
      <c r="A22" s="345"/>
      <c r="B22" s="705" t="s">
        <v>449</v>
      </c>
      <c r="C22" s="705"/>
      <c r="D22" s="705" t="s">
        <v>450</v>
      </c>
      <c r="E22" s="705"/>
      <c r="F22" s="705" t="s">
        <v>451</v>
      </c>
      <c r="G22" s="705"/>
      <c r="H22" s="345"/>
      <c r="I22" s="345"/>
      <c r="J22" s="345"/>
      <c r="K22" s="345"/>
      <c r="L22" s="345"/>
    </row>
    <row r="23" spans="1:12" ht="15.75">
      <c r="A23" s="406" t="s">
        <v>452</v>
      </c>
      <c r="B23" s="700" t="s">
        <v>569</v>
      </c>
      <c r="C23" s="700"/>
      <c r="D23" s="700" t="s">
        <v>572</v>
      </c>
      <c r="E23" s="700"/>
      <c r="F23" s="700" t="s">
        <v>575</v>
      </c>
      <c r="G23" s="700"/>
      <c r="H23" s="345"/>
      <c r="I23" s="345"/>
      <c r="J23" s="345"/>
      <c r="K23" s="345"/>
      <c r="L23" s="345"/>
    </row>
    <row r="24" spans="1:12" ht="18" customHeight="1">
      <c r="A24" s="406" t="s">
        <v>453</v>
      </c>
      <c r="B24" s="700" t="s">
        <v>570</v>
      </c>
      <c r="C24" s="700"/>
      <c r="D24" s="700" t="s">
        <v>573</v>
      </c>
      <c r="E24" s="700"/>
      <c r="F24" s="700" t="s">
        <v>576</v>
      </c>
      <c r="G24" s="700"/>
      <c r="H24" s="345"/>
      <c r="I24" s="345"/>
      <c r="J24" s="345"/>
      <c r="K24" s="345"/>
      <c r="L24" s="345"/>
    </row>
    <row r="25" spans="1:12" ht="15.75">
      <c r="A25" s="406" t="s">
        <v>454</v>
      </c>
      <c r="B25" s="700" t="s">
        <v>571</v>
      </c>
      <c r="C25" s="700"/>
      <c r="D25" s="700" t="s">
        <v>574</v>
      </c>
      <c r="E25" s="700"/>
      <c r="F25" s="700" t="s">
        <v>577</v>
      </c>
      <c r="G25" s="700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455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6" t="s">
        <v>456</v>
      </c>
      <c r="F28" s="703"/>
      <c r="G28" s="704"/>
      <c r="H28" s="345"/>
      <c r="I28" s="345"/>
      <c r="J28" s="345"/>
      <c r="K28" s="345"/>
      <c r="L28" s="345"/>
    </row>
    <row r="29" spans="1:12" ht="15.75">
      <c r="A29" s="345"/>
      <c r="B29" s="705" t="s">
        <v>457</v>
      </c>
      <c r="C29" s="705"/>
      <c r="D29" s="407" t="s">
        <v>458</v>
      </c>
      <c r="E29" s="407" t="s">
        <v>459</v>
      </c>
      <c r="F29" s="705" t="s">
        <v>460</v>
      </c>
      <c r="G29" s="705"/>
      <c r="H29" s="345"/>
      <c r="I29" s="345"/>
      <c r="J29" s="345"/>
      <c r="K29" s="345"/>
      <c r="L29" s="345"/>
    </row>
    <row r="30" spans="1:12" ht="15.75">
      <c r="A30" s="406" t="s">
        <v>461</v>
      </c>
      <c r="B30" s="700" t="s">
        <v>579</v>
      </c>
      <c r="C30" s="700"/>
      <c r="D30" s="405" t="s">
        <v>582</v>
      </c>
      <c r="E30" s="405" t="s">
        <v>462</v>
      </c>
      <c r="F30" s="700" t="s">
        <v>585</v>
      </c>
      <c r="G30" s="700"/>
      <c r="H30" s="345"/>
      <c r="I30" s="345"/>
      <c r="J30" s="345"/>
      <c r="K30" s="345"/>
      <c r="L30" s="345"/>
    </row>
    <row r="31" spans="1:12" ht="15.75">
      <c r="A31" s="406" t="s">
        <v>463</v>
      </c>
      <c r="B31" s="700" t="s">
        <v>580</v>
      </c>
      <c r="C31" s="700"/>
      <c r="D31" s="405" t="s">
        <v>583</v>
      </c>
      <c r="E31" s="405" t="s">
        <v>464</v>
      </c>
      <c r="F31" s="700" t="s">
        <v>586</v>
      </c>
      <c r="G31" s="700"/>
      <c r="H31" s="345"/>
      <c r="I31" s="345"/>
      <c r="J31" s="345"/>
      <c r="K31" s="345"/>
      <c r="L31" s="345"/>
    </row>
    <row r="32" spans="1:12" ht="15.75">
      <c r="A32" s="406" t="s">
        <v>465</v>
      </c>
      <c r="B32" s="700" t="s">
        <v>581</v>
      </c>
      <c r="C32" s="700"/>
      <c r="D32" s="405" t="s">
        <v>584</v>
      </c>
      <c r="E32" s="405" t="s">
        <v>466</v>
      </c>
      <c r="F32" s="700" t="s">
        <v>587</v>
      </c>
      <c r="G32" s="700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6" t="s">
        <v>467</v>
      </c>
      <c r="F34" s="703"/>
      <c r="G34" s="704"/>
      <c r="H34" s="345"/>
      <c r="I34" s="345"/>
      <c r="J34" s="345"/>
      <c r="K34" s="345"/>
      <c r="L34" s="345"/>
    </row>
    <row r="35" spans="1:12" ht="15.75">
      <c r="A35" s="345"/>
      <c r="B35" s="705" t="s">
        <v>468</v>
      </c>
      <c r="C35" s="705"/>
      <c r="D35" s="407" t="s">
        <v>459</v>
      </c>
      <c r="E35" s="407" t="s">
        <v>469</v>
      </c>
      <c r="F35" s="407" t="s">
        <v>100</v>
      </c>
      <c r="G35" s="407" t="s">
        <v>470</v>
      </c>
      <c r="H35" s="345"/>
      <c r="I35" s="345"/>
      <c r="J35" s="345"/>
      <c r="K35" s="345"/>
      <c r="L35" s="345"/>
    </row>
    <row r="36" spans="1:12" ht="15.75">
      <c r="A36" s="406" t="s">
        <v>461</v>
      </c>
      <c r="B36" s="707" t="s">
        <v>588</v>
      </c>
      <c r="C36" s="708"/>
      <c r="D36" s="408" t="s">
        <v>590</v>
      </c>
      <c r="E36" s="408" t="s">
        <v>471</v>
      </c>
      <c r="F36" s="409" t="s">
        <v>472</v>
      </c>
      <c r="G36" s="405" t="s">
        <v>593</v>
      </c>
      <c r="H36" s="345"/>
      <c r="I36" s="345"/>
      <c r="J36" s="345"/>
      <c r="K36" s="345"/>
      <c r="L36" s="345"/>
    </row>
    <row r="37" spans="1:12" ht="15.75">
      <c r="A37" s="406" t="s">
        <v>463</v>
      </c>
      <c r="B37" s="707" t="s">
        <v>589</v>
      </c>
      <c r="C37" s="708"/>
      <c r="D37" s="408" t="s">
        <v>591</v>
      </c>
      <c r="E37" s="408" t="s">
        <v>471</v>
      </c>
      <c r="F37" s="409" t="s">
        <v>473</v>
      </c>
      <c r="G37" s="410" t="s">
        <v>594</v>
      </c>
      <c r="H37" s="345"/>
      <c r="I37" s="345"/>
      <c r="J37" s="345"/>
      <c r="K37" s="345"/>
      <c r="L37" s="345"/>
    </row>
    <row r="38" spans="1:12" ht="15.75">
      <c r="A38" s="406" t="s">
        <v>465</v>
      </c>
      <c r="B38" s="707" t="s">
        <v>589</v>
      </c>
      <c r="C38" s="708"/>
      <c r="D38" s="408" t="s">
        <v>592</v>
      </c>
      <c r="E38" s="408" t="s">
        <v>471</v>
      </c>
      <c r="F38" s="409" t="s">
        <v>474</v>
      </c>
      <c r="G38" s="405" t="s">
        <v>595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475</v>
      </c>
      <c r="B40" s="709" t="s">
        <v>596</v>
      </c>
      <c r="C40" s="709"/>
      <c r="D40" s="710" t="s">
        <v>476</v>
      </c>
      <c r="E40" s="710"/>
      <c r="F40" s="709" t="s">
        <v>597</v>
      </c>
      <c r="G40" s="709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I37" sqref="I37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711" t="s">
        <v>598</v>
      </c>
      <c r="B3" s="712"/>
      <c r="C3" s="712"/>
      <c r="D3" s="712"/>
      <c r="E3" s="712"/>
      <c r="F3" s="713"/>
    </row>
    <row r="4" spans="1:6" ht="18.95" customHeight="1">
      <c r="A4" s="714" t="s">
        <v>599</v>
      </c>
      <c r="B4" s="715"/>
      <c r="C4" s="715"/>
      <c r="D4" s="715"/>
      <c r="E4" s="715"/>
      <c r="F4" s="716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404</v>
      </c>
      <c r="B6" s="697" t="str">
        <f>'Performance Data Sheet'!C17</f>
        <v>M307TCAL11E-C</v>
      </c>
      <c r="C6" s="698"/>
      <c r="D6" s="699"/>
      <c r="E6" s="373" t="s">
        <v>405</v>
      </c>
      <c r="F6" s="374">
        <v>188</v>
      </c>
    </row>
    <row r="7" spans="1:6" ht="18.95" customHeight="1">
      <c r="A7" s="373" t="s">
        <v>406</v>
      </c>
      <c r="B7" s="374" t="str">
        <f>'Performance Data Sheet'!F14</f>
        <v>TEAAC</v>
      </c>
      <c r="C7" s="373" t="s">
        <v>407</v>
      </c>
      <c r="D7" s="374" t="s">
        <v>429</v>
      </c>
      <c r="E7" s="373" t="s">
        <v>408</v>
      </c>
      <c r="F7" s="374" t="str">
        <f>'Performance Data Sheet'!C14</f>
        <v>6810US</v>
      </c>
    </row>
    <row r="8" spans="1:6" ht="18.95" customHeight="1">
      <c r="A8" s="373" t="s">
        <v>409</v>
      </c>
      <c r="B8" s="374">
        <v>6</v>
      </c>
      <c r="C8" s="373" t="s">
        <v>410</v>
      </c>
      <c r="D8" s="374" t="s">
        <v>411</v>
      </c>
      <c r="E8" s="373" t="s">
        <v>412</v>
      </c>
      <c r="F8" s="374" t="str">
        <f>'Performance Data Sheet'!M15</f>
        <v>F</v>
      </c>
    </row>
    <row r="9" spans="1:6" ht="18.95" customHeight="1">
      <c r="A9" s="373" t="s">
        <v>413</v>
      </c>
      <c r="B9" s="374">
        <v>1500</v>
      </c>
      <c r="C9" s="373" t="s">
        <v>414</v>
      </c>
      <c r="D9" s="374" t="s">
        <v>430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415</v>
      </c>
      <c r="B10" s="374">
        <v>1192</v>
      </c>
      <c r="C10" s="373" t="s">
        <v>416</v>
      </c>
      <c r="D10" s="374" t="s">
        <v>604</v>
      </c>
      <c r="E10" s="373" t="s">
        <v>1</v>
      </c>
      <c r="F10" s="374" t="s">
        <v>760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425</v>
      </c>
      <c r="B39" s="380"/>
      <c r="C39" s="380"/>
      <c r="D39" s="371"/>
      <c r="E39" s="376" t="s">
        <v>426</v>
      </c>
      <c r="F39" s="381" t="s">
        <v>760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427</v>
      </c>
      <c r="D43" s="384" t="str">
        <f>'Performance Data Sheet'!K43</f>
        <v>Mario L</v>
      </c>
      <c r="E43" s="383" t="s">
        <v>428</v>
      </c>
      <c r="F43" s="384" t="s">
        <v>759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401</v>
      </c>
      <c r="B67" s="416" t="s">
        <v>600</v>
      </c>
      <c r="C67" s="416" t="s">
        <v>601</v>
      </c>
      <c r="E67" s="416" t="s">
        <v>602</v>
      </c>
      <c r="F67" s="416" t="s">
        <v>603</v>
      </c>
    </row>
    <row r="68" spans="1:9">
      <c r="A68" s="417">
        <v>549.468085106383</v>
      </c>
      <c r="B68" s="418">
        <v>35</v>
      </c>
      <c r="C68" s="418">
        <v>15</v>
      </c>
      <c r="E68" s="417">
        <f>A68</f>
        <v>549.468085106383</v>
      </c>
      <c r="F68" s="418">
        <v>1E-4</v>
      </c>
    </row>
    <row r="69" spans="1:9">
      <c r="A69" s="417">
        <v>480.98557234042551</v>
      </c>
      <c r="B69" s="418">
        <f>((A68/A69)^2)*B68</f>
        <v>45.676086837570764</v>
      </c>
      <c r="C69" s="418">
        <f>((A68/A69)^2)*C68</f>
        <v>19.575465787530327</v>
      </c>
      <c r="E69" s="417">
        <v>547.55319148936178</v>
      </c>
      <c r="F69" s="418">
        <v>1.718000054359436</v>
      </c>
    </row>
    <row r="70" spans="1:9">
      <c r="A70" s="417">
        <v>412.48251276595744</v>
      </c>
      <c r="B70" s="418">
        <f>((A68/A70)^2)*B68</f>
        <v>62.107193704465615</v>
      </c>
      <c r="C70" s="418">
        <f>((A68/A70)^2)*C68</f>
        <v>26.617368730485264</v>
      </c>
      <c r="E70" s="417">
        <v>543.29787234042556</v>
      </c>
      <c r="F70" s="418">
        <v>3.1330001354217529</v>
      </c>
    </row>
    <row r="71" spans="1:9">
      <c r="A71" s="417">
        <v>344</v>
      </c>
      <c r="B71" s="418">
        <f>((A68/A71)^2)*B68</f>
        <v>89.296842712840032</v>
      </c>
      <c r="C71" s="418">
        <f>((A68/A71)^2)*C68</f>
        <v>38.270075448360018</v>
      </c>
      <c r="E71" s="417">
        <v>538.24468085106378</v>
      </c>
      <c r="F71" s="418">
        <v>4.4510002136230469</v>
      </c>
    </row>
    <row r="72" spans="1:9">
      <c r="A72" s="417">
        <f>A71-100</f>
        <v>244</v>
      </c>
      <c r="B72" s="418">
        <f>((A68/A72)^2)*B68</f>
        <v>177.48977390598358</v>
      </c>
      <c r="C72" s="418"/>
      <c r="E72" s="417">
        <v>531.968085106383</v>
      </c>
      <c r="F72" s="418">
        <v>5.7690000534057617</v>
      </c>
    </row>
    <row r="73" spans="1:9">
      <c r="A73" s="417">
        <f>A72-100</f>
        <v>144</v>
      </c>
      <c r="B73" s="418">
        <f>((A68/A73)^2)*B68</f>
        <v>509.59834004950989</v>
      </c>
      <c r="C73" s="418"/>
      <c r="E73" s="417">
        <v>523.98936170212767</v>
      </c>
      <c r="F73" s="418">
        <v>7.1599998474121094</v>
      </c>
    </row>
    <row r="74" spans="1:9">
      <c r="A74" s="417">
        <v>225</v>
      </c>
      <c r="B74" s="418">
        <f>((A68/A74)^2)*B68</f>
        <v>208.73148008427924</v>
      </c>
      <c r="C74" s="418">
        <f>((A68/A74)^2)*C68</f>
        <v>89.45634860754825</v>
      </c>
      <c r="E74" s="417">
        <v>513.98936170212767</v>
      </c>
      <c r="F74" s="418">
        <v>8.694000244140625</v>
      </c>
    </row>
    <row r="75" spans="1:9">
      <c r="A75" s="419">
        <v>180</v>
      </c>
      <c r="B75" s="418">
        <f>((A68/A75)^2)*B69</f>
        <v>425.62666116358082</v>
      </c>
      <c r="C75" s="418">
        <f>((A68/A75)^2)*C68</f>
        <v>139.77554469929413</v>
      </c>
      <c r="E75" s="417">
        <v>501.70212765957444</v>
      </c>
      <c r="F75" s="418">
        <v>10.47599983215332</v>
      </c>
    </row>
    <row r="76" spans="1:9">
      <c r="A76" s="419">
        <v>145</v>
      </c>
      <c r="B76" s="418">
        <f>((A68/A76)^2)*B68</f>
        <v>502.59363516131452</v>
      </c>
      <c r="C76" s="418">
        <f>((A68/A76)^2)*C68</f>
        <v>215.39727221199195</v>
      </c>
      <c r="E76" s="417">
        <v>486.01063829787233</v>
      </c>
      <c r="F76" s="418">
        <v>12.717000007629395</v>
      </c>
    </row>
    <row r="77" spans="1:9">
      <c r="A77" s="419">
        <v>125</v>
      </c>
      <c r="B77" s="418"/>
      <c r="C77" s="417">
        <f>CEILING(C76*2,100)</f>
        <v>500</v>
      </c>
      <c r="E77" s="417">
        <v>470.63829787234044</v>
      </c>
      <c r="F77" s="418">
        <v>14.029000282287598</v>
      </c>
    </row>
    <row r="78" spans="1:9">
      <c r="A78" s="419">
        <v>125</v>
      </c>
      <c r="B78" s="418"/>
      <c r="C78" s="417">
        <f>2*C77</f>
        <v>1000</v>
      </c>
      <c r="E78" s="417">
        <v>452.07446808510639</v>
      </c>
      <c r="F78" s="418">
        <v>15.125</v>
      </c>
    </row>
    <row r="79" spans="1:9">
      <c r="A79" s="419">
        <v>125</v>
      </c>
      <c r="B79" s="419"/>
      <c r="C79" s="419">
        <v>10000</v>
      </c>
      <c r="E79" s="417">
        <v>402.28723404255317</v>
      </c>
      <c r="F79" s="418">
        <v>15.642000198364258</v>
      </c>
    </row>
    <row r="80" spans="1:9">
      <c r="E80" s="417">
        <v>240.05319148936169</v>
      </c>
      <c r="F80" s="418">
        <v>15.746999740600586</v>
      </c>
    </row>
    <row r="81" spans="5:6">
      <c r="E81" s="417">
        <v>0</v>
      </c>
      <c r="F81" s="418">
        <v>16.346000671386719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7" t="s">
        <v>605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438</v>
      </c>
      <c r="B3" s="421" t="s">
        <v>477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606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607</v>
      </c>
      <c r="C7" s="425">
        <v>0</v>
      </c>
      <c r="D7" s="424" t="s">
        <v>607</v>
      </c>
      <c r="E7" s="426" t="s">
        <v>608</v>
      </c>
      <c r="F7" s="424" t="s">
        <v>607</v>
      </c>
      <c r="G7" s="426" t="s">
        <v>609</v>
      </c>
      <c r="H7" s="424" t="s">
        <v>610</v>
      </c>
      <c r="I7" s="426">
        <v>0</v>
      </c>
      <c r="J7" s="424" t="s">
        <v>610</v>
      </c>
      <c r="K7" s="426">
        <v>7.0000000000000001E-3</v>
      </c>
      <c r="L7" s="345"/>
    </row>
    <row r="8" spans="1:12" ht="15.75">
      <c r="A8" s="405" t="s">
        <v>611</v>
      </c>
      <c r="B8" s="700">
        <v>8</v>
      </c>
      <c r="C8" s="700"/>
      <c r="D8" s="700">
        <v>26</v>
      </c>
      <c r="E8" s="700"/>
      <c r="F8" s="700">
        <v>10</v>
      </c>
      <c r="G8" s="700"/>
      <c r="H8" s="700" t="s">
        <v>626</v>
      </c>
      <c r="I8" s="700"/>
      <c r="J8" s="700" t="s">
        <v>627</v>
      </c>
      <c r="K8" s="700"/>
      <c r="L8" s="345"/>
    </row>
    <row r="9" spans="1:12" ht="15.75">
      <c r="A9" s="405" t="s">
        <v>612</v>
      </c>
      <c r="B9" s="700">
        <v>20</v>
      </c>
      <c r="C9" s="700"/>
      <c r="D9" s="700">
        <v>38</v>
      </c>
      <c r="E9" s="700"/>
      <c r="F9" s="700">
        <v>2</v>
      </c>
      <c r="G9" s="700"/>
      <c r="H9" s="700" t="s">
        <v>628</v>
      </c>
      <c r="I9" s="700"/>
      <c r="J9" s="700" t="s">
        <v>629</v>
      </c>
      <c r="K9" s="700"/>
      <c r="L9" s="345"/>
    </row>
    <row r="10" spans="1:12" ht="15.75">
      <c r="A10" s="405" t="s">
        <v>613</v>
      </c>
      <c r="B10" s="700">
        <v>14</v>
      </c>
      <c r="C10" s="700"/>
      <c r="D10" s="700">
        <v>32</v>
      </c>
      <c r="E10" s="700"/>
      <c r="F10" s="700">
        <v>4</v>
      </c>
      <c r="G10" s="700"/>
      <c r="H10" s="700" t="s">
        <v>630</v>
      </c>
      <c r="I10" s="700"/>
      <c r="J10" s="700" t="s">
        <v>631</v>
      </c>
      <c r="K10" s="700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614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8" t="s">
        <v>615</v>
      </c>
      <c r="C14" s="707"/>
      <c r="D14" s="719" t="s">
        <v>632</v>
      </c>
      <c r="E14" s="700"/>
      <c r="F14" s="718" t="s">
        <v>616</v>
      </c>
      <c r="G14" s="707"/>
      <c r="H14" s="719" t="s">
        <v>637</v>
      </c>
      <c r="I14" s="700"/>
      <c r="J14" s="345"/>
      <c r="K14" s="345"/>
      <c r="L14" s="345"/>
    </row>
    <row r="15" spans="1:12" ht="15.75">
      <c r="A15" s="345"/>
      <c r="B15" s="718" t="s">
        <v>617</v>
      </c>
      <c r="C15" s="707"/>
      <c r="D15" s="719" t="s">
        <v>633</v>
      </c>
      <c r="E15" s="700"/>
      <c r="F15" s="718" t="s">
        <v>618</v>
      </c>
      <c r="G15" s="707"/>
      <c r="H15" s="719" t="s">
        <v>638</v>
      </c>
      <c r="I15" s="700"/>
      <c r="J15" s="345"/>
      <c r="K15" s="345"/>
      <c r="L15" s="345"/>
    </row>
    <row r="16" spans="1:12" ht="15.75">
      <c r="A16" s="345"/>
      <c r="B16" s="718" t="s">
        <v>619</v>
      </c>
      <c r="C16" s="707"/>
      <c r="D16" s="719" t="s">
        <v>634</v>
      </c>
      <c r="E16" s="700"/>
      <c r="F16" s="718" t="s">
        <v>620</v>
      </c>
      <c r="G16" s="707"/>
      <c r="H16" s="719" t="s">
        <v>639</v>
      </c>
      <c r="I16" s="700"/>
      <c r="J16" s="345"/>
      <c r="K16" s="345"/>
      <c r="L16" s="345"/>
    </row>
    <row r="17" spans="1:12" ht="15.75">
      <c r="A17" s="345"/>
      <c r="B17" s="718" t="s">
        <v>621</v>
      </c>
      <c r="C17" s="707"/>
      <c r="D17" s="719" t="s">
        <v>635</v>
      </c>
      <c r="E17" s="700"/>
      <c r="F17" s="718" t="s">
        <v>622</v>
      </c>
      <c r="G17" s="707"/>
      <c r="H17" s="719" t="s">
        <v>640</v>
      </c>
      <c r="I17" s="700"/>
      <c r="J17" s="345"/>
      <c r="K17" s="345"/>
      <c r="L17" s="345"/>
    </row>
    <row r="18" spans="1:12" ht="15.75">
      <c r="A18" s="345"/>
      <c r="B18" s="718" t="s">
        <v>623</v>
      </c>
      <c r="C18" s="707"/>
      <c r="D18" s="719" t="s">
        <v>636</v>
      </c>
      <c r="E18" s="700"/>
      <c r="F18" s="718" t="s">
        <v>624</v>
      </c>
      <c r="G18" s="707"/>
      <c r="H18" s="719" t="s">
        <v>641</v>
      </c>
      <c r="I18" s="700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625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642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 t="s">
        <v>643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10" workbookViewId="0">
      <selection activeCell="H33" sqref="H33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644</v>
      </c>
      <c r="B3" s="367"/>
      <c r="C3" s="367"/>
      <c r="D3" s="367"/>
      <c r="E3" s="367"/>
      <c r="F3" s="368"/>
    </row>
    <row r="4" spans="1:6" ht="18.95" customHeight="1">
      <c r="A4" s="714" t="s">
        <v>599</v>
      </c>
      <c r="B4" s="715"/>
      <c r="C4" s="715"/>
      <c r="D4" s="715"/>
      <c r="E4" s="715"/>
      <c r="F4" s="716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404</v>
      </c>
      <c r="B6" s="697" t="str">
        <f>'Performance Data Sheet'!C17</f>
        <v>M307TCAL11E-C</v>
      </c>
      <c r="C6" s="698"/>
      <c r="D6" s="699"/>
      <c r="E6" s="554" t="s">
        <v>405</v>
      </c>
      <c r="F6" s="555">
        <v>188</v>
      </c>
    </row>
    <row r="7" spans="1:6" ht="18.95" customHeight="1">
      <c r="A7" s="554" t="s">
        <v>406</v>
      </c>
      <c r="B7" s="555" t="str">
        <f>'Performance Data Sheet'!F14</f>
        <v>TEAAC</v>
      </c>
      <c r="C7" s="554" t="s">
        <v>407</v>
      </c>
      <c r="D7" s="555" t="s">
        <v>429</v>
      </c>
      <c r="E7" s="554" t="s">
        <v>408</v>
      </c>
      <c r="F7" s="555" t="str">
        <f>'Performance Data Sheet'!C14</f>
        <v>6810US</v>
      </c>
    </row>
    <row r="8" spans="1:6" ht="18.95" customHeight="1">
      <c r="A8" s="554" t="s">
        <v>409</v>
      </c>
      <c r="B8" s="555">
        <v>6</v>
      </c>
      <c r="C8" s="554" t="s">
        <v>410</v>
      </c>
      <c r="D8" s="555" t="s">
        <v>411</v>
      </c>
      <c r="E8" s="554" t="s">
        <v>412</v>
      </c>
      <c r="F8" s="555" t="str">
        <f>'Performance Data Sheet'!M15</f>
        <v>F</v>
      </c>
    </row>
    <row r="9" spans="1:6" ht="18.95" customHeight="1">
      <c r="A9" s="554" t="s">
        <v>413</v>
      </c>
      <c r="B9" s="555">
        <v>1500</v>
      </c>
      <c r="C9" s="554" t="s">
        <v>414</v>
      </c>
      <c r="D9" s="555" t="s">
        <v>430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415</v>
      </c>
      <c r="B10" s="555">
        <v>1192</v>
      </c>
      <c r="C10" s="554" t="s">
        <v>416</v>
      </c>
      <c r="D10" s="555" t="s">
        <v>417</v>
      </c>
      <c r="E10" s="554" t="s">
        <v>1</v>
      </c>
      <c r="F10" s="555" t="s">
        <v>760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1"/>
      <c r="B12" s="557" t="s">
        <v>418</v>
      </c>
      <c r="C12" s="558" t="s">
        <v>431</v>
      </c>
      <c r="D12" s="557" t="s">
        <v>419</v>
      </c>
      <c r="E12" s="558" t="s">
        <v>417</v>
      </c>
      <c r="F12" s="372"/>
    </row>
    <row r="13" spans="1:6" ht="18.95" customHeight="1">
      <c r="A13" s="551"/>
      <c r="B13" s="557" t="s">
        <v>420</v>
      </c>
      <c r="C13" s="559">
        <v>0.75</v>
      </c>
      <c r="D13" s="557" t="s">
        <v>421</v>
      </c>
      <c r="E13" s="558" t="s">
        <v>417</v>
      </c>
      <c r="F13" s="372"/>
    </row>
    <row r="14" spans="1:6" ht="18.95" customHeight="1">
      <c r="A14" s="551"/>
      <c r="B14" s="557" t="s">
        <v>422</v>
      </c>
      <c r="C14" s="559">
        <v>2.25</v>
      </c>
      <c r="D14" s="557" t="s">
        <v>423</v>
      </c>
      <c r="E14" s="558" t="s">
        <v>417</v>
      </c>
      <c r="F14" s="372"/>
    </row>
    <row r="15" spans="1:6" ht="18.95" customHeight="1">
      <c r="A15" s="551"/>
      <c r="B15" s="557" t="s">
        <v>424</v>
      </c>
      <c r="C15" s="558" t="s">
        <v>755</v>
      </c>
      <c r="D15" s="552"/>
      <c r="E15" s="552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425</v>
      </c>
      <c r="B39" s="561"/>
      <c r="C39" s="561"/>
      <c r="D39" s="552"/>
      <c r="E39" s="557" t="s">
        <v>426</v>
      </c>
      <c r="F39" s="562" t="s">
        <v>760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427</v>
      </c>
      <c r="D43" s="565" t="str">
        <f>'Performance Data Sheet'!K43</f>
        <v>Mario L</v>
      </c>
      <c r="E43" s="564" t="s">
        <v>428</v>
      </c>
      <c r="F43" s="565" t="s">
        <v>759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432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645</v>
      </c>
    </row>
    <row r="54" spans="1:6" ht="15" customHeight="1">
      <c r="A54" s="430">
        <v>0</v>
      </c>
      <c r="B54" s="431"/>
      <c r="C54" s="432"/>
      <c r="D54" s="432">
        <v>45.984529102267345</v>
      </c>
      <c r="E54" s="432">
        <v>100</v>
      </c>
      <c r="F54" s="433">
        <v>0.37245</v>
      </c>
    </row>
    <row r="55" spans="1:6" ht="15" customHeight="1">
      <c r="A55" s="434">
        <v>25</v>
      </c>
      <c r="B55" s="435">
        <v>91.132667541503906</v>
      </c>
      <c r="C55" s="436">
        <v>65.954612731933594</v>
      </c>
      <c r="D55" s="436">
        <v>67.16387939453125</v>
      </c>
      <c r="E55" s="436">
        <v>90.32967937178995</v>
      </c>
      <c r="F55" s="437">
        <v>7.6723578105754395</v>
      </c>
    </row>
    <row r="56" spans="1:6" ht="15" customHeight="1">
      <c r="A56" s="434">
        <v>50</v>
      </c>
      <c r="B56" s="435">
        <v>94.596847534179688</v>
      </c>
      <c r="C56" s="436">
        <v>83.303421020507813</v>
      </c>
      <c r="D56" s="436">
        <v>102.45791625976562</v>
      </c>
      <c r="E56" s="436">
        <v>80.485561109386339</v>
      </c>
      <c r="F56" s="437">
        <v>14.782784922285209</v>
      </c>
    </row>
    <row r="57" spans="1:6">
      <c r="A57" s="434">
        <v>75</v>
      </c>
      <c r="B57" s="435">
        <v>95.555168151855469</v>
      </c>
      <c r="C57" s="436">
        <v>88.188720703125</v>
      </c>
      <c r="D57" s="436">
        <v>143.71731567382812</v>
      </c>
      <c r="E57" s="436">
        <v>70.49120138873235</v>
      </c>
      <c r="F57" s="437">
        <v>21.951793530935291</v>
      </c>
    </row>
    <row r="58" spans="1:6">
      <c r="A58" s="434">
        <v>100</v>
      </c>
      <c r="B58" s="435">
        <v>95.844741821289063</v>
      </c>
      <c r="C58" s="436">
        <v>89.671958923339844</v>
      </c>
      <c r="D58" s="436">
        <v>187.88410949707031</v>
      </c>
      <c r="E58" s="436">
        <v>60.04812772181225</v>
      </c>
      <c r="F58" s="437">
        <v>29.180626505881484</v>
      </c>
    </row>
    <row r="59" spans="1:6" ht="13.5" thickBot="1">
      <c r="A59" s="438">
        <v>125</v>
      </c>
      <c r="B59" s="439">
        <v>95.85040283203125</v>
      </c>
      <c r="C59" s="440">
        <v>89.778266906738281</v>
      </c>
      <c r="D59" s="440">
        <v>234.56320190429688</v>
      </c>
      <c r="E59" s="440">
        <v>49.683467751313515</v>
      </c>
      <c r="F59" s="441">
        <v>36.47362972976218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/>
  <dimension ref="A1:U123"/>
  <sheetViews>
    <sheetView showGridLines="0" topLeftCell="A7" zoomScale="90" workbookViewId="0">
      <selection activeCell="O29" sqref="O29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252</v>
      </c>
      <c r="B1" s="443"/>
      <c r="C1" s="443"/>
      <c r="D1" s="443"/>
      <c r="E1" s="443"/>
      <c r="F1" s="443"/>
      <c r="G1" s="443"/>
      <c r="H1" s="443"/>
      <c r="I1" s="443"/>
      <c r="J1" s="444" t="s">
        <v>646</v>
      </c>
      <c r="K1" s="445"/>
      <c r="L1" s="446" t="s">
        <v>647</v>
      </c>
      <c r="M1" s="447"/>
      <c r="N1" s="448"/>
    </row>
    <row r="2" spans="1:14" ht="17.100000000000001" customHeight="1">
      <c r="A2" s="450" t="s">
        <v>648</v>
      </c>
      <c r="B2" s="451"/>
      <c r="C2" s="451"/>
      <c r="D2" s="451"/>
      <c r="E2" s="451"/>
      <c r="F2" s="451"/>
      <c r="G2" s="451"/>
      <c r="H2" s="451"/>
      <c r="I2" s="451"/>
      <c r="J2" s="452" t="s">
        <v>649</v>
      </c>
      <c r="K2" s="453"/>
      <c r="L2" s="454" t="s">
        <v>650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651</v>
      </c>
      <c r="K3" s="453"/>
      <c r="L3" s="458" t="s">
        <v>652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653</v>
      </c>
      <c r="K4" s="453"/>
      <c r="L4" s="460" t="s">
        <v>654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655</v>
      </c>
      <c r="K5" s="453"/>
      <c r="L5" s="454">
        <v>1</v>
      </c>
      <c r="M5" s="455"/>
      <c r="N5" s="448"/>
    </row>
    <row r="6" spans="1:14" ht="15.95" customHeight="1">
      <c r="A6" s="461" t="s">
        <v>656</v>
      </c>
      <c r="B6" s="457"/>
      <c r="C6" s="457"/>
      <c r="D6" s="457"/>
      <c r="E6" s="457"/>
      <c r="F6" s="457"/>
      <c r="G6" s="457"/>
      <c r="H6" s="457"/>
      <c r="I6" s="457"/>
      <c r="J6" s="452" t="s">
        <v>657</v>
      </c>
      <c r="K6" s="453"/>
      <c r="L6" s="462" t="s">
        <v>658</v>
      </c>
      <c r="M6" s="455"/>
      <c r="N6" s="448"/>
    </row>
    <row r="7" spans="1:14" ht="15.95" customHeight="1" thickBot="1">
      <c r="A7" s="463" t="s">
        <v>659</v>
      </c>
      <c r="B7" s="464"/>
      <c r="C7" s="464"/>
      <c r="D7" s="464"/>
      <c r="E7" s="464"/>
      <c r="F7" s="464"/>
      <c r="G7" s="464"/>
      <c r="H7" s="464"/>
      <c r="I7" s="464"/>
      <c r="J7" s="465" t="s">
        <v>660</v>
      </c>
      <c r="K7" s="466"/>
      <c r="L7" s="467" t="s">
        <v>661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662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663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664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665</v>
      </c>
      <c r="C13" s="486">
        <v>1500</v>
      </c>
      <c r="D13" s="478"/>
      <c r="E13" s="485" t="s">
        <v>666</v>
      </c>
      <c r="F13" s="486">
        <v>4000</v>
      </c>
      <c r="G13" s="478"/>
      <c r="H13" s="485" t="s">
        <v>667</v>
      </c>
      <c r="I13" s="486" t="s">
        <v>749</v>
      </c>
      <c r="J13" s="478"/>
      <c r="K13" s="478"/>
      <c r="L13" s="485" t="s">
        <v>668</v>
      </c>
      <c r="M13" s="487">
        <v>1200</v>
      </c>
      <c r="N13" s="448"/>
    </row>
    <row r="14" spans="1:14" ht="12.95" customHeight="1">
      <c r="A14" s="484"/>
      <c r="B14" s="485" t="s">
        <v>669</v>
      </c>
      <c r="C14" s="486" t="s">
        <v>177</v>
      </c>
      <c r="D14" s="478"/>
      <c r="E14" s="485" t="s">
        <v>670</v>
      </c>
      <c r="F14" s="486" t="s">
        <v>754</v>
      </c>
      <c r="G14" s="478"/>
      <c r="H14" s="485" t="s">
        <v>671</v>
      </c>
      <c r="I14" s="486">
        <v>188</v>
      </c>
      <c r="J14" s="478"/>
      <c r="K14" s="478"/>
      <c r="L14" s="485" t="s">
        <v>415</v>
      </c>
      <c r="M14" s="487">
        <v>1192</v>
      </c>
      <c r="N14" s="448"/>
    </row>
    <row r="15" spans="1:14" ht="12.95" customHeight="1">
      <c r="A15" s="484"/>
      <c r="B15" s="485" t="s">
        <v>672</v>
      </c>
      <c r="C15" s="486" t="s">
        <v>757</v>
      </c>
      <c r="D15" s="478"/>
      <c r="E15" s="485" t="s">
        <v>673</v>
      </c>
      <c r="F15" s="486">
        <v>1.1499999999999999</v>
      </c>
      <c r="G15" s="478"/>
      <c r="H15" s="488" t="s">
        <v>674</v>
      </c>
      <c r="I15" s="486" t="s">
        <v>174</v>
      </c>
      <c r="J15" s="478"/>
      <c r="K15" s="478"/>
      <c r="L15" s="485" t="s">
        <v>675</v>
      </c>
      <c r="M15" s="487" t="s">
        <v>346</v>
      </c>
      <c r="N15" s="448"/>
    </row>
    <row r="16" spans="1:14" ht="12.95" customHeight="1">
      <c r="A16" s="484"/>
      <c r="B16" s="485" t="s">
        <v>676</v>
      </c>
      <c r="C16" s="486" t="s">
        <v>748</v>
      </c>
      <c r="D16" s="478"/>
      <c r="E16" s="485" t="s">
        <v>677</v>
      </c>
      <c r="F16" s="486" t="s">
        <v>471</v>
      </c>
      <c r="G16" s="478"/>
      <c r="H16" s="489" t="s">
        <v>678</v>
      </c>
      <c r="I16" s="490" t="s">
        <v>339</v>
      </c>
      <c r="J16" s="478"/>
      <c r="K16" s="478"/>
      <c r="L16" s="485" t="s">
        <v>679</v>
      </c>
      <c r="M16" s="487" t="s">
        <v>680</v>
      </c>
      <c r="N16" s="448"/>
    </row>
    <row r="17" spans="1:21" ht="12.95" customHeight="1">
      <c r="A17" s="484"/>
      <c r="B17" s="485" t="s">
        <v>681</v>
      </c>
      <c r="C17" s="491" t="s">
        <v>761</v>
      </c>
      <c r="D17" s="478"/>
      <c r="E17" s="485"/>
      <c r="F17" s="492"/>
      <c r="G17" s="478"/>
      <c r="H17" s="485" t="s">
        <v>682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683</v>
      </c>
      <c r="C18" s="496" t="s">
        <v>174</v>
      </c>
      <c r="D18" s="497"/>
      <c r="E18" s="498" t="s">
        <v>684</v>
      </c>
      <c r="F18" s="496" t="s">
        <v>174</v>
      </c>
      <c r="G18" s="499"/>
      <c r="H18" s="498" t="s">
        <v>685</v>
      </c>
      <c r="I18" s="496" t="s">
        <v>174</v>
      </c>
      <c r="J18" s="497"/>
      <c r="K18" s="497"/>
      <c r="L18" s="497"/>
      <c r="M18" s="500"/>
      <c r="N18" s="448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21" ht="15.95" customHeight="1" thickTop="1">
      <c r="A21" s="501" t="s">
        <v>686</v>
      </c>
      <c r="B21" s="502"/>
      <c r="C21" s="471"/>
      <c r="D21" s="503"/>
      <c r="E21" s="504" t="s">
        <v>687</v>
      </c>
      <c r="F21" s="505"/>
      <c r="G21" s="505"/>
      <c r="H21" s="506"/>
      <c r="I21" s="507" t="s">
        <v>688</v>
      </c>
      <c r="J21" s="508"/>
      <c r="K21" s="508"/>
      <c r="L21" s="471"/>
      <c r="M21" s="509"/>
    </row>
    <row r="22" spans="1:21" ht="15.95" customHeight="1">
      <c r="A22" s="510"/>
      <c r="B22" s="478"/>
      <c r="C22" s="511" t="s">
        <v>689</v>
      </c>
      <c r="D22" s="512">
        <v>1033</v>
      </c>
      <c r="E22" s="485"/>
      <c r="G22" s="489" t="s">
        <v>690</v>
      </c>
      <c r="H22" s="513">
        <v>6609</v>
      </c>
      <c r="I22" s="511"/>
      <c r="J22" s="478"/>
      <c r="K22" s="511" t="s">
        <v>691</v>
      </c>
      <c r="L22" s="720" t="s">
        <v>764</v>
      </c>
      <c r="M22" s="721"/>
    </row>
    <row r="23" spans="1:21" ht="15.95" customHeight="1">
      <c r="A23" s="510"/>
      <c r="B23" s="511"/>
      <c r="C23" s="514"/>
      <c r="D23" s="515"/>
      <c r="E23" s="485"/>
      <c r="G23" s="485" t="s">
        <v>692</v>
      </c>
      <c r="H23" s="512">
        <v>75</v>
      </c>
      <c r="I23" s="478"/>
      <c r="J23" s="478"/>
      <c r="K23" s="485" t="s">
        <v>693</v>
      </c>
      <c r="L23" s="720" t="s">
        <v>765</v>
      </c>
      <c r="M23" s="721"/>
      <c r="O23" s="566"/>
      <c r="P23" s="566"/>
      <c r="Q23" s="566"/>
      <c r="R23" s="566"/>
      <c r="S23" s="566"/>
      <c r="T23" s="566"/>
      <c r="U23" s="566"/>
    </row>
    <row r="24" spans="1:21" ht="15.95" customHeight="1">
      <c r="A24" s="484"/>
      <c r="B24" s="485"/>
      <c r="C24" s="478"/>
      <c r="D24" s="515"/>
      <c r="E24" s="485"/>
      <c r="G24" s="489" t="s">
        <v>694</v>
      </c>
      <c r="H24" s="512">
        <v>225</v>
      </c>
      <c r="I24" s="478"/>
      <c r="J24" s="485"/>
      <c r="K24" s="478"/>
      <c r="L24" s="478"/>
      <c r="M24" s="493"/>
      <c r="O24" s="566"/>
      <c r="P24" s="566"/>
      <c r="Q24" s="566"/>
      <c r="R24" s="566"/>
      <c r="S24" s="566"/>
      <c r="T24" s="566"/>
      <c r="U24" s="566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  <c r="O25" s="566"/>
      <c r="P25" s="566"/>
      <c r="Q25" s="566"/>
      <c r="R25" s="566"/>
      <c r="S25" s="566"/>
      <c r="T25" s="566"/>
      <c r="U25" s="566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66"/>
      <c r="P26" s="547"/>
      <c r="Q26" s="113"/>
      <c r="R26" s="113"/>
      <c r="S26" s="113"/>
      <c r="T26" s="113"/>
      <c r="U26" s="566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66"/>
      <c r="P27" s="547"/>
      <c r="Q27" s="548"/>
      <c r="R27" s="548"/>
      <c r="S27" s="548"/>
      <c r="T27" s="548"/>
      <c r="U27" s="566"/>
    </row>
    <row r="28" spans="1:21" ht="15.95" customHeight="1" thickTop="1">
      <c r="A28" s="524" t="s">
        <v>695</v>
      </c>
      <c r="B28" s="502"/>
      <c r="C28" s="471"/>
      <c r="D28" s="471"/>
      <c r="E28" s="505"/>
      <c r="F28" s="505"/>
      <c r="G28" s="525"/>
      <c r="H28" s="504" t="s">
        <v>696</v>
      </c>
      <c r="I28" s="505"/>
      <c r="J28" s="508"/>
      <c r="K28" s="504"/>
      <c r="L28" s="508"/>
      <c r="M28" s="509"/>
      <c r="O28" s="566"/>
      <c r="P28" s="547"/>
      <c r="Q28" s="114"/>
      <c r="R28" s="114"/>
      <c r="S28" s="114"/>
      <c r="T28" s="114"/>
      <c r="U28" s="566"/>
    </row>
    <row r="29" spans="1:21" ht="15.95" customHeight="1">
      <c r="A29" s="484"/>
      <c r="B29" s="511"/>
      <c r="C29" s="511" t="s">
        <v>697</v>
      </c>
      <c r="D29" s="526">
        <v>95.8</v>
      </c>
      <c r="E29" s="485"/>
      <c r="F29" s="485"/>
      <c r="G29" s="525"/>
      <c r="H29" s="489"/>
      <c r="I29" s="511"/>
      <c r="J29" s="511" t="s">
        <v>697</v>
      </c>
      <c r="K29" s="526">
        <v>89.7</v>
      </c>
      <c r="L29" s="478"/>
      <c r="M29" s="493"/>
      <c r="O29" s="566"/>
      <c r="P29" s="547"/>
      <c r="Q29" s="114"/>
      <c r="R29" s="114"/>
      <c r="S29" s="114"/>
      <c r="T29" s="114"/>
      <c r="U29" s="566"/>
    </row>
    <row r="30" spans="1:21" ht="15.95" customHeight="1">
      <c r="A30" s="527"/>
      <c r="B30" s="478"/>
      <c r="C30" s="511" t="s">
        <v>698</v>
      </c>
      <c r="D30" s="526">
        <v>95.5</v>
      </c>
      <c r="E30" s="485"/>
      <c r="F30" s="485"/>
      <c r="G30" s="525"/>
      <c r="H30" s="485"/>
      <c r="I30" s="478"/>
      <c r="J30" s="511" t="s">
        <v>698</v>
      </c>
      <c r="K30" s="526">
        <v>88.2</v>
      </c>
      <c r="L30" s="478"/>
      <c r="M30" s="493"/>
      <c r="O30" s="566"/>
      <c r="P30" s="547"/>
      <c r="Q30" s="114"/>
      <c r="R30" s="114"/>
      <c r="S30" s="114"/>
      <c r="T30" s="114"/>
      <c r="U30" s="566"/>
    </row>
    <row r="31" spans="1:21" ht="15.95" customHeight="1">
      <c r="A31" s="484"/>
      <c r="B31" s="485"/>
      <c r="C31" s="511" t="s">
        <v>699</v>
      </c>
      <c r="D31" s="526">
        <v>94.6</v>
      </c>
      <c r="E31" s="485"/>
      <c r="F31" s="485"/>
      <c r="G31" s="525"/>
      <c r="H31" s="485"/>
      <c r="I31" s="478"/>
      <c r="J31" s="511" t="s">
        <v>699</v>
      </c>
      <c r="K31" s="526">
        <v>83.3</v>
      </c>
      <c r="L31" s="485"/>
      <c r="M31" s="493"/>
      <c r="O31" s="566"/>
      <c r="P31" s="566"/>
      <c r="Q31" s="566"/>
      <c r="R31" s="566"/>
      <c r="S31" s="566"/>
      <c r="T31" s="566"/>
      <c r="U31" s="566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  <c r="O32" s="566"/>
      <c r="P32" s="566"/>
      <c r="Q32" s="566"/>
      <c r="R32" s="566"/>
      <c r="S32" s="566"/>
      <c r="T32" s="566"/>
      <c r="U32" s="566"/>
    </row>
    <row r="33" spans="1:21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  <c r="O33" s="546"/>
      <c r="P33" s="546"/>
      <c r="Q33" s="546"/>
      <c r="R33" s="546"/>
      <c r="S33" s="546"/>
      <c r="T33" s="546"/>
      <c r="U33" s="546"/>
    </row>
    <row r="34" spans="1:21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21" ht="15.95" customHeight="1" thickTop="1">
      <c r="A35" s="534" t="s">
        <v>700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21" ht="15.95" customHeight="1">
      <c r="A36" s="527" t="s">
        <v>701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21" ht="15.95" customHeight="1">
      <c r="A37" s="536" t="s">
        <v>702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21" ht="15.95" customHeight="1">
      <c r="A38" s="538" t="s">
        <v>703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21" ht="15.95" customHeight="1">
      <c r="A39" s="539" t="s">
        <v>704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21" ht="15.95" customHeight="1" thickBot="1">
      <c r="A40" s="540" t="s">
        <v>705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21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21" ht="15.95" customHeight="1"/>
    <row r="43" spans="1:21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706</v>
      </c>
      <c r="K43" s="722" t="s">
        <v>333</v>
      </c>
      <c r="L43" s="722"/>
      <c r="M43" s="722"/>
      <c r="N43" s="543"/>
    </row>
    <row r="44" spans="1:21" ht="7.5" customHeight="1">
      <c r="H44" s="448"/>
      <c r="I44" s="448"/>
      <c r="J44" s="448"/>
      <c r="K44" s="448"/>
      <c r="L44" s="448"/>
      <c r="M44" s="448"/>
    </row>
    <row r="45" spans="1:21" ht="16.5">
      <c r="H45" s="448"/>
      <c r="I45" s="448"/>
      <c r="J45" s="544" t="s">
        <v>707</v>
      </c>
      <c r="K45" s="723">
        <v>41992</v>
      </c>
      <c r="L45" s="723"/>
      <c r="M45" s="723"/>
    </row>
    <row r="60" spans="1:5">
      <c r="A60" s="449" t="s">
        <v>174</v>
      </c>
      <c r="B60" s="449" t="s">
        <v>750</v>
      </c>
      <c r="D60" s="449">
        <v>1</v>
      </c>
      <c r="E60" s="545" t="s">
        <v>174</v>
      </c>
    </row>
    <row r="61" spans="1:5">
      <c r="A61" s="449" t="s">
        <v>708</v>
      </c>
      <c r="B61" s="449" t="s">
        <v>709</v>
      </c>
      <c r="D61" s="449">
        <v>1.1499999999999999</v>
      </c>
      <c r="E61" s="545" t="s">
        <v>350</v>
      </c>
    </row>
    <row r="62" spans="1:5">
      <c r="A62" s="449" t="s">
        <v>710</v>
      </c>
      <c r="B62" s="449" t="s">
        <v>711</v>
      </c>
      <c r="E62" s="545" t="s">
        <v>303</v>
      </c>
    </row>
    <row r="63" spans="1:5">
      <c r="B63" s="449" t="s">
        <v>712</v>
      </c>
    </row>
    <row r="64" spans="1:5">
      <c r="B64" s="449" t="s">
        <v>713</v>
      </c>
    </row>
    <row r="65" spans="2:2">
      <c r="B65" s="449" t="s">
        <v>714</v>
      </c>
    </row>
    <row r="66" spans="2:2">
      <c r="B66" s="449" t="s">
        <v>715</v>
      </c>
    </row>
    <row r="67" spans="2:2">
      <c r="B67" s="449" t="s">
        <v>716</v>
      </c>
    </row>
    <row r="68" spans="2:2">
      <c r="B68" s="449" t="s">
        <v>717</v>
      </c>
    </row>
    <row r="69" spans="2:2">
      <c r="B69" s="449" t="s">
        <v>718</v>
      </c>
    </row>
    <row r="70" spans="2:2">
      <c r="B70" s="449" t="s">
        <v>719</v>
      </c>
    </row>
    <row r="71" spans="2:2">
      <c r="B71" s="449" t="s">
        <v>720</v>
      </c>
    </row>
    <row r="72" spans="2:2">
      <c r="B72" s="449" t="s">
        <v>721</v>
      </c>
    </row>
    <row r="73" spans="2:2">
      <c r="B73" s="449" t="s">
        <v>722</v>
      </c>
    </row>
    <row r="74" spans="2:2">
      <c r="B74" s="449" t="s">
        <v>723</v>
      </c>
    </row>
    <row r="75" spans="2:2">
      <c r="B75" s="449" t="s">
        <v>724</v>
      </c>
    </row>
    <row r="76" spans="2:2">
      <c r="B76" s="449" t="s">
        <v>725</v>
      </c>
    </row>
    <row r="77" spans="2:2">
      <c r="B77" s="449" t="s">
        <v>726</v>
      </c>
    </row>
    <row r="78" spans="2:2">
      <c r="B78" s="449" t="s">
        <v>727</v>
      </c>
    </row>
    <row r="79" spans="2:2">
      <c r="B79" s="449" t="s">
        <v>728</v>
      </c>
    </row>
    <row r="80" spans="2:2">
      <c r="B80" s="449" t="s">
        <v>729</v>
      </c>
    </row>
    <row r="81" spans="2:2">
      <c r="B81" s="449">
        <v>6312</v>
      </c>
    </row>
    <row r="82" spans="2:2">
      <c r="B82" s="449" t="s">
        <v>730</v>
      </c>
    </row>
    <row r="83" spans="2:2">
      <c r="B83" s="449" t="s">
        <v>731</v>
      </c>
    </row>
    <row r="84" spans="2:2">
      <c r="B84" s="449" t="s">
        <v>732</v>
      </c>
    </row>
    <row r="85" spans="2:2">
      <c r="B85" s="449" t="s">
        <v>733</v>
      </c>
    </row>
    <row r="86" spans="2:2">
      <c r="B86" s="449">
        <v>6313</v>
      </c>
    </row>
    <row r="87" spans="2:2">
      <c r="B87" s="449" t="s">
        <v>734</v>
      </c>
    </row>
    <row r="88" spans="2:2">
      <c r="B88" s="449" t="s">
        <v>735</v>
      </c>
    </row>
    <row r="89" spans="2:2">
      <c r="B89" s="449" t="s">
        <v>736</v>
      </c>
    </row>
    <row r="90" spans="2:2">
      <c r="B90" s="449">
        <v>6314</v>
      </c>
    </row>
    <row r="91" spans="2:2">
      <c r="B91" s="449" t="s">
        <v>737</v>
      </c>
    </row>
    <row r="92" spans="2:2">
      <c r="B92" s="449">
        <v>6317</v>
      </c>
    </row>
    <row r="93" spans="2:2">
      <c r="B93" s="449" t="s">
        <v>738</v>
      </c>
    </row>
    <row r="94" spans="2:2">
      <c r="B94" s="449">
        <v>6318</v>
      </c>
    </row>
    <row r="95" spans="2:2">
      <c r="B95" s="449" t="s">
        <v>739</v>
      </c>
    </row>
    <row r="96" spans="2:2">
      <c r="B96" s="449" t="s">
        <v>740</v>
      </c>
    </row>
    <row r="97" spans="2:2">
      <c r="B97" s="449" t="s">
        <v>741</v>
      </c>
    </row>
    <row r="98" spans="2:2">
      <c r="B98" s="449">
        <v>6320</v>
      </c>
    </row>
    <row r="99" spans="2:2">
      <c r="B99" s="449" t="s">
        <v>742</v>
      </c>
    </row>
    <row r="100" spans="2:2">
      <c r="B100" s="449" t="s">
        <v>764</v>
      </c>
    </row>
    <row r="101" spans="2:2">
      <c r="B101" s="449" t="s">
        <v>765</v>
      </c>
    </row>
    <row r="102" spans="2:2">
      <c r="B102" s="449" t="s">
        <v>743</v>
      </c>
    </row>
    <row r="103" spans="2:2">
      <c r="B103" s="449" t="s">
        <v>744</v>
      </c>
    </row>
    <row r="104" spans="2:2">
      <c r="B104" s="449" t="s">
        <v>745</v>
      </c>
    </row>
    <row r="105" spans="2:2">
      <c r="B105" s="449" t="s">
        <v>745</v>
      </c>
    </row>
    <row r="121" spans="2:2">
      <c r="B121" s="449" t="s">
        <v>746</v>
      </c>
    </row>
    <row r="123" spans="2:2">
      <c r="B123" s="449" t="s">
        <v>747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$B$60:$B$105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2015-01-14T21:07:30Z</cp:lastPrinted>
  <dcterms:created xsi:type="dcterms:W3CDTF">1997-10-03T20:37:30Z</dcterms:created>
  <dcterms:modified xsi:type="dcterms:W3CDTF">2015-06-24T18:55:37Z</dcterms:modified>
</cp:coreProperties>
</file>