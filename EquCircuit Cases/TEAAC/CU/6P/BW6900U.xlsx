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33" firstSheet="1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6"/>
  <c r="F8" i="6"/>
  <c r="F7" i="6"/>
  <c r="B7" i="6"/>
  <c r="B6" i="6"/>
  <c r="F9" i="10"/>
  <c r="F8" i="10"/>
  <c r="F7" i="10"/>
  <c r="B7" i="10"/>
  <c r="B6" i="10"/>
  <c r="D43" i="8"/>
  <c r="F9" i="8"/>
  <c r="F8" i="8"/>
  <c r="F7" i="8"/>
  <c r="B7" i="8"/>
  <c r="B6" i="8"/>
  <c r="C76" i="8" l="1"/>
  <c r="C77" i="8" s="1"/>
  <c r="C78" i="8" s="1"/>
  <c r="B76" i="8"/>
  <c r="C75" i="8"/>
  <c r="C74" i="8"/>
  <c r="B74" i="8"/>
  <c r="E68" i="8"/>
  <c r="D66" i="8"/>
  <c r="F50" i="8"/>
  <c r="M28" i="3"/>
  <c r="M18" i="3"/>
  <c r="C70" i="8" l="1"/>
  <c r="B70" i="8"/>
  <c r="C69" i="8"/>
  <c r="B69" i="8"/>
  <c r="B75" i="8" s="1"/>
  <c r="A72" i="8" l="1"/>
  <c r="B71" i="8"/>
  <c r="C71" i="8"/>
  <c r="A73" i="8" l="1"/>
  <c r="B73" i="8" s="1"/>
  <c r="B72" i="8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<sst xmlns="http://schemas.openxmlformats.org/spreadsheetml/2006/main" count="1002" uniqueCount="767">
  <si>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</si>
  <si>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</si>
  <si>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</si>
  <si>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</si>
  <si>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</si>
  <si>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</si>
  <si>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</si>
  <si>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</si>
  <si>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</si>
  <si>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</si>
  <si>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</si>
  <si>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</si>
  <si>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</si>
  <si>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</si>
  <si>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</si>
  <si>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</si>
  <si>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</si>
  <si>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</si>
  <si>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</si>
  <si>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</si>
  <si>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</si>
  <si>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</si>
  <si>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</si>
  <si>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</si>
  <si>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</si>
  <si>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</si>
  <si>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</si>
  <si>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</si>
  <si>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</si>
  <si>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</si>
  <si>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</si>
  <si>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</si>
  <si>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</si>
  <si>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</si>
  <si>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</si>
  <si>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</si>
  <si>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</si>
  <si>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</si>
  <si>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</si>
  <si>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</si>
  <si>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</si>
  <si>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</si>
  <si>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</si>
  <si>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</si>
  <si>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</si>
  <si>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</si>
  <si>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</si>
  <si>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</si>
  <si>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</si>
  <si>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</si>
  <si>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</si>
  <si>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</si>
  <si>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</si>
  <si>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</si>
  <si>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</si>
  <si>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</si>
  <si>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</si>
  <si>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</si>
  <si>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</si>
  <si>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</si>
  <si>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</si>
  <si>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</si>
  <si>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</si>
  <si>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</si>
  <si>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</si>
  <si>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</si>
  <si>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</si>
  <si>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</si>
  <si>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</si>
  <si>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</si>
  <si>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</si>
  <si>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</si>
  <si>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</si>
  <si>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</si>
  <si>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</si>
  <si>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</si>
  <si>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</si>
  <si>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</si>
  <si>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</si>
  <si>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</si>
  <si>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</si>
  <si>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</si>
  <si>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</si>
  <si>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</si>
  <si>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</si>
  <si>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</si>
  <si>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</si>
  <si>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</si>
  <si>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</si>
  <si>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</si>
  <si>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</si>
  <si>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</si>
  <si>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</si>
  <si>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</si>
  <si>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</si>
  <si>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</si>
  <si>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</si>
  <si>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</si>
  <si>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</si>
  <si>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</si>
  <si>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</si>
  <si>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</si>
  <si>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</si>
  <si>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</si>
  <si>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</si>
  <si>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</si>
  <si>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</si>
  <si>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</si>
  <si>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</si>
  <si>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</si>
  <si>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</si>
  <si>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</si>
  <si>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</si>
  <si>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</si>
  <si>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</si>
  <si>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</si>
  <si>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</si>
  <si>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</si>
  <si>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</si>
  <si>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</si>
  <si>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</si>
  <si>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</si>
  <si>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</si>
  <si>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</si>
  <si>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</si>
  <si>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</si>
  <si>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</si>
  <si>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</si>
  <si>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</si>
  <si>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</si>
  <si>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</si>
  <si>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</si>
  <si>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</si>
  <si>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</si>
  <si>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</si>
  <si>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</si>
  <si>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</si>
  <si>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</si>
  <si>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</si>
  <si>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</si>
  <si>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</si>
  <si>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</si>
  <si>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</si>
  <si>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</si>
  <si>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</si>
  <si>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</si>
  <si>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</si>
  <si>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</si>
  <si>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</si>
  <si>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</si>
  <si>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</si>
  <si>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</si>
  <si>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</si>
  <si>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</si>
  <si>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</si>
  <si>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</si>
  <si>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</si>
  <si>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</si>
  <si>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</si>
  <si>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</si>
  <si>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</si>
  <si>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</si>
  <si>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</si>
  <si>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</si>
  <si>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</si>
  <si>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</si>
  <si>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</si>
  <si>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</si>
  <si>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</si>
  <si>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</si>
  <si>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</si>
  <si>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</si>
  <si>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</si>
  <si>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</si>
  <si>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</si>
  <si>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</si>
  <si>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</si>
  <si>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6810US</t>
  </si>
  <si>
    <t>Open</t>
  </si>
  <si>
    <t>Rectang</t>
  </si>
  <si>
    <t>9.24 - 9.24</t>
  </si>
  <si>
    <t>2.83 - 3.20</t>
  </si>
  <si>
    <t>Magnetic</t>
  </si>
  <si>
    <t>22 x 6</t>
  </si>
  <si>
    <t>1 ~ 11</t>
  </si>
  <si>
    <t>(.072"x.182")x2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</si>
  <si>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</si>
  <si>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</si>
  <si>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</si>
  <si>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</si>
  <si>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</si>
  <si>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</si>
  <si>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</si>
  <si>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</si>
  <si>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</si>
  <si>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</si>
  <si>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</si>
  <si>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</si>
  <si>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</si>
  <si>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0.0767)</t>
  </si>
  <si>
    <t>Skew R.: 0.00</t>
  </si>
  <si>
    <t>Z:\Motor R&amp;D\Active Projects\6810 Development\Electrical Design\TEAAC\6P\Series\BS6900U.rat</t>
  </si>
  <si>
    <t>2-2-2-0-1-2</t>
  </si>
  <si>
    <t>B.L.-1  P.F.-1</t>
  </si>
  <si>
    <t>8174.6 / 7403.5</t>
  </si>
  <si>
    <t>4725.0 / 4651.3</t>
  </si>
  <si>
    <t>19493.8 / 13743.9</t>
  </si>
  <si>
    <t>10116.0 / 9343.1</t>
  </si>
  <si>
    <t>9005.0 / 3412.3</t>
  </si>
  <si>
    <t>1278.9 / 484.6</t>
  </si>
  <si>
    <t>7726.1 / 2927.7</t>
  </si>
  <si>
    <t>1.75 / 0.66</t>
  </si>
  <si>
    <t>46 / 45</t>
  </si>
  <si>
    <t>Temp. Rise @ 100%:</t>
  </si>
  <si>
    <t>Stray Loss</t>
  </si>
  <si>
    <t>0.891 / 0.888</t>
  </si>
  <si>
    <t>0.937 / 0.933</t>
  </si>
  <si>
    <t>0.950 / 0.947</t>
  </si>
  <si>
    <t>0.955 / 0.951</t>
  </si>
  <si>
    <t>0.956 / 0.952</t>
  </si>
  <si>
    <t>0.671 / 0.663</t>
  </si>
  <si>
    <t>0.844 / 0.833</t>
  </si>
  <si>
    <t>0.894 / 0.883</t>
  </si>
  <si>
    <t>0.910 / 0.898</t>
  </si>
  <si>
    <t>0.912 / 0.900</t>
  </si>
  <si>
    <t>40.49 / 41.18</t>
  </si>
  <si>
    <t>61.26 / 62.31</t>
  </si>
  <si>
    <t>85.51 / 86.97</t>
  </si>
  <si>
    <t>111.52 / 113.42</t>
  </si>
  <si>
    <t>138.96 / 141.33</t>
  </si>
  <si>
    <t>3.42 / 3.48</t>
  </si>
  <si>
    <t>UB: 2.91 / 2.96</t>
  </si>
  <si>
    <t>UER: 2.52 / 2.56</t>
  </si>
  <si>
    <t>1197.9 / 1198.0</t>
  </si>
  <si>
    <t>1196.0 / 1196.1</t>
  </si>
  <si>
    <t>1194.0 / 1194.1</t>
  </si>
  <si>
    <t>1191.9 / 1192.0</t>
  </si>
  <si>
    <t>1189.9 / 1190.0</t>
  </si>
  <si>
    <t>0.0017 / 0.0016</t>
  </si>
  <si>
    <t>0.0033 / 0.0033</t>
  </si>
  <si>
    <t>0.0050 / 0.0049</t>
  </si>
  <si>
    <t>0.0067 / 0.0066</t>
  </si>
  <si>
    <t>0.0084 / 0.0084</t>
  </si>
  <si>
    <t>27.505 / 24.400</t>
  </si>
  <si>
    <t>1.298 / 1.152</t>
  </si>
  <si>
    <t>27.54 / 24.43</t>
  </si>
  <si>
    <t>656.4 / 625.2</t>
  </si>
  <si>
    <t>588.6 / 560.6</t>
  </si>
  <si>
    <t>501.9 / 432.1</t>
  </si>
  <si>
    <t>91.5 / 78.8</t>
  </si>
  <si>
    <t>263.9 / 232.7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</si>
  <si>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</si>
  <si>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</si>
  <si>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</si>
  <si>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</si>
  <si>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</si>
  <si>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</si>
  <si>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</si>
  <si>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</si>
  <si>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</si>
  <si>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</si>
  <si>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</si>
  <si>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</si>
  <si>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</si>
  <si>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</si>
  <si>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</si>
  <si>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</si>
  <si>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</si>
  <si>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</si>
  <si>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</si>
  <si>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</si>
  <si>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</si>
  <si>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</si>
  <si>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</si>
  <si>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</si>
  <si>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</si>
  <si>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</si>
  <si>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</si>
  <si>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</si>
  <si>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</si>
  <si>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</si>
  <si>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</si>
  <si>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</si>
  <si>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</si>
  <si>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</si>
  <si>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</si>
  <si>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</si>
  <si>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</si>
  <si>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</si>
  <si>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</si>
  <si>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</si>
  <si>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</si>
  <si>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</si>
  <si>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</si>
  <si>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</si>
  <si>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</si>
  <si>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</si>
  <si>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</si>
  <si>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</si>
  <si>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</si>
  <si>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</si>
  <si>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</si>
  <si>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</si>
  <si>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</si>
  <si>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</si>
  <si>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</si>
  <si>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</si>
  <si>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</si>
  <si>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</si>
  <si>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</si>
  <si>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</si>
  <si>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</si>
  <si>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</si>
  <si>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</si>
  <si>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</si>
  <si>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</si>
  <si>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</si>
  <si>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</si>
  <si>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</si>
  <si>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</si>
  <si>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</si>
  <si>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</si>
  <si>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</si>
  <si>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</si>
  <si>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</si>
  <si>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</si>
  <si>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</si>
  <si>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</si>
  <si>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</si>
  <si>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</si>
  <si>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</si>
  <si>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</si>
  <si>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</si>
  <si>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</si>
  <si>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</si>
  <si>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</si>
  <si>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</si>
  <si>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</si>
  <si>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</si>
  <si>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</si>
  <si>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</si>
  <si>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</si>
  <si>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</si>
  <si>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</si>
  <si>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</si>
  <si>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</si>
  <si>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</si>
  <si>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</si>
  <si>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</si>
  <si>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</si>
  <si>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</si>
  <si>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</si>
  <si>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</si>
  <si>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</si>
  <si>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</si>
  <si>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</si>
  <si>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</si>
  <si>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</si>
  <si>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</si>
  <si>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</si>
  <si>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</si>
  <si>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</si>
  <si>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</si>
  <si>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21 x 2</t>
  </si>
  <si>
    <t>2 x Wye</t>
  </si>
  <si>
    <t xml:space="preserve"> - </t>
  </si>
  <si>
    <t>348 / 1925</t>
  </si>
  <si>
    <t>296 / 256</t>
  </si>
  <si>
    <t>45 / 61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</si>
  <si>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</si>
  <si>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</si>
  <si>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</si>
  <si>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</si>
  <si>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</si>
  <si>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</si>
  <si>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</si>
  <si>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</si>
  <si>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</si>
  <si>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</si>
  <si>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</si>
  <si>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</si>
  <si>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1219.0</t>
  </si>
  <si>
    <t xml:space="preserve">10T: </t>
  </si>
  <si>
    <t xml:space="preserve">11T: </t>
  </si>
  <si>
    <t>0.0260 ~ 0.0250</t>
  </si>
  <si>
    <t>0.0286 ~ 0.0275</t>
  </si>
  <si>
    <t>AWG. 02 x 3</t>
  </si>
  <si>
    <t>0.00183</t>
  </si>
  <si>
    <t>10T: 20.29</t>
  </si>
  <si>
    <t>11T: 22.32</t>
  </si>
  <si>
    <t>10T: 9.65</t>
  </si>
  <si>
    <t>11T: 9.65</t>
  </si>
  <si>
    <t>13.30 ~ 12.90</t>
  </si>
  <si>
    <t>16.57</t>
  </si>
  <si>
    <t>3.55</t>
  </si>
  <si>
    <t xml:space="preserve"> (.072"x.182")x 2: </t>
  </si>
  <si>
    <t>611 lbs.</t>
  </si>
  <si>
    <t/>
  </si>
  <si>
    <t xml:space="preserve">1-2, 2-3, 3-1: </t>
  </si>
  <si>
    <t>0.335 ~ 0.315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</si>
  <si>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</si>
  <si>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</si>
  <si>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</si>
  <si>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</si>
  <si>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</si>
  <si>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</si>
  <si>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</si>
  <si>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</si>
  <si>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</si>
  <si>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</si>
  <si>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</si>
  <si>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</si>
  <si>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</si>
  <si>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</si>
  <si>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</si>
  <si>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</si>
  <si>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</si>
  <si>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</si>
  <si>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</si>
  <si>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</si>
  <si>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</si>
  <si>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</si>
  <si>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</si>
  <si>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</si>
  <si>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</si>
  <si>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</si>
  <si>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</si>
  <si>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</si>
  <si>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</si>
  <si>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</si>
  <si>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1166.0 lb-ft²</t>
  </si>
  <si>
    <t>625 A</t>
  </si>
  <si>
    <t>Load</t>
  </si>
  <si>
    <t>Fan / Pump</t>
  </si>
  <si>
    <t>1448.3 kg.m²</t>
  </si>
  <si>
    <t>Acceleration Data (FV V)</t>
  </si>
  <si>
    <t>17.7 (s)</t>
  </si>
  <si>
    <t>548.6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</si>
  <si>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</si>
  <si>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</si>
  <si>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</si>
  <si>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</si>
  <si>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</si>
  <si>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</si>
  <si>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</si>
  <si>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</si>
  <si>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</si>
  <si>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</si>
  <si>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</si>
  <si>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</si>
  <si>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</si>
  <si>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</si>
  <si>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</si>
  <si>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</si>
  <si>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</si>
  <si>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</si>
  <si>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</si>
  <si>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</si>
  <si>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</si>
  <si>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</si>
  <si>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</si>
  <si>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</si>
  <si>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</si>
  <si>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</si>
  <si>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</si>
  <si>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</si>
  <si>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</si>
  <si>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</si>
  <si>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</si>
  <si>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</si>
  <si>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</si>
  <si>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</si>
  <si>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</si>
  <si>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</si>
  <si>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</si>
  <si>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</si>
  <si>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</si>
  <si>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- 900.0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</si>
  <si>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</si>
  <si>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</si>
  <si>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</si>
  <si>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</si>
  <si>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</si>
  <si>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</si>
  <si>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</si>
  <si>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</si>
  <si>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</si>
  <si>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</si>
  <si>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</si>
  <si>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</si>
  <si>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</si>
  <si>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- 8592.0 lb-ft²</t>
  </si>
  <si>
    <t>75.1</t>
  </si>
  <si>
    <t>75.3</t>
  </si>
  <si>
    <t>75.7</t>
  </si>
  <si>
    <t>76.4</t>
  </si>
  <si>
    <t>77.6</t>
  </si>
  <si>
    <t>79.5</t>
  </si>
  <si>
    <t>82.6</t>
  </si>
  <si>
    <t>88.8</t>
  </si>
  <si>
    <t>99.7</t>
  </si>
  <si>
    <t>120.5</t>
  </si>
  <si>
    <t>182.4</t>
  </si>
  <si>
    <t>168.5</t>
  </si>
  <si>
    <t>103.5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</si>
  <si>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</si>
  <si>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</si>
  <si>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</si>
  <si>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</si>
  <si>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</si>
  <si>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</si>
  <si>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</si>
  <si>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</si>
  <si>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</si>
  <si>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</si>
  <si>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</si>
  <si>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</si>
  <si>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</si>
  <si>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1.897</t>
  </si>
  <si>
    <t>1.562</t>
  </si>
  <si>
    <t>1.455</t>
  </si>
  <si>
    <t>1.453</t>
  </si>
  <si>
    <t>1.533</t>
  </si>
  <si>
    <t>1.689</t>
  </si>
  <si>
    <t>1.953</t>
  </si>
  <si>
    <t>2.433</t>
  </si>
  <si>
    <t>1.396</t>
  </si>
  <si>
    <t>1.149</t>
  </si>
  <si>
    <t>0.546</t>
  </si>
  <si>
    <t>0.110</t>
  </si>
  <si>
    <t>0.519</t>
  </si>
  <si>
    <t>622.9</t>
  </si>
  <si>
    <t>618.3</t>
  </si>
  <si>
    <t>612.7</t>
  </si>
  <si>
    <t>605.8</t>
  </si>
  <si>
    <t>597.1</t>
  </si>
  <si>
    <t>586.1</t>
  </si>
  <si>
    <t>572.4</t>
  </si>
  <si>
    <t>554.8</t>
  </si>
  <si>
    <t>537.2</t>
  </si>
  <si>
    <t>515.7</t>
  </si>
  <si>
    <t>457.9</t>
  </si>
  <si>
    <t>272.5</t>
  </si>
  <si>
    <t>81.0</t>
  </si>
  <si>
    <t>487.1</t>
  </si>
  <si>
    <t>395.7</t>
  </si>
  <si>
    <t>362.7</t>
  </si>
  <si>
    <t>355.0</t>
  </si>
  <si>
    <t>365.2</t>
  </si>
  <si>
    <t>389.4</t>
  </si>
  <si>
    <t>431.7</t>
  </si>
  <si>
    <t>510.0</t>
  </si>
  <si>
    <t>272.4</t>
  </si>
  <si>
    <t>212.0</t>
  </si>
  <si>
    <t>90.4</t>
  </si>
  <si>
    <t>12.4</t>
  </si>
  <si>
    <t>4.4</t>
  </si>
  <si>
    <t>875.5</t>
  </si>
  <si>
    <t>647.2</t>
  </si>
  <si>
    <t>534.9</t>
  </si>
  <si>
    <t>467.0</t>
  </si>
  <si>
    <t>422.9</t>
  </si>
  <si>
    <t>389.7</t>
  </si>
  <si>
    <t>363.0</t>
  </si>
  <si>
    <t>342.6</t>
  </si>
  <si>
    <t>265.9</t>
  </si>
  <si>
    <t>171.7</t>
  </si>
  <si>
    <t>56.3</t>
  </si>
  <si>
    <t>20.3</t>
  </si>
  <si>
    <t>119.5</t>
  </si>
  <si>
    <t>3888 kW / s</t>
  </si>
  <si>
    <t>3943 kW / s</t>
  </si>
  <si>
    <t>733 kW / s</t>
  </si>
  <si>
    <t>38°C</t>
  </si>
  <si>
    <t>56°C</t>
  </si>
  <si>
    <t>43°C</t>
  </si>
  <si>
    <t>76°C</t>
  </si>
  <si>
    <t>112°C</t>
  </si>
  <si>
    <t>87°C</t>
  </si>
  <si>
    <t>Acceleration Time:  17.7 s</t>
  </si>
  <si>
    <t>2.7°C / s</t>
  </si>
  <si>
    <t>6.0°C / s</t>
  </si>
  <si>
    <t>4.7°C / s</t>
  </si>
  <si>
    <t>276.5 kW</t>
  </si>
  <si>
    <t>424.6 kW</t>
  </si>
  <si>
    <t>79.0 kW</t>
  </si>
  <si>
    <t>59.5 s</t>
  </si>
  <si>
    <t>43.1 s</t>
  </si>
  <si>
    <t>38.4 s</t>
  </si>
  <si>
    <t>45°C    +</t>
  </si>
  <si>
    <t>56°C    +</t>
  </si>
  <si>
    <t>115°C    +</t>
  </si>
  <si>
    <t>204°C   +</t>
  </si>
  <si>
    <t>124°C   +</t>
  </si>
  <si>
    <t>42.7 s</t>
  </si>
  <si>
    <t>33.8 s</t>
  </si>
  <si>
    <t>26.4 s</t>
  </si>
  <si>
    <t>75.0 s</t>
  </si>
  <si>
    <t>51.5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</si>
  <si>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</si>
  <si>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</si>
  <si>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</si>
  <si>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</si>
  <si>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</si>
  <si>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</si>
  <si>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8592.0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</si>
  <si>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</si>
  <si>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</si>
  <si>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</si>
  <si>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</si>
  <si>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</si>
  <si>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</si>
  <si>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</si>
  <si>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</si>
  <si>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</si>
  <si>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</si>
  <si>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</si>
  <si>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</si>
  <si>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</si>
  <si>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</si>
  <si>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</si>
  <si>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</si>
  <si>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</si>
  <si>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</si>
  <si>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</si>
  <si>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</si>
  <si>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</si>
  <si>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</si>
  <si>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1272.2 Hz</t>
  </si>
  <si>
    <t>1040.0 Hz</t>
  </si>
  <si>
    <t>1032.2 Hz</t>
  </si>
  <si>
    <t>1160.0 Hz</t>
  </si>
  <si>
    <t>1152.2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</si>
  <si>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</si>
  <si>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</si>
  <si>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</si>
  <si>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</si>
  <si>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</si>
  <si>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</si>
  <si>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</si>
  <si>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</si>
  <si>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</si>
  <si>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</si>
  <si>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</si>
  <si>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</si>
  <si>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</si>
  <si>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</si>
  <si>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</si>
  <si>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</si>
  <si>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</si>
  <si>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</si>
  <si>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</si>
  <si>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</si>
  <si>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</si>
  <si>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</si>
  <si>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</si>
  <si>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</si>
  <si>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</si>
  <si>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</si>
  <si>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</si>
  <si>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</si>
  <si>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</si>
  <si>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</si>
  <si>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</si>
  <si>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</si>
  <si>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</si>
  <si>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</si>
  <si>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</si>
  <si>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</si>
  <si>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</si>
  <si>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</si>
  <si>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</si>
  <si>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</si>
  <si>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</si>
  <si>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</si>
  <si>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</si>
  <si>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</si>
  <si>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</si>
  <si>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</si>
  <si>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</si>
  <si>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</si>
  <si>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</si>
  <si>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</si>
  <si>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</si>
  <si>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</si>
  <si>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</si>
  <si>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</si>
  <si>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</si>
  <si>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</si>
  <si>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</si>
  <si>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</si>
  <si>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</si>
  <si>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</si>
  <si>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</si>
  <si>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</si>
  <si>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</si>
  <si>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</si>
  <si>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</si>
  <si>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</si>
  <si>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</si>
  <si>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</si>
  <si>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</si>
  <si>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</si>
  <si>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</si>
  <si>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</si>
  <si>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</si>
  <si>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</si>
  <si>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</si>
  <si>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</si>
  <si>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</si>
  <si>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</si>
  <si>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</si>
  <si>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</si>
  <si>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</si>
  <si>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</si>
  <si>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</si>
  <si>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</si>
  <si>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</si>
  <si>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</si>
  <si>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</si>
  <si>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</si>
  <si>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</si>
  <si>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</si>
  <si>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</si>
  <si>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</si>
  <si>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</si>
  <si>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</si>
  <si>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</si>
  <si>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</si>
  <si>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</si>
  <si>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</si>
  <si>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</si>
  <si>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</si>
  <si>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</si>
  <si>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</si>
  <si>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</si>
  <si>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</si>
  <si>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</si>
  <si>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</si>
  <si>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</si>
  <si>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</si>
  <si>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</si>
  <si>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</si>
  <si>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</si>
  <si>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</si>
  <si>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</si>
  <si>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</si>
  <si>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</si>
  <si>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</si>
  <si>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</si>
  <si>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</si>
  <si>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10, 11</t>
  </si>
  <si>
    <t>Outer Fan: 550OD</t>
  </si>
  <si>
    <t>Rev 0: First Issue</t>
  </si>
  <si>
    <t>TEAAC</t>
  </si>
  <si>
    <t>M11-125 INS</t>
  </si>
  <si>
    <t>3965 lb-ft</t>
  </si>
  <si>
    <t>Type: TIKE - Form: FCW4 - 6 Pole - 900 HP - 4000 V - 60 Hz - 6810US - Class F</t>
  </si>
  <si>
    <t>FCW4</t>
  </si>
  <si>
    <t>A.Gracia</t>
  </si>
  <si>
    <t>AG</t>
  </si>
  <si>
    <t>BW6900U</t>
  </si>
  <si>
    <t>9007TCAL11E-C</t>
  </si>
  <si>
    <t>Limits: BW6900U</t>
  </si>
  <si>
    <t>F &amp; W (Ball Brg)</t>
  </si>
  <si>
    <t>6328 C3</t>
  </si>
  <si>
    <t>6328 C3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</si>
</sst>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2" fontId="2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71" fontId="60" fillId="0" borderId="0" xfId="5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106.99478552858797</c:v>
                </c:pt>
                <c:pt idx="2">
                  <c:v>230</c:v>
                </c:pt>
                <c:pt idx="3">
                  <c:v>134.79354491407906</c:v>
                </c:pt>
                <c:pt idx="4">
                  <c:v>106.27663792007746</c:v>
                </c:pt>
                <c:pt idx="5">
                  <c:v>93.026878328793316</c:v>
                </c:pt>
                <c:pt idx="6">
                  <c:v>84.616544834038393</c:v>
                </c:pt>
                <c:pt idx="7">
                  <c:v>80.624348086696287</c:v>
                </c:pt>
                <c:pt idx="8">
                  <c:v>78.299414364118689</c:v>
                </c:pt>
                <c:pt idx="9">
                  <c:v>76.862335458522224</c:v>
                </c:pt>
                <c:pt idx="10">
                  <c:v>75.98707360749961</c:v>
                </c:pt>
                <c:pt idx="11">
                  <c:v>75.46301972305649</c:v>
                </c:pt>
                <c:pt idx="12">
                  <c:v>75.163197555768875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22080"/>
        <c:axId val="180976640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0.24367702007293701</c:v>
                </c:pt>
                <c:pt idx="1">
                  <c:v>115.85863494873047</c:v>
                </c:pt>
                <c:pt idx="2">
                  <c:v>366.46090698242187</c:v>
                </c:pt>
                <c:pt idx="3">
                  <c:v>443.96807861328125</c:v>
                </c:pt>
                <c:pt idx="4">
                  <c:v>468.78927612304687</c:v>
                </c:pt>
                <c:pt idx="5">
                  <c:v>482.06884765625</c:v>
                </c:pt>
                <c:pt idx="6">
                  <c:v>499.81228637695312</c:v>
                </c:pt>
                <c:pt idx="7">
                  <c:v>513.255859375</c:v>
                </c:pt>
                <c:pt idx="8">
                  <c:v>524.144287109375</c:v>
                </c:pt>
                <c:pt idx="9">
                  <c:v>532.67254638671875</c:v>
                </c:pt>
                <c:pt idx="10">
                  <c:v>539.53570556640625</c:v>
                </c:pt>
                <c:pt idx="11">
                  <c:v>544.90509033203125</c:v>
                </c:pt>
                <c:pt idx="12">
                  <c:v>549.35101318359375</c:v>
                </c:pt>
                <c:pt idx="13">
                  <c:v>553.09735107421875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27328"/>
        <c:axId val="162228864"/>
      </c:scatterChart>
      <c:valAx>
        <c:axId val="17902208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976640"/>
        <c:crossesAt val="0"/>
        <c:crossBetween val="midCat"/>
        <c:majorUnit val="0.2"/>
        <c:minorUnit val="0.2"/>
      </c:valAx>
      <c:valAx>
        <c:axId val="180976640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022080"/>
        <c:crosses val="max"/>
        <c:crossBetween val="midCat"/>
        <c:majorUnit val="50"/>
        <c:minorUnit val="50"/>
      </c:valAx>
      <c:valAx>
        <c:axId val="16222732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62228864"/>
        <c:crosses val="autoZero"/>
        <c:crossBetween val="midCat"/>
      </c:valAx>
      <c:valAx>
        <c:axId val="1622288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222732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106.99478552858797</c:v>
                </c:pt>
                <c:pt idx="2">
                  <c:v>230</c:v>
                </c:pt>
                <c:pt idx="3">
                  <c:v>134.79354491407906</c:v>
                </c:pt>
                <c:pt idx="4">
                  <c:v>106.27663792007746</c:v>
                </c:pt>
                <c:pt idx="5">
                  <c:v>93.026878328793316</c:v>
                </c:pt>
                <c:pt idx="6">
                  <c:v>84.616544834038393</c:v>
                </c:pt>
                <c:pt idx="7">
                  <c:v>80.624348086696287</c:v>
                </c:pt>
                <c:pt idx="8">
                  <c:v>78.299414364118689</c:v>
                </c:pt>
                <c:pt idx="9">
                  <c:v>76.862335458522224</c:v>
                </c:pt>
                <c:pt idx="10">
                  <c:v>75.98707360749961</c:v>
                </c:pt>
                <c:pt idx="11">
                  <c:v>75.46301972305649</c:v>
                </c:pt>
                <c:pt idx="12">
                  <c:v>75.163197555768875</c:v>
                </c:pt>
                <c:pt idx="13">
                  <c:v>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23648"/>
        <c:axId val="168529920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0.24367702007293701</c:v>
                </c:pt>
                <c:pt idx="1">
                  <c:v>115.85863494873047</c:v>
                </c:pt>
                <c:pt idx="2">
                  <c:v>366.46090698242187</c:v>
                </c:pt>
                <c:pt idx="3">
                  <c:v>443.96807861328125</c:v>
                </c:pt>
                <c:pt idx="4">
                  <c:v>468.78927612304687</c:v>
                </c:pt>
                <c:pt idx="5">
                  <c:v>482.06884765625</c:v>
                </c:pt>
                <c:pt idx="6">
                  <c:v>499.81228637695312</c:v>
                </c:pt>
                <c:pt idx="7">
                  <c:v>513.255859375</c:v>
                </c:pt>
                <c:pt idx="8">
                  <c:v>524.144287109375</c:v>
                </c:pt>
                <c:pt idx="9">
                  <c:v>532.67254638671875</c:v>
                </c:pt>
                <c:pt idx="10">
                  <c:v>539.53570556640625</c:v>
                </c:pt>
                <c:pt idx="11">
                  <c:v>544.90509033203125</c:v>
                </c:pt>
                <c:pt idx="12">
                  <c:v>549.35101318359375</c:v>
                </c:pt>
                <c:pt idx="13">
                  <c:v>553.09735107421875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31840"/>
        <c:axId val="168533376"/>
      </c:scatterChart>
      <c:valAx>
        <c:axId val="16852364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529920"/>
        <c:crosses val="autoZero"/>
        <c:crossBetween val="midCat"/>
        <c:majorUnit val="20"/>
        <c:minorUnit val="20"/>
      </c:valAx>
      <c:valAx>
        <c:axId val="168529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523648"/>
        <c:crosses val="autoZero"/>
        <c:crossBetween val="midCat"/>
      </c:valAx>
      <c:valAx>
        <c:axId val="1685318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8533376"/>
        <c:crosses val="autoZero"/>
        <c:crossBetween val="midCat"/>
      </c:valAx>
      <c:valAx>
        <c:axId val="168533376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853184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553.09734513274338</c:v>
                </c:pt>
                <c:pt idx="1">
                  <c:v>486.07159999999999</c:v>
                </c:pt>
                <c:pt idx="2">
                  <c:v>419.0257451327434</c:v>
                </c:pt>
                <c:pt idx="3">
                  <c:v>352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45.317996132116036</c:v>
                </c:pt>
                <c:pt idx="2">
                  <c:v>60.980331087100581</c:v>
                </c:pt>
                <c:pt idx="3">
                  <c:v>86.414349510517155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553.09734513274338</c:v>
                </c:pt>
                <c:pt idx="1">
                  <c:v>486.07159999999999</c:v>
                </c:pt>
                <c:pt idx="2">
                  <c:v>419.0257451327434</c:v>
                </c:pt>
                <c:pt idx="3">
                  <c:v>352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19.421998342335442</c:v>
                </c:pt>
                <c:pt idx="2">
                  <c:v>26.134427608757392</c:v>
                </c:pt>
                <c:pt idx="3">
                  <c:v>37.034721218793067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252</c:v>
                </c:pt>
                <c:pt idx="1">
                  <c:v>152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86.743858183238856</c:v>
                </c:pt>
                <c:pt idx="3">
                  <c:v>141.62808944115233</c:v>
                </c:pt>
                <c:pt idx="4">
                  <c:v>218.25208551216815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553.09734513274338</c:v>
                </c:pt>
                <c:pt idx="1">
                  <c:v>551.2389380530974</c:v>
                </c:pt>
                <c:pt idx="2">
                  <c:v>547.16814159292028</c:v>
                </c:pt>
                <c:pt idx="3">
                  <c:v>542.21238938053102</c:v>
                </c:pt>
                <c:pt idx="4">
                  <c:v>536.1061946902654</c:v>
                </c:pt>
                <c:pt idx="5">
                  <c:v>528.40707964601768</c:v>
                </c:pt>
                <c:pt idx="6">
                  <c:v>518.67256637168146</c:v>
                </c:pt>
                <c:pt idx="7">
                  <c:v>506.54867256637169</c:v>
                </c:pt>
                <c:pt idx="8">
                  <c:v>490.97345132743357</c:v>
                </c:pt>
                <c:pt idx="9">
                  <c:v>475.39823008849567</c:v>
                </c:pt>
                <c:pt idx="10">
                  <c:v>456.37168141592929</c:v>
                </c:pt>
                <c:pt idx="11">
                  <c:v>405.22123893805309</c:v>
                </c:pt>
                <c:pt idx="12">
                  <c:v>241.15044247787611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1.8969999551773071</c:v>
                </c:pt>
                <c:pt idx="2">
                  <c:v>3.4589998722076416</c:v>
                </c:pt>
                <c:pt idx="3">
                  <c:v>4.9140000343322754</c:v>
                </c:pt>
                <c:pt idx="4">
                  <c:v>6.3670001029968262</c:v>
                </c:pt>
                <c:pt idx="5">
                  <c:v>7.9000000953674316</c:v>
                </c:pt>
                <c:pt idx="6">
                  <c:v>9.5889997482299805</c:v>
                </c:pt>
                <c:pt idx="7">
                  <c:v>11.541999816894531</c:v>
                </c:pt>
                <c:pt idx="8">
                  <c:v>13.97499942779541</c:v>
                </c:pt>
                <c:pt idx="9">
                  <c:v>15.370999336242676</c:v>
                </c:pt>
                <c:pt idx="10">
                  <c:v>16.519998550415039</c:v>
                </c:pt>
                <c:pt idx="11">
                  <c:v>17.065998077392578</c:v>
                </c:pt>
                <c:pt idx="12">
                  <c:v>17.175998687744141</c:v>
                </c:pt>
                <c:pt idx="13">
                  <c:v>17.694997787475586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35104"/>
        <c:axId val="169145472"/>
      </c:scatterChart>
      <c:valAx>
        <c:axId val="16913510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145472"/>
        <c:crossesAt val="0.1"/>
        <c:crossBetween val="midCat"/>
        <c:majorUnit val="100"/>
      </c:valAx>
      <c:valAx>
        <c:axId val="16914547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913510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88.758857727050781</c:v>
                </c:pt>
                <c:pt idx="2">
                  <c:v>93.289497375488281</c:v>
                </c:pt>
                <c:pt idx="3">
                  <c:v>94.635322570800781</c:v>
                </c:pt>
                <c:pt idx="4">
                  <c:v>95.106689453125</c:v>
                </c:pt>
                <c:pt idx="5">
                  <c:v>95.210174560546875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66.250602722167969</c:v>
                </c:pt>
                <c:pt idx="1">
                  <c:v>83.310142517089844</c:v>
                </c:pt>
                <c:pt idx="2">
                  <c:v>88.252174377441406</c:v>
                </c:pt>
                <c:pt idx="3">
                  <c:v>89.783035278320312</c:v>
                </c:pt>
                <c:pt idx="4">
                  <c:v>89.970855712890625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90.172142251587672</c:v>
                </c:pt>
                <c:pt idx="2">
                  <c:v>80.41547134132756</c:v>
                </c:pt>
                <c:pt idx="3">
                  <c:v>70.428736998485419</c:v>
                </c:pt>
                <c:pt idx="4">
                  <c:v>60.192006781646512</c:v>
                </c:pt>
                <c:pt idx="5">
                  <c:v>49.853550839407035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0.72421999999999997</c:v>
                </c:pt>
                <c:pt idx="1">
                  <c:v>10.499201555008613</c:v>
                </c:pt>
                <c:pt idx="2">
                  <c:v>19.97860864614406</c:v>
                </c:pt>
                <c:pt idx="3">
                  <c:v>29.541734586033943</c:v>
                </c:pt>
                <c:pt idx="4">
                  <c:v>39.193759048262336</c:v>
                </c:pt>
                <c:pt idx="5">
                  <c:v>48.938951083373475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48640"/>
        <c:axId val="170850560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28.004633816339787</c:v>
                </c:pt>
                <c:pt idx="1">
                  <c:v>41.174758911132812</c:v>
                </c:pt>
                <c:pt idx="2">
                  <c:v>62.306304931640625</c:v>
                </c:pt>
                <c:pt idx="3">
                  <c:v>86.971153259277344</c:v>
                </c:pt>
                <c:pt idx="4">
                  <c:v>113.41938018798828</c:v>
                </c:pt>
                <c:pt idx="5">
                  <c:v>141.32449340820313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42848"/>
        <c:axId val="170944384"/>
      </c:scatterChart>
      <c:valAx>
        <c:axId val="170848640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50560"/>
        <c:crossesAt val="0"/>
        <c:crossBetween val="midCat"/>
        <c:majorUnit val="25"/>
        <c:minorUnit val="12.5"/>
      </c:valAx>
      <c:valAx>
        <c:axId val="17085056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48640"/>
        <c:crosses val="autoZero"/>
        <c:crossBetween val="midCat"/>
        <c:majorUnit val="10"/>
        <c:minorUnit val="5"/>
      </c:valAx>
      <c:valAx>
        <c:axId val="1709428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70944384"/>
        <c:crosses val="autoZero"/>
        <c:crossBetween val="midCat"/>
      </c:valAx>
      <c:valAx>
        <c:axId val="17094438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94284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691515</xdr:colOff>
      <xdr:row>39</xdr:row>
      <xdr:rowOff>200025</xdr:rowOff>
    </xdr:from>
    <xdr:to>
      <xdr:col>4</xdr:col>
      <xdr:colOff>718288</xdr:colOff>
      <xdr:row>40</xdr:row>
      <xdr:rowOff>133350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25065" y="9182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190500</xdr:colOff>
      <xdr:row>39</xdr:row>
      <xdr:rowOff>190500</xdr:rowOff>
    </xdr:from>
    <xdr:to>
      <xdr:col>3</xdr:col>
      <xdr:colOff>794501</xdr:colOff>
      <xdr:row>43</xdr:row>
      <xdr:rowOff>38100</xdr:rowOff>
    </xdr:to>
    <xdr:grpSp>
      <xdr:nvGrpSpPr>
        <xdr:cNvPr id="97" name="Group 96"/>
        <xdr:cNvGrpSpPr/>
      </xdr:nvGrpSpPr>
      <xdr:grpSpPr>
        <a:xfrm>
          <a:off x="1000125" y="9172575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691515</xdr:colOff>
      <xdr:row>33</xdr:row>
      <xdr:rowOff>161925</xdr:rowOff>
    </xdr:from>
    <xdr:to>
      <xdr:col>4</xdr:col>
      <xdr:colOff>718288</xdr:colOff>
      <xdr:row>34</xdr:row>
      <xdr:rowOff>95250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25065" y="77724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681990</xdr:colOff>
      <xdr:row>27</xdr:row>
      <xdr:rowOff>200025</xdr:rowOff>
    </xdr:from>
    <xdr:to>
      <xdr:col>4</xdr:col>
      <xdr:colOff>708763</xdr:colOff>
      <xdr:row>28</xdr:row>
      <xdr:rowOff>133350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15540" y="64389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0.58668</cdr:x>
      <cdr:y>0.61253</cdr:y>
    </cdr:from>
    <cdr:to>
      <cdr:x>0.82253</cdr:x>
      <cdr:y>0.63322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1134" y="39440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0.58017</cdr:x>
      <cdr:y>0.51425</cdr:y>
    </cdr:from>
    <cdr:to>
      <cdr:x>0.86299</cdr:x>
      <cdr:y>0.53938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93034" y="33112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657225</xdr:colOff>
      <xdr:row>16</xdr:row>
      <xdr:rowOff>76199</xdr:rowOff>
    </xdr:from>
    <xdr:to>
      <xdr:col>1</xdr:col>
      <xdr:colOff>28576</xdr:colOff>
      <xdr:row>17</xdr:row>
      <xdr:rowOff>76200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57225" y="39719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647700</xdr:colOff>
      <xdr:row>18</xdr:row>
      <xdr:rowOff>19049</xdr:rowOff>
    </xdr:from>
    <xdr:to>
      <xdr:col>1</xdr:col>
      <xdr:colOff>19051</xdr:colOff>
      <xdr:row>19</xdr:row>
      <xdr:rowOff>19050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47700" y="43910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638175</xdr:colOff>
      <xdr:row>19</xdr:row>
      <xdr:rowOff>190499</xdr:rowOff>
    </xdr:from>
    <xdr:to>
      <xdr:col>1</xdr:col>
      <xdr:colOff>9526</xdr:colOff>
      <xdr:row>20</xdr:row>
      <xdr:rowOff>190500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38175" y="480059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638175</xdr:colOff>
      <xdr:row>21</xdr:row>
      <xdr:rowOff>123824</xdr:rowOff>
    </xdr:from>
    <xdr:to>
      <xdr:col>1</xdr:col>
      <xdr:colOff>9526</xdr:colOff>
      <xdr:row>22</xdr:row>
      <xdr:rowOff>123825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38175" y="52101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647700</xdr:colOff>
      <xdr:row>23</xdr:row>
      <xdr:rowOff>57149</xdr:rowOff>
    </xdr:from>
    <xdr:to>
      <xdr:col>1</xdr:col>
      <xdr:colOff>19051</xdr:colOff>
      <xdr:row>24</xdr:row>
      <xdr:rowOff>57150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47700" y="561974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647700</xdr:colOff>
      <xdr:row>24</xdr:row>
      <xdr:rowOff>228599</xdr:rowOff>
    </xdr:from>
    <xdr:to>
      <xdr:col>1</xdr:col>
      <xdr:colOff>19051</xdr:colOff>
      <xdr:row>25</xdr:row>
      <xdr:rowOff>228600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47700" y="60293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638175</xdr:colOff>
      <xdr:row>26</xdr:row>
      <xdr:rowOff>161924</xdr:rowOff>
    </xdr:from>
    <xdr:to>
      <xdr:col>1</xdr:col>
      <xdr:colOff>9526</xdr:colOff>
      <xdr:row>27</xdr:row>
      <xdr:rowOff>161925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38175" y="643889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628650</xdr:colOff>
      <xdr:row>28</xdr:row>
      <xdr:rowOff>95249</xdr:rowOff>
    </xdr:from>
    <xdr:to>
      <xdr:col>1</xdr:col>
      <xdr:colOff>1</xdr:colOff>
      <xdr:row>29</xdr:row>
      <xdr:rowOff>95250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28650" y="68484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628650</xdr:colOff>
      <xdr:row>30</xdr:row>
      <xdr:rowOff>38099</xdr:rowOff>
    </xdr:from>
    <xdr:to>
      <xdr:col>1</xdr:col>
      <xdr:colOff>1</xdr:colOff>
      <xdr:row>31</xdr:row>
      <xdr:rowOff>38100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28650" y="726757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628650</xdr:colOff>
      <xdr:row>31</xdr:row>
      <xdr:rowOff>209549</xdr:rowOff>
    </xdr:from>
    <xdr:to>
      <xdr:col>1</xdr:col>
      <xdr:colOff>1</xdr:colOff>
      <xdr:row>32</xdr:row>
      <xdr:rowOff>209550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28650" y="7677149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638175</xdr:colOff>
      <xdr:row>33</xdr:row>
      <xdr:rowOff>142874</xdr:rowOff>
    </xdr:from>
    <xdr:to>
      <xdr:col>1</xdr:col>
      <xdr:colOff>9526</xdr:colOff>
      <xdr:row>34</xdr:row>
      <xdr:rowOff>142875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38175" y="8086724"/>
          <a:ext cx="485776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342901</xdr:colOff>
      <xdr:row>16</xdr:row>
      <xdr:rowOff>85724</xdr:rowOff>
    </xdr:from>
    <xdr:to>
      <xdr:col>5</xdr:col>
      <xdr:colOff>828675</xdr:colOff>
      <xdr:row>17</xdr:row>
      <xdr:rowOff>76200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15026" y="39814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370253</xdr:colOff>
      <xdr:row>25</xdr:row>
      <xdr:rowOff>0</xdr:rowOff>
    </xdr:from>
    <xdr:to>
      <xdr:col>5</xdr:col>
      <xdr:colOff>918306</xdr:colOff>
      <xdr:row>26</xdr:row>
      <xdr:rowOff>1906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42378" y="6038850"/>
          <a:ext cx="548053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5</xdr:col>
      <xdr:colOff>361951</xdr:colOff>
      <xdr:row>26</xdr:row>
      <xdr:rowOff>180974</xdr:rowOff>
    </xdr:from>
    <xdr:to>
      <xdr:col>5</xdr:col>
      <xdr:colOff>847725</xdr:colOff>
      <xdr:row>27</xdr:row>
      <xdr:rowOff>171450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34076" y="64579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371476</xdr:colOff>
      <xdr:row>28</xdr:row>
      <xdr:rowOff>114299</xdr:rowOff>
    </xdr:from>
    <xdr:to>
      <xdr:col>5</xdr:col>
      <xdr:colOff>857250</xdr:colOff>
      <xdr:row>29</xdr:row>
      <xdr:rowOff>104775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43601" y="686752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</a:t>
          </a:r>
        </a:p>
      </xdr:txBody>
    </xdr:sp>
    <xdr:clientData/>
  </xdr:twoCellAnchor>
  <xdr:twoCellAnchor>
    <xdr:from>
      <xdr:col>5</xdr:col>
      <xdr:colOff>361951</xdr:colOff>
      <xdr:row>30</xdr:row>
      <xdr:rowOff>38099</xdr:rowOff>
    </xdr:from>
    <xdr:to>
      <xdr:col>5</xdr:col>
      <xdr:colOff>847725</xdr:colOff>
      <xdr:row>31</xdr:row>
      <xdr:rowOff>28575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34076" y="72675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361951</xdr:colOff>
      <xdr:row>31</xdr:row>
      <xdr:rowOff>219074</xdr:rowOff>
    </xdr:from>
    <xdr:to>
      <xdr:col>5</xdr:col>
      <xdr:colOff>847725</xdr:colOff>
      <xdr:row>32</xdr:row>
      <xdr:rowOff>209550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34076" y="76866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</a:t>
          </a:r>
        </a:p>
      </xdr:txBody>
    </xdr:sp>
    <xdr:clientData/>
  </xdr:twoCellAnchor>
  <xdr:twoCellAnchor>
    <xdr:from>
      <xdr:col>5</xdr:col>
      <xdr:colOff>695325</xdr:colOff>
      <xdr:row>23</xdr:row>
      <xdr:rowOff>9525</xdr:rowOff>
    </xdr:from>
    <xdr:to>
      <xdr:col>5</xdr:col>
      <xdr:colOff>914400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674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361951</xdr:colOff>
      <xdr:row>23</xdr:row>
      <xdr:rowOff>66674</xdr:rowOff>
    </xdr:from>
    <xdr:to>
      <xdr:col>5</xdr:col>
      <xdr:colOff>847725</xdr:colOff>
      <xdr:row>24</xdr:row>
      <xdr:rowOff>57150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34076" y="562927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5</xdr:col>
      <xdr:colOff>361951</xdr:colOff>
      <xdr:row>21</xdr:row>
      <xdr:rowOff>133349</xdr:rowOff>
    </xdr:from>
    <xdr:to>
      <xdr:col>5</xdr:col>
      <xdr:colOff>847725</xdr:colOff>
      <xdr:row>22</xdr:row>
      <xdr:rowOff>123825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34076" y="521969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5</xdr:col>
      <xdr:colOff>352426</xdr:colOff>
      <xdr:row>19</xdr:row>
      <xdr:rowOff>200024</xdr:rowOff>
    </xdr:from>
    <xdr:to>
      <xdr:col>5</xdr:col>
      <xdr:colOff>838200</xdr:colOff>
      <xdr:row>20</xdr:row>
      <xdr:rowOff>190500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24551" y="4810124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1440</a:t>
          </a:r>
        </a:p>
      </xdr:txBody>
    </xdr:sp>
    <xdr:clientData/>
  </xdr:twoCellAnchor>
  <xdr:twoCellAnchor>
    <xdr:from>
      <xdr:col>5</xdr:col>
      <xdr:colOff>352426</xdr:colOff>
      <xdr:row>18</xdr:row>
      <xdr:rowOff>28574</xdr:rowOff>
    </xdr:from>
    <xdr:to>
      <xdr:col>5</xdr:col>
      <xdr:colOff>838200</xdr:colOff>
      <xdr:row>19</xdr:row>
      <xdr:rowOff>19050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24551" y="4400549"/>
          <a:ext cx="485774" cy="2286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1620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895350</xdr:colOff>
      <xdr:row>18</xdr:row>
      <xdr:rowOff>161925</xdr:rowOff>
    </xdr:from>
    <xdr:to>
      <xdr:col>4</xdr:col>
      <xdr:colOff>114300</xdr:colOff>
      <xdr:row>19</xdr:row>
      <xdr:rowOff>95250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38625" y="45339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29</xdr:row>
      <xdr:rowOff>28575</xdr:rowOff>
    </xdr:from>
    <xdr:to>
      <xdr:col>2</xdr:col>
      <xdr:colOff>323850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895350</xdr:colOff>
      <xdr:row>30</xdr:row>
      <xdr:rowOff>209550</xdr:rowOff>
    </xdr:from>
    <xdr:to>
      <xdr:col>3</xdr:col>
      <xdr:colOff>285750</xdr:colOff>
      <xdr:row>31</xdr:row>
      <xdr:rowOff>123825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24200" y="74390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351937</xdr:colOff>
      <xdr:row>33</xdr:row>
      <xdr:rowOff>142875</xdr:rowOff>
    </xdr:from>
    <xdr:to>
      <xdr:col>5</xdr:col>
      <xdr:colOff>862622</xdr:colOff>
      <xdr:row>34</xdr:row>
      <xdr:rowOff>144781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24062" y="8086725"/>
          <a:ext cx="510685" cy="24003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13" zoomScale="95" zoomScaleNormal="95" workbookViewId="0">
      <selection activeCell="P60" sqref="P60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0.39549768518518519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900.00003272662536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236</v>
      </c>
      <c r="I5" s="79" t="s">
        <v>241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679.62866308275306</v>
      </c>
    </row>
    <row r="10" spans="1:10" ht="15" customHeight="1">
      <c r="A10" s="7" t="s">
        <v>27</v>
      </c>
      <c r="B10" s="71">
        <v>684</v>
      </c>
      <c r="C10" s="75">
        <v>684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25989.17952172058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21</v>
      </c>
      <c r="F13" s="126"/>
      <c r="G13" s="118" t="s">
        <v>191</v>
      </c>
      <c r="H13" s="11" t="s">
        <v>40</v>
      </c>
      <c r="I13" s="70">
        <v>1.0284131572919286</v>
      </c>
      <c r="J13" s="106">
        <v>111.51939392089844</v>
      </c>
    </row>
    <row r="14" spans="1:10" ht="15" customHeight="1" thickBot="1">
      <c r="A14" s="136" t="s">
        <v>41</v>
      </c>
      <c r="B14" s="137">
        <v>513.3599853515625</v>
      </c>
      <c r="C14" s="138">
        <v>513.3599853515625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18.329117063492063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2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474.9788178912911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1219</v>
      </c>
      <c r="F18" s="72">
        <v>815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252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0.16424546575511925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0.21910151522146554</v>
      </c>
      <c r="F21" s="69">
        <v>0.12886828184127808</v>
      </c>
      <c r="G21" s="73">
        <v>2.3967859897416496E-2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5.4104609489440918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8.322185992157733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3.2105426616306714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0.37193766236305237</v>
      </c>
      <c r="J25" s="74">
        <v>0.6965792179107666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266.92317548686657</v>
      </c>
      <c r="F26" s="71">
        <v>182.99354506702423</v>
      </c>
      <c r="G26" s="75">
        <v>43.799240591961784</v>
      </c>
      <c r="H26" s="11" t="s">
        <v>80</v>
      </c>
      <c r="I26" s="70">
        <v>4.0471024513244629</v>
      </c>
      <c r="J26" s="74">
        <v>3.448988676071167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4.0641574859619141</v>
      </c>
      <c r="J27" s="83">
        <v>3.5186283588409424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646.83358154296877</v>
      </c>
      <c r="G30" s="71">
        <v>11.501380048843902</v>
      </c>
      <c r="H30" s="76">
        <v>122.73529422314355</v>
      </c>
      <c r="I30" s="72">
        <v>76406.430270128025</v>
      </c>
      <c r="J30" s="76">
        <v>3400.233750227886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705.52633510502062</v>
      </c>
      <c r="G31" s="71">
        <v>10.544579953309819</v>
      </c>
      <c r="H31" s="76">
        <v>27.232081435491274</v>
      </c>
      <c r="I31" s="72">
        <v>26245.579665906767</v>
      </c>
      <c r="J31" s="76">
        <v>1014.6763718237697</v>
      </c>
    </row>
    <row r="32" spans="1:10" ht="15" customHeight="1">
      <c r="A32" s="7" t="s">
        <v>98</v>
      </c>
      <c r="B32" s="70" t="s">
        <v>243</v>
      </c>
      <c r="C32" s="112"/>
      <c r="D32" s="11" t="s">
        <v>99</v>
      </c>
      <c r="E32" s="71">
        <v>12.76794540327414</v>
      </c>
      <c r="F32" s="71">
        <v>963.57670131729105</v>
      </c>
      <c r="G32" s="71">
        <v>7.7206919174261355</v>
      </c>
      <c r="H32" s="76">
        <v>28.399750175145709</v>
      </c>
      <c r="I32" s="10" t="s">
        <v>100</v>
      </c>
      <c r="J32" s="76">
        <v>4414.9101220516559</v>
      </c>
    </row>
    <row r="33" spans="1:10" ht="15" customHeight="1">
      <c r="A33" s="7" t="s">
        <v>101</v>
      </c>
      <c r="B33" s="70" t="s">
        <v>244</v>
      </c>
      <c r="C33" s="113" t="s">
        <v>102</v>
      </c>
      <c r="D33" s="11" t="s">
        <v>97</v>
      </c>
      <c r="E33" s="71">
        <v>3.6549999237060549</v>
      </c>
      <c r="F33" s="71">
        <v>713.16769664616447</v>
      </c>
      <c r="G33" s="71">
        <v>10.431598184643544</v>
      </c>
      <c r="H33" s="76">
        <v>15.673064054048757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245</v>
      </c>
      <c r="C34" s="114">
        <v>7.4394788496805466</v>
      </c>
      <c r="D34" s="12" t="s">
        <v>20</v>
      </c>
      <c r="E34" s="81">
        <v>0.20999999046325685</v>
      </c>
      <c r="F34" s="82">
        <v>1319.038716122576</v>
      </c>
      <c r="G34" s="82">
        <v>5.6400761848367216</v>
      </c>
      <c r="H34" s="85">
        <v>942.52905776036471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225</v>
      </c>
      <c r="C37" s="71" t="s">
        <v>226</v>
      </c>
      <c r="D37" s="71" t="s">
        <v>227</v>
      </c>
      <c r="E37" s="71" t="s">
        <v>228</v>
      </c>
      <c r="F37" s="75" t="s">
        <v>229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219</v>
      </c>
      <c r="G38" s="18" t="s">
        <v>116</v>
      </c>
      <c r="H38" s="85" t="s">
        <v>207</v>
      </c>
      <c r="I38" s="141" t="s">
        <v>214</v>
      </c>
      <c r="J38" s="86">
        <v>9498.52734375</v>
      </c>
    </row>
    <row r="39" spans="1:10" ht="15" customHeight="1">
      <c r="A39" s="7" t="s">
        <v>117</v>
      </c>
      <c r="B39" s="70" t="s">
        <v>220</v>
      </c>
      <c r="C39" s="70" t="s">
        <v>221</v>
      </c>
      <c r="D39" s="70" t="s">
        <v>222</v>
      </c>
      <c r="E39" s="70" t="s">
        <v>223</v>
      </c>
      <c r="F39" s="74" t="s">
        <v>224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238</v>
      </c>
      <c r="C40" s="69" t="s">
        <v>239</v>
      </c>
      <c r="D40" s="69" t="s">
        <v>240</v>
      </c>
      <c r="E40" s="69" t="s">
        <v>241</v>
      </c>
      <c r="F40" s="73" t="s">
        <v>242</v>
      </c>
      <c r="G40" s="37" t="s">
        <v>121</v>
      </c>
      <c r="H40" s="93" t="s">
        <v>246</v>
      </c>
      <c r="I40" s="57"/>
      <c r="J40" s="58"/>
    </row>
    <row r="41" spans="1:10" ht="15" customHeight="1">
      <c r="A41" s="7" t="s">
        <v>5</v>
      </c>
      <c r="B41" s="72" t="s">
        <v>233</v>
      </c>
      <c r="C41" s="72" t="s">
        <v>234</v>
      </c>
      <c r="D41" s="72" t="s">
        <v>235</v>
      </c>
      <c r="E41" s="72" t="s">
        <v>236</v>
      </c>
      <c r="F41" s="76" t="s">
        <v>237</v>
      </c>
      <c r="G41" s="38" t="s">
        <v>122</v>
      </c>
      <c r="H41" s="94" t="s">
        <v>247</v>
      </c>
      <c r="I41" s="59"/>
      <c r="J41" s="60"/>
    </row>
    <row r="42" spans="1:10" ht="15" customHeight="1">
      <c r="A42" s="7" t="s">
        <v>123</v>
      </c>
      <c r="B42" s="70">
        <v>7.9748498707368016</v>
      </c>
      <c r="C42" s="70">
        <v>7.9748498707368016</v>
      </c>
      <c r="D42" s="70">
        <v>7.9748498707368016</v>
      </c>
      <c r="E42" s="70">
        <v>7.9748498707368016</v>
      </c>
      <c r="F42" s="74">
        <v>7.9748498707368016</v>
      </c>
      <c r="G42" s="37" t="s">
        <v>124</v>
      </c>
      <c r="H42" s="93" t="s">
        <v>248</v>
      </c>
      <c r="I42" s="57"/>
      <c r="J42" s="99">
        <v>0.1979748656432512</v>
      </c>
    </row>
    <row r="43" spans="1:10" ht="15" customHeight="1" thickBot="1">
      <c r="A43" s="18" t="s">
        <v>125</v>
      </c>
      <c r="B43" s="81">
        <v>7.9748498707368016</v>
      </c>
      <c r="C43" s="81"/>
      <c r="D43" s="81" t="s">
        <v>251</v>
      </c>
      <c r="E43" s="81"/>
      <c r="F43" s="83"/>
      <c r="G43" s="38" t="s">
        <v>122</v>
      </c>
      <c r="H43" s="94" t="s">
        <v>249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1783.5356935682546</v>
      </c>
      <c r="I44" s="92">
        <v>3.7709114773246497E-2</v>
      </c>
      <c r="J44" s="99">
        <v>0.63120417970838516</v>
      </c>
    </row>
    <row r="45" spans="1:10" ht="15" customHeight="1">
      <c r="A45" s="7" t="s">
        <v>129</v>
      </c>
      <c r="B45" s="70">
        <v>0.27094554901123047</v>
      </c>
      <c r="C45" s="5" t="s">
        <v>130</v>
      </c>
      <c r="D45" s="74">
        <v>1.0535949841141701E-2</v>
      </c>
      <c r="E45" s="7" t="s">
        <v>131</v>
      </c>
      <c r="F45" s="76">
        <v>692.62126867697555</v>
      </c>
      <c r="G45" s="39" t="s">
        <v>122</v>
      </c>
      <c r="H45" s="88" t="s">
        <v>250</v>
      </c>
      <c r="I45" s="61"/>
      <c r="J45" s="62"/>
    </row>
    <row r="46" spans="1:10" ht="15" customHeight="1">
      <c r="A46" s="7" t="s">
        <v>132</v>
      </c>
      <c r="B46" s="70">
        <v>0.17789337038993835</v>
      </c>
      <c r="C46" s="5" t="s">
        <v>133</v>
      </c>
      <c r="D46" s="74">
        <v>6.7180250771343708E-3</v>
      </c>
      <c r="E46" s="7" t="s">
        <v>134</v>
      </c>
      <c r="F46" s="76">
        <v>1241.0707115219291</v>
      </c>
      <c r="G46" s="38" t="s">
        <v>135</v>
      </c>
      <c r="H46" s="96">
        <v>392.45057217026232</v>
      </c>
      <c r="I46" s="59"/>
      <c r="J46" s="60"/>
    </row>
    <row r="47" spans="1:10" ht="15" customHeight="1">
      <c r="A47" s="7" t="s">
        <v>136</v>
      </c>
      <c r="B47" s="70">
        <v>0.44883891940116882</v>
      </c>
      <c r="C47" s="5" t="s">
        <v>137</v>
      </c>
      <c r="D47" s="74">
        <v>1.5067023225128651E-2</v>
      </c>
      <c r="E47" s="7" t="s">
        <v>138</v>
      </c>
      <c r="F47" s="76">
        <v>1016.7647949138299</v>
      </c>
      <c r="G47" s="66" t="s">
        <v>139</v>
      </c>
      <c r="H47" s="95">
        <v>1717.6135757587001</v>
      </c>
      <c r="I47" s="92">
        <v>3.6242913509209912E-2</v>
      </c>
      <c r="J47" s="97">
        <v>0.64458579941176053</v>
      </c>
    </row>
    <row r="48" spans="1:10" ht="15" customHeight="1">
      <c r="A48" s="7" t="s">
        <v>140</v>
      </c>
      <c r="B48" s="70">
        <v>1.1691662482917309E-2</v>
      </c>
      <c r="C48" s="5" t="s">
        <v>100</v>
      </c>
      <c r="D48" s="74">
        <v>4.4012662023305893E-2</v>
      </c>
      <c r="E48" s="7" t="s">
        <v>141</v>
      </c>
      <c r="F48" s="76">
        <v>307.32387692464482</v>
      </c>
      <c r="G48" s="67" t="s">
        <v>122</v>
      </c>
      <c r="H48" s="88">
        <v>255.82566477528485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0.95598733425140381</v>
      </c>
      <c r="E49" s="18" t="s">
        <v>143</v>
      </c>
      <c r="F49" s="85">
        <v>666.18283215887243</v>
      </c>
      <c r="G49" s="68" t="s">
        <v>135</v>
      </c>
      <c r="H49" s="96">
        <v>384.60186485837914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6.049355650715256E-2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173602.14539808838</v>
      </c>
      <c r="I52" s="100" t="s">
        <v>230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196.55024405505969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366652.2</v>
      </c>
      <c r="I54" s="101" t="s">
        <v>231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232</v>
      </c>
      <c r="J56" s="63" t="s">
        <v>195</v>
      </c>
    </row>
    <row r="57" spans="1:10" ht="15" customHeight="1">
      <c r="A57" s="24" t="s">
        <v>400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401</v>
      </c>
      <c r="D58" s="4" t="s">
        <v>119</v>
      </c>
      <c r="E58" s="4" t="s">
        <v>165</v>
      </c>
      <c r="F58" s="17" t="s">
        <v>402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0.24367702007293701</v>
      </c>
      <c r="D59" s="130">
        <v>0.68736839294433594</v>
      </c>
      <c r="E59" s="88">
        <v>75.98707360749961</v>
      </c>
      <c r="F59" s="89">
        <v>539.53570556640625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106.99478552858797</v>
      </c>
      <c r="C60" s="89">
        <v>115.85863494873047</v>
      </c>
      <c r="D60" s="130">
        <v>0.79157894849777222</v>
      </c>
      <c r="E60" s="88">
        <v>75.46301972305649</v>
      </c>
      <c r="F60" s="89">
        <v>544.90509033203125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230</v>
      </c>
      <c r="C61" s="89">
        <v>366.46090698242187</v>
      </c>
      <c r="D61" s="130">
        <v>0.89578944444656372</v>
      </c>
      <c r="E61" s="88">
        <v>75.163197555768875</v>
      </c>
      <c r="F61" s="89">
        <v>549.35101318359375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134.79354491407906</v>
      </c>
      <c r="C62" s="89">
        <v>443.96807861328125</v>
      </c>
      <c r="D62" s="131">
        <v>1</v>
      </c>
      <c r="E62" s="88">
        <v>75</v>
      </c>
      <c r="F62" s="89">
        <v>553.09735107421875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106.27663792007746</v>
      </c>
      <c r="C63" s="89">
        <v>468.78927612304687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93.026878328793316</v>
      </c>
      <c r="C64" s="89">
        <v>482.06884765625</v>
      </c>
      <c r="D64" s="394" t="s">
        <v>435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84.616544834038393</v>
      </c>
      <c r="C65" s="89">
        <v>499.81228637695312</v>
      </c>
      <c r="D65" s="396" t="s">
        <v>419</v>
      </c>
      <c r="E65" s="398" t="s">
        <v>433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80.624348086696287</v>
      </c>
      <c r="C66" s="89">
        <v>513.255859375</v>
      </c>
      <c r="D66" s="396" t="s">
        <v>416</v>
      </c>
      <c r="E66" s="398" t="s">
        <v>434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78.299414364118689</v>
      </c>
      <c r="C67" s="89">
        <v>524.144287109375</v>
      </c>
      <c r="D67" s="396" t="s">
        <v>423</v>
      </c>
      <c r="E67" s="398" t="s">
        <v>436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76.862335458522224</v>
      </c>
      <c r="C68" s="91">
        <v>532.67254638671875</v>
      </c>
      <c r="D68" s="397" t="s">
        <v>424</v>
      </c>
      <c r="E68" s="400" t="s">
        <v>437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432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K36" sqref="K36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252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253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761</v>
      </c>
      <c r="C3" s="157"/>
      <c r="D3" s="157"/>
      <c r="E3" s="157"/>
      <c r="F3" s="158"/>
      <c r="G3" s="157"/>
      <c r="H3" s="157"/>
      <c r="I3" s="155" t="s">
        <v>254</v>
      </c>
      <c r="J3" s="632" t="s">
        <v>762</v>
      </c>
      <c r="K3" s="632"/>
    </row>
    <row r="4" spans="1:26" s="167" customFormat="1" ht="18.399999999999999" customHeight="1" thickBot="1">
      <c r="A4" s="159" t="s">
        <v>757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255</v>
      </c>
      <c r="R4" s="165"/>
      <c r="S4" s="163"/>
      <c r="T4" s="164" t="s">
        <v>256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257</v>
      </c>
      <c r="B5" s="634"/>
      <c r="C5" s="634"/>
      <c r="D5" s="168"/>
      <c r="E5" s="169"/>
      <c r="F5" s="170" t="s">
        <v>258</v>
      </c>
      <c r="G5" s="171"/>
      <c r="H5" s="171"/>
      <c r="I5" s="172"/>
      <c r="J5" s="173" t="s">
        <v>259</v>
      </c>
      <c r="K5" s="174" t="s">
        <v>260</v>
      </c>
      <c r="L5" s="163"/>
      <c r="M5" s="163"/>
      <c r="N5" s="163"/>
      <c r="O5" s="163"/>
      <c r="P5" s="163"/>
      <c r="Q5" s="175" t="s">
        <v>261</v>
      </c>
      <c r="R5" s="176"/>
      <c r="S5" s="163"/>
      <c r="T5" s="175" t="s">
        <v>262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266</v>
      </c>
      <c r="E6" s="638"/>
      <c r="F6" s="568" t="s">
        <v>264</v>
      </c>
      <c r="G6" s="569"/>
      <c r="H6" s="569"/>
      <c r="I6" s="569"/>
      <c r="J6" s="569"/>
      <c r="K6" s="570"/>
      <c r="L6" s="163"/>
      <c r="M6" s="163"/>
      <c r="N6" s="163"/>
      <c r="O6" s="163"/>
      <c r="P6" s="163"/>
      <c r="Q6" s="175" t="s">
        <v>265</v>
      </c>
      <c r="R6" s="176"/>
      <c r="S6" s="163"/>
      <c r="T6" s="175" t="s">
        <v>266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267</v>
      </c>
      <c r="G7" s="179"/>
      <c r="H7" s="180"/>
      <c r="I7" s="181"/>
      <c r="J7" s="182">
        <v>24</v>
      </c>
      <c r="K7" s="183" t="s">
        <v>174</v>
      </c>
      <c r="L7" s="163"/>
      <c r="M7" s="163"/>
      <c r="N7" s="163"/>
      <c r="O7" s="163"/>
      <c r="P7" s="163"/>
      <c r="Q7" s="175" t="s">
        <v>268</v>
      </c>
      <c r="R7" s="176"/>
      <c r="S7" s="163"/>
      <c r="T7" s="175" t="s">
        <v>263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269</v>
      </c>
      <c r="B8" s="627"/>
      <c r="C8" s="627"/>
      <c r="D8" s="612">
        <v>684</v>
      </c>
      <c r="E8" s="608"/>
      <c r="F8" s="184" t="s">
        <v>270</v>
      </c>
      <c r="G8" s="185"/>
      <c r="H8" s="186"/>
      <c r="I8" s="187"/>
      <c r="J8" s="188">
        <v>13036</v>
      </c>
      <c r="K8" s="189" t="s">
        <v>174</v>
      </c>
      <c r="L8" s="163"/>
      <c r="M8" s="163"/>
      <c r="N8" s="163"/>
      <c r="O8" s="163"/>
      <c r="P8" s="163"/>
      <c r="Q8" s="175" t="s">
        <v>271</v>
      </c>
      <c r="R8" s="176"/>
      <c r="S8" s="163"/>
      <c r="T8" s="175" t="s">
        <v>272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273</v>
      </c>
      <c r="B9" s="622"/>
      <c r="C9" s="623"/>
      <c r="D9" s="612" t="s">
        <v>751</v>
      </c>
      <c r="E9" s="608"/>
      <c r="F9" s="178" t="s">
        <v>274</v>
      </c>
      <c r="G9" s="179"/>
      <c r="H9" s="190">
        <v>3</v>
      </c>
      <c r="I9" s="191" t="s">
        <v>275</v>
      </c>
      <c r="J9" s="192">
        <v>184</v>
      </c>
      <c r="K9" s="189" t="s">
        <v>174</v>
      </c>
      <c r="L9" s="163"/>
      <c r="M9" s="163"/>
      <c r="N9" s="163"/>
      <c r="O9" s="163"/>
      <c r="P9" s="163"/>
      <c r="Q9" s="175" t="s">
        <v>276</v>
      </c>
      <c r="R9" s="176"/>
      <c r="S9" s="163"/>
      <c r="T9" s="175" t="s">
        <v>277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278</v>
      </c>
      <c r="B10" s="622"/>
      <c r="C10" s="623"/>
      <c r="D10" s="595" t="s">
        <v>185</v>
      </c>
      <c r="E10" s="596"/>
      <c r="F10" s="178" t="s">
        <v>279</v>
      </c>
      <c r="G10" s="179"/>
      <c r="H10" s="190">
        <v>3</v>
      </c>
      <c r="I10" s="191" t="s">
        <v>275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280</v>
      </c>
      <c r="R10" s="176"/>
      <c r="S10" s="163"/>
      <c r="T10" s="193" t="s">
        <v>281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282</v>
      </c>
      <c r="B11" s="622"/>
      <c r="C11" s="623"/>
      <c r="D11" s="590" t="s">
        <v>174</v>
      </c>
      <c r="E11" s="591"/>
      <c r="F11" s="195" t="s">
        <v>283</v>
      </c>
      <c r="G11" s="196"/>
      <c r="H11" s="197">
        <v>3</v>
      </c>
      <c r="I11" s="191" t="s">
        <v>275</v>
      </c>
      <c r="J11" s="198">
        <v>56925</v>
      </c>
      <c r="K11" s="199" t="s">
        <v>174</v>
      </c>
      <c r="L11" s="163"/>
      <c r="M11" s="163"/>
      <c r="N11" s="163"/>
      <c r="O11" s="163"/>
      <c r="P11" s="163"/>
      <c r="Q11" s="193" t="s">
        <v>284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285</v>
      </c>
      <c r="C12" s="202"/>
      <c r="D12" s="624" t="s">
        <v>174</v>
      </c>
      <c r="E12" s="625"/>
      <c r="F12" s="592" t="s">
        <v>286</v>
      </c>
      <c r="G12" s="593"/>
      <c r="H12" s="593"/>
      <c r="I12" s="593"/>
      <c r="J12" s="593"/>
      <c r="K12" s="594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615" t="s">
        <v>364</v>
      </c>
      <c r="E13" s="616"/>
      <c r="F13" s="203"/>
      <c r="G13" s="204" t="s">
        <v>287</v>
      </c>
      <c r="H13" s="205"/>
      <c r="I13" s="206" t="s">
        <v>288</v>
      </c>
      <c r="J13" s="207" t="s">
        <v>368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1219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9" t="s">
        <v>289</v>
      </c>
      <c r="B15" s="610"/>
      <c r="C15" s="611"/>
      <c r="D15" s="588">
        <v>16.565200805664063</v>
      </c>
      <c r="E15" s="589"/>
      <c r="F15" s="203"/>
      <c r="G15" s="209" t="s">
        <v>290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5" t="s">
        <v>291</v>
      </c>
      <c r="B16" s="586"/>
      <c r="C16" s="587"/>
      <c r="D16" s="588">
        <v>3.5543997287750244</v>
      </c>
      <c r="E16" s="589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292</v>
      </c>
      <c r="B17" s="215"/>
      <c r="C17" s="216"/>
      <c r="D17" s="590" t="s">
        <v>363</v>
      </c>
      <c r="E17" s="591"/>
      <c r="F17" s="592" t="s">
        <v>293</v>
      </c>
      <c r="G17" s="593"/>
      <c r="H17" s="593"/>
      <c r="I17" s="593"/>
      <c r="J17" s="593"/>
      <c r="K17" s="594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294</v>
      </c>
      <c r="B18" s="218"/>
      <c r="C18" s="216"/>
      <c r="D18" s="595" t="s">
        <v>174</v>
      </c>
      <c r="E18" s="596"/>
      <c r="F18" s="597"/>
      <c r="G18" s="598"/>
      <c r="H18" s="219" t="s">
        <v>295</v>
      </c>
      <c r="I18" s="220"/>
      <c r="J18" s="188">
        <v>113</v>
      </c>
      <c r="K18" s="189"/>
      <c r="L18" s="163"/>
      <c r="M18" s="163">
        <f>J18*6.5</f>
        <v>734.5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3" t="s">
        <v>296</v>
      </c>
      <c r="B19" s="604"/>
      <c r="C19" s="605"/>
      <c r="D19" s="606" t="s">
        <v>174</v>
      </c>
      <c r="E19" s="591"/>
      <c r="F19" s="599"/>
      <c r="G19" s="600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297</v>
      </c>
      <c r="C20" s="222"/>
      <c r="D20" s="607" t="s">
        <v>184</v>
      </c>
      <c r="E20" s="608"/>
      <c r="F20" s="599"/>
      <c r="G20" s="600"/>
      <c r="H20" s="219" t="s">
        <v>298</v>
      </c>
      <c r="I20" s="181"/>
      <c r="J20" s="192" t="s">
        <v>339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9" t="s">
        <v>299</v>
      </c>
      <c r="B21" s="610"/>
      <c r="C21" s="611"/>
      <c r="D21" s="612" t="s">
        <v>174</v>
      </c>
      <c r="E21" s="608"/>
      <c r="F21" s="599"/>
      <c r="G21" s="600"/>
      <c r="H21" s="223" t="s">
        <v>300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301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302</v>
      </c>
      <c r="B22" s="224"/>
      <c r="C22" s="224"/>
      <c r="D22" s="613">
        <v>0.16250000000000001</v>
      </c>
      <c r="E22" s="614"/>
      <c r="F22" s="599"/>
      <c r="G22" s="600"/>
      <c r="H22" s="219" t="s">
        <v>259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304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305</v>
      </c>
      <c r="B23" s="226" t="s">
        <v>306</v>
      </c>
      <c r="C23" s="227"/>
      <c r="D23" s="615">
        <v>611</v>
      </c>
      <c r="E23" s="616"/>
      <c r="F23" s="599"/>
      <c r="G23" s="600"/>
      <c r="H23" s="228" t="s">
        <v>307</v>
      </c>
      <c r="I23" s="229"/>
      <c r="J23" s="230"/>
      <c r="K23" s="231"/>
      <c r="L23" s="163"/>
      <c r="Q23" s="175" t="s">
        <v>308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309</v>
      </c>
      <c r="B24" s="233" t="s">
        <v>310</v>
      </c>
      <c r="C24" s="234"/>
      <c r="D24" s="617" t="s">
        <v>174</v>
      </c>
      <c r="E24" s="618"/>
      <c r="F24" s="599"/>
      <c r="G24" s="600"/>
      <c r="H24" s="219" t="s">
        <v>311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312</v>
      </c>
      <c r="B25" s="240"/>
      <c r="C25" s="240"/>
      <c r="D25" s="241"/>
      <c r="E25" s="241" t="s">
        <v>313</v>
      </c>
      <c r="F25" s="599"/>
      <c r="G25" s="600"/>
      <c r="H25" s="219" t="s">
        <v>314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315</v>
      </c>
      <c r="B26" s="244"/>
      <c r="C26" s="245"/>
      <c r="D26" s="246" t="s">
        <v>366</v>
      </c>
      <c r="E26" s="246" t="s">
        <v>367</v>
      </c>
      <c r="F26" s="601"/>
      <c r="G26" s="602"/>
      <c r="H26" s="619"/>
      <c r="I26" s="620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6" t="s">
        <v>316</v>
      </c>
      <c r="B27" s="567"/>
      <c r="C27" s="567"/>
      <c r="D27" s="567"/>
      <c r="E27" s="567"/>
      <c r="F27" s="568" t="s">
        <v>317</v>
      </c>
      <c r="G27" s="569"/>
      <c r="H27" s="569"/>
      <c r="I27" s="569"/>
      <c r="J27" s="569"/>
      <c r="K27" s="570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3"/>
      <c r="B28" s="574"/>
      <c r="C28" s="574"/>
      <c r="D28" s="574"/>
      <c r="E28" s="575"/>
      <c r="F28" s="249"/>
      <c r="G28" s="250"/>
      <c r="H28" s="209" t="s">
        <v>318</v>
      </c>
      <c r="I28" s="251" t="s">
        <v>365</v>
      </c>
      <c r="J28" s="188">
        <v>625</v>
      </c>
      <c r="K28" s="252" t="s">
        <v>174</v>
      </c>
      <c r="M28" s="167">
        <f>(J28/J18)*100</f>
        <v>553.09734513274338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3"/>
      <c r="B29" s="574"/>
      <c r="C29" s="574"/>
      <c r="D29" s="574"/>
      <c r="E29" s="575"/>
      <c r="F29" s="254"/>
      <c r="G29" s="255"/>
      <c r="H29" s="209" t="s">
        <v>319</v>
      </c>
      <c r="I29" s="256">
        <v>60</v>
      </c>
      <c r="J29" s="188">
        <v>78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3"/>
      <c r="B30" s="574"/>
      <c r="C30" s="574"/>
      <c r="D30" s="574"/>
      <c r="E30" s="575"/>
      <c r="F30" s="254"/>
      <c r="G30" s="255"/>
      <c r="H30" s="209" t="s">
        <v>320</v>
      </c>
      <c r="I30" s="256">
        <v>175</v>
      </c>
      <c r="J30" s="188">
        <v>232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3"/>
      <c r="B31" s="574"/>
      <c r="C31" s="574"/>
      <c r="D31" s="574"/>
      <c r="E31" s="575"/>
      <c r="F31" s="254"/>
      <c r="G31" s="255"/>
      <c r="H31" s="209" t="s">
        <v>321</v>
      </c>
      <c r="I31" s="210"/>
      <c r="J31" s="259">
        <v>0.66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6"/>
      <c r="B32" s="577"/>
      <c r="C32" s="577"/>
      <c r="D32" s="577"/>
      <c r="E32" s="578"/>
      <c r="F32" s="254"/>
      <c r="G32" s="260" t="s">
        <v>322</v>
      </c>
      <c r="H32" s="209" t="s">
        <v>323</v>
      </c>
      <c r="I32" s="261"/>
      <c r="J32" s="182">
        <v>95.2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66" t="s">
        <v>324</v>
      </c>
      <c r="B33" s="567"/>
      <c r="C33" s="567"/>
      <c r="D33" s="567"/>
      <c r="E33" s="579"/>
      <c r="F33" s="263"/>
      <c r="G33" s="264"/>
      <c r="H33" s="265" t="s">
        <v>325</v>
      </c>
      <c r="I33" s="266"/>
      <c r="J33" s="267">
        <v>89.8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3"/>
      <c r="B34" s="574"/>
      <c r="C34" s="574"/>
      <c r="D34" s="574"/>
      <c r="E34" s="575"/>
      <c r="F34" s="184" t="s">
        <v>326</v>
      </c>
      <c r="G34" s="269"/>
      <c r="H34" s="270" t="s">
        <v>14</v>
      </c>
      <c r="I34" s="271"/>
      <c r="J34" s="272">
        <v>7404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3"/>
      <c r="B35" s="574"/>
      <c r="C35" s="574"/>
      <c r="D35" s="574"/>
      <c r="E35" s="575"/>
      <c r="F35" s="203"/>
      <c r="G35" s="276"/>
      <c r="H35" s="277" t="s">
        <v>15</v>
      </c>
      <c r="I35" s="278"/>
      <c r="J35" s="188">
        <v>4651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3"/>
      <c r="B36" s="574"/>
      <c r="C36" s="574"/>
      <c r="D36" s="574"/>
      <c r="E36" s="575"/>
      <c r="F36" s="203"/>
      <c r="G36" s="276"/>
      <c r="H36" s="277" t="s">
        <v>327</v>
      </c>
      <c r="I36" s="278"/>
      <c r="J36" s="188">
        <v>3412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3"/>
      <c r="B37" s="574"/>
      <c r="C37" s="574"/>
      <c r="D37" s="574"/>
      <c r="E37" s="575"/>
      <c r="F37" s="254"/>
      <c r="G37" s="276"/>
      <c r="H37" s="277" t="s">
        <v>764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6"/>
      <c r="B38" s="577"/>
      <c r="C38" s="577"/>
      <c r="D38" s="577"/>
      <c r="E38" s="578"/>
      <c r="F38" s="211"/>
      <c r="G38" s="280"/>
      <c r="H38" s="281" t="s">
        <v>328</v>
      </c>
      <c r="I38" s="282"/>
      <c r="J38" s="283">
        <v>9499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66" t="s">
        <v>329</v>
      </c>
      <c r="B39" s="567"/>
      <c r="C39" s="567"/>
      <c r="D39" s="567"/>
      <c r="E39" s="567"/>
      <c r="F39" s="285" t="s">
        <v>330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3"/>
      <c r="B40" s="574"/>
      <c r="C40" s="574"/>
      <c r="D40" s="574"/>
      <c r="E40" s="575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3"/>
      <c r="B41" s="574"/>
      <c r="C41" s="574"/>
      <c r="D41" s="574"/>
      <c r="E41" s="575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3"/>
      <c r="B42" s="574"/>
      <c r="C42" s="574"/>
      <c r="D42" s="574"/>
      <c r="E42" s="575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3"/>
      <c r="B43" s="574"/>
      <c r="C43" s="574"/>
      <c r="D43" s="574"/>
      <c r="E43" s="575"/>
      <c r="F43" s="288"/>
      <c r="G43" s="548" t="s">
        <v>752</v>
      </c>
      <c r="H43" s="548"/>
      <c r="I43" s="548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80"/>
      <c r="B44" s="581"/>
      <c r="C44" s="581"/>
      <c r="D44" s="581"/>
      <c r="E44" s="582"/>
      <c r="F44" s="288"/>
      <c r="G44" s="548" t="s">
        <v>763</v>
      </c>
      <c r="H44" s="548"/>
      <c r="I44" s="548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331</v>
      </c>
      <c r="B45" s="583" t="s">
        <v>759</v>
      </c>
      <c r="C45" s="584"/>
      <c r="D45" s="295" t="s">
        <v>332</v>
      </c>
      <c r="E45" s="296" t="s">
        <v>333</v>
      </c>
      <c r="F45" s="297"/>
      <c r="G45" s="548"/>
      <c r="H45" s="548"/>
      <c r="I45" s="548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334</v>
      </c>
      <c r="B46" s="571">
        <v>42019</v>
      </c>
      <c r="C46" s="572"/>
      <c r="D46" s="299" t="s">
        <v>334</v>
      </c>
      <c r="E46" s="300">
        <v>41992</v>
      </c>
      <c r="F46" s="301"/>
      <c r="G46" s="549" t="s">
        <v>753</v>
      </c>
      <c r="H46" s="549"/>
      <c r="I46" s="549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335</v>
      </c>
      <c r="K1" s="310" t="s">
        <v>336</v>
      </c>
      <c r="L1" s="310" t="s">
        <v>337</v>
      </c>
      <c r="M1" s="310" t="s">
        <v>336</v>
      </c>
      <c r="N1" s="310"/>
    </row>
    <row r="2" spans="2:14" ht="12.75" customHeight="1">
      <c r="B2" s="663" t="s">
        <v>338</v>
      </c>
      <c r="C2" s="664"/>
      <c r="D2" s="664"/>
      <c r="E2" s="664"/>
      <c r="F2" s="664"/>
      <c r="G2" s="664"/>
      <c r="H2" s="312"/>
      <c r="I2" s="313"/>
      <c r="J2" s="314" t="s">
        <v>339</v>
      </c>
      <c r="K2" s="314" t="s">
        <v>340</v>
      </c>
      <c r="L2" s="314" t="s">
        <v>341</v>
      </c>
      <c r="M2" s="314" t="s">
        <v>342</v>
      </c>
      <c r="N2" s="314" t="s">
        <v>343</v>
      </c>
    </row>
    <row r="3" spans="2:14" ht="12.75" customHeight="1">
      <c r="B3" s="663"/>
      <c r="C3" s="664"/>
      <c r="D3" s="664"/>
      <c r="E3" s="664"/>
      <c r="F3" s="664"/>
      <c r="G3" s="664"/>
      <c r="H3" s="312"/>
      <c r="I3" s="313"/>
      <c r="J3" s="314" t="s">
        <v>344</v>
      </c>
      <c r="K3" s="314"/>
      <c r="L3" s="314" t="s">
        <v>345</v>
      </c>
      <c r="M3" s="314" t="s">
        <v>335</v>
      </c>
      <c r="N3" s="314"/>
    </row>
    <row r="4" spans="2:14" ht="12.75" customHeight="1">
      <c r="B4" s="663"/>
      <c r="C4" s="664"/>
      <c r="D4" s="664"/>
      <c r="E4" s="664"/>
      <c r="F4" s="664"/>
      <c r="G4" s="664"/>
      <c r="H4" s="312"/>
      <c r="I4" s="313"/>
      <c r="J4" s="314" t="s">
        <v>346</v>
      </c>
      <c r="K4" s="314"/>
      <c r="L4" s="314" t="s">
        <v>341</v>
      </c>
      <c r="M4" s="314" t="s">
        <v>339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347</v>
      </c>
      <c r="L5" s="314" t="s">
        <v>336</v>
      </c>
      <c r="M5" s="314"/>
      <c r="N5" s="314" t="s">
        <v>341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340</v>
      </c>
      <c r="K6" s="314" t="s">
        <v>348</v>
      </c>
      <c r="L6" s="314"/>
      <c r="M6" s="314" t="s">
        <v>336</v>
      </c>
      <c r="N6" s="314" t="s">
        <v>349</v>
      </c>
    </row>
    <row r="7" spans="2:14" ht="12.75" customHeight="1">
      <c r="B7" s="317"/>
      <c r="D7" s="320"/>
      <c r="H7" s="319"/>
      <c r="I7" s="313"/>
      <c r="J7" s="314" t="s">
        <v>350</v>
      </c>
      <c r="K7" s="314" t="s">
        <v>344</v>
      </c>
      <c r="L7" s="314" t="s">
        <v>344</v>
      </c>
      <c r="M7" s="314" t="s">
        <v>339</v>
      </c>
      <c r="N7" s="314" t="s">
        <v>351</v>
      </c>
    </row>
    <row r="8" spans="2:14" ht="12.75" customHeight="1">
      <c r="B8" s="317"/>
      <c r="G8" s="320"/>
      <c r="H8" s="321"/>
      <c r="I8" s="314" t="s">
        <v>351</v>
      </c>
      <c r="J8" s="314" t="s">
        <v>336</v>
      </c>
      <c r="K8" s="314" t="s">
        <v>352</v>
      </c>
      <c r="L8" s="314" t="s">
        <v>339</v>
      </c>
      <c r="M8" s="314" t="s">
        <v>351</v>
      </c>
      <c r="N8" s="314" t="s">
        <v>348</v>
      </c>
    </row>
    <row r="9" spans="2:14">
      <c r="B9" s="314" t="s">
        <v>353</v>
      </c>
      <c r="C9" s="321" t="s">
        <v>354</v>
      </c>
      <c r="D9" s="321" t="s">
        <v>355</v>
      </c>
      <c r="E9" s="321" t="s">
        <v>356</v>
      </c>
      <c r="F9" s="314" t="s">
        <v>357</v>
      </c>
      <c r="G9" s="314" t="s">
        <v>358</v>
      </c>
      <c r="H9" s="314" t="s">
        <v>359</v>
      </c>
      <c r="I9" s="314" t="s">
        <v>346</v>
      </c>
      <c r="J9" s="314" t="s">
        <v>350</v>
      </c>
      <c r="K9" s="314" t="s">
        <v>339</v>
      </c>
      <c r="L9" s="314" t="s">
        <v>352</v>
      </c>
      <c r="M9" s="314" t="s">
        <v>336</v>
      </c>
      <c r="N9" s="314" t="s">
        <v>337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5" t="s">
        <v>360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6" t="s">
        <v>361</v>
      </c>
      <c r="C54" s="666" t="s">
        <v>358</v>
      </c>
      <c r="D54" s="667"/>
      <c r="E54" s="667"/>
      <c r="F54" s="667"/>
      <c r="G54" s="667"/>
      <c r="H54" s="337"/>
      <c r="I54" s="666" t="s">
        <v>353</v>
      </c>
      <c r="J54" s="667"/>
      <c r="K54" s="668"/>
      <c r="L54" s="666" t="s">
        <v>362</v>
      </c>
      <c r="M54" s="667"/>
      <c r="N54" s="669"/>
    </row>
    <row r="55" spans="2:14" ht="15" customHeight="1">
      <c r="B55" s="338"/>
      <c r="C55" s="655"/>
      <c r="D55" s="656"/>
      <c r="E55" s="656"/>
      <c r="F55" s="656"/>
      <c r="G55" s="656"/>
      <c r="H55" s="339"/>
      <c r="I55" s="657"/>
      <c r="J55" s="658"/>
      <c r="K55" s="659"/>
      <c r="L55" s="660"/>
      <c r="M55" s="661"/>
      <c r="N55" s="662"/>
    </row>
    <row r="56" spans="2:14" ht="15" customHeight="1">
      <c r="B56" s="340"/>
      <c r="C56" s="639"/>
      <c r="D56" s="640"/>
      <c r="E56" s="640"/>
      <c r="F56" s="640"/>
      <c r="G56" s="640"/>
      <c r="H56" s="341"/>
      <c r="I56" s="641"/>
      <c r="J56" s="642"/>
      <c r="K56" s="643"/>
      <c r="L56" s="644"/>
      <c r="M56" s="645"/>
      <c r="N56" s="646"/>
    </row>
    <row r="57" spans="2:14" ht="15" customHeight="1">
      <c r="B57" s="340"/>
      <c r="C57" s="639"/>
      <c r="D57" s="640"/>
      <c r="E57" s="640"/>
      <c r="F57" s="640"/>
      <c r="G57" s="640"/>
      <c r="H57" s="341"/>
      <c r="I57" s="641"/>
      <c r="J57" s="642"/>
      <c r="K57" s="643"/>
      <c r="L57" s="644"/>
      <c r="M57" s="645"/>
      <c r="N57" s="646"/>
    </row>
    <row r="58" spans="2:14" ht="15" customHeight="1">
      <c r="B58" s="340"/>
      <c r="C58" s="639"/>
      <c r="D58" s="640"/>
      <c r="E58" s="640"/>
      <c r="F58" s="640"/>
      <c r="G58" s="640"/>
      <c r="H58" s="341"/>
      <c r="I58" s="641"/>
      <c r="J58" s="642"/>
      <c r="K58" s="643"/>
      <c r="L58" s="644"/>
      <c r="M58" s="645"/>
      <c r="N58" s="646"/>
    </row>
    <row r="59" spans="2:14" ht="15" customHeight="1">
      <c r="B59" s="340"/>
      <c r="C59" s="639"/>
      <c r="D59" s="640"/>
      <c r="E59" s="640"/>
      <c r="F59" s="640"/>
      <c r="G59" s="640"/>
      <c r="H59" s="341"/>
      <c r="I59" s="641"/>
      <c r="J59" s="642"/>
      <c r="K59" s="643"/>
      <c r="L59" s="644"/>
      <c r="M59" s="645"/>
      <c r="N59" s="646"/>
    </row>
    <row r="60" spans="2:14" ht="15" customHeight="1">
      <c r="B60" s="340"/>
      <c r="C60" s="639"/>
      <c r="D60" s="640"/>
      <c r="E60" s="640"/>
      <c r="F60" s="640"/>
      <c r="G60" s="640"/>
      <c r="H60" s="341"/>
      <c r="I60" s="641"/>
      <c r="J60" s="642"/>
      <c r="K60" s="643"/>
      <c r="L60" s="644"/>
      <c r="M60" s="645"/>
      <c r="N60" s="646"/>
    </row>
    <row r="61" spans="2:14" ht="15" customHeight="1">
      <c r="B61" s="340"/>
      <c r="C61" s="639"/>
      <c r="D61" s="640"/>
      <c r="E61" s="640"/>
      <c r="F61" s="640"/>
      <c r="G61" s="640"/>
      <c r="H61" s="341"/>
      <c r="I61" s="641"/>
      <c r="J61" s="642"/>
      <c r="K61" s="643"/>
      <c r="L61" s="644"/>
      <c r="M61" s="645"/>
      <c r="N61" s="646"/>
    </row>
    <row r="62" spans="2:14" ht="15" customHeight="1">
      <c r="B62" s="340"/>
      <c r="C62" s="639"/>
      <c r="D62" s="640"/>
      <c r="E62" s="640"/>
      <c r="F62" s="640"/>
      <c r="G62" s="640"/>
      <c r="H62" s="341"/>
      <c r="I62" s="641"/>
      <c r="J62" s="642"/>
      <c r="K62" s="643"/>
      <c r="L62" s="644"/>
      <c r="M62" s="645"/>
      <c r="N62" s="646"/>
    </row>
    <row r="63" spans="2:14" ht="15" customHeight="1">
      <c r="B63" s="340"/>
      <c r="C63" s="639"/>
      <c r="D63" s="640"/>
      <c r="E63" s="640"/>
      <c r="F63" s="640"/>
      <c r="G63" s="640"/>
      <c r="H63" s="341"/>
      <c r="I63" s="641"/>
      <c r="J63" s="642"/>
      <c r="K63" s="643"/>
      <c r="L63" s="644"/>
      <c r="M63" s="645"/>
      <c r="N63" s="646"/>
    </row>
    <row r="64" spans="2:14" ht="15" customHeight="1">
      <c r="B64" s="340"/>
      <c r="C64" s="639"/>
      <c r="D64" s="640"/>
      <c r="E64" s="640"/>
      <c r="F64" s="640"/>
      <c r="G64" s="640"/>
      <c r="H64" s="341"/>
      <c r="I64" s="641"/>
      <c r="J64" s="642"/>
      <c r="K64" s="643"/>
      <c r="L64" s="644"/>
      <c r="M64" s="645"/>
      <c r="N64" s="646"/>
    </row>
    <row r="65" spans="2:14" ht="15" customHeight="1">
      <c r="B65" s="340"/>
      <c r="C65" s="639"/>
      <c r="D65" s="640"/>
      <c r="E65" s="640"/>
      <c r="F65" s="640"/>
      <c r="G65" s="640"/>
      <c r="H65" s="341"/>
      <c r="I65" s="641"/>
      <c r="J65" s="642"/>
      <c r="K65" s="643"/>
      <c r="L65" s="644"/>
      <c r="M65" s="645"/>
      <c r="N65" s="646"/>
    </row>
    <row r="66" spans="2:14" ht="15" customHeight="1">
      <c r="B66" s="340"/>
      <c r="C66" s="639"/>
      <c r="D66" s="640"/>
      <c r="E66" s="640"/>
      <c r="F66" s="640"/>
      <c r="G66" s="640"/>
      <c r="H66" s="341"/>
      <c r="I66" s="641"/>
      <c r="J66" s="642"/>
      <c r="K66" s="643"/>
      <c r="L66" s="644"/>
      <c r="M66" s="645"/>
      <c r="N66" s="646"/>
    </row>
    <row r="67" spans="2:14" ht="15" customHeight="1">
      <c r="B67" s="340"/>
      <c r="C67" s="639"/>
      <c r="D67" s="640"/>
      <c r="E67" s="640"/>
      <c r="F67" s="640"/>
      <c r="G67" s="640"/>
      <c r="H67" s="341"/>
      <c r="I67" s="641"/>
      <c r="J67" s="642"/>
      <c r="K67" s="643"/>
      <c r="L67" s="644"/>
      <c r="M67" s="645"/>
      <c r="N67" s="646"/>
    </row>
    <row r="68" spans="2:14" ht="15" customHeight="1">
      <c r="B68" s="340"/>
      <c r="C68" s="639"/>
      <c r="D68" s="640"/>
      <c r="E68" s="640"/>
      <c r="F68" s="640"/>
      <c r="G68" s="640"/>
      <c r="H68" s="341"/>
      <c r="I68" s="641"/>
      <c r="J68" s="642"/>
      <c r="K68" s="643"/>
      <c r="L68" s="644"/>
      <c r="M68" s="645"/>
      <c r="N68" s="646"/>
    </row>
    <row r="69" spans="2:14" ht="15" customHeight="1">
      <c r="B69" s="340"/>
      <c r="C69" s="639"/>
      <c r="D69" s="640"/>
      <c r="E69" s="640"/>
      <c r="F69" s="640"/>
      <c r="G69" s="640"/>
      <c r="H69" s="341"/>
      <c r="I69" s="641"/>
      <c r="J69" s="642"/>
      <c r="K69" s="643"/>
      <c r="L69" s="644"/>
      <c r="M69" s="645"/>
      <c r="N69" s="646"/>
    </row>
    <row r="70" spans="2:14" ht="15" customHeight="1">
      <c r="B70" s="340"/>
      <c r="C70" s="639"/>
      <c r="D70" s="640"/>
      <c r="E70" s="640"/>
      <c r="F70" s="640"/>
      <c r="G70" s="640"/>
      <c r="H70" s="341"/>
      <c r="I70" s="641"/>
      <c r="J70" s="642"/>
      <c r="K70" s="643"/>
      <c r="L70" s="644"/>
      <c r="M70" s="645"/>
      <c r="N70" s="646"/>
    </row>
    <row r="71" spans="2:14" ht="15" customHeight="1">
      <c r="B71" s="340"/>
      <c r="C71" s="639"/>
      <c r="D71" s="640"/>
      <c r="E71" s="640"/>
      <c r="F71" s="640"/>
      <c r="G71" s="640"/>
      <c r="H71" s="341"/>
      <c r="I71" s="641"/>
      <c r="J71" s="642"/>
      <c r="K71" s="643"/>
      <c r="L71" s="644"/>
      <c r="M71" s="645"/>
      <c r="N71" s="646"/>
    </row>
    <row r="72" spans="2:14">
      <c r="B72" s="340"/>
      <c r="C72" s="639"/>
      <c r="D72" s="640"/>
      <c r="E72" s="640"/>
      <c r="F72" s="640"/>
      <c r="G72" s="640"/>
      <c r="H72" s="341"/>
      <c r="I72" s="641"/>
      <c r="J72" s="642"/>
      <c r="K72" s="643"/>
      <c r="L72" s="644"/>
      <c r="M72" s="645"/>
      <c r="N72" s="646"/>
    </row>
    <row r="73" spans="2:14">
      <c r="B73" s="340"/>
      <c r="C73" s="639"/>
      <c r="D73" s="640"/>
      <c r="E73" s="640"/>
      <c r="F73" s="640"/>
      <c r="G73" s="640"/>
      <c r="H73" s="341"/>
      <c r="I73" s="641"/>
      <c r="J73" s="642"/>
      <c r="K73" s="643"/>
      <c r="L73" s="644"/>
      <c r="M73" s="645"/>
      <c r="N73" s="646"/>
    </row>
    <row r="74" spans="2:14">
      <c r="B74" s="340"/>
      <c r="C74" s="639"/>
      <c r="D74" s="640"/>
      <c r="E74" s="640"/>
      <c r="F74" s="640"/>
      <c r="G74" s="640"/>
      <c r="H74" s="341"/>
      <c r="I74" s="641"/>
      <c r="J74" s="642"/>
      <c r="K74" s="643"/>
      <c r="L74" s="644"/>
      <c r="M74" s="645"/>
      <c r="N74" s="646"/>
    </row>
    <row r="75" spans="2:14">
      <c r="B75" s="340"/>
      <c r="C75" s="639"/>
      <c r="D75" s="640"/>
      <c r="E75" s="640"/>
      <c r="F75" s="640"/>
      <c r="G75" s="640"/>
      <c r="H75" s="341"/>
      <c r="I75" s="641"/>
      <c r="J75" s="642"/>
      <c r="K75" s="643"/>
      <c r="L75" s="644"/>
      <c r="M75" s="645"/>
      <c r="N75" s="646"/>
    </row>
    <row r="76" spans="2:14">
      <c r="B76" s="340"/>
      <c r="C76" s="639"/>
      <c r="D76" s="640"/>
      <c r="E76" s="640"/>
      <c r="F76" s="640"/>
      <c r="G76" s="640"/>
      <c r="H76" s="341"/>
      <c r="I76" s="641"/>
      <c r="J76" s="642"/>
      <c r="K76" s="643"/>
      <c r="L76" s="644"/>
      <c r="M76" s="645"/>
      <c r="N76" s="646"/>
    </row>
    <row r="77" spans="2:14">
      <c r="B77" s="340"/>
      <c r="C77" s="639"/>
      <c r="D77" s="640"/>
      <c r="E77" s="640"/>
      <c r="F77" s="640"/>
      <c r="G77" s="640"/>
      <c r="H77" s="341"/>
      <c r="I77" s="641"/>
      <c r="J77" s="642"/>
      <c r="K77" s="643"/>
      <c r="L77" s="644"/>
      <c r="M77" s="645"/>
      <c r="N77" s="646"/>
    </row>
    <row r="78" spans="2:14">
      <c r="B78" s="340"/>
      <c r="C78" s="639"/>
      <c r="D78" s="640"/>
      <c r="E78" s="640"/>
      <c r="F78" s="640"/>
      <c r="G78" s="640"/>
      <c r="H78" s="341"/>
      <c r="I78" s="641"/>
      <c r="J78" s="642"/>
      <c r="K78" s="643"/>
      <c r="L78" s="644"/>
      <c r="M78" s="645"/>
      <c r="N78" s="646"/>
    </row>
    <row r="79" spans="2:14" ht="13.5" thickBot="1">
      <c r="B79" s="342"/>
      <c r="C79" s="647"/>
      <c r="D79" s="648"/>
      <c r="E79" s="648"/>
      <c r="F79" s="648"/>
      <c r="G79" s="648"/>
      <c r="H79" s="343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90" t="s">
        <v>369</v>
      </c>
      <c r="B1" s="690"/>
      <c r="C1" s="690"/>
      <c r="D1" s="690"/>
      <c r="E1" s="690"/>
      <c r="F1" s="690"/>
    </row>
    <row r="2" spans="1:7" ht="19.5" thickBot="1">
      <c r="A2" s="345"/>
      <c r="B2" s="345"/>
      <c r="C2" s="691" t="s">
        <v>381</v>
      </c>
      <c r="D2" s="691"/>
      <c r="E2" s="345"/>
      <c r="F2" s="345"/>
      <c r="G2" s="345"/>
    </row>
    <row r="3" spans="1:7" ht="19.5">
      <c r="A3" s="678" t="s">
        <v>370</v>
      </c>
      <c r="B3" s="679"/>
      <c r="C3" s="680"/>
      <c r="D3" s="678" t="s">
        <v>371</v>
      </c>
      <c r="E3" s="679"/>
      <c r="F3" s="680"/>
      <c r="G3" s="345"/>
    </row>
    <row r="4" spans="1:7" ht="15.75">
      <c r="A4" s="346" t="s">
        <v>382</v>
      </c>
      <c r="B4" s="692" t="s">
        <v>384</v>
      </c>
      <c r="C4" s="685"/>
      <c r="D4" s="693" t="s">
        <v>386</v>
      </c>
      <c r="E4" s="694"/>
      <c r="F4" s="695"/>
      <c r="G4" s="345"/>
    </row>
    <row r="5" spans="1:7" ht="16.5" thickBot="1">
      <c r="A5" s="347" t="s">
        <v>383</v>
      </c>
      <c r="B5" s="673" t="s">
        <v>385</v>
      </c>
      <c r="C5" s="674"/>
      <c r="D5" s="675" t="s">
        <v>387</v>
      </c>
      <c r="E5" s="676"/>
      <c r="F5" s="677"/>
      <c r="G5" s="345"/>
    </row>
    <row r="6" spans="1:7" ht="19.5">
      <c r="A6" s="678" t="s">
        <v>372</v>
      </c>
      <c r="B6" s="679"/>
      <c r="C6" s="679"/>
      <c r="D6" s="679"/>
      <c r="E6" s="679"/>
      <c r="F6" s="680"/>
      <c r="G6" s="345"/>
    </row>
    <row r="7" spans="1:7" ht="15.75">
      <c r="A7" s="348" t="s">
        <v>373</v>
      </c>
      <c r="B7" s="349" t="s">
        <v>388</v>
      </c>
      <c r="C7" s="350" t="s">
        <v>374</v>
      </c>
      <c r="D7" s="351" t="s">
        <v>390</v>
      </c>
      <c r="E7" s="681" t="s">
        <v>375</v>
      </c>
      <c r="F7" s="682"/>
      <c r="G7" s="345"/>
    </row>
    <row r="8" spans="1:7" ht="16.5" thickBot="1">
      <c r="A8" s="352"/>
      <c r="B8" s="353" t="s">
        <v>389</v>
      </c>
      <c r="C8" s="354"/>
      <c r="D8" s="355" t="s">
        <v>391</v>
      </c>
      <c r="E8" s="683" t="s">
        <v>392</v>
      </c>
      <c r="F8" s="677"/>
      <c r="G8" s="345"/>
    </row>
    <row r="9" spans="1:7" ht="19.5">
      <c r="A9" s="678" t="s">
        <v>376</v>
      </c>
      <c r="B9" s="679"/>
      <c r="C9" s="680"/>
      <c r="D9" s="678" t="s">
        <v>377</v>
      </c>
      <c r="E9" s="679"/>
      <c r="F9" s="680"/>
      <c r="G9" s="345"/>
    </row>
    <row r="10" spans="1:7" ht="15.75">
      <c r="A10" s="356" t="s">
        <v>378</v>
      </c>
      <c r="B10" s="684" t="s">
        <v>393</v>
      </c>
      <c r="C10" s="685"/>
      <c r="D10" s="686" t="s">
        <v>395</v>
      </c>
      <c r="E10" s="687"/>
      <c r="F10" s="357" t="s">
        <v>396</v>
      </c>
      <c r="G10" s="345"/>
    </row>
    <row r="11" spans="1:7" ht="16.5" thickBot="1">
      <c r="A11" s="358" t="s">
        <v>379</v>
      </c>
      <c r="B11" s="676" t="s">
        <v>394</v>
      </c>
      <c r="C11" s="677"/>
      <c r="D11" s="688"/>
      <c r="E11" s="689"/>
      <c r="F11" s="359" t="s">
        <v>397</v>
      </c>
      <c r="G11" s="345"/>
    </row>
    <row r="12" spans="1:7" ht="19.5">
      <c r="A12" s="678" t="s">
        <v>380</v>
      </c>
      <c r="B12" s="679"/>
      <c r="C12" s="679"/>
      <c r="D12" s="679"/>
      <c r="E12" s="679"/>
      <c r="F12" s="680"/>
      <c r="G12" s="345"/>
    </row>
    <row r="13" spans="1:7" ht="16.5" thickBot="1">
      <c r="A13" s="670" t="s">
        <v>398</v>
      </c>
      <c r="B13" s="671"/>
      <c r="C13" s="672" t="s">
        <v>399</v>
      </c>
      <c r="D13" s="672"/>
      <c r="E13" s="672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25" workbookViewId="0">
      <selection activeCell="H39" sqref="H39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403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404</v>
      </c>
      <c r="B6" s="696" t="str">
        <f>'Performance Data Sheet'!C17</f>
        <v>9007TCAL11E-C</v>
      </c>
      <c r="C6" s="697"/>
      <c r="D6" s="698"/>
      <c r="E6" s="553" t="s">
        <v>405</v>
      </c>
      <c r="F6" s="554">
        <v>113</v>
      </c>
    </row>
    <row r="7" spans="1:6" ht="18.95" customHeight="1">
      <c r="A7" s="553" t="s">
        <v>406</v>
      </c>
      <c r="B7" s="554" t="str">
        <f>'Performance Data Sheet'!F14</f>
        <v>TEAAC</v>
      </c>
      <c r="C7" s="553" t="s">
        <v>407</v>
      </c>
      <c r="D7" s="554" t="s">
        <v>429</v>
      </c>
      <c r="E7" s="553" t="s">
        <v>408</v>
      </c>
      <c r="F7" s="554" t="str">
        <f>'Performance Data Sheet'!C14</f>
        <v>6810US</v>
      </c>
    </row>
    <row r="8" spans="1:6" ht="18.95" customHeight="1">
      <c r="A8" s="553" t="s">
        <v>409</v>
      </c>
      <c r="B8" s="554">
        <v>6</v>
      </c>
      <c r="C8" s="553" t="s">
        <v>410</v>
      </c>
      <c r="D8" s="554" t="s">
        <v>411</v>
      </c>
      <c r="E8" s="553" t="s">
        <v>412</v>
      </c>
      <c r="F8" s="554" t="str">
        <f>'Performance Data Sheet'!M15</f>
        <v>F</v>
      </c>
    </row>
    <row r="9" spans="1:6" ht="18.95" customHeight="1">
      <c r="A9" s="553" t="s">
        <v>413</v>
      </c>
      <c r="B9" s="554">
        <v>900</v>
      </c>
      <c r="C9" s="553" t="s">
        <v>414</v>
      </c>
      <c r="D9" s="554" t="s">
        <v>430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415</v>
      </c>
      <c r="B10" s="554">
        <v>1192</v>
      </c>
      <c r="C10" s="553" t="s">
        <v>416</v>
      </c>
      <c r="D10" s="554" t="s">
        <v>417</v>
      </c>
      <c r="E10" s="553" t="s">
        <v>1</v>
      </c>
      <c r="F10" s="554" t="s">
        <v>761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418</v>
      </c>
      <c r="C12" s="377" t="s">
        <v>431</v>
      </c>
      <c r="D12" s="376" t="s">
        <v>419</v>
      </c>
      <c r="E12" s="377" t="s">
        <v>417</v>
      </c>
      <c r="F12" s="372"/>
    </row>
    <row r="13" spans="1:6" ht="18.95" customHeight="1">
      <c r="A13" s="370"/>
      <c r="B13" s="376" t="s">
        <v>420</v>
      </c>
      <c r="C13" s="378">
        <v>0.75</v>
      </c>
      <c r="D13" s="376" t="s">
        <v>421</v>
      </c>
      <c r="E13" s="377" t="s">
        <v>417</v>
      </c>
      <c r="F13" s="372"/>
    </row>
    <row r="14" spans="1:6" ht="18.95" customHeight="1">
      <c r="A14" s="370"/>
      <c r="B14" s="376" t="s">
        <v>422</v>
      </c>
      <c r="C14" s="378">
        <v>2.2999999999999998</v>
      </c>
      <c r="D14" s="376" t="s">
        <v>423</v>
      </c>
      <c r="E14" s="377" t="s">
        <v>417</v>
      </c>
      <c r="F14" s="372"/>
    </row>
    <row r="15" spans="1:6" ht="18.95" customHeight="1">
      <c r="A15" s="370"/>
      <c r="B15" s="376" t="s">
        <v>424</v>
      </c>
      <c r="C15" s="377" t="s">
        <v>756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425</v>
      </c>
      <c r="B39" s="560"/>
      <c r="C39" s="560"/>
      <c r="D39" s="551"/>
      <c r="E39" s="556" t="s">
        <v>426</v>
      </c>
      <c r="F39" s="561" t="s">
        <v>761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427</v>
      </c>
      <c r="D43" s="564" t="str">
        <f>'Performance Data Sheet'!K43</f>
        <v>Mario L</v>
      </c>
      <c r="E43" s="563" t="s">
        <v>428</v>
      </c>
      <c r="F43" s="564" t="s">
        <v>760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0.24367702007293701</v>
      </c>
    </row>
    <row r="55" spans="1:3" ht="15" customHeight="1">
      <c r="A55" s="388">
        <v>99.799999967217445</v>
      </c>
      <c r="B55" s="362">
        <v>106.99478552858797</v>
      </c>
      <c r="C55" s="362">
        <v>115.85863494873047</v>
      </c>
    </row>
    <row r="56" spans="1:3" ht="15" customHeight="1">
      <c r="A56" s="388">
        <v>98.999999836087227</v>
      </c>
      <c r="B56" s="362">
        <v>230</v>
      </c>
      <c r="C56" s="362">
        <v>366.46090698242187</v>
      </c>
    </row>
    <row r="57" spans="1:3">
      <c r="A57" s="388">
        <v>93.789473548531532</v>
      </c>
      <c r="B57" s="362">
        <v>134.79354491407906</v>
      </c>
      <c r="C57" s="362">
        <v>443.96807861328125</v>
      </c>
    </row>
    <row r="58" spans="1:3">
      <c r="A58" s="388">
        <v>88.578946888446808</v>
      </c>
      <c r="B58" s="362">
        <v>106.27663792007746</v>
      </c>
      <c r="C58" s="362">
        <v>468.78927612304687</v>
      </c>
    </row>
    <row r="59" spans="1:3">
      <c r="A59" s="388">
        <v>83.368420600891113</v>
      </c>
      <c r="B59" s="362">
        <v>93.026878328793316</v>
      </c>
      <c r="C59" s="362">
        <v>482.06884765625</v>
      </c>
    </row>
    <row r="60" spans="1:3">
      <c r="A60" s="388">
        <v>72.947368025779724</v>
      </c>
      <c r="B60" s="362">
        <v>84.616544834038393</v>
      </c>
      <c r="C60" s="362">
        <v>499.81228637695312</v>
      </c>
    </row>
    <row r="61" spans="1:3">
      <c r="A61" s="388">
        <v>62.526315450668335</v>
      </c>
      <c r="B61" s="362">
        <v>80.624348086696287</v>
      </c>
      <c r="C61" s="362">
        <v>513.255859375</v>
      </c>
    </row>
    <row r="62" spans="1:3">
      <c r="A62" s="388">
        <v>52.105262875556946</v>
      </c>
      <c r="B62" s="362">
        <v>78.299414364118689</v>
      </c>
      <c r="C62" s="362">
        <v>524.144287109375</v>
      </c>
    </row>
    <row r="63" spans="1:3">
      <c r="A63" s="388">
        <v>41.684210300445557</v>
      </c>
      <c r="B63" s="362">
        <v>76.862335458522224</v>
      </c>
      <c r="C63" s="362">
        <v>532.67254638671875</v>
      </c>
    </row>
    <row r="64" spans="1:3">
      <c r="A64" s="388">
        <v>31.263160705566406</v>
      </c>
      <c r="B64" s="362">
        <v>75.98707360749961</v>
      </c>
      <c r="C64" s="362">
        <v>539.53570556640625</v>
      </c>
    </row>
    <row r="65" spans="1:3">
      <c r="A65" s="388">
        <v>20.842105150222778</v>
      </c>
      <c r="B65" s="362">
        <v>75.46301972305649</v>
      </c>
      <c r="C65" s="362">
        <v>544.90509033203125</v>
      </c>
    </row>
    <row r="66" spans="1:3">
      <c r="A66" s="388">
        <v>10.421055555343628</v>
      </c>
      <c r="B66" s="362">
        <v>75.163197555768875</v>
      </c>
      <c r="C66" s="362">
        <v>549.35101318359375</v>
      </c>
    </row>
    <row r="67" spans="1:3">
      <c r="A67" s="389">
        <v>0</v>
      </c>
      <c r="B67" s="362">
        <v>75</v>
      </c>
      <c r="C67" s="362">
        <v>553.09735107421875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7" workbookViewId="0">
      <selection activeCell="I31" sqref="I31"/>
    </sheetView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438</v>
      </c>
      <c r="B1" s="708" t="s">
        <v>477</v>
      </c>
      <c r="C1" s="708"/>
      <c r="D1" s="708"/>
      <c r="E1" s="708"/>
      <c r="F1" s="708"/>
      <c r="G1" s="708"/>
    </row>
    <row r="2" spans="1:12" ht="15" customHeight="1"/>
    <row r="3" spans="1:12" ht="20.25">
      <c r="A3" s="402" t="s">
        <v>439</v>
      </c>
    </row>
    <row r="4" spans="1:12" ht="12" customHeight="1">
      <c r="A4" s="345"/>
      <c r="B4" s="345"/>
      <c r="C4" s="345"/>
      <c r="D4" s="345" t="s">
        <v>491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440</v>
      </c>
      <c r="C5" s="403" t="s">
        <v>441</v>
      </c>
      <c r="D5" s="403" t="s">
        <v>442</v>
      </c>
      <c r="E5" s="403" t="s">
        <v>443</v>
      </c>
      <c r="F5" s="403" t="s">
        <v>444</v>
      </c>
      <c r="G5" s="403" t="s">
        <v>445</v>
      </c>
      <c r="H5" s="345"/>
      <c r="I5" s="345"/>
      <c r="J5" s="345"/>
      <c r="K5" s="345"/>
      <c r="L5" s="345"/>
    </row>
    <row r="6" spans="1:12" ht="15.6" customHeight="1">
      <c r="A6" s="404" t="s">
        <v>446</v>
      </c>
      <c r="B6" s="404" t="s">
        <v>165</v>
      </c>
      <c r="C6" s="404" t="s">
        <v>165</v>
      </c>
      <c r="D6" s="404" t="s">
        <v>447</v>
      </c>
      <c r="E6" s="404" t="s">
        <v>135</v>
      </c>
      <c r="F6" s="404" t="s">
        <v>448</v>
      </c>
      <c r="G6" s="404" t="s">
        <v>448</v>
      </c>
      <c r="H6" s="345"/>
      <c r="I6" s="345"/>
      <c r="J6" s="345"/>
      <c r="K6" s="345"/>
      <c r="L6" s="345"/>
    </row>
    <row r="7" spans="1:12" ht="15.95" customHeight="1">
      <c r="A7" s="405" t="s">
        <v>478</v>
      </c>
      <c r="B7" s="405" t="s">
        <v>492</v>
      </c>
      <c r="C7" s="405" t="s">
        <v>505</v>
      </c>
      <c r="D7" s="405" t="s">
        <v>518</v>
      </c>
      <c r="E7" s="405" t="s">
        <v>531</v>
      </c>
      <c r="F7" s="405" t="s">
        <v>544</v>
      </c>
      <c r="G7" s="405" t="s">
        <v>557</v>
      </c>
      <c r="H7" s="345"/>
      <c r="I7" s="345"/>
      <c r="J7" s="345"/>
      <c r="K7" s="345"/>
      <c r="L7" s="345"/>
    </row>
    <row r="8" spans="1:12" ht="15.95" customHeight="1">
      <c r="A8" s="405" t="s">
        <v>479</v>
      </c>
      <c r="B8" s="405" t="s">
        <v>493</v>
      </c>
      <c r="C8" s="405" t="s">
        <v>506</v>
      </c>
      <c r="D8" s="405" t="s">
        <v>519</v>
      </c>
      <c r="E8" s="405" t="s">
        <v>532</v>
      </c>
      <c r="F8" s="405" t="s">
        <v>545</v>
      </c>
      <c r="G8" s="405" t="s">
        <v>558</v>
      </c>
      <c r="H8" s="345"/>
      <c r="I8" s="345"/>
      <c r="J8" s="345"/>
      <c r="K8" s="345"/>
      <c r="L8" s="345"/>
    </row>
    <row r="9" spans="1:12" ht="15.95" customHeight="1">
      <c r="A9" s="405" t="s">
        <v>480</v>
      </c>
      <c r="B9" s="405" t="s">
        <v>494</v>
      </c>
      <c r="C9" s="405" t="s">
        <v>507</v>
      </c>
      <c r="D9" s="405" t="s">
        <v>520</v>
      </c>
      <c r="E9" s="405" t="s">
        <v>533</v>
      </c>
      <c r="F9" s="405" t="s">
        <v>546</v>
      </c>
      <c r="G9" s="405" t="s">
        <v>559</v>
      </c>
      <c r="H9" s="345"/>
      <c r="I9" s="345"/>
      <c r="J9" s="345"/>
      <c r="K9" s="345"/>
      <c r="L9" s="345"/>
    </row>
    <row r="10" spans="1:12" ht="15.95" customHeight="1">
      <c r="A10" s="405" t="s">
        <v>481</v>
      </c>
      <c r="B10" s="405" t="s">
        <v>495</v>
      </c>
      <c r="C10" s="405" t="s">
        <v>508</v>
      </c>
      <c r="D10" s="405" t="s">
        <v>521</v>
      </c>
      <c r="E10" s="405" t="s">
        <v>534</v>
      </c>
      <c r="F10" s="405" t="s">
        <v>547</v>
      </c>
      <c r="G10" s="405" t="s">
        <v>560</v>
      </c>
      <c r="H10" s="345"/>
      <c r="I10" s="345"/>
      <c r="J10" s="345"/>
      <c r="K10" s="345"/>
      <c r="L10" s="345"/>
    </row>
    <row r="11" spans="1:12" ht="15.95" customHeight="1">
      <c r="A11" s="405" t="s">
        <v>482</v>
      </c>
      <c r="B11" s="405" t="s">
        <v>496</v>
      </c>
      <c r="C11" s="405" t="s">
        <v>509</v>
      </c>
      <c r="D11" s="405" t="s">
        <v>522</v>
      </c>
      <c r="E11" s="405" t="s">
        <v>535</v>
      </c>
      <c r="F11" s="405" t="s">
        <v>548</v>
      </c>
      <c r="G11" s="405" t="s">
        <v>561</v>
      </c>
      <c r="H11" s="345"/>
      <c r="I11" s="345"/>
      <c r="J11" s="345"/>
      <c r="K11" s="345"/>
      <c r="L11" s="345"/>
    </row>
    <row r="12" spans="1:12" ht="15.95" customHeight="1">
      <c r="A12" s="405" t="s">
        <v>483</v>
      </c>
      <c r="B12" s="405" t="s">
        <v>497</v>
      </c>
      <c r="C12" s="405" t="s">
        <v>510</v>
      </c>
      <c r="D12" s="405" t="s">
        <v>523</v>
      </c>
      <c r="E12" s="405" t="s">
        <v>536</v>
      </c>
      <c r="F12" s="405" t="s">
        <v>549</v>
      </c>
      <c r="G12" s="405" t="s">
        <v>562</v>
      </c>
      <c r="H12" s="345"/>
      <c r="I12" s="345"/>
      <c r="J12" s="345"/>
      <c r="K12" s="345"/>
      <c r="L12" s="345"/>
    </row>
    <row r="13" spans="1:12" ht="15.95" customHeight="1">
      <c r="A13" s="405" t="s">
        <v>484</v>
      </c>
      <c r="B13" s="405" t="s">
        <v>498</v>
      </c>
      <c r="C13" s="405" t="s">
        <v>511</v>
      </c>
      <c r="D13" s="405" t="s">
        <v>524</v>
      </c>
      <c r="E13" s="405" t="s">
        <v>537</v>
      </c>
      <c r="F13" s="405" t="s">
        <v>550</v>
      </c>
      <c r="G13" s="405" t="s">
        <v>563</v>
      </c>
      <c r="H13" s="345"/>
      <c r="I13" s="345"/>
      <c r="J13" s="345"/>
      <c r="K13" s="345"/>
      <c r="L13" s="345"/>
    </row>
    <row r="14" spans="1:12" ht="15.95" customHeight="1">
      <c r="A14" s="405" t="s">
        <v>485</v>
      </c>
      <c r="B14" s="405" t="s">
        <v>499</v>
      </c>
      <c r="C14" s="405" t="s">
        <v>512</v>
      </c>
      <c r="D14" s="405" t="s">
        <v>525</v>
      </c>
      <c r="E14" s="405" t="s">
        <v>538</v>
      </c>
      <c r="F14" s="405" t="s">
        <v>551</v>
      </c>
      <c r="G14" s="405" t="s">
        <v>564</v>
      </c>
      <c r="H14" s="345"/>
      <c r="I14" s="345"/>
      <c r="J14" s="345"/>
      <c r="K14" s="345"/>
      <c r="L14" s="345"/>
    </row>
    <row r="15" spans="1:12" ht="15.95" customHeight="1">
      <c r="A15" s="405" t="s">
        <v>486</v>
      </c>
      <c r="B15" s="405" t="s">
        <v>500</v>
      </c>
      <c r="C15" s="405" t="s">
        <v>513</v>
      </c>
      <c r="D15" s="405" t="s">
        <v>526</v>
      </c>
      <c r="E15" s="405" t="s">
        <v>539</v>
      </c>
      <c r="F15" s="405" t="s">
        <v>552</v>
      </c>
      <c r="G15" s="405" t="s">
        <v>565</v>
      </c>
      <c r="H15" s="345"/>
      <c r="I15" s="345"/>
      <c r="J15" s="345"/>
      <c r="K15" s="345"/>
      <c r="L15" s="345"/>
    </row>
    <row r="16" spans="1:12" ht="15.95" customHeight="1">
      <c r="A16" s="405" t="s">
        <v>487</v>
      </c>
      <c r="B16" s="405" t="s">
        <v>501</v>
      </c>
      <c r="C16" s="405" t="s">
        <v>514</v>
      </c>
      <c r="D16" s="405" t="s">
        <v>527</v>
      </c>
      <c r="E16" s="405" t="s">
        <v>540</v>
      </c>
      <c r="F16" s="405" t="s">
        <v>553</v>
      </c>
      <c r="G16" s="405" t="s">
        <v>566</v>
      </c>
      <c r="H16" s="345"/>
      <c r="I16" s="345"/>
      <c r="J16" s="345"/>
      <c r="K16" s="345"/>
      <c r="L16" s="345"/>
    </row>
    <row r="17" spans="1:12" ht="15.95" customHeight="1">
      <c r="A17" s="405" t="s">
        <v>488</v>
      </c>
      <c r="B17" s="405" t="s">
        <v>502</v>
      </c>
      <c r="C17" s="405" t="s">
        <v>515</v>
      </c>
      <c r="D17" s="405" t="s">
        <v>528</v>
      </c>
      <c r="E17" s="405" t="s">
        <v>541</v>
      </c>
      <c r="F17" s="405" t="s">
        <v>554</v>
      </c>
      <c r="G17" s="405" t="s">
        <v>567</v>
      </c>
      <c r="H17" s="345"/>
      <c r="I17" s="345"/>
      <c r="J17" s="345"/>
      <c r="K17" s="345"/>
      <c r="L17" s="345"/>
    </row>
    <row r="18" spans="1:12" ht="15.95" customHeight="1">
      <c r="A18" s="405" t="s">
        <v>489</v>
      </c>
      <c r="B18" s="405" t="s">
        <v>503</v>
      </c>
      <c r="C18" s="405" t="s">
        <v>516</v>
      </c>
      <c r="D18" s="405" t="s">
        <v>529</v>
      </c>
      <c r="E18" s="405" t="s">
        <v>542</v>
      </c>
      <c r="F18" s="405" t="s">
        <v>555</v>
      </c>
      <c r="G18" s="405" t="s">
        <v>568</v>
      </c>
      <c r="H18" s="345"/>
      <c r="I18" s="345"/>
      <c r="J18" s="345"/>
      <c r="K18" s="345"/>
      <c r="L18" s="345"/>
    </row>
    <row r="19" spans="1:12" ht="15.95" customHeight="1">
      <c r="A19" s="405" t="s">
        <v>490</v>
      </c>
      <c r="B19" s="405" t="s">
        <v>504</v>
      </c>
      <c r="C19" s="405" t="s">
        <v>517</v>
      </c>
      <c r="D19" s="405" t="s">
        <v>530</v>
      </c>
      <c r="E19" s="405" t="s">
        <v>543</v>
      </c>
      <c r="F19" s="405" t="s">
        <v>556</v>
      </c>
      <c r="G19" s="405" t="s">
        <v>569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9" t="s">
        <v>579</v>
      </c>
      <c r="E21" s="705"/>
      <c r="F21" s="705"/>
      <c r="G21" s="706"/>
      <c r="H21" s="345"/>
      <c r="I21" s="345"/>
      <c r="J21" s="345"/>
      <c r="K21" s="345"/>
      <c r="L21" s="345"/>
    </row>
    <row r="22" spans="1:12" ht="17.25" customHeight="1">
      <c r="A22" s="345"/>
      <c r="B22" s="707" t="s">
        <v>449</v>
      </c>
      <c r="C22" s="707"/>
      <c r="D22" s="707" t="s">
        <v>450</v>
      </c>
      <c r="E22" s="707"/>
      <c r="F22" s="707" t="s">
        <v>451</v>
      </c>
      <c r="G22" s="707"/>
      <c r="H22" s="345"/>
      <c r="I22" s="345"/>
      <c r="J22" s="345"/>
      <c r="K22" s="345"/>
      <c r="L22" s="345"/>
    </row>
    <row r="23" spans="1:12" ht="15.75">
      <c r="A23" s="406" t="s">
        <v>452</v>
      </c>
      <c r="B23" s="703" t="s">
        <v>570</v>
      </c>
      <c r="C23" s="703"/>
      <c r="D23" s="703" t="s">
        <v>573</v>
      </c>
      <c r="E23" s="703"/>
      <c r="F23" s="703" t="s">
        <v>576</v>
      </c>
      <c r="G23" s="703"/>
      <c r="H23" s="345"/>
      <c r="I23" s="345"/>
      <c r="J23" s="345"/>
      <c r="K23" s="345"/>
      <c r="L23" s="345"/>
    </row>
    <row r="24" spans="1:12" ht="18" customHeight="1">
      <c r="A24" s="406" t="s">
        <v>453</v>
      </c>
      <c r="B24" s="703" t="s">
        <v>571</v>
      </c>
      <c r="C24" s="703"/>
      <c r="D24" s="703" t="s">
        <v>574</v>
      </c>
      <c r="E24" s="703"/>
      <c r="F24" s="703" t="s">
        <v>577</v>
      </c>
      <c r="G24" s="703"/>
      <c r="H24" s="345"/>
      <c r="I24" s="345"/>
      <c r="J24" s="345"/>
      <c r="K24" s="345"/>
      <c r="L24" s="345"/>
    </row>
    <row r="25" spans="1:12" ht="15.75">
      <c r="A25" s="406" t="s">
        <v>454</v>
      </c>
      <c r="B25" s="703" t="s">
        <v>572</v>
      </c>
      <c r="C25" s="703"/>
      <c r="D25" s="703" t="s">
        <v>575</v>
      </c>
      <c r="E25" s="703"/>
      <c r="F25" s="703" t="s">
        <v>578</v>
      </c>
      <c r="G25" s="703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455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4" t="s">
        <v>456</v>
      </c>
      <c r="F28" s="705"/>
      <c r="G28" s="706"/>
      <c r="H28" s="345"/>
      <c r="I28" s="345"/>
      <c r="J28" s="345"/>
      <c r="K28" s="345"/>
      <c r="L28" s="345"/>
    </row>
    <row r="29" spans="1:12" ht="15.75">
      <c r="A29" s="345"/>
      <c r="B29" s="707" t="s">
        <v>457</v>
      </c>
      <c r="C29" s="707"/>
      <c r="D29" s="407" t="s">
        <v>458</v>
      </c>
      <c r="E29" s="407" t="s">
        <v>459</v>
      </c>
      <c r="F29" s="707" t="s">
        <v>460</v>
      </c>
      <c r="G29" s="707"/>
      <c r="H29" s="345"/>
      <c r="I29" s="345"/>
      <c r="J29" s="345"/>
      <c r="K29" s="345"/>
      <c r="L29" s="345"/>
    </row>
    <row r="30" spans="1:12" ht="15.75">
      <c r="A30" s="406" t="s">
        <v>461</v>
      </c>
      <c r="B30" s="703" t="s">
        <v>580</v>
      </c>
      <c r="C30" s="703"/>
      <c r="D30" s="405" t="s">
        <v>583</v>
      </c>
      <c r="E30" s="405" t="s">
        <v>462</v>
      </c>
      <c r="F30" s="703" t="s">
        <v>586</v>
      </c>
      <c r="G30" s="703"/>
      <c r="H30" s="345"/>
      <c r="I30" s="345"/>
      <c r="J30" s="345"/>
      <c r="K30" s="345"/>
      <c r="L30" s="345"/>
    </row>
    <row r="31" spans="1:12" ht="15.75">
      <c r="A31" s="406" t="s">
        <v>463</v>
      </c>
      <c r="B31" s="703" t="s">
        <v>581</v>
      </c>
      <c r="C31" s="703"/>
      <c r="D31" s="405" t="s">
        <v>584</v>
      </c>
      <c r="E31" s="405" t="s">
        <v>464</v>
      </c>
      <c r="F31" s="703" t="s">
        <v>587</v>
      </c>
      <c r="G31" s="703"/>
      <c r="H31" s="345"/>
      <c r="I31" s="345"/>
      <c r="J31" s="345"/>
      <c r="K31" s="345"/>
      <c r="L31" s="345"/>
    </row>
    <row r="32" spans="1:12" ht="15.75">
      <c r="A32" s="406" t="s">
        <v>465</v>
      </c>
      <c r="B32" s="703" t="s">
        <v>582</v>
      </c>
      <c r="C32" s="703"/>
      <c r="D32" s="405" t="s">
        <v>585</v>
      </c>
      <c r="E32" s="405" t="s">
        <v>466</v>
      </c>
      <c r="F32" s="703" t="s">
        <v>588</v>
      </c>
      <c r="G32" s="703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4" t="s">
        <v>467</v>
      </c>
      <c r="F34" s="705"/>
      <c r="G34" s="706"/>
      <c r="H34" s="345"/>
      <c r="I34" s="345"/>
      <c r="J34" s="345"/>
      <c r="K34" s="345"/>
      <c r="L34" s="345"/>
    </row>
    <row r="35" spans="1:12" ht="15.75">
      <c r="A35" s="345"/>
      <c r="B35" s="707" t="s">
        <v>468</v>
      </c>
      <c r="C35" s="707"/>
      <c r="D35" s="407" t="s">
        <v>459</v>
      </c>
      <c r="E35" s="407" t="s">
        <v>469</v>
      </c>
      <c r="F35" s="407" t="s">
        <v>100</v>
      </c>
      <c r="G35" s="407" t="s">
        <v>470</v>
      </c>
      <c r="H35" s="345"/>
      <c r="I35" s="345"/>
      <c r="J35" s="345"/>
      <c r="K35" s="345"/>
      <c r="L35" s="345"/>
    </row>
    <row r="36" spans="1:12" ht="15.75">
      <c r="A36" s="406" t="s">
        <v>461</v>
      </c>
      <c r="B36" s="699" t="s">
        <v>589</v>
      </c>
      <c r="C36" s="700"/>
      <c r="D36" s="408" t="s">
        <v>591</v>
      </c>
      <c r="E36" s="408" t="s">
        <v>471</v>
      </c>
      <c r="F36" s="409" t="s">
        <v>472</v>
      </c>
      <c r="G36" s="405" t="s">
        <v>594</v>
      </c>
      <c r="H36" s="345"/>
      <c r="I36" s="345"/>
      <c r="J36" s="345"/>
      <c r="K36" s="345"/>
      <c r="L36" s="345"/>
    </row>
    <row r="37" spans="1:12" ht="15.75">
      <c r="A37" s="406" t="s">
        <v>463</v>
      </c>
      <c r="B37" s="699" t="s">
        <v>590</v>
      </c>
      <c r="C37" s="700"/>
      <c r="D37" s="408" t="s">
        <v>592</v>
      </c>
      <c r="E37" s="408" t="s">
        <v>471</v>
      </c>
      <c r="F37" s="409" t="s">
        <v>473</v>
      </c>
      <c r="G37" s="410" t="s">
        <v>595</v>
      </c>
      <c r="H37" s="345"/>
      <c r="I37" s="345"/>
      <c r="J37" s="345"/>
      <c r="K37" s="345"/>
      <c r="L37" s="345"/>
    </row>
    <row r="38" spans="1:12" ht="15.75">
      <c r="A38" s="406" t="s">
        <v>465</v>
      </c>
      <c r="B38" s="699" t="s">
        <v>590</v>
      </c>
      <c r="C38" s="700"/>
      <c r="D38" s="408" t="s">
        <v>593</v>
      </c>
      <c r="E38" s="408" t="s">
        <v>471</v>
      </c>
      <c r="F38" s="409" t="s">
        <v>474</v>
      </c>
      <c r="G38" s="405" t="s">
        <v>596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475</v>
      </c>
      <c r="B40" s="701" t="s">
        <v>597</v>
      </c>
      <c r="C40" s="701"/>
      <c r="D40" s="702" t="s">
        <v>476</v>
      </c>
      <c r="E40" s="702"/>
      <c r="F40" s="701" t="s">
        <v>598</v>
      </c>
      <c r="G40" s="701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H40" sqref="H40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710" t="s">
        <v>599</v>
      </c>
      <c r="B3" s="711"/>
      <c r="C3" s="711"/>
      <c r="D3" s="711"/>
      <c r="E3" s="711"/>
      <c r="F3" s="712"/>
    </row>
    <row r="4" spans="1:6" ht="18.95" customHeight="1">
      <c r="A4" s="713" t="s">
        <v>600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404</v>
      </c>
      <c r="B6" s="696" t="str">
        <f>'Performance Data Sheet'!C17</f>
        <v>9007TCAL11E-C</v>
      </c>
      <c r="C6" s="697"/>
      <c r="D6" s="698"/>
      <c r="E6" s="373" t="s">
        <v>405</v>
      </c>
      <c r="F6" s="374">
        <v>113</v>
      </c>
    </row>
    <row r="7" spans="1:6" ht="18.95" customHeight="1">
      <c r="A7" s="373" t="s">
        <v>406</v>
      </c>
      <c r="B7" s="374" t="str">
        <f>'Performance Data Sheet'!F14</f>
        <v>TEAAC</v>
      </c>
      <c r="C7" s="373" t="s">
        <v>407</v>
      </c>
      <c r="D7" s="374" t="s">
        <v>429</v>
      </c>
      <c r="E7" s="373" t="s">
        <v>408</v>
      </c>
      <c r="F7" s="374" t="str">
        <f>'Performance Data Sheet'!C14</f>
        <v>6810US</v>
      </c>
    </row>
    <row r="8" spans="1:6" ht="18.95" customHeight="1">
      <c r="A8" s="373" t="s">
        <v>409</v>
      </c>
      <c r="B8" s="374">
        <v>6</v>
      </c>
      <c r="C8" s="373" t="s">
        <v>410</v>
      </c>
      <c r="D8" s="374" t="s">
        <v>411</v>
      </c>
      <c r="E8" s="373" t="s">
        <v>412</v>
      </c>
      <c r="F8" s="374" t="str">
        <f>'Performance Data Sheet'!M15</f>
        <v>F</v>
      </c>
    </row>
    <row r="9" spans="1:6" ht="18.95" customHeight="1">
      <c r="A9" s="373" t="s">
        <v>413</v>
      </c>
      <c r="B9" s="374">
        <v>900</v>
      </c>
      <c r="C9" s="373" t="s">
        <v>414</v>
      </c>
      <c r="D9" s="374" t="s">
        <v>430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415</v>
      </c>
      <c r="B10" s="374">
        <v>1192</v>
      </c>
      <c r="C10" s="373" t="s">
        <v>416</v>
      </c>
      <c r="D10" s="374" t="s">
        <v>605</v>
      </c>
      <c r="E10" s="373" t="s">
        <v>1</v>
      </c>
      <c r="F10" s="374" t="s">
        <v>761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425</v>
      </c>
      <c r="B39" s="380"/>
      <c r="C39" s="380"/>
      <c r="D39" s="371"/>
      <c r="E39" s="376" t="s">
        <v>426</v>
      </c>
      <c r="F39" s="381" t="s">
        <v>761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427</v>
      </c>
      <c r="D43" s="384" t="str">
        <f>'Performance Data Sheet'!K43</f>
        <v>Mario L</v>
      </c>
      <c r="E43" s="383" t="s">
        <v>428</v>
      </c>
      <c r="F43" s="384" t="s">
        <v>760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401</v>
      </c>
      <c r="B67" s="416" t="s">
        <v>601</v>
      </c>
      <c r="C67" s="416" t="s">
        <v>602</v>
      </c>
      <c r="E67" s="416" t="s">
        <v>603</v>
      </c>
      <c r="F67" s="416" t="s">
        <v>604</v>
      </c>
    </row>
    <row r="68" spans="1:9">
      <c r="A68" s="417">
        <v>553.09734513274338</v>
      </c>
      <c r="B68" s="418">
        <v>35</v>
      </c>
      <c r="C68" s="418">
        <v>15</v>
      </c>
      <c r="E68" s="417">
        <f>A68</f>
        <v>553.09734513274338</v>
      </c>
      <c r="F68" s="418">
        <v>1E-4</v>
      </c>
    </row>
    <row r="69" spans="1:9">
      <c r="A69" s="417">
        <v>486.07159999999999</v>
      </c>
      <c r="B69" s="418">
        <f>((A68/A69)^2)*B68</f>
        <v>45.317996132116036</v>
      </c>
      <c r="C69" s="418">
        <f>((A68/A69)^2)*C68</f>
        <v>19.421998342335442</v>
      </c>
      <c r="E69" s="417">
        <v>551.2389380530974</v>
      </c>
      <c r="F69" s="418">
        <v>1.8969999551773071</v>
      </c>
    </row>
    <row r="70" spans="1:9">
      <c r="A70" s="417">
        <v>419.0257451327434</v>
      </c>
      <c r="B70" s="418">
        <f>((A68/A70)^2)*B68</f>
        <v>60.980331087100581</v>
      </c>
      <c r="C70" s="418">
        <f>((A68/A70)^2)*C68</f>
        <v>26.134427608757392</v>
      </c>
      <c r="E70" s="417">
        <v>547.16814159292028</v>
      </c>
      <c r="F70" s="418">
        <v>3.4589998722076416</v>
      </c>
    </row>
    <row r="71" spans="1:9">
      <c r="A71" s="417">
        <v>352</v>
      </c>
      <c r="B71" s="418">
        <f>((A68/A71)^2)*B68</f>
        <v>86.414349510517155</v>
      </c>
      <c r="C71" s="418">
        <f>((A68/A71)^2)*C68</f>
        <v>37.034721218793067</v>
      </c>
      <c r="E71" s="417">
        <v>542.21238938053102</v>
      </c>
      <c r="F71" s="418">
        <v>4.9140000343322754</v>
      </c>
    </row>
    <row r="72" spans="1:9">
      <c r="A72" s="417">
        <f>A71-100</f>
        <v>252</v>
      </c>
      <c r="B72" s="418">
        <f>((A68/A72)^2)*B68</f>
        <v>168.60486838232421</v>
      </c>
      <c r="C72" s="418"/>
      <c r="E72" s="417">
        <v>536.1061946902654</v>
      </c>
      <c r="F72" s="418">
        <v>6.3670001029968262</v>
      </c>
    </row>
    <row r="73" spans="1:9">
      <c r="A73" s="417">
        <f>A72-100</f>
        <v>152</v>
      </c>
      <c r="B73" s="418">
        <f>((A68/A73)^2)*B68</f>
        <v>463.42986330293968</v>
      </c>
      <c r="C73" s="418"/>
      <c r="E73" s="417">
        <v>528.40707964601768</v>
      </c>
      <c r="F73" s="418">
        <v>7.9000000953674316</v>
      </c>
    </row>
    <row r="74" spans="1:9">
      <c r="A74" s="417">
        <v>230</v>
      </c>
      <c r="B74" s="418">
        <f>((A68/A74)^2)*B68</f>
        <v>202.40233576089065</v>
      </c>
      <c r="C74" s="418">
        <f>((A68/A74)^2)*C68</f>
        <v>86.743858183238856</v>
      </c>
      <c r="E74" s="417">
        <v>518.67256637168146</v>
      </c>
      <c r="F74" s="418">
        <v>9.5889997482299805</v>
      </c>
    </row>
    <row r="75" spans="1:9">
      <c r="A75" s="419">
        <v>180</v>
      </c>
      <c r="B75" s="418">
        <f>((A68/A75)^2)*B69</f>
        <v>427.8867472995417</v>
      </c>
      <c r="C75" s="418">
        <f>((A68/A75)^2)*C68</f>
        <v>141.62808944115233</v>
      </c>
      <c r="E75" s="417">
        <v>506.54867256637169</v>
      </c>
      <c r="F75" s="418">
        <v>11.541999816894531</v>
      </c>
    </row>
    <row r="76" spans="1:9">
      <c r="A76" s="419">
        <v>145</v>
      </c>
      <c r="B76" s="418">
        <f>((A68/A76)^2)*B68</f>
        <v>509.25486619505898</v>
      </c>
      <c r="C76" s="418">
        <f>((A68/A76)^2)*C68</f>
        <v>218.25208551216815</v>
      </c>
      <c r="E76" s="417">
        <v>490.97345132743357</v>
      </c>
      <c r="F76" s="418">
        <v>13.97499942779541</v>
      </c>
    </row>
    <row r="77" spans="1:9">
      <c r="A77" s="419">
        <v>125</v>
      </c>
      <c r="B77" s="418"/>
      <c r="C77" s="417">
        <f>CEILING(C76*2,100)</f>
        <v>500</v>
      </c>
      <c r="E77" s="417">
        <v>475.39823008849567</v>
      </c>
      <c r="F77" s="418">
        <v>15.370999336242676</v>
      </c>
    </row>
    <row r="78" spans="1:9">
      <c r="A78" s="419">
        <v>125</v>
      </c>
      <c r="B78" s="418"/>
      <c r="C78" s="417">
        <f>2*C77</f>
        <v>1000</v>
      </c>
      <c r="E78" s="417">
        <v>456.37168141592929</v>
      </c>
      <c r="F78" s="418">
        <v>16.519998550415039</v>
      </c>
    </row>
    <row r="79" spans="1:9">
      <c r="A79" s="419">
        <v>125</v>
      </c>
      <c r="B79" s="419"/>
      <c r="C79" s="419">
        <v>10000</v>
      </c>
      <c r="E79" s="417">
        <v>405.22123893805309</v>
      </c>
      <c r="F79" s="418">
        <v>17.065998077392578</v>
      </c>
    </row>
    <row r="80" spans="1:9">
      <c r="E80" s="417">
        <v>241.15044247787611</v>
      </c>
      <c r="F80" s="418">
        <v>17.175998687744141</v>
      </c>
    </row>
    <row r="81" spans="5:6">
      <c r="E81" s="417">
        <v>0</v>
      </c>
      <c r="F81" s="418">
        <v>17.694997787475586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activeCell="B34" sqref="B34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8" t="s">
        <v>606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438</v>
      </c>
      <c r="B3" s="421" t="s">
        <v>477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607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608</v>
      </c>
      <c r="C7" s="425">
        <v>0</v>
      </c>
      <c r="D7" s="424" t="s">
        <v>608</v>
      </c>
      <c r="E7" s="426" t="s">
        <v>609</v>
      </c>
      <c r="F7" s="424" t="s">
        <v>608</v>
      </c>
      <c r="G7" s="426" t="s">
        <v>610</v>
      </c>
      <c r="H7" s="424" t="s">
        <v>611</v>
      </c>
      <c r="I7" s="426">
        <v>0</v>
      </c>
      <c r="J7" s="424" t="s">
        <v>611</v>
      </c>
      <c r="K7" s="426">
        <v>7.0000000000000001E-3</v>
      </c>
      <c r="L7" s="345"/>
    </row>
    <row r="8" spans="1:12" ht="15.75">
      <c r="A8" s="405" t="s">
        <v>612</v>
      </c>
      <c r="B8" s="703">
        <v>8</v>
      </c>
      <c r="C8" s="703"/>
      <c r="D8" s="703">
        <v>26</v>
      </c>
      <c r="E8" s="703"/>
      <c r="F8" s="703">
        <v>10</v>
      </c>
      <c r="G8" s="703"/>
      <c r="H8" s="703" t="s">
        <v>627</v>
      </c>
      <c r="I8" s="703"/>
      <c r="J8" s="703" t="s">
        <v>628</v>
      </c>
      <c r="K8" s="703"/>
      <c r="L8" s="345"/>
    </row>
    <row r="9" spans="1:12" ht="15.75">
      <c r="A9" s="405" t="s">
        <v>613</v>
      </c>
      <c r="B9" s="703">
        <v>20</v>
      </c>
      <c r="C9" s="703"/>
      <c r="D9" s="703">
        <v>38</v>
      </c>
      <c r="E9" s="703"/>
      <c r="F9" s="703">
        <v>2</v>
      </c>
      <c r="G9" s="703"/>
      <c r="H9" s="703" t="s">
        <v>629</v>
      </c>
      <c r="I9" s="703"/>
      <c r="J9" s="703" t="s">
        <v>630</v>
      </c>
      <c r="K9" s="703"/>
      <c r="L9" s="345"/>
    </row>
    <row r="10" spans="1:12" ht="15.75">
      <c r="A10" s="405" t="s">
        <v>614</v>
      </c>
      <c r="B10" s="703">
        <v>14</v>
      </c>
      <c r="C10" s="703"/>
      <c r="D10" s="703">
        <v>32</v>
      </c>
      <c r="E10" s="703"/>
      <c r="F10" s="703">
        <v>4</v>
      </c>
      <c r="G10" s="703"/>
      <c r="H10" s="703" t="s">
        <v>631</v>
      </c>
      <c r="I10" s="703"/>
      <c r="J10" s="703" t="s">
        <v>632</v>
      </c>
      <c r="K10" s="703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615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6" t="s">
        <v>616</v>
      </c>
      <c r="C14" s="699"/>
      <c r="D14" s="717" t="s">
        <v>633</v>
      </c>
      <c r="E14" s="703"/>
      <c r="F14" s="716" t="s">
        <v>617</v>
      </c>
      <c r="G14" s="699"/>
      <c r="H14" s="717" t="s">
        <v>638</v>
      </c>
      <c r="I14" s="703"/>
      <c r="J14" s="345"/>
      <c r="K14" s="345"/>
      <c r="L14" s="345"/>
    </row>
    <row r="15" spans="1:12" ht="15.75">
      <c r="A15" s="345"/>
      <c r="B15" s="716" t="s">
        <v>618</v>
      </c>
      <c r="C15" s="699"/>
      <c r="D15" s="717" t="s">
        <v>634</v>
      </c>
      <c r="E15" s="703"/>
      <c r="F15" s="716" t="s">
        <v>619</v>
      </c>
      <c r="G15" s="699"/>
      <c r="H15" s="717" t="s">
        <v>639</v>
      </c>
      <c r="I15" s="703"/>
      <c r="J15" s="345"/>
      <c r="K15" s="345"/>
      <c r="L15" s="345"/>
    </row>
    <row r="16" spans="1:12" ht="15.75">
      <c r="A16" s="345"/>
      <c r="B16" s="716" t="s">
        <v>620</v>
      </c>
      <c r="C16" s="699"/>
      <c r="D16" s="717" t="s">
        <v>635</v>
      </c>
      <c r="E16" s="703"/>
      <c r="F16" s="716" t="s">
        <v>621</v>
      </c>
      <c r="G16" s="699"/>
      <c r="H16" s="717" t="s">
        <v>640</v>
      </c>
      <c r="I16" s="703"/>
      <c r="J16" s="345"/>
      <c r="K16" s="345"/>
      <c r="L16" s="345"/>
    </row>
    <row r="17" spans="1:12" ht="15.75">
      <c r="A17" s="345"/>
      <c r="B17" s="716" t="s">
        <v>622</v>
      </c>
      <c r="C17" s="699"/>
      <c r="D17" s="717" t="s">
        <v>636</v>
      </c>
      <c r="E17" s="703"/>
      <c r="F17" s="716" t="s">
        <v>623</v>
      </c>
      <c r="G17" s="699"/>
      <c r="H17" s="717" t="s">
        <v>641</v>
      </c>
      <c r="I17" s="703"/>
      <c r="J17" s="345"/>
      <c r="K17" s="345"/>
      <c r="L17" s="345"/>
    </row>
    <row r="18" spans="1:12" ht="15.75">
      <c r="A18" s="345"/>
      <c r="B18" s="716" t="s">
        <v>624</v>
      </c>
      <c r="C18" s="699"/>
      <c r="D18" s="717" t="s">
        <v>637</v>
      </c>
      <c r="E18" s="703"/>
      <c r="F18" s="716" t="s">
        <v>625</v>
      </c>
      <c r="G18" s="699"/>
      <c r="H18" s="717" t="s">
        <v>642</v>
      </c>
      <c r="I18" s="703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626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643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644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H40" sqref="H40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252</v>
      </c>
      <c r="B2" s="367"/>
      <c r="C2" s="367"/>
      <c r="D2" s="367"/>
      <c r="E2" s="367"/>
      <c r="F2" s="368"/>
    </row>
    <row r="3" spans="1:6" ht="18.95" customHeight="1">
      <c r="A3" s="369" t="s">
        <v>645</v>
      </c>
      <c r="B3" s="367"/>
      <c r="C3" s="367"/>
      <c r="D3" s="367"/>
      <c r="E3" s="367"/>
      <c r="F3" s="368"/>
    </row>
    <row r="4" spans="1:6" ht="18.95" customHeight="1">
      <c r="A4" s="713" t="s">
        <v>600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3" t="s">
        <v>404</v>
      </c>
      <c r="B6" s="696" t="str">
        <f>'Performance Data Sheet'!C17</f>
        <v>9007TCAL11E-C</v>
      </c>
      <c r="C6" s="697"/>
      <c r="D6" s="698"/>
      <c r="E6" s="553" t="s">
        <v>405</v>
      </c>
      <c r="F6" s="554">
        <v>113</v>
      </c>
    </row>
    <row r="7" spans="1:6" ht="18.95" customHeight="1">
      <c r="A7" s="553" t="s">
        <v>406</v>
      </c>
      <c r="B7" s="554" t="str">
        <f>'Performance Data Sheet'!F14</f>
        <v>TEAAC</v>
      </c>
      <c r="C7" s="553" t="s">
        <v>407</v>
      </c>
      <c r="D7" s="554" t="s">
        <v>429</v>
      </c>
      <c r="E7" s="553" t="s">
        <v>408</v>
      </c>
      <c r="F7" s="554" t="str">
        <f>'Performance Data Sheet'!C14</f>
        <v>6810US</v>
      </c>
    </row>
    <row r="8" spans="1:6" ht="18.95" customHeight="1">
      <c r="A8" s="553" t="s">
        <v>409</v>
      </c>
      <c r="B8" s="554">
        <v>6</v>
      </c>
      <c r="C8" s="553" t="s">
        <v>410</v>
      </c>
      <c r="D8" s="554" t="s">
        <v>411</v>
      </c>
      <c r="E8" s="553" t="s">
        <v>412</v>
      </c>
      <c r="F8" s="554" t="str">
        <f>'Performance Data Sheet'!M15</f>
        <v>F</v>
      </c>
    </row>
    <row r="9" spans="1:6" ht="18.95" customHeight="1">
      <c r="A9" s="553" t="s">
        <v>413</v>
      </c>
      <c r="B9" s="554">
        <v>900</v>
      </c>
      <c r="C9" s="553" t="s">
        <v>414</v>
      </c>
      <c r="D9" s="554" t="s">
        <v>430</v>
      </c>
      <c r="E9" s="553" t="s">
        <v>2</v>
      </c>
      <c r="F9" s="555">
        <f>'Performance Data Sheet'!K45</f>
        <v>41992</v>
      </c>
    </row>
    <row r="10" spans="1:6" ht="18.95" customHeight="1">
      <c r="A10" s="553" t="s">
        <v>415</v>
      </c>
      <c r="B10" s="554">
        <v>1192</v>
      </c>
      <c r="C10" s="553" t="s">
        <v>416</v>
      </c>
      <c r="D10" s="554" t="s">
        <v>417</v>
      </c>
      <c r="E10" s="553" t="s">
        <v>1</v>
      </c>
      <c r="F10" s="554" t="s">
        <v>761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0"/>
      <c r="B12" s="556" t="s">
        <v>418</v>
      </c>
      <c r="C12" s="557" t="s">
        <v>431</v>
      </c>
      <c r="D12" s="556" t="s">
        <v>419</v>
      </c>
      <c r="E12" s="557" t="s">
        <v>417</v>
      </c>
      <c r="F12" s="372"/>
    </row>
    <row r="13" spans="1:6" ht="18.95" customHeight="1">
      <c r="A13" s="550"/>
      <c r="B13" s="556" t="s">
        <v>420</v>
      </c>
      <c r="C13" s="558">
        <v>0.75</v>
      </c>
      <c r="D13" s="556" t="s">
        <v>421</v>
      </c>
      <c r="E13" s="557" t="s">
        <v>417</v>
      </c>
      <c r="F13" s="372"/>
    </row>
    <row r="14" spans="1:6" ht="18.95" customHeight="1">
      <c r="A14" s="550"/>
      <c r="B14" s="556" t="s">
        <v>422</v>
      </c>
      <c r="C14" s="558">
        <v>2.2999999999999998</v>
      </c>
      <c r="D14" s="556" t="s">
        <v>423</v>
      </c>
      <c r="E14" s="557" t="s">
        <v>417</v>
      </c>
      <c r="F14" s="372"/>
    </row>
    <row r="15" spans="1:6" ht="18.95" customHeight="1">
      <c r="A15" s="550"/>
      <c r="B15" s="556" t="s">
        <v>424</v>
      </c>
      <c r="C15" s="557" t="s">
        <v>756</v>
      </c>
      <c r="D15" s="551"/>
      <c r="E15" s="55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59" t="s">
        <v>425</v>
      </c>
      <c r="B39" s="560"/>
      <c r="C39" s="560"/>
      <c r="D39" s="551"/>
      <c r="E39" s="556" t="s">
        <v>426</v>
      </c>
      <c r="F39" s="561" t="s">
        <v>761</v>
      </c>
    </row>
    <row r="40" spans="1:6" ht="18.95" customHeight="1">
      <c r="A40" s="550"/>
      <c r="B40" s="560"/>
      <c r="C40" s="560"/>
      <c r="D40" s="551"/>
      <c r="E40" s="551"/>
      <c r="F40" s="552"/>
    </row>
    <row r="41" spans="1:6" ht="18.95" customHeight="1">
      <c r="A41" s="550"/>
      <c r="B41" s="560"/>
      <c r="C41" s="560"/>
      <c r="D41" s="551"/>
      <c r="E41" s="551"/>
      <c r="F41" s="552"/>
    </row>
    <row r="42" spans="1:6" ht="18.95" customHeight="1">
      <c r="A42" s="550"/>
      <c r="B42" s="551"/>
      <c r="C42" s="551"/>
      <c r="D42" s="551"/>
      <c r="E42" s="551"/>
      <c r="F42" s="552"/>
    </row>
    <row r="43" spans="1:6" ht="18.95" customHeight="1">
      <c r="A43" s="562"/>
      <c r="B43" s="560"/>
      <c r="C43" s="563" t="s">
        <v>427</v>
      </c>
      <c r="D43" s="564" t="str">
        <f>'Performance Data Sheet'!K43</f>
        <v>Mario L</v>
      </c>
      <c r="E43" s="563" t="s">
        <v>428</v>
      </c>
      <c r="F43" s="564" t="s">
        <v>760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432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646</v>
      </c>
    </row>
    <row r="54" spans="1:6" ht="15" customHeight="1">
      <c r="A54" s="430">
        <v>0</v>
      </c>
      <c r="B54" s="431"/>
      <c r="C54" s="432"/>
      <c r="D54" s="432">
        <v>28.004633816339787</v>
      </c>
      <c r="E54" s="432">
        <v>100</v>
      </c>
      <c r="F54" s="433">
        <v>0.72421999999999997</v>
      </c>
    </row>
    <row r="55" spans="1:6" ht="15" customHeight="1">
      <c r="A55" s="434">
        <v>25</v>
      </c>
      <c r="B55" s="435">
        <v>88.758857727050781</v>
      </c>
      <c r="C55" s="436">
        <v>66.250602722167969</v>
      </c>
      <c r="D55" s="436">
        <v>41.174758911132812</v>
      </c>
      <c r="E55" s="436">
        <v>90.172142251587672</v>
      </c>
      <c r="F55" s="437">
        <v>10.499201555008613</v>
      </c>
    </row>
    <row r="56" spans="1:6" ht="15" customHeight="1">
      <c r="A56" s="434">
        <v>50</v>
      </c>
      <c r="B56" s="435">
        <v>93.289497375488281</v>
      </c>
      <c r="C56" s="436">
        <v>83.310142517089844</v>
      </c>
      <c r="D56" s="436">
        <v>62.306304931640625</v>
      </c>
      <c r="E56" s="436">
        <v>80.41547134132756</v>
      </c>
      <c r="F56" s="437">
        <v>19.97860864614406</v>
      </c>
    </row>
    <row r="57" spans="1:6">
      <c r="A57" s="434">
        <v>75</v>
      </c>
      <c r="B57" s="435">
        <v>94.635322570800781</v>
      </c>
      <c r="C57" s="436">
        <v>88.252174377441406</v>
      </c>
      <c r="D57" s="436">
        <v>86.971153259277344</v>
      </c>
      <c r="E57" s="436">
        <v>70.428736998485419</v>
      </c>
      <c r="F57" s="437">
        <v>29.541734586033943</v>
      </c>
    </row>
    <row r="58" spans="1:6">
      <c r="A58" s="434">
        <v>100</v>
      </c>
      <c r="B58" s="435">
        <v>95.106689453125</v>
      </c>
      <c r="C58" s="436">
        <v>89.783035278320312</v>
      </c>
      <c r="D58" s="436">
        <v>113.41938018798828</v>
      </c>
      <c r="E58" s="436">
        <v>60.192006781646512</v>
      </c>
      <c r="F58" s="437">
        <v>39.193759048262336</v>
      </c>
    </row>
    <row r="59" spans="1:6" ht="13.5" thickBot="1">
      <c r="A59" s="438">
        <v>125</v>
      </c>
      <c r="B59" s="439">
        <v>95.210174560546875</v>
      </c>
      <c r="C59" s="440">
        <v>89.970855712890625</v>
      </c>
      <c r="D59" s="440">
        <v>141.32449340820313</v>
      </c>
      <c r="E59" s="440">
        <v>49.853550839407035</v>
      </c>
      <c r="F59" s="441">
        <v>48.938951083373475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7" transitionEvaluation="1"/>
  <dimension ref="A1:U123"/>
  <sheetViews>
    <sheetView showGridLines="0" topLeftCell="A7" zoomScale="90" workbookViewId="0">
      <selection activeCell="N27" sqref="N27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252</v>
      </c>
      <c r="B1" s="443"/>
      <c r="C1" s="443"/>
      <c r="D1" s="443"/>
      <c r="E1" s="443"/>
      <c r="F1" s="443"/>
      <c r="G1" s="443"/>
      <c r="H1" s="443"/>
      <c r="I1" s="443"/>
      <c r="J1" s="444" t="s">
        <v>647</v>
      </c>
      <c r="K1" s="445"/>
      <c r="L1" s="446" t="s">
        <v>648</v>
      </c>
      <c r="M1" s="447"/>
      <c r="N1" s="448"/>
    </row>
    <row r="2" spans="1:14" ht="17.100000000000001" customHeight="1">
      <c r="A2" s="450" t="s">
        <v>649</v>
      </c>
      <c r="B2" s="451"/>
      <c r="C2" s="451"/>
      <c r="D2" s="451"/>
      <c r="E2" s="451"/>
      <c r="F2" s="451"/>
      <c r="G2" s="451"/>
      <c r="H2" s="451"/>
      <c r="I2" s="451"/>
      <c r="J2" s="452" t="s">
        <v>650</v>
      </c>
      <c r="K2" s="453"/>
      <c r="L2" s="454" t="s">
        <v>651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652</v>
      </c>
      <c r="K3" s="453"/>
      <c r="L3" s="458" t="s">
        <v>653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654</v>
      </c>
      <c r="K4" s="453"/>
      <c r="L4" s="460" t="s">
        <v>655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656</v>
      </c>
      <c r="K5" s="453"/>
      <c r="L5" s="454">
        <v>1</v>
      </c>
      <c r="M5" s="455"/>
      <c r="N5" s="448"/>
    </row>
    <row r="6" spans="1:14" ht="15.95" customHeight="1">
      <c r="A6" s="461" t="s">
        <v>657</v>
      </c>
      <c r="B6" s="457"/>
      <c r="C6" s="457"/>
      <c r="D6" s="457"/>
      <c r="E6" s="457"/>
      <c r="F6" s="457"/>
      <c r="G6" s="457"/>
      <c r="H6" s="457"/>
      <c r="I6" s="457"/>
      <c r="J6" s="452" t="s">
        <v>658</v>
      </c>
      <c r="K6" s="453"/>
      <c r="L6" s="462" t="s">
        <v>659</v>
      </c>
      <c r="M6" s="455"/>
      <c r="N6" s="448"/>
    </row>
    <row r="7" spans="1:14" ht="15.95" customHeight="1" thickBot="1">
      <c r="A7" s="463" t="s">
        <v>660</v>
      </c>
      <c r="B7" s="464"/>
      <c r="C7" s="464"/>
      <c r="D7" s="464"/>
      <c r="E7" s="464"/>
      <c r="F7" s="464"/>
      <c r="G7" s="464"/>
      <c r="H7" s="464"/>
      <c r="I7" s="464"/>
      <c r="J7" s="465" t="s">
        <v>661</v>
      </c>
      <c r="K7" s="466"/>
      <c r="L7" s="467" t="s">
        <v>662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663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664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665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666</v>
      </c>
      <c r="C13" s="486">
        <v>900</v>
      </c>
      <c r="D13" s="478"/>
      <c r="E13" s="485" t="s">
        <v>667</v>
      </c>
      <c r="F13" s="486">
        <v>4000</v>
      </c>
      <c r="G13" s="478"/>
      <c r="H13" s="485" t="s">
        <v>668</v>
      </c>
      <c r="I13" s="486" t="s">
        <v>750</v>
      </c>
      <c r="J13" s="478"/>
      <c r="K13" s="478"/>
      <c r="L13" s="485" t="s">
        <v>669</v>
      </c>
      <c r="M13" s="487">
        <v>1200</v>
      </c>
      <c r="N13" s="448"/>
    </row>
    <row r="14" spans="1:14" ht="12.95" customHeight="1">
      <c r="A14" s="484"/>
      <c r="B14" s="485" t="s">
        <v>670</v>
      </c>
      <c r="C14" s="486" t="s">
        <v>177</v>
      </c>
      <c r="D14" s="478"/>
      <c r="E14" s="485" t="s">
        <v>671</v>
      </c>
      <c r="F14" s="486" t="s">
        <v>754</v>
      </c>
      <c r="G14" s="478"/>
      <c r="H14" s="485" t="s">
        <v>672</v>
      </c>
      <c r="I14" s="486">
        <v>113</v>
      </c>
      <c r="J14" s="478"/>
      <c r="K14" s="478"/>
      <c r="L14" s="485" t="s">
        <v>415</v>
      </c>
      <c r="M14" s="487">
        <v>1192</v>
      </c>
      <c r="N14" s="448"/>
    </row>
    <row r="15" spans="1:14" ht="12.95" customHeight="1">
      <c r="A15" s="484"/>
      <c r="B15" s="485" t="s">
        <v>673</v>
      </c>
      <c r="C15" s="486" t="s">
        <v>758</v>
      </c>
      <c r="D15" s="478"/>
      <c r="E15" s="485" t="s">
        <v>674</v>
      </c>
      <c r="F15" s="486">
        <v>1.1499999999999999</v>
      </c>
      <c r="G15" s="478"/>
      <c r="H15" s="488" t="s">
        <v>675</v>
      </c>
      <c r="I15" s="486" t="s">
        <v>174</v>
      </c>
      <c r="J15" s="478"/>
      <c r="K15" s="478"/>
      <c r="L15" s="485" t="s">
        <v>676</v>
      </c>
      <c r="M15" s="487" t="s">
        <v>346</v>
      </c>
      <c r="N15" s="448"/>
    </row>
    <row r="16" spans="1:14" ht="12.95" customHeight="1">
      <c r="A16" s="484"/>
      <c r="B16" s="485" t="s">
        <v>677</v>
      </c>
      <c r="C16" s="486" t="s">
        <v>749</v>
      </c>
      <c r="D16" s="478"/>
      <c r="E16" s="485" t="s">
        <v>678</v>
      </c>
      <c r="F16" s="486" t="s">
        <v>471</v>
      </c>
      <c r="G16" s="478"/>
      <c r="H16" s="489" t="s">
        <v>679</v>
      </c>
      <c r="I16" s="490" t="s">
        <v>339</v>
      </c>
      <c r="J16" s="478"/>
      <c r="K16" s="478"/>
      <c r="L16" s="485" t="s">
        <v>680</v>
      </c>
      <c r="M16" s="487" t="s">
        <v>681</v>
      </c>
      <c r="N16" s="448"/>
    </row>
    <row r="17" spans="1:21" ht="12.95" customHeight="1">
      <c r="A17" s="484"/>
      <c r="B17" s="485" t="s">
        <v>682</v>
      </c>
      <c r="C17" s="491" t="s">
        <v>762</v>
      </c>
      <c r="D17" s="478"/>
      <c r="E17" s="485"/>
      <c r="F17" s="492"/>
      <c r="G17" s="478"/>
      <c r="H17" s="485" t="s">
        <v>683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684</v>
      </c>
      <c r="C18" s="496" t="s">
        <v>174</v>
      </c>
      <c r="D18" s="497"/>
      <c r="E18" s="498" t="s">
        <v>685</v>
      </c>
      <c r="F18" s="496" t="s">
        <v>174</v>
      </c>
      <c r="G18" s="499"/>
      <c r="H18" s="498" t="s">
        <v>686</v>
      </c>
      <c r="I18" s="496" t="s">
        <v>174</v>
      </c>
      <c r="J18" s="497"/>
      <c r="K18" s="497"/>
      <c r="L18" s="497"/>
      <c r="M18" s="500"/>
      <c r="N18" s="448"/>
      <c r="O18" s="565"/>
      <c r="P18" s="565"/>
      <c r="Q18" s="565"/>
      <c r="R18" s="565"/>
      <c r="S18" s="565"/>
      <c r="T18" s="565"/>
      <c r="U18" s="565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565"/>
      <c r="P19" s="565"/>
      <c r="Q19" s="565"/>
      <c r="R19" s="565"/>
      <c r="S19" s="565"/>
      <c r="T19" s="565"/>
      <c r="U19" s="565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  <c r="O20" s="565"/>
      <c r="P20" s="565"/>
      <c r="Q20" s="565"/>
      <c r="R20" s="565"/>
      <c r="S20" s="565"/>
      <c r="T20" s="565"/>
      <c r="U20" s="565"/>
    </row>
    <row r="21" spans="1:21" ht="15.95" customHeight="1" thickTop="1">
      <c r="A21" s="501" t="s">
        <v>687</v>
      </c>
      <c r="B21" s="502"/>
      <c r="C21" s="471"/>
      <c r="D21" s="503"/>
      <c r="E21" s="504" t="s">
        <v>688</v>
      </c>
      <c r="F21" s="505"/>
      <c r="G21" s="505"/>
      <c r="H21" s="506"/>
      <c r="I21" s="507" t="s">
        <v>689</v>
      </c>
      <c r="J21" s="508"/>
      <c r="K21" s="508"/>
      <c r="L21" s="471"/>
      <c r="M21" s="509"/>
      <c r="O21" s="565"/>
      <c r="P21" s="547"/>
      <c r="Q21" s="113"/>
      <c r="R21" s="113"/>
      <c r="S21" s="113"/>
      <c r="T21" s="113"/>
      <c r="U21" s="565"/>
    </row>
    <row r="22" spans="1:21" ht="15.95" customHeight="1">
      <c r="A22" s="510"/>
      <c r="B22" s="478"/>
      <c r="C22" s="511" t="s">
        <v>690</v>
      </c>
      <c r="D22" s="512">
        <v>625</v>
      </c>
      <c r="E22" s="485"/>
      <c r="G22" s="489" t="s">
        <v>691</v>
      </c>
      <c r="H22" s="513">
        <v>3965</v>
      </c>
      <c r="I22" s="511"/>
      <c r="J22" s="478"/>
      <c r="K22" s="511" t="s">
        <v>692</v>
      </c>
      <c r="L22" s="719" t="s">
        <v>765</v>
      </c>
      <c r="M22" s="720"/>
      <c r="O22" s="565"/>
      <c r="P22" s="547"/>
      <c r="Q22" s="546"/>
      <c r="R22" s="546"/>
      <c r="S22" s="546"/>
      <c r="T22" s="546"/>
      <c r="U22" s="565"/>
    </row>
    <row r="23" spans="1:21" ht="15.95" customHeight="1">
      <c r="A23" s="510"/>
      <c r="B23" s="511"/>
      <c r="C23" s="514"/>
      <c r="D23" s="515"/>
      <c r="E23" s="485"/>
      <c r="G23" s="485" t="s">
        <v>693</v>
      </c>
      <c r="H23" s="512">
        <v>75</v>
      </c>
      <c r="I23" s="478"/>
      <c r="J23" s="478"/>
      <c r="K23" s="485" t="s">
        <v>694</v>
      </c>
      <c r="L23" s="719" t="s">
        <v>766</v>
      </c>
      <c r="M23" s="720"/>
      <c r="O23" s="565"/>
      <c r="P23" s="547"/>
      <c r="Q23" s="114"/>
      <c r="R23" s="114"/>
      <c r="S23" s="114"/>
      <c r="T23" s="114"/>
      <c r="U23" s="565"/>
    </row>
    <row r="24" spans="1:21" ht="15.95" customHeight="1">
      <c r="A24" s="484"/>
      <c r="B24" s="485"/>
      <c r="C24" s="478"/>
      <c r="D24" s="515"/>
      <c r="E24" s="485"/>
      <c r="G24" s="489" t="s">
        <v>695</v>
      </c>
      <c r="H24" s="512">
        <v>230</v>
      </c>
      <c r="I24" s="478"/>
      <c r="J24" s="485"/>
      <c r="K24" s="478"/>
      <c r="L24" s="478"/>
      <c r="M24" s="493"/>
      <c r="O24" s="565"/>
      <c r="P24" s="547"/>
      <c r="Q24" s="114"/>
      <c r="R24" s="114"/>
      <c r="S24" s="114"/>
      <c r="T24" s="114"/>
      <c r="U24" s="565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65"/>
      <c r="P25" s="565"/>
      <c r="Q25" s="565"/>
      <c r="R25" s="565"/>
      <c r="S25" s="565"/>
      <c r="T25" s="565"/>
      <c r="U25" s="565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65"/>
      <c r="P26" s="565"/>
      <c r="Q26" s="565"/>
      <c r="R26" s="565"/>
      <c r="S26" s="565"/>
      <c r="T26" s="565"/>
      <c r="U26" s="565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65"/>
      <c r="P27" s="565"/>
      <c r="Q27" s="565"/>
      <c r="R27" s="565"/>
      <c r="S27" s="565"/>
      <c r="T27" s="565"/>
      <c r="U27" s="565"/>
    </row>
    <row r="28" spans="1:21" ht="15.95" customHeight="1" thickTop="1">
      <c r="A28" s="524" t="s">
        <v>696</v>
      </c>
      <c r="B28" s="502"/>
      <c r="C28" s="471"/>
      <c r="D28" s="471"/>
      <c r="E28" s="505"/>
      <c r="F28" s="505"/>
      <c r="G28" s="525"/>
      <c r="H28" s="504" t="s">
        <v>697</v>
      </c>
      <c r="I28" s="505"/>
      <c r="J28" s="508"/>
      <c r="K28" s="504"/>
      <c r="L28" s="508"/>
      <c r="M28" s="509"/>
      <c r="O28" s="565"/>
      <c r="P28" s="565"/>
      <c r="Q28" s="565"/>
      <c r="R28" s="565"/>
      <c r="S28" s="565"/>
      <c r="T28" s="565"/>
      <c r="U28" s="565"/>
    </row>
    <row r="29" spans="1:21" ht="15.95" customHeight="1">
      <c r="A29" s="484"/>
      <c r="B29" s="511"/>
      <c r="C29" s="511" t="s">
        <v>698</v>
      </c>
      <c r="D29" s="526">
        <v>95.2</v>
      </c>
      <c r="E29" s="485"/>
      <c r="F29" s="485"/>
      <c r="G29" s="525"/>
      <c r="H29" s="489"/>
      <c r="I29" s="511"/>
      <c r="J29" s="511" t="s">
        <v>698</v>
      </c>
      <c r="K29" s="526">
        <v>89.8</v>
      </c>
      <c r="L29" s="478"/>
      <c r="M29" s="493"/>
      <c r="O29" s="565"/>
      <c r="P29" s="565"/>
      <c r="Q29" s="565"/>
      <c r="R29" s="565"/>
      <c r="S29" s="565"/>
      <c r="T29" s="565"/>
      <c r="U29" s="565"/>
    </row>
    <row r="30" spans="1:21" ht="15.95" customHeight="1">
      <c r="A30" s="527"/>
      <c r="B30" s="478"/>
      <c r="C30" s="511" t="s">
        <v>699</v>
      </c>
      <c r="D30" s="526">
        <v>94.7</v>
      </c>
      <c r="E30" s="485"/>
      <c r="F30" s="485"/>
      <c r="G30" s="525"/>
      <c r="H30" s="485"/>
      <c r="I30" s="478"/>
      <c r="J30" s="511" t="s">
        <v>699</v>
      </c>
      <c r="K30" s="526">
        <v>88.3</v>
      </c>
      <c r="L30" s="478"/>
      <c r="M30" s="493"/>
    </row>
    <row r="31" spans="1:21" ht="15.95" customHeight="1">
      <c r="A31" s="484"/>
      <c r="B31" s="485"/>
      <c r="C31" s="511" t="s">
        <v>700</v>
      </c>
      <c r="D31" s="526">
        <v>93.3</v>
      </c>
      <c r="E31" s="485"/>
      <c r="F31" s="485"/>
      <c r="G31" s="525"/>
      <c r="H31" s="485"/>
      <c r="I31" s="478"/>
      <c r="J31" s="511" t="s">
        <v>700</v>
      </c>
      <c r="K31" s="526">
        <v>83.3</v>
      </c>
      <c r="L31" s="485"/>
      <c r="M31" s="493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</row>
    <row r="33" spans="1:14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</row>
    <row r="34" spans="1:14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</row>
    <row r="35" spans="1:14" ht="15.95" customHeight="1" thickTop="1">
      <c r="A35" s="534" t="s">
        <v>701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14" ht="15.95" customHeight="1">
      <c r="A36" s="527" t="s">
        <v>702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14" ht="15.95" customHeight="1">
      <c r="A37" s="536" t="s">
        <v>703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14" ht="15.95" customHeight="1">
      <c r="A38" s="538" t="s">
        <v>704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14" ht="15.95" customHeight="1">
      <c r="A39" s="539" t="s">
        <v>705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14" ht="15.95" customHeight="1" thickBot="1">
      <c r="A40" s="540" t="s">
        <v>706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14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14" ht="15.95" customHeight="1"/>
    <row r="43" spans="1:14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707</v>
      </c>
      <c r="K43" s="721" t="s">
        <v>333</v>
      </c>
      <c r="L43" s="721"/>
      <c r="M43" s="721"/>
      <c r="N43" s="543"/>
    </row>
    <row r="44" spans="1:14" ht="7.5" customHeight="1">
      <c r="H44" s="448"/>
      <c r="I44" s="448"/>
      <c r="J44" s="448"/>
      <c r="K44" s="448"/>
      <c r="L44" s="448"/>
      <c r="M44" s="448"/>
    </row>
    <row r="45" spans="1:14" ht="16.5">
      <c r="H45" s="448"/>
      <c r="I45" s="448"/>
      <c r="J45" s="544" t="s">
        <v>708</v>
      </c>
      <c r="K45" s="722">
        <v>41992</v>
      </c>
      <c r="L45" s="722"/>
      <c r="M45" s="722"/>
    </row>
    <row r="60" spans="1:5">
      <c r="A60" s="449" t="s">
        <v>174</v>
      </c>
      <c r="B60" s="449" t="s">
        <v>755</v>
      </c>
      <c r="D60" s="449">
        <v>1</v>
      </c>
      <c r="E60" s="545" t="s">
        <v>174</v>
      </c>
    </row>
    <row r="61" spans="1:5">
      <c r="A61" s="449" t="s">
        <v>709</v>
      </c>
      <c r="B61" s="449" t="s">
        <v>710</v>
      </c>
      <c r="D61" s="449">
        <v>1.1499999999999999</v>
      </c>
      <c r="E61" s="545" t="s">
        <v>350</v>
      </c>
    </row>
    <row r="62" spans="1:5">
      <c r="A62" s="449" t="s">
        <v>711</v>
      </c>
      <c r="B62" s="449" t="s">
        <v>712</v>
      </c>
      <c r="E62" s="545" t="s">
        <v>303</v>
      </c>
    </row>
    <row r="63" spans="1:5">
      <c r="B63" s="449" t="s">
        <v>713</v>
      </c>
    </row>
    <row r="64" spans="1:5">
      <c r="B64" s="449" t="s">
        <v>714</v>
      </c>
    </row>
    <row r="65" spans="2:2">
      <c r="B65" s="449" t="s">
        <v>715</v>
      </c>
    </row>
    <row r="66" spans="2:2">
      <c r="B66" s="449" t="s">
        <v>716</v>
      </c>
    </row>
    <row r="67" spans="2:2">
      <c r="B67" s="449" t="s">
        <v>717</v>
      </c>
    </row>
    <row r="68" spans="2:2">
      <c r="B68" s="449" t="s">
        <v>718</v>
      </c>
    </row>
    <row r="69" spans="2:2">
      <c r="B69" s="449" t="s">
        <v>719</v>
      </c>
    </row>
    <row r="70" spans="2:2">
      <c r="B70" s="449" t="s">
        <v>720</v>
      </c>
    </row>
    <row r="71" spans="2:2">
      <c r="B71" s="449" t="s">
        <v>721</v>
      </c>
    </row>
    <row r="72" spans="2:2">
      <c r="B72" s="449" t="s">
        <v>722</v>
      </c>
    </row>
    <row r="73" spans="2:2">
      <c r="B73" s="449" t="s">
        <v>723</v>
      </c>
    </row>
    <row r="74" spans="2:2">
      <c r="B74" s="449" t="s">
        <v>724</v>
      </c>
    </row>
    <row r="75" spans="2:2">
      <c r="B75" s="449" t="s">
        <v>725</v>
      </c>
    </row>
    <row r="76" spans="2:2">
      <c r="B76" s="449" t="s">
        <v>726</v>
      </c>
    </row>
    <row r="77" spans="2:2">
      <c r="B77" s="449" t="s">
        <v>727</v>
      </c>
    </row>
    <row r="78" spans="2:2">
      <c r="B78" s="449" t="s">
        <v>728</v>
      </c>
    </row>
    <row r="79" spans="2:2">
      <c r="B79" s="449" t="s">
        <v>729</v>
      </c>
    </row>
    <row r="80" spans="2:2">
      <c r="B80" s="449" t="s">
        <v>730</v>
      </c>
    </row>
    <row r="81" spans="2:2">
      <c r="B81" s="449">
        <v>6312</v>
      </c>
    </row>
    <row r="82" spans="2:2">
      <c r="B82" s="449" t="s">
        <v>731</v>
      </c>
    </row>
    <row r="83" spans="2:2">
      <c r="B83" s="449" t="s">
        <v>732</v>
      </c>
    </row>
    <row r="84" spans="2:2">
      <c r="B84" s="449" t="s">
        <v>733</v>
      </c>
    </row>
    <row r="85" spans="2:2">
      <c r="B85" s="449" t="s">
        <v>734</v>
      </c>
    </row>
    <row r="86" spans="2:2">
      <c r="B86" s="449">
        <v>6313</v>
      </c>
    </row>
    <row r="87" spans="2:2">
      <c r="B87" s="449" t="s">
        <v>735</v>
      </c>
    </row>
    <row r="88" spans="2:2">
      <c r="B88" s="449" t="s">
        <v>736</v>
      </c>
    </row>
    <row r="89" spans="2:2">
      <c r="B89" s="449" t="s">
        <v>737</v>
      </c>
    </row>
    <row r="90" spans="2:2">
      <c r="B90" s="449">
        <v>6314</v>
      </c>
    </row>
    <row r="91" spans="2:2">
      <c r="B91" s="449" t="s">
        <v>738</v>
      </c>
    </row>
    <row r="92" spans="2:2">
      <c r="B92" s="449">
        <v>6317</v>
      </c>
    </row>
    <row r="93" spans="2:2">
      <c r="B93" s="449" t="s">
        <v>739</v>
      </c>
    </row>
    <row r="94" spans="2:2">
      <c r="B94" s="449">
        <v>6318</v>
      </c>
    </row>
    <row r="95" spans="2:2">
      <c r="B95" s="449" t="s">
        <v>765</v>
      </c>
    </row>
    <row r="96" spans="2:2">
      <c r="B96" s="449" t="s">
        <v>766</v>
      </c>
    </row>
    <row r="97" spans="2:2">
      <c r="B97" s="449" t="s">
        <v>740</v>
      </c>
    </row>
    <row r="98" spans="2:2">
      <c r="B98" s="449" t="s">
        <v>741</v>
      </c>
    </row>
    <row r="99" spans="2:2">
      <c r="B99" s="449" t="s">
        <v>742</v>
      </c>
    </row>
    <row r="100" spans="2:2">
      <c r="B100" s="449">
        <v>6320</v>
      </c>
    </row>
    <row r="101" spans="2:2">
      <c r="B101" s="449" t="s">
        <v>743</v>
      </c>
    </row>
    <row r="102" spans="2:2">
      <c r="B102" s="449" t="s">
        <v>744</v>
      </c>
    </row>
    <row r="103" spans="2:2">
      <c r="B103" s="449" t="s">
        <v>745</v>
      </c>
    </row>
    <row r="104" spans="2:2">
      <c r="B104" s="449" t="s">
        <v>746</v>
      </c>
    </row>
    <row r="105" spans="2:2">
      <c r="B105" s="449" t="s">
        <v>746</v>
      </c>
    </row>
    <row r="121" spans="2:2">
      <c r="B121" s="449" t="s">
        <v>747</v>
      </c>
    </row>
    <row r="123" spans="2:2">
      <c r="B123" s="449" t="s">
        <v>748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$B$60:$B$105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2015-01-14T20:35:14Z</cp:lastPrinted>
  <dcterms:created xsi:type="dcterms:W3CDTF">1997-10-03T20:37:30Z</dcterms:created>
  <dcterms:modified xsi:type="dcterms:W3CDTF">2015-06-24T18:43:23Z</dcterms:modified>
</cp:coreProperties>
</file>