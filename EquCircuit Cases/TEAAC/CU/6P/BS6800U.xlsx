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\Electrical Design\TEAAC\6P\Series\"/>
    </mc:Choice>
  </mc:AlternateContent>
  <bookViews>
    <workbookView xWindow="3168" yWindow="1080" windowWidth="4800" windowHeight="5196" tabRatio="737" firstSheet="3" activeTab="8"/>
  </bookViews>
  <sheets>
    <sheet name="DesignSheet" sheetId="2" r:id="rId1"/>
    <sheet name="Data Sheet" sheetId="3" r:id="rId2"/>
    <sheet name="LoginSheet" sheetId="4" r:id="rId3"/>
    <sheet name="Form" sheetId="5" r:id="rId4"/>
    <sheet name="Performance Data Sheet" sheetId="11" r:id="rId5"/>
    <sheet name="STCurve" sheetId="6" r:id="rId6"/>
    <sheet name="Thermdam" sheetId="8" r:id="rId7"/>
    <sheet name="Performance 4000V" sheetId="10" r:id="rId8"/>
    <sheet name="Performance 2300V" sheetId="12" r:id="rId9"/>
    <sheet name="MagNoise" sheetId="9" r:id="rId10"/>
    <sheet name="StallTime" sheetId="7" r:id="rId11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'Performance 2300V'!$A$1:$F$43</definedName>
    <definedName name="_xlnm.Print_Area" localSheetId="7">'Performance 4000V'!$A$1:$F$43</definedName>
    <definedName name="_xlnm.Print_Area" localSheetId="4">'Performance Data Sheet'!$A$1:$M$45</definedName>
    <definedName name="_xlnm.Print_Area" localSheetId="10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'Performance 2300V'!$A$1:$F$43</definedName>
    <definedName name="Z_852987ED_B4F5_11D1_ABEC_0000832EB49E_.wvu.PrintArea" localSheetId="7" hidden="1">'Performance 4000V'!$A$1:$F$43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F9" i="10" l="1"/>
  <c r="F9" i="8"/>
  <c r="F9" i="6"/>
  <c r="D43" i="6"/>
  <c r="F8" i="8"/>
  <c r="F7" i="8"/>
  <c r="D7" i="8"/>
  <c r="B7" i="8"/>
  <c r="F6" i="8"/>
  <c r="B6" i="8"/>
  <c r="F8" i="10"/>
  <c r="F7" i="10"/>
  <c r="B7" i="10"/>
  <c r="B6" i="10"/>
  <c r="D43" i="10"/>
  <c r="F39" i="10"/>
  <c r="C39" i="10"/>
  <c r="D43" i="8"/>
  <c r="F39" i="8"/>
  <c r="C39" i="8"/>
  <c r="F39" i="6"/>
  <c r="C39" i="6"/>
  <c r="C12" i="6"/>
  <c r="F6" i="6"/>
  <c r="D7" i="6"/>
  <c r="F7" i="6"/>
  <c r="B7" i="6"/>
  <c r="B6" i="6"/>
  <c r="D43" i="12"/>
  <c r="F9" i="12"/>
  <c r="F8" i="12"/>
  <c r="F7" i="12"/>
  <c r="B7" i="12"/>
  <c r="B6" i="12"/>
  <c r="F8" i="6" l="1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<sst xmlns="http://schemas.openxmlformats.org/spreadsheetml/2006/main" count="1048" uniqueCount="772">
  <si>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</si>
  <si>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</si>
  <si>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</si>
  <si>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</si>
  <si>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</si>
  <si>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</si>
  <si>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</si>
  <si>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</si>
  <si>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</si>
  <si>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</si>
  <si>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</si>
  <si>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</si>
  <si>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</si>
  <si>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</si>
  <si>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</si>
  <si>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</si>
  <si>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</si>
  <si>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</si>
  <si>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</si>
  <si>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</si>
  <si>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</si>
  <si>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</si>
  <si>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</si>
  <si>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</si>
  <si>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</si>
  <si>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</si>
  <si>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</si>
  <si>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</si>
  <si>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</si>
  <si>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</si>
  <si>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</si>
  <si>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</si>
  <si>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</si>
  <si>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</si>
  <si>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</si>
  <si>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</si>
  <si>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</si>
  <si>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</si>
  <si>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</si>
  <si>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</si>
  <si>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</si>
  <si>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</si>
  <si>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</si>
  <si>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</si>
  <si>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</si>
  <si>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</si>
  <si>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</si>
  <si>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</si>
  <si>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</si>
  <si>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</si>
  <si>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</si>
  <si>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</si>
  <si>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</si>
  <si>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</si>
  <si>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</si>
  <si>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</si>
  <si>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</si>
  <si>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</si>
  <si>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</si>
  <si>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</si>
  <si>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</si>
  <si>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</si>
  <si>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</si>
  <si>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</si>
  <si>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</si>
  <si>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</si>
  <si>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</si>
  <si>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</si>
  <si>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</si>
  <si>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</si>
  <si>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</si>
  <si>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</si>
  <si>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</si>
  <si>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</si>
  <si>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</si>
  <si>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</si>
  <si>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</si>
  <si>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</si>
  <si>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</si>
  <si>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</si>
  <si>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</si>
  <si>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</si>
  <si>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</si>
  <si>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</si>
  <si>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</si>
  <si>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</si>
  <si>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</si>
  <si>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</si>
  <si>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</si>
  <si>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</si>
  <si>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</si>
  <si>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</si>
  <si>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</si>
  <si>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</si>
  <si>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</si>
  <si>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</si>
  <si>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</si>
  <si>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</si>
  <si>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</si>
  <si>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</si>
  <si>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</si>
  <si>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</si>
  <si>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</si>
  <si>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</si>
  <si>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</si>
  <si>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</si>
  <si>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</si>
  <si>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</si>
  <si>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</si>
  <si>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</si>
  <si>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</si>
  <si>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</si>
  <si>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</si>
  <si>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</si>
  <si>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</si>
  <si>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</si>
  <si>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</si>
  <si>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</si>
  <si>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</si>
  <si>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</si>
  <si>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</si>
  <si>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</si>
  <si>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</si>
  <si>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</si>
  <si>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</si>
  <si>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</si>
  <si>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</si>
  <si>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</si>
  <si>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</si>
  <si>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</si>
  <si>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</si>
  <si>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</si>
  <si>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</si>
  <si>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</si>
  <si>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</si>
  <si>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</si>
  <si>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</si>
  <si>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</si>
  <si>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</si>
  <si>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</si>
  <si>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</si>
  <si>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</si>
  <si>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</si>
  <si>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</si>
  <si>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</si>
  <si>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</si>
  <si>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</si>
  <si>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</si>
  <si>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</si>
  <si>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</si>
  <si>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</si>
  <si>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</si>
  <si>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</si>
  <si>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</si>
  <si>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</si>
  <si>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</si>
  <si>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</si>
  <si>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</si>
  <si>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</si>
  <si>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</si>
  <si>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</si>
  <si>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</si>
  <si>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</si>
  <si>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</si>
  <si>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</si>
  <si>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</si>
  <si>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</si>
  <si>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</si>
  <si>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</si>
  <si>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</si>
  <si>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</si>
  <si>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</si>
  <si>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</si>
  <si>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</si>
  <si>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</si>
  <si>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</si>
  <si>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</si>
  <si>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</si>
  <si>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</si>
  <si>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</si>
  <si>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</si>
  <si>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</si>
  <si>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</si>
  <si>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21 x 6</t>
  </si>
  <si>
    <t>1 ~ 11</t>
  </si>
  <si>
    <t>(.064"x.182")x2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</si>
  <si>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</si>
  <si>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</si>
  <si>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</si>
  <si>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</si>
  <si>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</si>
  <si>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</si>
  <si>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</si>
  <si>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</si>
  <si>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</si>
  <si>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</si>
  <si>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</si>
  <si>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</si>
  <si>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</si>
  <si>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0.0880)</t>
  </si>
  <si>
    <t>Skew R.: 0.00</t>
  </si>
  <si>
    <t>Z:\Motor R&amp;D\Active Projects\6810 Development\Electrical Design\TEAAC\6P\Series\BS6800U.rat</t>
  </si>
  <si>
    <t>2-2-2-0-1-2</t>
  </si>
  <si>
    <t>B.L.-1  P.F.-1</t>
  </si>
  <si>
    <t>7819.6 / 7082.0</t>
  </si>
  <si>
    <t>4380.9 / 4312.5</t>
  </si>
  <si>
    <t>18401.2 / 12973.6</t>
  </si>
  <si>
    <t>10116.0 / 9343.1</t>
  </si>
  <si>
    <t>7952.9 / 3013.7</t>
  </si>
  <si>
    <t>1099.2 / 416.5</t>
  </si>
  <si>
    <t>6853.7 / 2597.1</t>
  </si>
  <si>
    <t>1.75 / 0.66</t>
  </si>
  <si>
    <t>44 / 43</t>
  </si>
  <si>
    <t>Temp. Rise @ 100%:</t>
  </si>
  <si>
    <t>Stray Loss</t>
  </si>
  <si>
    <t>0.885 / 0.882</t>
  </si>
  <si>
    <t>0.933 / 0.929</t>
  </si>
  <si>
    <t>0.947 / 0.943</t>
  </si>
  <si>
    <t>0.952 / 0.948</t>
  </si>
  <si>
    <t>0.953 / 0.949</t>
  </si>
  <si>
    <t>0.685 / 0.676</t>
  </si>
  <si>
    <t>0.851 / 0.840</t>
  </si>
  <si>
    <t>0.898 / 0.886</t>
  </si>
  <si>
    <t>0.911 / 0.899</t>
  </si>
  <si>
    <t>0.912 / 0.900</t>
  </si>
  <si>
    <t>35.50 / 36.12</t>
  </si>
  <si>
    <t>54.24 / 55.19</t>
  </si>
  <si>
    <t>75.97 / 77.30</t>
  </si>
  <si>
    <t>99.26 / 100.99</t>
  </si>
  <si>
    <t>123.85 / 126.02</t>
  </si>
  <si>
    <t>3.44 / 3.50</t>
  </si>
  <si>
    <t>UB: 2.85 / 2.90</t>
  </si>
  <si>
    <t>UER: 2.47 / 2.51</t>
  </si>
  <si>
    <t>1197.9 / 1198.0</t>
  </si>
  <si>
    <t>1195.8 / 1195.9</t>
  </si>
  <si>
    <t>1193.8 / 1193.9</t>
  </si>
  <si>
    <t>1191.6 / 1191.7</t>
  </si>
  <si>
    <t>1189.5 / 1189.6</t>
  </si>
  <si>
    <t>0.0018 / 0.0017</t>
  </si>
  <si>
    <t>0.0035 / 0.0034</t>
  </si>
  <si>
    <t>0.0052 / 0.0051</t>
  </si>
  <si>
    <t>0.0070 / 0.0069</t>
  </si>
  <si>
    <t>0.0088 / 0.0087</t>
  </si>
  <si>
    <t>23.633 / 20.965</t>
  </si>
  <si>
    <t>1.147 / 1.017</t>
  </si>
  <si>
    <t>23.66 / 20.99</t>
  </si>
  <si>
    <t>562.7 / 536.0</t>
  </si>
  <si>
    <t>566.9 / 540.0</t>
  </si>
  <si>
    <t>427.0 / 367.6</t>
  </si>
  <si>
    <t>87.5 / 75.4</t>
  </si>
  <si>
    <t>256.3 / 226.1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</si>
  <si>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</si>
  <si>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</si>
  <si>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</si>
  <si>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</si>
  <si>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</si>
  <si>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</si>
  <si>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</si>
  <si>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</si>
  <si>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</si>
  <si>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</si>
  <si>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</si>
  <si>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</si>
  <si>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</si>
  <si>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</si>
  <si>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</si>
  <si>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</si>
  <si>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</si>
  <si>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</si>
  <si>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</si>
  <si>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</si>
  <si>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</si>
  <si>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</si>
  <si>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</si>
  <si>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</si>
  <si>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</si>
  <si>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</si>
  <si>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</si>
  <si>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</si>
  <si>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</si>
  <si>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</si>
  <si>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</si>
  <si>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</si>
  <si>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</si>
  <si>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</si>
  <si>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</si>
  <si>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</si>
  <si>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</si>
  <si>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</si>
  <si>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</si>
  <si>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</si>
  <si>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</si>
  <si>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</si>
  <si>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</si>
  <si>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</si>
  <si>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</si>
  <si>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</si>
  <si>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</si>
  <si>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</si>
  <si>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</si>
  <si>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</si>
  <si>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</si>
  <si>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</si>
  <si>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</si>
  <si>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</si>
  <si>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</si>
  <si>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</si>
  <si>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</si>
  <si>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</si>
  <si>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</si>
  <si>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</si>
  <si>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</si>
  <si>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</si>
  <si>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</si>
  <si>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</si>
  <si>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</si>
  <si>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</si>
  <si>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</si>
  <si>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</si>
  <si>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</si>
  <si>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</si>
  <si>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</si>
  <si>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</si>
  <si>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</si>
  <si>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</si>
  <si>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</si>
  <si>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</si>
  <si>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</si>
  <si>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</si>
  <si>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</si>
  <si>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</si>
  <si>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</si>
  <si>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</si>
  <si>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</si>
  <si>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</si>
  <si>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</si>
  <si>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</si>
  <si>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</si>
  <si>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</si>
  <si>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</si>
  <si>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</si>
  <si>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</si>
  <si>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</si>
  <si>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</si>
  <si>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</si>
  <si>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</si>
  <si>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</si>
  <si>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</si>
  <si>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</si>
  <si>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</si>
  <si>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</si>
  <si>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</si>
  <si>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</si>
  <si>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</si>
  <si>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</si>
  <si>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</si>
  <si>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</si>
  <si>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</si>
  <si>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</si>
  <si>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</si>
  <si>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</si>
  <si>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</si>
  <si>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</si>
  <si>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</si>
  <si>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BS6800U</t>
  </si>
  <si>
    <t>23 x 2</t>
  </si>
  <si>
    <t xml:space="preserve"> - </t>
  </si>
  <si>
    <t>350 / 1857</t>
  </si>
  <si>
    <t>290 / 251</t>
  </si>
  <si>
    <t>43 / 58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</si>
  <si>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</si>
  <si>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</si>
  <si>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</si>
  <si>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</si>
  <si>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</si>
  <si>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</si>
  <si>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</si>
  <si>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</si>
  <si>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</si>
  <si>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</si>
  <si>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</si>
  <si>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</si>
  <si>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1189.0</t>
  </si>
  <si>
    <t xml:space="preserve">11T: </t>
  </si>
  <si>
    <t xml:space="preserve">12T: </t>
  </si>
  <si>
    <t>0.0315 ~ 0.0303</t>
  </si>
  <si>
    <t>0.0344 ~ 0.0330</t>
  </si>
  <si>
    <t>AWG. 02 x 3</t>
  </si>
  <si>
    <t>0.00183</t>
  </si>
  <si>
    <t>11T: 20.08</t>
  </si>
  <si>
    <t>12T: 21.91</t>
  </si>
  <si>
    <t>11T: 9.65</t>
  </si>
  <si>
    <t>12T: 9.65</t>
  </si>
  <si>
    <t>13.30 ~ 12.90</t>
  </si>
  <si>
    <t>17.18</t>
  </si>
  <si>
    <t>3.55</t>
  </si>
  <si>
    <t xml:space="preserve"> (.064"x.182")x 2: </t>
  </si>
  <si>
    <t>580 lbs.</t>
  </si>
  <si>
    <t/>
  </si>
  <si>
    <t xml:space="preserve">1-2, 2-3, 3-1: </t>
  </si>
  <si>
    <t>0.403 ~ 0.379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</si>
  <si>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</si>
  <si>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</si>
  <si>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</si>
  <si>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</si>
  <si>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</si>
  <si>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</si>
  <si>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</si>
  <si>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</si>
  <si>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</si>
  <si>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</si>
  <si>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</si>
  <si>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</si>
  <si>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</si>
  <si>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</si>
  <si>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</si>
  <si>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</si>
  <si>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</si>
  <si>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</si>
  <si>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</si>
  <si>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</si>
  <si>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</si>
  <si>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</si>
  <si>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</si>
  <si>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</si>
  <si>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</si>
  <si>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</si>
  <si>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</si>
  <si>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</si>
  <si>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</si>
  <si>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</si>
  <si>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1115.3 lb-ft²</t>
  </si>
  <si>
    <t>536 A</t>
  </si>
  <si>
    <t>Load</t>
  </si>
  <si>
    <t>Fan / Pump</t>
  </si>
  <si>
    <t>1307.6 kg.m²</t>
  </si>
  <si>
    <t>Acceleration Data (FV V)</t>
  </si>
  <si>
    <t>18.5 (s)</t>
  </si>
  <si>
    <t>487.8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</si>
  <si>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</si>
  <si>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</si>
  <si>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</si>
  <si>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</si>
  <si>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</si>
  <si>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</si>
  <si>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</si>
  <si>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</si>
  <si>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</si>
  <si>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</si>
  <si>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</si>
  <si>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</si>
  <si>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</si>
  <si>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</si>
  <si>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</si>
  <si>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</si>
  <si>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</si>
  <si>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</si>
  <si>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</si>
  <si>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</si>
  <si>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</si>
  <si>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</si>
  <si>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</si>
  <si>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</si>
  <si>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</si>
  <si>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</si>
  <si>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</si>
  <si>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</si>
  <si>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</si>
  <si>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</si>
  <si>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</si>
  <si>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</si>
  <si>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</si>
  <si>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</si>
  <si>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</si>
  <si>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</si>
  <si>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</si>
  <si>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</si>
  <si>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</si>
  <si>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- 800.0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</si>
  <si>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</si>
  <si>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</si>
  <si>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</si>
  <si>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</si>
  <si>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</si>
  <si>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</si>
  <si>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</si>
  <si>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</si>
  <si>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</si>
  <si>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</si>
  <si>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</si>
  <si>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</si>
  <si>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</si>
  <si>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- 7757.0 lb-ft²</t>
  </si>
  <si>
    <t>75.1</t>
  </si>
  <si>
    <t>75.3</t>
  </si>
  <si>
    <t>75.7</t>
  </si>
  <si>
    <t>76.4</t>
  </si>
  <si>
    <t>77.5</t>
  </si>
  <si>
    <t>79.2</t>
  </si>
  <si>
    <t>82.3</t>
  </si>
  <si>
    <t>88.2</t>
  </si>
  <si>
    <t>98.7</t>
  </si>
  <si>
    <t>119.0</t>
  </si>
  <si>
    <t>178.9</t>
  </si>
  <si>
    <t>164.9</t>
  </si>
  <si>
    <t>102.4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</si>
  <si>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</si>
  <si>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</si>
  <si>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</si>
  <si>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</si>
  <si>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</si>
  <si>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</si>
  <si>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</si>
  <si>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</si>
  <si>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</si>
  <si>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</si>
  <si>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</si>
  <si>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</si>
  <si>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</si>
  <si>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1.940</t>
  </si>
  <si>
    <t>1.598</t>
  </si>
  <si>
    <t>1.490</t>
  </si>
  <si>
    <t>1.488</t>
  </si>
  <si>
    <t>1.571</t>
  </si>
  <si>
    <t>1.733</t>
  </si>
  <si>
    <t>2.009</t>
  </si>
  <si>
    <t>2.524</t>
  </si>
  <si>
    <t>1.465</t>
  </si>
  <si>
    <t>1.220</t>
  </si>
  <si>
    <t>0.581</t>
  </si>
  <si>
    <t>0.119</t>
  </si>
  <si>
    <t>0.755</t>
  </si>
  <si>
    <t>534.2</t>
  </si>
  <si>
    <t>530.3</t>
  </si>
  <si>
    <t>525.6</t>
  </si>
  <si>
    <t>519.7</t>
  </si>
  <si>
    <t>512.3</t>
  </si>
  <si>
    <t>503.0</t>
  </si>
  <si>
    <t>491.2</t>
  </si>
  <si>
    <t>476.2</t>
  </si>
  <si>
    <t>461.2</t>
  </si>
  <si>
    <t>442.7</t>
  </si>
  <si>
    <t>393.0</t>
  </si>
  <si>
    <t>233.9</t>
  </si>
  <si>
    <t>68.2</t>
  </si>
  <si>
    <t>442.4</t>
  </si>
  <si>
    <t>359.4</t>
  </si>
  <si>
    <t>330.0</t>
  </si>
  <si>
    <t>323.1</t>
  </si>
  <si>
    <t>332.4</t>
  </si>
  <si>
    <t>355.2</t>
  </si>
  <si>
    <t>394.9</t>
  </si>
  <si>
    <t>470.9</t>
  </si>
  <si>
    <t>254.2</t>
  </si>
  <si>
    <t>200.3</t>
  </si>
  <si>
    <t>85.5</t>
  </si>
  <si>
    <t>11.9</t>
  </si>
  <si>
    <t>6.1</t>
  </si>
  <si>
    <t>800.4</t>
  </si>
  <si>
    <t>591.6</t>
  </si>
  <si>
    <t>489.6</t>
  </si>
  <si>
    <t>427.3</t>
  </si>
  <si>
    <t>386.8</t>
  </si>
  <si>
    <t>356.8</t>
  </si>
  <si>
    <t>332.7</t>
  </si>
  <si>
    <t>316.2</t>
  </si>
  <si>
    <t>247.4</t>
  </si>
  <si>
    <t>161.2</t>
  </si>
  <si>
    <t>52.7</t>
  </si>
  <si>
    <t>19.1</t>
  </si>
  <si>
    <t>158.1</t>
  </si>
  <si>
    <t>3566 kW / s</t>
  </si>
  <si>
    <t>3638 kW / s</t>
  </si>
  <si>
    <t>702 kW / s</t>
  </si>
  <si>
    <t>37°C</t>
  </si>
  <si>
    <t>54°C</t>
  </si>
  <si>
    <t>42°C</t>
  </si>
  <si>
    <t>73°C</t>
  </si>
  <si>
    <t>107°C</t>
  </si>
  <si>
    <t>83°C</t>
  </si>
  <si>
    <t>Acceleration Time:  18.5 s</t>
  </si>
  <si>
    <t>2.5°C / s</t>
  </si>
  <si>
    <t>5.5°C / s</t>
  </si>
  <si>
    <t>4.3°C / s</t>
  </si>
  <si>
    <t>243.9 kW</t>
  </si>
  <si>
    <t>375.2 kW</t>
  </si>
  <si>
    <t>72.4 kW</t>
  </si>
  <si>
    <t>63.7 s</t>
  </si>
  <si>
    <t>47.1 s</t>
  </si>
  <si>
    <t>41.9 s</t>
  </si>
  <si>
    <t>43°C    +</t>
  </si>
  <si>
    <t>54°C    +</t>
  </si>
  <si>
    <t>117°C    +</t>
  </si>
  <si>
    <t>206°C   +</t>
  </si>
  <si>
    <t>126°C   +</t>
  </si>
  <si>
    <t>46.6 s</t>
  </si>
  <si>
    <t>37.4 s</t>
  </si>
  <si>
    <t>29.4 s</t>
  </si>
  <si>
    <t>85.4 s</t>
  </si>
  <si>
    <t>60.0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</si>
  <si>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</si>
  <si>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</si>
  <si>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</si>
  <si>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</si>
  <si>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</si>
  <si>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</si>
  <si>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</si>
  <si>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</si>
  <si>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</si>
  <si>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</si>
  <si>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</si>
  <si>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</si>
  <si>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</si>
  <si>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</si>
  <si>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</si>
  <si>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</si>
  <si>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</si>
  <si>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</si>
  <si>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</si>
  <si>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</si>
  <si>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</si>
  <si>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</si>
  <si>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</si>
  <si>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</si>
  <si>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</si>
  <si>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</si>
  <si>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</si>
  <si>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</si>
  <si>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1271.9 Hz</t>
  </si>
  <si>
    <t>1040.0 Hz</t>
  </si>
  <si>
    <t>1031.9 Hz</t>
  </si>
  <si>
    <t>1160.0 Hz</t>
  </si>
  <si>
    <t>1151.9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</si>
  <si>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</si>
  <si>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</si>
  <si>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</si>
  <si>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</si>
  <si>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</si>
  <si>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</si>
  <si>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</si>
  <si>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</si>
  <si>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</si>
  <si>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</si>
  <si>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</si>
  <si>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</si>
  <si>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</si>
  <si>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</si>
  <si>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</si>
  <si>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</si>
  <si>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</si>
  <si>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</si>
  <si>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</si>
  <si>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</si>
  <si>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</si>
  <si>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</si>
  <si>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</si>
  <si>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</si>
  <si>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</si>
  <si>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</si>
  <si>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</si>
  <si>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</si>
  <si>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</si>
  <si>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</si>
  <si>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</si>
  <si>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</si>
  <si>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</si>
  <si>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</si>
  <si>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</si>
  <si>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</si>
  <si>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</si>
  <si>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</si>
  <si>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</si>
  <si>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</si>
  <si>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</si>
  <si>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</si>
  <si>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</si>
  <si>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</si>
  <si>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</si>
  <si>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</si>
  <si>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</si>
  <si>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</si>
  <si>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</si>
  <si>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</si>
  <si>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</si>
  <si>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</si>
  <si>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</si>
  <si>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</si>
  <si>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</si>
  <si>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</si>
  <si>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</si>
  <si>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</si>
  <si>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</si>
  <si>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</si>
  <si>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</si>
  <si>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</si>
  <si>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</si>
  <si>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</si>
  <si>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</si>
  <si>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</si>
  <si>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</si>
  <si>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</si>
  <si>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</si>
  <si>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</si>
  <si>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</si>
  <si>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</si>
  <si>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</si>
  <si>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</si>
  <si>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</si>
  <si>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</si>
  <si>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</si>
  <si>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</si>
  <si>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</si>
  <si>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</si>
  <si>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</si>
  <si>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</si>
  <si>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</si>
  <si>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</si>
  <si>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</si>
  <si>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</si>
  <si>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</si>
  <si>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</si>
  <si>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</si>
  <si>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</si>
  <si>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</si>
  <si>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</si>
  <si>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</si>
  <si>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</si>
  <si>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</si>
  <si>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</si>
  <si>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</si>
  <si>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</si>
  <si>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</si>
  <si>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</si>
  <si>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</si>
  <si>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</si>
  <si>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</si>
  <si>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</si>
  <si>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</si>
  <si>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</si>
  <si>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</si>
  <si>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</si>
  <si>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</si>
  <si>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</si>
  <si>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</si>
  <si>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</si>
  <si>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</si>
  <si>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</si>
  <si>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</si>
  <si>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</si>
  <si>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</si>
  <si>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</si>
  <si>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11, 12</t>
  </si>
  <si>
    <t>Outer Fan: 550OD</t>
  </si>
  <si>
    <t>Rev 0: First Issue</t>
  </si>
  <si>
    <t>Limits: BS6800U</t>
  </si>
  <si>
    <t>M11-125 INS</t>
  </si>
  <si>
    <t>TEAAC</t>
  </si>
  <si>
    <t>3525 lb-ft</t>
  </si>
  <si>
    <t>Type: TIKE - Form: FCW4 - 6 Pole - 800 HP - 4000 V - 60 Hz - 6810US - Class F</t>
  </si>
  <si>
    <t>FCW4</t>
  </si>
  <si>
    <t>A. Gracia</t>
  </si>
  <si>
    <t>AG</t>
  </si>
  <si>
    <t>8007TCQL11E-C</t>
  </si>
  <si>
    <t>176 / 101</t>
  </si>
  <si>
    <t>924 / 536</t>
  </si>
  <si>
    <t>2 x Delta / 2 x Wye</t>
  </si>
  <si>
    <t>REV1. ADDED 2300V DATA JROD 06/30/2022</t>
  </si>
  <si>
    <t>LINK: P149087. RAT &amp; DAT</t>
  </si>
  <si>
    <t>101 A</t>
  </si>
  <si>
    <t>2300 V</t>
  </si>
  <si>
    <t>176 A</t>
  </si>
  <si>
    <t>924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</si>
</sst>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14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71" fontId="60" fillId="0" borderId="0" xfId="5" applyBorder="1"/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104.79071775056615</c:v>
                </c:pt>
                <c:pt idx="2">
                  <c:v>225</c:v>
                </c:pt>
                <c:pt idx="3">
                  <c:v>132.83446669235235</c:v>
                </c:pt>
                <c:pt idx="4">
                  <c:v>105.12558899139877</c:v>
                </c:pt>
                <c:pt idx="5">
                  <c:v>92.293974118465925</c:v>
                </c:pt>
                <c:pt idx="6">
                  <c:v>84.176581873385743</c:v>
                </c:pt>
                <c:pt idx="7">
                  <c:v>80.353138851111765</c:v>
                </c:pt>
                <c:pt idx="8">
                  <c:v>78.135971069740677</c:v>
                </c:pt>
                <c:pt idx="9">
                  <c:v>76.767941437067876</c:v>
                </c:pt>
                <c:pt idx="10">
                  <c:v>75.936081322555722</c:v>
                </c:pt>
                <c:pt idx="11">
                  <c:v>75.438485520920295</c:v>
                </c:pt>
                <c:pt idx="12">
                  <c:v>75.154330783558208</c:v>
                </c:pt>
                <c:pt idx="1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92-418C-B192-FEC8B7AA2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71168"/>
        <c:axId val="161273344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0.23426343500614166</c:v>
                </c:pt>
                <c:pt idx="1">
                  <c:v>111.31684875488281</c:v>
                </c:pt>
                <c:pt idx="2">
                  <c:v>351.87313842773438</c:v>
                </c:pt>
                <c:pt idx="3">
                  <c:v>426.37747192382813</c:v>
                </c:pt>
                <c:pt idx="4">
                  <c:v>450.2503662109375</c:v>
                </c:pt>
                <c:pt idx="5">
                  <c:v>462.9967041015625</c:v>
                </c:pt>
                <c:pt idx="6">
                  <c:v>479.967041015625</c:v>
                </c:pt>
                <c:pt idx="7">
                  <c:v>492.78759765625</c:v>
                </c:pt>
                <c:pt idx="8">
                  <c:v>503.16143798828125</c:v>
                </c:pt>
                <c:pt idx="9">
                  <c:v>511.27804565429688</c:v>
                </c:pt>
                <c:pt idx="10">
                  <c:v>517.8095703125</c:v>
                </c:pt>
                <c:pt idx="11">
                  <c:v>522.91143798828125</c:v>
                </c:pt>
                <c:pt idx="12">
                  <c:v>527.1348876953125</c:v>
                </c:pt>
                <c:pt idx="13">
                  <c:v>530.69305419921875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92-418C-B192-FEC8B7AA2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75264"/>
        <c:axId val="161281152"/>
      </c:scatterChart>
      <c:valAx>
        <c:axId val="16127116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273344"/>
        <c:crossesAt val="0"/>
        <c:crossBetween val="midCat"/>
        <c:majorUnit val="0.2"/>
        <c:minorUnit val="0.2"/>
      </c:valAx>
      <c:valAx>
        <c:axId val="161273344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271168"/>
        <c:crosses val="max"/>
        <c:crossBetween val="midCat"/>
        <c:majorUnit val="50"/>
        <c:minorUnit val="50"/>
      </c:valAx>
      <c:valAx>
        <c:axId val="16127526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61281152"/>
        <c:crosses val="autoZero"/>
        <c:crossBetween val="midCat"/>
      </c:valAx>
      <c:valAx>
        <c:axId val="16128115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27526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104.79071775056615</c:v>
                </c:pt>
                <c:pt idx="2">
                  <c:v>225</c:v>
                </c:pt>
                <c:pt idx="3">
                  <c:v>132.83446669235235</c:v>
                </c:pt>
                <c:pt idx="4">
                  <c:v>105.12558899139877</c:v>
                </c:pt>
                <c:pt idx="5">
                  <c:v>92.293974118465925</c:v>
                </c:pt>
                <c:pt idx="6">
                  <c:v>84.176581873385743</c:v>
                </c:pt>
                <c:pt idx="7">
                  <c:v>80.353138851111765</c:v>
                </c:pt>
                <c:pt idx="8">
                  <c:v>78.135971069740677</c:v>
                </c:pt>
                <c:pt idx="9">
                  <c:v>76.767941437067876</c:v>
                </c:pt>
                <c:pt idx="10">
                  <c:v>75.936081322555722</c:v>
                </c:pt>
                <c:pt idx="11">
                  <c:v>75.438485520920295</c:v>
                </c:pt>
                <c:pt idx="12">
                  <c:v>75.154330783558208</c:v>
                </c:pt>
                <c:pt idx="1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73-47F2-AEC8-D7DB212F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09408"/>
        <c:axId val="13301132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0.23426343500614166</c:v>
                </c:pt>
                <c:pt idx="1">
                  <c:v>111.31684875488281</c:v>
                </c:pt>
                <c:pt idx="2">
                  <c:v>351.87313842773438</c:v>
                </c:pt>
                <c:pt idx="3">
                  <c:v>426.37747192382813</c:v>
                </c:pt>
                <c:pt idx="4">
                  <c:v>450.2503662109375</c:v>
                </c:pt>
                <c:pt idx="5">
                  <c:v>462.9967041015625</c:v>
                </c:pt>
                <c:pt idx="6">
                  <c:v>479.967041015625</c:v>
                </c:pt>
                <c:pt idx="7">
                  <c:v>492.78759765625</c:v>
                </c:pt>
                <c:pt idx="8">
                  <c:v>503.16143798828125</c:v>
                </c:pt>
                <c:pt idx="9">
                  <c:v>511.27804565429688</c:v>
                </c:pt>
                <c:pt idx="10">
                  <c:v>517.8095703125</c:v>
                </c:pt>
                <c:pt idx="11">
                  <c:v>522.91143798828125</c:v>
                </c:pt>
                <c:pt idx="12">
                  <c:v>527.1348876953125</c:v>
                </c:pt>
                <c:pt idx="13">
                  <c:v>530.69305419921875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73-47F2-AEC8-D7DB212F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21696"/>
        <c:axId val="133023232"/>
      </c:scatterChart>
      <c:valAx>
        <c:axId val="13300940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3011328"/>
        <c:crosses val="autoZero"/>
        <c:crossBetween val="midCat"/>
        <c:majorUnit val="20"/>
        <c:minorUnit val="20"/>
      </c:valAx>
      <c:valAx>
        <c:axId val="133011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3009408"/>
        <c:crosses val="autoZero"/>
        <c:crossBetween val="midCat"/>
      </c:valAx>
      <c:valAx>
        <c:axId val="13302169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33023232"/>
        <c:crosses val="autoZero"/>
        <c:crossBetween val="midCat"/>
      </c:valAx>
      <c:valAx>
        <c:axId val="133023232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3021696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530.69306930693074</c:v>
                </c:pt>
                <c:pt idx="1">
                  <c:v>468.46826930693072</c:v>
                </c:pt>
                <c:pt idx="2">
                  <c:v>406.22480000000002</c:v>
                </c:pt>
                <c:pt idx="3">
                  <c:v>344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44.915321817478109</c:v>
                </c:pt>
                <c:pt idx="2">
                  <c:v>59.734056597902111</c:v>
                </c:pt>
                <c:pt idx="3">
                  <c:v>83.298655382676273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7E-48FD-9A8D-8686AA212162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530.69306930693074</c:v>
                </c:pt>
                <c:pt idx="1">
                  <c:v>468.46826930693072</c:v>
                </c:pt>
                <c:pt idx="2">
                  <c:v>406.22480000000002</c:v>
                </c:pt>
                <c:pt idx="3">
                  <c:v>344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19.249423636062044</c:v>
                </c:pt>
                <c:pt idx="2">
                  <c:v>25.600309970529477</c:v>
                </c:pt>
                <c:pt idx="3">
                  <c:v>35.699423735432688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7E-48FD-9A8D-8686AA212162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244</c:v>
                </c:pt>
                <c:pt idx="1">
                  <c:v>144</c:v>
                </c:pt>
                <c:pt idx="2">
                  <c:v>225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83.447447054936532</c:v>
                </c:pt>
                <c:pt idx="3">
                  <c:v>130.38663602333835</c:v>
                </c:pt>
                <c:pt idx="4">
                  <c:v>200.92875182669022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7E-48FD-9A8D-8686AA212162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530.69306930693074</c:v>
                </c:pt>
                <c:pt idx="1">
                  <c:v>528.91089108910899</c:v>
                </c:pt>
                <c:pt idx="2">
                  <c:v>525.04950495049502</c:v>
                </c:pt>
                <c:pt idx="3">
                  <c:v>520.39603960396039</c:v>
                </c:pt>
                <c:pt idx="4">
                  <c:v>514.55445544554459</c:v>
                </c:pt>
                <c:pt idx="5">
                  <c:v>507.22772277227716</c:v>
                </c:pt>
                <c:pt idx="6">
                  <c:v>498.019801980198</c:v>
                </c:pt>
                <c:pt idx="7">
                  <c:v>486.33663366336634</c:v>
                </c:pt>
                <c:pt idx="8">
                  <c:v>471.48514851485146</c:v>
                </c:pt>
                <c:pt idx="9">
                  <c:v>456.63366336633663</c:v>
                </c:pt>
                <c:pt idx="10">
                  <c:v>438.31683168316829</c:v>
                </c:pt>
                <c:pt idx="11">
                  <c:v>389.10891089108912</c:v>
                </c:pt>
                <c:pt idx="12">
                  <c:v>231.58415841584159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1.940000057220459</c:v>
                </c:pt>
                <c:pt idx="2">
                  <c:v>3.5380001068115234</c:v>
                </c:pt>
                <c:pt idx="3">
                  <c:v>5.0279998779296875</c:v>
                </c:pt>
                <c:pt idx="4">
                  <c:v>6.5159997940063477</c:v>
                </c:pt>
                <c:pt idx="5">
                  <c:v>8.0869998931884766</c:v>
                </c:pt>
                <c:pt idx="6">
                  <c:v>9.8199996948242188</c:v>
                </c:pt>
                <c:pt idx="7">
                  <c:v>11.828999519348145</c:v>
                </c:pt>
                <c:pt idx="8">
                  <c:v>14.352999687194824</c:v>
                </c:pt>
                <c:pt idx="9">
                  <c:v>15.817999839782715</c:v>
                </c:pt>
                <c:pt idx="10">
                  <c:v>17.038000106811523</c:v>
                </c:pt>
                <c:pt idx="11">
                  <c:v>17.618999481201172</c:v>
                </c:pt>
                <c:pt idx="12">
                  <c:v>17.737998962402344</c:v>
                </c:pt>
                <c:pt idx="13">
                  <c:v>18.492998123168945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7E-48FD-9A8D-8686AA212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82560"/>
        <c:axId val="161684480"/>
      </c:scatterChart>
      <c:valAx>
        <c:axId val="16168256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84480"/>
        <c:crossesAt val="0.1"/>
        <c:crossBetween val="midCat"/>
        <c:majorUnit val="100"/>
      </c:valAx>
      <c:valAx>
        <c:axId val="16168448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8256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88.166595458984375</c:v>
                </c:pt>
                <c:pt idx="2">
                  <c:v>92.921783447265625</c:v>
                </c:pt>
                <c:pt idx="3">
                  <c:v>94.33941650390625</c:v>
                </c:pt>
                <c:pt idx="4">
                  <c:v>94.834358215332031</c:v>
                </c:pt>
                <c:pt idx="5">
                  <c:v>94.941146850585938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C6-456E-8755-5069D2BF0391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67.614967346191406</c:v>
                </c:pt>
                <c:pt idx="1">
                  <c:v>83.969680786132813</c:v>
                </c:pt>
                <c:pt idx="2">
                  <c:v>88.574241638183594</c:v>
                </c:pt>
                <c:pt idx="3">
                  <c:v>89.925254821777344</c:v>
                </c:pt>
                <c:pt idx="4">
                  <c:v>89.981719970703125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C6-456E-8755-5069D2BF0391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89.753735619515851</c:v>
                </c:pt>
                <c:pt idx="2">
                  <c:v>79.660183117758265</c:v>
                </c:pt>
                <c:pt idx="3">
                  <c:v>69.314258273030305</c:v>
                </c:pt>
                <c:pt idx="4">
                  <c:v>58.655933239406011</c:v>
                </c:pt>
                <c:pt idx="5">
                  <c:v>47.947318154533036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C6-456E-8755-5069D2BF0391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0.78849999999999998</c:v>
                </c:pt>
                <c:pt idx="1">
                  <c:v>10.573813332004896</c:v>
                </c:pt>
                <c:pt idx="2">
                  <c:v>20.065419174782512</c:v>
                </c:pt>
                <c:pt idx="3">
                  <c:v>29.645846771953284</c:v>
                </c:pt>
                <c:pt idx="4">
                  <c:v>39.321501892936595</c:v>
                </c:pt>
                <c:pt idx="5">
                  <c:v>49.09659182001095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C6-456E-8755-5069D2BF0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40192"/>
        <c:axId val="163246464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24.072987779039995</c:v>
                </c:pt>
                <c:pt idx="1">
                  <c:v>36.116104125976563</c:v>
                </c:pt>
                <c:pt idx="2">
                  <c:v>55.187129974365234</c:v>
                </c:pt>
                <c:pt idx="3">
                  <c:v>77.298049926757813</c:v>
                </c:pt>
                <c:pt idx="4">
                  <c:v>100.98584747314453</c:v>
                </c:pt>
                <c:pt idx="5">
                  <c:v>126.01119995117188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C6-456E-8755-5069D2BF0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48384"/>
        <c:axId val="163516416"/>
      </c:scatterChart>
      <c:valAx>
        <c:axId val="16324019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246464"/>
        <c:crossesAt val="0"/>
        <c:crossBetween val="midCat"/>
        <c:majorUnit val="25"/>
        <c:minorUnit val="12.5"/>
      </c:valAx>
      <c:valAx>
        <c:axId val="16324646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240192"/>
        <c:crosses val="autoZero"/>
        <c:crossBetween val="midCat"/>
        <c:majorUnit val="10"/>
        <c:minorUnit val="5"/>
      </c:valAx>
      <c:valAx>
        <c:axId val="16324838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3516416"/>
        <c:crosses val="autoZero"/>
        <c:crossBetween val="midCat"/>
      </c:valAx>
      <c:valAx>
        <c:axId val="163516416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248384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88.166595458984375</c:v>
                </c:pt>
                <c:pt idx="2">
                  <c:v>92.921783447265625</c:v>
                </c:pt>
                <c:pt idx="3">
                  <c:v>94.33941650390625</c:v>
                </c:pt>
                <c:pt idx="4">
                  <c:v>94.834358215332031</c:v>
                </c:pt>
                <c:pt idx="5">
                  <c:v>94.941146850585938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92-4C2F-A701-6E88A71A65FD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67.614967346191406</c:v>
                </c:pt>
                <c:pt idx="1">
                  <c:v>83.969680786132813</c:v>
                </c:pt>
                <c:pt idx="2">
                  <c:v>88.574241638183594</c:v>
                </c:pt>
                <c:pt idx="3">
                  <c:v>89.925254821777344</c:v>
                </c:pt>
                <c:pt idx="4">
                  <c:v>89.981719970703125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92-4C2F-A701-6E88A71A65FD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89.753735619515851</c:v>
                </c:pt>
                <c:pt idx="2">
                  <c:v>79.660183117758265</c:v>
                </c:pt>
                <c:pt idx="3">
                  <c:v>69.314258273030305</c:v>
                </c:pt>
                <c:pt idx="4">
                  <c:v>58.655933239406011</c:v>
                </c:pt>
                <c:pt idx="5">
                  <c:v>47.947318154533036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92-4C2F-A701-6E88A71A65FD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0.78849999999999998</c:v>
                </c:pt>
                <c:pt idx="1">
                  <c:v>10.573813332004896</c:v>
                </c:pt>
                <c:pt idx="2">
                  <c:v>20.065419174782512</c:v>
                </c:pt>
                <c:pt idx="3">
                  <c:v>29.645846771953284</c:v>
                </c:pt>
                <c:pt idx="4">
                  <c:v>39.321501892936595</c:v>
                </c:pt>
                <c:pt idx="5">
                  <c:v>49.09659182001095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92-4C2F-A701-6E88A71A6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40192"/>
        <c:axId val="163246464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41.695637923281936</c:v>
                </c:pt>
                <c:pt idx="1">
                  <c:v>62.554927317639361</c:v>
                </c:pt>
                <c:pt idx="2">
                  <c:v>95.586913039507891</c:v>
                </c:pt>
                <c:pt idx="3">
                  <c:v>133.88414979914026</c:v>
                </c:pt>
                <c:pt idx="4">
                  <c:v>176</c:v>
                </c:pt>
                <c:pt idx="5">
                  <c:v>218.25780063815051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C92-4C2F-A701-6E88A71A6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48384"/>
        <c:axId val="163516416"/>
      </c:scatterChart>
      <c:valAx>
        <c:axId val="16324019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246464"/>
        <c:crossesAt val="0"/>
        <c:crossBetween val="midCat"/>
        <c:majorUnit val="25"/>
        <c:minorUnit val="12.5"/>
      </c:valAx>
      <c:valAx>
        <c:axId val="16324646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240192"/>
        <c:crosses val="autoZero"/>
        <c:crossBetween val="midCat"/>
        <c:majorUnit val="10"/>
        <c:minorUnit val="5"/>
      </c:valAx>
      <c:valAx>
        <c:axId val="16324838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3516416"/>
        <c:crosses val="autoZero"/>
        <c:crossBetween val="midCat"/>
      </c:valAx>
      <c:valAx>
        <c:axId val="163516416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248384"/>
        <c:crosses val="max"/>
        <c:crossBetween val="midCat"/>
        <c:majorUnit val="6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54455" y="7778115"/>
          <a:ext cx="82105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49680" y="6273165"/>
          <a:ext cx="95440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739140</xdr:colOff>
      <xdr:row>39</xdr:row>
      <xdr:rowOff>171450</xdr:rowOff>
    </xdr:from>
    <xdr:to>
      <xdr:col>4</xdr:col>
      <xdr:colOff>765913</xdr:colOff>
      <xdr:row>40</xdr:row>
      <xdr:rowOff>104775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72690" y="91535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238125</xdr:colOff>
      <xdr:row>39</xdr:row>
      <xdr:rowOff>161925</xdr:rowOff>
    </xdr:from>
    <xdr:to>
      <xdr:col>3</xdr:col>
      <xdr:colOff>842126</xdr:colOff>
      <xdr:row>43</xdr:row>
      <xdr:rowOff>9525</xdr:rowOff>
    </xdr:to>
    <xdr:grpSp>
      <xdr:nvGrpSpPr>
        <xdr:cNvPr id="97" name="Group 96"/>
        <xdr:cNvGrpSpPr/>
      </xdr:nvGrpSpPr>
      <xdr:grpSpPr>
        <a:xfrm>
          <a:off x="1068705" y="9130665"/>
          <a:ext cx="1548881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739140</xdr:colOff>
      <xdr:row>33</xdr:row>
      <xdr:rowOff>133350</xdr:rowOff>
    </xdr:from>
    <xdr:to>
      <xdr:col>4</xdr:col>
      <xdr:colOff>765913</xdr:colOff>
      <xdr:row>34</xdr:row>
      <xdr:rowOff>66675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72690" y="77438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729615</xdr:colOff>
      <xdr:row>27</xdr:row>
      <xdr:rowOff>171450</xdr:rowOff>
    </xdr:from>
    <xdr:to>
      <xdr:col>4</xdr:col>
      <xdr:colOff>756388</xdr:colOff>
      <xdr:row>28</xdr:row>
      <xdr:rowOff>104775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63165" y="64103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0.57854</cdr:x>
      <cdr:y>0.61549</cdr:y>
    </cdr:from>
    <cdr:to>
      <cdr:x>0.81439</cdr:x>
      <cdr:y>0.63618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83509" y="39630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0.56877</cdr:x>
      <cdr:y>0.52461</cdr:y>
    </cdr:from>
    <cdr:to>
      <cdr:x>0.85159</cdr:x>
      <cdr:y>0.54974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6359" y="33779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16</xdr:row>
      <xdr:rowOff>85724</xdr:rowOff>
    </xdr:from>
    <xdr:to>
      <xdr:col>1</xdr:col>
      <xdr:colOff>19050</xdr:colOff>
      <xdr:row>17</xdr:row>
      <xdr:rowOff>104775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47700" y="398144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638175</xdr:colOff>
      <xdr:row>18</xdr:row>
      <xdr:rowOff>28574</xdr:rowOff>
    </xdr:from>
    <xdr:to>
      <xdr:col>1</xdr:col>
      <xdr:colOff>9525</xdr:colOff>
      <xdr:row>19</xdr:row>
      <xdr:rowOff>47625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38175" y="440054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628650</xdr:colOff>
      <xdr:row>19</xdr:row>
      <xdr:rowOff>200024</xdr:rowOff>
    </xdr:from>
    <xdr:to>
      <xdr:col>1</xdr:col>
      <xdr:colOff>0</xdr:colOff>
      <xdr:row>20</xdr:row>
      <xdr:rowOff>219075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28650" y="4810124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628650</xdr:colOff>
      <xdr:row>21</xdr:row>
      <xdr:rowOff>133349</xdr:rowOff>
    </xdr:from>
    <xdr:to>
      <xdr:col>1</xdr:col>
      <xdr:colOff>0</xdr:colOff>
      <xdr:row>22</xdr:row>
      <xdr:rowOff>152400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28650" y="521969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638175</xdr:colOff>
      <xdr:row>23</xdr:row>
      <xdr:rowOff>66674</xdr:rowOff>
    </xdr:from>
    <xdr:to>
      <xdr:col>1</xdr:col>
      <xdr:colOff>9525</xdr:colOff>
      <xdr:row>24</xdr:row>
      <xdr:rowOff>85725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38175" y="5629274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638175</xdr:colOff>
      <xdr:row>24</xdr:row>
      <xdr:rowOff>238124</xdr:rowOff>
    </xdr:from>
    <xdr:to>
      <xdr:col>1</xdr:col>
      <xdr:colOff>9525</xdr:colOff>
      <xdr:row>26</xdr:row>
      <xdr:rowOff>19050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38175" y="603884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628650</xdr:colOff>
      <xdr:row>26</xdr:row>
      <xdr:rowOff>171449</xdr:rowOff>
    </xdr:from>
    <xdr:to>
      <xdr:col>1</xdr:col>
      <xdr:colOff>0</xdr:colOff>
      <xdr:row>27</xdr:row>
      <xdr:rowOff>190500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28650" y="6448424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28</xdr:row>
      <xdr:rowOff>104774</xdr:rowOff>
    </xdr:from>
    <xdr:to>
      <xdr:col>0</xdr:col>
      <xdr:colOff>1104900</xdr:colOff>
      <xdr:row>29</xdr:row>
      <xdr:rowOff>123825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19125" y="685799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619125</xdr:colOff>
      <xdr:row>30</xdr:row>
      <xdr:rowOff>47624</xdr:rowOff>
    </xdr:from>
    <xdr:to>
      <xdr:col>0</xdr:col>
      <xdr:colOff>1104900</xdr:colOff>
      <xdr:row>31</xdr:row>
      <xdr:rowOff>66675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19125" y="727709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31</xdr:row>
      <xdr:rowOff>219074</xdr:rowOff>
    </xdr:from>
    <xdr:to>
      <xdr:col>0</xdr:col>
      <xdr:colOff>1104900</xdr:colOff>
      <xdr:row>33</xdr:row>
      <xdr:rowOff>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19125" y="7686674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628650</xdr:colOff>
      <xdr:row>33</xdr:row>
      <xdr:rowOff>152399</xdr:rowOff>
    </xdr:from>
    <xdr:to>
      <xdr:col>1</xdr:col>
      <xdr:colOff>0</xdr:colOff>
      <xdr:row>34</xdr:row>
      <xdr:rowOff>171450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28650" y="8096249"/>
          <a:ext cx="485775" cy="2571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314325</xdr:colOff>
      <xdr:row>16</xdr:row>
      <xdr:rowOff>85724</xdr:rowOff>
    </xdr:from>
    <xdr:to>
      <xdr:col>5</xdr:col>
      <xdr:colOff>800100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86450" y="3981449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338015</xdr:colOff>
      <xdr:row>24</xdr:row>
      <xdr:rowOff>238124</xdr:rowOff>
    </xdr:from>
    <xdr:to>
      <xdr:col>5</xdr:col>
      <xdr:colOff>886069</xdr:colOff>
      <xdr:row>26</xdr:row>
      <xdr:rowOff>1905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10140" y="6038849"/>
          <a:ext cx="548054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333375</xdr:colOff>
      <xdr:row>26</xdr:row>
      <xdr:rowOff>180974</xdr:rowOff>
    </xdr:from>
    <xdr:to>
      <xdr:col>5</xdr:col>
      <xdr:colOff>819150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05500" y="6457949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342900</xdr:colOff>
      <xdr:row>28</xdr:row>
      <xdr:rowOff>114299</xdr:rowOff>
    </xdr:from>
    <xdr:to>
      <xdr:col>5</xdr:col>
      <xdr:colOff>828675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15025" y="686752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333375</xdr:colOff>
      <xdr:row>30</xdr:row>
      <xdr:rowOff>38099</xdr:rowOff>
    </xdr:from>
    <xdr:to>
      <xdr:col>5</xdr:col>
      <xdr:colOff>819150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05500" y="726757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333375</xdr:colOff>
      <xdr:row>31</xdr:row>
      <xdr:rowOff>219074</xdr:rowOff>
    </xdr:from>
    <xdr:to>
      <xdr:col>5</xdr:col>
      <xdr:colOff>819150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05500" y="768667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657225</xdr:colOff>
      <xdr:row>23</xdr:row>
      <xdr:rowOff>9525</xdr:rowOff>
    </xdr:from>
    <xdr:to>
      <xdr:col>5</xdr:col>
      <xdr:colOff>876300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293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333375</xdr:colOff>
      <xdr:row>23</xdr:row>
      <xdr:rowOff>66674</xdr:rowOff>
    </xdr:from>
    <xdr:to>
      <xdr:col>5</xdr:col>
      <xdr:colOff>819150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05500" y="562927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960</a:t>
          </a:r>
        </a:p>
      </xdr:txBody>
    </xdr:sp>
    <xdr:clientData/>
  </xdr:twoCellAnchor>
  <xdr:twoCellAnchor>
    <xdr:from>
      <xdr:col>5</xdr:col>
      <xdr:colOff>333375</xdr:colOff>
      <xdr:row>21</xdr:row>
      <xdr:rowOff>133349</xdr:rowOff>
    </xdr:from>
    <xdr:to>
      <xdr:col>5</xdr:col>
      <xdr:colOff>819150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05500" y="5219699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323850</xdr:colOff>
      <xdr:row>19</xdr:row>
      <xdr:rowOff>200024</xdr:rowOff>
    </xdr:from>
    <xdr:to>
      <xdr:col>5</xdr:col>
      <xdr:colOff>809625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895975" y="4810124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1280</a:t>
          </a:r>
        </a:p>
      </xdr:txBody>
    </xdr:sp>
    <xdr:clientData/>
  </xdr:twoCellAnchor>
  <xdr:twoCellAnchor>
    <xdr:from>
      <xdr:col>5</xdr:col>
      <xdr:colOff>323850</xdr:colOff>
      <xdr:row>18</xdr:row>
      <xdr:rowOff>28574</xdr:rowOff>
    </xdr:from>
    <xdr:to>
      <xdr:col>5</xdr:col>
      <xdr:colOff>809625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895975" y="4400549"/>
          <a:ext cx="485775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895350</xdr:colOff>
      <xdr:row>18</xdr:row>
      <xdr:rowOff>161925</xdr:rowOff>
    </xdr:from>
    <xdr:to>
      <xdr:col>4</xdr:col>
      <xdr:colOff>114300</xdr:colOff>
      <xdr:row>19</xdr:row>
      <xdr:rowOff>95250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38625" y="45339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638175</xdr:colOff>
      <xdr:row>31</xdr:row>
      <xdr:rowOff>180975</xdr:rowOff>
    </xdr:from>
    <xdr:to>
      <xdr:col>3</xdr:col>
      <xdr:colOff>28575</xdr:colOff>
      <xdr:row>32</xdr:row>
      <xdr:rowOff>95250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867025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321896</xdr:colOff>
      <xdr:row>33</xdr:row>
      <xdr:rowOff>142874</xdr:rowOff>
    </xdr:from>
    <xdr:to>
      <xdr:col>5</xdr:col>
      <xdr:colOff>832583</xdr:colOff>
      <xdr:row>34</xdr:row>
      <xdr:rowOff>144780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894021" y="8086724"/>
          <a:ext cx="510687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16</xdr:row>
      <xdr:rowOff>85724</xdr:rowOff>
    </xdr:from>
    <xdr:to>
      <xdr:col>1</xdr:col>
      <xdr:colOff>19050</xdr:colOff>
      <xdr:row>17</xdr:row>
      <xdr:rowOff>104775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47700" y="3956684"/>
          <a:ext cx="514350" cy="2552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638175</xdr:colOff>
      <xdr:row>18</xdr:row>
      <xdr:rowOff>28574</xdr:rowOff>
    </xdr:from>
    <xdr:to>
      <xdr:col>1</xdr:col>
      <xdr:colOff>9525</xdr:colOff>
      <xdr:row>19</xdr:row>
      <xdr:rowOff>47625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38175" y="4371974"/>
          <a:ext cx="514350" cy="2552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628650</xdr:colOff>
      <xdr:row>19</xdr:row>
      <xdr:rowOff>200024</xdr:rowOff>
    </xdr:from>
    <xdr:to>
      <xdr:col>1</xdr:col>
      <xdr:colOff>0</xdr:colOff>
      <xdr:row>20</xdr:row>
      <xdr:rowOff>219075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28650" y="4779644"/>
          <a:ext cx="514350" cy="2552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628650</xdr:colOff>
      <xdr:row>21</xdr:row>
      <xdr:rowOff>133349</xdr:rowOff>
    </xdr:from>
    <xdr:to>
      <xdr:col>1</xdr:col>
      <xdr:colOff>0</xdr:colOff>
      <xdr:row>22</xdr:row>
      <xdr:rowOff>152400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28650" y="5185409"/>
          <a:ext cx="514350" cy="2552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638175</xdr:colOff>
      <xdr:row>23</xdr:row>
      <xdr:rowOff>66674</xdr:rowOff>
    </xdr:from>
    <xdr:to>
      <xdr:col>1</xdr:col>
      <xdr:colOff>9525</xdr:colOff>
      <xdr:row>24</xdr:row>
      <xdr:rowOff>85725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38175" y="5591174"/>
          <a:ext cx="514350" cy="2552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638175</xdr:colOff>
      <xdr:row>24</xdr:row>
      <xdr:rowOff>238124</xdr:rowOff>
    </xdr:from>
    <xdr:to>
      <xdr:col>1</xdr:col>
      <xdr:colOff>9525</xdr:colOff>
      <xdr:row>26</xdr:row>
      <xdr:rowOff>19050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38175" y="5998844"/>
          <a:ext cx="514350" cy="2533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628650</xdr:colOff>
      <xdr:row>26</xdr:row>
      <xdr:rowOff>171449</xdr:rowOff>
    </xdr:from>
    <xdr:to>
      <xdr:col>1</xdr:col>
      <xdr:colOff>0</xdr:colOff>
      <xdr:row>27</xdr:row>
      <xdr:rowOff>190500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28650" y="6404609"/>
          <a:ext cx="514350" cy="2552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28</xdr:row>
      <xdr:rowOff>104774</xdr:rowOff>
    </xdr:from>
    <xdr:to>
      <xdr:col>0</xdr:col>
      <xdr:colOff>1104900</xdr:colOff>
      <xdr:row>29</xdr:row>
      <xdr:rowOff>123825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19125" y="6810374"/>
          <a:ext cx="485775" cy="2552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619125</xdr:colOff>
      <xdr:row>30</xdr:row>
      <xdr:rowOff>47624</xdr:rowOff>
    </xdr:from>
    <xdr:to>
      <xdr:col>0</xdr:col>
      <xdr:colOff>1104900</xdr:colOff>
      <xdr:row>31</xdr:row>
      <xdr:rowOff>66675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19125" y="7225664"/>
          <a:ext cx="485775" cy="2552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31</xdr:row>
      <xdr:rowOff>219074</xdr:rowOff>
    </xdr:from>
    <xdr:to>
      <xdr:col>0</xdr:col>
      <xdr:colOff>1104900</xdr:colOff>
      <xdr:row>33</xdr:row>
      <xdr:rowOff>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19125" y="7633334"/>
          <a:ext cx="485775" cy="2533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628650</xdr:colOff>
      <xdr:row>33</xdr:row>
      <xdr:rowOff>152399</xdr:rowOff>
    </xdr:from>
    <xdr:to>
      <xdr:col>1</xdr:col>
      <xdr:colOff>0</xdr:colOff>
      <xdr:row>34</xdr:row>
      <xdr:rowOff>171450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28650" y="8039099"/>
          <a:ext cx="514350" cy="2552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865495"/>
          <a:ext cx="209550" cy="5772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314325</xdr:colOff>
      <xdr:row>16</xdr:row>
      <xdr:rowOff>85724</xdr:rowOff>
    </xdr:from>
    <xdr:to>
      <xdr:col>5</xdr:col>
      <xdr:colOff>800100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6029325" y="3956684"/>
          <a:ext cx="485775" cy="2266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338015</xdr:colOff>
      <xdr:row>24</xdr:row>
      <xdr:rowOff>238124</xdr:rowOff>
    </xdr:from>
    <xdr:to>
      <xdr:col>5</xdr:col>
      <xdr:colOff>886069</xdr:colOff>
      <xdr:row>26</xdr:row>
      <xdr:rowOff>1905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6053015" y="5998844"/>
          <a:ext cx="548054" cy="2362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333375</xdr:colOff>
      <xdr:row>26</xdr:row>
      <xdr:rowOff>180974</xdr:rowOff>
    </xdr:from>
    <xdr:to>
      <xdr:col>5</xdr:col>
      <xdr:colOff>819150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6048375" y="6414134"/>
          <a:ext cx="485775" cy="2266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342900</xdr:colOff>
      <xdr:row>28</xdr:row>
      <xdr:rowOff>114299</xdr:rowOff>
    </xdr:from>
    <xdr:to>
      <xdr:col>5</xdr:col>
      <xdr:colOff>828675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6057900" y="6819899"/>
          <a:ext cx="485775" cy="2266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333375</xdr:colOff>
      <xdr:row>30</xdr:row>
      <xdr:rowOff>38099</xdr:rowOff>
    </xdr:from>
    <xdr:to>
      <xdr:col>5</xdr:col>
      <xdr:colOff>819150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6048375" y="7216139"/>
          <a:ext cx="485775" cy="2266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333375</xdr:colOff>
      <xdr:row>31</xdr:row>
      <xdr:rowOff>219074</xdr:rowOff>
    </xdr:from>
    <xdr:to>
      <xdr:col>5</xdr:col>
      <xdr:colOff>819150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6048375" y="7633334"/>
          <a:ext cx="485775" cy="2266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657225</xdr:colOff>
      <xdr:row>23</xdr:row>
      <xdr:rowOff>9525</xdr:rowOff>
    </xdr:from>
    <xdr:to>
      <xdr:col>5</xdr:col>
      <xdr:colOff>876300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72225" y="5534025"/>
          <a:ext cx="219075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333375</xdr:colOff>
      <xdr:row>23</xdr:row>
      <xdr:rowOff>66674</xdr:rowOff>
    </xdr:from>
    <xdr:to>
      <xdr:col>5</xdr:col>
      <xdr:colOff>819150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6048375" y="5591174"/>
          <a:ext cx="485775" cy="2266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960</a:t>
          </a:r>
        </a:p>
      </xdr:txBody>
    </xdr:sp>
    <xdr:clientData/>
  </xdr:twoCellAnchor>
  <xdr:twoCellAnchor>
    <xdr:from>
      <xdr:col>5</xdr:col>
      <xdr:colOff>333375</xdr:colOff>
      <xdr:row>21</xdr:row>
      <xdr:rowOff>133349</xdr:rowOff>
    </xdr:from>
    <xdr:to>
      <xdr:col>5</xdr:col>
      <xdr:colOff>819150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6048375" y="5185409"/>
          <a:ext cx="485775" cy="2266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323850</xdr:colOff>
      <xdr:row>19</xdr:row>
      <xdr:rowOff>200024</xdr:rowOff>
    </xdr:from>
    <xdr:to>
      <xdr:col>5</xdr:col>
      <xdr:colOff>809625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6038850" y="4779644"/>
          <a:ext cx="485775" cy="2266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1280</a:t>
          </a:r>
        </a:p>
      </xdr:txBody>
    </xdr:sp>
    <xdr:clientData/>
  </xdr:twoCellAnchor>
  <xdr:twoCellAnchor>
    <xdr:from>
      <xdr:col>5</xdr:col>
      <xdr:colOff>323850</xdr:colOff>
      <xdr:row>18</xdr:row>
      <xdr:rowOff>28574</xdr:rowOff>
    </xdr:from>
    <xdr:to>
      <xdr:col>5</xdr:col>
      <xdr:colOff>809625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6038850" y="4371974"/>
          <a:ext cx="485775" cy="2266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143250" y="4126230"/>
          <a:ext cx="3714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895350</xdr:colOff>
      <xdr:row>18</xdr:row>
      <xdr:rowOff>161925</xdr:rowOff>
    </xdr:from>
    <xdr:to>
      <xdr:col>4</xdr:col>
      <xdr:colOff>114300</xdr:colOff>
      <xdr:row>19</xdr:row>
      <xdr:rowOff>95250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324350" y="4505325"/>
          <a:ext cx="361950" cy="16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543300" y="534543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43125" y="6970395"/>
          <a:ext cx="4667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638175</xdr:colOff>
      <xdr:row>31</xdr:row>
      <xdr:rowOff>180975</xdr:rowOff>
    </xdr:from>
    <xdr:to>
      <xdr:col>3</xdr:col>
      <xdr:colOff>28575</xdr:colOff>
      <xdr:row>32</xdr:row>
      <xdr:rowOff>95250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924175" y="7595235"/>
          <a:ext cx="533400" cy="15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321896</xdr:colOff>
      <xdr:row>33</xdr:row>
      <xdr:rowOff>142874</xdr:rowOff>
    </xdr:from>
    <xdr:to>
      <xdr:col>5</xdr:col>
      <xdr:colOff>832583</xdr:colOff>
      <xdr:row>34</xdr:row>
      <xdr:rowOff>144780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6036896" y="8029574"/>
          <a:ext cx="510687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zoomScale="95" zoomScaleNormal="95" workbookViewId="0">
      <selection activeCell="B3" sqref="B3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</cols>
  <sheetData>
    <row r="1" spans="1:10" ht="17.399999999999999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7.399999999999999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0.37134259259259261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799.99998363668738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705.60134986765058</v>
      </c>
    </row>
    <row r="10" spans="1:10" ht="15" customHeight="1">
      <c r="A10" s="7" t="s">
        <v>27</v>
      </c>
      <c r="B10" s="71">
        <v>654</v>
      </c>
      <c r="C10" s="75">
        <v>654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24155.686029597557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23</v>
      </c>
      <c r="F13" s="126"/>
      <c r="G13" s="118" t="s">
        <v>191</v>
      </c>
      <c r="H13" s="11" t="s">
        <v>40</v>
      </c>
      <c r="I13" s="70">
        <v>1.0284131572919286</v>
      </c>
      <c r="J13" s="106">
        <v>99.25592041015625</v>
      </c>
    </row>
    <row r="14" spans="1:10" ht="15" customHeight="1" thickBot="1">
      <c r="A14" s="136" t="s">
        <v>41</v>
      </c>
      <c r="B14" s="137">
        <v>491.04000854492188</v>
      </c>
      <c r="C14" s="138">
        <v>491.04000854492188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16.735280797101449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463.00832955483804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1189</v>
      </c>
      <c r="F18" s="72">
        <v>785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276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0.19833397243697068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0.26457518130589996</v>
      </c>
      <c r="F21" s="69">
        <v>0.14889331161975861</v>
      </c>
      <c r="G21" s="73">
        <v>2.8750562099168545E-2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5.6412367820739746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8.7004671736194474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3.3448887071459383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0.44221904873847961</v>
      </c>
      <c r="J25" s="74">
        <v>0.81730711460113525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252.26438580456514</v>
      </c>
      <c r="F26" s="71">
        <v>176.49673281612397</v>
      </c>
      <c r="G26" s="75">
        <v>43.799240591961784</v>
      </c>
      <c r="H26" s="11" t="s">
        <v>80</v>
      </c>
      <c r="I26" s="70">
        <v>4.6768946647644043</v>
      </c>
      <c r="J26" s="74">
        <v>4.022254467010498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4.6977548599243164</v>
      </c>
      <c r="J27" s="83">
        <v>4.1044511795043945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618.71041076660163</v>
      </c>
      <c r="G30" s="71">
        <v>10.978589542309937</v>
      </c>
      <c r="H30" s="76">
        <v>104.6186158545092</v>
      </c>
      <c r="I30" s="72">
        <v>73084.414919945324</v>
      </c>
      <c r="J30" s="76">
        <v>3016.2971292415918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674.8513080570242</v>
      </c>
      <c r="G31" s="71">
        <v>10.065280402163101</v>
      </c>
      <c r="H31" s="76">
        <v>25.000946974516506</v>
      </c>
      <c r="I31" s="72">
        <v>25104.4686597213</v>
      </c>
      <c r="J31" s="76">
        <v>900.10441994941925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12.76794540327414</v>
      </c>
      <c r="F32" s="71">
        <v>921.68210446807882</v>
      </c>
      <c r="G32" s="71">
        <v>7.3697510371871928</v>
      </c>
      <c r="H32" s="76">
        <v>25.792899407292747</v>
      </c>
      <c r="I32" s="10" t="s">
        <v>100</v>
      </c>
      <c r="J32" s="76">
        <v>3916.4015491910113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3.6549999237060549</v>
      </c>
      <c r="F33" s="71">
        <v>682.1604368234365</v>
      </c>
      <c r="G33" s="71">
        <v>9.9574341733902365</v>
      </c>
      <c r="H33" s="76">
        <v>14.472697179723458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6.7925676453604984</v>
      </c>
      <c r="D34" s="12" t="s">
        <v>20</v>
      </c>
      <c r="E34" s="81">
        <v>0.20999999046325685</v>
      </c>
      <c r="F34" s="82">
        <v>1261.6892067259423</v>
      </c>
      <c r="G34" s="82">
        <v>5.3837090855259611</v>
      </c>
      <c r="H34" s="85">
        <v>899.6868278621663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8806.73046875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9.2127812558849502</v>
      </c>
      <c r="C42" s="70">
        <v>9.2127812558849502</v>
      </c>
      <c r="D42" s="70">
        <v>9.2127812558849502</v>
      </c>
      <c r="E42" s="70">
        <v>9.2127812558849502</v>
      </c>
      <c r="F42" s="74">
        <v>9.2127812558849502</v>
      </c>
      <c r="G42" s="37" t="s">
        <v>124</v>
      </c>
      <c r="H42" s="93" t="s">
        <v>248</v>
      </c>
      <c r="I42" s="57"/>
      <c r="J42" s="99">
        <v>0.19913294989603572</v>
      </c>
    </row>
    <row r="43" spans="1:10" ht="15" customHeight="1" thickBot="1">
      <c r="A43" s="18" t="s">
        <v>125</v>
      </c>
      <c r="B43" s="81">
        <v>9.2127812558849502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1540.1574898762262</v>
      </c>
      <c r="I44" s="92">
        <v>3.7922663877981717E-2</v>
      </c>
      <c r="J44" s="99">
        <v>0.63056054446776766</v>
      </c>
    </row>
    <row r="45" spans="1:10" ht="15" customHeight="1">
      <c r="A45" s="7" t="s">
        <v>129</v>
      </c>
      <c r="B45" s="70">
        <v>0.26065760850906372</v>
      </c>
      <c r="C45" s="5" t="s">
        <v>130</v>
      </c>
      <c r="D45" s="74">
        <v>1.1339708231389523E-2</v>
      </c>
      <c r="E45" s="7" t="s">
        <v>131</v>
      </c>
      <c r="F45" s="76">
        <v>603.64818080345094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0.18360744416713715</v>
      </c>
      <c r="C46" s="5" t="s">
        <v>133</v>
      </c>
      <c r="D46" s="74">
        <v>6.9740158505737782E-3</v>
      </c>
      <c r="E46" s="7" t="s">
        <v>134</v>
      </c>
      <c r="F46" s="76">
        <v>1081.6446319785978</v>
      </c>
      <c r="G46" s="38" t="s">
        <v>135</v>
      </c>
      <c r="H46" s="96">
        <v>339.16808465296816</v>
      </c>
      <c r="I46" s="59"/>
      <c r="J46" s="60"/>
    </row>
    <row r="47" spans="1:10" ht="15" customHeight="1">
      <c r="A47" s="7" t="s">
        <v>136</v>
      </c>
      <c r="B47" s="70">
        <v>0.44426506757736206</v>
      </c>
      <c r="C47" s="5" t="s">
        <v>137</v>
      </c>
      <c r="D47" s="74">
        <v>1.6950402408838272E-2</v>
      </c>
      <c r="E47" s="7" t="s">
        <v>138</v>
      </c>
      <c r="F47" s="76">
        <v>886.15271651580815</v>
      </c>
      <c r="G47" s="66" t="s">
        <v>139</v>
      </c>
      <c r="H47" s="95">
        <v>1482.9177206336967</v>
      </c>
      <c r="I47" s="92">
        <v>3.6436788608871347E-2</v>
      </c>
      <c r="J47" s="97">
        <v>0.64403911801330838</v>
      </c>
    </row>
    <row r="48" spans="1:10" ht="15" customHeight="1">
      <c r="A48" s="7" t="s">
        <v>140</v>
      </c>
      <c r="B48" s="70">
        <v>1.1584899388253689E-2</v>
      </c>
      <c r="C48" s="5" t="s">
        <v>100</v>
      </c>
      <c r="D48" s="74">
        <v>4.6849027276039124E-2</v>
      </c>
      <c r="E48" s="7" t="s">
        <v>141</v>
      </c>
      <c r="F48" s="76">
        <v>267.8519691676745</v>
      </c>
      <c r="G48" s="67" t="s">
        <v>122</v>
      </c>
      <c r="H48" s="88">
        <v>248.47817542987687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0.95315098762512207</v>
      </c>
      <c r="E49" s="18" t="s">
        <v>143</v>
      </c>
      <c r="F49" s="85">
        <v>580.71045156799892</v>
      </c>
      <c r="G49" s="68" t="s">
        <v>135</v>
      </c>
      <c r="H49" s="96">
        <v>332.33146618010932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5.9326227317229106E-2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166054.22603295412</v>
      </c>
      <c r="I52" s="100" t="s">
        <v>230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188.00458127005709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350710.8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401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402</v>
      </c>
      <c r="D58" s="4" t="s">
        <v>119</v>
      </c>
      <c r="E58" s="4" t="s">
        <v>165</v>
      </c>
      <c r="F58" s="17" t="s">
        <v>403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0.23426343500614166</v>
      </c>
      <c r="D59" s="130">
        <v>0.68736839294433594</v>
      </c>
      <c r="E59" s="88">
        <v>75.936081322555722</v>
      </c>
      <c r="F59" s="89">
        <v>517.8095703125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104.79071775056615</v>
      </c>
      <c r="C60" s="89">
        <v>111.31684875488281</v>
      </c>
      <c r="D60" s="130">
        <v>0.79157894849777222</v>
      </c>
      <c r="E60" s="88">
        <v>75.438485520920295</v>
      </c>
      <c r="F60" s="89">
        <v>522.91143798828125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225</v>
      </c>
      <c r="C61" s="89">
        <v>351.87313842773438</v>
      </c>
      <c r="D61" s="130">
        <v>0.89578944444656372</v>
      </c>
      <c r="E61" s="88">
        <v>75.154330783558208</v>
      </c>
      <c r="F61" s="89">
        <v>527.1348876953125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132.83446669235235</v>
      </c>
      <c r="C62" s="89">
        <v>426.37747192382813</v>
      </c>
      <c r="D62" s="131">
        <v>1</v>
      </c>
      <c r="E62" s="88">
        <v>75</v>
      </c>
      <c r="F62" s="89">
        <v>530.69305419921875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105.12558899139877</v>
      </c>
      <c r="C63" s="89">
        <v>450.2503662109375</v>
      </c>
      <c r="D63" s="382"/>
      <c r="E63" s="383"/>
      <c r="F63" s="384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92.293974118465925</v>
      </c>
      <c r="C64" s="89">
        <v>462.9967041015625</v>
      </c>
      <c r="D64" s="385" t="s">
        <v>436</v>
      </c>
      <c r="E64" s="386"/>
      <c r="F64" s="386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84.176581873385743</v>
      </c>
      <c r="C65" s="89">
        <v>479.967041015625</v>
      </c>
      <c r="D65" s="387" t="s">
        <v>420</v>
      </c>
      <c r="E65" s="389" t="s">
        <v>434</v>
      </c>
      <c r="F65" s="390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80.353138851111765</v>
      </c>
      <c r="C66" s="89">
        <v>492.78759765625</v>
      </c>
      <c r="D66" s="387" t="s">
        <v>417</v>
      </c>
      <c r="E66" s="389" t="s">
        <v>435</v>
      </c>
      <c r="F66" s="390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78.135971069740677</v>
      </c>
      <c r="C67" s="89">
        <v>503.16143798828125</v>
      </c>
      <c r="D67" s="387" t="s">
        <v>424</v>
      </c>
      <c r="E67" s="389" t="s">
        <v>437</v>
      </c>
      <c r="F67" s="390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76.767941437067876</v>
      </c>
      <c r="C68" s="91">
        <v>511.27804565429688</v>
      </c>
      <c r="D68" s="388" t="s">
        <v>425</v>
      </c>
      <c r="E68" s="391" t="s">
        <v>438</v>
      </c>
      <c r="F68" s="391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1" t="s">
        <v>433</v>
      </c>
      <c r="B99" s="381"/>
      <c r="C99" s="381"/>
      <c r="D99" s="381"/>
      <c r="E99" s="381"/>
      <c r="F99" s="381"/>
      <c r="G99" s="381"/>
      <c r="H99" s="381"/>
      <c r="I99" s="381"/>
    </row>
    <row r="100" spans="1:9">
      <c r="A100" s="381">
        <v>100</v>
      </c>
      <c r="B100" s="381"/>
      <c r="C100" s="381"/>
      <c r="D100" s="381"/>
      <c r="E100" s="381"/>
      <c r="F100" s="381"/>
      <c r="G100" s="381"/>
      <c r="H100" s="381"/>
      <c r="I100" s="381"/>
    </row>
    <row r="101" spans="1:9">
      <c r="A101" s="381">
        <v>99.599998474121094</v>
      </c>
      <c r="B101" s="381"/>
      <c r="C101" s="381"/>
      <c r="D101" s="381"/>
      <c r="E101" s="381"/>
      <c r="F101" s="381"/>
      <c r="G101" s="381"/>
      <c r="H101" s="381"/>
      <c r="I101" s="381"/>
    </row>
    <row r="102" spans="1:9">
      <c r="A102" s="381">
        <v>98</v>
      </c>
      <c r="B102" s="381"/>
      <c r="C102" s="381"/>
      <c r="D102" s="381"/>
      <c r="E102" s="381"/>
      <c r="F102" s="381"/>
      <c r="G102" s="381"/>
      <c r="H102" s="381"/>
      <c r="I102" s="381"/>
    </row>
    <row r="103" spans="1:9">
      <c r="A103" s="381">
        <v>83.852630615234375</v>
      </c>
      <c r="B103" s="381"/>
      <c r="C103" s="381"/>
      <c r="D103" s="381"/>
      <c r="E103" s="381"/>
      <c r="F103" s="381"/>
      <c r="G103" s="381"/>
      <c r="H103" s="381"/>
      <c r="I103" s="381"/>
    </row>
    <row r="104" spans="1:9">
      <c r="A104" s="381">
        <v>70.305259704589844</v>
      </c>
      <c r="B104" s="381"/>
      <c r="C104" s="381"/>
      <c r="D104" s="381"/>
      <c r="E104" s="381"/>
      <c r="F104" s="381"/>
      <c r="G104" s="381"/>
      <c r="H104" s="381"/>
      <c r="I104" s="381"/>
    </row>
    <row r="105" spans="1:9">
      <c r="A105" s="381">
        <v>57.410526275634766</v>
      </c>
      <c r="B105" s="381"/>
      <c r="C105" s="381"/>
      <c r="D105" s="381"/>
      <c r="E105" s="381"/>
      <c r="F105" s="381"/>
      <c r="G105" s="381"/>
      <c r="H105" s="381"/>
      <c r="I105" s="381"/>
    </row>
    <row r="106" spans="1:9">
      <c r="A106" s="381">
        <v>38.010524749755859</v>
      </c>
      <c r="B106" s="381"/>
      <c r="C106" s="381"/>
      <c r="D106" s="381"/>
      <c r="E106" s="381"/>
      <c r="F106" s="381"/>
      <c r="G106" s="381"/>
      <c r="H106" s="381"/>
      <c r="I106" s="381"/>
    </row>
    <row r="107" spans="1:9">
      <c r="A107" s="381">
        <v>24.778947830200195</v>
      </c>
      <c r="B107" s="381"/>
      <c r="C107" s="381"/>
      <c r="D107" s="381"/>
      <c r="E107" s="381"/>
      <c r="F107" s="381"/>
      <c r="G107" s="381"/>
      <c r="H107" s="381"/>
      <c r="I107" s="381"/>
    </row>
    <row r="108" spans="1:9">
      <c r="A108" s="381">
        <v>15.684209823608398</v>
      </c>
      <c r="B108" s="381"/>
      <c r="C108" s="381"/>
      <c r="D108" s="381"/>
      <c r="E108" s="381"/>
      <c r="F108" s="381"/>
      <c r="G108" s="381"/>
      <c r="H108" s="381"/>
      <c r="I108" s="381"/>
    </row>
    <row r="109" spans="1:9">
      <c r="A109" s="381">
        <v>9.0105257034301758</v>
      </c>
      <c r="B109" s="381"/>
      <c r="C109" s="381"/>
      <c r="D109" s="381"/>
      <c r="E109" s="381"/>
      <c r="F109" s="381"/>
      <c r="G109" s="381"/>
      <c r="H109" s="381"/>
      <c r="I109" s="381"/>
    </row>
    <row r="110" spans="1:9">
      <c r="A110" s="381">
        <v>6.2526321411132813</v>
      </c>
      <c r="B110" s="381"/>
      <c r="C110" s="381"/>
      <c r="D110" s="381"/>
      <c r="E110" s="381"/>
      <c r="F110" s="381"/>
      <c r="G110" s="381"/>
      <c r="H110" s="381"/>
      <c r="I110" s="381"/>
    </row>
    <row r="111" spans="1:9">
      <c r="A111" s="381">
        <v>7.8315787315368652</v>
      </c>
      <c r="B111" s="381"/>
      <c r="C111" s="381"/>
      <c r="D111" s="381"/>
      <c r="E111" s="381"/>
      <c r="F111" s="381"/>
      <c r="G111" s="381"/>
      <c r="H111" s="381"/>
      <c r="I111" s="381"/>
    </row>
    <row r="112" spans="1:9">
      <c r="A112" s="381">
        <v>14.70526123046875</v>
      </c>
      <c r="B112" s="381"/>
      <c r="C112" s="381"/>
      <c r="D112" s="381"/>
      <c r="E112" s="381"/>
      <c r="F112" s="381"/>
      <c r="G112" s="381"/>
      <c r="H112" s="381"/>
      <c r="I112" s="381"/>
    </row>
    <row r="113" spans="1:9">
      <c r="A113" s="381">
        <v>30</v>
      </c>
      <c r="B113" s="381"/>
      <c r="C113" s="381"/>
      <c r="D113" s="381"/>
      <c r="E113" s="381"/>
      <c r="F113" s="381"/>
      <c r="G113" s="381"/>
      <c r="H113" s="381"/>
      <c r="I113" s="381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opLeftCell="A29" workbookViewId="0">
      <selection activeCell="L40" sqref="L40"/>
    </sheetView>
  </sheetViews>
  <sheetFormatPr defaultColWidth="9.109375" defaultRowHeight="15"/>
  <cols>
    <col min="1" max="1" width="12.109375" style="304" customWidth="1"/>
    <col min="2" max="2" width="6.109375" style="304" customWidth="1"/>
    <col min="3" max="3" width="7.6640625" style="304" customWidth="1"/>
    <col min="4" max="5" width="13.109375" style="304" customWidth="1"/>
    <col min="6" max="6" width="9.44140625" style="304" customWidth="1"/>
    <col min="7" max="7" width="5.6640625" style="304" customWidth="1"/>
    <col min="8" max="8" width="7.88671875" style="304" customWidth="1"/>
    <col min="9" max="9" width="6.5546875" style="304" customWidth="1"/>
    <col min="10" max="10" width="12" style="305" customWidth="1"/>
    <col min="11" max="11" width="12" style="304" customWidth="1"/>
    <col min="12" max="12" width="16" style="153" customWidth="1"/>
    <col min="13" max="26" width="9.109375" style="153"/>
    <col min="27" max="16384" width="9.109375" style="154"/>
  </cols>
  <sheetData>
    <row r="1" spans="1:26" ht="20.25" customHeight="1">
      <c r="A1" s="557" t="s">
        <v>252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</row>
    <row r="2" spans="1:26" ht="20.25" customHeight="1">
      <c r="A2" s="558" t="s">
        <v>253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</row>
    <row r="3" spans="1:26" ht="18.75" customHeight="1" thickBot="1">
      <c r="A3" s="155" t="s">
        <v>1</v>
      </c>
      <c r="B3" s="156" t="s">
        <v>364</v>
      </c>
      <c r="C3" s="157"/>
      <c r="D3" s="157"/>
      <c r="E3" s="157"/>
      <c r="F3" s="158"/>
      <c r="G3" s="157"/>
      <c r="H3" s="157"/>
      <c r="I3" s="155" t="s">
        <v>254</v>
      </c>
      <c r="J3" s="559" t="s">
        <v>762</v>
      </c>
      <c r="K3" s="559"/>
    </row>
    <row r="4" spans="1:26" s="167" customFormat="1" ht="18.45" customHeight="1" thickBot="1">
      <c r="A4" s="159" t="s">
        <v>758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45" customHeight="1">
      <c r="A5" s="560" t="s">
        <v>257</v>
      </c>
      <c r="B5" s="561"/>
      <c r="C5" s="561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45" customHeight="1">
      <c r="A6" s="562" t="s">
        <v>67</v>
      </c>
      <c r="B6" s="563"/>
      <c r="C6" s="563"/>
      <c r="D6" s="564" t="s">
        <v>266</v>
      </c>
      <c r="E6" s="565"/>
      <c r="F6" s="566" t="s">
        <v>264</v>
      </c>
      <c r="G6" s="567"/>
      <c r="H6" s="567"/>
      <c r="I6" s="567"/>
      <c r="J6" s="567"/>
      <c r="K6" s="568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45" customHeight="1">
      <c r="A7" s="572" t="s">
        <v>20</v>
      </c>
      <c r="B7" s="573"/>
      <c r="C7" s="573"/>
      <c r="D7" s="574">
        <v>2.0999999046325701</v>
      </c>
      <c r="E7" s="575"/>
      <c r="F7" s="178" t="s">
        <v>267</v>
      </c>
      <c r="G7" s="179"/>
      <c r="H7" s="180"/>
      <c r="I7" s="181"/>
      <c r="J7" s="182">
        <v>21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45" customHeight="1">
      <c r="A8" s="572" t="s">
        <v>269</v>
      </c>
      <c r="B8" s="573"/>
      <c r="C8" s="573"/>
      <c r="D8" s="576">
        <v>654</v>
      </c>
      <c r="E8" s="577"/>
      <c r="F8" s="184" t="s">
        <v>270</v>
      </c>
      <c r="G8" s="185"/>
      <c r="H8" s="186"/>
      <c r="I8" s="187"/>
      <c r="J8" s="188">
        <v>12616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45" customHeight="1">
      <c r="A9" s="578" t="s">
        <v>273</v>
      </c>
      <c r="B9" s="579"/>
      <c r="C9" s="580"/>
      <c r="D9" s="576" t="s">
        <v>751</v>
      </c>
      <c r="E9" s="577"/>
      <c r="F9" s="178" t="s">
        <v>274</v>
      </c>
      <c r="G9" s="179"/>
      <c r="H9" s="190">
        <v>3</v>
      </c>
      <c r="I9" s="191" t="s">
        <v>275</v>
      </c>
      <c r="J9" s="192">
        <v>161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45" customHeight="1" thickBot="1">
      <c r="A10" s="578" t="s">
        <v>278</v>
      </c>
      <c r="B10" s="579"/>
      <c r="C10" s="580"/>
      <c r="D10" s="581" t="s">
        <v>185</v>
      </c>
      <c r="E10" s="582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45" customHeight="1" thickBot="1">
      <c r="A11" s="578" t="s">
        <v>282</v>
      </c>
      <c r="B11" s="579"/>
      <c r="C11" s="580"/>
      <c r="D11" s="583" t="s">
        <v>174</v>
      </c>
      <c r="E11" s="584"/>
      <c r="F11" s="195" t="s">
        <v>283</v>
      </c>
      <c r="G11" s="196"/>
      <c r="H11" s="197">
        <v>3</v>
      </c>
      <c r="I11" s="191" t="s">
        <v>275</v>
      </c>
      <c r="J11" s="198">
        <v>49632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45" customHeight="1">
      <c r="A12" s="201" t="s">
        <v>285</v>
      </c>
      <c r="C12" s="202"/>
      <c r="D12" s="585" t="s">
        <v>174</v>
      </c>
      <c r="E12" s="586"/>
      <c r="F12" s="569" t="s">
        <v>286</v>
      </c>
      <c r="G12" s="570"/>
      <c r="H12" s="570"/>
      <c r="I12" s="570"/>
      <c r="J12" s="570"/>
      <c r="K12" s="571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45" customHeight="1">
      <c r="A13" s="578" t="s">
        <v>53</v>
      </c>
      <c r="B13" s="579"/>
      <c r="C13" s="580"/>
      <c r="D13" s="587" t="s">
        <v>765</v>
      </c>
      <c r="E13" s="588"/>
      <c r="F13" s="203"/>
      <c r="G13" s="204" t="s">
        <v>287</v>
      </c>
      <c r="H13" s="205"/>
      <c r="I13" s="206" t="s">
        <v>288</v>
      </c>
      <c r="J13" s="207" t="s">
        <v>369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45" customHeight="1">
      <c r="A14" s="578" t="s">
        <v>56</v>
      </c>
      <c r="B14" s="579"/>
      <c r="C14" s="580"/>
      <c r="D14" s="585">
        <v>1189</v>
      </c>
      <c r="E14" s="586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45" customHeight="1">
      <c r="A15" s="589" t="s">
        <v>289</v>
      </c>
      <c r="B15" s="590"/>
      <c r="C15" s="591"/>
      <c r="D15" s="592">
        <v>17.18120002746582</v>
      </c>
      <c r="E15" s="593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45" customHeight="1">
      <c r="A16" s="594" t="s">
        <v>291</v>
      </c>
      <c r="B16" s="595"/>
      <c r="C16" s="596"/>
      <c r="D16" s="592">
        <v>3.5543997287750244</v>
      </c>
      <c r="E16" s="593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45" customHeight="1">
      <c r="A17" s="214" t="s">
        <v>292</v>
      </c>
      <c r="B17" s="215"/>
      <c r="C17" s="216"/>
      <c r="D17" s="583" t="s">
        <v>365</v>
      </c>
      <c r="E17" s="584"/>
      <c r="F17" s="569" t="s">
        <v>293</v>
      </c>
      <c r="G17" s="570"/>
      <c r="H17" s="570"/>
      <c r="I17" s="570"/>
      <c r="J17" s="570"/>
      <c r="K17" s="571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45" customHeight="1">
      <c r="A18" s="217" t="s">
        <v>294</v>
      </c>
      <c r="B18" s="218"/>
      <c r="C18" s="216"/>
      <c r="D18" s="581" t="s">
        <v>174</v>
      </c>
      <c r="E18" s="582"/>
      <c r="F18" s="597"/>
      <c r="G18" s="598"/>
      <c r="H18" s="219" t="s">
        <v>295</v>
      </c>
      <c r="I18" s="220"/>
      <c r="J18" s="188" t="s">
        <v>763</v>
      </c>
      <c r="K18" s="189"/>
      <c r="L18" s="163"/>
      <c r="M18" s="163" t="e">
        <f>J18*6.5</f>
        <v>#VALUE!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45" customHeight="1">
      <c r="A19" s="603" t="s">
        <v>296</v>
      </c>
      <c r="B19" s="604"/>
      <c r="C19" s="605"/>
      <c r="D19" s="606" t="s">
        <v>174</v>
      </c>
      <c r="E19" s="584"/>
      <c r="F19" s="599"/>
      <c r="G19" s="600"/>
      <c r="H19" s="219" t="s">
        <v>5</v>
      </c>
      <c r="I19" s="181"/>
      <c r="J19" s="188">
        <v>1190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45" customHeight="1" thickBot="1">
      <c r="A20" s="221" t="s">
        <v>297</v>
      </c>
      <c r="C20" s="222"/>
      <c r="D20" s="607" t="s">
        <v>184</v>
      </c>
      <c r="E20" s="577"/>
      <c r="F20" s="599"/>
      <c r="G20" s="600"/>
      <c r="H20" s="219" t="s">
        <v>298</v>
      </c>
      <c r="I20" s="181"/>
      <c r="J20" s="192" t="s">
        <v>340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45" customHeight="1" thickBot="1">
      <c r="A21" s="589" t="s">
        <v>299</v>
      </c>
      <c r="B21" s="590"/>
      <c r="C21" s="591"/>
      <c r="D21" s="576" t="s">
        <v>174</v>
      </c>
      <c r="E21" s="577"/>
      <c r="F21" s="599"/>
      <c r="G21" s="600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45" customHeight="1">
      <c r="A22" s="217" t="s">
        <v>302</v>
      </c>
      <c r="B22" s="224"/>
      <c r="C22" s="224"/>
      <c r="D22" s="608">
        <v>0.19550000000000001</v>
      </c>
      <c r="E22" s="609"/>
      <c r="F22" s="599"/>
      <c r="G22" s="600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45" customHeight="1">
      <c r="A23" s="225" t="s">
        <v>305</v>
      </c>
      <c r="B23" s="226" t="s">
        <v>306</v>
      </c>
      <c r="C23" s="227"/>
      <c r="D23" s="587">
        <v>580</v>
      </c>
      <c r="E23" s="588"/>
      <c r="F23" s="599"/>
      <c r="G23" s="600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45" customHeight="1" thickBot="1">
      <c r="A24" s="232" t="s">
        <v>309</v>
      </c>
      <c r="B24" s="233" t="s">
        <v>310</v>
      </c>
      <c r="C24" s="234"/>
      <c r="D24" s="610" t="s">
        <v>174</v>
      </c>
      <c r="E24" s="611"/>
      <c r="F24" s="599"/>
      <c r="G24" s="600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45" customHeight="1">
      <c r="A25" s="239" t="s">
        <v>312</v>
      </c>
      <c r="B25" s="240"/>
      <c r="C25" s="240"/>
      <c r="D25" s="241"/>
      <c r="E25" s="241" t="s">
        <v>313</v>
      </c>
      <c r="F25" s="599"/>
      <c r="G25" s="600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45" customHeight="1">
      <c r="A26" s="243" t="s">
        <v>315</v>
      </c>
      <c r="B26" s="244"/>
      <c r="C26" s="245"/>
      <c r="D26" s="246" t="s">
        <v>367</v>
      </c>
      <c r="E26" s="246" t="s">
        <v>368</v>
      </c>
      <c r="F26" s="601"/>
      <c r="G26" s="602"/>
      <c r="H26" s="612"/>
      <c r="I26" s="613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45" customHeight="1">
      <c r="A27" s="614" t="s">
        <v>316</v>
      </c>
      <c r="B27" s="615"/>
      <c r="C27" s="615"/>
      <c r="D27" s="615"/>
      <c r="E27" s="615"/>
      <c r="F27" s="566" t="s">
        <v>317</v>
      </c>
      <c r="G27" s="567"/>
      <c r="H27" s="567"/>
      <c r="I27" s="567"/>
      <c r="J27" s="567"/>
      <c r="K27" s="568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45" customHeight="1">
      <c r="A28" s="618"/>
      <c r="B28" s="619"/>
      <c r="C28" s="619"/>
      <c r="D28" s="619"/>
      <c r="E28" s="620"/>
      <c r="F28" s="249"/>
      <c r="G28" s="250"/>
      <c r="H28" s="209" t="s">
        <v>318</v>
      </c>
      <c r="I28" s="251" t="s">
        <v>366</v>
      </c>
      <c r="J28" s="188" t="s">
        <v>764</v>
      </c>
      <c r="K28" s="252" t="s">
        <v>174</v>
      </c>
      <c r="M28" s="167" t="e">
        <f>(J28/J18)*100</f>
        <v>#VALUE!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45" customHeight="1">
      <c r="A29" s="618"/>
      <c r="B29" s="619"/>
      <c r="C29" s="619"/>
      <c r="D29" s="619"/>
      <c r="E29" s="620"/>
      <c r="F29" s="254"/>
      <c r="G29" s="255"/>
      <c r="H29" s="209" t="s">
        <v>319</v>
      </c>
      <c r="I29" s="256">
        <v>60</v>
      </c>
      <c r="J29" s="188">
        <v>75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45" customHeight="1">
      <c r="A30" s="618"/>
      <c r="B30" s="619"/>
      <c r="C30" s="619"/>
      <c r="D30" s="619"/>
      <c r="E30" s="620"/>
      <c r="F30" s="254"/>
      <c r="G30" s="255"/>
      <c r="H30" s="209" t="s">
        <v>320</v>
      </c>
      <c r="I30" s="256">
        <v>175</v>
      </c>
      <c r="J30" s="188">
        <v>226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45" customHeight="1">
      <c r="A31" s="618"/>
      <c r="B31" s="619"/>
      <c r="C31" s="619"/>
      <c r="D31" s="619"/>
      <c r="E31" s="620"/>
      <c r="F31" s="254"/>
      <c r="G31" s="255"/>
      <c r="H31" s="209" t="s">
        <v>321</v>
      </c>
      <c r="I31" s="210"/>
      <c r="J31" s="259">
        <v>0.69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45" customHeight="1">
      <c r="A32" s="621"/>
      <c r="B32" s="622"/>
      <c r="C32" s="622"/>
      <c r="D32" s="622"/>
      <c r="E32" s="623"/>
      <c r="F32" s="254"/>
      <c r="G32" s="260" t="s">
        <v>322</v>
      </c>
      <c r="H32" s="209" t="s">
        <v>323</v>
      </c>
      <c r="I32" s="261"/>
      <c r="J32" s="182">
        <v>94.8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45" customHeight="1">
      <c r="A33" s="614" t="s">
        <v>324</v>
      </c>
      <c r="B33" s="615"/>
      <c r="C33" s="615"/>
      <c r="D33" s="615"/>
      <c r="E33" s="624"/>
      <c r="F33" s="263"/>
      <c r="G33" s="264"/>
      <c r="H33" s="265" t="s">
        <v>325</v>
      </c>
      <c r="I33" s="266"/>
      <c r="J33" s="267">
        <v>89.9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45" customHeight="1">
      <c r="A34" s="618"/>
      <c r="B34" s="619"/>
      <c r="C34" s="619"/>
      <c r="D34" s="619"/>
      <c r="E34" s="620"/>
      <c r="F34" s="184" t="s">
        <v>326</v>
      </c>
      <c r="G34" s="269"/>
      <c r="H34" s="270" t="s">
        <v>14</v>
      </c>
      <c r="I34" s="271"/>
      <c r="J34" s="272">
        <v>7082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45" customHeight="1">
      <c r="A35" s="618"/>
      <c r="B35" s="619"/>
      <c r="C35" s="619"/>
      <c r="D35" s="619"/>
      <c r="E35" s="620"/>
      <c r="F35" s="203"/>
      <c r="G35" s="276"/>
      <c r="H35" s="277" t="s">
        <v>15</v>
      </c>
      <c r="I35" s="278"/>
      <c r="J35" s="188">
        <v>4313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45" customHeight="1">
      <c r="A36" s="618"/>
      <c r="B36" s="619"/>
      <c r="C36" s="619"/>
      <c r="D36" s="619"/>
      <c r="E36" s="620"/>
      <c r="F36" s="203"/>
      <c r="G36" s="276"/>
      <c r="H36" s="277" t="s">
        <v>327</v>
      </c>
      <c r="I36" s="278"/>
      <c r="J36" s="188">
        <v>3014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45" customHeight="1">
      <c r="A37" s="618"/>
      <c r="B37" s="619"/>
      <c r="C37" s="619"/>
      <c r="D37" s="619"/>
      <c r="E37" s="620"/>
      <c r="F37" s="254"/>
      <c r="G37" s="276"/>
      <c r="H37" s="277" t="s">
        <v>328</v>
      </c>
      <c r="I37" s="278"/>
      <c r="J37" s="188">
        <v>9343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45" customHeight="1">
      <c r="A38" s="621"/>
      <c r="B38" s="622"/>
      <c r="C38" s="622"/>
      <c r="D38" s="622"/>
      <c r="E38" s="623"/>
      <c r="F38" s="211"/>
      <c r="G38" s="280"/>
      <c r="H38" s="281" t="s">
        <v>329</v>
      </c>
      <c r="I38" s="282"/>
      <c r="J38" s="283">
        <v>8807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45" customHeight="1">
      <c r="A39" s="614" t="s">
        <v>330</v>
      </c>
      <c r="B39" s="615"/>
      <c r="C39" s="615"/>
      <c r="D39" s="615"/>
      <c r="E39" s="615"/>
      <c r="F39" s="285" t="s">
        <v>331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45" customHeight="1">
      <c r="A40" s="618"/>
      <c r="B40" s="619"/>
      <c r="C40" s="619"/>
      <c r="D40" s="619"/>
      <c r="E40" s="620"/>
      <c r="F40" s="288" t="s">
        <v>767</v>
      </c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45" customHeight="1">
      <c r="A41" s="618"/>
      <c r="B41" s="619"/>
      <c r="C41" s="619"/>
      <c r="D41" s="619"/>
      <c r="E41" s="620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45" customHeight="1">
      <c r="A42" s="618"/>
      <c r="B42" s="619"/>
      <c r="C42" s="619"/>
      <c r="D42" s="619"/>
      <c r="E42" s="620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45" customHeight="1">
      <c r="A43" s="618"/>
      <c r="B43" s="619"/>
      <c r="C43" s="619"/>
      <c r="D43" s="619"/>
      <c r="E43" s="620"/>
      <c r="F43" s="288"/>
      <c r="G43" s="539" t="s">
        <v>752</v>
      </c>
      <c r="H43" s="539"/>
      <c r="I43" s="539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25"/>
      <c r="B44" s="626"/>
      <c r="C44" s="626"/>
      <c r="D44" s="626"/>
      <c r="E44" s="627"/>
      <c r="F44" s="288"/>
      <c r="G44" s="539" t="s">
        <v>754</v>
      </c>
      <c r="H44" s="539"/>
      <c r="I44" s="539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332</v>
      </c>
      <c r="B45" s="628" t="s">
        <v>760</v>
      </c>
      <c r="C45" s="629"/>
      <c r="D45" s="295" t="s">
        <v>333</v>
      </c>
      <c r="E45" s="296" t="s">
        <v>334</v>
      </c>
      <c r="F45" s="297"/>
      <c r="G45" s="539"/>
      <c r="H45" s="539"/>
      <c r="I45" s="539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335</v>
      </c>
      <c r="B46" s="616">
        <v>42019</v>
      </c>
      <c r="C46" s="617"/>
      <c r="D46" s="299" t="s">
        <v>335</v>
      </c>
      <c r="E46" s="300">
        <v>41992</v>
      </c>
      <c r="F46" s="301"/>
      <c r="G46" s="540" t="s">
        <v>753</v>
      </c>
      <c r="H46" s="540"/>
      <c r="I46" s="540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 t="s">
        <v>766</v>
      </c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13" zoomScale="75" zoomScaleNormal="75" workbookViewId="0"/>
  </sheetViews>
  <sheetFormatPr defaultColWidth="9.109375" defaultRowHeight="13.2"/>
  <cols>
    <col min="1" max="1" width="9.109375" style="311" customWidth="1"/>
    <col min="2" max="2" width="18.109375" style="311" customWidth="1"/>
    <col min="3" max="3" width="21.5546875" style="311" customWidth="1"/>
    <col min="4" max="4" width="21.33203125" style="311" bestFit="1" customWidth="1"/>
    <col min="5" max="5" width="6.88671875" style="311" bestFit="1" customWidth="1"/>
    <col min="6" max="6" width="29.88671875" style="311" customWidth="1"/>
    <col min="7" max="7" width="43.6640625" style="311" customWidth="1"/>
    <col min="8" max="8" width="17.109375" style="311" customWidth="1"/>
    <col min="9" max="9" width="7.88671875" style="311" customWidth="1"/>
    <col min="10" max="10" width="2.33203125" style="311" bestFit="1" customWidth="1"/>
    <col min="11" max="12" width="2.33203125" style="311" customWidth="1"/>
    <col min="13" max="13" width="2.5546875" style="311" bestFit="1" customWidth="1"/>
    <col min="14" max="14" width="2.33203125" style="311" bestFit="1" customWidth="1"/>
    <col min="15" max="16384" width="9.10937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336</v>
      </c>
      <c r="K1" s="310" t="s">
        <v>337</v>
      </c>
      <c r="L1" s="310" t="s">
        <v>338</v>
      </c>
      <c r="M1" s="310" t="s">
        <v>337</v>
      </c>
      <c r="N1" s="310"/>
    </row>
    <row r="2" spans="2:14" ht="12.75" customHeight="1">
      <c r="B2" s="638" t="s">
        <v>339</v>
      </c>
      <c r="C2" s="639"/>
      <c r="D2" s="639"/>
      <c r="E2" s="639"/>
      <c r="F2" s="639"/>
      <c r="G2" s="639"/>
      <c r="H2" s="312"/>
      <c r="I2" s="313"/>
      <c r="J2" s="314" t="s">
        <v>340</v>
      </c>
      <c r="K2" s="314" t="s">
        <v>341</v>
      </c>
      <c r="L2" s="314" t="s">
        <v>342</v>
      </c>
      <c r="M2" s="314" t="s">
        <v>343</v>
      </c>
      <c r="N2" s="314" t="s">
        <v>344</v>
      </c>
    </row>
    <row r="3" spans="2:14" ht="12.75" customHeight="1">
      <c r="B3" s="638"/>
      <c r="C3" s="639"/>
      <c r="D3" s="639"/>
      <c r="E3" s="639"/>
      <c r="F3" s="639"/>
      <c r="G3" s="639"/>
      <c r="H3" s="312"/>
      <c r="I3" s="313"/>
      <c r="J3" s="314" t="s">
        <v>345</v>
      </c>
      <c r="K3" s="314"/>
      <c r="L3" s="314" t="s">
        <v>346</v>
      </c>
      <c r="M3" s="314" t="s">
        <v>336</v>
      </c>
      <c r="N3" s="314"/>
    </row>
    <row r="4" spans="2:14" ht="12.75" customHeight="1">
      <c r="B4" s="638"/>
      <c r="C4" s="639"/>
      <c r="D4" s="639"/>
      <c r="E4" s="639"/>
      <c r="F4" s="639"/>
      <c r="G4" s="639"/>
      <c r="H4" s="312"/>
      <c r="I4" s="313"/>
      <c r="J4" s="314" t="s">
        <v>347</v>
      </c>
      <c r="K4" s="314"/>
      <c r="L4" s="314" t="s">
        <v>342</v>
      </c>
      <c r="M4" s="314" t="s">
        <v>340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348</v>
      </c>
      <c r="L5" s="314" t="s">
        <v>337</v>
      </c>
      <c r="M5" s="314"/>
      <c r="N5" s="314" t="s">
        <v>342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341</v>
      </c>
      <c r="K6" s="314" t="s">
        <v>349</v>
      </c>
      <c r="L6" s="314"/>
      <c r="M6" s="314" t="s">
        <v>337</v>
      </c>
      <c r="N6" s="314" t="s">
        <v>350</v>
      </c>
    </row>
    <row r="7" spans="2:14" ht="12.75" customHeight="1">
      <c r="B7" s="317"/>
      <c r="D7" s="320"/>
      <c r="H7" s="319"/>
      <c r="I7" s="313"/>
      <c r="J7" s="314" t="s">
        <v>351</v>
      </c>
      <c r="K7" s="314" t="s">
        <v>345</v>
      </c>
      <c r="L7" s="314" t="s">
        <v>345</v>
      </c>
      <c r="M7" s="314" t="s">
        <v>340</v>
      </c>
      <c r="N7" s="314" t="s">
        <v>352</v>
      </c>
    </row>
    <row r="8" spans="2:14" ht="12.75" customHeight="1">
      <c r="B8" s="317"/>
      <c r="G8" s="320"/>
      <c r="H8" s="321"/>
      <c r="I8" s="314" t="s">
        <v>352</v>
      </c>
      <c r="J8" s="314" t="s">
        <v>337</v>
      </c>
      <c r="K8" s="314" t="s">
        <v>353</v>
      </c>
      <c r="L8" s="314" t="s">
        <v>340</v>
      </c>
      <c r="M8" s="314" t="s">
        <v>352</v>
      </c>
      <c r="N8" s="314" t="s">
        <v>349</v>
      </c>
    </row>
    <row r="9" spans="2:14">
      <c r="B9" s="314" t="s">
        <v>354</v>
      </c>
      <c r="C9" s="321" t="s">
        <v>355</v>
      </c>
      <c r="D9" s="321" t="s">
        <v>356</v>
      </c>
      <c r="E9" s="321" t="s">
        <v>357</v>
      </c>
      <c r="F9" s="314" t="s">
        <v>358</v>
      </c>
      <c r="G9" s="314" t="s">
        <v>359</v>
      </c>
      <c r="H9" s="314" t="s">
        <v>360</v>
      </c>
      <c r="I9" s="314" t="s">
        <v>347</v>
      </c>
      <c r="J9" s="314" t="s">
        <v>351</v>
      </c>
      <c r="K9" s="314" t="s">
        <v>340</v>
      </c>
      <c r="L9" s="314" t="s">
        <v>353</v>
      </c>
      <c r="M9" s="314" t="s">
        <v>337</v>
      </c>
      <c r="N9" s="314" t="s">
        <v>338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40" t="s">
        <v>361</v>
      </c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</row>
    <row r="54" spans="2:14" ht="15" customHeight="1" thickBot="1">
      <c r="B54" s="336" t="s">
        <v>362</v>
      </c>
      <c r="C54" s="641" t="s">
        <v>359</v>
      </c>
      <c r="D54" s="642"/>
      <c r="E54" s="642"/>
      <c r="F54" s="642"/>
      <c r="G54" s="642"/>
      <c r="H54" s="337"/>
      <c r="I54" s="641" t="s">
        <v>354</v>
      </c>
      <c r="J54" s="642"/>
      <c r="K54" s="643"/>
      <c r="L54" s="641" t="s">
        <v>363</v>
      </c>
      <c r="M54" s="642"/>
      <c r="N54" s="644"/>
    </row>
    <row r="55" spans="2:14" ht="15" customHeight="1">
      <c r="B55" s="338"/>
      <c r="C55" s="630"/>
      <c r="D55" s="631"/>
      <c r="E55" s="631"/>
      <c r="F55" s="631"/>
      <c r="G55" s="631"/>
      <c r="H55" s="339"/>
      <c r="I55" s="632"/>
      <c r="J55" s="633"/>
      <c r="K55" s="634"/>
      <c r="L55" s="635"/>
      <c r="M55" s="636"/>
      <c r="N55" s="637"/>
    </row>
    <row r="56" spans="2:14" ht="15" customHeight="1">
      <c r="B56" s="340"/>
      <c r="C56" s="645"/>
      <c r="D56" s="646"/>
      <c r="E56" s="646"/>
      <c r="F56" s="646"/>
      <c r="G56" s="646"/>
      <c r="H56" s="341"/>
      <c r="I56" s="647"/>
      <c r="J56" s="648"/>
      <c r="K56" s="649"/>
      <c r="L56" s="650"/>
      <c r="M56" s="651"/>
      <c r="N56" s="652"/>
    </row>
    <row r="57" spans="2:14" ht="15" customHeight="1">
      <c r="B57" s="340"/>
      <c r="C57" s="645"/>
      <c r="D57" s="646"/>
      <c r="E57" s="646"/>
      <c r="F57" s="646"/>
      <c r="G57" s="646"/>
      <c r="H57" s="341"/>
      <c r="I57" s="647"/>
      <c r="J57" s="648"/>
      <c r="K57" s="649"/>
      <c r="L57" s="650"/>
      <c r="M57" s="651"/>
      <c r="N57" s="652"/>
    </row>
    <row r="58" spans="2:14" ht="15" customHeight="1">
      <c r="B58" s="340"/>
      <c r="C58" s="645"/>
      <c r="D58" s="646"/>
      <c r="E58" s="646"/>
      <c r="F58" s="646"/>
      <c r="G58" s="646"/>
      <c r="H58" s="341"/>
      <c r="I58" s="647"/>
      <c r="J58" s="648"/>
      <c r="K58" s="649"/>
      <c r="L58" s="650"/>
      <c r="M58" s="651"/>
      <c r="N58" s="652"/>
    </row>
    <row r="59" spans="2:14" ht="15" customHeight="1">
      <c r="B59" s="340"/>
      <c r="C59" s="645"/>
      <c r="D59" s="646"/>
      <c r="E59" s="646"/>
      <c r="F59" s="646"/>
      <c r="G59" s="646"/>
      <c r="H59" s="341"/>
      <c r="I59" s="647"/>
      <c r="J59" s="648"/>
      <c r="K59" s="649"/>
      <c r="L59" s="650"/>
      <c r="M59" s="651"/>
      <c r="N59" s="652"/>
    </row>
    <row r="60" spans="2:14" ht="15" customHeight="1">
      <c r="B60" s="340"/>
      <c r="C60" s="645"/>
      <c r="D60" s="646"/>
      <c r="E60" s="646"/>
      <c r="F60" s="646"/>
      <c r="G60" s="646"/>
      <c r="H60" s="341"/>
      <c r="I60" s="647"/>
      <c r="J60" s="648"/>
      <c r="K60" s="649"/>
      <c r="L60" s="650"/>
      <c r="M60" s="651"/>
      <c r="N60" s="652"/>
    </row>
    <row r="61" spans="2:14" ht="15" customHeight="1">
      <c r="B61" s="340"/>
      <c r="C61" s="645"/>
      <c r="D61" s="646"/>
      <c r="E61" s="646"/>
      <c r="F61" s="646"/>
      <c r="G61" s="646"/>
      <c r="H61" s="341"/>
      <c r="I61" s="647"/>
      <c r="J61" s="648"/>
      <c r="K61" s="649"/>
      <c r="L61" s="650"/>
      <c r="M61" s="651"/>
      <c r="N61" s="652"/>
    </row>
    <row r="62" spans="2:14" ht="15" customHeight="1">
      <c r="B62" s="340"/>
      <c r="C62" s="645"/>
      <c r="D62" s="646"/>
      <c r="E62" s="646"/>
      <c r="F62" s="646"/>
      <c r="G62" s="646"/>
      <c r="H62" s="341"/>
      <c r="I62" s="647"/>
      <c r="J62" s="648"/>
      <c r="K62" s="649"/>
      <c r="L62" s="650"/>
      <c r="M62" s="651"/>
      <c r="N62" s="652"/>
    </row>
    <row r="63" spans="2:14" ht="15" customHeight="1">
      <c r="B63" s="340"/>
      <c r="C63" s="645"/>
      <c r="D63" s="646"/>
      <c r="E63" s="646"/>
      <c r="F63" s="646"/>
      <c r="G63" s="646"/>
      <c r="H63" s="341"/>
      <c r="I63" s="647"/>
      <c r="J63" s="648"/>
      <c r="K63" s="649"/>
      <c r="L63" s="650"/>
      <c r="M63" s="651"/>
      <c r="N63" s="652"/>
    </row>
    <row r="64" spans="2:14" ht="15" customHeight="1">
      <c r="B64" s="340"/>
      <c r="C64" s="645"/>
      <c r="D64" s="646"/>
      <c r="E64" s="646"/>
      <c r="F64" s="646"/>
      <c r="G64" s="646"/>
      <c r="H64" s="341"/>
      <c r="I64" s="647"/>
      <c r="J64" s="648"/>
      <c r="K64" s="649"/>
      <c r="L64" s="650"/>
      <c r="M64" s="651"/>
      <c r="N64" s="652"/>
    </row>
    <row r="65" spans="2:14" ht="15" customHeight="1">
      <c r="B65" s="340"/>
      <c r="C65" s="645"/>
      <c r="D65" s="646"/>
      <c r="E65" s="646"/>
      <c r="F65" s="646"/>
      <c r="G65" s="646"/>
      <c r="H65" s="341"/>
      <c r="I65" s="647"/>
      <c r="J65" s="648"/>
      <c r="K65" s="649"/>
      <c r="L65" s="650"/>
      <c r="M65" s="651"/>
      <c r="N65" s="652"/>
    </row>
    <row r="66" spans="2:14" ht="15" customHeight="1">
      <c r="B66" s="340"/>
      <c r="C66" s="645"/>
      <c r="D66" s="646"/>
      <c r="E66" s="646"/>
      <c r="F66" s="646"/>
      <c r="G66" s="646"/>
      <c r="H66" s="341"/>
      <c r="I66" s="647"/>
      <c r="J66" s="648"/>
      <c r="K66" s="649"/>
      <c r="L66" s="650"/>
      <c r="M66" s="651"/>
      <c r="N66" s="652"/>
    </row>
    <row r="67" spans="2:14" ht="15" customHeight="1">
      <c r="B67" s="340"/>
      <c r="C67" s="645"/>
      <c r="D67" s="646"/>
      <c r="E67" s="646"/>
      <c r="F67" s="646"/>
      <c r="G67" s="646"/>
      <c r="H67" s="341"/>
      <c r="I67" s="647"/>
      <c r="J67" s="648"/>
      <c r="K67" s="649"/>
      <c r="L67" s="650"/>
      <c r="M67" s="651"/>
      <c r="N67" s="652"/>
    </row>
    <row r="68" spans="2:14" ht="15" customHeight="1">
      <c r="B68" s="340"/>
      <c r="C68" s="645"/>
      <c r="D68" s="646"/>
      <c r="E68" s="646"/>
      <c r="F68" s="646"/>
      <c r="G68" s="646"/>
      <c r="H68" s="341"/>
      <c r="I68" s="647"/>
      <c r="J68" s="648"/>
      <c r="K68" s="649"/>
      <c r="L68" s="650"/>
      <c r="M68" s="651"/>
      <c r="N68" s="652"/>
    </row>
    <row r="69" spans="2:14" ht="15" customHeight="1">
      <c r="B69" s="340"/>
      <c r="C69" s="645"/>
      <c r="D69" s="646"/>
      <c r="E69" s="646"/>
      <c r="F69" s="646"/>
      <c r="G69" s="646"/>
      <c r="H69" s="341"/>
      <c r="I69" s="647"/>
      <c r="J69" s="648"/>
      <c r="K69" s="649"/>
      <c r="L69" s="650"/>
      <c r="M69" s="651"/>
      <c r="N69" s="652"/>
    </row>
    <row r="70" spans="2:14" ht="15" customHeight="1">
      <c r="B70" s="340"/>
      <c r="C70" s="645"/>
      <c r="D70" s="646"/>
      <c r="E70" s="646"/>
      <c r="F70" s="646"/>
      <c r="G70" s="646"/>
      <c r="H70" s="341"/>
      <c r="I70" s="647"/>
      <c r="J70" s="648"/>
      <c r="K70" s="649"/>
      <c r="L70" s="650"/>
      <c r="M70" s="651"/>
      <c r="N70" s="652"/>
    </row>
    <row r="71" spans="2:14" ht="15" customHeight="1">
      <c r="B71" s="340"/>
      <c r="C71" s="645"/>
      <c r="D71" s="646"/>
      <c r="E71" s="646"/>
      <c r="F71" s="646"/>
      <c r="G71" s="646"/>
      <c r="H71" s="341"/>
      <c r="I71" s="647"/>
      <c r="J71" s="648"/>
      <c r="K71" s="649"/>
      <c r="L71" s="650"/>
      <c r="M71" s="651"/>
      <c r="N71" s="652"/>
    </row>
    <row r="72" spans="2:14">
      <c r="B72" s="340"/>
      <c r="C72" s="645"/>
      <c r="D72" s="646"/>
      <c r="E72" s="646"/>
      <c r="F72" s="646"/>
      <c r="G72" s="646"/>
      <c r="H72" s="341"/>
      <c r="I72" s="647"/>
      <c r="J72" s="648"/>
      <c r="K72" s="649"/>
      <c r="L72" s="650"/>
      <c r="M72" s="651"/>
      <c r="N72" s="652"/>
    </row>
    <row r="73" spans="2:14">
      <c r="B73" s="340"/>
      <c r="C73" s="645"/>
      <c r="D73" s="646"/>
      <c r="E73" s="646"/>
      <c r="F73" s="646"/>
      <c r="G73" s="646"/>
      <c r="H73" s="341"/>
      <c r="I73" s="647"/>
      <c r="J73" s="648"/>
      <c r="K73" s="649"/>
      <c r="L73" s="650"/>
      <c r="M73" s="651"/>
      <c r="N73" s="652"/>
    </row>
    <row r="74" spans="2:14">
      <c r="B74" s="340"/>
      <c r="C74" s="645"/>
      <c r="D74" s="646"/>
      <c r="E74" s="646"/>
      <c r="F74" s="646"/>
      <c r="G74" s="646"/>
      <c r="H74" s="341"/>
      <c r="I74" s="647"/>
      <c r="J74" s="648"/>
      <c r="K74" s="649"/>
      <c r="L74" s="650"/>
      <c r="M74" s="651"/>
      <c r="N74" s="652"/>
    </row>
    <row r="75" spans="2:14">
      <c r="B75" s="340"/>
      <c r="C75" s="645"/>
      <c r="D75" s="646"/>
      <c r="E75" s="646"/>
      <c r="F75" s="646"/>
      <c r="G75" s="646"/>
      <c r="H75" s="341"/>
      <c r="I75" s="647"/>
      <c r="J75" s="648"/>
      <c r="K75" s="649"/>
      <c r="L75" s="650"/>
      <c r="M75" s="651"/>
      <c r="N75" s="652"/>
    </row>
    <row r="76" spans="2:14">
      <c r="B76" s="340"/>
      <c r="C76" s="645"/>
      <c r="D76" s="646"/>
      <c r="E76" s="646"/>
      <c r="F76" s="646"/>
      <c r="G76" s="646"/>
      <c r="H76" s="341"/>
      <c r="I76" s="647"/>
      <c r="J76" s="648"/>
      <c r="K76" s="649"/>
      <c r="L76" s="650"/>
      <c r="M76" s="651"/>
      <c r="N76" s="652"/>
    </row>
    <row r="77" spans="2:14">
      <c r="B77" s="340"/>
      <c r="C77" s="645"/>
      <c r="D77" s="646"/>
      <c r="E77" s="646"/>
      <c r="F77" s="646"/>
      <c r="G77" s="646"/>
      <c r="H77" s="341"/>
      <c r="I77" s="647"/>
      <c r="J77" s="648"/>
      <c r="K77" s="649"/>
      <c r="L77" s="650"/>
      <c r="M77" s="651"/>
      <c r="N77" s="652"/>
    </row>
    <row r="78" spans="2:14">
      <c r="B78" s="340"/>
      <c r="C78" s="645"/>
      <c r="D78" s="646"/>
      <c r="E78" s="646"/>
      <c r="F78" s="646"/>
      <c r="G78" s="646"/>
      <c r="H78" s="341"/>
      <c r="I78" s="647"/>
      <c r="J78" s="648"/>
      <c r="K78" s="649"/>
      <c r="L78" s="650"/>
      <c r="M78" s="651"/>
      <c r="N78" s="652"/>
    </row>
    <row r="79" spans="2:14" ht="13.8" thickBot="1">
      <c r="B79" s="342"/>
      <c r="C79" s="653"/>
      <c r="D79" s="654"/>
      <c r="E79" s="654"/>
      <c r="F79" s="654"/>
      <c r="G79" s="654"/>
      <c r="H79" s="343"/>
      <c r="I79" s="655"/>
      <c r="J79" s="656"/>
      <c r="K79" s="657"/>
      <c r="L79" s="658"/>
      <c r="M79" s="659"/>
      <c r="N79" s="660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ColWidth="9.109375" defaultRowHeight="13.2"/>
  <cols>
    <col min="1" max="6" width="14.6640625" style="344" customWidth="1"/>
    <col min="7" max="16384" width="9.109375" style="344"/>
  </cols>
  <sheetData>
    <row r="1" spans="1:7" ht="20.399999999999999">
      <c r="A1" s="661" t="s">
        <v>370</v>
      </c>
      <c r="B1" s="661"/>
      <c r="C1" s="661"/>
      <c r="D1" s="661"/>
      <c r="E1" s="661"/>
      <c r="F1" s="661"/>
    </row>
    <row r="2" spans="1:7" ht="18" thickBot="1">
      <c r="A2" s="345"/>
      <c r="B2" s="345"/>
      <c r="C2" s="662" t="s">
        <v>382</v>
      </c>
      <c r="D2" s="662"/>
      <c r="E2" s="345"/>
      <c r="F2" s="345"/>
      <c r="G2" s="345"/>
    </row>
    <row r="3" spans="1:7" ht="18">
      <c r="A3" s="663" t="s">
        <v>371</v>
      </c>
      <c r="B3" s="664"/>
      <c r="C3" s="665"/>
      <c r="D3" s="663" t="s">
        <v>372</v>
      </c>
      <c r="E3" s="664"/>
      <c r="F3" s="665"/>
      <c r="G3" s="345"/>
    </row>
    <row r="4" spans="1:7" ht="16.2">
      <c r="A4" s="346" t="s">
        <v>383</v>
      </c>
      <c r="B4" s="666" t="s">
        <v>385</v>
      </c>
      <c r="C4" s="667"/>
      <c r="D4" s="668" t="s">
        <v>387</v>
      </c>
      <c r="E4" s="669"/>
      <c r="F4" s="670"/>
      <c r="G4" s="345"/>
    </row>
    <row r="5" spans="1:7" ht="16.8" thickBot="1">
      <c r="A5" s="347" t="s">
        <v>384</v>
      </c>
      <c r="B5" s="674" t="s">
        <v>386</v>
      </c>
      <c r="C5" s="675"/>
      <c r="D5" s="676" t="s">
        <v>388</v>
      </c>
      <c r="E5" s="677"/>
      <c r="F5" s="678"/>
      <c r="G5" s="345"/>
    </row>
    <row r="6" spans="1:7" ht="18">
      <c r="A6" s="663" t="s">
        <v>373</v>
      </c>
      <c r="B6" s="664"/>
      <c r="C6" s="664"/>
      <c r="D6" s="664"/>
      <c r="E6" s="664"/>
      <c r="F6" s="665"/>
      <c r="G6" s="345"/>
    </row>
    <row r="7" spans="1:7" ht="16.2">
      <c r="A7" s="348" t="s">
        <v>374</v>
      </c>
      <c r="B7" s="349" t="s">
        <v>389</v>
      </c>
      <c r="C7" s="350" t="s">
        <v>375</v>
      </c>
      <c r="D7" s="351" t="s">
        <v>391</v>
      </c>
      <c r="E7" s="679" t="s">
        <v>376</v>
      </c>
      <c r="F7" s="680"/>
      <c r="G7" s="345"/>
    </row>
    <row r="8" spans="1:7" ht="16.2" thickBot="1">
      <c r="A8" s="352"/>
      <c r="B8" s="353" t="s">
        <v>390</v>
      </c>
      <c r="C8" s="354"/>
      <c r="D8" s="355" t="s">
        <v>392</v>
      </c>
      <c r="E8" s="681" t="s">
        <v>393</v>
      </c>
      <c r="F8" s="678"/>
      <c r="G8" s="345"/>
    </row>
    <row r="9" spans="1:7" ht="18">
      <c r="A9" s="663" t="s">
        <v>377</v>
      </c>
      <c r="B9" s="664"/>
      <c r="C9" s="665"/>
      <c r="D9" s="663" t="s">
        <v>378</v>
      </c>
      <c r="E9" s="664"/>
      <c r="F9" s="665"/>
      <c r="G9" s="345"/>
    </row>
    <row r="10" spans="1:7" ht="16.2">
      <c r="A10" s="356" t="s">
        <v>379</v>
      </c>
      <c r="B10" s="682" t="s">
        <v>394</v>
      </c>
      <c r="C10" s="667"/>
      <c r="D10" s="683" t="s">
        <v>396</v>
      </c>
      <c r="E10" s="684"/>
      <c r="F10" s="357" t="s">
        <v>397</v>
      </c>
      <c r="G10" s="345"/>
    </row>
    <row r="11" spans="1:7" ht="16.8" thickBot="1">
      <c r="A11" s="358" t="s">
        <v>380</v>
      </c>
      <c r="B11" s="677" t="s">
        <v>395</v>
      </c>
      <c r="C11" s="678"/>
      <c r="D11" s="685"/>
      <c r="E11" s="686"/>
      <c r="F11" s="359" t="s">
        <v>398</v>
      </c>
      <c r="G11" s="345"/>
    </row>
    <row r="12" spans="1:7" ht="18">
      <c r="A12" s="663" t="s">
        <v>381</v>
      </c>
      <c r="B12" s="664"/>
      <c r="C12" s="664"/>
      <c r="D12" s="664"/>
      <c r="E12" s="664"/>
      <c r="F12" s="665"/>
      <c r="G12" s="345"/>
    </row>
    <row r="13" spans="1:7" ht="16.2" thickBot="1">
      <c r="A13" s="671" t="s">
        <v>399</v>
      </c>
      <c r="B13" s="672"/>
      <c r="C13" s="673" t="s">
        <v>400</v>
      </c>
      <c r="D13" s="673"/>
      <c r="E13" s="673"/>
      <c r="F13" s="360"/>
      <c r="G13" s="345"/>
    </row>
    <row r="14" spans="1:7" ht="18.899999999999999" customHeight="1">
      <c r="A14" s="361"/>
      <c r="B14" s="361"/>
      <c r="C14" s="361"/>
      <c r="D14" s="361"/>
      <c r="E14" s="361"/>
      <c r="F14" s="361"/>
      <c r="G14" s="345"/>
    </row>
    <row r="15" spans="1:7" ht="15.6">
      <c r="G15" s="345"/>
    </row>
    <row r="16" spans="1:7" ht="15.6">
      <c r="G16" s="345"/>
    </row>
    <row r="17" spans="7:7" ht="15.6">
      <c r="G17" s="345"/>
    </row>
    <row r="18" spans="7:7" ht="15.6">
      <c r="G18" s="345"/>
    </row>
    <row r="19" spans="7:7" ht="15.6">
      <c r="G19" s="345"/>
    </row>
    <row r="20" spans="7:7" ht="15.6">
      <c r="G20" s="345"/>
    </row>
    <row r="21" spans="7:7" ht="15.6">
      <c r="G21" s="345"/>
    </row>
    <row r="22" spans="7:7" ht="15.6">
      <c r="G22" s="345"/>
    </row>
    <row r="23" spans="7:7" ht="15.6">
      <c r="G23" s="345"/>
    </row>
    <row r="24" spans="7:7" ht="15.6">
      <c r="G24" s="345"/>
    </row>
    <row r="25" spans="7:7" ht="15.6">
      <c r="G25" s="345"/>
    </row>
    <row r="26" spans="7:7" ht="15.6">
      <c r="G26" s="345"/>
    </row>
    <row r="27" spans="7:7" ht="18.899999999999999" customHeight="1">
      <c r="G27" s="345"/>
    </row>
    <row r="28" spans="7:7" ht="15.6">
      <c r="G28" s="345"/>
    </row>
    <row r="29" spans="7:7" ht="15.6">
      <c r="G29" s="345"/>
    </row>
    <row r="30" spans="7:7" ht="15.6">
      <c r="G30" s="345"/>
    </row>
    <row r="31" spans="7:7" ht="15.6">
      <c r="G31" s="345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V121"/>
  <sheetViews>
    <sheetView showGridLines="0" zoomScale="90" workbookViewId="0">
      <selection activeCell="C24" sqref="C24"/>
    </sheetView>
  </sheetViews>
  <sheetFormatPr defaultColWidth="12.5546875" defaultRowHeight="15.6"/>
  <cols>
    <col min="1" max="13" width="7" style="440" customWidth="1"/>
    <col min="14" max="14" width="7.109375" style="440" customWidth="1"/>
    <col min="15" max="16384" width="12.5546875" style="440"/>
  </cols>
  <sheetData>
    <row r="1" spans="1:14" ht="17.100000000000001" customHeight="1">
      <c r="A1" s="433" t="s">
        <v>252</v>
      </c>
      <c r="B1" s="434"/>
      <c r="C1" s="434"/>
      <c r="D1" s="434"/>
      <c r="E1" s="434"/>
      <c r="F1" s="434"/>
      <c r="G1" s="434"/>
      <c r="H1" s="434"/>
      <c r="I1" s="434"/>
      <c r="J1" s="435" t="s">
        <v>647</v>
      </c>
      <c r="K1" s="436"/>
      <c r="L1" s="437" t="s">
        <v>648</v>
      </c>
      <c r="M1" s="438"/>
      <c r="N1" s="439"/>
    </row>
    <row r="2" spans="1:14" ht="17.100000000000001" customHeight="1">
      <c r="A2" s="441" t="s">
        <v>649</v>
      </c>
      <c r="B2" s="442"/>
      <c r="C2" s="442"/>
      <c r="D2" s="442"/>
      <c r="E2" s="442"/>
      <c r="F2" s="442"/>
      <c r="G2" s="442"/>
      <c r="H2" s="442"/>
      <c r="I2" s="442"/>
      <c r="J2" s="443" t="s">
        <v>650</v>
      </c>
      <c r="K2" s="444"/>
      <c r="L2" s="445" t="s">
        <v>651</v>
      </c>
      <c r="M2" s="446"/>
      <c r="N2" s="439"/>
    </row>
    <row r="3" spans="1:14" ht="15.9" customHeight="1">
      <c r="A3" s="447"/>
      <c r="B3" s="448"/>
      <c r="C3" s="448"/>
      <c r="D3" s="448"/>
      <c r="E3" s="448"/>
      <c r="F3" s="448"/>
      <c r="G3" s="448"/>
      <c r="H3" s="448"/>
      <c r="I3" s="448"/>
      <c r="J3" s="443" t="s">
        <v>652</v>
      </c>
      <c r="K3" s="444"/>
      <c r="L3" s="449" t="s">
        <v>653</v>
      </c>
      <c r="M3" s="446"/>
      <c r="N3" s="439"/>
    </row>
    <row r="4" spans="1:14" ht="15.9" customHeight="1">
      <c r="A4" s="450"/>
      <c r="B4" s="448"/>
      <c r="C4" s="448"/>
      <c r="D4" s="448"/>
      <c r="E4" s="448"/>
      <c r="F4" s="448"/>
      <c r="G4" s="448"/>
      <c r="H4" s="448"/>
      <c r="I4" s="448"/>
      <c r="J4" s="443" t="s">
        <v>654</v>
      </c>
      <c r="K4" s="444"/>
      <c r="L4" s="451" t="s">
        <v>655</v>
      </c>
      <c r="M4" s="446"/>
      <c r="N4" s="439"/>
    </row>
    <row r="5" spans="1:14" ht="15.9" customHeight="1">
      <c r="A5" s="447"/>
      <c r="B5" s="448"/>
      <c r="C5" s="448"/>
      <c r="D5" s="448"/>
      <c r="E5" s="448"/>
      <c r="F5" s="448"/>
      <c r="G5" s="448"/>
      <c r="H5" s="448"/>
      <c r="I5" s="448"/>
      <c r="J5" s="443" t="s">
        <v>656</v>
      </c>
      <c r="K5" s="444"/>
      <c r="L5" s="445">
        <v>1</v>
      </c>
      <c r="M5" s="446"/>
      <c r="N5" s="439"/>
    </row>
    <row r="6" spans="1:14" ht="15.9" customHeight="1">
      <c r="A6" s="452" t="s">
        <v>657</v>
      </c>
      <c r="B6" s="448"/>
      <c r="C6" s="448"/>
      <c r="D6" s="448"/>
      <c r="E6" s="448"/>
      <c r="F6" s="448"/>
      <c r="G6" s="448"/>
      <c r="H6" s="448"/>
      <c r="I6" s="448"/>
      <c r="J6" s="443" t="s">
        <v>658</v>
      </c>
      <c r="K6" s="444"/>
      <c r="L6" s="453" t="s">
        <v>659</v>
      </c>
      <c r="M6" s="446"/>
      <c r="N6" s="439"/>
    </row>
    <row r="7" spans="1:14" ht="15.9" customHeight="1" thickBot="1">
      <c r="A7" s="454" t="s">
        <v>660</v>
      </c>
      <c r="B7" s="455"/>
      <c r="C7" s="455"/>
      <c r="D7" s="455"/>
      <c r="E7" s="455"/>
      <c r="F7" s="455"/>
      <c r="G7" s="455"/>
      <c r="H7" s="455"/>
      <c r="I7" s="455"/>
      <c r="J7" s="456" t="s">
        <v>661</v>
      </c>
      <c r="K7" s="457"/>
      <c r="L7" s="458" t="s">
        <v>662</v>
      </c>
      <c r="M7" s="459"/>
      <c r="N7" s="439"/>
    </row>
    <row r="8" spans="1:14" ht="15.9" customHeight="1">
      <c r="A8" s="460"/>
      <c r="B8" s="448"/>
      <c r="C8" s="448"/>
      <c r="D8" s="448"/>
      <c r="E8" s="448"/>
      <c r="F8" s="448"/>
      <c r="G8" s="448"/>
      <c r="H8" s="448"/>
      <c r="I8" s="448"/>
      <c r="J8" s="448"/>
      <c r="K8" s="461"/>
      <c r="L8" s="462"/>
      <c r="M8" s="463"/>
      <c r="N8" s="448"/>
    </row>
    <row r="9" spans="1:14" ht="12" customHeight="1">
      <c r="A9" s="464"/>
      <c r="B9" s="465" t="s">
        <v>663</v>
      </c>
      <c r="C9" s="466"/>
      <c r="D9" s="467"/>
      <c r="E9" s="467"/>
      <c r="F9" s="467"/>
      <c r="G9" s="467"/>
      <c r="H9" s="467"/>
      <c r="I9" s="467"/>
      <c r="J9" s="467"/>
      <c r="K9" s="468"/>
      <c r="L9" s="469"/>
      <c r="M9" s="467"/>
      <c r="N9" s="448"/>
    </row>
    <row r="10" spans="1:14" ht="12" customHeight="1">
      <c r="A10" s="464"/>
      <c r="B10" s="465" t="s">
        <v>664</v>
      </c>
      <c r="C10" s="470"/>
      <c r="D10" s="469"/>
      <c r="E10" s="469"/>
      <c r="F10" s="469"/>
      <c r="G10" s="469"/>
      <c r="H10" s="469"/>
      <c r="I10" s="469"/>
      <c r="J10" s="469"/>
      <c r="K10" s="469"/>
      <c r="L10" s="469"/>
      <c r="M10" s="469"/>
      <c r="N10" s="462"/>
    </row>
    <row r="11" spans="1:14" ht="16.2" thickBot="1">
      <c r="A11" s="471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1"/>
    </row>
    <row r="12" spans="1:14" ht="20.100000000000001" customHeight="1" thickBot="1">
      <c r="A12" s="472" t="s">
        <v>665</v>
      </c>
      <c r="B12" s="473"/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4"/>
      <c r="N12" s="439"/>
    </row>
    <row r="13" spans="1:14" ht="12.9" customHeight="1" thickTop="1">
      <c r="A13" s="475"/>
      <c r="B13" s="476" t="s">
        <v>666</v>
      </c>
      <c r="C13" s="477">
        <v>800</v>
      </c>
      <c r="D13" s="469"/>
      <c r="E13" s="476" t="s">
        <v>667</v>
      </c>
      <c r="F13" s="477">
        <v>4000</v>
      </c>
      <c r="G13" s="469"/>
      <c r="H13" s="476" t="s">
        <v>668</v>
      </c>
      <c r="I13" s="477" t="s">
        <v>750</v>
      </c>
      <c r="J13" s="469"/>
      <c r="K13" s="469"/>
      <c r="L13" s="476" t="s">
        <v>669</v>
      </c>
      <c r="M13" s="478">
        <v>1200</v>
      </c>
      <c r="N13" s="439"/>
    </row>
    <row r="14" spans="1:14" ht="12.9" customHeight="1">
      <c r="A14" s="475"/>
      <c r="B14" s="476" t="s">
        <v>670</v>
      </c>
      <c r="C14" s="477" t="s">
        <v>177</v>
      </c>
      <c r="D14" s="469"/>
      <c r="E14" s="476" t="s">
        <v>671</v>
      </c>
      <c r="F14" s="477" t="s">
        <v>756</v>
      </c>
      <c r="G14" s="469"/>
      <c r="H14" s="476" t="s">
        <v>672</v>
      </c>
      <c r="I14" s="477">
        <v>101</v>
      </c>
      <c r="J14" s="469"/>
      <c r="K14" s="469"/>
      <c r="L14" s="476" t="s">
        <v>416</v>
      </c>
      <c r="M14" s="478">
        <v>1192</v>
      </c>
      <c r="N14" s="439"/>
    </row>
    <row r="15" spans="1:14" ht="12.9" customHeight="1">
      <c r="A15" s="475"/>
      <c r="B15" s="476" t="s">
        <v>673</v>
      </c>
      <c r="C15" s="477" t="s">
        <v>759</v>
      </c>
      <c r="D15" s="469"/>
      <c r="E15" s="476" t="s">
        <v>674</v>
      </c>
      <c r="F15" s="477">
        <v>1.1499999999999999</v>
      </c>
      <c r="G15" s="469"/>
      <c r="H15" s="479" t="s">
        <v>675</v>
      </c>
      <c r="I15" s="477" t="s">
        <v>174</v>
      </c>
      <c r="J15" s="469"/>
      <c r="K15" s="469"/>
      <c r="L15" s="476" t="s">
        <v>676</v>
      </c>
      <c r="M15" s="478" t="s">
        <v>347</v>
      </c>
      <c r="N15" s="439"/>
    </row>
    <row r="16" spans="1:14" ht="12.9" customHeight="1">
      <c r="A16" s="475"/>
      <c r="B16" s="476" t="s">
        <v>677</v>
      </c>
      <c r="C16" s="477" t="s">
        <v>749</v>
      </c>
      <c r="D16" s="469"/>
      <c r="E16" s="476" t="s">
        <v>678</v>
      </c>
      <c r="F16" s="477" t="s">
        <v>472</v>
      </c>
      <c r="G16" s="469"/>
      <c r="H16" s="480" t="s">
        <v>679</v>
      </c>
      <c r="I16" s="481" t="s">
        <v>340</v>
      </c>
      <c r="J16" s="469"/>
      <c r="K16" s="469"/>
      <c r="L16" s="476" t="s">
        <v>680</v>
      </c>
      <c r="M16" s="478" t="s">
        <v>681</v>
      </c>
      <c r="N16" s="439"/>
    </row>
    <row r="17" spans="1:22" ht="12.9" customHeight="1">
      <c r="A17" s="475"/>
      <c r="B17" s="476" t="s">
        <v>682</v>
      </c>
      <c r="C17" s="482" t="s">
        <v>762</v>
      </c>
      <c r="D17" s="469"/>
      <c r="E17" s="476"/>
      <c r="F17" s="483"/>
      <c r="G17" s="469"/>
      <c r="H17" s="476" t="s">
        <v>683</v>
      </c>
      <c r="I17" s="481"/>
      <c r="J17" s="469"/>
      <c r="K17" s="469"/>
      <c r="L17" s="476"/>
      <c r="M17" s="484"/>
      <c r="N17" s="439"/>
    </row>
    <row r="18" spans="1:22" ht="12.9" customHeight="1" thickBot="1">
      <c r="A18" s="485"/>
      <c r="B18" s="486" t="s">
        <v>684</v>
      </c>
      <c r="C18" s="487" t="s">
        <v>174</v>
      </c>
      <c r="D18" s="488"/>
      <c r="E18" s="489" t="s">
        <v>685</v>
      </c>
      <c r="F18" s="487" t="s">
        <v>174</v>
      </c>
      <c r="G18" s="490"/>
      <c r="H18" s="489" t="s">
        <v>686</v>
      </c>
      <c r="I18" s="487" t="s">
        <v>174</v>
      </c>
      <c r="J18" s="488"/>
      <c r="K18" s="488"/>
      <c r="L18" s="488"/>
      <c r="M18" s="491"/>
      <c r="N18" s="439"/>
    </row>
    <row r="19" spans="1:22" ht="16.2" thickBot="1">
      <c r="A19" s="439"/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</row>
    <row r="20" spans="1:22" ht="20.100000000000001" customHeight="1" thickBot="1">
      <c r="A20" s="472"/>
      <c r="B20" s="473"/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4"/>
    </row>
    <row r="21" spans="1:22" ht="15.9" customHeight="1" thickTop="1">
      <c r="A21" s="492" t="s">
        <v>687</v>
      </c>
      <c r="B21" s="493"/>
      <c r="C21" s="462"/>
      <c r="D21" s="494"/>
      <c r="E21" s="495" t="s">
        <v>688</v>
      </c>
      <c r="F21" s="496"/>
      <c r="G21" s="496"/>
      <c r="H21" s="497"/>
      <c r="I21" s="498" t="s">
        <v>689</v>
      </c>
      <c r="J21" s="499"/>
      <c r="K21" s="499"/>
      <c r="L21" s="462"/>
      <c r="M21" s="500"/>
    </row>
    <row r="22" spans="1:22" ht="15.9" customHeight="1">
      <c r="A22" s="501"/>
      <c r="B22" s="469"/>
      <c r="C22" s="502" t="s">
        <v>690</v>
      </c>
      <c r="D22" s="503">
        <v>536</v>
      </c>
      <c r="E22" s="476"/>
      <c r="G22" s="480" t="s">
        <v>691</v>
      </c>
      <c r="H22" s="504">
        <v>3525</v>
      </c>
      <c r="I22" s="502"/>
      <c r="J22" s="469"/>
      <c r="K22" s="502" t="s">
        <v>692</v>
      </c>
      <c r="L22" s="710" t="s">
        <v>755</v>
      </c>
      <c r="M22" s="711"/>
    </row>
    <row r="23" spans="1:22" ht="15.9" customHeight="1">
      <c r="A23" s="501"/>
      <c r="B23" s="502"/>
      <c r="C23" s="505"/>
      <c r="D23" s="506"/>
      <c r="E23" s="476"/>
      <c r="G23" s="476" t="s">
        <v>693</v>
      </c>
      <c r="H23" s="503">
        <v>75</v>
      </c>
      <c r="I23" s="469"/>
      <c r="J23" s="469"/>
      <c r="K23" s="476" t="s">
        <v>694</v>
      </c>
      <c r="L23" s="710" t="s">
        <v>755</v>
      </c>
      <c r="M23" s="711"/>
    </row>
    <row r="24" spans="1:22" ht="15.9" customHeight="1">
      <c r="A24" s="475"/>
      <c r="B24" s="476"/>
      <c r="C24" s="469"/>
      <c r="D24" s="506"/>
      <c r="E24" s="476"/>
      <c r="G24" s="480" t="s">
        <v>695</v>
      </c>
      <c r="H24" s="503">
        <v>225</v>
      </c>
      <c r="I24" s="469"/>
      <c r="J24" s="476"/>
      <c r="K24" s="469"/>
      <c r="L24" s="469"/>
      <c r="M24" s="484"/>
    </row>
    <row r="25" spans="1:22" ht="15.9" customHeight="1" thickBot="1">
      <c r="A25" s="485"/>
      <c r="B25" s="486"/>
      <c r="C25" s="488"/>
      <c r="D25" s="507"/>
      <c r="E25" s="489"/>
      <c r="F25" s="489"/>
      <c r="G25" s="489"/>
      <c r="H25" s="508"/>
      <c r="I25" s="488"/>
      <c r="J25" s="489"/>
      <c r="K25" s="488"/>
      <c r="L25" s="488"/>
      <c r="M25" s="491"/>
    </row>
    <row r="26" spans="1:22" ht="18.899999999999999" customHeight="1" thickBot="1">
      <c r="A26" s="509"/>
      <c r="B26" s="509"/>
      <c r="C26" s="509"/>
      <c r="D26" s="510"/>
      <c r="E26" s="510"/>
      <c r="F26" s="510"/>
      <c r="G26" s="510"/>
      <c r="H26" s="510"/>
      <c r="I26" s="510"/>
      <c r="J26" s="510"/>
      <c r="K26" s="510"/>
      <c r="L26" s="510"/>
      <c r="M26" s="439"/>
      <c r="N26" s="439"/>
    </row>
    <row r="27" spans="1:22" ht="20.100000000000001" customHeight="1" thickBot="1">
      <c r="A27" s="511"/>
      <c r="B27" s="512"/>
      <c r="C27" s="512"/>
      <c r="D27" s="512"/>
      <c r="E27" s="512"/>
      <c r="F27" s="512"/>
      <c r="G27" s="513"/>
      <c r="H27" s="512"/>
      <c r="I27" s="512"/>
      <c r="J27" s="512"/>
      <c r="K27" s="512"/>
      <c r="L27" s="512"/>
      <c r="M27" s="514"/>
      <c r="P27" s="556"/>
      <c r="Q27" s="556"/>
      <c r="R27" s="556"/>
      <c r="S27" s="556"/>
      <c r="T27" s="556"/>
      <c r="U27" s="556"/>
      <c r="V27" s="556"/>
    </row>
    <row r="28" spans="1:22" ht="15.9" customHeight="1" thickTop="1">
      <c r="A28" s="515" t="s">
        <v>696</v>
      </c>
      <c r="B28" s="493"/>
      <c r="C28" s="462"/>
      <c r="D28" s="462"/>
      <c r="E28" s="496"/>
      <c r="F28" s="496"/>
      <c r="G28" s="516"/>
      <c r="H28" s="495" t="s">
        <v>697</v>
      </c>
      <c r="I28" s="496"/>
      <c r="J28" s="499"/>
      <c r="K28" s="495"/>
      <c r="L28" s="499"/>
      <c r="M28" s="500"/>
      <c r="P28" s="556"/>
      <c r="Q28" s="556"/>
      <c r="R28" s="556"/>
      <c r="S28" s="556"/>
      <c r="T28" s="556"/>
      <c r="U28" s="556"/>
      <c r="V28" s="556"/>
    </row>
    <row r="29" spans="1:22" ht="15.9" customHeight="1">
      <c r="A29" s="475"/>
      <c r="B29" s="502"/>
      <c r="C29" s="502" t="s">
        <v>698</v>
      </c>
      <c r="D29" s="517">
        <v>94.8</v>
      </c>
      <c r="E29" s="476"/>
      <c r="F29" s="476"/>
      <c r="G29" s="516"/>
      <c r="H29" s="480"/>
      <c r="I29" s="502"/>
      <c r="J29" s="502" t="s">
        <v>698</v>
      </c>
      <c r="K29" s="517">
        <v>89.9</v>
      </c>
      <c r="L29" s="469"/>
      <c r="M29" s="484"/>
      <c r="P29" s="556"/>
      <c r="Q29" s="538"/>
      <c r="R29" s="113"/>
      <c r="S29" s="113"/>
      <c r="T29" s="113"/>
      <c r="U29" s="113"/>
      <c r="V29" s="556"/>
    </row>
    <row r="30" spans="1:22" ht="15.9" customHeight="1">
      <c r="A30" s="518"/>
      <c r="B30" s="469"/>
      <c r="C30" s="502" t="s">
        <v>699</v>
      </c>
      <c r="D30" s="517">
        <v>94.3</v>
      </c>
      <c r="E30" s="476"/>
      <c r="F30" s="476"/>
      <c r="G30" s="516"/>
      <c r="H30" s="476"/>
      <c r="I30" s="469"/>
      <c r="J30" s="502" t="s">
        <v>699</v>
      </c>
      <c r="K30" s="517">
        <v>88.6</v>
      </c>
      <c r="L30" s="469"/>
      <c r="M30" s="484"/>
      <c r="P30" s="556"/>
      <c r="Q30" s="538"/>
      <c r="R30" s="537"/>
      <c r="S30" s="537"/>
      <c r="T30" s="537"/>
      <c r="U30" s="537"/>
      <c r="V30" s="556"/>
    </row>
    <row r="31" spans="1:22" ht="15.9" customHeight="1">
      <c r="A31" s="475"/>
      <c r="B31" s="476"/>
      <c r="C31" s="502" t="s">
        <v>700</v>
      </c>
      <c r="D31" s="517">
        <v>92.9</v>
      </c>
      <c r="E31" s="476"/>
      <c r="F31" s="476"/>
      <c r="G31" s="516"/>
      <c r="H31" s="476"/>
      <c r="I31" s="469"/>
      <c r="J31" s="502" t="s">
        <v>700</v>
      </c>
      <c r="K31" s="517">
        <v>84</v>
      </c>
      <c r="L31" s="476"/>
      <c r="M31" s="484"/>
      <c r="P31" s="556"/>
      <c r="Q31" s="538"/>
      <c r="R31" s="114"/>
      <c r="S31" s="114"/>
      <c r="T31" s="114"/>
      <c r="U31" s="114"/>
      <c r="V31" s="556"/>
    </row>
    <row r="32" spans="1:22" ht="15.9" customHeight="1" thickBot="1">
      <c r="A32" s="485"/>
      <c r="B32" s="486"/>
      <c r="C32" s="488"/>
      <c r="D32" s="488"/>
      <c r="E32" s="489"/>
      <c r="F32" s="489"/>
      <c r="G32" s="519"/>
      <c r="H32" s="489"/>
      <c r="I32" s="488"/>
      <c r="J32" s="489"/>
      <c r="K32" s="488"/>
      <c r="L32" s="489"/>
      <c r="M32" s="491"/>
      <c r="P32" s="556"/>
      <c r="Q32" s="538"/>
      <c r="R32" s="114"/>
      <c r="S32" s="114"/>
      <c r="T32" s="114"/>
      <c r="U32" s="114"/>
      <c r="V32" s="556"/>
    </row>
    <row r="33" spans="1:22" ht="20.100000000000001" customHeight="1" thickBot="1">
      <c r="A33" s="520"/>
      <c r="B33" s="520"/>
      <c r="C33" s="520"/>
      <c r="D33" s="520"/>
      <c r="E33" s="520"/>
      <c r="F33" s="520"/>
      <c r="G33" s="520"/>
      <c r="H33" s="520"/>
      <c r="I33" s="520"/>
      <c r="J33" s="520"/>
      <c r="K33" s="520"/>
      <c r="L33" s="520"/>
      <c r="M33" s="521"/>
      <c r="N33" s="521"/>
      <c r="P33" s="556"/>
      <c r="Q33" s="556"/>
      <c r="R33" s="556"/>
      <c r="S33" s="556"/>
      <c r="T33" s="556"/>
      <c r="U33" s="556"/>
      <c r="V33" s="556"/>
    </row>
    <row r="34" spans="1:22" ht="20.100000000000001" customHeight="1" thickBot="1">
      <c r="A34" s="522"/>
      <c r="B34" s="523"/>
      <c r="C34" s="523"/>
      <c r="D34" s="523"/>
      <c r="E34" s="523"/>
      <c r="F34" s="523"/>
      <c r="G34" s="523"/>
      <c r="H34" s="523"/>
      <c r="I34" s="523"/>
      <c r="J34" s="523"/>
      <c r="K34" s="523"/>
      <c r="L34" s="523"/>
      <c r="M34" s="524"/>
      <c r="P34" s="556"/>
      <c r="Q34" s="556"/>
      <c r="R34" s="556"/>
      <c r="S34" s="556"/>
      <c r="T34" s="556"/>
      <c r="U34" s="556"/>
      <c r="V34" s="556"/>
    </row>
    <row r="35" spans="1:22" ht="15.9" customHeight="1" thickTop="1">
      <c r="A35" s="525" t="s">
        <v>701</v>
      </c>
      <c r="B35" s="505"/>
      <c r="C35" s="505"/>
      <c r="D35" s="505"/>
      <c r="E35" s="505"/>
      <c r="F35" s="505"/>
      <c r="G35" s="505"/>
      <c r="H35" s="505"/>
      <c r="I35" s="505"/>
      <c r="J35" s="505"/>
      <c r="K35" s="505"/>
      <c r="L35" s="505"/>
      <c r="M35" s="526"/>
      <c r="P35" s="556"/>
      <c r="Q35" s="556"/>
      <c r="R35" s="556"/>
      <c r="S35" s="556"/>
      <c r="T35" s="556"/>
      <c r="U35" s="556"/>
      <c r="V35" s="556"/>
    </row>
    <row r="36" spans="1:22" ht="15.9" customHeight="1">
      <c r="A36" s="518" t="s">
        <v>702</v>
      </c>
      <c r="B36" s="505"/>
      <c r="C36" s="505"/>
      <c r="D36" s="505"/>
      <c r="E36" s="505"/>
      <c r="F36" s="505"/>
      <c r="G36" s="505"/>
      <c r="H36" s="505"/>
      <c r="I36" s="505"/>
      <c r="J36" s="505"/>
      <c r="K36" s="505"/>
      <c r="L36" s="505"/>
      <c r="M36" s="526"/>
    </row>
    <row r="37" spans="1:22" ht="15.9" customHeight="1">
      <c r="A37" s="527" t="s">
        <v>703</v>
      </c>
      <c r="B37" s="505"/>
      <c r="C37" s="505"/>
      <c r="D37" s="505"/>
      <c r="E37" s="528"/>
      <c r="F37" s="505"/>
      <c r="G37" s="505"/>
      <c r="H37" s="505"/>
      <c r="I37" s="505"/>
      <c r="J37" s="505"/>
      <c r="K37" s="505"/>
      <c r="L37" s="505"/>
      <c r="M37" s="526"/>
    </row>
    <row r="38" spans="1:22" ht="15.9" customHeight="1">
      <c r="A38" s="529" t="s">
        <v>704</v>
      </c>
      <c r="B38" s="505"/>
      <c r="C38" s="505"/>
      <c r="D38" s="505"/>
      <c r="E38" s="505"/>
      <c r="F38" s="505"/>
      <c r="G38" s="505"/>
      <c r="H38" s="505"/>
      <c r="I38" s="505"/>
      <c r="J38" s="505"/>
      <c r="K38" s="505"/>
      <c r="L38" s="505"/>
      <c r="M38" s="526"/>
    </row>
    <row r="39" spans="1:22" ht="15.9" customHeight="1">
      <c r="A39" s="530" t="s">
        <v>705</v>
      </c>
      <c r="B39" s="505"/>
      <c r="C39" s="505"/>
      <c r="D39" s="505"/>
      <c r="E39" s="505"/>
      <c r="F39" s="505"/>
      <c r="G39" s="505"/>
      <c r="H39" s="505"/>
      <c r="I39" s="505"/>
      <c r="J39" s="505"/>
      <c r="K39" s="505"/>
      <c r="L39" s="505"/>
      <c r="M39" s="526"/>
    </row>
    <row r="40" spans="1:22" ht="15.9" customHeight="1" thickBot="1">
      <c r="A40" s="531" t="s">
        <v>706</v>
      </c>
      <c r="B40" s="532"/>
      <c r="C40" s="532"/>
      <c r="D40" s="532"/>
      <c r="E40" s="532"/>
      <c r="F40" s="532"/>
      <c r="G40" s="532"/>
      <c r="H40" s="532"/>
      <c r="I40" s="532"/>
      <c r="J40" s="532"/>
      <c r="K40" s="532"/>
      <c r="L40" s="532"/>
      <c r="M40" s="533"/>
    </row>
    <row r="41" spans="1:22" ht="15.9" customHeight="1">
      <c r="A41" s="505"/>
      <c r="B41" s="505"/>
      <c r="C41" s="505"/>
      <c r="D41" s="505"/>
      <c r="E41" s="505"/>
      <c r="F41" s="505"/>
      <c r="G41" s="505"/>
      <c r="H41" s="505"/>
      <c r="I41" s="505"/>
      <c r="J41" s="505"/>
      <c r="K41" s="505"/>
      <c r="L41" s="505"/>
      <c r="M41" s="505"/>
    </row>
    <row r="42" spans="1:22" ht="15.9" customHeight="1"/>
    <row r="43" spans="1:22" ht="18.600000000000001">
      <c r="A43" s="534"/>
      <c r="B43" s="534"/>
      <c r="C43" s="534"/>
      <c r="D43" s="534"/>
      <c r="E43" s="534"/>
      <c r="F43" s="534"/>
      <c r="G43" s="534"/>
      <c r="H43" s="439"/>
      <c r="I43" s="439"/>
      <c r="J43" s="535" t="s">
        <v>707</v>
      </c>
      <c r="K43" s="712" t="s">
        <v>334</v>
      </c>
      <c r="L43" s="712"/>
      <c r="M43" s="712"/>
      <c r="N43" s="534"/>
    </row>
    <row r="44" spans="1:22" ht="7.5" customHeight="1">
      <c r="H44" s="439"/>
      <c r="I44" s="439"/>
      <c r="J44" s="439"/>
      <c r="K44" s="439"/>
      <c r="L44" s="439"/>
      <c r="M44" s="439"/>
    </row>
    <row r="45" spans="1:22" ht="16.8">
      <c r="H45" s="439"/>
      <c r="I45" s="439"/>
      <c r="J45" s="535" t="s">
        <v>708</v>
      </c>
      <c r="K45" s="713">
        <v>41992</v>
      </c>
      <c r="L45" s="713"/>
      <c r="M45" s="713"/>
    </row>
    <row r="60" spans="1:5">
      <c r="A60" s="440" t="s">
        <v>174</v>
      </c>
      <c r="B60" s="440" t="s">
        <v>755</v>
      </c>
      <c r="D60" s="440">
        <v>1</v>
      </c>
      <c r="E60" s="536" t="s">
        <v>174</v>
      </c>
    </row>
    <row r="61" spans="1:5">
      <c r="A61" s="440" t="s">
        <v>709</v>
      </c>
      <c r="B61" s="440" t="s">
        <v>710</v>
      </c>
      <c r="D61" s="440">
        <v>1.1499999999999999</v>
      </c>
      <c r="E61" s="536" t="s">
        <v>351</v>
      </c>
    </row>
    <row r="62" spans="1:5">
      <c r="A62" s="440" t="s">
        <v>711</v>
      </c>
      <c r="B62" s="440" t="s">
        <v>712</v>
      </c>
      <c r="E62" s="536" t="s">
        <v>303</v>
      </c>
    </row>
    <row r="63" spans="1:5">
      <c r="B63" s="440" t="s">
        <v>713</v>
      </c>
    </row>
    <row r="64" spans="1:5">
      <c r="B64" s="440" t="s">
        <v>714</v>
      </c>
    </row>
    <row r="65" spans="2:2">
      <c r="B65" s="440" t="s">
        <v>715</v>
      </c>
    </row>
    <row r="66" spans="2:2">
      <c r="B66" s="440" t="s">
        <v>716</v>
      </c>
    </row>
    <row r="67" spans="2:2">
      <c r="B67" s="440" t="s">
        <v>717</v>
      </c>
    </row>
    <row r="68" spans="2:2">
      <c r="B68" s="440" t="s">
        <v>718</v>
      </c>
    </row>
    <row r="69" spans="2:2">
      <c r="B69" s="440" t="s">
        <v>719</v>
      </c>
    </row>
    <row r="70" spans="2:2">
      <c r="B70" s="440" t="s">
        <v>720</v>
      </c>
    </row>
    <row r="71" spans="2:2">
      <c r="B71" s="440" t="s">
        <v>721</v>
      </c>
    </row>
    <row r="72" spans="2:2">
      <c r="B72" s="440" t="s">
        <v>722</v>
      </c>
    </row>
    <row r="73" spans="2:2">
      <c r="B73" s="440" t="s">
        <v>723</v>
      </c>
    </row>
    <row r="74" spans="2:2">
      <c r="B74" s="440" t="s">
        <v>724</v>
      </c>
    </row>
    <row r="75" spans="2:2">
      <c r="B75" s="440" t="s">
        <v>725</v>
      </c>
    </row>
    <row r="76" spans="2:2">
      <c r="B76" s="440" t="s">
        <v>726</v>
      </c>
    </row>
    <row r="77" spans="2:2">
      <c r="B77" s="440" t="s">
        <v>727</v>
      </c>
    </row>
    <row r="78" spans="2:2">
      <c r="B78" s="440" t="s">
        <v>728</v>
      </c>
    </row>
    <row r="79" spans="2:2">
      <c r="B79" s="440" t="s">
        <v>729</v>
      </c>
    </row>
    <row r="80" spans="2:2">
      <c r="B80" s="440" t="s">
        <v>730</v>
      </c>
    </row>
    <row r="81" spans="2:2">
      <c r="B81" s="440">
        <v>6312</v>
      </c>
    </row>
    <row r="82" spans="2:2">
      <c r="B82" s="440" t="s">
        <v>731</v>
      </c>
    </row>
    <row r="83" spans="2:2">
      <c r="B83" s="440" t="s">
        <v>732</v>
      </c>
    </row>
    <row r="84" spans="2:2">
      <c r="B84" s="440" t="s">
        <v>733</v>
      </c>
    </row>
    <row r="85" spans="2:2">
      <c r="B85" s="440" t="s">
        <v>734</v>
      </c>
    </row>
    <row r="86" spans="2:2">
      <c r="B86" s="440">
        <v>6313</v>
      </c>
    </row>
    <row r="87" spans="2:2">
      <c r="B87" s="440" t="s">
        <v>735</v>
      </c>
    </row>
    <row r="88" spans="2:2">
      <c r="B88" s="440" t="s">
        <v>736</v>
      </c>
    </row>
    <row r="89" spans="2:2">
      <c r="B89" s="440" t="s">
        <v>737</v>
      </c>
    </row>
    <row r="90" spans="2:2">
      <c r="B90" s="440">
        <v>6314</v>
      </c>
    </row>
    <row r="91" spans="2:2">
      <c r="B91" s="440" t="s">
        <v>738</v>
      </c>
    </row>
    <row r="92" spans="2:2">
      <c r="B92" s="440">
        <v>6317</v>
      </c>
    </row>
    <row r="93" spans="2:2">
      <c r="B93" s="440" t="s">
        <v>739</v>
      </c>
    </row>
    <row r="94" spans="2:2">
      <c r="B94" s="440">
        <v>6318</v>
      </c>
    </row>
    <row r="95" spans="2:2">
      <c r="B95" s="440" t="s">
        <v>740</v>
      </c>
    </row>
    <row r="96" spans="2:2">
      <c r="B96" s="440" t="s">
        <v>741</v>
      </c>
    </row>
    <row r="97" spans="2:2">
      <c r="B97" s="440" t="s">
        <v>742</v>
      </c>
    </row>
    <row r="98" spans="2:2">
      <c r="B98" s="440">
        <v>6320</v>
      </c>
    </row>
    <row r="99" spans="2:2">
      <c r="B99" s="440" t="s">
        <v>743</v>
      </c>
    </row>
    <row r="100" spans="2:2">
      <c r="B100" s="440" t="s">
        <v>744</v>
      </c>
    </row>
    <row r="101" spans="2:2">
      <c r="B101" s="440" t="s">
        <v>745</v>
      </c>
    </row>
    <row r="102" spans="2:2">
      <c r="B102" s="440" t="s">
        <v>746</v>
      </c>
    </row>
    <row r="103" spans="2:2">
      <c r="B103" s="440" t="s">
        <v>746</v>
      </c>
    </row>
    <row r="119" spans="2:2">
      <c r="B119" s="440" t="s">
        <v>747</v>
      </c>
    </row>
    <row r="121" spans="2:2">
      <c r="B121" s="440" t="s">
        <v>748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topLeftCell="A7" workbookViewId="0">
      <selection activeCell="F9" sqref="F9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899999999999999" customHeight="1">
      <c r="A3" s="369" t="s">
        <v>404</v>
      </c>
      <c r="B3" s="367"/>
      <c r="C3" s="367"/>
      <c r="D3" s="367"/>
      <c r="E3" s="367"/>
      <c r="F3" s="368"/>
    </row>
    <row r="4" spans="1:6" ht="18.899999999999999" customHeight="1">
      <c r="A4" s="370"/>
      <c r="B4" s="371"/>
      <c r="C4" s="371"/>
      <c r="D4" s="371"/>
      <c r="E4" s="371"/>
      <c r="F4" s="372"/>
    </row>
    <row r="5" spans="1:6" ht="18.899999999999999" customHeight="1">
      <c r="A5" s="370"/>
      <c r="B5" s="371"/>
      <c r="C5" s="371"/>
      <c r="D5" s="371"/>
      <c r="E5" s="371"/>
      <c r="F5" s="372"/>
    </row>
    <row r="6" spans="1:6" ht="18.899999999999999" customHeight="1">
      <c r="A6" s="544" t="s">
        <v>405</v>
      </c>
      <c r="B6" s="687" t="str">
        <f>'Performance Data Sheet'!C17</f>
        <v>8007TCQL11E-C</v>
      </c>
      <c r="C6" s="688"/>
      <c r="D6" s="689"/>
      <c r="E6" s="544" t="s">
        <v>406</v>
      </c>
      <c r="F6" s="545" t="str">
        <f>'Performance Data Sheet'!I14 &amp; " A"</f>
        <v>101 A</v>
      </c>
    </row>
    <row r="7" spans="1:6" ht="18.899999999999999" customHeight="1">
      <c r="A7" s="544" t="s">
        <v>407</v>
      </c>
      <c r="B7" s="545" t="str">
        <f>'Performance Data Sheet'!F14</f>
        <v>TEAAC</v>
      </c>
      <c r="C7" s="544" t="s">
        <v>408</v>
      </c>
      <c r="D7" s="545" t="str">
        <f>'Performance Data Sheet'!F13 &amp; " V"</f>
        <v>4000 V</v>
      </c>
      <c r="E7" s="544" t="s">
        <v>409</v>
      </c>
      <c r="F7" s="545" t="str">
        <f>'Performance Data Sheet'!C14</f>
        <v>6810US</v>
      </c>
    </row>
    <row r="8" spans="1:6" ht="18.899999999999999" customHeight="1">
      <c r="A8" s="544" t="s">
        <v>410</v>
      </c>
      <c r="B8" s="545">
        <v>6</v>
      </c>
      <c r="C8" s="544" t="s">
        <v>411</v>
      </c>
      <c r="D8" s="545" t="s">
        <v>412</v>
      </c>
      <c r="E8" s="544" t="s">
        <v>413</v>
      </c>
      <c r="F8" s="545" t="str">
        <f>'Performance Data Sheet'!M15</f>
        <v>F</v>
      </c>
    </row>
    <row r="9" spans="1:6" ht="18.899999999999999" customHeight="1">
      <c r="A9" s="544" t="s">
        <v>414</v>
      </c>
      <c r="B9" s="545">
        <v>800</v>
      </c>
      <c r="C9" s="544" t="s">
        <v>415</v>
      </c>
      <c r="D9" s="545" t="s">
        <v>431</v>
      </c>
      <c r="E9" s="544" t="s">
        <v>2</v>
      </c>
      <c r="F9" s="546">
        <f>'Performance Data Sheet'!K45</f>
        <v>41992</v>
      </c>
    </row>
    <row r="10" spans="1:6" ht="18.899999999999999" customHeight="1">
      <c r="A10" s="544" t="s">
        <v>416</v>
      </c>
      <c r="B10" s="545">
        <v>1192</v>
      </c>
      <c r="C10" s="544" t="s">
        <v>417</v>
      </c>
      <c r="D10" s="545" t="s">
        <v>418</v>
      </c>
      <c r="E10" s="544" t="s">
        <v>1</v>
      </c>
      <c r="F10" s="545" t="s">
        <v>364</v>
      </c>
    </row>
    <row r="11" spans="1:6" ht="18.899999999999999" customHeight="1">
      <c r="A11" s="370"/>
      <c r="B11" s="371"/>
      <c r="C11" s="371"/>
      <c r="D11" s="371"/>
      <c r="E11" s="371"/>
      <c r="F11" s="372"/>
    </row>
    <row r="12" spans="1:6" ht="18.899999999999999" customHeight="1">
      <c r="A12" s="370"/>
      <c r="B12" s="373" t="s">
        <v>419</v>
      </c>
      <c r="C12" s="374" t="str">
        <f>'Performance Data Sheet'!D22 &amp; " A"</f>
        <v>536 A</v>
      </c>
      <c r="D12" s="373" t="s">
        <v>420</v>
      </c>
      <c r="E12" s="374" t="s">
        <v>418</v>
      </c>
      <c r="F12" s="372"/>
    </row>
    <row r="13" spans="1:6" ht="18.899999999999999" customHeight="1">
      <c r="A13" s="370"/>
      <c r="B13" s="373" t="s">
        <v>421</v>
      </c>
      <c r="C13" s="375">
        <v>0.75</v>
      </c>
      <c r="D13" s="373" t="s">
        <v>422</v>
      </c>
      <c r="E13" s="374" t="s">
        <v>418</v>
      </c>
      <c r="F13" s="372"/>
    </row>
    <row r="14" spans="1:6" ht="18.899999999999999" customHeight="1">
      <c r="A14" s="370"/>
      <c r="B14" s="373" t="s">
        <v>423</v>
      </c>
      <c r="C14" s="375">
        <v>2.25</v>
      </c>
      <c r="D14" s="373" t="s">
        <v>424</v>
      </c>
      <c r="E14" s="374" t="s">
        <v>418</v>
      </c>
      <c r="F14" s="372"/>
    </row>
    <row r="15" spans="1:6" ht="18.899999999999999" customHeight="1">
      <c r="A15" s="370"/>
      <c r="B15" s="373" t="s">
        <v>425</v>
      </c>
      <c r="C15" s="374" t="s">
        <v>757</v>
      </c>
      <c r="D15" s="371"/>
      <c r="E15" s="371"/>
      <c r="F15" s="372"/>
    </row>
    <row r="16" spans="1:6" ht="18.899999999999999" customHeight="1">
      <c r="A16" s="370"/>
      <c r="B16" s="371"/>
      <c r="C16" s="371"/>
      <c r="D16" s="371"/>
      <c r="E16" s="371"/>
      <c r="F16" s="372"/>
    </row>
    <row r="17" spans="1:6" ht="18.899999999999999" customHeight="1">
      <c r="A17" s="370"/>
      <c r="B17" s="371"/>
      <c r="C17" s="371"/>
      <c r="D17" s="371"/>
      <c r="E17" s="371"/>
      <c r="F17" s="372"/>
    </row>
    <row r="18" spans="1:6" ht="18.899999999999999" customHeight="1">
      <c r="A18" s="370"/>
      <c r="B18" s="371"/>
      <c r="C18" s="371"/>
      <c r="D18" s="371"/>
      <c r="E18" s="371"/>
      <c r="F18" s="372"/>
    </row>
    <row r="19" spans="1:6" ht="18.899999999999999" customHeight="1">
      <c r="A19" s="370"/>
      <c r="B19" s="371"/>
      <c r="C19" s="371"/>
      <c r="D19" s="371"/>
      <c r="E19" s="371"/>
      <c r="F19" s="372"/>
    </row>
    <row r="20" spans="1:6" ht="18.899999999999999" customHeight="1">
      <c r="A20" s="370"/>
      <c r="B20" s="371"/>
      <c r="C20" s="371"/>
      <c r="D20" s="371"/>
      <c r="E20" s="371"/>
      <c r="F20" s="372"/>
    </row>
    <row r="21" spans="1:6" ht="18.899999999999999" customHeight="1">
      <c r="A21" s="370"/>
      <c r="B21" s="371"/>
      <c r="C21" s="371"/>
      <c r="D21" s="371"/>
      <c r="E21" s="371"/>
      <c r="F21" s="372"/>
    </row>
    <row r="22" spans="1:6" ht="18.899999999999999" customHeight="1">
      <c r="A22" s="370"/>
      <c r="B22" s="371"/>
      <c r="C22" s="371"/>
      <c r="D22" s="371"/>
      <c r="E22" s="371"/>
      <c r="F22" s="372"/>
    </row>
    <row r="23" spans="1:6" ht="18.899999999999999" customHeight="1">
      <c r="A23" s="370"/>
      <c r="B23" s="371"/>
      <c r="C23" s="371"/>
      <c r="D23" s="371"/>
      <c r="E23" s="371"/>
      <c r="F23" s="372"/>
    </row>
    <row r="24" spans="1:6" ht="18.899999999999999" customHeight="1">
      <c r="A24" s="370"/>
      <c r="B24" s="371"/>
      <c r="C24" s="371"/>
      <c r="D24" s="371"/>
      <c r="E24" s="371"/>
      <c r="F24" s="372"/>
    </row>
    <row r="25" spans="1:6" ht="18.899999999999999" customHeight="1">
      <c r="A25" s="370"/>
      <c r="B25" s="371"/>
      <c r="C25" s="371"/>
      <c r="D25" s="371"/>
      <c r="E25" s="371"/>
      <c r="F25" s="372"/>
    </row>
    <row r="26" spans="1:6" ht="18.899999999999999" customHeight="1">
      <c r="A26" s="370"/>
      <c r="B26" s="371"/>
      <c r="C26" s="371"/>
      <c r="D26" s="371"/>
      <c r="E26" s="371"/>
      <c r="F26" s="372"/>
    </row>
    <row r="27" spans="1:6" ht="18.899999999999999" customHeight="1">
      <c r="A27" s="370"/>
      <c r="B27" s="371"/>
      <c r="C27" s="371"/>
      <c r="D27" s="371"/>
      <c r="E27" s="371"/>
      <c r="F27" s="372"/>
    </row>
    <row r="28" spans="1:6" ht="18.899999999999999" customHeight="1">
      <c r="A28" s="370"/>
      <c r="B28" s="371"/>
      <c r="C28" s="371"/>
      <c r="D28" s="371"/>
      <c r="E28" s="371"/>
      <c r="F28" s="372"/>
    </row>
    <row r="29" spans="1:6" ht="18.899999999999999" customHeight="1">
      <c r="A29" s="370"/>
      <c r="B29" s="371"/>
      <c r="C29" s="371"/>
      <c r="D29" s="371"/>
      <c r="E29" s="371"/>
      <c r="F29" s="372"/>
    </row>
    <row r="30" spans="1:6" ht="18.899999999999999" customHeight="1">
      <c r="A30" s="370"/>
      <c r="B30" s="371"/>
      <c r="C30" s="371"/>
      <c r="D30" s="371"/>
      <c r="E30" s="371"/>
      <c r="F30" s="372"/>
    </row>
    <row r="31" spans="1:6" ht="18.899999999999999" customHeight="1">
      <c r="A31" s="370"/>
      <c r="B31" s="371"/>
      <c r="C31" s="371"/>
      <c r="D31" s="371"/>
      <c r="E31" s="371"/>
      <c r="F31" s="372"/>
    </row>
    <row r="32" spans="1:6" ht="18.899999999999999" customHeight="1">
      <c r="A32" s="370"/>
      <c r="B32" s="371"/>
      <c r="C32" s="371"/>
      <c r="D32" s="371"/>
      <c r="E32" s="371"/>
      <c r="F32" s="372"/>
    </row>
    <row r="33" spans="1:6" ht="18.899999999999999" customHeight="1">
      <c r="A33" s="370"/>
      <c r="B33" s="371"/>
      <c r="C33" s="371"/>
      <c r="D33" s="371"/>
      <c r="E33" s="371"/>
      <c r="F33" s="372"/>
    </row>
    <row r="34" spans="1:6" ht="18.899999999999999" customHeight="1">
      <c r="A34" s="370"/>
      <c r="B34" s="371"/>
      <c r="C34" s="371"/>
      <c r="D34" s="371"/>
      <c r="E34" s="371"/>
      <c r="F34" s="372"/>
    </row>
    <row r="35" spans="1:6" ht="18.899999999999999" customHeight="1">
      <c r="A35" s="370"/>
      <c r="B35" s="371"/>
      <c r="C35" s="371"/>
      <c r="D35" s="371"/>
      <c r="E35" s="371"/>
      <c r="F35" s="372"/>
    </row>
    <row r="36" spans="1:6" ht="18.899999999999999" customHeight="1">
      <c r="A36" s="370"/>
      <c r="B36" s="371"/>
      <c r="C36" s="371"/>
      <c r="D36" s="371"/>
      <c r="E36" s="371"/>
      <c r="F36" s="372"/>
    </row>
    <row r="37" spans="1:6" ht="18.899999999999999" customHeight="1">
      <c r="A37" s="370"/>
      <c r="B37" s="371"/>
      <c r="C37" s="371"/>
      <c r="D37" s="371"/>
      <c r="E37" s="371"/>
      <c r="F37" s="372"/>
    </row>
    <row r="38" spans="1:6" ht="18.899999999999999" customHeight="1">
      <c r="A38" s="370"/>
      <c r="B38" s="371"/>
      <c r="C38" s="371"/>
      <c r="D38" s="371"/>
      <c r="E38" s="371"/>
      <c r="F38" s="372"/>
    </row>
    <row r="39" spans="1:6" ht="18.899999999999999" customHeight="1">
      <c r="A39" s="550" t="s">
        <v>426</v>
      </c>
      <c r="B39" s="551" t="s">
        <v>355</v>
      </c>
      <c r="C39" s="551">
        <f>'Performance Data Sheet'!C10</f>
        <v>0</v>
      </c>
      <c r="D39" s="542"/>
      <c r="E39" s="547" t="s">
        <v>427</v>
      </c>
      <c r="F39" s="552" t="str">
        <f>F10</f>
        <v>BS6800U</v>
      </c>
    </row>
    <row r="40" spans="1:6" ht="18.899999999999999" customHeight="1">
      <c r="A40" s="541"/>
      <c r="B40" s="551"/>
      <c r="C40" s="551"/>
      <c r="D40" s="542"/>
      <c r="E40" s="542"/>
      <c r="F40" s="543"/>
    </row>
    <row r="41" spans="1:6" ht="18.899999999999999" customHeight="1">
      <c r="A41" s="541"/>
      <c r="B41" s="551"/>
      <c r="C41" s="551"/>
      <c r="D41" s="542"/>
      <c r="E41" s="542"/>
      <c r="F41" s="543"/>
    </row>
    <row r="42" spans="1:6" ht="18.899999999999999" customHeight="1">
      <c r="A42" s="541"/>
      <c r="B42" s="542"/>
      <c r="C42" s="542"/>
      <c r="D42" s="542"/>
      <c r="E42" s="542"/>
      <c r="F42" s="543"/>
    </row>
    <row r="43" spans="1:6" ht="18.899999999999999" customHeight="1">
      <c r="A43" s="553"/>
      <c r="B43" s="551"/>
      <c r="C43" s="554" t="s">
        <v>428</v>
      </c>
      <c r="D43" s="555" t="str">
        <f>'Performance Data Sheet'!K43</f>
        <v>Mario L</v>
      </c>
      <c r="E43" s="554" t="s">
        <v>429</v>
      </c>
      <c r="F43" s="55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79">
        <v>100</v>
      </c>
      <c r="B54" s="362">
        <v>0</v>
      </c>
      <c r="C54" s="362">
        <v>0.23426343500614166</v>
      </c>
    </row>
    <row r="55" spans="1:3" ht="15" customHeight="1">
      <c r="A55" s="379">
        <v>99.799999967217445</v>
      </c>
      <c r="B55" s="362">
        <v>104.79071775056615</v>
      </c>
      <c r="C55" s="362">
        <v>111.31684875488281</v>
      </c>
    </row>
    <row r="56" spans="1:3" ht="15" customHeight="1">
      <c r="A56" s="379">
        <v>98.999999836087227</v>
      </c>
      <c r="B56" s="362">
        <v>225</v>
      </c>
      <c r="C56" s="362">
        <v>351.87313842773438</v>
      </c>
    </row>
    <row r="57" spans="1:3">
      <c r="A57" s="379">
        <v>93.789473548531532</v>
      </c>
      <c r="B57" s="362">
        <v>132.83446669235235</v>
      </c>
      <c r="C57" s="362">
        <v>426.37747192382813</v>
      </c>
    </row>
    <row r="58" spans="1:3">
      <c r="A58" s="379">
        <v>88.578946888446808</v>
      </c>
      <c r="B58" s="362">
        <v>105.12558899139877</v>
      </c>
      <c r="C58" s="362">
        <v>450.2503662109375</v>
      </c>
    </row>
    <row r="59" spans="1:3">
      <c r="A59" s="379">
        <v>83.368420600891113</v>
      </c>
      <c r="B59" s="362">
        <v>92.293974118465925</v>
      </c>
      <c r="C59" s="362">
        <v>462.9967041015625</v>
      </c>
    </row>
    <row r="60" spans="1:3">
      <c r="A60" s="379">
        <v>72.947368025779724</v>
      </c>
      <c r="B60" s="362">
        <v>84.176581873385743</v>
      </c>
      <c r="C60" s="362">
        <v>479.967041015625</v>
      </c>
    </row>
    <row r="61" spans="1:3">
      <c r="A61" s="379">
        <v>62.526315450668335</v>
      </c>
      <c r="B61" s="362">
        <v>80.353138851111765</v>
      </c>
      <c r="C61" s="362">
        <v>492.78759765625</v>
      </c>
    </row>
    <row r="62" spans="1:3">
      <c r="A62" s="379">
        <v>52.105262875556946</v>
      </c>
      <c r="B62" s="362">
        <v>78.135971069740677</v>
      </c>
      <c r="C62" s="362">
        <v>503.16143798828125</v>
      </c>
    </row>
    <row r="63" spans="1:3">
      <c r="A63" s="379">
        <v>41.684210300445557</v>
      </c>
      <c r="B63" s="362">
        <v>76.767941437067876</v>
      </c>
      <c r="C63" s="362">
        <v>511.27804565429688</v>
      </c>
    </row>
    <row r="64" spans="1:3">
      <c r="A64" s="379">
        <v>31.263160705566406</v>
      </c>
      <c r="B64" s="362">
        <v>75.936081322555722</v>
      </c>
      <c r="C64" s="362">
        <v>517.8095703125</v>
      </c>
    </row>
    <row r="65" spans="1:3">
      <c r="A65" s="379">
        <v>20.842105150222778</v>
      </c>
      <c r="B65" s="362">
        <v>75.438485520920295</v>
      </c>
      <c r="C65" s="362">
        <v>522.91143798828125</v>
      </c>
    </row>
    <row r="66" spans="1:3">
      <c r="A66" s="379">
        <v>10.421055555343628</v>
      </c>
      <c r="B66" s="362">
        <v>75.154330783558208</v>
      </c>
      <c r="C66" s="362">
        <v>527.1348876953125</v>
      </c>
    </row>
    <row r="67" spans="1:3">
      <c r="A67" s="380">
        <v>0</v>
      </c>
      <c r="B67" s="362">
        <v>75</v>
      </c>
      <c r="C67" s="362">
        <v>530.69305419921875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F9" sqref="F9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899999999999999" customHeight="1">
      <c r="A3" s="701" t="s">
        <v>600</v>
      </c>
      <c r="B3" s="702"/>
      <c r="C3" s="702"/>
      <c r="D3" s="702"/>
      <c r="E3" s="702"/>
      <c r="F3" s="703"/>
    </row>
    <row r="4" spans="1:6" ht="18.899999999999999" customHeight="1">
      <c r="A4" s="704" t="s">
        <v>601</v>
      </c>
      <c r="B4" s="705"/>
      <c r="C4" s="705"/>
      <c r="D4" s="705"/>
      <c r="E4" s="705"/>
      <c r="F4" s="706"/>
    </row>
    <row r="5" spans="1:6" ht="18.899999999999999" customHeight="1">
      <c r="A5" s="370"/>
      <c r="B5" s="371"/>
      <c r="C5" s="371"/>
      <c r="D5" s="371"/>
      <c r="E5" s="371"/>
      <c r="F5" s="372"/>
    </row>
    <row r="6" spans="1:6" ht="18.899999999999999" customHeight="1">
      <c r="A6" s="544" t="s">
        <v>405</v>
      </c>
      <c r="B6" s="687" t="str">
        <f>'Performance Data Sheet'!C17</f>
        <v>8007TCQL11E-C</v>
      </c>
      <c r="C6" s="688"/>
      <c r="D6" s="689"/>
      <c r="E6" s="544" t="s">
        <v>406</v>
      </c>
      <c r="F6" s="545" t="str">
        <f>'Performance Data Sheet'!I14 &amp; " A"</f>
        <v>101 A</v>
      </c>
    </row>
    <row r="7" spans="1:6" ht="18.899999999999999" customHeight="1">
      <c r="A7" s="544" t="s">
        <v>407</v>
      </c>
      <c r="B7" s="545" t="str">
        <f>'Performance Data Sheet'!F14</f>
        <v>TEAAC</v>
      </c>
      <c r="C7" s="544" t="s">
        <v>408</v>
      </c>
      <c r="D7" s="545" t="str">
        <f>'Performance Data Sheet'!F13 &amp; " V"</f>
        <v>4000 V</v>
      </c>
      <c r="E7" s="544" t="s">
        <v>409</v>
      </c>
      <c r="F7" s="545" t="str">
        <f>'Performance Data Sheet'!C14</f>
        <v>6810US</v>
      </c>
    </row>
    <row r="8" spans="1:6" ht="18.899999999999999" customHeight="1">
      <c r="A8" s="544" t="s">
        <v>410</v>
      </c>
      <c r="B8" s="545">
        <v>6</v>
      </c>
      <c r="C8" s="544" t="s">
        <v>411</v>
      </c>
      <c r="D8" s="545" t="s">
        <v>412</v>
      </c>
      <c r="E8" s="544" t="s">
        <v>413</v>
      </c>
      <c r="F8" s="545" t="str">
        <f>'Performance Data Sheet'!M15</f>
        <v>F</v>
      </c>
    </row>
    <row r="9" spans="1:6" ht="18.899999999999999" customHeight="1">
      <c r="A9" s="544" t="s">
        <v>414</v>
      </c>
      <c r="B9" s="545">
        <v>800</v>
      </c>
      <c r="C9" s="544" t="s">
        <v>415</v>
      </c>
      <c r="D9" s="545" t="s">
        <v>431</v>
      </c>
      <c r="E9" s="544" t="s">
        <v>2</v>
      </c>
      <c r="F9" s="546">
        <f>'Performance Data Sheet'!K45</f>
        <v>41992</v>
      </c>
    </row>
    <row r="10" spans="1:6" ht="18.899999999999999" customHeight="1">
      <c r="A10" s="544" t="s">
        <v>416</v>
      </c>
      <c r="B10" s="545">
        <v>1192</v>
      </c>
      <c r="C10" s="544" t="s">
        <v>417</v>
      </c>
      <c r="D10" s="545" t="s">
        <v>418</v>
      </c>
      <c r="E10" s="544" t="s">
        <v>1</v>
      </c>
      <c r="F10" s="545" t="s">
        <v>364</v>
      </c>
    </row>
    <row r="11" spans="1:6" ht="18.899999999999999" customHeight="1">
      <c r="A11" s="370"/>
      <c r="B11" s="371"/>
      <c r="C11" s="371"/>
      <c r="D11" s="371"/>
      <c r="E11" s="371"/>
      <c r="F11" s="372"/>
    </row>
    <row r="12" spans="1:6" ht="18.899999999999999" customHeight="1">
      <c r="A12" s="370"/>
      <c r="B12" s="373"/>
      <c r="C12" s="374"/>
      <c r="D12" s="373"/>
      <c r="E12" s="374"/>
      <c r="F12" s="372"/>
    </row>
    <row r="13" spans="1:6" ht="18.899999999999999" customHeight="1">
      <c r="A13" s="370"/>
      <c r="B13" s="373"/>
      <c r="C13" s="375"/>
      <c r="D13" s="373"/>
      <c r="E13" s="374"/>
      <c r="F13" s="372"/>
    </row>
    <row r="14" spans="1:6" ht="18.899999999999999" customHeight="1">
      <c r="A14" s="370"/>
      <c r="B14" s="373"/>
      <c r="C14" s="375"/>
      <c r="D14" s="373"/>
      <c r="E14" s="374"/>
      <c r="F14" s="372"/>
    </row>
    <row r="15" spans="1:6" ht="18.899999999999999" customHeight="1">
      <c r="A15" s="370"/>
      <c r="B15" s="373"/>
      <c r="C15" s="374"/>
      <c r="D15" s="371"/>
      <c r="E15" s="371"/>
      <c r="F15" s="372"/>
    </row>
    <row r="16" spans="1:6" ht="18.899999999999999" customHeight="1">
      <c r="A16" s="370"/>
      <c r="B16" s="371"/>
      <c r="C16" s="371"/>
      <c r="D16" s="371"/>
      <c r="E16" s="371"/>
      <c r="F16" s="372"/>
    </row>
    <row r="17" spans="1:6" ht="18.899999999999999" customHeight="1">
      <c r="A17" s="370"/>
      <c r="B17" s="371"/>
      <c r="C17" s="371"/>
      <c r="D17" s="371"/>
      <c r="E17" s="371"/>
      <c r="F17" s="372"/>
    </row>
    <row r="18" spans="1:6" ht="18.899999999999999" customHeight="1">
      <c r="A18" s="370"/>
      <c r="B18" s="371"/>
      <c r="C18" s="371"/>
      <c r="D18" s="371"/>
      <c r="E18" s="371"/>
      <c r="F18" s="372"/>
    </row>
    <row r="19" spans="1:6" ht="18.899999999999999" customHeight="1">
      <c r="A19" s="370"/>
      <c r="B19" s="371"/>
      <c r="C19" s="371"/>
      <c r="D19" s="371"/>
      <c r="E19" s="371"/>
      <c r="F19" s="372"/>
    </row>
    <row r="20" spans="1:6" ht="18.899999999999999" customHeight="1">
      <c r="A20" s="370"/>
      <c r="B20" s="371"/>
      <c r="C20" s="371"/>
      <c r="D20" s="371"/>
      <c r="E20" s="371"/>
      <c r="F20" s="372"/>
    </row>
    <row r="21" spans="1:6" ht="18.899999999999999" customHeight="1">
      <c r="A21" s="370"/>
      <c r="B21" s="371"/>
      <c r="C21" s="371"/>
      <c r="D21" s="371"/>
      <c r="E21" s="371"/>
      <c r="F21" s="372"/>
    </row>
    <row r="22" spans="1:6" ht="18.899999999999999" customHeight="1">
      <c r="A22" s="370"/>
      <c r="B22" s="371"/>
      <c r="C22" s="371"/>
      <c r="D22" s="371"/>
      <c r="E22" s="371"/>
      <c r="F22" s="372"/>
    </row>
    <row r="23" spans="1:6" ht="18.899999999999999" customHeight="1">
      <c r="A23" s="370"/>
      <c r="B23" s="371"/>
      <c r="C23" s="371"/>
      <c r="D23" s="371"/>
      <c r="E23" s="371"/>
      <c r="F23" s="372"/>
    </row>
    <row r="24" spans="1:6" ht="18.899999999999999" customHeight="1">
      <c r="A24" s="370"/>
      <c r="B24" s="371"/>
      <c r="C24" s="371"/>
      <c r="D24" s="371"/>
      <c r="E24" s="371"/>
      <c r="F24" s="372"/>
    </row>
    <row r="25" spans="1:6" ht="18.899999999999999" customHeight="1">
      <c r="A25" s="370"/>
      <c r="B25" s="371"/>
      <c r="C25" s="371"/>
      <c r="D25" s="371"/>
      <c r="E25" s="371"/>
      <c r="F25" s="372"/>
    </row>
    <row r="26" spans="1:6" ht="18.899999999999999" customHeight="1">
      <c r="A26" s="370"/>
      <c r="B26" s="371"/>
      <c r="C26" s="371"/>
      <c r="D26" s="371"/>
      <c r="E26" s="371"/>
      <c r="F26" s="372"/>
    </row>
    <row r="27" spans="1:6" ht="18.899999999999999" customHeight="1">
      <c r="A27" s="370"/>
      <c r="B27" s="371"/>
      <c r="C27" s="371"/>
      <c r="D27" s="371"/>
      <c r="E27" s="371"/>
      <c r="F27" s="372"/>
    </row>
    <row r="28" spans="1:6" ht="18.899999999999999" customHeight="1">
      <c r="A28" s="370"/>
      <c r="B28" s="371"/>
      <c r="C28" s="371"/>
      <c r="D28" s="371"/>
      <c r="E28" s="371"/>
      <c r="F28" s="372"/>
    </row>
    <row r="29" spans="1:6" ht="18.899999999999999" customHeight="1">
      <c r="A29" s="370"/>
      <c r="B29" s="371"/>
      <c r="C29" s="371"/>
      <c r="D29" s="371"/>
      <c r="E29" s="371"/>
      <c r="F29" s="372"/>
    </row>
    <row r="30" spans="1:6" ht="18.899999999999999" customHeight="1">
      <c r="A30" s="370"/>
      <c r="B30" s="371"/>
      <c r="C30" s="371"/>
      <c r="D30" s="371"/>
      <c r="E30" s="371"/>
      <c r="F30" s="372"/>
    </row>
    <row r="31" spans="1:6" ht="18.899999999999999" customHeight="1">
      <c r="A31" s="370"/>
      <c r="B31" s="371"/>
      <c r="C31" s="371"/>
      <c r="D31" s="371"/>
      <c r="E31" s="371"/>
      <c r="F31" s="372"/>
    </row>
    <row r="32" spans="1:6" ht="18.899999999999999" customHeight="1">
      <c r="A32" s="370"/>
      <c r="B32" s="371"/>
      <c r="C32" s="371"/>
      <c r="D32" s="371"/>
      <c r="E32" s="371"/>
      <c r="F32" s="372"/>
    </row>
    <row r="33" spans="1:6" ht="18.899999999999999" customHeight="1">
      <c r="A33" s="370"/>
      <c r="B33" s="371"/>
      <c r="C33" s="371"/>
      <c r="D33" s="371"/>
      <c r="E33" s="371"/>
      <c r="F33" s="372"/>
    </row>
    <row r="34" spans="1:6" ht="18.899999999999999" customHeight="1">
      <c r="A34" s="370"/>
      <c r="B34" s="371"/>
      <c r="C34" s="371"/>
      <c r="D34" s="371"/>
      <c r="E34" s="371"/>
      <c r="F34" s="372"/>
    </row>
    <row r="35" spans="1:6" ht="18.899999999999999" customHeight="1">
      <c r="A35" s="370"/>
      <c r="B35" s="371"/>
      <c r="C35" s="371"/>
      <c r="D35" s="371"/>
      <c r="E35" s="371"/>
      <c r="F35" s="372"/>
    </row>
    <row r="36" spans="1:6" ht="18.899999999999999" customHeight="1">
      <c r="A36" s="370"/>
      <c r="B36" s="371"/>
      <c r="C36" s="371"/>
      <c r="D36" s="371"/>
      <c r="E36" s="371"/>
      <c r="F36" s="372"/>
    </row>
    <row r="37" spans="1:6" ht="18.899999999999999" customHeight="1">
      <c r="A37" s="370"/>
      <c r="B37" s="371"/>
      <c r="C37" s="371"/>
      <c r="D37" s="371"/>
      <c r="E37" s="371"/>
      <c r="F37" s="372"/>
    </row>
    <row r="38" spans="1:6" ht="18.899999999999999" customHeight="1">
      <c r="A38" s="370"/>
      <c r="B38" s="371"/>
      <c r="C38" s="371"/>
      <c r="D38" s="371"/>
      <c r="E38" s="371"/>
      <c r="F38" s="372"/>
    </row>
    <row r="39" spans="1:6" ht="18.899999999999999" customHeight="1">
      <c r="A39" s="550" t="s">
        <v>426</v>
      </c>
      <c r="B39" s="551" t="s">
        <v>355</v>
      </c>
      <c r="C39" s="551">
        <f>'Performance Data Sheet'!C10</f>
        <v>0</v>
      </c>
      <c r="D39" s="542"/>
      <c r="E39" s="547" t="s">
        <v>427</v>
      </c>
      <c r="F39" s="552" t="str">
        <f>F10</f>
        <v>BS6800U</v>
      </c>
    </row>
    <row r="40" spans="1:6" ht="18.899999999999999" customHeight="1">
      <c r="A40" s="541"/>
      <c r="B40" s="551"/>
      <c r="C40" s="551"/>
      <c r="D40" s="542"/>
      <c r="E40" s="542"/>
      <c r="F40" s="543"/>
    </row>
    <row r="41" spans="1:6" ht="18.899999999999999" customHeight="1">
      <c r="A41" s="541"/>
      <c r="B41" s="551"/>
      <c r="C41" s="551"/>
      <c r="D41" s="542"/>
      <c r="E41" s="542"/>
      <c r="F41" s="543"/>
    </row>
    <row r="42" spans="1:6" ht="18.899999999999999" customHeight="1">
      <c r="A42" s="541"/>
      <c r="B42" s="542"/>
      <c r="C42" s="542"/>
      <c r="D42" s="542"/>
      <c r="E42" s="542"/>
      <c r="F42" s="543"/>
    </row>
    <row r="43" spans="1:6" ht="18.899999999999999" customHeight="1">
      <c r="A43" s="553"/>
      <c r="B43" s="551"/>
      <c r="C43" s="554" t="s">
        <v>428</v>
      </c>
      <c r="D43" s="555">
        <f>'Performance Data Sheet'!K42</f>
        <v>0</v>
      </c>
      <c r="E43" s="554" t="s">
        <v>429</v>
      </c>
      <c r="F43" s="555" t="s">
        <v>761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3" t="e">
        <f>5252.1*B50/D53</f>
        <v>#DIV/0!</v>
      </c>
      <c r="G50" s="403"/>
    </row>
    <row r="51" spans="6:9" ht="15" customHeight="1">
      <c r="G51" s="404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5"/>
    </row>
    <row r="63" spans="6:9">
      <c r="I63" s="406" t="s">
        <v>39</v>
      </c>
    </row>
    <row r="64" spans="6:9">
      <c r="I64" s="406"/>
    </row>
    <row r="65" spans="1:9">
      <c r="I65" s="406"/>
    </row>
    <row r="66" spans="1:9">
      <c r="D66" s="403" t="e">
        <f>D65/D64</f>
        <v>#DIV/0!</v>
      </c>
    </row>
    <row r="67" spans="1:9">
      <c r="A67" s="407" t="s">
        <v>402</v>
      </c>
      <c r="B67" s="407" t="s">
        <v>602</v>
      </c>
      <c r="C67" s="407" t="s">
        <v>603</v>
      </c>
      <c r="E67" s="407" t="s">
        <v>604</v>
      </c>
      <c r="F67" s="407" t="s">
        <v>605</v>
      </c>
    </row>
    <row r="68" spans="1:9">
      <c r="A68" s="408">
        <v>530.69306930693074</v>
      </c>
      <c r="B68" s="409">
        <v>35</v>
      </c>
      <c r="C68" s="409">
        <v>15</v>
      </c>
      <c r="E68" s="408">
        <f>A68</f>
        <v>530.69306930693074</v>
      </c>
      <c r="F68" s="409">
        <v>1E-4</v>
      </c>
    </row>
    <row r="69" spans="1:9">
      <c r="A69" s="408">
        <v>468.46826930693072</v>
      </c>
      <c r="B69" s="409">
        <f>((A68/A69)^2)*B68</f>
        <v>44.915321817478109</v>
      </c>
      <c r="C69" s="409">
        <f>((A68/A69)^2)*C68</f>
        <v>19.249423636062044</v>
      </c>
      <c r="E69" s="408">
        <v>528.91089108910899</v>
      </c>
      <c r="F69" s="409">
        <v>1.940000057220459</v>
      </c>
    </row>
    <row r="70" spans="1:9">
      <c r="A70" s="408">
        <v>406.22480000000002</v>
      </c>
      <c r="B70" s="409">
        <f>((A68/A70)^2)*B68</f>
        <v>59.734056597902111</v>
      </c>
      <c r="C70" s="409">
        <f>((A68/A70)^2)*C68</f>
        <v>25.600309970529477</v>
      </c>
      <c r="E70" s="408">
        <v>525.04950495049502</v>
      </c>
      <c r="F70" s="409">
        <v>3.5380001068115234</v>
      </c>
    </row>
    <row r="71" spans="1:9">
      <c r="A71" s="408">
        <v>344</v>
      </c>
      <c r="B71" s="409">
        <f>((A68/A71)^2)*B68</f>
        <v>83.298655382676273</v>
      </c>
      <c r="C71" s="409">
        <f>((A68/A71)^2)*C68</f>
        <v>35.699423735432688</v>
      </c>
      <c r="E71" s="408">
        <v>520.39603960396039</v>
      </c>
      <c r="F71" s="409">
        <v>5.0279998779296875</v>
      </c>
    </row>
    <row r="72" spans="1:9">
      <c r="A72" s="408">
        <f>A71-100</f>
        <v>244</v>
      </c>
      <c r="B72" s="409">
        <f>((A68/A72)^2)*B68</f>
        <v>165.56755044619018</v>
      </c>
      <c r="C72" s="409"/>
      <c r="E72" s="408">
        <v>514.55445544554459</v>
      </c>
      <c r="F72" s="409">
        <v>6.5159997940063477</v>
      </c>
    </row>
    <row r="73" spans="1:9">
      <c r="A73" s="408">
        <f>A72-100</f>
        <v>144</v>
      </c>
      <c r="B73" s="409">
        <f>((A68/A73)^2)*B68</f>
        <v>475.3679438350876</v>
      </c>
      <c r="C73" s="409"/>
      <c r="E73" s="408">
        <v>507.22772277227716</v>
      </c>
      <c r="F73" s="409">
        <v>8.0869998931884766</v>
      </c>
    </row>
    <row r="74" spans="1:9">
      <c r="A74" s="408">
        <v>225</v>
      </c>
      <c r="B74" s="409">
        <f>((A68/A74)^2)*B68</f>
        <v>194.71070979485191</v>
      </c>
      <c r="C74" s="409">
        <f>((A68/A74)^2)*C68</f>
        <v>83.447447054936532</v>
      </c>
      <c r="E74" s="408">
        <v>498.019801980198</v>
      </c>
      <c r="F74" s="409">
        <v>9.8199996948242188</v>
      </c>
    </row>
    <row r="75" spans="1:9">
      <c r="A75" s="410">
        <v>180</v>
      </c>
      <c r="B75" s="409">
        <f>((A68/A75)^2)*B69</f>
        <v>390.42384784577507</v>
      </c>
      <c r="C75" s="409">
        <f>((A68/A75)^2)*C68</f>
        <v>130.38663602333835</v>
      </c>
      <c r="E75" s="408">
        <v>486.33663366336634</v>
      </c>
      <c r="F75" s="409">
        <v>11.828999519348145</v>
      </c>
    </row>
    <row r="76" spans="1:9">
      <c r="A76" s="410">
        <v>145</v>
      </c>
      <c r="B76" s="409">
        <f>((A68/A76)^2)*B68</f>
        <v>468.83375426227718</v>
      </c>
      <c r="C76" s="409">
        <f>((A68/A76)^2)*C68</f>
        <v>200.92875182669022</v>
      </c>
      <c r="E76" s="408">
        <v>471.48514851485146</v>
      </c>
      <c r="F76" s="409">
        <v>14.352999687194824</v>
      </c>
    </row>
    <row r="77" spans="1:9">
      <c r="A77" s="410">
        <v>125</v>
      </c>
      <c r="B77" s="409"/>
      <c r="C77" s="408">
        <f>CEILING(C76*2,100)</f>
        <v>500</v>
      </c>
      <c r="E77" s="408">
        <v>456.63366336633663</v>
      </c>
      <c r="F77" s="409">
        <v>15.817999839782715</v>
      </c>
    </row>
    <row r="78" spans="1:9">
      <c r="A78" s="410">
        <v>125</v>
      </c>
      <c r="B78" s="409"/>
      <c r="C78" s="408">
        <f>2*C77</f>
        <v>1000</v>
      </c>
      <c r="E78" s="408">
        <v>438.31683168316829</v>
      </c>
      <c r="F78" s="409">
        <v>17.038000106811523</v>
      </c>
    </row>
    <row r="79" spans="1:9">
      <c r="A79" s="410">
        <v>125</v>
      </c>
      <c r="B79" s="410"/>
      <c r="C79" s="410">
        <v>10000</v>
      </c>
      <c r="E79" s="408">
        <v>389.10891089108912</v>
      </c>
      <c r="F79" s="409">
        <v>17.618999481201172</v>
      </c>
    </row>
    <row r="80" spans="1:9">
      <c r="E80" s="408">
        <v>231.58415841584159</v>
      </c>
      <c r="F80" s="409">
        <v>17.737998962402344</v>
      </c>
    </row>
    <row r="81" spans="5:6">
      <c r="E81" s="408">
        <v>0</v>
      </c>
      <c r="F81" s="409">
        <v>18.492998123168945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H7" sqref="H7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899999999999999" customHeight="1">
      <c r="A3" s="369" t="s">
        <v>645</v>
      </c>
      <c r="B3" s="367"/>
      <c r="C3" s="367"/>
      <c r="D3" s="367"/>
      <c r="E3" s="367"/>
      <c r="F3" s="368"/>
    </row>
    <row r="4" spans="1:6" ht="18.899999999999999" customHeight="1">
      <c r="A4" s="704" t="s">
        <v>601</v>
      </c>
      <c r="B4" s="705"/>
      <c r="C4" s="705"/>
      <c r="D4" s="705"/>
      <c r="E4" s="705"/>
      <c r="F4" s="706"/>
    </row>
    <row r="5" spans="1:6" ht="18.899999999999999" customHeight="1">
      <c r="A5" s="370"/>
      <c r="B5" s="371"/>
      <c r="C5" s="371"/>
      <c r="D5" s="371"/>
      <c r="E5" s="371"/>
      <c r="F5" s="372"/>
    </row>
    <row r="6" spans="1:6" ht="18.899999999999999" customHeight="1">
      <c r="A6" s="544" t="s">
        <v>405</v>
      </c>
      <c r="B6" s="687" t="str">
        <f>'Performance Data Sheet'!C17</f>
        <v>8007TCQL11E-C</v>
      </c>
      <c r="C6" s="688"/>
      <c r="D6" s="689"/>
      <c r="E6" s="544" t="s">
        <v>406</v>
      </c>
      <c r="F6" s="545" t="s">
        <v>768</v>
      </c>
    </row>
    <row r="7" spans="1:6" ht="18.899999999999999" customHeight="1">
      <c r="A7" s="544" t="s">
        <v>407</v>
      </c>
      <c r="B7" s="545" t="str">
        <f>'Performance Data Sheet'!F14</f>
        <v>TEAAC</v>
      </c>
      <c r="C7" s="544" t="s">
        <v>408</v>
      </c>
      <c r="D7" s="545" t="s">
        <v>430</v>
      </c>
      <c r="E7" s="544" t="s">
        <v>409</v>
      </c>
      <c r="F7" s="545" t="str">
        <f>'Performance Data Sheet'!C14</f>
        <v>6810US</v>
      </c>
    </row>
    <row r="8" spans="1:6" ht="18.899999999999999" customHeight="1">
      <c r="A8" s="544" t="s">
        <v>410</v>
      </c>
      <c r="B8" s="545">
        <v>6</v>
      </c>
      <c r="C8" s="544" t="s">
        <v>411</v>
      </c>
      <c r="D8" s="545" t="s">
        <v>412</v>
      </c>
      <c r="E8" s="544" t="s">
        <v>413</v>
      </c>
      <c r="F8" s="545" t="str">
        <f>'Performance Data Sheet'!M15</f>
        <v>F</v>
      </c>
    </row>
    <row r="9" spans="1:6" ht="18.899999999999999" customHeight="1">
      <c r="A9" s="544" t="s">
        <v>414</v>
      </c>
      <c r="B9" s="545">
        <v>800</v>
      </c>
      <c r="C9" s="544" t="s">
        <v>415</v>
      </c>
      <c r="D9" s="545" t="s">
        <v>431</v>
      </c>
      <c r="E9" s="544" t="s">
        <v>2</v>
      </c>
      <c r="F9" s="546">
        <f>'Performance Data Sheet'!K45</f>
        <v>41992</v>
      </c>
    </row>
    <row r="10" spans="1:6" ht="18.899999999999999" customHeight="1">
      <c r="A10" s="544" t="s">
        <v>416</v>
      </c>
      <c r="B10" s="545">
        <v>1192</v>
      </c>
      <c r="C10" s="544" t="s">
        <v>417</v>
      </c>
      <c r="D10" s="545" t="s">
        <v>418</v>
      </c>
      <c r="E10" s="544" t="s">
        <v>1</v>
      </c>
      <c r="F10" s="545" t="s">
        <v>364</v>
      </c>
    </row>
    <row r="11" spans="1:6" ht="18.899999999999999" customHeight="1">
      <c r="A11" s="541"/>
      <c r="B11" s="542"/>
      <c r="C11" s="542"/>
      <c r="D11" s="542"/>
      <c r="E11" s="542"/>
      <c r="F11" s="543"/>
    </row>
    <row r="12" spans="1:6" ht="18.899999999999999" customHeight="1">
      <c r="A12" s="541"/>
      <c r="B12" s="547" t="s">
        <v>419</v>
      </c>
      <c r="C12" s="548" t="s">
        <v>432</v>
      </c>
      <c r="D12" s="547" t="s">
        <v>420</v>
      </c>
      <c r="E12" s="548" t="s">
        <v>418</v>
      </c>
      <c r="F12" s="543"/>
    </row>
    <row r="13" spans="1:6" ht="18.899999999999999" customHeight="1">
      <c r="A13" s="541"/>
      <c r="B13" s="547" t="s">
        <v>421</v>
      </c>
      <c r="C13" s="549">
        <v>0.75</v>
      </c>
      <c r="D13" s="547" t="s">
        <v>422</v>
      </c>
      <c r="E13" s="548" t="s">
        <v>418</v>
      </c>
      <c r="F13" s="543"/>
    </row>
    <row r="14" spans="1:6" ht="18.899999999999999" customHeight="1">
      <c r="A14" s="541"/>
      <c r="B14" s="547" t="s">
        <v>423</v>
      </c>
      <c r="C14" s="549">
        <v>2.25</v>
      </c>
      <c r="D14" s="547" t="s">
        <v>424</v>
      </c>
      <c r="E14" s="548" t="s">
        <v>418</v>
      </c>
      <c r="F14" s="543"/>
    </row>
    <row r="15" spans="1:6" ht="18.899999999999999" customHeight="1">
      <c r="A15" s="541"/>
      <c r="B15" s="547" t="s">
        <v>425</v>
      </c>
      <c r="C15" s="548" t="s">
        <v>757</v>
      </c>
      <c r="D15" s="542"/>
      <c r="E15" s="542"/>
      <c r="F15" s="543"/>
    </row>
    <row r="16" spans="1:6" ht="18.899999999999999" customHeight="1">
      <c r="A16" s="370"/>
      <c r="B16" s="371"/>
      <c r="C16" s="371"/>
      <c r="D16" s="371"/>
      <c r="E16" s="371"/>
      <c r="F16" s="372"/>
    </row>
    <row r="17" spans="1:8" ht="18.899999999999999" customHeight="1">
      <c r="A17" s="370"/>
      <c r="B17" s="371"/>
      <c r="C17" s="371"/>
      <c r="D17" s="371"/>
      <c r="E17" s="371"/>
      <c r="F17" s="372"/>
    </row>
    <row r="18" spans="1:8" ht="18.899999999999999" customHeight="1">
      <c r="A18" s="370"/>
      <c r="B18" s="371"/>
      <c r="C18" s="371"/>
      <c r="D18" s="371"/>
      <c r="E18" s="371"/>
      <c r="F18" s="372"/>
    </row>
    <row r="19" spans="1:8" ht="18.899999999999999" customHeight="1">
      <c r="A19" s="370"/>
      <c r="B19" s="371"/>
      <c r="C19" s="371"/>
      <c r="D19" s="371"/>
      <c r="E19" s="371"/>
      <c r="F19" s="372"/>
    </row>
    <row r="20" spans="1:8" ht="18.899999999999999" customHeight="1">
      <c r="A20" s="370"/>
      <c r="B20" s="371"/>
      <c r="C20" s="371"/>
      <c r="D20" s="371"/>
      <c r="E20" s="371"/>
      <c r="F20" s="372"/>
    </row>
    <row r="21" spans="1:8" ht="18.899999999999999" customHeight="1">
      <c r="A21" s="370"/>
      <c r="B21" s="371"/>
      <c r="C21" s="371"/>
      <c r="D21" s="371"/>
      <c r="E21" s="371"/>
      <c r="F21" s="372"/>
    </row>
    <row r="22" spans="1:8" ht="18.899999999999999" customHeight="1">
      <c r="A22" s="370"/>
      <c r="B22" s="371"/>
      <c r="C22" s="371"/>
      <c r="D22" s="371"/>
      <c r="E22" s="371"/>
      <c r="F22" s="372"/>
    </row>
    <row r="23" spans="1:8" ht="18.899999999999999" customHeight="1">
      <c r="A23" s="370"/>
      <c r="B23" s="371"/>
      <c r="C23" s="371"/>
      <c r="D23" s="371"/>
      <c r="E23" s="371"/>
      <c r="F23" s="372"/>
    </row>
    <row r="24" spans="1:8" ht="18.899999999999999" customHeight="1">
      <c r="A24" s="370"/>
      <c r="B24" s="371"/>
      <c r="C24" s="371"/>
      <c r="D24" s="371"/>
      <c r="E24" s="371"/>
      <c r="F24" s="372"/>
      <c r="H24" s="418"/>
    </row>
    <row r="25" spans="1:8" ht="18.899999999999999" customHeight="1">
      <c r="A25" s="370"/>
      <c r="B25" s="371"/>
      <c r="C25" s="371"/>
      <c r="D25" s="371"/>
      <c r="E25" s="371"/>
      <c r="F25" s="372"/>
    </row>
    <row r="26" spans="1:8" ht="18.899999999999999" customHeight="1">
      <c r="A26" s="370"/>
      <c r="B26" s="371"/>
      <c r="C26" s="371"/>
      <c r="D26" s="371"/>
      <c r="E26" s="371"/>
      <c r="F26" s="372"/>
    </row>
    <row r="27" spans="1:8" ht="18.899999999999999" customHeight="1">
      <c r="A27" s="370"/>
      <c r="B27" s="371"/>
      <c r="C27" s="371"/>
      <c r="D27" s="371"/>
      <c r="E27" s="371"/>
      <c r="F27" s="372"/>
    </row>
    <row r="28" spans="1:8" ht="18.899999999999999" customHeight="1">
      <c r="A28" s="370"/>
      <c r="B28" s="371"/>
      <c r="C28" s="371"/>
      <c r="D28" s="371"/>
      <c r="E28" s="371"/>
      <c r="F28" s="372"/>
    </row>
    <row r="29" spans="1:8" ht="18.899999999999999" customHeight="1">
      <c r="A29" s="370"/>
      <c r="B29" s="371"/>
      <c r="C29" s="371"/>
      <c r="D29" s="371"/>
      <c r="E29" s="371"/>
      <c r="F29" s="372"/>
    </row>
    <row r="30" spans="1:8" ht="18.899999999999999" customHeight="1">
      <c r="A30" s="370"/>
      <c r="B30" s="371"/>
      <c r="C30" s="371"/>
      <c r="D30" s="371"/>
      <c r="E30" s="371"/>
      <c r="F30" s="372"/>
    </row>
    <row r="31" spans="1:8" ht="18.899999999999999" customHeight="1">
      <c r="A31" s="370"/>
      <c r="B31" s="371"/>
      <c r="C31" s="371"/>
      <c r="D31" s="371"/>
      <c r="E31" s="371"/>
      <c r="F31" s="372"/>
    </row>
    <row r="32" spans="1:8" ht="18.899999999999999" customHeight="1">
      <c r="A32" s="370"/>
      <c r="B32" s="371"/>
      <c r="C32" s="371"/>
      <c r="D32" s="371"/>
      <c r="E32" s="371"/>
      <c r="F32" s="372"/>
    </row>
    <row r="33" spans="1:6" ht="18.899999999999999" customHeight="1">
      <c r="A33" s="370"/>
      <c r="B33" s="371"/>
      <c r="C33" s="371"/>
      <c r="D33" s="371"/>
      <c r="E33" s="371"/>
      <c r="F33" s="372"/>
    </row>
    <row r="34" spans="1:6" ht="18.899999999999999" customHeight="1">
      <c r="A34" s="370"/>
      <c r="B34" s="371"/>
      <c r="C34" s="371"/>
      <c r="D34" s="371"/>
      <c r="E34" s="371"/>
      <c r="F34" s="372"/>
    </row>
    <row r="35" spans="1:6" ht="18.899999999999999" customHeight="1">
      <c r="A35" s="370"/>
      <c r="B35" s="371"/>
      <c r="C35" s="371"/>
      <c r="D35" s="371"/>
      <c r="E35" s="371"/>
      <c r="F35" s="372"/>
    </row>
    <row r="36" spans="1:6" ht="18.899999999999999" customHeight="1">
      <c r="A36" s="370"/>
      <c r="B36" s="371"/>
      <c r="C36" s="371"/>
      <c r="D36" s="371"/>
      <c r="E36" s="371"/>
      <c r="F36" s="372"/>
    </row>
    <row r="37" spans="1:6" ht="18.899999999999999" customHeight="1">
      <c r="A37" s="370"/>
      <c r="B37" s="371"/>
      <c r="C37" s="371"/>
      <c r="D37" s="371"/>
      <c r="E37" s="371"/>
      <c r="F37" s="372"/>
    </row>
    <row r="38" spans="1:6" ht="18.899999999999999" customHeight="1">
      <c r="A38" s="370"/>
      <c r="B38" s="371"/>
      <c r="C38" s="371"/>
      <c r="D38" s="371"/>
      <c r="E38" s="371"/>
      <c r="F38" s="372"/>
    </row>
    <row r="39" spans="1:6" ht="18.899999999999999" customHeight="1">
      <c r="A39" s="550" t="s">
        <v>426</v>
      </c>
      <c r="B39" s="551" t="s">
        <v>355</v>
      </c>
      <c r="C39" s="551">
        <f>'Performance Data Sheet'!C10</f>
        <v>0</v>
      </c>
      <c r="D39" s="542"/>
      <c r="E39" s="547" t="s">
        <v>427</v>
      </c>
      <c r="F39" s="552" t="str">
        <f>F10</f>
        <v>BS6800U</v>
      </c>
    </row>
    <row r="40" spans="1:6" ht="18.899999999999999" customHeight="1">
      <c r="A40" s="541"/>
      <c r="B40" s="551"/>
      <c r="C40" s="551"/>
      <c r="D40" s="542"/>
      <c r="E40" s="542"/>
      <c r="F40" s="543"/>
    </row>
    <row r="41" spans="1:6" ht="18.899999999999999" customHeight="1">
      <c r="A41" s="541"/>
      <c r="B41" s="551"/>
      <c r="C41" s="551"/>
      <c r="D41" s="542"/>
      <c r="E41" s="542"/>
      <c r="F41" s="543"/>
    </row>
    <row r="42" spans="1:6" ht="18.899999999999999" customHeight="1">
      <c r="A42" s="541"/>
      <c r="B42" s="542"/>
      <c r="C42" s="542"/>
      <c r="D42" s="542"/>
      <c r="E42" s="542"/>
      <c r="F42" s="543"/>
    </row>
    <row r="43" spans="1:6" ht="18.899999999999999" customHeight="1">
      <c r="A43" s="553"/>
      <c r="B43" s="551"/>
      <c r="C43" s="554" t="s">
        <v>428</v>
      </c>
      <c r="D43" s="555">
        <f>'Performance Data Sheet'!K42</f>
        <v>0</v>
      </c>
      <c r="E43" s="554" t="s">
        <v>429</v>
      </c>
      <c r="F43" s="555" t="s">
        <v>761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19" t="s">
        <v>433</v>
      </c>
      <c r="B53" s="419" t="s">
        <v>142</v>
      </c>
      <c r="C53" s="419" t="s">
        <v>120</v>
      </c>
      <c r="D53" s="419" t="s">
        <v>135</v>
      </c>
      <c r="E53" s="419" t="s">
        <v>5</v>
      </c>
      <c r="F53" s="420" t="s">
        <v>646</v>
      </c>
    </row>
    <row r="54" spans="1:6" ht="15" customHeight="1">
      <c r="A54" s="421">
        <v>0</v>
      </c>
      <c r="B54" s="422"/>
      <c r="C54" s="423"/>
      <c r="D54" s="423">
        <v>24.072987779039995</v>
      </c>
      <c r="E54" s="423">
        <v>100</v>
      </c>
      <c r="F54" s="424">
        <v>0.78849999999999998</v>
      </c>
    </row>
    <row r="55" spans="1:6" ht="15" customHeight="1">
      <c r="A55" s="425">
        <v>25</v>
      </c>
      <c r="B55" s="426">
        <v>88.166595458984375</v>
      </c>
      <c r="C55" s="427">
        <v>67.614967346191406</v>
      </c>
      <c r="D55" s="427">
        <v>36.116104125976563</v>
      </c>
      <c r="E55" s="427">
        <v>89.753735619515851</v>
      </c>
      <c r="F55" s="428">
        <v>10.573813332004896</v>
      </c>
    </row>
    <row r="56" spans="1:6" ht="15" customHeight="1">
      <c r="A56" s="425">
        <v>50</v>
      </c>
      <c r="B56" s="426">
        <v>92.921783447265625</v>
      </c>
      <c r="C56" s="427">
        <v>83.969680786132813</v>
      </c>
      <c r="D56" s="427">
        <v>55.187129974365234</v>
      </c>
      <c r="E56" s="427">
        <v>79.660183117758265</v>
      </c>
      <c r="F56" s="428">
        <v>20.065419174782512</v>
      </c>
    </row>
    <row r="57" spans="1:6">
      <c r="A57" s="425">
        <v>75</v>
      </c>
      <c r="B57" s="426">
        <v>94.33941650390625</v>
      </c>
      <c r="C57" s="427">
        <v>88.574241638183594</v>
      </c>
      <c r="D57" s="427">
        <v>77.298049926757813</v>
      </c>
      <c r="E57" s="427">
        <v>69.314258273030305</v>
      </c>
      <c r="F57" s="428">
        <v>29.645846771953284</v>
      </c>
    </row>
    <row r="58" spans="1:6">
      <c r="A58" s="425">
        <v>100</v>
      </c>
      <c r="B58" s="426">
        <v>94.834358215332031</v>
      </c>
      <c r="C58" s="427">
        <v>89.925254821777344</v>
      </c>
      <c r="D58" s="427">
        <v>100.98584747314453</v>
      </c>
      <c r="E58" s="427">
        <v>58.655933239406011</v>
      </c>
      <c r="F58" s="428">
        <v>39.321501892936595</v>
      </c>
    </row>
    <row r="59" spans="1:6" ht="13.8" thickBot="1">
      <c r="A59" s="429">
        <v>125</v>
      </c>
      <c r="B59" s="430">
        <v>94.941146850585938</v>
      </c>
      <c r="C59" s="431">
        <v>89.981719970703125</v>
      </c>
      <c r="D59" s="431">
        <v>126.01119995117188</v>
      </c>
      <c r="E59" s="431">
        <v>47.947318154533036</v>
      </c>
      <c r="F59" s="432">
        <v>49.09659182001095</v>
      </c>
    </row>
    <row r="60" spans="1:6">
      <c r="A60" s="376"/>
      <c r="B60" s="377"/>
      <c r="C60" s="377"/>
    </row>
    <row r="61" spans="1:6">
      <c r="A61" s="376"/>
      <c r="B61" s="377"/>
      <c r="C61" s="377"/>
    </row>
    <row r="62" spans="1:6">
      <c r="A62" s="376"/>
      <c r="B62" s="377"/>
      <c r="C62" s="377"/>
    </row>
    <row r="63" spans="1:6">
      <c r="A63" s="376"/>
      <c r="B63" s="377"/>
      <c r="C63" s="377"/>
    </row>
    <row r="64" spans="1:6">
      <c r="A64" s="376"/>
      <c r="B64" s="377"/>
      <c r="C64" s="377"/>
    </row>
    <row r="65" spans="1:3">
      <c r="A65" s="376"/>
      <c r="B65" s="377"/>
      <c r="C65" s="377"/>
    </row>
    <row r="66" spans="1:3">
      <c r="A66" s="376"/>
      <c r="B66" s="377"/>
      <c r="C66" s="377"/>
    </row>
    <row r="67" spans="1:3">
      <c r="A67" s="378"/>
      <c r="B67" s="377"/>
      <c r="C67" s="377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workbookViewId="0">
      <selection activeCell="G10" sqref="G10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899999999999999" customHeight="1">
      <c r="A3" s="369" t="s">
        <v>645</v>
      </c>
      <c r="B3" s="367"/>
      <c r="C3" s="367"/>
      <c r="D3" s="367"/>
      <c r="E3" s="367"/>
      <c r="F3" s="368"/>
    </row>
    <row r="4" spans="1:6" ht="18.899999999999999" customHeight="1">
      <c r="A4" s="704" t="s">
        <v>601</v>
      </c>
      <c r="B4" s="705"/>
      <c r="C4" s="705"/>
      <c r="D4" s="705"/>
      <c r="E4" s="705"/>
      <c r="F4" s="706"/>
    </row>
    <row r="5" spans="1:6" ht="18.899999999999999" customHeight="1">
      <c r="A5" s="541"/>
      <c r="B5" s="542"/>
      <c r="C5" s="542"/>
      <c r="D5" s="542"/>
      <c r="E5" s="542"/>
      <c r="F5" s="543"/>
    </row>
    <row r="6" spans="1:6" ht="18.899999999999999" customHeight="1">
      <c r="A6" s="544" t="s">
        <v>405</v>
      </c>
      <c r="B6" s="687" t="str">
        <f>'Performance Data Sheet'!C17</f>
        <v>8007TCQL11E-C</v>
      </c>
      <c r="C6" s="688"/>
      <c r="D6" s="689"/>
      <c r="E6" s="544" t="s">
        <v>406</v>
      </c>
      <c r="F6" s="545" t="s">
        <v>770</v>
      </c>
    </row>
    <row r="7" spans="1:6" ht="18.899999999999999" customHeight="1">
      <c r="A7" s="544" t="s">
        <v>407</v>
      </c>
      <c r="B7" s="545" t="str">
        <f>'Performance Data Sheet'!F14</f>
        <v>TEAAC</v>
      </c>
      <c r="C7" s="544" t="s">
        <v>408</v>
      </c>
      <c r="D7" s="545" t="s">
        <v>769</v>
      </c>
      <c r="E7" s="544" t="s">
        <v>409</v>
      </c>
      <c r="F7" s="545" t="str">
        <f>'Performance Data Sheet'!C14</f>
        <v>6810US</v>
      </c>
    </row>
    <row r="8" spans="1:6" ht="18.899999999999999" customHeight="1">
      <c r="A8" s="544" t="s">
        <v>410</v>
      </c>
      <c r="B8" s="545">
        <v>6</v>
      </c>
      <c r="C8" s="544" t="s">
        <v>411</v>
      </c>
      <c r="D8" s="545" t="s">
        <v>412</v>
      </c>
      <c r="E8" s="544" t="s">
        <v>413</v>
      </c>
      <c r="F8" s="545" t="str">
        <f>'Performance Data Sheet'!M15</f>
        <v>F</v>
      </c>
    </row>
    <row r="9" spans="1:6" ht="18.899999999999999" customHeight="1">
      <c r="A9" s="544" t="s">
        <v>414</v>
      </c>
      <c r="B9" s="545">
        <v>800</v>
      </c>
      <c r="C9" s="544" t="s">
        <v>415</v>
      </c>
      <c r="D9" s="545" t="s">
        <v>431</v>
      </c>
      <c r="E9" s="544" t="s">
        <v>2</v>
      </c>
      <c r="F9" s="546">
        <f>'Performance Data Sheet'!K45</f>
        <v>41992</v>
      </c>
    </row>
    <row r="10" spans="1:6" ht="18.899999999999999" customHeight="1">
      <c r="A10" s="544" t="s">
        <v>416</v>
      </c>
      <c r="B10" s="545">
        <v>1192</v>
      </c>
      <c r="C10" s="544" t="s">
        <v>417</v>
      </c>
      <c r="D10" s="545" t="s">
        <v>418</v>
      </c>
      <c r="E10" s="544" t="s">
        <v>1</v>
      </c>
      <c r="F10" s="545" t="s">
        <v>364</v>
      </c>
    </row>
    <row r="11" spans="1:6" ht="18.899999999999999" customHeight="1">
      <c r="A11" s="541"/>
      <c r="B11" s="542"/>
      <c r="C11" s="542"/>
      <c r="D11" s="542"/>
      <c r="E11" s="542"/>
      <c r="F11" s="543"/>
    </row>
    <row r="12" spans="1:6" ht="18.899999999999999" customHeight="1">
      <c r="A12" s="541"/>
      <c r="B12" s="547" t="s">
        <v>419</v>
      </c>
      <c r="C12" s="548" t="s">
        <v>771</v>
      </c>
      <c r="D12" s="547" t="s">
        <v>420</v>
      </c>
      <c r="E12" s="548" t="s">
        <v>418</v>
      </c>
      <c r="F12" s="543"/>
    </row>
    <row r="13" spans="1:6" ht="18.899999999999999" customHeight="1">
      <c r="A13" s="541"/>
      <c r="B13" s="547" t="s">
        <v>421</v>
      </c>
      <c r="C13" s="549">
        <v>0.75</v>
      </c>
      <c r="D13" s="547" t="s">
        <v>422</v>
      </c>
      <c r="E13" s="548" t="s">
        <v>418</v>
      </c>
      <c r="F13" s="543"/>
    </row>
    <row r="14" spans="1:6" ht="18.899999999999999" customHeight="1">
      <c r="A14" s="541"/>
      <c r="B14" s="547" t="s">
        <v>423</v>
      </c>
      <c r="C14" s="549">
        <v>2.25</v>
      </c>
      <c r="D14" s="547" t="s">
        <v>424</v>
      </c>
      <c r="E14" s="548" t="s">
        <v>418</v>
      </c>
      <c r="F14" s="543"/>
    </row>
    <row r="15" spans="1:6" ht="18.899999999999999" customHeight="1">
      <c r="A15" s="541"/>
      <c r="B15" s="547" t="s">
        <v>425</v>
      </c>
      <c r="C15" s="548" t="s">
        <v>757</v>
      </c>
      <c r="D15" s="542"/>
      <c r="E15" s="542"/>
      <c r="F15" s="543"/>
    </row>
    <row r="16" spans="1:6" ht="18.899999999999999" customHeight="1">
      <c r="A16" s="541"/>
      <c r="B16" s="542"/>
      <c r="C16" s="542"/>
      <c r="D16" s="542"/>
      <c r="E16" s="542"/>
      <c r="F16" s="543"/>
    </row>
    <row r="17" spans="1:8" ht="18.899999999999999" customHeight="1">
      <c r="A17" s="541"/>
      <c r="B17" s="542"/>
      <c r="C17" s="542"/>
      <c r="D17" s="542"/>
      <c r="E17" s="542"/>
      <c r="F17" s="543"/>
    </row>
    <row r="18" spans="1:8" ht="18.899999999999999" customHeight="1">
      <c r="A18" s="541"/>
      <c r="B18" s="542"/>
      <c r="C18" s="542"/>
      <c r="D18" s="542"/>
      <c r="E18" s="542"/>
      <c r="F18" s="543"/>
    </row>
    <row r="19" spans="1:8" ht="18.899999999999999" customHeight="1">
      <c r="A19" s="541"/>
      <c r="B19" s="542"/>
      <c r="C19" s="542"/>
      <c r="D19" s="542"/>
      <c r="E19" s="542"/>
      <c r="F19" s="543"/>
    </row>
    <row r="20" spans="1:8" ht="18.899999999999999" customHeight="1">
      <c r="A20" s="541"/>
      <c r="B20" s="542"/>
      <c r="C20" s="542"/>
      <c r="D20" s="542"/>
      <c r="E20" s="542"/>
      <c r="F20" s="543"/>
    </row>
    <row r="21" spans="1:8" ht="18.899999999999999" customHeight="1">
      <c r="A21" s="541"/>
      <c r="B21" s="542"/>
      <c r="C21" s="542"/>
      <c r="D21" s="542"/>
      <c r="E21" s="542"/>
      <c r="F21" s="543"/>
    </row>
    <row r="22" spans="1:8" ht="18.899999999999999" customHeight="1">
      <c r="A22" s="541"/>
      <c r="B22" s="542"/>
      <c r="C22" s="542"/>
      <c r="D22" s="542"/>
      <c r="E22" s="542"/>
      <c r="F22" s="543"/>
    </row>
    <row r="23" spans="1:8" ht="18.899999999999999" customHeight="1">
      <c r="A23" s="541"/>
      <c r="B23" s="542"/>
      <c r="C23" s="542"/>
      <c r="D23" s="542"/>
      <c r="E23" s="542"/>
      <c r="F23" s="543"/>
    </row>
    <row r="24" spans="1:8" ht="18.899999999999999" customHeight="1">
      <c r="A24" s="541"/>
      <c r="B24" s="542"/>
      <c r="C24" s="542"/>
      <c r="D24" s="542"/>
      <c r="E24" s="542"/>
      <c r="F24" s="543"/>
      <c r="H24" s="418"/>
    </row>
    <row r="25" spans="1:8" ht="18.899999999999999" customHeight="1">
      <c r="A25" s="541"/>
      <c r="B25" s="542"/>
      <c r="C25" s="542"/>
      <c r="D25" s="542"/>
      <c r="E25" s="542"/>
      <c r="F25" s="543"/>
    </row>
    <row r="26" spans="1:8" ht="18.899999999999999" customHeight="1">
      <c r="A26" s="541"/>
      <c r="B26" s="542"/>
      <c r="C26" s="542"/>
      <c r="D26" s="542"/>
      <c r="E26" s="542"/>
      <c r="F26" s="543"/>
    </row>
    <row r="27" spans="1:8" ht="18.899999999999999" customHeight="1">
      <c r="A27" s="541"/>
      <c r="B27" s="542"/>
      <c r="C27" s="542"/>
      <c r="D27" s="542"/>
      <c r="E27" s="542"/>
      <c r="F27" s="543"/>
    </row>
    <row r="28" spans="1:8" ht="18.899999999999999" customHeight="1">
      <c r="A28" s="541"/>
      <c r="B28" s="542"/>
      <c r="C28" s="542"/>
      <c r="D28" s="542"/>
      <c r="E28" s="542"/>
      <c r="F28" s="543"/>
    </row>
    <row r="29" spans="1:8" ht="18.899999999999999" customHeight="1">
      <c r="A29" s="541"/>
      <c r="B29" s="542"/>
      <c r="C29" s="542"/>
      <c r="D29" s="542"/>
      <c r="E29" s="542"/>
      <c r="F29" s="543"/>
    </row>
    <row r="30" spans="1:8" ht="18.899999999999999" customHeight="1">
      <c r="A30" s="541"/>
      <c r="B30" s="542"/>
      <c r="C30" s="542"/>
      <c r="D30" s="542"/>
      <c r="E30" s="542"/>
      <c r="F30" s="543"/>
    </row>
    <row r="31" spans="1:8" ht="18.899999999999999" customHeight="1">
      <c r="A31" s="541"/>
      <c r="B31" s="542"/>
      <c r="C31" s="542"/>
      <c r="D31" s="542"/>
      <c r="E31" s="542"/>
      <c r="F31" s="543"/>
    </row>
    <row r="32" spans="1:8" ht="18.899999999999999" customHeight="1">
      <c r="A32" s="541"/>
      <c r="B32" s="542"/>
      <c r="C32" s="542"/>
      <c r="D32" s="542"/>
      <c r="E32" s="542"/>
      <c r="F32" s="543"/>
    </row>
    <row r="33" spans="1:6" ht="18.899999999999999" customHeight="1">
      <c r="A33" s="541"/>
      <c r="B33" s="542"/>
      <c r="C33" s="542"/>
      <c r="D33" s="542"/>
      <c r="E33" s="542"/>
      <c r="F33" s="543"/>
    </row>
    <row r="34" spans="1:6" ht="18.899999999999999" customHeight="1">
      <c r="A34" s="541"/>
      <c r="B34" s="542"/>
      <c r="C34" s="542"/>
      <c r="D34" s="542"/>
      <c r="E34" s="542"/>
      <c r="F34" s="543"/>
    </row>
    <row r="35" spans="1:6" ht="18.899999999999999" customHeight="1">
      <c r="A35" s="541"/>
      <c r="B35" s="542"/>
      <c r="C35" s="542"/>
      <c r="D35" s="542"/>
      <c r="E35" s="542"/>
      <c r="F35" s="543"/>
    </row>
    <row r="36" spans="1:6" ht="18.899999999999999" customHeight="1">
      <c r="A36" s="541"/>
      <c r="B36" s="542"/>
      <c r="C36" s="542"/>
      <c r="D36" s="542"/>
      <c r="E36" s="542"/>
      <c r="F36" s="543"/>
    </row>
    <row r="37" spans="1:6" ht="18.899999999999999" customHeight="1">
      <c r="A37" s="541"/>
      <c r="B37" s="542"/>
      <c r="C37" s="542"/>
      <c r="D37" s="542"/>
      <c r="E37" s="542"/>
      <c r="F37" s="543"/>
    </row>
    <row r="38" spans="1:6" ht="18.899999999999999" customHeight="1">
      <c r="A38" s="541"/>
      <c r="B38" s="542"/>
      <c r="C38" s="542"/>
      <c r="D38" s="542"/>
      <c r="E38" s="542"/>
      <c r="F38" s="543"/>
    </row>
    <row r="39" spans="1:6" ht="18.899999999999999" customHeight="1">
      <c r="A39" s="550" t="s">
        <v>426</v>
      </c>
      <c r="B39" s="551"/>
      <c r="C39" s="551"/>
      <c r="D39" s="542"/>
      <c r="E39" s="547" t="s">
        <v>427</v>
      </c>
      <c r="F39" s="552" t="s">
        <v>364</v>
      </c>
    </row>
    <row r="40" spans="1:6" ht="18.899999999999999" customHeight="1">
      <c r="A40" s="541"/>
      <c r="B40" s="551"/>
      <c r="C40" s="551"/>
      <c r="D40" s="542"/>
      <c r="E40" s="542"/>
      <c r="F40" s="543"/>
    </row>
    <row r="41" spans="1:6" ht="18.899999999999999" customHeight="1">
      <c r="A41" s="541"/>
      <c r="B41" s="551"/>
      <c r="C41" s="551"/>
      <c r="D41" s="542"/>
      <c r="E41" s="542"/>
      <c r="F41" s="543"/>
    </row>
    <row r="42" spans="1:6" ht="18.899999999999999" customHeight="1">
      <c r="A42" s="541"/>
      <c r="B42" s="542"/>
      <c r="C42" s="542"/>
      <c r="D42" s="542"/>
      <c r="E42" s="542"/>
      <c r="F42" s="543"/>
    </row>
    <row r="43" spans="1:6" ht="18.899999999999999" customHeight="1">
      <c r="A43" s="553"/>
      <c r="B43" s="551"/>
      <c r="C43" s="554" t="s">
        <v>428</v>
      </c>
      <c r="D43" s="555" t="str">
        <f>'Performance Data Sheet'!K43</f>
        <v>Mario L</v>
      </c>
      <c r="E43" s="554" t="s">
        <v>429</v>
      </c>
      <c r="F43" s="555" t="s">
        <v>761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19" t="s">
        <v>433</v>
      </c>
      <c r="B53" s="419" t="s">
        <v>142</v>
      </c>
      <c r="C53" s="419" t="s">
        <v>120</v>
      </c>
      <c r="D53" s="419" t="s">
        <v>135</v>
      </c>
      <c r="E53" s="419" t="s">
        <v>5</v>
      </c>
      <c r="F53" s="420" t="s">
        <v>646</v>
      </c>
    </row>
    <row r="54" spans="1:6" ht="15" customHeight="1">
      <c r="A54" s="421">
        <v>0</v>
      </c>
      <c r="B54" s="422"/>
      <c r="C54" s="423"/>
      <c r="D54" s="423">
        <v>41.695637923281936</v>
      </c>
      <c r="E54" s="423">
        <v>100</v>
      </c>
      <c r="F54" s="424">
        <v>0.78849999999999998</v>
      </c>
    </row>
    <row r="55" spans="1:6" ht="15" customHeight="1">
      <c r="A55" s="425">
        <v>25</v>
      </c>
      <c r="B55" s="426">
        <v>88.166595458984375</v>
      </c>
      <c r="C55" s="427">
        <v>67.614967346191406</v>
      </c>
      <c r="D55" s="427">
        <v>62.554927317639361</v>
      </c>
      <c r="E55" s="427">
        <v>89.753735619515851</v>
      </c>
      <c r="F55" s="428">
        <v>10.573813332004896</v>
      </c>
    </row>
    <row r="56" spans="1:6" ht="15" customHeight="1">
      <c r="A56" s="425">
        <v>50</v>
      </c>
      <c r="B56" s="426">
        <v>92.921783447265625</v>
      </c>
      <c r="C56" s="427">
        <v>83.969680786132813</v>
      </c>
      <c r="D56" s="427">
        <v>95.586913039507891</v>
      </c>
      <c r="E56" s="427">
        <v>79.660183117758265</v>
      </c>
      <c r="F56" s="428">
        <v>20.065419174782512</v>
      </c>
    </row>
    <row r="57" spans="1:6">
      <c r="A57" s="425">
        <v>75</v>
      </c>
      <c r="B57" s="426">
        <v>94.33941650390625</v>
      </c>
      <c r="C57" s="427">
        <v>88.574241638183594</v>
      </c>
      <c r="D57" s="427">
        <v>133.88414979914026</v>
      </c>
      <c r="E57" s="427">
        <v>69.314258273030305</v>
      </c>
      <c r="F57" s="428">
        <v>29.645846771953284</v>
      </c>
    </row>
    <row r="58" spans="1:6">
      <c r="A58" s="425">
        <v>100</v>
      </c>
      <c r="B58" s="426">
        <v>94.834358215332031</v>
      </c>
      <c r="C58" s="427">
        <v>89.925254821777344</v>
      </c>
      <c r="D58" s="427">
        <v>176</v>
      </c>
      <c r="E58" s="427">
        <v>58.655933239406011</v>
      </c>
      <c r="F58" s="428">
        <v>39.321501892936595</v>
      </c>
    </row>
    <row r="59" spans="1:6" ht="13.8" thickBot="1">
      <c r="A59" s="429">
        <v>125</v>
      </c>
      <c r="B59" s="430">
        <v>94.941146850585938</v>
      </c>
      <c r="C59" s="431">
        <v>89.981719970703125</v>
      </c>
      <c r="D59" s="431">
        <v>218.25780063815051</v>
      </c>
      <c r="E59" s="431">
        <v>47.947318154533036</v>
      </c>
      <c r="F59" s="432">
        <v>49.09659182001095</v>
      </c>
    </row>
    <row r="60" spans="1:6">
      <c r="A60" s="376"/>
      <c r="B60" s="377"/>
      <c r="C60" s="377"/>
    </row>
    <row r="61" spans="1:6">
      <c r="A61" s="376"/>
      <c r="B61" s="377"/>
      <c r="C61" s="377"/>
    </row>
    <row r="62" spans="1:6">
      <c r="A62" s="376"/>
      <c r="B62" s="377"/>
      <c r="C62" s="377"/>
    </row>
    <row r="63" spans="1:6">
      <c r="A63" s="376"/>
      <c r="B63" s="377"/>
      <c r="C63" s="377"/>
    </row>
    <row r="64" spans="1:6">
      <c r="A64" s="376"/>
      <c r="B64" s="377"/>
      <c r="C64" s="377"/>
    </row>
    <row r="65" spans="1:3">
      <c r="A65" s="376"/>
      <c r="B65" s="377"/>
      <c r="C65" s="377"/>
    </row>
    <row r="66" spans="1:3">
      <c r="A66" s="376"/>
      <c r="B66" s="377"/>
      <c r="C66" s="377"/>
    </row>
    <row r="67" spans="1:3">
      <c r="A67" s="378"/>
      <c r="B67" s="377"/>
      <c r="C67" s="377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ColWidth="9.109375" defaultRowHeight="13.2"/>
  <cols>
    <col min="1" max="1" width="9.5546875" style="344" customWidth="1"/>
    <col min="2" max="11" width="7.6640625" style="344" customWidth="1"/>
    <col min="12" max="16384" width="9.109375" style="344"/>
  </cols>
  <sheetData>
    <row r="1" spans="1:12" ht="20.399999999999999">
      <c r="A1" s="707" t="s">
        <v>606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8">
      <c r="A3" s="411" t="s">
        <v>439</v>
      </c>
      <c r="B3" s="412" t="s">
        <v>478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8">
      <c r="A5" s="413" t="s">
        <v>607</v>
      </c>
      <c r="B5" s="414"/>
      <c r="C5" s="414"/>
      <c r="D5" s="414"/>
      <c r="E5" s="414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6">
      <c r="A7" s="345"/>
      <c r="B7" s="415" t="s">
        <v>608</v>
      </c>
      <c r="C7" s="416">
        <v>0</v>
      </c>
      <c r="D7" s="415" t="s">
        <v>608</v>
      </c>
      <c r="E7" s="417" t="s">
        <v>609</v>
      </c>
      <c r="F7" s="415" t="s">
        <v>608</v>
      </c>
      <c r="G7" s="417" t="s">
        <v>610</v>
      </c>
      <c r="H7" s="415" t="s">
        <v>611</v>
      </c>
      <c r="I7" s="417">
        <v>0</v>
      </c>
      <c r="J7" s="415" t="s">
        <v>611</v>
      </c>
      <c r="K7" s="417">
        <v>7.0000000000000001E-3</v>
      </c>
      <c r="L7" s="345"/>
    </row>
    <row r="8" spans="1:12" ht="15.6">
      <c r="A8" s="396" t="s">
        <v>612</v>
      </c>
      <c r="B8" s="690">
        <v>8</v>
      </c>
      <c r="C8" s="690"/>
      <c r="D8" s="690">
        <v>26</v>
      </c>
      <c r="E8" s="690"/>
      <c r="F8" s="690">
        <v>10</v>
      </c>
      <c r="G8" s="690"/>
      <c r="H8" s="690" t="s">
        <v>627</v>
      </c>
      <c r="I8" s="690"/>
      <c r="J8" s="690" t="s">
        <v>628</v>
      </c>
      <c r="K8" s="690"/>
      <c r="L8" s="345"/>
    </row>
    <row r="9" spans="1:12" ht="15.6">
      <c r="A9" s="396" t="s">
        <v>613</v>
      </c>
      <c r="B9" s="690">
        <v>20</v>
      </c>
      <c r="C9" s="690"/>
      <c r="D9" s="690">
        <v>38</v>
      </c>
      <c r="E9" s="690"/>
      <c r="F9" s="690">
        <v>2</v>
      </c>
      <c r="G9" s="690"/>
      <c r="H9" s="690" t="s">
        <v>629</v>
      </c>
      <c r="I9" s="690"/>
      <c r="J9" s="690" t="s">
        <v>630</v>
      </c>
      <c r="K9" s="690"/>
      <c r="L9" s="345"/>
    </row>
    <row r="10" spans="1:12" ht="15.6">
      <c r="A10" s="396" t="s">
        <v>614</v>
      </c>
      <c r="B10" s="690">
        <v>14</v>
      </c>
      <c r="C10" s="690"/>
      <c r="D10" s="690">
        <v>32</v>
      </c>
      <c r="E10" s="690"/>
      <c r="F10" s="690">
        <v>4</v>
      </c>
      <c r="G10" s="690"/>
      <c r="H10" s="690" t="s">
        <v>631</v>
      </c>
      <c r="I10" s="690"/>
      <c r="J10" s="690" t="s">
        <v>632</v>
      </c>
      <c r="K10" s="690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8">
      <c r="A12" s="413" t="s">
        <v>615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6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6">
      <c r="A14" s="345"/>
      <c r="B14" s="708" t="s">
        <v>616</v>
      </c>
      <c r="C14" s="697"/>
      <c r="D14" s="709" t="s">
        <v>633</v>
      </c>
      <c r="E14" s="690"/>
      <c r="F14" s="708" t="s">
        <v>617</v>
      </c>
      <c r="G14" s="697"/>
      <c r="H14" s="709" t="s">
        <v>638</v>
      </c>
      <c r="I14" s="690"/>
      <c r="J14" s="345"/>
      <c r="K14" s="345"/>
      <c r="L14" s="345"/>
    </row>
    <row r="15" spans="1:12" ht="15.6">
      <c r="A15" s="345"/>
      <c r="B15" s="708" t="s">
        <v>618</v>
      </c>
      <c r="C15" s="697"/>
      <c r="D15" s="709" t="s">
        <v>634</v>
      </c>
      <c r="E15" s="690"/>
      <c r="F15" s="708" t="s">
        <v>619</v>
      </c>
      <c r="G15" s="697"/>
      <c r="H15" s="709" t="s">
        <v>639</v>
      </c>
      <c r="I15" s="690"/>
      <c r="J15" s="345"/>
      <c r="K15" s="345"/>
      <c r="L15" s="345"/>
    </row>
    <row r="16" spans="1:12" ht="15.6">
      <c r="A16" s="345"/>
      <c r="B16" s="708" t="s">
        <v>620</v>
      </c>
      <c r="C16" s="697"/>
      <c r="D16" s="709" t="s">
        <v>635</v>
      </c>
      <c r="E16" s="690"/>
      <c r="F16" s="708" t="s">
        <v>621</v>
      </c>
      <c r="G16" s="697"/>
      <c r="H16" s="709" t="s">
        <v>640</v>
      </c>
      <c r="I16" s="690"/>
      <c r="J16" s="345"/>
      <c r="K16" s="345"/>
      <c r="L16" s="345"/>
    </row>
    <row r="17" spans="1:12" ht="15.6">
      <c r="A17" s="345"/>
      <c r="B17" s="708" t="s">
        <v>622</v>
      </c>
      <c r="C17" s="697"/>
      <c r="D17" s="709" t="s">
        <v>636</v>
      </c>
      <c r="E17" s="690"/>
      <c r="F17" s="708" t="s">
        <v>623</v>
      </c>
      <c r="G17" s="697"/>
      <c r="H17" s="709" t="s">
        <v>641</v>
      </c>
      <c r="I17" s="690"/>
      <c r="J17" s="345"/>
      <c r="K17" s="345"/>
      <c r="L17" s="345"/>
    </row>
    <row r="18" spans="1:12" ht="15.6">
      <c r="A18" s="345"/>
      <c r="B18" s="708" t="s">
        <v>624</v>
      </c>
      <c r="C18" s="697"/>
      <c r="D18" s="709" t="s">
        <v>637</v>
      </c>
      <c r="E18" s="690"/>
      <c r="F18" s="708" t="s">
        <v>625</v>
      </c>
      <c r="G18" s="697"/>
      <c r="H18" s="709" t="s">
        <v>642</v>
      </c>
      <c r="I18" s="690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8">
      <c r="A20" s="413" t="s">
        <v>626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6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8">
      <c r="A22" s="345"/>
      <c r="B22" s="413" t="s">
        <v>643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6">
      <c r="A23" s="345"/>
      <c r="B23" s="345" t="s">
        <v>644</v>
      </c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6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6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6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6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6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6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6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6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6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6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10" workbookViewId="0"/>
  </sheetViews>
  <sheetFormatPr defaultColWidth="9.109375" defaultRowHeight="13.2"/>
  <cols>
    <col min="1" max="1" width="19.6640625" style="344" customWidth="1"/>
    <col min="2" max="7" width="10.6640625" style="344" customWidth="1"/>
    <col min="8" max="16384" width="9.109375" style="344"/>
  </cols>
  <sheetData>
    <row r="1" spans="1:12" ht="21" customHeight="1">
      <c r="A1" s="392" t="s">
        <v>439</v>
      </c>
      <c r="B1" s="691" t="s">
        <v>478</v>
      </c>
      <c r="C1" s="691"/>
      <c r="D1" s="691"/>
      <c r="E1" s="691"/>
      <c r="F1" s="691"/>
      <c r="G1" s="691"/>
    </row>
    <row r="2" spans="1:12" ht="15" customHeight="1"/>
    <row r="3" spans="1:12" ht="20.399999999999999">
      <c r="A3" s="393" t="s">
        <v>440</v>
      </c>
    </row>
    <row r="4" spans="1:12" ht="12" customHeight="1">
      <c r="A4" s="345"/>
      <c r="B4" s="345"/>
      <c r="C4" s="345"/>
      <c r="D4" s="345" t="s">
        <v>492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394" t="s">
        <v>5</v>
      </c>
      <c r="B5" s="394" t="s">
        <v>441</v>
      </c>
      <c r="C5" s="394" t="s">
        <v>442</v>
      </c>
      <c r="D5" s="394" t="s">
        <v>443</v>
      </c>
      <c r="E5" s="394" t="s">
        <v>444</v>
      </c>
      <c r="F5" s="394" t="s">
        <v>445</v>
      </c>
      <c r="G5" s="394" t="s">
        <v>446</v>
      </c>
      <c r="H5" s="345"/>
      <c r="I5" s="345"/>
      <c r="J5" s="345"/>
      <c r="K5" s="345"/>
      <c r="L5" s="345"/>
    </row>
    <row r="6" spans="1:12" ht="15.6" customHeight="1">
      <c r="A6" s="395" t="s">
        <v>447</v>
      </c>
      <c r="B6" s="395" t="s">
        <v>165</v>
      </c>
      <c r="C6" s="395" t="s">
        <v>165</v>
      </c>
      <c r="D6" s="395" t="s">
        <v>448</v>
      </c>
      <c r="E6" s="395" t="s">
        <v>135</v>
      </c>
      <c r="F6" s="395" t="s">
        <v>449</v>
      </c>
      <c r="G6" s="395" t="s">
        <v>449</v>
      </c>
      <c r="H6" s="345"/>
      <c r="I6" s="345"/>
      <c r="J6" s="345"/>
      <c r="K6" s="345"/>
      <c r="L6" s="345"/>
    </row>
    <row r="7" spans="1:12" ht="15.9" customHeight="1">
      <c r="A7" s="396" t="s">
        <v>479</v>
      </c>
      <c r="B7" s="396" t="s">
        <v>493</v>
      </c>
      <c r="C7" s="396" t="s">
        <v>506</v>
      </c>
      <c r="D7" s="396" t="s">
        <v>519</v>
      </c>
      <c r="E7" s="396" t="s">
        <v>532</v>
      </c>
      <c r="F7" s="396" t="s">
        <v>545</v>
      </c>
      <c r="G7" s="396" t="s">
        <v>558</v>
      </c>
      <c r="H7" s="345"/>
      <c r="I7" s="345"/>
      <c r="J7" s="345"/>
      <c r="K7" s="345"/>
      <c r="L7" s="345"/>
    </row>
    <row r="8" spans="1:12" ht="15.9" customHeight="1">
      <c r="A8" s="396" t="s">
        <v>480</v>
      </c>
      <c r="B8" s="396" t="s">
        <v>494</v>
      </c>
      <c r="C8" s="396" t="s">
        <v>507</v>
      </c>
      <c r="D8" s="396" t="s">
        <v>520</v>
      </c>
      <c r="E8" s="396" t="s">
        <v>533</v>
      </c>
      <c r="F8" s="396" t="s">
        <v>546</v>
      </c>
      <c r="G8" s="396" t="s">
        <v>559</v>
      </c>
      <c r="H8" s="345"/>
      <c r="I8" s="345"/>
      <c r="J8" s="345"/>
      <c r="K8" s="345"/>
      <c r="L8" s="345"/>
    </row>
    <row r="9" spans="1:12" ht="15.9" customHeight="1">
      <c r="A9" s="396" t="s">
        <v>481</v>
      </c>
      <c r="B9" s="396" t="s">
        <v>495</v>
      </c>
      <c r="C9" s="396" t="s">
        <v>508</v>
      </c>
      <c r="D9" s="396" t="s">
        <v>521</v>
      </c>
      <c r="E9" s="396" t="s">
        <v>534</v>
      </c>
      <c r="F9" s="396" t="s">
        <v>547</v>
      </c>
      <c r="G9" s="396" t="s">
        <v>560</v>
      </c>
      <c r="H9" s="345"/>
      <c r="I9" s="345"/>
      <c r="J9" s="345"/>
      <c r="K9" s="345"/>
      <c r="L9" s="345"/>
    </row>
    <row r="10" spans="1:12" ht="15.9" customHeight="1">
      <c r="A10" s="396" t="s">
        <v>482</v>
      </c>
      <c r="B10" s="396" t="s">
        <v>496</v>
      </c>
      <c r="C10" s="396" t="s">
        <v>509</v>
      </c>
      <c r="D10" s="396" t="s">
        <v>522</v>
      </c>
      <c r="E10" s="396" t="s">
        <v>535</v>
      </c>
      <c r="F10" s="396" t="s">
        <v>548</v>
      </c>
      <c r="G10" s="396" t="s">
        <v>561</v>
      </c>
      <c r="H10" s="345"/>
      <c r="I10" s="345"/>
      <c r="J10" s="345"/>
      <c r="K10" s="345"/>
      <c r="L10" s="345"/>
    </row>
    <row r="11" spans="1:12" ht="15.9" customHeight="1">
      <c r="A11" s="396" t="s">
        <v>483</v>
      </c>
      <c r="B11" s="396" t="s">
        <v>497</v>
      </c>
      <c r="C11" s="396" t="s">
        <v>510</v>
      </c>
      <c r="D11" s="396" t="s">
        <v>523</v>
      </c>
      <c r="E11" s="396" t="s">
        <v>536</v>
      </c>
      <c r="F11" s="396" t="s">
        <v>549</v>
      </c>
      <c r="G11" s="396" t="s">
        <v>562</v>
      </c>
      <c r="H11" s="345"/>
      <c r="I11" s="345"/>
      <c r="J11" s="345"/>
      <c r="K11" s="345"/>
      <c r="L11" s="345"/>
    </row>
    <row r="12" spans="1:12" ht="15.9" customHeight="1">
      <c r="A12" s="396" t="s">
        <v>484</v>
      </c>
      <c r="B12" s="396" t="s">
        <v>498</v>
      </c>
      <c r="C12" s="396" t="s">
        <v>511</v>
      </c>
      <c r="D12" s="396" t="s">
        <v>524</v>
      </c>
      <c r="E12" s="396" t="s">
        <v>537</v>
      </c>
      <c r="F12" s="396" t="s">
        <v>550</v>
      </c>
      <c r="G12" s="396" t="s">
        <v>563</v>
      </c>
      <c r="H12" s="345"/>
      <c r="I12" s="345"/>
      <c r="J12" s="345"/>
      <c r="K12" s="345"/>
      <c r="L12" s="345"/>
    </row>
    <row r="13" spans="1:12" ht="15.9" customHeight="1">
      <c r="A13" s="396" t="s">
        <v>485</v>
      </c>
      <c r="B13" s="396" t="s">
        <v>499</v>
      </c>
      <c r="C13" s="396" t="s">
        <v>512</v>
      </c>
      <c r="D13" s="396" t="s">
        <v>525</v>
      </c>
      <c r="E13" s="396" t="s">
        <v>538</v>
      </c>
      <c r="F13" s="396" t="s">
        <v>551</v>
      </c>
      <c r="G13" s="396" t="s">
        <v>564</v>
      </c>
      <c r="H13" s="345"/>
      <c r="I13" s="345"/>
      <c r="J13" s="345"/>
      <c r="K13" s="345"/>
      <c r="L13" s="345"/>
    </row>
    <row r="14" spans="1:12" ht="15.9" customHeight="1">
      <c r="A14" s="396" t="s">
        <v>486</v>
      </c>
      <c r="B14" s="396" t="s">
        <v>500</v>
      </c>
      <c r="C14" s="396" t="s">
        <v>513</v>
      </c>
      <c r="D14" s="396" t="s">
        <v>526</v>
      </c>
      <c r="E14" s="396" t="s">
        <v>539</v>
      </c>
      <c r="F14" s="396" t="s">
        <v>552</v>
      </c>
      <c r="G14" s="396" t="s">
        <v>565</v>
      </c>
      <c r="H14" s="345"/>
      <c r="I14" s="345"/>
      <c r="J14" s="345"/>
      <c r="K14" s="345"/>
      <c r="L14" s="345"/>
    </row>
    <row r="15" spans="1:12" ht="15.9" customHeight="1">
      <c r="A15" s="396" t="s">
        <v>487</v>
      </c>
      <c r="B15" s="396" t="s">
        <v>501</v>
      </c>
      <c r="C15" s="396" t="s">
        <v>514</v>
      </c>
      <c r="D15" s="396" t="s">
        <v>527</v>
      </c>
      <c r="E15" s="396" t="s">
        <v>540</v>
      </c>
      <c r="F15" s="396" t="s">
        <v>553</v>
      </c>
      <c r="G15" s="396" t="s">
        <v>566</v>
      </c>
      <c r="H15" s="345"/>
      <c r="I15" s="345"/>
      <c r="J15" s="345"/>
      <c r="K15" s="345"/>
      <c r="L15" s="345"/>
    </row>
    <row r="16" spans="1:12" ht="15.9" customHeight="1">
      <c r="A16" s="396" t="s">
        <v>488</v>
      </c>
      <c r="B16" s="396" t="s">
        <v>502</v>
      </c>
      <c r="C16" s="396" t="s">
        <v>515</v>
      </c>
      <c r="D16" s="396" t="s">
        <v>528</v>
      </c>
      <c r="E16" s="396" t="s">
        <v>541</v>
      </c>
      <c r="F16" s="396" t="s">
        <v>554</v>
      </c>
      <c r="G16" s="396" t="s">
        <v>567</v>
      </c>
      <c r="H16" s="345"/>
      <c r="I16" s="345"/>
      <c r="J16" s="345"/>
      <c r="K16" s="345"/>
      <c r="L16" s="345"/>
    </row>
    <row r="17" spans="1:12" ht="15.9" customHeight="1">
      <c r="A17" s="396" t="s">
        <v>489</v>
      </c>
      <c r="B17" s="396" t="s">
        <v>503</v>
      </c>
      <c r="C17" s="396" t="s">
        <v>516</v>
      </c>
      <c r="D17" s="396" t="s">
        <v>529</v>
      </c>
      <c r="E17" s="396" t="s">
        <v>542</v>
      </c>
      <c r="F17" s="396" t="s">
        <v>555</v>
      </c>
      <c r="G17" s="396" t="s">
        <v>568</v>
      </c>
      <c r="H17" s="345"/>
      <c r="I17" s="345"/>
      <c r="J17" s="345"/>
      <c r="K17" s="345"/>
      <c r="L17" s="345"/>
    </row>
    <row r="18" spans="1:12" ht="15.9" customHeight="1">
      <c r="A18" s="396" t="s">
        <v>490</v>
      </c>
      <c r="B18" s="396" t="s">
        <v>504</v>
      </c>
      <c r="C18" s="396" t="s">
        <v>517</v>
      </c>
      <c r="D18" s="396" t="s">
        <v>530</v>
      </c>
      <c r="E18" s="396" t="s">
        <v>543</v>
      </c>
      <c r="F18" s="396" t="s">
        <v>556</v>
      </c>
      <c r="G18" s="396" t="s">
        <v>569</v>
      </c>
      <c r="H18" s="345"/>
      <c r="I18" s="345"/>
      <c r="J18" s="345"/>
      <c r="K18" s="345"/>
      <c r="L18" s="345"/>
    </row>
    <row r="19" spans="1:12" ht="15.9" customHeight="1">
      <c r="A19" s="396" t="s">
        <v>491</v>
      </c>
      <c r="B19" s="396" t="s">
        <v>505</v>
      </c>
      <c r="C19" s="396" t="s">
        <v>518</v>
      </c>
      <c r="D19" s="396" t="s">
        <v>531</v>
      </c>
      <c r="E19" s="396" t="s">
        <v>544</v>
      </c>
      <c r="F19" s="396" t="s">
        <v>557</v>
      </c>
      <c r="G19" s="396" t="s">
        <v>570</v>
      </c>
      <c r="H19" s="345"/>
      <c r="I19" s="345"/>
      <c r="J19" s="345"/>
      <c r="K19" s="345"/>
      <c r="L19" s="345"/>
    </row>
    <row r="20" spans="1:12" ht="15.6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6.2">
      <c r="A21" s="345"/>
      <c r="B21" s="345"/>
      <c r="C21" s="345"/>
      <c r="D21" s="692" t="s">
        <v>580</v>
      </c>
      <c r="E21" s="693"/>
      <c r="F21" s="693"/>
      <c r="G21" s="694"/>
      <c r="H21" s="345"/>
      <c r="I21" s="345"/>
      <c r="J21" s="345"/>
      <c r="K21" s="345"/>
      <c r="L21" s="345"/>
    </row>
    <row r="22" spans="1:12" ht="17.25" customHeight="1">
      <c r="A22" s="345"/>
      <c r="B22" s="695" t="s">
        <v>450</v>
      </c>
      <c r="C22" s="695"/>
      <c r="D22" s="695" t="s">
        <v>451</v>
      </c>
      <c r="E22" s="695"/>
      <c r="F22" s="695" t="s">
        <v>452</v>
      </c>
      <c r="G22" s="695"/>
      <c r="H22" s="345"/>
      <c r="I22" s="345"/>
      <c r="J22" s="345"/>
      <c r="K22" s="345"/>
      <c r="L22" s="345"/>
    </row>
    <row r="23" spans="1:12" ht="15.6">
      <c r="A23" s="397" t="s">
        <v>453</v>
      </c>
      <c r="B23" s="690" t="s">
        <v>571</v>
      </c>
      <c r="C23" s="690"/>
      <c r="D23" s="690" t="s">
        <v>574</v>
      </c>
      <c r="E23" s="690"/>
      <c r="F23" s="690" t="s">
        <v>577</v>
      </c>
      <c r="G23" s="690"/>
      <c r="H23" s="345"/>
      <c r="I23" s="345"/>
      <c r="J23" s="345"/>
      <c r="K23" s="345"/>
      <c r="L23" s="345"/>
    </row>
    <row r="24" spans="1:12" ht="18" customHeight="1">
      <c r="A24" s="397" t="s">
        <v>454</v>
      </c>
      <c r="B24" s="690" t="s">
        <v>572</v>
      </c>
      <c r="C24" s="690"/>
      <c r="D24" s="690" t="s">
        <v>575</v>
      </c>
      <c r="E24" s="690"/>
      <c r="F24" s="690" t="s">
        <v>578</v>
      </c>
      <c r="G24" s="690"/>
      <c r="H24" s="345"/>
      <c r="I24" s="345"/>
      <c r="J24" s="345"/>
      <c r="K24" s="345"/>
      <c r="L24" s="345"/>
    </row>
    <row r="25" spans="1:12" ht="15.6">
      <c r="A25" s="397" t="s">
        <v>455</v>
      </c>
      <c r="B25" s="690" t="s">
        <v>573</v>
      </c>
      <c r="C25" s="690"/>
      <c r="D25" s="690" t="s">
        <v>576</v>
      </c>
      <c r="E25" s="690"/>
      <c r="F25" s="690" t="s">
        <v>579</v>
      </c>
      <c r="G25" s="690"/>
      <c r="H25" s="345"/>
      <c r="I25" s="345"/>
      <c r="J25" s="345"/>
      <c r="K25" s="345"/>
      <c r="L25" s="345"/>
    </row>
    <row r="26" spans="1:12" ht="15.6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399999999999999">
      <c r="A27" s="393" t="s">
        <v>456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6">
      <c r="A28" s="345"/>
      <c r="B28" s="345"/>
      <c r="C28" s="345"/>
      <c r="D28" s="345"/>
      <c r="E28" s="696" t="s">
        <v>457</v>
      </c>
      <c r="F28" s="693"/>
      <c r="G28" s="694"/>
      <c r="H28" s="345"/>
      <c r="I28" s="345"/>
      <c r="J28" s="345"/>
      <c r="K28" s="345"/>
      <c r="L28" s="345"/>
    </row>
    <row r="29" spans="1:12" ht="15.6">
      <c r="A29" s="345"/>
      <c r="B29" s="695" t="s">
        <v>458</v>
      </c>
      <c r="C29" s="695"/>
      <c r="D29" s="398" t="s">
        <v>459</v>
      </c>
      <c r="E29" s="398" t="s">
        <v>460</v>
      </c>
      <c r="F29" s="695" t="s">
        <v>461</v>
      </c>
      <c r="G29" s="695"/>
      <c r="H29" s="345"/>
      <c r="I29" s="345"/>
      <c r="J29" s="345"/>
      <c r="K29" s="345"/>
      <c r="L29" s="345"/>
    </row>
    <row r="30" spans="1:12" ht="15.6">
      <c r="A30" s="397" t="s">
        <v>462</v>
      </c>
      <c r="B30" s="690" t="s">
        <v>581</v>
      </c>
      <c r="C30" s="690"/>
      <c r="D30" s="396" t="s">
        <v>584</v>
      </c>
      <c r="E30" s="396" t="s">
        <v>463</v>
      </c>
      <c r="F30" s="690" t="s">
        <v>587</v>
      </c>
      <c r="G30" s="690"/>
      <c r="H30" s="345"/>
      <c r="I30" s="345"/>
      <c r="J30" s="345"/>
      <c r="K30" s="345"/>
      <c r="L30" s="345"/>
    </row>
    <row r="31" spans="1:12" ht="15.6">
      <c r="A31" s="397" t="s">
        <v>464</v>
      </c>
      <c r="B31" s="690" t="s">
        <v>582</v>
      </c>
      <c r="C31" s="690"/>
      <c r="D31" s="396" t="s">
        <v>585</v>
      </c>
      <c r="E31" s="396" t="s">
        <v>465</v>
      </c>
      <c r="F31" s="690" t="s">
        <v>588</v>
      </c>
      <c r="G31" s="690"/>
      <c r="H31" s="345"/>
      <c r="I31" s="345"/>
      <c r="J31" s="345"/>
      <c r="K31" s="345"/>
      <c r="L31" s="345"/>
    </row>
    <row r="32" spans="1:12" ht="15.6">
      <c r="A32" s="397" t="s">
        <v>466</v>
      </c>
      <c r="B32" s="690" t="s">
        <v>583</v>
      </c>
      <c r="C32" s="690"/>
      <c r="D32" s="396" t="s">
        <v>586</v>
      </c>
      <c r="E32" s="396" t="s">
        <v>467</v>
      </c>
      <c r="F32" s="690" t="s">
        <v>589</v>
      </c>
      <c r="G32" s="690"/>
      <c r="H32" s="345"/>
      <c r="I32" s="345"/>
      <c r="J32" s="345"/>
      <c r="K32" s="345"/>
      <c r="L32" s="345"/>
    </row>
    <row r="33" spans="1:12" ht="15.6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6">
      <c r="A34" s="345"/>
      <c r="B34" s="345"/>
      <c r="C34" s="345"/>
      <c r="D34" s="345"/>
      <c r="E34" s="696" t="s">
        <v>468</v>
      </c>
      <c r="F34" s="693"/>
      <c r="G34" s="694"/>
      <c r="H34" s="345"/>
      <c r="I34" s="345"/>
      <c r="J34" s="345"/>
      <c r="K34" s="345"/>
      <c r="L34" s="345"/>
    </row>
    <row r="35" spans="1:12" ht="15.6">
      <c r="A35" s="345"/>
      <c r="B35" s="695" t="s">
        <v>469</v>
      </c>
      <c r="C35" s="695"/>
      <c r="D35" s="398" t="s">
        <v>460</v>
      </c>
      <c r="E35" s="398" t="s">
        <v>470</v>
      </c>
      <c r="F35" s="398" t="s">
        <v>100</v>
      </c>
      <c r="G35" s="398" t="s">
        <v>471</v>
      </c>
      <c r="H35" s="345"/>
      <c r="I35" s="345"/>
      <c r="J35" s="345"/>
      <c r="K35" s="345"/>
      <c r="L35" s="345"/>
    </row>
    <row r="36" spans="1:12" ht="15.6">
      <c r="A36" s="397" t="s">
        <v>462</v>
      </c>
      <c r="B36" s="697" t="s">
        <v>590</v>
      </c>
      <c r="C36" s="698"/>
      <c r="D36" s="399" t="s">
        <v>592</v>
      </c>
      <c r="E36" s="399" t="s">
        <v>472</v>
      </c>
      <c r="F36" s="400" t="s">
        <v>473</v>
      </c>
      <c r="G36" s="396" t="s">
        <v>595</v>
      </c>
      <c r="H36" s="345"/>
      <c r="I36" s="345"/>
      <c r="J36" s="345"/>
      <c r="K36" s="345"/>
      <c r="L36" s="345"/>
    </row>
    <row r="37" spans="1:12" ht="15.6">
      <c r="A37" s="397" t="s">
        <v>464</v>
      </c>
      <c r="B37" s="697" t="s">
        <v>591</v>
      </c>
      <c r="C37" s="698"/>
      <c r="D37" s="399" t="s">
        <v>593</v>
      </c>
      <c r="E37" s="399" t="s">
        <v>472</v>
      </c>
      <c r="F37" s="400" t="s">
        <v>474</v>
      </c>
      <c r="G37" s="401" t="s">
        <v>596</v>
      </c>
      <c r="H37" s="345"/>
      <c r="I37" s="345"/>
      <c r="J37" s="345"/>
      <c r="K37" s="345"/>
      <c r="L37" s="345"/>
    </row>
    <row r="38" spans="1:12" ht="15.6">
      <c r="A38" s="397" t="s">
        <v>466</v>
      </c>
      <c r="B38" s="697" t="s">
        <v>591</v>
      </c>
      <c r="C38" s="698"/>
      <c r="D38" s="399" t="s">
        <v>594</v>
      </c>
      <c r="E38" s="399" t="s">
        <v>472</v>
      </c>
      <c r="F38" s="400" t="s">
        <v>475</v>
      </c>
      <c r="G38" s="396" t="s">
        <v>597</v>
      </c>
      <c r="H38" s="345"/>
      <c r="I38" s="345"/>
      <c r="J38" s="345"/>
      <c r="K38" s="345"/>
      <c r="L38" s="345"/>
    </row>
    <row r="39" spans="1:12" ht="15.6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6">
      <c r="A40" s="402" t="s">
        <v>476</v>
      </c>
      <c r="B40" s="699" t="s">
        <v>598</v>
      </c>
      <c r="C40" s="699"/>
      <c r="D40" s="700" t="s">
        <v>477</v>
      </c>
      <c r="E40" s="700"/>
      <c r="F40" s="699" t="s">
        <v>599</v>
      </c>
      <c r="G40" s="699"/>
      <c r="H40" s="345"/>
      <c r="I40" s="345"/>
      <c r="J40" s="345"/>
      <c r="K40" s="345"/>
      <c r="L40" s="345"/>
    </row>
    <row r="41" spans="1:12" ht="15.6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6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6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6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6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6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6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6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6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6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6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6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6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6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6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6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6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6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6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6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6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DesignSheet</vt:lpstr>
      <vt:lpstr>Data Sheet</vt:lpstr>
      <vt:lpstr>LoginSheet</vt:lpstr>
      <vt:lpstr>Form</vt:lpstr>
      <vt:lpstr>Performance Data Sheet</vt:lpstr>
      <vt:lpstr>STCurve</vt:lpstr>
      <vt:lpstr>Thermdam</vt:lpstr>
      <vt:lpstr>Performance 4000V</vt:lpstr>
      <vt:lpstr>Performance 2300V</vt:lpstr>
      <vt:lpstr>MagNoise</vt:lpstr>
      <vt:lpstr>StallTime</vt:lpstr>
      <vt:lpstr>'Data Sheet'!Print_Area</vt:lpstr>
      <vt:lpstr>DesignSheet!Print_Area</vt:lpstr>
      <vt:lpstr>Form!Print_Area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</cp:lastModifiedBy>
  <cp:lastPrinted>2015-01-14T19:25:32Z</cp:lastPrinted>
  <dcterms:created xsi:type="dcterms:W3CDTF">1997-10-03T20:37:30Z</dcterms:created>
  <dcterms:modified xsi:type="dcterms:W3CDTF">2022-06-30T14:58:42Z</dcterms:modified>
</cp:coreProperties>
</file>