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99" activeTab="1"/>
  </bookViews>
  <sheets>
    <sheet name="DesignSheet" sheetId="2" r:id="rId1"/>
    <sheet name="Data Sheet" sheetId="3" r:id="rId2"/>
    <sheet name="LoginSheet" sheetId="4" r:id="rId3"/>
    <sheet name="Form" sheetId="5" r:id="rId4"/>
    <sheet name="STCurve" sheetId="6" r:id="rId5"/>
    <sheet name="StallTime" sheetId="7" r:id="rId6"/>
    <sheet name="Thermdam" sheetId="8" r:id="rId7"/>
    <sheet name="MagNoise" sheetId="9" r:id="rId8"/>
    <sheet name="Performance" sheetId="10" r:id="rId9"/>
    <sheet name="Performance Data Sheet" sheetId="11" r:id="rId10"/>
  </sheets>
  <definedNames>
    <definedName name="_Regression_Int" localSheetId="9" hidden="1">1</definedName>
    <definedName name="_xlnm.Print_Area" localSheetId="1">'Data Sheet'!$A$1:$K$46</definedName>
    <definedName name="_xlnm.Print_Area" localSheetId="0">DesignSheet!$A$1:$J$68</definedName>
    <definedName name="_xlnm.Print_Area" localSheetId="3">Form!$A$1:$F$39</definedName>
    <definedName name="_xlnm.Print_Area" localSheetId="2">LoginSheet!$A$1:$N$79</definedName>
    <definedName name="_xlnm.Print_Area" localSheetId="8">Performance!$A$1:$F$43</definedName>
    <definedName name="_xlnm.Print_Area" localSheetId="9">'Performance Data Sheet'!$A$1:$M$45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Print_Area_MI">'Performance Data Sheet'!$A$10:$N$43</definedName>
    <definedName name="Z_852987ED_B4F5_11D1_ABEC_0000832EB49E_.wvu.PrintArea" localSheetId="8" hidden="1">Performance!$A$1:$F$43</definedName>
    <definedName name="Z_852987ED_B4F5_11D1_ABEC_0000832EB49E_.wvu.PrintArea" localSheetId="4" hidden="1">STCurve!$A$1:$F$43</definedName>
  </definedNames>
  <calcPr calcId="145621"/>
</workbook>
</file>

<file path=xl/calcChain.xml><?xml version="1.0" encoding="utf-8"?>
<calcChain xmlns="http://schemas.openxmlformats.org/spreadsheetml/2006/main">
  <c r="D43" i="10" l="1"/>
  <c r="D43" i="6"/>
  <c r="F9" i="10"/>
  <c r="F8" i="10"/>
  <c r="F7" i="10"/>
  <c r="B7" i="10"/>
  <c r="B6" i="10"/>
  <c r="F9" i="6"/>
  <c r="F8" i="6"/>
  <c r="F7" i="6"/>
  <c r="B7" i="6"/>
  <c r="B6" i="6"/>
  <c r="D43" i="8"/>
  <c r="F9" i="8"/>
  <c r="F8" i="8"/>
  <c r="F7" i="8"/>
  <c r="B7" i="8"/>
  <c r="B6" i="8"/>
  <c r="C76" i="8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<sst xmlns="http://schemas.openxmlformats.org/spreadsheetml/2006/main" count="995" uniqueCount="757">
  <si>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</si>
  <si>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</si>
  <si>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</si>
  <si>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</si>
  <si>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</si>
  <si>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</si>
  <si>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</si>
  <si>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</si>
  <si>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</si>
  <si>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</si>
  <si>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</si>
  <si>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</si>
  <si>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</si>
  <si>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</si>
  <si>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</si>
  <si>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</si>
  <si>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</si>
  <si>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</si>
  <si>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</si>
  <si>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</si>
  <si>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</si>
  <si>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</si>
  <si>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</si>
  <si>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</si>
  <si>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</si>
  <si>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</si>
  <si>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</si>
  <si>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</si>
  <si>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</si>
  <si>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</si>
  <si>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</si>
  <si>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</si>
  <si>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</si>
  <si>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</si>
  <si>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</si>
  <si>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</si>
  <si>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</si>
  <si>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</si>
  <si>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</si>
  <si>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</si>
  <si>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</si>
  <si>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</si>
  <si>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</si>
  <si>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</si>
  <si>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</si>
  <si>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</si>
  <si>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</si>
  <si>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</si>
  <si>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</si>
  <si>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</si>
  <si>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</si>
  <si>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</si>
  <si>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</si>
  <si>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</si>
  <si>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</si>
  <si>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</si>
  <si>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</si>
  <si>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</si>
  <si>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</si>
  <si>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</si>
  <si>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</si>
  <si>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</si>
  <si>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</si>
  <si>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</si>
  <si>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</si>
  <si>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</si>
  <si>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</si>
  <si>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</si>
  <si>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</si>
  <si>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</si>
  <si>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</si>
  <si>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</si>
  <si>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</si>
  <si>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</si>
  <si>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</si>
  <si>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</si>
  <si>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</si>
  <si>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</si>
  <si>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</si>
  <si>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</si>
  <si>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</si>
  <si>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</si>
  <si>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</si>
  <si>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</si>
  <si>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</si>
  <si>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</si>
  <si>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</si>
  <si>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</si>
  <si>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</si>
  <si>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</si>
  <si>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</si>
  <si>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</si>
  <si>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</si>
  <si>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</si>
  <si>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</si>
  <si>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</si>
  <si>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</si>
  <si>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</si>
  <si>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</si>
  <si>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</si>
  <si>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</si>
  <si>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</si>
  <si>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</si>
  <si>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</si>
  <si>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</si>
  <si>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</si>
  <si>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</si>
  <si>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</si>
  <si>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</si>
  <si>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</si>
  <si>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</si>
  <si>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</si>
  <si>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</si>
  <si>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</si>
  <si>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</si>
  <si>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</si>
  <si>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</si>
  <si>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</si>
  <si>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</si>
  <si>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</si>
  <si>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</si>
  <si>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</si>
  <si>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</si>
  <si>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</si>
  <si>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</si>
  <si>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</si>
  <si>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</si>
  <si>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</si>
  <si>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</si>
  <si>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</si>
  <si>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</si>
  <si>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</si>
  <si>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</si>
  <si>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</si>
  <si>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</si>
  <si>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</si>
  <si>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</si>
  <si>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</si>
  <si>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</si>
  <si>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</si>
  <si>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</si>
  <si>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</si>
  <si>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</si>
  <si>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</si>
  <si>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</si>
  <si>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</si>
  <si>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</si>
  <si>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</si>
  <si>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</si>
  <si>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</si>
  <si>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</si>
  <si>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</si>
  <si>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</si>
  <si>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</si>
  <si>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</si>
  <si>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</si>
  <si>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</si>
  <si>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</si>
  <si>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</si>
  <si>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</si>
  <si>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</si>
  <si>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</si>
  <si>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</si>
  <si>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</si>
  <si>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</si>
  <si>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</si>
  <si>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</si>
  <si>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</si>
  <si>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</si>
  <si>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</si>
  <si>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</si>
  <si>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</si>
  <si>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</si>
  <si>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</si>
  <si>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</si>
  <si>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</si>
  <si>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FCCW4</t>
  </si>
  <si>
    <t>6813US</t>
  </si>
  <si>
    <t>Open</t>
  </si>
  <si>
    <t>Rectang</t>
  </si>
  <si>
    <t>9.24 - 9.24</t>
  </si>
  <si>
    <t>2.83 - 3.20</t>
  </si>
  <si>
    <t>Magnetic</t>
  </si>
  <si>
    <t>30 x 6</t>
  </si>
  <si>
    <t>1 ~ 11</t>
  </si>
  <si>
    <t>(.081"x.182")x2</t>
  </si>
  <si>
    <t>Wye</t>
  </si>
  <si>
    <t>(105°C)</t>
  </si>
  <si>
    <t>CU</t>
  </si>
  <si>
    <t>ERD1: 460.8</t>
  </si>
  <si>
    <t>EBL: 50.5</t>
  </si>
  <si>
    <t>ERT: 30.00</t>
  </si>
  <si>
    <t>ERH: 50.00</t>
  </si>
  <si>
    <t>(12 x 35)</t>
  </si>
  <si>
    <t>LB:  -</t>
  </si>
  <si>
    <t>LER:  -</t>
  </si>
  <si>
    <t>Single Cage Data</t>
  </si>
  <si>
    <t>UB: 420.0</t>
  </si>
  <si>
    <t>UER: 1500.0</t>
  </si>
  <si>
    <t>(Coeff.: 0.0417)</t>
  </si>
  <si>
    <t>Skew R.: 0.00</t>
  </si>
  <si>
    <t>Z:\Motor R&amp;D\Active Projects\6810 Development\Electrical Design\TEAAC\6P\Series\BS6M35U.rat</t>
  </si>
  <si>
    <t>2-2-2-0-1-2</t>
  </si>
  <si>
    <t>B.L.-1  P.F.-1</t>
  </si>
  <si>
    <t>13718.6 / 12424.6</t>
  </si>
  <si>
    <t>8847.0 / 8709.1</t>
  </si>
  <si>
    <t>26662.1 / 18797.8</t>
  </si>
  <si>
    <t>10116.0 / 9343.1</t>
  </si>
  <si>
    <t>15868.8 / 6013.3</t>
  </si>
  <si>
    <t>2466.4 / 934.6</t>
  </si>
  <si>
    <t>13402.4 / 5078.7</t>
  </si>
  <si>
    <t>1.75 / 0.66</t>
  </si>
  <si>
    <t>69 / 70</t>
  </si>
  <si>
    <t>Temp. Rise @ 100%:</t>
  </si>
  <si>
    <t>Stray Loss</t>
  </si>
  <si>
    <t>0.920 / 0.916</t>
  </si>
  <si>
    <t>0.953 / 0.949</t>
  </si>
  <si>
    <t>0.962 / 0.958</t>
  </si>
  <si>
    <t>0.965 / 0.960</t>
  </si>
  <si>
    <t>0.649 / 0.641</t>
  </si>
  <si>
    <t>0.834 / 0.823</t>
  </si>
  <si>
    <t>0.888 / 0.877</t>
  </si>
  <si>
    <t>0.905 / 0.894</t>
  </si>
  <si>
    <t>0.908 / 0.896</t>
  </si>
  <si>
    <t>78.87 / 80.30</t>
  </si>
  <si>
    <t>118.56 / 120.70</t>
  </si>
  <si>
    <t>165.38 / 168.37</t>
  </si>
  <si>
    <t>215.74 / 219.63</t>
  </si>
  <si>
    <t>268.92 / 273.78</t>
  </si>
  <si>
    <t>3.91 / 3.98</t>
  </si>
  <si>
    <t>UB: 3.57 / 3.63</t>
  </si>
  <si>
    <t>UER: 3.09 / 3.14</t>
  </si>
  <si>
    <t>1198.0 / 1198.1</t>
  </si>
  <si>
    <t>1196.1 / 1196.2</t>
  </si>
  <si>
    <t>1194.2 / 1194.3</t>
  </si>
  <si>
    <t>1192.2 / 1192.3</t>
  </si>
  <si>
    <t>1190.2 / 1190.3</t>
  </si>
  <si>
    <t>0.0016 / 0.0015</t>
  </si>
  <si>
    <t>0.0032 / 0.0031</t>
  </si>
  <si>
    <t>0.0049 / 0.0048</t>
  </si>
  <si>
    <t>0.0065 / 0.0064</t>
  </si>
  <si>
    <t>0.0082 / 0.0081</t>
  </si>
  <si>
    <t>55.367 / 49.117</t>
  </si>
  <si>
    <t>2.288 / 2.030</t>
  </si>
  <si>
    <t>55.41 / 49.16</t>
  </si>
  <si>
    <t>1306.4 / 1244.4</t>
  </si>
  <si>
    <t>605.6 / 576.8</t>
  </si>
  <si>
    <t>1025.8 / 883.2</t>
  </si>
  <si>
    <t>96.2 / 82.8</t>
  </si>
  <si>
    <t>261.7 / 230.9</t>
  </si>
  <si>
    <t>Correlated to: P149087.dat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</si>
  <si>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</si>
  <si>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</si>
  <si>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</si>
  <si>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</si>
  <si>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</si>
  <si>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</si>
  <si>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</si>
  <si>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</si>
  <si>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</si>
  <si>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</si>
  <si>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</si>
  <si>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</si>
  <si>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</si>
  <si>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</si>
  <si>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</si>
  <si>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</si>
  <si>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</si>
  <si>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</si>
  <si>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</si>
  <si>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</si>
  <si>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</si>
  <si>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</si>
  <si>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</si>
  <si>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</si>
  <si>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</si>
  <si>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</si>
  <si>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</si>
  <si>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</si>
  <si>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</si>
  <si>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</si>
  <si>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</si>
  <si>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</si>
  <si>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</si>
  <si>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</si>
  <si>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</si>
  <si>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</si>
  <si>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</si>
  <si>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</si>
  <si>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</si>
  <si>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</si>
  <si>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</si>
  <si>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</si>
  <si>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</si>
  <si>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</si>
  <si>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</si>
  <si>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</si>
  <si>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</si>
  <si>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</si>
  <si>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</si>
  <si>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</si>
  <si>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</si>
  <si>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</si>
  <si>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</si>
  <si>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</si>
  <si>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</si>
  <si>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</si>
  <si>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</si>
  <si>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</si>
  <si>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</si>
  <si>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</si>
  <si>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</si>
  <si>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</si>
  <si>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</si>
  <si>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</si>
  <si>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</si>
  <si>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</si>
  <si>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</si>
  <si>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</si>
  <si>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</si>
  <si>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</si>
  <si>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</si>
  <si>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</si>
  <si>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</si>
  <si>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</si>
  <si>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</si>
  <si>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</si>
  <si>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</si>
  <si>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</si>
  <si>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</si>
  <si>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</si>
  <si>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</si>
  <si>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Mario L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</si>
  <si>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</si>
  <si>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</si>
  <si>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</si>
  <si>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</si>
  <si>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</si>
  <si>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</si>
  <si>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</si>
  <si>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</si>
  <si>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</si>
  <si>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</si>
  <si>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</si>
  <si>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</si>
  <si>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</si>
  <si>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</si>
  <si>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</si>
  <si>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</si>
  <si>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</si>
  <si>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</si>
  <si>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</si>
  <si>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</si>
  <si>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</si>
  <si>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</si>
  <si>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</si>
  <si>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</si>
  <si>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</si>
  <si>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</si>
  <si>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</si>
  <si>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</si>
  <si>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</si>
  <si>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20 x 2</t>
  </si>
  <si>
    <t>3 x Wye</t>
  </si>
  <si>
    <t xml:space="preserve"> - </t>
  </si>
  <si>
    <t>398 / 2251</t>
  </si>
  <si>
    <t>363 / 314</t>
  </si>
  <si>
    <t>70 / 91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</si>
  <si>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</si>
  <si>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</si>
  <si>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</si>
  <si>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</si>
  <si>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</si>
  <si>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</si>
  <si>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</si>
  <si>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</si>
  <si>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</si>
  <si>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</si>
  <si>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</si>
  <si>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</si>
  <si>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1459.0</t>
  </si>
  <si>
    <t xml:space="preserve">10T: </t>
  </si>
  <si>
    <t/>
  </si>
  <si>
    <t>0.0276 ~ 0.0265</t>
  </si>
  <si>
    <t>AWG. 3/0 x 3</t>
  </si>
  <si>
    <t>0.00075</t>
  </si>
  <si>
    <t>10T: 22.57</t>
  </si>
  <si>
    <t>10T: 9.65</t>
  </si>
  <si>
    <t>13.30 ~ 12.90</t>
  </si>
  <si>
    <t>14.02</t>
  </si>
  <si>
    <t>3.55</t>
  </si>
  <si>
    <t xml:space="preserve"> (.081"x.182")x 2: </t>
  </si>
  <si>
    <t>783 lbs.</t>
  </si>
  <si>
    <t xml:space="preserve">1-2, 2-3, 3-1: </t>
  </si>
  <si>
    <t>0.150 ~ 0.141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</si>
  <si>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</si>
  <si>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</si>
  <si>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</si>
  <si>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</si>
  <si>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</si>
  <si>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</si>
  <si>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</si>
  <si>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</si>
  <si>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</si>
  <si>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</si>
  <si>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</si>
  <si>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</si>
  <si>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</si>
  <si>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</si>
  <si>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</si>
  <si>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</si>
  <si>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</si>
  <si>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</si>
  <si>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</si>
  <si>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</si>
  <si>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</si>
  <si>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</si>
  <si>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</si>
  <si>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</si>
  <si>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</si>
  <si>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</si>
  <si>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</si>
  <si>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</si>
  <si>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</si>
  <si>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</si>
  <si>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1571.6 lb-ft²</t>
  </si>
  <si>
    <t>1244 A</t>
  </si>
  <si>
    <t>Load</t>
  </si>
  <si>
    <t>Fan / Pump</t>
  </si>
  <si>
    <t>2537.8 kg.m²</t>
  </si>
  <si>
    <t>Acceleration Data (FV V)</t>
  </si>
  <si>
    <t>14.3 (s)</t>
  </si>
  <si>
    <t>1066.6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</si>
  <si>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</si>
  <si>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</si>
  <si>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</si>
  <si>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</si>
  <si>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</si>
  <si>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</si>
  <si>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</si>
  <si>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</si>
  <si>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</si>
  <si>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</si>
  <si>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</si>
  <si>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</si>
  <si>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</si>
  <si>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</si>
  <si>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</si>
  <si>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</si>
  <si>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</si>
  <si>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</si>
  <si>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</si>
  <si>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</si>
  <si>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</si>
  <si>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</si>
  <si>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</si>
  <si>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</si>
  <si>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</si>
  <si>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</si>
  <si>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</si>
  <si>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</si>
  <si>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</si>
  <si>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</si>
  <si>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</si>
  <si>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</si>
  <si>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</si>
  <si>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</si>
  <si>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</si>
  <si>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</si>
  <si>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</si>
  <si>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</si>
  <si>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</si>
  <si>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- 1750.0 HP - 1200 RPM - 4000 V - 60 Hz</t>
  </si>
  <si>
    <t>0~125</t>
  </si>
  <si>
    <t>125~250</t>
  </si>
  <si>
    <t>250~375</t>
  </si>
  <si>
    <t>375~500</t>
  </si>
  <si>
    <t>500~625</t>
  </si>
  <si>
    <t>625~750</t>
  </si>
  <si>
    <t>750~875</t>
  </si>
  <si>
    <t>875~1000</t>
  </si>
  <si>
    <t>1000~1063</t>
  </si>
  <si>
    <t>1063~1125</t>
  </si>
  <si>
    <t>1125~1188</t>
  </si>
  <si>
    <t>1188~1198</t>
  </si>
  <si>
    <t>1198~1200</t>
  </si>
  <si>
    <t>Load Type: Fan / Pump - 15055.0 lb-ft²</t>
  </si>
  <si>
    <t>80.1</t>
  </si>
  <si>
    <t>80.3</t>
  </si>
  <si>
    <t>80.7</t>
  </si>
  <si>
    <t>81.3</t>
  </si>
  <si>
    <t>82.4</t>
  </si>
  <si>
    <t>84.2</t>
  </si>
  <si>
    <t>87.1</t>
  </si>
  <si>
    <t>92.8</t>
  </si>
  <si>
    <t>103.0</t>
  </si>
  <si>
    <t>123.1</t>
  </si>
  <si>
    <t>183.4</t>
  </si>
  <si>
    <t>169.0</t>
  </si>
  <si>
    <t>104.0</t>
  </si>
  <si>
    <t>22.4</t>
  </si>
  <si>
    <t>11.3</t>
  </si>
  <si>
    <t>7.0</t>
  </si>
  <si>
    <t>7.6</t>
  </si>
  <si>
    <t>12.3</t>
  </si>
  <si>
    <t>20.2</t>
  </si>
  <si>
    <t>31.4</t>
  </si>
  <si>
    <t>47.7</t>
  </si>
  <si>
    <t>63.9</t>
  </si>
  <si>
    <t>77.1</t>
  </si>
  <si>
    <t>90.9</t>
  </si>
  <si>
    <t>98.8</t>
  </si>
  <si>
    <t>99.8</t>
  </si>
  <si>
    <t>1.519</t>
  </si>
  <si>
    <t>1.270</t>
  </si>
  <si>
    <t>1.191</t>
  </si>
  <si>
    <t>1.189</t>
  </si>
  <si>
    <t>1.250</t>
  </si>
  <si>
    <t>1.371</t>
  </si>
  <si>
    <t>1.573</t>
  </si>
  <si>
    <t>1.943</t>
  </si>
  <si>
    <t>1.118</t>
  </si>
  <si>
    <t>0.952</t>
  </si>
  <si>
    <t>0.474</t>
  </si>
  <si>
    <t>0.096</t>
  </si>
  <si>
    <t>0.400</t>
  </si>
  <si>
    <t>1239.6</t>
  </si>
  <si>
    <t>1229.9</t>
  </si>
  <si>
    <t>1218.3</t>
  </si>
  <si>
    <t>1203.8</t>
  </si>
  <si>
    <t>1185.5</t>
  </si>
  <si>
    <t>1162.7</t>
  </si>
  <si>
    <t>1134.6</t>
  </si>
  <si>
    <t>1098.9</t>
  </si>
  <si>
    <t>1063.9</t>
  </si>
  <si>
    <t>1021.8</t>
  </si>
  <si>
    <t>909.3</t>
  </si>
  <si>
    <t>542.8</t>
  </si>
  <si>
    <t>191.8</t>
  </si>
  <si>
    <t>692.7</t>
  </si>
  <si>
    <t>571.1</t>
  </si>
  <si>
    <t>526.3</t>
  </si>
  <si>
    <t>514.7</t>
  </si>
  <si>
    <t>526.8</t>
  </si>
  <si>
    <t>558.3</t>
  </si>
  <si>
    <t>613.4</t>
  </si>
  <si>
    <t>717.2</t>
  </si>
  <si>
    <t>383.3</t>
  </si>
  <si>
    <t>309.0</t>
  </si>
  <si>
    <t>138.1</t>
  </si>
  <si>
    <t>19.2</t>
  </si>
  <si>
    <t>5.7</t>
  </si>
  <si>
    <t>1420.9</t>
  </si>
  <si>
    <t>1066.4</t>
  </si>
  <si>
    <t>886.6</t>
  </si>
  <si>
    <t>773.6</t>
  </si>
  <si>
    <t>697.0</t>
  </si>
  <si>
    <t>638.2</t>
  </si>
  <si>
    <t>587.7</t>
  </si>
  <si>
    <t>546.5</t>
  </si>
  <si>
    <t>420.6</t>
  </si>
  <si>
    <t>278.1</t>
  </si>
  <si>
    <t>94.2</t>
  </si>
  <si>
    <t>33.6</t>
  </si>
  <si>
    <t>171.8</t>
  </si>
  <si>
    <t>5576 kW / s</t>
  </si>
  <si>
    <t>6659 kW / s</t>
  </si>
  <si>
    <t>957 kW / s</t>
  </si>
  <si>
    <t>42°C</t>
  </si>
  <si>
    <t>74°C</t>
  </si>
  <si>
    <t>57°C</t>
  </si>
  <si>
    <t>84°C</t>
  </si>
  <si>
    <t>147°C</t>
  </si>
  <si>
    <t>113°C</t>
  </si>
  <si>
    <t>Acceleration Time:  14.3 s</t>
  </si>
  <si>
    <t>4.0°C / s</t>
  </si>
  <si>
    <t>10.1°C / s</t>
  </si>
  <si>
    <t>7.8°C / s</t>
  </si>
  <si>
    <t>535.3 kW</t>
  </si>
  <si>
    <t>913.2 kW</t>
  </si>
  <si>
    <t>131.2 kW</t>
  </si>
  <si>
    <t>39.6 s</t>
  </si>
  <si>
    <t>25.8 s</t>
  </si>
  <si>
    <t>23.1 s</t>
  </si>
  <si>
    <t>70°C    +</t>
  </si>
  <si>
    <t>94°C    +</t>
  </si>
  <si>
    <t>90°C    +</t>
  </si>
  <si>
    <t>166°C   +</t>
  </si>
  <si>
    <t>86°C   +</t>
  </si>
  <si>
    <t>22.3 s</t>
  </si>
  <si>
    <t>16.5 s</t>
  </si>
  <si>
    <t>11.1 s</t>
  </si>
  <si>
    <t>45.8 s</t>
  </si>
  <si>
    <t>22.0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</si>
  <si>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</si>
  <si>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</si>
  <si>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</si>
  <si>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</si>
  <si>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</si>
  <si>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</si>
  <si>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15055.0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</si>
  <si>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</si>
  <si>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</si>
  <si>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</si>
  <si>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</si>
  <si>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</si>
  <si>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</si>
  <si>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</si>
  <si>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</si>
  <si>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</si>
  <si>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</si>
  <si>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</si>
  <si>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</si>
  <si>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</si>
  <si>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</si>
  <si>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</si>
  <si>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</si>
  <si>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</si>
  <si>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</si>
  <si>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</si>
  <si>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</si>
  <si>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</si>
  <si>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1280.0 Hz</t>
  </si>
  <si>
    <t>1272.4 Hz</t>
  </si>
  <si>
    <t>1040.0 Hz</t>
  </si>
  <si>
    <t>1032.4 Hz</t>
  </si>
  <si>
    <t>1160.0 Hz</t>
  </si>
  <si>
    <t>1152.4 Hz</t>
  </si>
  <si>
    <t>1849.2 Hz</t>
  </si>
  <si>
    <t>238.2 Hz</t>
  </si>
  <si>
    <t>673.9 Hz</t>
  </si>
  <si>
    <t>1292.1 Hz</t>
  </si>
  <si>
    <t>2089.6 Hz</t>
  </si>
  <si>
    <t>3065.4 Hz</t>
  </si>
  <si>
    <t>4219.1 Hz</t>
  </si>
  <si>
    <t>5550.6 Hz</t>
  </si>
  <si>
    <t>7059.8 Hz</t>
  </si>
  <si>
    <t>8746.6 Hz</t>
  </si>
  <si>
    <t>Matching frequencies detected!!!</t>
  </si>
  <si>
    <t>Please check slot combination!!!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</si>
  <si>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</si>
  <si>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</si>
  <si>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</si>
  <si>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</si>
  <si>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</si>
  <si>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</si>
  <si>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</si>
  <si>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</si>
  <si>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11/08/96</t>
  </si>
  <si>
    <t>SUPERSEDES</t>
  </si>
  <si>
    <t>10/06/95</t>
  </si>
  <si>
    <t>REVISION</t>
  </si>
  <si>
    <t>SQUIRREL CAGE INDUCTION MOTOR</t>
  </si>
  <si>
    <t>WRITTEN BY</t>
  </si>
  <si>
    <t>R. EVANS</t>
  </si>
  <si>
    <t>PERFORMANCE SPECIFICATIONS</t>
  </si>
  <si>
    <t>APPROVED BY</t>
  </si>
  <si>
    <t>Jay Bugbee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</si>
  <si>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</si>
  <si>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</si>
  <si>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</si>
  <si>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</si>
  <si>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</si>
  <si>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</si>
  <si>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</si>
  <si>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</si>
  <si>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</si>
  <si>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</si>
  <si>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</si>
  <si>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</si>
  <si>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</si>
  <si>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</si>
  <si>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</si>
  <si>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</si>
  <si>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</si>
  <si>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</si>
  <si>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</si>
  <si>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</si>
  <si>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</si>
  <si>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</si>
  <si>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</si>
  <si>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</si>
  <si>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</si>
  <si>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</si>
  <si>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</si>
  <si>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</si>
  <si>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</si>
  <si>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</si>
  <si>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</si>
  <si>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</si>
  <si>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</si>
  <si>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</si>
  <si>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</si>
  <si>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</si>
  <si>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</si>
  <si>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</si>
  <si>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</si>
  <si>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</si>
  <si>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</si>
  <si>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</si>
  <si>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</si>
  <si>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</si>
  <si>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</si>
  <si>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</si>
  <si>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</si>
  <si>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</si>
  <si>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</si>
  <si>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</si>
  <si>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</si>
  <si>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</si>
  <si>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</si>
  <si>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</si>
  <si>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</si>
  <si>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</si>
  <si>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</si>
  <si>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</si>
  <si>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</si>
  <si>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</si>
  <si>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</si>
  <si>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</si>
  <si>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</si>
  <si>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</si>
  <si>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</si>
  <si>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</si>
  <si>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</si>
  <si>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</si>
  <si>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</si>
  <si>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</si>
  <si>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</si>
  <si>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</si>
  <si>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</si>
  <si>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</si>
  <si>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</si>
  <si>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</si>
  <si>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</si>
  <si>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</si>
  <si>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</si>
  <si>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</si>
  <si>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</si>
  <si>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</si>
  <si>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</si>
  <si>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</si>
  <si>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</si>
  <si>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</si>
  <si>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</si>
  <si>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</si>
  <si>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TEAAC</t>
  </si>
  <si>
    <t>M11-125 INS</t>
  </si>
  <si>
    <t>Outer Fan: 550OD</t>
  </si>
  <si>
    <t>Rev 0: First Issue</t>
  </si>
  <si>
    <t>7711 lb-ft</t>
  </si>
  <si>
    <t>Type: TIKE - Form: FCW4 - 6 Pole - 1750 HP - 4000 V - 60 Hz - 6813US - Class F</t>
  </si>
  <si>
    <t>FCW4</t>
  </si>
  <si>
    <t>BW6M35U</t>
  </si>
  <si>
    <t>M357TCAL11E-C</t>
  </si>
  <si>
    <t>F &amp; W( Ball Brg)</t>
  </si>
  <si>
    <t>Limits: BW6M35U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</si>
</sst>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  <numFmt numFmtId="171" formatCode="General_)"/>
  </numFmts>
  <fonts count="73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9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71" fontId="60" fillId="0" borderId="0"/>
    <xf numFmtId="0" fontId="1" fillId="0" borderId="0"/>
    <xf numFmtId="0" fontId="1" fillId="0" borderId="0"/>
    <xf numFmtId="0" fontId="1" fillId="0" borderId="0"/>
  </cellStyleXfs>
  <cellXfs count="72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5" fontId="2" fillId="0" borderId="25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5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5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166" fontId="2" fillId="0" borderId="34" xfId="0" applyNumberFormat="1" applyFont="1" applyBorder="1" applyAlignment="1">
      <alignment horizontal="center"/>
    </xf>
    <xf numFmtId="166" fontId="2" fillId="0" borderId="10" xfId="0" applyNumberFormat="1" applyFont="1" applyBorder="1" applyAlignment="1">
      <alignment horizontal="center"/>
    </xf>
    <xf numFmtId="166" fontId="2" fillId="0" borderId="30" xfId="0" applyNumberFormat="1" applyFont="1" applyBorder="1" applyAlignment="1">
      <alignment horizontal="center"/>
    </xf>
    <xf numFmtId="166" fontId="2" fillId="0" borderId="35" xfId="0" applyNumberFormat="1" applyFont="1" applyBorder="1" applyAlignment="1">
      <alignment horizontal="center"/>
    </xf>
    <xf numFmtId="166" fontId="2" fillId="0" borderId="36" xfId="0" applyNumberFormat="1" applyFont="1" applyBorder="1" applyAlignment="1">
      <alignment horizontal="center"/>
    </xf>
    <xf numFmtId="166" fontId="2" fillId="0" borderId="37" xfId="0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6" fontId="2" fillId="0" borderId="38" xfId="0" applyNumberFormat="1" applyFont="1" applyBorder="1" applyAlignment="1">
      <alignment horizontal="center"/>
    </xf>
    <xf numFmtId="166" fontId="2" fillId="0" borderId="39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6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5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7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6" fillId="0" borderId="0" xfId="1" applyFont="1" applyFill="1"/>
    <xf numFmtId="0" fontId="17" fillId="0" borderId="0" xfId="1" applyFont="1" applyFill="1"/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66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66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5" fillId="0" borderId="77" xfId="1" applyFont="1" applyFill="1" applyBorder="1"/>
    <xf numFmtId="0" fontId="25" fillId="0" borderId="78" xfId="1" applyFont="1" applyFill="1" applyBorder="1"/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66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8" fillId="0" borderId="115" xfId="1" applyFont="1" applyFill="1" applyBorder="1"/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70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5" fillId="0" borderId="128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31" xfId="3" applyBorder="1" applyAlignment="1">
      <alignment horizontal="left"/>
    </xf>
    <xf numFmtId="49" fontId="1" fillId="0" borderId="4" xfId="3" applyNumberFormat="1" applyBorder="1"/>
    <xf numFmtId="0" fontId="1" fillId="0" borderId="133" xfId="3" applyBorder="1" applyAlignment="1">
      <alignment horizontal="left"/>
    </xf>
    <xf numFmtId="0" fontId="1" fillId="0" borderId="0" xfId="4"/>
    <xf numFmtId="0" fontId="48" fillId="0" borderId="0" xfId="4" applyFont="1"/>
    <xf numFmtId="0" fontId="50" fillId="0" borderId="20" xfId="4" applyFont="1" applyBorder="1" applyAlignment="1">
      <alignment horizontal="right"/>
    </xf>
    <xf numFmtId="0" fontId="50" fillId="0" borderId="47" xfId="4" applyFont="1" applyBorder="1" applyAlignment="1">
      <alignment horizontal="right"/>
    </xf>
    <xf numFmtId="0" fontId="50" fillId="0" borderId="101" xfId="4" applyFont="1" applyBorder="1" applyAlignment="1">
      <alignment horizontal="center"/>
    </xf>
    <xf numFmtId="0" fontId="22" fillId="0" borderId="38" xfId="4" applyFont="1" applyBorder="1" applyAlignment="1">
      <alignment horizontal="center"/>
    </xf>
    <xf numFmtId="0" fontId="50" fillId="0" borderId="60" xfId="4" applyFont="1" applyBorder="1" applyAlignment="1">
      <alignment horizontal="center"/>
    </xf>
    <xf numFmtId="0" fontId="22" fillId="0" borderId="38" xfId="4" applyFont="1" applyBorder="1"/>
    <xf numFmtId="0" fontId="1" fillId="0" borderId="46" xfId="4" applyBorder="1"/>
    <xf numFmtId="0" fontId="22" fillId="0" borderId="48" xfId="4" applyFont="1" applyBorder="1" applyAlignment="1">
      <alignment horizontal="center"/>
    </xf>
    <xf numFmtId="0" fontId="48" fillId="0" borderId="134" xfId="4" applyFont="1" applyBorder="1" applyAlignment="1">
      <alignment horizontal="center"/>
    </xf>
    <xf numFmtId="0" fontId="22" fillId="0" borderId="48" xfId="4" applyFont="1" applyBorder="1"/>
    <xf numFmtId="0" fontId="50" fillId="0" borderId="101" xfId="4" applyFont="1" applyBorder="1" applyAlignment="1">
      <alignment horizontal="right"/>
    </xf>
    <xf numFmtId="0" fontId="22" fillId="0" borderId="27" xfId="4" applyFont="1" applyBorder="1" applyAlignment="1">
      <alignment horizontal="center"/>
    </xf>
    <xf numFmtId="0" fontId="50" fillId="0" borderId="46" xfId="4" applyFont="1" applyBorder="1" applyAlignment="1">
      <alignment horizontal="right"/>
    </xf>
    <xf numFmtId="0" fontId="22" fillId="0" borderId="24" xfId="4" applyFont="1" applyBorder="1" applyAlignment="1">
      <alignment horizontal="center"/>
    </xf>
    <xf numFmtId="0" fontId="22" fillId="0" borderId="32" xfId="4" applyFont="1" applyBorder="1" applyAlignment="1">
      <alignment horizontal="center"/>
    </xf>
    <xf numFmtId="0" fontId="48" fillId="0" borderId="0" xfId="4" applyFont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51" fillId="0" borderId="60" xfId="4" applyFont="1" applyBorder="1"/>
    <xf numFmtId="0" fontId="51" fillId="0" borderId="61" xfId="4" applyFont="1" applyBorder="1"/>
    <xf numFmtId="0" fontId="51" fillId="0" borderId="38" xfId="4" applyFont="1" applyBorder="1"/>
    <xf numFmtId="0" fontId="52" fillId="0" borderId="82" xfId="4" applyFont="1" applyBorder="1" applyAlignment="1">
      <alignment horizontal="centerContinuous"/>
    </xf>
    <xf numFmtId="0" fontId="51" fillId="0" borderId="0" xfId="4" applyFont="1" applyBorder="1" applyAlignment="1">
      <alignment horizontal="centerContinuous"/>
    </xf>
    <xf numFmtId="0" fontId="51" fillId="0" borderId="107" xfId="4" applyFont="1" applyBorder="1" applyAlignment="1">
      <alignment horizontal="centerContinuous"/>
    </xf>
    <xf numFmtId="0" fontId="53" fillId="0" borderId="82" xfId="4" applyFont="1" applyBorder="1" applyAlignment="1">
      <alignment horizontal="centerContinuous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166" fontId="3" fillId="0" borderId="0" xfId="4" quotePrefix="1" applyNumberFormat="1" applyFont="1" applyBorder="1" applyAlignment="1">
      <alignment horizontal="center"/>
    </xf>
    <xf numFmtId="166" fontId="2" fillId="0" borderId="0" xfId="4" applyNumberFormat="1" applyFont="1" applyBorder="1" applyAlignment="1">
      <alignment horizontal="center"/>
    </xf>
    <xf numFmtId="166" fontId="3" fillId="0" borderId="0" xfId="4" applyNumberFormat="1" applyFont="1" applyBorder="1" applyAlignment="1">
      <alignment horizontal="center"/>
    </xf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66" fontId="2" fillId="0" borderId="36" xfId="0" applyNumberFormat="1" applyFont="1" applyFill="1" applyBorder="1" applyAlignment="1">
      <alignment horizontal="center"/>
    </xf>
    <xf numFmtId="166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66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centerContinuous"/>
    </xf>
    <xf numFmtId="166" fontId="2" fillId="0" borderId="0" xfId="0" applyNumberFormat="1" applyFont="1" applyBorder="1" applyAlignment="1">
      <alignment horizontal="centerContinuous"/>
    </xf>
    <xf numFmtId="166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15" fillId="0" borderId="0" xfId="4" applyFont="1"/>
    <xf numFmtId="0" fontId="54" fillId="0" borderId="26" xfId="4" applyFont="1" applyBorder="1" applyAlignment="1">
      <alignment horizontal="center"/>
    </xf>
    <xf numFmtId="0" fontId="54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4" fillId="0" borderId="1" xfId="4" applyFont="1" applyBorder="1" applyAlignment="1">
      <alignment horizontal="right"/>
    </xf>
    <xf numFmtId="0" fontId="54" fillId="0" borderId="1" xfId="4" applyFont="1" applyBorder="1" applyAlignment="1">
      <alignment horizontal="center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54" fillId="0" borderId="0" xfId="4" applyFont="1" applyAlignment="1">
      <alignment horizontal="right"/>
    </xf>
    <xf numFmtId="0" fontId="56" fillId="0" borderId="0" xfId="4" applyFont="1"/>
    <xf numFmtId="0" fontId="1" fillId="0" borderId="0" xfId="4" applyBorder="1"/>
    <xf numFmtId="0" fontId="57" fillId="0" borderId="0" xfId="4" applyFont="1" applyFill="1" applyBorder="1"/>
    <xf numFmtId="0" fontId="1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9" fillId="0" borderId="0" xfId="4" applyFont="1" applyAlignment="1">
      <alignment horizontal="right"/>
    </xf>
    <xf numFmtId="0" fontId="6" fillId="0" borderId="0" xfId="4" applyFont="1"/>
    <xf numFmtId="0" fontId="49" fillId="0" borderId="0" xfId="4" applyFont="1"/>
    <xf numFmtId="0" fontId="51" fillId="0" borderId="0" xfId="4" applyFont="1"/>
    <xf numFmtId="0" fontId="22" fillId="0" borderId="17" xfId="4" applyFont="1" applyBorder="1" applyAlignment="1">
      <alignment horizontal="right"/>
    </xf>
    <xf numFmtId="0" fontId="22" fillId="0" borderId="131" xfId="4" applyFont="1" applyBorder="1" applyAlignment="1">
      <alignment horizontal="left"/>
    </xf>
    <xf numFmtId="0" fontId="22" fillId="0" borderId="131" xfId="4" quotePrefix="1" applyFont="1" applyBorder="1" applyAlignment="1">
      <alignment horizontal="left"/>
    </xf>
    <xf numFmtId="0" fontId="59" fillId="0" borderId="0" xfId="4" applyFont="1"/>
    <xf numFmtId="0" fontId="2" fillId="0" borderId="44" xfId="4" applyFont="1" applyBorder="1" applyAlignment="1">
      <alignment horizontal="center"/>
    </xf>
    <xf numFmtId="0" fontId="2" fillId="0" borderId="53" xfId="4" applyFont="1" applyBorder="1" applyAlignment="1">
      <alignment horizontal="center"/>
    </xf>
    <xf numFmtId="166" fontId="3" fillId="0" borderId="136" xfId="4" quotePrefix="1" applyNumberFormat="1" applyFont="1" applyBorder="1" applyAlignment="1">
      <alignment horizontal="center"/>
    </xf>
    <xf numFmtId="166" fontId="2" fillId="0" borderId="39" xfId="4" applyNumberFormat="1" applyFont="1" applyBorder="1" applyAlignment="1">
      <alignment horizontal="center"/>
    </xf>
    <xf numFmtId="166" fontId="2" fillId="0" borderId="28" xfId="4" applyNumberFormat="1" applyFont="1" applyBorder="1" applyAlignment="1">
      <alignment horizontal="center"/>
    </xf>
    <xf numFmtId="166" fontId="2" fillId="0" borderId="137" xfId="4" applyNumberFormat="1" applyFont="1" applyBorder="1" applyAlignment="1">
      <alignment horizontal="center"/>
    </xf>
    <xf numFmtId="166" fontId="3" fillId="0" borderId="138" xfId="4" quotePrefix="1" applyNumberFormat="1" applyFont="1" applyBorder="1" applyAlignment="1">
      <alignment horizontal="center"/>
    </xf>
    <xf numFmtId="166" fontId="2" fillId="0" borderId="131" xfId="4" applyNumberFormat="1" applyFont="1" applyBorder="1" applyAlignment="1">
      <alignment horizontal="center"/>
    </xf>
    <xf numFmtId="166" fontId="2" fillId="0" borderId="1" xfId="4" applyNumberFormat="1" applyFont="1" applyBorder="1" applyAlignment="1">
      <alignment horizontal="center"/>
    </xf>
    <xf numFmtId="166" fontId="2" fillId="0" borderId="9" xfId="4" applyNumberFormat="1" applyFont="1" applyBorder="1" applyAlignment="1">
      <alignment horizontal="center"/>
    </xf>
    <xf numFmtId="166" fontId="3" fillId="0" borderId="25" xfId="4" quotePrefix="1" applyNumberFormat="1" applyFont="1" applyBorder="1" applyAlignment="1">
      <alignment horizontal="center"/>
    </xf>
    <xf numFmtId="166" fontId="2" fillId="0" borderId="133" xfId="4" applyNumberFormat="1" applyFont="1" applyBorder="1" applyAlignment="1">
      <alignment horizontal="center"/>
    </xf>
    <xf numFmtId="166" fontId="2" fillId="0" borderId="11" xfId="4" applyNumberFormat="1" applyFont="1" applyBorder="1" applyAlignment="1">
      <alignment horizontal="center"/>
    </xf>
    <xf numFmtId="166" fontId="2" fillId="0" borderId="33" xfId="4" applyNumberFormat="1" applyFont="1" applyBorder="1" applyAlignment="1">
      <alignment horizontal="center"/>
    </xf>
    <xf numFmtId="171" fontId="61" fillId="0" borderId="6" xfId="5" applyFont="1" applyBorder="1" applyAlignment="1" applyProtection="1">
      <alignment horizontal="centerContinuous"/>
    </xf>
    <xf numFmtId="171" fontId="61" fillId="0" borderId="7" xfId="5" applyFont="1" applyBorder="1" applyAlignment="1">
      <alignment horizontal="centerContinuous"/>
    </xf>
    <xf numFmtId="171" fontId="62" fillId="0" borderId="12" xfId="5" applyFont="1" applyBorder="1" applyAlignment="1" applyProtection="1">
      <alignment horizontal="left"/>
    </xf>
    <xf numFmtId="171" fontId="63" fillId="0" borderId="54" xfId="5" applyFont="1" applyBorder="1"/>
    <xf numFmtId="171" fontId="62" fillId="0" borderId="13" xfId="5" applyFont="1" applyBorder="1" applyAlignment="1">
      <alignment horizontal="centerContinuous"/>
    </xf>
    <xf numFmtId="171" fontId="63" fillId="0" borderId="14" xfId="5" applyFont="1" applyBorder="1" applyAlignment="1">
      <alignment horizontal="centerContinuous"/>
    </xf>
    <xf numFmtId="171" fontId="64" fillId="0" borderId="0" xfId="5" applyFont="1"/>
    <xf numFmtId="171" fontId="60" fillId="0" borderId="0" xfId="5"/>
    <xf numFmtId="171" fontId="61" fillId="0" borderId="45" xfId="5" applyFont="1" applyBorder="1" applyAlignment="1" applyProtection="1">
      <alignment horizontal="centerContinuous"/>
    </xf>
    <xf numFmtId="171" fontId="61" fillId="0" borderId="0" xfId="5" applyFont="1" applyBorder="1" applyAlignment="1">
      <alignment horizontal="centerContinuous"/>
    </xf>
    <xf numFmtId="171" fontId="62" fillId="0" borderId="108" xfId="5" applyFont="1" applyBorder="1" applyAlignment="1" applyProtection="1">
      <alignment horizontal="left"/>
    </xf>
    <xf numFmtId="171" fontId="63" fillId="0" borderId="39" xfId="5" applyFont="1" applyBorder="1"/>
    <xf numFmtId="171" fontId="62" fillId="0" borderId="40" xfId="5" applyFont="1" applyBorder="1" applyAlignment="1" applyProtection="1">
      <alignment horizontal="centerContinuous"/>
    </xf>
    <xf numFmtId="171" fontId="63" fillId="0" borderId="29" xfId="5" applyFont="1" applyBorder="1" applyAlignment="1">
      <alignment horizontal="centerContinuous"/>
    </xf>
    <xf numFmtId="171" fontId="63" fillId="0" borderId="45" xfId="5" applyFont="1" applyBorder="1" applyAlignment="1">
      <alignment horizontal="centerContinuous"/>
    </xf>
    <xf numFmtId="171" fontId="63" fillId="0" borderId="0" xfId="5" applyFont="1" applyBorder="1" applyAlignment="1">
      <alignment horizontal="centerContinuous"/>
    </xf>
    <xf numFmtId="171" fontId="62" fillId="0" borderId="40" xfId="5" quotePrefix="1" applyFont="1" applyBorder="1" applyAlignment="1">
      <alignment horizontal="centerContinuous"/>
    </xf>
    <xf numFmtId="171" fontId="65" fillId="0" borderId="45" xfId="5" applyFont="1" applyBorder="1" applyAlignment="1" applyProtection="1">
      <alignment horizontal="centerContinuous"/>
    </xf>
    <xf numFmtId="171" fontId="62" fillId="0" borderId="40" xfId="5" quotePrefix="1" applyFont="1" applyBorder="1" applyAlignment="1" applyProtection="1">
      <alignment horizontal="centerContinuous"/>
    </xf>
    <xf numFmtId="171" fontId="64" fillId="0" borderId="45" xfId="5" applyFont="1" applyBorder="1" applyAlignment="1">
      <alignment horizontal="centerContinuous"/>
    </xf>
    <xf numFmtId="171" fontId="62" fillId="0" borderId="40" xfId="5" applyFont="1" applyBorder="1" applyAlignment="1">
      <alignment horizontal="centerContinuous"/>
    </xf>
    <xf numFmtId="171" fontId="64" fillId="0" borderId="46" xfId="5" applyFont="1" applyBorder="1" applyAlignment="1" applyProtection="1">
      <alignment horizontal="centerContinuous"/>
    </xf>
    <xf numFmtId="171" fontId="63" fillId="0" borderId="23" xfId="5" applyFont="1" applyBorder="1" applyAlignment="1">
      <alignment horizontal="centerContinuous"/>
    </xf>
    <xf numFmtId="171" fontId="62" fillId="0" borderId="46" xfId="5" applyFont="1" applyBorder="1" applyAlignment="1" applyProtection="1">
      <alignment horizontal="left"/>
    </xf>
    <xf numFmtId="171" fontId="63" fillId="0" borderId="48" xfId="5" applyFont="1" applyBorder="1"/>
    <xf numFmtId="171" fontId="66" fillId="0" borderId="23" xfId="5" applyFont="1" applyBorder="1" applyAlignment="1">
      <alignment horizontal="centerContinuous"/>
    </xf>
    <xf numFmtId="171" fontId="63" fillId="0" borderId="24" xfId="5" applyFont="1" applyBorder="1" applyAlignment="1">
      <alignment horizontal="centerContinuous"/>
    </xf>
    <xf numFmtId="171" fontId="64" fillId="0" borderId="0" xfId="5" applyFont="1" applyBorder="1" applyAlignment="1" applyProtection="1">
      <alignment horizontal="centerContinuous"/>
    </xf>
    <xf numFmtId="171" fontId="62" fillId="0" borderId="0" xfId="5" applyFont="1" applyBorder="1" applyAlignment="1" applyProtection="1">
      <alignment horizontal="left"/>
    </xf>
    <xf numFmtId="171" fontId="63" fillId="0" borderId="0" xfId="5" applyFont="1" applyBorder="1"/>
    <xf numFmtId="171" fontId="62" fillId="0" borderId="0" xfId="5" applyFont="1" applyBorder="1" applyAlignment="1">
      <alignment horizontal="centerContinuous"/>
    </xf>
    <xf numFmtId="171" fontId="67" fillId="0" borderId="0" xfId="5" applyFont="1"/>
    <xf numFmtId="171" fontId="67" fillId="0" borderId="0" xfId="5" applyFont="1" applyAlignment="1" applyProtection="1">
      <alignment horizontal="right"/>
    </xf>
    <xf numFmtId="171" fontId="67" fillId="0" borderId="0" xfId="5" applyFont="1" applyAlignment="1" applyProtection="1">
      <alignment horizontal="left"/>
      <protection locked="0"/>
    </xf>
    <xf numFmtId="171" fontId="67" fillId="0" borderId="0" xfId="5" applyFont="1" applyBorder="1" applyAlignment="1">
      <alignment horizontal="centerContinuous"/>
    </xf>
    <xf numFmtId="171" fontId="67" fillId="0" borderId="0" xfId="5" applyFont="1" applyBorder="1" applyAlignment="1" applyProtection="1">
      <alignment horizontal="left"/>
    </xf>
    <xf numFmtId="171" fontId="67" fillId="0" borderId="0" xfId="5" applyFont="1" applyBorder="1"/>
    <xf numFmtId="171" fontId="67" fillId="0" borderId="0" xfId="5" quotePrefix="1" applyFont="1" applyAlignment="1" applyProtection="1">
      <alignment horizontal="left"/>
      <protection locked="0"/>
    </xf>
    <xf numFmtId="171" fontId="63" fillId="0" borderId="0" xfId="5" applyFont="1"/>
    <xf numFmtId="171" fontId="68" fillId="0" borderId="139" xfId="5" applyFont="1" applyBorder="1" applyAlignment="1" applyProtection="1">
      <alignment horizontal="centerContinuous"/>
    </xf>
    <xf numFmtId="171" fontId="64" fillId="0" borderId="140" xfId="5" applyFont="1" applyBorder="1" applyAlignment="1">
      <alignment horizontal="centerContinuous"/>
    </xf>
    <xf numFmtId="171" fontId="64" fillId="0" borderId="141" xfId="5" applyFont="1" applyBorder="1" applyAlignment="1">
      <alignment horizontal="centerContinuous"/>
    </xf>
    <xf numFmtId="171" fontId="67" fillId="0" borderId="45" xfId="5" applyFont="1" applyBorder="1"/>
    <xf numFmtId="171" fontId="67" fillId="0" borderId="0" xfId="5" applyFont="1" applyBorder="1" applyAlignment="1" applyProtection="1">
      <alignment horizontal="right"/>
    </xf>
    <xf numFmtId="171" fontId="67" fillId="0" borderId="0" xfId="5" applyFont="1" applyBorder="1" applyAlignment="1" applyProtection="1">
      <alignment horizontal="center"/>
      <protection locked="0"/>
    </xf>
    <xf numFmtId="171" fontId="67" fillId="0" borderId="21" xfId="5" applyFont="1" applyBorder="1" applyAlignment="1" applyProtection="1">
      <alignment horizontal="center"/>
      <protection locked="0"/>
    </xf>
    <xf numFmtId="171" fontId="62" fillId="0" borderId="0" xfId="5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right"/>
    </xf>
    <xf numFmtId="171" fontId="67" fillId="0" borderId="0" xfId="5" quotePrefix="1" applyFont="1" applyBorder="1" applyAlignment="1" applyProtection="1">
      <alignment horizontal="center"/>
      <protection locked="0"/>
    </xf>
    <xf numFmtId="171" fontId="67" fillId="0" borderId="0" xfId="5" applyFont="1" applyBorder="1" applyAlignment="1" applyProtection="1">
      <alignment horizontal="left"/>
      <protection locked="0"/>
    </xf>
    <xf numFmtId="171" fontId="67" fillId="0" borderId="0" xfId="5" applyFont="1" applyBorder="1" applyAlignment="1">
      <alignment horizontal="center"/>
    </xf>
    <xf numFmtId="171" fontId="67" fillId="0" borderId="21" xfId="5" applyFont="1" applyBorder="1"/>
    <xf numFmtId="171" fontId="67" fillId="0" borderId="46" xfId="5" applyFont="1" applyBorder="1"/>
    <xf numFmtId="171" fontId="67" fillId="0" borderId="23" xfId="5" applyFont="1" applyBorder="1" applyAlignment="1" applyProtection="1">
      <alignment horizontal="right"/>
    </xf>
    <xf numFmtId="166" fontId="67" fillId="0" borderId="23" xfId="5" quotePrefix="1" applyNumberFormat="1" applyFont="1" applyBorder="1" applyAlignment="1" applyProtection="1">
      <alignment horizontal="center"/>
      <protection locked="0"/>
    </xf>
    <xf numFmtId="171" fontId="67" fillId="0" borderId="23" xfId="5" applyFont="1" applyBorder="1"/>
    <xf numFmtId="171" fontId="67" fillId="0" borderId="23" xfId="5" applyFont="1" applyBorder="1" applyAlignment="1">
      <alignment horizontal="right"/>
    </xf>
    <xf numFmtId="166" fontId="67" fillId="0" borderId="23" xfId="5" applyNumberFormat="1" applyFont="1" applyBorder="1" applyProtection="1"/>
    <xf numFmtId="171" fontId="67" fillId="0" borderId="24" xfId="5" applyFont="1" applyBorder="1"/>
    <xf numFmtId="171" fontId="69" fillId="0" borderId="45" xfId="5" quotePrefix="1" applyFont="1" applyBorder="1" applyAlignment="1">
      <alignment horizontal="left"/>
    </xf>
    <xf numFmtId="171" fontId="63" fillId="0" borderId="0" xfId="5" quotePrefix="1" applyFont="1" applyBorder="1" applyAlignment="1" applyProtection="1">
      <alignment horizontal="right"/>
    </xf>
    <xf numFmtId="171" fontId="63" fillId="0" borderId="107" xfId="5" applyFont="1" applyBorder="1"/>
    <xf numFmtId="171" fontId="69" fillId="0" borderId="0" xfId="5" applyFont="1" applyBorder="1" applyAlignment="1" applyProtection="1">
      <alignment horizontal="left"/>
    </xf>
    <xf numFmtId="171" fontId="63" fillId="0" borderId="0" xfId="5" applyFont="1" applyBorder="1" applyAlignment="1" applyProtection="1">
      <alignment horizontal="right"/>
    </xf>
    <xf numFmtId="171" fontId="63" fillId="0" borderId="107" xfId="5" applyFont="1" applyBorder="1" applyAlignment="1" applyProtection="1">
      <alignment horizontal="right"/>
    </xf>
    <xf numFmtId="171" fontId="69" fillId="0" borderId="0" xfId="5" quotePrefix="1" applyFont="1" applyBorder="1" applyAlignment="1" applyProtection="1">
      <alignment horizontal="left"/>
    </xf>
    <xf numFmtId="171" fontId="63" fillId="0" borderId="0" xfId="5" applyFont="1" applyBorder="1" applyAlignment="1">
      <alignment horizontal="right"/>
    </xf>
    <xf numFmtId="171" fontId="63" fillId="0" borderId="21" xfId="5" applyFont="1" applyBorder="1"/>
    <xf numFmtId="171" fontId="60" fillId="0" borderId="45" xfId="5" applyBorder="1"/>
    <xf numFmtId="171" fontId="67" fillId="0" borderId="0" xfId="5" applyFont="1" applyBorder="1" applyAlignment="1">
      <alignment horizontal="right"/>
    </xf>
    <xf numFmtId="171" fontId="67" fillId="0" borderId="107" xfId="5" applyFont="1" applyBorder="1" applyAlignment="1" applyProtection="1">
      <alignment horizontal="center"/>
      <protection locked="0"/>
    </xf>
    <xf numFmtId="1" fontId="67" fillId="0" borderId="107" xfId="5" applyNumberFormat="1" applyFont="1" applyBorder="1" applyAlignment="1">
      <alignment horizontal="center"/>
    </xf>
    <xf numFmtId="171" fontId="67" fillId="0" borderId="0" xfId="5" applyFont="1" applyBorder="1" applyAlignment="1">
      <alignment horizontal="left"/>
    </xf>
    <xf numFmtId="171" fontId="67" fillId="0" borderId="107" xfId="5" applyFont="1" applyBorder="1"/>
    <xf numFmtId="171" fontId="67" fillId="0" borderId="48" xfId="5" applyFont="1" applyBorder="1"/>
    <xf numFmtId="171" fontId="67" fillId="0" borderId="48" xfId="5" applyFont="1" applyBorder="1" applyAlignment="1">
      <alignment horizontal="left"/>
    </xf>
    <xf numFmtId="171" fontId="64" fillId="0" borderId="0" xfId="5" applyFont="1" applyBorder="1" applyAlignment="1">
      <alignment horizontal="centerContinuous"/>
    </xf>
    <xf numFmtId="171" fontId="64" fillId="0" borderId="0" xfId="5" applyFont="1" applyBorder="1"/>
    <xf numFmtId="171" fontId="68" fillId="0" borderId="142" xfId="5" applyFont="1" applyBorder="1" applyAlignment="1" applyProtection="1">
      <alignment horizontal="centerContinuous"/>
    </xf>
    <xf numFmtId="171" fontId="64" fillId="0" borderId="143" xfId="5" applyFont="1" applyBorder="1" applyAlignment="1">
      <alignment horizontal="centerContinuous"/>
    </xf>
    <xf numFmtId="171" fontId="60" fillId="0" borderId="144" xfId="5" applyBorder="1"/>
    <xf numFmtId="171" fontId="64" fillId="0" borderId="145" xfId="5" applyFont="1" applyBorder="1" applyAlignment="1">
      <alignment horizontal="centerContinuous"/>
    </xf>
    <xf numFmtId="171" fontId="69" fillId="0" borderId="45" xfId="5" applyFont="1" applyBorder="1" applyAlignment="1">
      <alignment horizontal="left"/>
    </xf>
    <xf numFmtId="171" fontId="60" fillId="0" borderId="107" xfId="5" applyBorder="1"/>
    <xf numFmtId="166" fontId="67" fillId="0" borderId="0" xfId="5" applyNumberFormat="1" applyFont="1" applyBorder="1" applyAlignment="1" applyProtection="1">
      <alignment horizontal="center"/>
      <protection locked="0"/>
    </xf>
    <xf numFmtId="171" fontId="67" fillId="0" borderId="45" xfId="5" applyFont="1" applyBorder="1" applyAlignment="1">
      <alignment horizontal="left"/>
    </xf>
    <xf numFmtId="171" fontId="60" fillId="0" borderId="48" xfId="5" applyBorder="1"/>
    <xf numFmtId="171" fontId="64" fillId="0" borderId="0" xfId="5" applyFont="1" applyBorder="1" applyAlignment="1">
      <alignment horizontal="left"/>
    </xf>
    <xf numFmtId="171" fontId="64" fillId="0" borderId="0" xfId="5" applyFont="1" applyAlignment="1">
      <alignment horizontal="left"/>
    </xf>
    <xf numFmtId="171" fontId="64" fillId="0" borderId="142" xfId="5" applyFont="1" applyBorder="1"/>
    <xf numFmtId="171" fontId="63" fillId="0" borderId="143" xfId="5" applyFont="1" applyBorder="1" applyAlignment="1">
      <alignment horizontal="left"/>
    </xf>
    <xf numFmtId="171" fontId="63" fillId="0" borderId="145" xfId="5" applyFont="1" applyBorder="1" applyAlignment="1">
      <alignment horizontal="left"/>
    </xf>
    <xf numFmtId="171" fontId="67" fillId="0" borderId="45" xfId="5" quotePrefix="1" applyFont="1" applyBorder="1" applyAlignment="1">
      <alignment horizontal="left"/>
    </xf>
    <xf numFmtId="171" fontId="67" fillId="0" borderId="21" xfId="5" applyFont="1" applyBorder="1" applyAlignment="1">
      <alignment horizontal="left"/>
    </xf>
    <xf numFmtId="171" fontId="70" fillId="0" borderId="146" xfId="5" applyFont="1" applyBorder="1"/>
    <xf numFmtId="171" fontId="67" fillId="0" borderId="0" xfId="5" quotePrefix="1" applyFont="1" applyBorder="1" applyAlignment="1" applyProtection="1">
      <alignment horizontal="left"/>
    </xf>
    <xf numFmtId="171" fontId="67" fillId="0" borderId="147" xfId="5" quotePrefix="1" applyFont="1" applyBorder="1" applyAlignment="1" applyProtection="1">
      <alignment horizontal="left"/>
    </xf>
    <xf numFmtId="171" fontId="67" fillId="0" borderId="148" xfId="5" quotePrefix="1" applyFont="1" applyBorder="1" applyAlignment="1">
      <alignment horizontal="left"/>
    </xf>
    <xf numFmtId="171" fontId="67" fillId="0" borderId="46" xfId="5" applyFont="1" applyBorder="1" applyAlignment="1">
      <alignment horizontal="left"/>
    </xf>
    <xf numFmtId="171" fontId="67" fillId="0" borderId="23" xfId="5" applyFont="1" applyBorder="1" applyAlignment="1">
      <alignment horizontal="left"/>
    </xf>
    <xf numFmtId="171" fontId="67" fillId="0" borderId="24" xfId="5" applyFont="1" applyBorder="1" applyAlignment="1">
      <alignment horizontal="left"/>
    </xf>
    <xf numFmtId="171" fontId="63" fillId="0" borderId="0" xfId="5" applyFont="1" applyAlignment="1">
      <alignment horizontal="left"/>
    </xf>
    <xf numFmtId="171" fontId="71" fillId="0" borderId="0" xfId="5" applyFont="1" applyAlignment="1" applyProtection="1">
      <alignment horizontal="right"/>
    </xf>
    <xf numFmtId="171" fontId="60" fillId="0" borderId="0" xfId="5" applyAlignment="1">
      <alignment horizontal="right"/>
    </xf>
    <xf numFmtId="171" fontId="60" fillId="0" borderId="0" xfId="5" applyBorder="1"/>
    <xf numFmtId="0" fontId="3" fillId="0" borderId="0" xfId="0" applyFont="1" applyBorder="1"/>
    <xf numFmtId="2" fontId="2" fillId="0" borderId="0" xfId="0" applyNumberFormat="1" applyFont="1" applyBorder="1" applyAlignment="1">
      <alignment horizontal="center"/>
    </xf>
    <xf numFmtId="0" fontId="21" fillId="2" borderId="67" xfId="1" applyFont="1" applyFill="1" applyBorder="1" applyAlignment="1">
      <alignment horizontal="left"/>
    </xf>
    <xf numFmtId="0" fontId="21" fillId="2" borderId="124" xfId="1" applyFont="1" applyFill="1" applyBorder="1" applyAlignment="1">
      <alignment horizontal="left"/>
    </xf>
    <xf numFmtId="0" fontId="51" fillId="0" borderId="82" xfId="4" applyFont="1" applyBorder="1"/>
    <xf numFmtId="0" fontId="51" fillId="0" borderId="0" xfId="4" applyFont="1" applyBorder="1"/>
    <xf numFmtId="0" fontId="51" fillId="0" borderId="107" xfId="4" applyFont="1" applyBorder="1"/>
    <xf numFmtId="0" fontId="49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14" fontId="51" fillId="0" borderId="1" xfId="4" applyNumberFormat="1" applyFont="1" applyBorder="1" applyAlignment="1">
      <alignment horizontal="center"/>
    </xf>
    <xf numFmtId="0" fontId="49" fillId="0" borderId="0" xfId="4" applyFont="1" applyBorder="1" applyAlignment="1">
      <alignment horizontal="right"/>
    </xf>
    <xf numFmtId="0" fontId="51" fillId="0" borderId="0" xfId="4" applyFont="1" applyBorder="1" applyAlignment="1">
      <alignment horizontal="center"/>
    </xf>
    <xf numFmtId="9" fontId="51" fillId="0" borderId="0" xfId="4" applyNumberFormat="1" applyFont="1" applyBorder="1" applyAlignment="1">
      <alignment horizontal="center"/>
    </xf>
    <xf numFmtId="0" fontId="49" fillId="0" borderId="82" xfId="4" applyFont="1" applyBorder="1" applyAlignment="1">
      <alignment horizontal="right"/>
    </xf>
    <xf numFmtId="0" fontId="51" fillId="0" borderId="40" xfId="4" applyFont="1" applyBorder="1"/>
    <xf numFmtId="0" fontId="51" fillId="0" borderId="39" xfId="4" applyFont="1" applyBorder="1" applyAlignment="1">
      <alignment horizontal="center"/>
    </xf>
    <xf numFmtId="0" fontId="51" fillId="0" borderId="84" xfId="4" applyFont="1" applyBorder="1"/>
    <xf numFmtId="0" fontId="49" fillId="0" borderId="17" xfId="4" applyFont="1" applyBorder="1" applyAlignment="1">
      <alignment horizontal="right"/>
    </xf>
    <xf numFmtId="0" fontId="51" fillId="0" borderId="131" xfId="4" applyFont="1" applyBorder="1"/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19" fillId="0" borderId="38" xfId="1" applyFont="1" applyFill="1" applyBorder="1" applyAlignment="1">
      <alignment horizontal="left"/>
    </xf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66" fontId="30" fillId="2" borderId="64" xfId="1" applyNumberFormat="1" applyFont="1" applyFill="1" applyBorder="1" applyAlignment="1">
      <alignment horizontal="center"/>
    </xf>
    <xf numFmtId="166" fontId="30" fillId="2" borderId="65" xfId="1" applyNumberFormat="1" applyFont="1" applyFill="1" applyBorder="1" applyAlignment="1">
      <alignment horizontal="center"/>
    </xf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30" fillId="0" borderId="91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30" fillId="0" borderId="64" xfId="1" applyFont="1" applyFill="1" applyBorder="1" applyAlignment="1">
      <alignment horizontal="center"/>
    </xf>
    <xf numFmtId="168" fontId="30" fillId="2" borderId="64" xfId="1" applyNumberFormat="1" applyFont="1" applyFill="1" applyBorder="1" applyAlignment="1">
      <alignment horizontal="center"/>
    </xf>
    <xf numFmtId="168" fontId="30" fillId="2" borderId="65" xfId="1" applyNumberFormat="1" applyFont="1" applyFill="1" applyBorder="1" applyAlignment="1">
      <alignment horizontal="center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166" fontId="30" fillId="0" borderId="64" xfId="1" applyNumberFormat="1" applyFont="1" applyFill="1" applyBorder="1" applyAlignment="1">
      <alignment horizontal="center"/>
    </xf>
    <xf numFmtId="166" fontId="30" fillId="0" borderId="65" xfId="1" applyNumberFormat="1" applyFont="1" applyFill="1" applyBorder="1" applyAlignment="1">
      <alignment horizontal="center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15" fillId="0" borderId="0" xfId="1" applyFont="1" applyAlignment="1">
      <alignment horizontal="center"/>
    </xf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2" xfId="3" applyNumberFormat="1" applyBorder="1" applyAlignment="1">
      <alignment horizontal="center"/>
    </xf>
    <xf numFmtId="169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52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0" fontId="4" fillId="0" borderId="135" xfId="4" applyFont="1" applyBorder="1" applyAlignment="1">
      <alignment horizontal="right"/>
    </xf>
    <xf numFmtId="0" fontId="4" fillId="0" borderId="132" xfId="4" applyFont="1" applyBorder="1" applyAlignment="1">
      <alignment horizontal="right"/>
    </xf>
    <xf numFmtId="0" fontId="22" fillId="0" borderId="132" xfId="4" applyFont="1" applyBorder="1" applyAlignment="1">
      <alignment horizontal="center"/>
    </xf>
    <xf numFmtId="0" fontId="22" fillId="0" borderId="36" xfId="4" applyFont="1" applyBorder="1" applyAlignment="1">
      <alignment horizontal="center"/>
    </xf>
    <xf numFmtId="0" fontId="22" fillId="0" borderId="37" xfId="4" applyFont="1" applyBorder="1" applyAlignment="1">
      <alignment horizontal="center"/>
    </xf>
    <xf numFmtId="0" fontId="22" fillId="0" borderId="46" xfId="4" applyFont="1" applyBorder="1" applyAlignment="1">
      <alignment horizontal="center"/>
    </xf>
    <xf numFmtId="0" fontId="22" fillId="0" borderId="23" xfId="4" applyFont="1" applyBorder="1" applyAlignment="1">
      <alignment horizontal="center"/>
    </xf>
    <xf numFmtId="0" fontId="22" fillId="0" borderId="24" xfId="4" applyFont="1" applyBorder="1" applyAlignment="1">
      <alignment horizontal="center"/>
    </xf>
    <xf numFmtId="0" fontId="49" fillId="0" borderId="12" xfId="4" applyFont="1" applyBorder="1" applyAlignment="1">
      <alignment horizontal="left"/>
    </xf>
    <xf numFmtId="0" fontId="49" fillId="0" borderId="13" xfId="4" applyFont="1" applyBorder="1" applyAlignment="1">
      <alignment horizontal="left"/>
    </xf>
    <xf numFmtId="0" fontId="49" fillId="0" borderId="14" xfId="4" applyFont="1" applyBorder="1" applyAlignment="1">
      <alignment horizontal="left"/>
    </xf>
    <xf numFmtId="0" fontId="50" fillId="0" borderId="60" xfId="4" applyFont="1" applyBorder="1" applyAlignment="1">
      <alignment horizontal="center"/>
    </xf>
    <xf numFmtId="0" fontId="1" fillId="0" borderId="27" xfId="4" applyBorder="1" applyAlignment="1">
      <alignment horizontal="center"/>
    </xf>
    <xf numFmtId="0" fontId="22" fillId="0" borderId="134" xfId="4" applyFont="1" applyBorder="1" applyAlignment="1">
      <alignment horizontal="center"/>
    </xf>
    <xf numFmtId="0" fontId="22" fillId="0" borderId="61" xfId="4" applyFont="1" applyBorder="1" applyAlignment="1">
      <alignment horizontal="center"/>
    </xf>
    <xf numFmtId="0" fontId="22" fillId="0" borderId="27" xfId="4" applyFont="1" applyBorder="1" applyAlignment="1">
      <alignment horizontal="center"/>
    </xf>
    <xf numFmtId="0" fontId="50" fillId="0" borderId="101" xfId="4" applyFont="1" applyBorder="1" applyAlignment="1">
      <alignment horizontal="right"/>
    </xf>
    <xf numFmtId="0" fontId="50" fillId="0" borderId="61" xfId="4" applyFont="1" applyBorder="1" applyAlignment="1">
      <alignment horizontal="right"/>
    </xf>
    <xf numFmtId="0" fontId="50" fillId="0" borderId="46" xfId="4" applyFont="1" applyBorder="1" applyAlignment="1">
      <alignment horizontal="right"/>
    </xf>
    <xf numFmtId="0" fontId="50" fillId="0" borderId="23" xfId="4" applyFont="1" applyBorder="1" applyAlignment="1">
      <alignment horizontal="right"/>
    </xf>
    <xf numFmtId="0" fontId="15" fillId="0" borderId="0" xfId="4" applyFont="1" applyAlignment="1">
      <alignment horizontal="center"/>
    </xf>
    <xf numFmtId="0" fontId="6" fillId="0" borderId="0" xfId="4" applyFont="1" applyBorder="1" applyAlignment="1">
      <alignment horizontal="center"/>
    </xf>
    <xf numFmtId="0" fontId="22" fillId="0" borderId="60" xfId="4" applyFont="1" applyBorder="1" applyAlignment="1">
      <alignment horizontal="center"/>
    </xf>
    <xf numFmtId="0" fontId="50" fillId="0" borderId="101" xfId="4" applyFont="1" applyBorder="1" applyAlignment="1">
      <alignment horizontal="center"/>
    </xf>
    <xf numFmtId="0" fontId="50" fillId="0" borderId="61" xfId="4" applyFont="1" applyBorder="1" applyAlignment="1">
      <alignment horizontal="center"/>
    </xf>
    <xf numFmtId="0" fontId="50" fillId="0" borderId="27" xfId="4" applyFont="1" applyBorder="1" applyAlignment="1">
      <alignment horizontal="center"/>
    </xf>
    <xf numFmtId="0" fontId="51" fillId="0" borderId="17" xfId="4" applyFont="1" applyBorder="1" applyAlignment="1">
      <alignment horizontal="center"/>
    </xf>
    <xf numFmtId="0" fontId="51" fillId="0" borderId="130" xfId="4" applyFont="1" applyBorder="1" applyAlignment="1">
      <alignment horizontal="center"/>
    </xf>
    <xf numFmtId="0" fontId="51" fillId="0" borderId="131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22" fillId="0" borderId="0" xfId="4" applyFont="1" applyAlignment="1">
      <alignment horizontal="center"/>
    </xf>
    <xf numFmtId="0" fontId="54" fillId="0" borderId="0" xfId="4" applyFont="1" applyAlignment="1">
      <alignment horizontal="right"/>
    </xf>
    <xf numFmtId="0" fontId="48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0" fillId="0" borderId="17" xfId="4" applyFont="1" applyBorder="1" applyAlignment="1">
      <alignment horizontal="center"/>
    </xf>
    <xf numFmtId="0" fontId="53" fillId="0" borderId="82" xfId="4" applyFont="1" applyBorder="1" applyAlignment="1">
      <alignment horizontal="center"/>
    </xf>
    <xf numFmtId="0" fontId="53" fillId="0" borderId="0" xfId="4" applyFont="1" applyBorder="1" applyAlignment="1">
      <alignment horizontal="center"/>
    </xf>
    <xf numFmtId="0" fontId="53" fillId="0" borderId="107" xfId="4" applyFont="1" applyBorder="1" applyAlignment="1">
      <alignment horizontal="center"/>
    </xf>
    <xf numFmtId="0" fontId="55" fillId="0" borderId="82" xfId="4" applyFont="1" applyBorder="1" applyAlignment="1">
      <alignment horizontal="center"/>
    </xf>
    <xf numFmtId="0" fontId="55" fillId="0" borderId="0" xfId="4" applyFont="1" applyBorder="1" applyAlignment="1">
      <alignment horizontal="center"/>
    </xf>
    <xf numFmtId="0" fontId="55" fillId="0" borderId="107" xfId="4" applyFont="1" applyBorder="1" applyAlignment="1">
      <alignment horizontal="center"/>
    </xf>
    <xf numFmtId="0" fontId="48" fillId="0" borderId="1" xfId="4" applyFont="1" applyBorder="1" applyAlignment="1">
      <alignment horizontal="right"/>
    </xf>
    <xf numFmtId="0" fontId="48" fillId="0" borderId="131" xfId="4" applyFont="1" applyBorder="1" applyAlignment="1">
      <alignment horizontal="center"/>
    </xf>
    <xf numFmtId="0" fontId="58" fillId="0" borderId="0" xfId="4" applyFont="1" applyAlignment="1">
      <alignment horizontal="center"/>
    </xf>
    <xf numFmtId="171" fontId="67" fillId="0" borderId="0" xfId="5" applyFont="1" applyBorder="1" applyAlignment="1">
      <alignment horizontal="center"/>
    </xf>
    <xf numFmtId="171" fontId="67" fillId="0" borderId="21" xfId="5" applyFont="1" applyBorder="1" applyAlignment="1">
      <alignment horizontal="center"/>
    </xf>
    <xf numFmtId="171" fontId="72" fillId="0" borderId="149" xfId="5" applyFont="1" applyBorder="1" applyAlignment="1" applyProtection="1">
      <alignment horizontal="center"/>
      <protection locked="0"/>
    </xf>
    <xf numFmtId="14" fontId="14" fillId="0" borderId="149" xfId="5" quotePrefix="1" applyNumberFormat="1" applyFont="1" applyBorder="1" applyAlignment="1" applyProtection="1">
      <alignment horizontal="center"/>
      <protection locked="0"/>
    </xf>
  </cellXfs>
  <cellStyles count="9">
    <cellStyle name="Normal" xfId="0" builtinId="0"/>
    <cellStyle name="Normal 2" xfId="1"/>
    <cellStyle name="Normal 3" xfId="4"/>
    <cellStyle name="Normal 3 2" xfId="8"/>
    <cellStyle name="Normal 3 3" xfId="7"/>
    <cellStyle name="Normal 4" xfId="5"/>
    <cellStyle name="Normal 5" xfId="6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107.98311947000265</c:v>
                </c:pt>
                <c:pt idx="2">
                  <c:v>230</c:v>
                </c:pt>
                <c:pt idx="3">
                  <c:v>136.86865234264729</c:v>
                </c:pt>
                <c:pt idx="4">
                  <c:v>109.29465770434577</c:v>
                </c:pt>
                <c:pt idx="5">
                  <c:v>96.734207192465959</c:v>
                </c:pt>
                <c:pt idx="6">
                  <c:v>88.902140215754031</c:v>
                </c:pt>
                <c:pt idx="7">
                  <c:v>85.233608408300142</c:v>
                </c:pt>
                <c:pt idx="8">
                  <c:v>83.082776772848618</c:v>
                </c:pt>
                <c:pt idx="9">
                  <c:v>81.754339982393248</c:v>
                </c:pt>
                <c:pt idx="10">
                  <c:v>80.933132670271405</c:v>
                </c:pt>
                <c:pt idx="11">
                  <c:v>80.438436060665069</c:v>
                </c:pt>
                <c:pt idx="12">
                  <c:v>80.154655644963682</c:v>
                </c:pt>
                <c:pt idx="13">
                  <c:v>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323136"/>
        <c:axId val="29532505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0.25188103318214417</c:v>
                </c:pt>
                <c:pt idx="1">
                  <c:v>118.97451019287109</c:v>
                </c:pt>
                <c:pt idx="2">
                  <c:v>374.52499389648438</c:v>
                </c:pt>
                <c:pt idx="3">
                  <c:v>452.07351684570312</c:v>
                </c:pt>
                <c:pt idx="4">
                  <c:v>476.8587646484375</c:v>
                </c:pt>
                <c:pt idx="5">
                  <c:v>490.3087158203125</c:v>
                </c:pt>
                <c:pt idx="6">
                  <c:v>508.67672729492187</c:v>
                </c:pt>
                <c:pt idx="7">
                  <c:v>522.804931640625</c:v>
                </c:pt>
                <c:pt idx="8">
                  <c:v>534.22894287109375</c:v>
                </c:pt>
                <c:pt idx="9">
                  <c:v>543.52783203125</c:v>
                </c:pt>
                <c:pt idx="10">
                  <c:v>550.87640380859375</c:v>
                </c:pt>
                <c:pt idx="11">
                  <c:v>556.6412353515625</c:v>
                </c:pt>
                <c:pt idx="12">
                  <c:v>561.42144775390625</c:v>
                </c:pt>
                <c:pt idx="13">
                  <c:v>565.45452880859375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331328"/>
        <c:axId val="295332864"/>
      </c:scatterChart>
      <c:valAx>
        <c:axId val="29532313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5325056"/>
        <c:crossesAt val="0"/>
        <c:crossBetween val="midCat"/>
        <c:majorUnit val="0.2"/>
        <c:minorUnit val="0.2"/>
      </c:valAx>
      <c:valAx>
        <c:axId val="29532505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5323136"/>
        <c:crosses val="max"/>
        <c:crossBetween val="midCat"/>
        <c:majorUnit val="50"/>
        <c:minorUnit val="50"/>
      </c:valAx>
      <c:valAx>
        <c:axId val="29533132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295332864"/>
        <c:crosses val="autoZero"/>
        <c:crossBetween val="midCat"/>
      </c:valAx>
      <c:valAx>
        <c:axId val="29533286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9533132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107.98311947000265</c:v>
                </c:pt>
                <c:pt idx="2">
                  <c:v>230</c:v>
                </c:pt>
                <c:pt idx="3">
                  <c:v>136.86865234264729</c:v>
                </c:pt>
                <c:pt idx="4">
                  <c:v>109.29465770434577</c:v>
                </c:pt>
                <c:pt idx="5">
                  <c:v>96.734207192465959</c:v>
                </c:pt>
                <c:pt idx="6">
                  <c:v>88.902140215754031</c:v>
                </c:pt>
                <c:pt idx="7">
                  <c:v>85.233608408300142</c:v>
                </c:pt>
                <c:pt idx="8">
                  <c:v>83.082776772848618</c:v>
                </c:pt>
                <c:pt idx="9">
                  <c:v>81.754339982393248</c:v>
                </c:pt>
                <c:pt idx="10">
                  <c:v>80.933132670271405</c:v>
                </c:pt>
                <c:pt idx="11">
                  <c:v>80.438436060665069</c:v>
                </c:pt>
                <c:pt idx="12">
                  <c:v>80.154655644963682</c:v>
                </c:pt>
                <c:pt idx="13">
                  <c:v>80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697728"/>
        <c:axId val="28669990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93.789473548531532</c:v>
                </c:pt>
                <c:pt idx="4">
                  <c:v>88.578946888446808</c:v>
                </c:pt>
                <c:pt idx="5">
                  <c:v>83.368420600891113</c:v>
                </c:pt>
                <c:pt idx="6">
                  <c:v>72.947368025779724</c:v>
                </c:pt>
                <c:pt idx="7">
                  <c:v>62.526315450668335</c:v>
                </c:pt>
                <c:pt idx="8">
                  <c:v>52.105262875556946</c:v>
                </c:pt>
                <c:pt idx="9">
                  <c:v>41.684210300445557</c:v>
                </c:pt>
                <c:pt idx="10">
                  <c:v>31.263160705566406</c:v>
                </c:pt>
                <c:pt idx="11">
                  <c:v>20.842105150222778</c:v>
                </c:pt>
                <c:pt idx="12">
                  <c:v>10.421055555343628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0.25188103318214417</c:v>
                </c:pt>
                <c:pt idx="1">
                  <c:v>118.97451019287109</c:v>
                </c:pt>
                <c:pt idx="2">
                  <c:v>374.52499389648438</c:v>
                </c:pt>
                <c:pt idx="3">
                  <c:v>452.07351684570312</c:v>
                </c:pt>
                <c:pt idx="4">
                  <c:v>476.8587646484375</c:v>
                </c:pt>
                <c:pt idx="5">
                  <c:v>490.3087158203125</c:v>
                </c:pt>
                <c:pt idx="6">
                  <c:v>508.67672729492187</c:v>
                </c:pt>
                <c:pt idx="7">
                  <c:v>522.804931640625</c:v>
                </c:pt>
                <c:pt idx="8">
                  <c:v>534.22894287109375</c:v>
                </c:pt>
                <c:pt idx="9">
                  <c:v>543.52783203125</c:v>
                </c:pt>
                <c:pt idx="10">
                  <c:v>550.87640380859375</c:v>
                </c:pt>
                <c:pt idx="11">
                  <c:v>556.6412353515625</c:v>
                </c:pt>
                <c:pt idx="12">
                  <c:v>561.42144775390625</c:v>
                </c:pt>
                <c:pt idx="13">
                  <c:v>565.45452880859375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701824"/>
        <c:axId val="286715904"/>
      </c:scatterChart>
      <c:valAx>
        <c:axId val="286697728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86699904"/>
        <c:crosses val="autoZero"/>
        <c:crossBetween val="midCat"/>
        <c:majorUnit val="20"/>
        <c:minorUnit val="20"/>
      </c:valAx>
      <c:valAx>
        <c:axId val="2866999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86697728"/>
        <c:crosses val="autoZero"/>
        <c:crossBetween val="midCat"/>
      </c:valAx>
      <c:valAx>
        <c:axId val="2867018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86715904"/>
        <c:crosses val="autoZero"/>
        <c:crossBetween val="midCat"/>
      </c:valAx>
      <c:valAx>
        <c:axId val="28671590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86701824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1572040333"/>
          <c:y val="0.94106543716255997"/>
          <c:w val="0.30526371045724543"/>
          <c:h val="4.1825095057034245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565.4545454545455</c:v>
                </c:pt>
                <c:pt idx="1">
                  <c:v>494.31014545454548</c:v>
                </c:pt>
                <c:pt idx="2">
                  <c:v>423.14440000000002</c:v>
                </c:pt>
                <c:pt idx="3">
                  <c:v>352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45.799885786332069</c:v>
                </c:pt>
                <c:pt idx="2">
                  <c:v>62.500896676130907</c:v>
                </c:pt>
                <c:pt idx="3">
                  <c:v>90.318791194249044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565.4545454545455</c:v>
                </c:pt>
                <c:pt idx="1">
                  <c:v>494.31014545454548</c:v>
                </c:pt>
                <c:pt idx="2">
                  <c:v>423.14440000000002</c:v>
                </c:pt>
                <c:pt idx="3">
                  <c:v>352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19.628522479856603</c:v>
                </c:pt>
                <c:pt idx="2">
                  <c:v>26.786098575484676</c:v>
                </c:pt>
                <c:pt idx="3">
                  <c:v>38.708053368963874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252</c:v>
                </c:pt>
                <c:pt idx="1">
                  <c:v>152</c:v>
                </c:pt>
                <c:pt idx="2">
                  <c:v>230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90.663187989189012</c:v>
                </c:pt>
                <c:pt idx="3">
                  <c:v>148.02724211815121</c:v>
                </c:pt>
                <c:pt idx="4">
                  <c:v>228.11332435805468</c:v>
                </c:pt>
                <c:pt idx="5" formatCode="0">
                  <c:v>500</c:v>
                </c:pt>
                <c:pt idx="6" formatCode="0">
                  <c:v>1000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565.4545454545455</c:v>
                </c:pt>
                <c:pt idx="1">
                  <c:v>563.45454545454538</c:v>
                </c:pt>
                <c:pt idx="2">
                  <c:v>559.04545454545462</c:v>
                </c:pt>
                <c:pt idx="3">
                  <c:v>553.77272727272725</c:v>
                </c:pt>
                <c:pt idx="4">
                  <c:v>547.18181818181813</c:v>
                </c:pt>
                <c:pt idx="5">
                  <c:v>538.86363636363637</c:v>
                </c:pt>
                <c:pt idx="6">
                  <c:v>528.5</c:v>
                </c:pt>
                <c:pt idx="7">
                  <c:v>515.72727272727263</c:v>
                </c:pt>
                <c:pt idx="8">
                  <c:v>499.50000000000006</c:v>
                </c:pt>
                <c:pt idx="9">
                  <c:v>483.59090909090918</c:v>
                </c:pt>
                <c:pt idx="10">
                  <c:v>464.45454545454544</c:v>
                </c:pt>
                <c:pt idx="11">
                  <c:v>413.31818181818181</c:v>
                </c:pt>
                <c:pt idx="12">
                  <c:v>246.72727272727269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1.5190000534057617</c:v>
                </c:pt>
                <c:pt idx="2">
                  <c:v>2.7890000343322754</c:v>
                </c:pt>
                <c:pt idx="3">
                  <c:v>3.9800000190734863</c:v>
                </c:pt>
                <c:pt idx="4">
                  <c:v>5.1690001487731934</c:v>
                </c:pt>
                <c:pt idx="5">
                  <c:v>6.4190001487731934</c:v>
                </c:pt>
                <c:pt idx="6">
                  <c:v>7.7899999618530273</c:v>
                </c:pt>
                <c:pt idx="7">
                  <c:v>9.3629999160766602</c:v>
                </c:pt>
                <c:pt idx="8">
                  <c:v>11.305999755859375</c:v>
                </c:pt>
                <c:pt idx="9">
                  <c:v>12.423999786376953</c:v>
                </c:pt>
                <c:pt idx="10">
                  <c:v>13.375999450683594</c:v>
                </c:pt>
                <c:pt idx="11">
                  <c:v>13.84999942779541</c:v>
                </c:pt>
                <c:pt idx="12">
                  <c:v>13.945999145507813</c:v>
                </c:pt>
                <c:pt idx="13">
                  <c:v>14.345998764038086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338432"/>
        <c:axId val="286348800"/>
      </c:scatterChart>
      <c:valAx>
        <c:axId val="28633843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48800"/>
        <c:crossesAt val="0.1"/>
        <c:crossBetween val="midCat"/>
        <c:majorUnit val="100"/>
      </c:valAx>
      <c:valAx>
        <c:axId val="286348800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33843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91.541702270507813</c:v>
                </c:pt>
                <c:pt idx="2">
                  <c:v>94.82647705078125</c:v>
                </c:pt>
                <c:pt idx="3">
                  <c:v>95.722030639648437</c:v>
                </c:pt>
                <c:pt idx="4">
                  <c:v>95.976234436035156</c:v>
                </c:pt>
                <c:pt idx="5">
                  <c:v>95.963394165039063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64.116119384765625</c:v>
                </c:pt>
                <c:pt idx="1">
                  <c:v>82.3541259765625</c:v>
                </c:pt>
                <c:pt idx="2">
                  <c:v>87.727760314941406</c:v>
                </c:pt>
                <c:pt idx="3">
                  <c:v>89.430770874023438</c:v>
                </c:pt>
                <c:pt idx="4">
                  <c:v>89.69085693359375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90.677688175010118</c:v>
                </c:pt>
                <c:pt idx="2">
                  <c:v>81.138035265797015</c:v>
                </c:pt>
                <c:pt idx="3">
                  <c:v>71.382521155248924</c:v>
                </c:pt>
                <c:pt idx="4">
                  <c:v>61.373917988865401</c:v>
                </c:pt>
                <c:pt idx="5">
                  <c:v>51.318299576215054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0.39700000000000002</c:v>
                </c:pt>
                <c:pt idx="1">
                  <c:v>8.916654665678486</c:v>
                </c:pt>
                <c:pt idx="2">
                  <c:v>17.215566086339205</c:v>
                </c:pt>
                <c:pt idx="3">
                  <c:v>25.58174992164297</c:v>
                </c:pt>
                <c:pt idx="4">
                  <c:v>34.01865943710213</c:v>
                </c:pt>
                <c:pt idx="5">
                  <c:v>42.529015053995195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60032"/>
        <c:axId val="286861952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56.412991550715404</c:v>
                </c:pt>
                <c:pt idx="1">
                  <c:v>80.294692993164063</c:v>
                </c:pt>
                <c:pt idx="2">
                  <c:v>120.69466400146484</c:v>
                </c:pt>
                <c:pt idx="3">
                  <c:v>168.36248779296875</c:v>
                </c:pt>
                <c:pt idx="4">
                  <c:v>219.62527465820313</c:v>
                </c:pt>
                <c:pt idx="5">
                  <c:v>273.77215576171875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68224"/>
        <c:axId val="286869760"/>
      </c:scatterChart>
      <c:valAx>
        <c:axId val="286860032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861952"/>
        <c:crossesAt val="0"/>
        <c:crossBetween val="midCat"/>
        <c:majorUnit val="25"/>
        <c:minorUnit val="12.5"/>
      </c:valAx>
      <c:valAx>
        <c:axId val="286861952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860032"/>
        <c:crosses val="autoZero"/>
        <c:crossBetween val="midCat"/>
        <c:majorUnit val="10"/>
        <c:minorUnit val="5"/>
      </c:valAx>
      <c:valAx>
        <c:axId val="286868224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286869760"/>
        <c:crosses val="autoZero"/>
        <c:crossBetween val="midCat"/>
      </c:valAx>
      <c:valAx>
        <c:axId val="286869760"/>
        <c:scaling>
          <c:orientation val="minMax"/>
          <c:max val="3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6868224"/>
        <c:crosses val="max"/>
        <c:crossBetween val="midCat"/>
        <c:majorUnit val="3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36.55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1.50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3.50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13.2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729615</xdr:colOff>
      <xdr:row>39</xdr:row>
      <xdr:rowOff>190500</xdr:rowOff>
    </xdr:from>
    <xdr:to>
      <xdr:col>4</xdr:col>
      <xdr:colOff>756388</xdr:colOff>
      <xdr:row>40</xdr:row>
      <xdr:rowOff>123825</xdr:rowOff>
    </xdr:to>
    <xdr:sp macro="" textlink="">
      <xdr:nvSpPr>
        <xdr:cNvPr id="96" name="Text 219"/>
        <xdr:cNvSpPr txBox="1">
          <a:spLocks noChangeArrowheads="1"/>
        </xdr:cNvSpPr>
      </xdr:nvSpPr>
      <xdr:spPr bwMode="auto">
        <a:xfrm>
          <a:off x="2463165" y="91725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051-TB31</a:t>
          </a:r>
        </a:p>
      </xdr:txBody>
    </xdr:sp>
    <xdr:clientData/>
  </xdr:twoCellAnchor>
  <xdr:twoCellAnchor>
    <xdr:from>
      <xdr:col>1</xdr:col>
      <xdr:colOff>228600</xdr:colOff>
      <xdr:row>39</xdr:row>
      <xdr:rowOff>180975</xdr:rowOff>
    </xdr:from>
    <xdr:to>
      <xdr:col>3</xdr:col>
      <xdr:colOff>832601</xdr:colOff>
      <xdr:row>43</xdr:row>
      <xdr:rowOff>28575</xdr:rowOff>
    </xdr:to>
    <xdr:grpSp>
      <xdr:nvGrpSpPr>
        <xdr:cNvPr id="97" name="Group 96"/>
        <xdr:cNvGrpSpPr/>
      </xdr:nvGrpSpPr>
      <xdr:grpSpPr>
        <a:xfrm>
          <a:off x="1038225" y="9163050"/>
          <a:ext cx="1527926" cy="762000"/>
          <a:chOff x="1085850" y="9144000"/>
          <a:chExt cx="1527926" cy="762000"/>
        </a:xfrm>
      </xdr:grpSpPr>
      <xdr:sp macro="" textlink="">
        <xdr:nvSpPr>
          <xdr:cNvPr id="98" name="Thickness"/>
          <xdr:cNvSpPr txBox="1">
            <a:spLocks noChangeArrowheads="1"/>
          </xdr:cNvSpPr>
        </xdr:nvSpPr>
        <xdr:spPr bwMode="auto">
          <a:xfrm>
            <a:off x="2028825" y="9344025"/>
            <a:ext cx="285750" cy="104775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9" name="Radius"/>
          <xdr:cNvSpPr txBox="1">
            <a:spLocks noChangeArrowheads="1"/>
          </xdr:cNvSpPr>
        </xdr:nvSpPr>
        <xdr:spPr bwMode="auto">
          <a:xfrm>
            <a:off x="2284095" y="9782175"/>
            <a:ext cx="329681" cy="12382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460.8</a:t>
            </a:r>
          </a:p>
        </xdr:txBody>
      </xdr:sp>
      <xdr:sp macro="" textlink="">
        <xdr:nvSpPr>
          <xdr:cNvPr id="100" name="Clear"/>
          <xdr:cNvSpPr txBox="1">
            <a:spLocks noChangeArrowheads="1"/>
          </xdr:cNvSpPr>
        </xdr:nvSpPr>
        <xdr:spPr bwMode="auto">
          <a:xfrm>
            <a:off x="1400175" y="9525000"/>
            <a:ext cx="254934" cy="11430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50.5</a:t>
            </a:r>
          </a:p>
        </xdr:txBody>
      </xdr:sp>
      <xdr:sp macro="" textlink="">
        <xdr:nvSpPr>
          <xdr:cNvPr id="101" name="Thickness"/>
          <xdr:cNvSpPr txBox="1">
            <a:spLocks noChangeArrowheads="1"/>
          </xdr:cNvSpPr>
        </xdr:nvSpPr>
        <xdr:spPr bwMode="auto">
          <a:xfrm>
            <a:off x="1617345" y="9667875"/>
            <a:ext cx="438150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30.0</a:t>
            </a:r>
          </a:p>
        </xdr:txBody>
      </xdr:sp>
      <xdr:sp macro="" textlink="">
        <xdr:nvSpPr>
          <xdr:cNvPr id="102" name="Line 116"/>
          <xdr:cNvSpPr>
            <a:spLocks noChangeShapeType="1"/>
          </xdr:cNvSpPr>
        </xdr:nvSpPr>
        <xdr:spPr bwMode="auto">
          <a:xfrm flipV="1">
            <a:off x="1666875" y="9601200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" name="Line 117"/>
          <xdr:cNvSpPr>
            <a:spLocks noChangeShapeType="1"/>
          </xdr:cNvSpPr>
        </xdr:nvSpPr>
        <xdr:spPr bwMode="auto">
          <a:xfrm flipV="1">
            <a:off x="1981200" y="9610725"/>
            <a:ext cx="0" cy="13335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" name="Line 118"/>
          <xdr:cNvSpPr>
            <a:spLocks noChangeShapeType="1"/>
          </xdr:cNvSpPr>
        </xdr:nvSpPr>
        <xdr:spPr bwMode="auto">
          <a:xfrm flipV="1">
            <a:off x="1685925" y="9648825"/>
            <a:ext cx="28575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" name="Line 121"/>
          <xdr:cNvSpPr>
            <a:spLocks noChangeShapeType="1"/>
          </xdr:cNvSpPr>
        </xdr:nvSpPr>
        <xdr:spPr bwMode="auto">
          <a:xfrm flipV="1">
            <a:off x="1085850" y="914400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" name="Line 122"/>
          <xdr:cNvSpPr>
            <a:spLocks noChangeShapeType="1"/>
          </xdr:cNvSpPr>
        </xdr:nvSpPr>
        <xdr:spPr bwMode="auto">
          <a:xfrm>
            <a:off x="1381125" y="9144000"/>
            <a:ext cx="0" cy="7334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Line 123"/>
          <xdr:cNvSpPr>
            <a:spLocks noChangeShapeType="1"/>
          </xdr:cNvSpPr>
        </xdr:nvSpPr>
        <xdr:spPr bwMode="auto">
          <a:xfrm flipV="1">
            <a:off x="1390650" y="9496425"/>
            <a:ext cx="2762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" name="Rectangle 124"/>
          <xdr:cNvSpPr>
            <a:spLocks noChangeArrowheads="1"/>
          </xdr:cNvSpPr>
        </xdr:nvSpPr>
        <xdr:spPr bwMode="auto">
          <a:xfrm>
            <a:off x="1666875" y="9153525"/>
            <a:ext cx="314325" cy="42862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9" name="Line 125"/>
          <xdr:cNvSpPr>
            <a:spLocks noChangeShapeType="1"/>
          </xdr:cNvSpPr>
        </xdr:nvSpPr>
        <xdr:spPr bwMode="auto">
          <a:xfrm>
            <a:off x="1381125" y="9429750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" name="Line 126"/>
          <xdr:cNvSpPr>
            <a:spLocks noChangeShapeType="1"/>
          </xdr:cNvSpPr>
        </xdr:nvSpPr>
        <xdr:spPr bwMode="auto">
          <a:xfrm>
            <a:off x="1381125" y="9172575"/>
            <a:ext cx="2952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1" name="Line 127"/>
          <xdr:cNvSpPr>
            <a:spLocks noChangeShapeType="1"/>
          </xdr:cNvSpPr>
        </xdr:nvSpPr>
        <xdr:spPr bwMode="auto">
          <a:xfrm>
            <a:off x="2028825" y="9582150"/>
            <a:ext cx="3714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Line 128"/>
          <xdr:cNvSpPr>
            <a:spLocks noChangeShapeType="1"/>
          </xdr:cNvSpPr>
        </xdr:nvSpPr>
        <xdr:spPr bwMode="auto">
          <a:xfrm flipV="1">
            <a:off x="2362200" y="9582150"/>
            <a:ext cx="0" cy="1809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" name="Line 129"/>
          <xdr:cNvSpPr>
            <a:spLocks noChangeShapeType="1"/>
          </xdr:cNvSpPr>
        </xdr:nvSpPr>
        <xdr:spPr bwMode="auto">
          <a:xfrm>
            <a:off x="2009775" y="9153525"/>
            <a:ext cx="21907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Thickness"/>
          <xdr:cNvSpPr txBox="1">
            <a:spLocks noChangeArrowheads="1"/>
          </xdr:cNvSpPr>
        </xdr:nvSpPr>
        <xdr:spPr bwMode="auto">
          <a:xfrm>
            <a:off x="2026920" y="9344025"/>
            <a:ext cx="293473" cy="104775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50.0</a:t>
            </a:r>
          </a:p>
        </xdr:txBody>
      </xdr:sp>
      <xdr:sp macro="" textlink="">
        <xdr:nvSpPr>
          <xdr:cNvPr id="115" name="Line 131"/>
          <xdr:cNvSpPr>
            <a:spLocks noChangeShapeType="1"/>
          </xdr:cNvSpPr>
        </xdr:nvSpPr>
        <xdr:spPr bwMode="auto">
          <a:xfrm flipV="1">
            <a:off x="2162175" y="9153525"/>
            <a:ext cx="0" cy="14287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6" name="Line 132"/>
          <xdr:cNvSpPr>
            <a:spLocks noChangeShapeType="1"/>
          </xdr:cNvSpPr>
        </xdr:nvSpPr>
        <xdr:spPr bwMode="auto">
          <a:xfrm>
            <a:off x="2171700" y="9458325"/>
            <a:ext cx="0" cy="1238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729615</xdr:colOff>
      <xdr:row>33</xdr:row>
      <xdr:rowOff>152400</xdr:rowOff>
    </xdr:from>
    <xdr:to>
      <xdr:col>4</xdr:col>
      <xdr:colOff>756388</xdr:colOff>
      <xdr:row>34</xdr:row>
      <xdr:rowOff>85725</xdr:rowOff>
    </xdr:to>
    <xdr:sp macro="" textlink="">
      <xdr:nvSpPr>
        <xdr:cNvPr id="117" name="Text 219"/>
        <xdr:cNvSpPr txBox="1">
          <a:spLocks noChangeArrowheads="1"/>
        </xdr:cNvSpPr>
      </xdr:nvSpPr>
      <xdr:spPr bwMode="auto">
        <a:xfrm>
          <a:off x="2463165" y="77628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411-TB31</a:t>
          </a:r>
        </a:p>
      </xdr:txBody>
    </xdr:sp>
    <xdr:clientData/>
  </xdr:twoCellAnchor>
  <xdr:twoCellAnchor>
    <xdr:from>
      <xdr:col>3</xdr:col>
      <xdr:colOff>720090</xdr:colOff>
      <xdr:row>27</xdr:row>
      <xdr:rowOff>190500</xdr:rowOff>
    </xdr:from>
    <xdr:to>
      <xdr:col>4</xdr:col>
      <xdr:colOff>746863</xdr:colOff>
      <xdr:row>28</xdr:row>
      <xdr:rowOff>123825</xdr:rowOff>
    </xdr:to>
    <xdr:sp macro="" textlink="">
      <xdr:nvSpPr>
        <xdr:cNvPr id="118" name="Text 219"/>
        <xdr:cNvSpPr txBox="1">
          <a:spLocks noChangeArrowheads="1"/>
        </xdr:cNvSpPr>
      </xdr:nvSpPr>
      <xdr:spPr bwMode="auto">
        <a:xfrm>
          <a:off x="2453640" y="64293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311-TB31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0.61274</cdr:x>
      <cdr:y>0.60661</cdr:y>
    </cdr:from>
    <cdr:to>
      <cdr:x>0.84859</cdr:x>
      <cdr:y>0.6273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583534" y="3905905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0.59483</cdr:x>
      <cdr:y>0.52313</cdr:y>
    </cdr:from>
    <cdr:to>
      <cdr:x>0.87765</cdr:x>
      <cdr:y>0.54826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78759" y="336838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628651</xdr:colOff>
      <xdr:row>16</xdr:row>
      <xdr:rowOff>76200</xdr:rowOff>
    </xdr:from>
    <xdr:to>
      <xdr:col>1</xdr:col>
      <xdr:colOff>47626</xdr:colOff>
      <xdr:row>17</xdr:row>
      <xdr:rowOff>76200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28651" y="397192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0</xdr:col>
      <xdr:colOff>619126</xdr:colOff>
      <xdr:row>18</xdr:row>
      <xdr:rowOff>19050</xdr:rowOff>
    </xdr:from>
    <xdr:to>
      <xdr:col>1</xdr:col>
      <xdr:colOff>38101</xdr:colOff>
      <xdr:row>19</xdr:row>
      <xdr:rowOff>19050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19126" y="439102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1198</a:t>
          </a:r>
        </a:p>
      </xdr:txBody>
    </xdr:sp>
    <xdr:clientData/>
  </xdr:twoCellAnchor>
  <xdr:twoCellAnchor>
    <xdr:from>
      <xdr:col>0</xdr:col>
      <xdr:colOff>609601</xdr:colOff>
      <xdr:row>19</xdr:row>
      <xdr:rowOff>190500</xdr:rowOff>
    </xdr:from>
    <xdr:to>
      <xdr:col>1</xdr:col>
      <xdr:colOff>28576</xdr:colOff>
      <xdr:row>20</xdr:row>
      <xdr:rowOff>190500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09601" y="4800600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1196</a:t>
          </a:r>
        </a:p>
      </xdr:txBody>
    </xdr:sp>
    <xdr:clientData/>
  </xdr:twoCellAnchor>
  <xdr:twoCellAnchor>
    <xdr:from>
      <xdr:col>0</xdr:col>
      <xdr:colOff>609601</xdr:colOff>
      <xdr:row>21</xdr:row>
      <xdr:rowOff>123825</xdr:rowOff>
    </xdr:from>
    <xdr:to>
      <xdr:col>1</xdr:col>
      <xdr:colOff>28576</xdr:colOff>
      <xdr:row>22</xdr:row>
      <xdr:rowOff>123825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09601" y="521017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1194</a:t>
          </a:r>
        </a:p>
      </xdr:txBody>
    </xdr:sp>
    <xdr:clientData/>
  </xdr:twoCellAnchor>
  <xdr:twoCellAnchor>
    <xdr:from>
      <xdr:col>0</xdr:col>
      <xdr:colOff>619126</xdr:colOff>
      <xdr:row>23</xdr:row>
      <xdr:rowOff>57150</xdr:rowOff>
    </xdr:from>
    <xdr:to>
      <xdr:col>1</xdr:col>
      <xdr:colOff>38101</xdr:colOff>
      <xdr:row>24</xdr:row>
      <xdr:rowOff>57150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19126" y="5619750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1192</a:t>
          </a:r>
        </a:p>
      </xdr:txBody>
    </xdr:sp>
    <xdr:clientData/>
  </xdr:twoCellAnchor>
  <xdr:twoCellAnchor>
    <xdr:from>
      <xdr:col>0</xdr:col>
      <xdr:colOff>619126</xdr:colOff>
      <xdr:row>24</xdr:row>
      <xdr:rowOff>228600</xdr:rowOff>
    </xdr:from>
    <xdr:to>
      <xdr:col>1</xdr:col>
      <xdr:colOff>38101</xdr:colOff>
      <xdr:row>25</xdr:row>
      <xdr:rowOff>228600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19126" y="602932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1190</a:t>
          </a:r>
        </a:p>
      </xdr:txBody>
    </xdr:sp>
    <xdr:clientData/>
  </xdr:twoCellAnchor>
  <xdr:twoCellAnchor>
    <xdr:from>
      <xdr:col>0</xdr:col>
      <xdr:colOff>609601</xdr:colOff>
      <xdr:row>26</xdr:row>
      <xdr:rowOff>161925</xdr:rowOff>
    </xdr:from>
    <xdr:to>
      <xdr:col>1</xdr:col>
      <xdr:colOff>28576</xdr:colOff>
      <xdr:row>27</xdr:row>
      <xdr:rowOff>161925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09601" y="6438900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1188</a:t>
          </a:r>
        </a:p>
      </xdr:txBody>
    </xdr:sp>
    <xdr:clientData/>
  </xdr:twoCellAnchor>
  <xdr:twoCellAnchor>
    <xdr:from>
      <xdr:col>0</xdr:col>
      <xdr:colOff>600076</xdr:colOff>
      <xdr:row>28</xdr:row>
      <xdr:rowOff>95250</xdr:rowOff>
    </xdr:from>
    <xdr:to>
      <xdr:col>1</xdr:col>
      <xdr:colOff>19051</xdr:colOff>
      <xdr:row>29</xdr:row>
      <xdr:rowOff>95250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00076" y="684847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1186</a:t>
          </a:r>
        </a:p>
      </xdr:txBody>
    </xdr:sp>
    <xdr:clientData/>
  </xdr:twoCellAnchor>
  <xdr:twoCellAnchor>
    <xdr:from>
      <xdr:col>0</xdr:col>
      <xdr:colOff>600076</xdr:colOff>
      <xdr:row>30</xdr:row>
      <xdr:rowOff>38100</xdr:rowOff>
    </xdr:from>
    <xdr:to>
      <xdr:col>1</xdr:col>
      <xdr:colOff>19051</xdr:colOff>
      <xdr:row>31</xdr:row>
      <xdr:rowOff>38100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00076" y="726757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1184</a:t>
          </a:r>
        </a:p>
      </xdr:txBody>
    </xdr:sp>
    <xdr:clientData/>
  </xdr:twoCellAnchor>
  <xdr:twoCellAnchor>
    <xdr:from>
      <xdr:col>0</xdr:col>
      <xdr:colOff>600076</xdr:colOff>
      <xdr:row>31</xdr:row>
      <xdr:rowOff>209550</xdr:rowOff>
    </xdr:from>
    <xdr:to>
      <xdr:col>1</xdr:col>
      <xdr:colOff>19051</xdr:colOff>
      <xdr:row>32</xdr:row>
      <xdr:rowOff>209550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00076" y="7677150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1182</a:t>
          </a:r>
        </a:p>
      </xdr:txBody>
    </xdr:sp>
    <xdr:clientData/>
  </xdr:twoCellAnchor>
  <xdr:twoCellAnchor>
    <xdr:from>
      <xdr:col>0</xdr:col>
      <xdr:colOff>609601</xdr:colOff>
      <xdr:row>33</xdr:row>
      <xdr:rowOff>142875</xdr:rowOff>
    </xdr:from>
    <xdr:to>
      <xdr:col>1</xdr:col>
      <xdr:colOff>28576</xdr:colOff>
      <xdr:row>34</xdr:row>
      <xdr:rowOff>142875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09601" y="8086725"/>
          <a:ext cx="5334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1180</a:t>
          </a:r>
        </a:p>
      </xdr:txBody>
    </xdr:sp>
    <xdr:clientData/>
  </xdr:twoCellAnchor>
  <xdr:twoCellAnchor>
    <xdr:from>
      <xdr:col>0</xdr:col>
      <xdr:colOff>438150</xdr:colOff>
      <xdr:row>24</xdr:row>
      <xdr:rowOff>104775</xdr:rowOff>
    </xdr:from>
    <xdr:to>
      <xdr:col>0</xdr:col>
      <xdr:colOff>647700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438150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323851</xdr:colOff>
      <xdr:row>16</xdr:row>
      <xdr:rowOff>66675</xdr:rowOff>
    </xdr:from>
    <xdr:to>
      <xdr:col>5</xdr:col>
      <xdr:colOff>828675</xdr:colOff>
      <xdr:row>16</xdr:row>
      <xdr:rowOff>219075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895976" y="3962400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4000</a:t>
          </a:r>
        </a:p>
      </xdr:txBody>
    </xdr:sp>
    <xdr:clientData/>
  </xdr:twoCellAnchor>
  <xdr:twoCellAnchor>
    <xdr:from>
      <xdr:col>5</xdr:col>
      <xdr:colOff>348761</xdr:colOff>
      <xdr:row>24</xdr:row>
      <xdr:rowOff>220980</xdr:rowOff>
    </xdr:from>
    <xdr:to>
      <xdr:col>5</xdr:col>
      <xdr:colOff>918306</xdr:colOff>
      <xdr:row>25</xdr:row>
      <xdr:rowOff>142875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20886" y="6021705"/>
          <a:ext cx="569545" cy="1600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342901</xdr:colOff>
      <xdr:row>26</xdr:row>
      <xdr:rowOff>161925</xdr:rowOff>
    </xdr:from>
    <xdr:to>
      <xdr:col>5</xdr:col>
      <xdr:colOff>847725</xdr:colOff>
      <xdr:row>27</xdr:row>
      <xdr:rowOff>76200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15026" y="6438900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352426</xdr:colOff>
      <xdr:row>28</xdr:row>
      <xdr:rowOff>95250</xdr:rowOff>
    </xdr:from>
    <xdr:to>
      <xdr:col>5</xdr:col>
      <xdr:colOff>857250</xdr:colOff>
      <xdr:row>29</xdr:row>
      <xdr:rowOff>9525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24551" y="684847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342901</xdr:colOff>
      <xdr:row>30</xdr:row>
      <xdr:rowOff>19050</xdr:rowOff>
    </xdr:from>
    <xdr:to>
      <xdr:col>5</xdr:col>
      <xdr:colOff>847725</xdr:colOff>
      <xdr:row>30</xdr:row>
      <xdr:rowOff>171450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15026" y="724852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342901</xdr:colOff>
      <xdr:row>31</xdr:row>
      <xdr:rowOff>200025</xdr:rowOff>
    </xdr:from>
    <xdr:to>
      <xdr:col>5</xdr:col>
      <xdr:colOff>847725</xdr:colOff>
      <xdr:row>32</xdr:row>
      <xdr:rowOff>114300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15026" y="766762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704850</xdr:colOff>
      <xdr:row>23</xdr:row>
      <xdr:rowOff>9525</xdr:rowOff>
    </xdr:from>
    <xdr:to>
      <xdr:col>5</xdr:col>
      <xdr:colOff>923925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276975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342901</xdr:colOff>
      <xdr:row>23</xdr:row>
      <xdr:rowOff>47625</xdr:rowOff>
    </xdr:from>
    <xdr:to>
      <xdr:col>5</xdr:col>
      <xdr:colOff>847725</xdr:colOff>
      <xdr:row>23</xdr:row>
      <xdr:rowOff>200025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15026" y="561022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2400</a:t>
          </a:r>
        </a:p>
      </xdr:txBody>
    </xdr:sp>
    <xdr:clientData/>
  </xdr:twoCellAnchor>
  <xdr:twoCellAnchor>
    <xdr:from>
      <xdr:col>5</xdr:col>
      <xdr:colOff>342901</xdr:colOff>
      <xdr:row>21</xdr:row>
      <xdr:rowOff>114300</xdr:rowOff>
    </xdr:from>
    <xdr:to>
      <xdr:col>5</xdr:col>
      <xdr:colOff>847725</xdr:colOff>
      <xdr:row>22</xdr:row>
      <xdr:rowOff>28575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15026" y="5200650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2800</a:t>
          </a:r>
        </a:p>
      </xdr:txBody>
    </xdr:sp>
    <xdr:clientData/>
  </xdr:twoCellAnchor>
  <xdr:twoCellAnchor>
    <xdr:from>
      <xdr:col>5</xdr:col>
      <xdr:colOff>333376</xdr:colOff>
      <xdr:row>19</xdr:row>
      <xdr:rowOff>180975</xdr:rowOff>
    </xdr:from>
    <xdr:to>
      <xdr:col>5</xdr:col>
      <xdr:colOff>838200</xdr:colOff>
      <xdr:row>20</xdr:row>
      <xdr:rowOff>95250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05501" y="4791075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3200</a:t>
          </a:r>
        </a:p>
      </xdr:txBody>
    </xdr:sp>
    <xdr:clientData/>
  </xdr:twoCellAnchor>
  <xdr:twoCellAnchor>
    <xdr:from>
      <xdr:col>5</xdr:col>
      <xdr:colOff>333376</xdr:colOff>
      <xdr:row>18</xdr:row>
      <xdr:rowOff>9525</xdr:rowOff>
    </xdr:from>
    <xdr:to>
      <xdr:col>5</xdr:col>
      <xdr:colOff>838200</xdr:colOff>
      <xdr:row>18</xdr:row>
      <xdr:rowOff>161925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05501" y="4381500"/>
          <a:ext cx="504824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2</xdr:col>
      <xdr:colOff>857250</xdr:colOff>
      <xdr:row>16</xdr:row>
      <xdr:rowOff>219075</xdr:rowOff>
    </xdr:from>
    <xdr:to>
      <xdr:col>3</xdr:col>
      <xdr:colOff>85725</xdr:colOff>
      <xdr:row>17</xdr:row>
      <xdr:rowOff>123825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148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904875</xdr:colOff>
      <xdr:row>18</xdr:row>
      <xdr:rowOff>171450</xdr:rowOff>
    </xdr:from>
    <xdr:to>
      <xdr:col>4</xdr:col>
      <xdr:colOff>123825</xdr:colOff>
      <xdr:row>19</xdr:row>
      <xdr:rowOff>104775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4248150" y="4543425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3</xdr:col>
      <xdr:colOff>114300</xdr:colOff>
      <xdr:row>22</xdr:row>
      <xdr:rowOff>57150</xdr:rowOff>
    </xdr:from>
    <xdr:to>
      <xdr:col>3</xdr:col>
      <xdr:colOff>457200</xdr:colOff>
      <xdr:row>22</xdr:row>
      <xdr:rowOff>200025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457575" y="538162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704850</xdr:colOff>
      <xdr:row>29</xdr:row>
      <xdr:rowOff>19050</xdr:rowOff>
    </xdr:from>
    <xdr:to>
      <xdr:col>2</xdr:col>
      <xdr:colOff>28575</xdr:colOff>
      <xdr:row>29</xdr:row>
      <xdr:rowOff>171450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1819275" y="7010400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1047750</xdr:colOff>
      <xdr:row>30</xdr:row>
      <xdr:rowOff>219075</xdr:rowOff>
    </xdr:from>
    <xdr:to>
      <xdr:col>3</xdr:col>
      <xdr:colOff>438150</xdr:colOff>
      <xdr:row>31</xdr:row>
      <xdr:rowOff>133350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3276600" y="7448550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331910</xdr:colOff>
      <xdr:row>33</xdr:row>
      <xdr:rowOff>125730</xdr:rowOff>
    </xdr:from>
    <xdr:to>
      <xdr:col>5</xdr:col>
      <xdr:colOff>862622</xdr:colOff>
      <xdr:row>34</xdr:row>
      <xdr:rowOff>47625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04035" y="8069580"/>
          <a:ext cx="530712" cy="1600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opLeftCell="A4" zoomScale="95" zoomScaleNormal="95" workbookViewId="0">
      <selection activeCell="K72" sqref="K72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167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202</v>
      </c>
    </row>
    <row r="2" spans="1:10" ht="18.75">
      <c r="A2" s="35" t="s">
        <v>173</v>
      </c>
      <c r="B2" s="2"/>
      <c r="C2" s="2"/>
      <c r="D2" s="2"/>
      <c r="E2" s="2"/>
      <c r="F2" s="2"/>
      <c r="G2" s="2"/>
      <c r="H2" s="2"/>
      <c r="I2" s="2"/>
      <c r="J2" s="133" t="s">
        <v>203</v>
      </c>
    </row>
    <row r="3" spans="1:10" ht="15" customHeight="1" thickBot="1">
      <c r="A3" s="51" t="s">
        <v>1</v>
      </c>
      <c r="B3" s="98" t="s">
        <v>201</v>
      </c>
      <c r="C3" s="1"/>
      <c r="D3" s="51"/>
      <c r="E3" s="1"/>
      <c r="F3" s="1"/>
      <c r="G3" s="51" t="s">
        <v>2</v>
      </c>
      <c r="H3" s="151">
        <v>41992</v>
      </c>
      <c r="I3" s="51" t="s">
        <v>3</v>
      </c>
      <c r="J3" s="152">
        <v>0.6740046296296297</v>
      </c>
    </row>
    <row r="4" spans="1:10" ht="15" customHeight="1">
      <c r="A4" s="13" t="s">
        <v>4</v>
      </c>
      <c r="B4" s="13" t="s">
        <v>171</v>
      </c>
      <c r="C4" s="13" t="s">
        <v>5</v>
      </c>
      <c r="D4" s="13" t="s">
        <v>172</v>
      </c>
      <c r="E4" s="13" t="s">
        <v>6</v>
      </c>
      <c r="F4" s="13" t="s">
        <v>7</v>
      </c>
      <c r="G4" s="13" t="s">
        <v>175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1750</v>
      </c>
      <c r="C5" s="145">
        <v>1200</v>
      </c>
      <c r="D5" s="52" t="s">
        <v>176</v>
      </c>
      <c r="E5" s="145">
        <v>4000</v>
      </c>
      <c r="F5" s="145">
        <v>60</v>
      </c>
      <c r="G5" s="52">
        <v>105</v>
      </c>
      <c r="H5" s="80" t="s">
        <v>235</v>
      </c>
      <c r="I5" s="79" t="s">
        <v>240</v>
      </c>
      <c r="J5" s="52" t="s">
        <v>177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/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24.652754861111109</v>
      </c>
      <c r="J7" s="108" t="s">
        <v>19</v>
      </c>
    </row>
    <row r="8" spans="1:10" ht="15" customHeight="1">
      <c r="A8" s="7" t="s">
        <v>20</v>
      </c>
      <c r="B8" s="71">
        <v>2.0999999046325684</v>
      </c>
      <c r="C8" s="54"/>
      <c r="D8" s="7"/>
      <c r="E8" s="53"/>
      <c r="F8" s="4"/>
      <c r="G8" s="17"/>
      <c r="H8" s="11" t="s">
        <v>21</v>
      </c>
      <c r="I8" s="70">
        <v>30.375925389641562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184</v>
      </c>
      <c r="F9" s="109" t="s">
        <v>25</v>
      </c>
      <c r="G9" s="31"/>
      <c r="H9" s="11" t="s">
        <v>26</v>
      </c>
      <c r="I9" s="71">
        <v>27.514340125376336</v>
      </c>
      <c r="J9" s="106">
        <v>660.53525398964291</v>
      </c>
    </row>
    <row r="10" spans="1:10" ht="15" customHeight="1">
      <c r="A10" s="7" t="s">
        <v>27</v>
      </c>
      <c r="B10" s="71">
        <v>924</v>
      </c>
      <c r="C10" s="75">
        <v>924</v>
      </c>
      <c r="D10" s="7"/>
      <c r="E10" s="53"/>
      <c r="F10" s="119" t="s">
        <v>197</v>
      </c>
      <c r="G10" s="117" t="s">
        <v>198</v>
      </c>
      <c r="H10" s="11" t="s">
        <v>28</v>
      </c>
      <c r="I10" s="70">
        <v>15.415946412936849</v>
      </c>
      <c r="J10" s="105" t="s">
        <v>29</v>
      </c>
    </row>
    <row r="11" spans="1:10" ht="15" customHeight="1" thickBot="1">
      <c r="A11" s="7" t="s">
        <v>30</v>
      </c>
      <c r="B11" s="71">
        <v>815</v>
      </c>
      <c r="C11" s="75">
        <v>560.80000019073486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29.536694638980546</v>
      </c>
      <c r="J11" s="106">
        <v>48111.027576265151</v>
      </c>
    </row>
    <row r="12" spans="1:10" ht="15" customHeight="1">
      <c r="A12" s="7" t="s">
        <v>33</v>
      </c>
      <c r="B12" s="71">
        <v>565</v>
      </c>
      <c r="C12" s="75">
        <v>300</v>
      </c>
      <c r="D12" s="7" t="s">
        <v>34</v>
      </c>
      <c r="E12" s="140" t="s">
        <v>174</v>
      </c>
      <c r="F12" s="126" t="s">
        <v>190</v>
      </c>
      <c r="G12" s="118" t="s">
        <v>189</v>
      </c>
      <c r="H12" s="11" t="s">
        <v>35</v>
      </c>
      <c r="I12" s="70">
        <v>1.2038173927124192</v>
      </c>
      <c r="J12" s="105" t="s">
        <v>36</v>
      </c>
    </row>
    <row r="13" spans="1:10" ht="15" customHeight="1" thickBot="1">
      <c r="A13" s="7" t="s">
        <v>37</v>
      </c>
      <c r="B13" s="71">
        <v>63</v>
      </c>
      <c r="C13" s="75">
        <v>93.850000858306885</v>
      </c>
      <c r="D13" s="7" t="s">
        <v>38</v>
      </c>
      <c r="E13" s="72">
        <v>20</v>
      </c>
      <c r="F13" s="126"/>
      <c r="G13" s="118" t="s">
        <v>191</v>
      </c>
      <c r="H13" s="11" t="s">
        <v>40</v>
      </c>
      <c r="I13" s="70">
        <v>1.0284131572919286</v>
      </c>
      <c r="J13" s="106">
        <v>215.7353515625</v>
      </c>
    </row>
    <row r="14" spans="1:10" ht="15" customHeight="1" thickBot="1">
      <c r="A14" s="136" t="s">
        <v>41</v>
      </c>
      <c r="B14" s="137">
        <v>691.91998291015625</v>
      </c>
      <c r="C14" s="138">
        <v>691.91998291015625</v>
      </c>
      <c r="D14" s="7" t="s">
        <v>42</v>
      </c>
      <c r="E14" s="53" t="s">
        <v>185</v>
      </c>
      <c r="F14" s="53" t="s">
        <v>193</v>
      </c>
      <c r="G14" s="118" t="s">
        <v>192</v>
      </c>
      <c r="H14" s="51" t="s">
        <v>43</v>
      </c>
      <c r="I14" s="70">
        <v>1.2380216456423165</v>
      </c>
      <c r="J14" s="105" t="s">
        <v>44</v>
      </c>
    </row>
    <row r="15" spans="1:10" ht="15" customHeight="1" thickBot="1">
      <c r="A15" s="14" t="s">
        <v>45</v>
      </c>
      <c r="B15" s="143"/>
      <c r="C15" s="144"/>
      <c r="D15" s="7" t="s">
        <v>46</v>
      </c>
      <c r="E15" s="53" t="s">
        <v>174</v>
      </c>
      <c r="F15" s="53"/>
      <c r="G15" s="118"/>
      <c r="H15" s="11" t="s">
        <v>47</v>
      </c>
      <c r="I15" s="70">
        <v>0.96589165240170005</v>
      </c>
      <c r="J15" s="106">
        <v>28.868359375000001</v>
      </c>
    </row>
    <row r="16" spans="1:10" ht="15" customHeight="1">
      <c r="A16" s="7" t="s">
        <v>48</v>
      </c>
      <c r="B16" s="53">
        <v>72</v>
      </c>
      <c r="C16" s="54">
        <v>58</v>
      </c>
      <c r="D16" s="7" t="s">
        <v>49</v>
      </c>
      <c r="E16" s="53">
        <v>3</v>
      </c>
      <c r="F16" s="53"/>
      <c r="G16" s="118"/>
      <c r="H16" s="11" t="s">
        <v>50</v>
      </c>
      <c r="I16" s="70">
        <v>0.95749474318512517</v>
      </c>
      <c r="J16" s="107" t="s">
        <v>51</v>
      </c>
    </row>
    <row r="17" spans="1:10" ht="15" customHeight="1" thickBot="1">
      <c r="A17" s="7" t="s">
        <v>52</v>
      </c>
      <c r="B17" s="53" t="s">
        <v>178</v>
      </c>
      <c r="C17" s="54" t="s">
        <v>179</v>
      </c>
      <c r="D17" s="98" t="s">
        <v>53</v>
      </c>
      <c r="E17" s="53" t="s">
        <v>186</v>
      </c>
      <c r="F17" s="53"/>
      <c r="G17" s="118"/>
      <c r="H17" s="11" t="s">
        <v>54</v>
      </c>
      <c r="I17" s="70">
        <v>0.92483617966102194</v>
      </c>
      <c r="J17" s="106">
        <v>583.39754935546841</v>
      </c>
    </row>
    <row r="18" spans="1:10" ht="15" customHeight="1">
      <c r="A18" s="7" t="s">
        <v>55</v>
      </c>
      <c r="B18" s="53" t="s">
        <v>174</v>
      </c>
      <c r="C18" s="75">
        <v>0</v>
      </c>
      <c r="D18" s="7" t="s">
        <v>56</v>
      </c>
      <c r="E18" s="142">
        <v>1459</v>
      </c>
      <c r="F18" s="72">
        <v>1055</v>
      </c>
      <c r="G18" s="76"/>
      <c r="H18" s="14" t="s">
        <v>57</v>
      </c>
      <c r="I18" s="134" t="s">
        <v>199</v>
      </c>
      <c r="J18" s="135"/>
    </row>
    <row r="19" spans="1:10" ht="15" customHeight="1">
      <c r="A19" s="7" t="s">
        <v>58</v>
      </c>
      <c r="B19" s="71">
        <v>62</v>
      </c>
      <c r="C19" s="75">
        <v>36.549999237060547</v>
      </c>
      <c r="D19" s="7" t="s">
        <v>59</v>
      </c>
      <c r="E19" s="72">
        <v>160</v>
      </c>
      <c r="F19" s="53"/>
      <c r="G19" s="54"/>
      <c r="H19" s="148"/>
      <c r="I19" s="4" t="s">
        <v>60</v>
      </c>
      <c r="J19" s="32" t="s">
        <v>61</v>
      </c>
    </row>
    <row r="20" spans="1:10" ht="15" customHeight="1">
      <c r="A20" s="7" t="s">
        <v>62</v>
      </c>
      <c r="B20" s="71" t="s">
        <v>180</v>
      </c>
      <c r="C20" s="75">
        <v>12.050000190734863</v>
      </c>
      <c r="D20" s="7" t="s">
        <v>166</v>
      </c>
      <c r="E20" s="69">
        <v>7.3653549428870937E-2</v>
      </c>
      <c r="F20" s="53"/>
      <c r="G20" s="54"/>
      <c r="H20" s="11" t="s">
        <v>63</v>
      </c>
      <c r="I20" s="70">
        <v>19.990598678588867</v>
      </c>
      <c r="J20" s="74">
        <v>19.990598678588867</v>
      </c>
    </row>
    <row r="21" spans="1:10" ht="15" customHeight="1">
      <c r="A21" s="7" t="s">
        <v>64</v>
      </c>
      <c r="B21" s="71">
        <v>13.199999809265137</v>
      </c>
      <c r="C21" s="75">
        <v>3.5</v>
      </c>
      <c r="D21" s="11" t="s">
        <v>187</v>
      </c>
      <c r="E21" s="69">
        <v>9.8252966723385779E-2</v>
      </c>
      <c r="F21" s="69">
        <v>6.7248061299324036E-2</v>
      </c>
      <c r="G21" s="73">
        <v>9.6620246500041303E-3</v>
      </c>
      <c r="H21" s="11" t="s">
        <v>65</v>
      </c>
      <c r="I21" s="70">
        <v>13.686985969543457</v>
      </c>
      <c r="J21" s="74">
        <v>8.2394533157348633</v>
      </c>
    </row>
    <row r="22" spans="1:10" ht="15" customHeight="1">
      <c r="A22" s="7" t="s">
        <v>66</v>
      </c>
      <c r="B22" s="71">
        <v>2.8299999237060547</v>
      </c>
      <c r="C22" s="75">
        <v>1.5</v>
      </c>
      <c r="D22" s="7" t="s">
        <v>67</v>
      </c>
      <c r="E22" s="53" t="s">
        <v>188</v>
      </c>
      <c r="F22" s="53" t="s">
        <v>188</v>
      </c>
      <c r="G22" s="54" t="s">
        <v>188</v>
      </c>
      <c r="H22" s="11" t="s">
        <v>68</v>
      </c>
      <c r="I22" s="70">
        <v>6.9207906723022461</v>
      </c>
      <c r="J22" s="74">
        <v>4.6303071975708008</v>
      </c>
    </row>
    <row r="23" spans="1:10" ht="15" customHeight="1">
      <c r="A23" s="7" t="s">
        <v>69</v>
      </c>
      <c r="B23" s="71">
        <v>11.452754974365234</v>
      </c>
      <c r="C23" s="75">
        <v>14.371195793151855</v>
      </c>
      <c r="D23" s="7" t="s">
        <v>70</v>
      </c>
      <c r="E23" s="70">
        <v>1.7419999837875366</v>
      </c>
      <c r="F23" s="70">
        <v>1.7419999837875366</v>
      </c>
      <c r="G23" s="74">
        <v>1.7419999837875366</v>
      </c>
      <c r="H23" s="11" t="s">
        <v>71</v>
      </c>
      <c r="I23" s="70">
        <v>6.1745250909557372</v>
      </c>
      <c r="J23" s="17" t="s">
        <v>200</v>
      </c>
    </row>
    <row r="24" spans="1:10" ht="15" customHeight="1">
      <c r="A24" s="7" t="s">
        <v>72</v>
      </c>
      <c r="B24" s="71">
        <v>0</v>
      </c>
      <c r="C24" s="75">
        <v>0.80000001192092896</v>
      </c>
      <c r="D24" s="7" t="s">
        <v>73</v>
      </c>
      <c r="E24" s="70">
        <v>8.8900003433227539</v>
      </c>
      <c r="F24" s="70">
        <v>8.8900003433227539</v>
      </c>
      <c r="G24" s="74">
        <v>8.8900003433227539</v>
      </c>
      <c r="H24" s="11" t="s">
        <v>74</v>
      </c>
      <c r="I24" s="70">
        <v>3.8615827479324647</v>
      </c>
      <c r="J24" s="74">
        <v>2.770625449882719</v>
      </c>
    </row>
    <row r="25" spans="1:10" ht="15" customHeight="1">
      <c r="A25" s="7" t="s">
        <v>75</v>
      </c>
      <c r="B25" s="53" t="s">
        <v>174</v>
      </c>
      <c r="C25" s="75">
        <v>0.80000001192092896</v>
      </c>
      <c r="D25" s="111" t="s">
        <v>76</v>
      </c>
      <c r="E25" s="55"/>
      <c r="F25" s="55"/>
      <c r="G25" s="62"/>
      <c r="H25" s="11" t="s">
        <v>77</v>
      </c>
      <c r="I25" s="70">
        <v>0.17516306042671204</v>
      </c>
      <c r="J25" s="74">
        <v>0.34457260370254517</v>
      </c>
    </row>
    <row r="26" spans="1:10" ht="15" customHeight="1">
      <c r="A26" s="7" t="s">
        <v>78</v>
      </c>
      <c r="B26" s="55" t="s">
        <v>181</v>
      </c>
      <c r="C26" s="62" t="s">
        <v>182</v>
      </c>
      <c r="D26" s="11" t="s">
        <v>79</v>
      </c>
      <c r="E26" s="71">
        <v>343.73839711164601</v>
      </c>
      <c r="F26" s="71">
        <v>234.96804307422636</v>
      </c>
      <c r="G26" s="75">
        <v>43.799240591961784</v>
      </c>
      <c r="H26" s="11" t="s">
        <v>80</v>
      </c>
      <c r="I26" s="70">
        <v>2.1094844341278076</v>
      </c>
      <c r="J26" s="74">
        <v>1.7338671684265137</v>
      </c>
    </row>
    <row r="27" spans="1:10" ht="15" customHeight="1" thickBot="1">
      <c r="A27" s="7" t="s">
        <v>81</v>
      </c>
      <c r="B27" s="53" t="s">
        <v>183</v>
      </c>
      <c r="C27" s="54" t="s">
        <v>183</v>
      </c>
      <c r="D27" s="12" t="s">
        <v>82</v>
      </c>
      <c r="E27" s="82" t="s">
        <v>174</v>
      </c>
      <c r="F27" s="82" t="s">
        <v>174</v>
      </c>
      <c r="G27" s="84" t="s">
        <v>174</v>
      </c>
      <c r="H27" s="12" t="s">
        <v>83</v>
      </c>
      <c r="I27" s="81">
        <v>2.1167442798614502</v>
      </c>
      <c r="J27" s="83">
        <v>1.767774224281311</v>
      </c>
    </row>
    <row r="28" spans="1:10" ht="15" customHeight="1">
      <c r="A28" s="7" t="s">
        <v>84</v>
      </c>
      <c r="B28" s="3"/>
      <c r="C28" s="40"/>
      <c r="D28" s="14" t="s">
        <v>85</v>
      </c>
      <c r="E28" s="23"/>
      <c r="F28" s="20"/>
      <c r="G28" s="43"/>
      <c r="H28" s="16"/>
      <c r="I28" s="29" t="s">
        <v>86</v>
      </c>
      <c r="J28" s="16"/>
    </row>
    <row r="29" spans="1:10" ht="15" customHeight="1">
      <c r="A29" s="8"/>
      <c r="B29" s="36" t="s">
        <v>87</v>
      </c>
      <c r="C29" s="77">
        <v>35.001719239581497</v>
      </c>
      <c r="D29" s="8"/>
      <c r="E29" s="4" t="s">
        <v>88</v>
      </c>
      <c r="F29" s="4" t="s">
        <v>89</v>
      </c>
      <c r="G29" s="4" t="s">
        <v>90</v>
      </c>
      <c r="H29" s="17" t="s">
        <v>91</v>
      </c>
      <c r="I29" s="4" t="s">
        <v>92</v>
      </c>
      <c r="J29" s="17" t="s">
        <v>93</v>
      </c>
    </row>
    <row r="30" spans="1:10" ht="15" customHeight="1" thickBot="1">
      <c r="A30" s="9"/>
      <c r="B30" s="65" t="s">
        <v>94</v>
      </c>
      <c r="C30" s="78">
        <v>35.036186419923645</v>
      </c>
      <c r="D30" s="11" t="s">
        <v>95</v>
      </c>
      <c r="E30" s="71">
        <v>21.336632083333335</v>
      </c>
      <c r="F30" s="71">
        <v>871.81917846679687</v>
      </c>
      <c r="G30" s="71">
        <v>13.439919053917794</v>
      </c>
      <c r="H30" s="76">
        <v>237.4560912197216</v>
      </c>
      <c r="I30" s="72">
        <v>102982.58032426937</v>
      </c>
      <c r="J30" s="76">
        <v>5898.3465456370104</v>
      </c>
    </row>
    <row r="31" spans="1:10" ht="15" customHeight="1">
      <c r="A31" s="24" t="s">
        <v>96</v>
      </c>
      <c r="B31" s="149"/>
      <c r="C31" s="28"/>
      <c r="D31" s="11" t="s">
        <v>97</v>
      </c>
      <c r="E31" s="71">
        <v>6.2</v>
      </c>
      <c r="F31" s="71">
        <v>950.92680313643996</v>
      </c>
      <c r="G31" s="71">
        <v>12.321851849795497</v>
      </c>
      <c r="H31" s="76">
        <v>47.117384218728496</v>
      </c>
      <c r="I31" s="72">
        <v>35374.477076675568</v>
      </c>
      <c r="J31" s="76">
        <v>1760.1474817091951</v>
      </c>
    </row>
    <row r="32" spans="1:10" ht="15" customHeight="1">
      <c r="A32" s="7" t="s">
        <v>98</v>
      </c>
      <c r="B32" s="70" t="s">
        <v>242</v>
      </c>
      <c r="C32" s="112"/>
      <c r="D32" s="11" t="s">
        <v>99</v>
      </c>
      <c r="E32" s="71">
        <v>12.76794540327414</v>
      </c>
      <c r="F32" s="71">
        <v>1298.733819799957</v>
      </c>
      <c r="G32" s="71">
        <v>9.0220020527775642</v>
      </c>
      <c r="H32" s="76">
        <v>40.125029755045148</v>
      </c>
      <c r="I32" s="10" t="s">
        <v>100</v>
      </c>
      <c r="J32" s="76">
        <v>7658.4940273462053</v>
      </c>
    </row>
    <row r="33" spans="1:10" ht="15" customHeight="1">
      <c r="A33" s="7" t="s">
        <v>101</v>
      </c>
      <c r="B33" s="70" t="s">
        <v>243</v>
      </c>
      <c r="C33" s="113" t="s">
        <v>102</v>
      </c>
      <c r="D33" s="11" t="s">
        <v>97</v>
      </c>
      <c r="E33" s="71">
        <v>3.6549999237060549</v>
      </c>
      <c r="F33" s="71">
        <v>961.22602960096037</v>
      </c>
      <c r="G33" s="71">
        <v>12.189827186755529</v>
      </c>
      <c r="H33" s="76">
        <v>26.534878026061097</v>
      </c>
      <c r="I33" s="10" t="s">
        <v>103</v>
      </c>
      <c r="J33" s="75" t="s">
        <v>211</v>
      </c>
    </row>
    <row r="34" spans="1:10" ht="15" customHeight="1" thickBot="1">
      <c r="A34" s="18" t="s">
        <v>104</v>
      </c>
      <c r="B34" s="81" t="s">
        <v>244</v>
      </c>
      <c r="C34" s="114">
        <v>11.717179188246861</v>
      </c>
      <c r="D34" s="12" t="s">
        <v>20</v>
      </c>
      <c r="E34" s="81">
        <v>0.20999999046325685</v>
      </c>
      <c r="F34" s="82">
        <v>1777.834791295646</v>
      </c>
      <c r="G34" s="82">
        <v>6.5907019288938793</v>
      </c>
      <c r="H34" s="85">
        <v>1101.3908102377166</v>
      </c>
      <c r="I34" s="10" t="s">
        <v>105</v>
      </c>
      <c r="J34" s="75">
        <v>6.0500001907348633</v>
      </c>
    </row>
    <row r="35" spans="1:10" ht="15" customHeight="1">
      <c r="A35" s="14" t="s">
        <v>106</v>
      </c>
      <c r="B35" s="15"/>
      <c r="C35" s="15"/>
      <c r="D35" s="139" t="s">
        <v>213</v>
      </c>
      <c r="E35" s="150" t="s">
        <v>212</v>
      </c>
      <c r="F35" s="16"/>
      <c r="G35" s="27" t="s">
        <v>107</v>
      </c>
      <c r="H35" s="87" t="s">
        <v>206</v>
      </c>
      <c r="I35" s="11" t="s">
        <v>108</v>
      </c>
      <c r="J35" s="76" t="s">
        <v>210</v>
      </c>
    </row>
    <row r="36" spans="1:10" ht="15" customHeight="1">
      <c r="A36" s="7" t="s">
        <v>109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110</v>
      </c>
      <c r="H36" s="76" t="s">
        <v>204</v>
      </c>
      <c r="I36" s="11" t="s">
        <v>111</v>
      </c>
      <c r="J36" s="76" t="s">
        <v>209</v>
      </c>
    </row>
    <row r="37" spans="1:10" ht="15" customHeight="1" thickBot="1">
      <c r="A37" s="7" t="s">
        <v>112</v>
      </c>
      <c r="B37" s="71" t="s">
        <v>224</v>
      </c>
      <c r="C37" s="71" t="s">
        <v>225</v>
      </c>
      <c r="D37" s="71" t="s">
        <v>226</v>
      </c>
      <c r="E37" s="71" t="s">
        <v>227</v>
      </c>
      <c r="F37" s="75" t="s">
        <v>228</v>
      </c>
      <c r="G37" s="11" t="s">
        <v>113</v>
      </c>
      <c r="H37" s="76" t="s">
        <v>205</v>
      </c>
      <c r="I37" s="12" t="s">
        <v>114</v>
      </c>
      <c r="J37" s="85" t="s">
        <v>208</v>
      </c>
    </row>
    <row r="38" spans="1:10" ht="15" customHeight="1" thickBot="1">
      <c r="A38" s="7" t="s">
        <v>115</v>
      </c>
      <c r="B38" s="70" t="s">
        <v>215</v>
      </c>
      <c r="C38" s="70" t="s">
        <v>216</v>
      </c>
      <c r="D38" s="70" t="s">
        <v>217</v>
      </c>
      <c r="E38" s="70" t="s">
        <v>218</v>
      </c>
      <c r="F38" s="74" t="s">
        <v>218</v>
      </c>
      <c r="G38" s="18" t="s">
        <v>116</v>
      </c>
      <c r="H38" s="85" t="s">
        <v>207</v>
      </c>
      <c r="I38" s="141" t="s">
        <v>214</v>
      </c>
      <c r="J38" s="86">
        <v>17784.912109375</v>
      </c>
    </row>
    <row r="39" spans="1:10" ht="15" customHeight="1">
      <c r="A39" s="7" t="s">
        <v>117</v>
      </c>
      <c r="B39" s="70" t="s">
        <v>219</v>
      </c>
      <c r="C39" s="70" t="s">
        <v>220</v>
      </c>
      <c r="D39" s="70" t="s">
        <v>221</v>
      </c>
      <c r="E39" s="70" t="s">
        <v>222</v>
      </c>
      <c r="F39" s="74" t="s">
        <v>223</v>
      </c>
      <c r="G39" s="14" t="s">
        <v>118</v>
      </c>
      <c r="H39" s="15"/>
      <c r="I39" s="41" t="s">
        <v>119</v>
      </c>
      <c r="J39" s="42" t="s">
        <v>120</v>
      </c>
    </row>
    <row r="40" spans="1:10" ht="15" customHeight="1">
      <c r="A40" s="7" t="s">
        <v>119</v>
      </c>
      <c r="B40" s="69" t="s">
        <v>237</v>
      </c>
      <c r="C40" s="69" t="s">
        <v>238</v>
      </c>
      <c r="D40" s="69" t="s">
        <v>239</v>
      </c>
      <c r="E40" s="69" t="s">
        <v>240</v>
      </c>
      <c r="F40" s="73" t="s">
        <v>241</v>
      </c>
      <c r="G40" s="37" t="s">
        <v>121</v>
      </c>
      <c r="H40" s="93" t="s">
        <v>245</v>
      </c>
      <c r="I40" s="57"/>
      <c r="J40" s="58"/>
    </row>
    <row r="41" spans="1:10" ht="15" customHeight="1">
      <c r="A41" s="7" t="s">
        <v>5</v>
      </c>
      <c r="B41" s="72" t="s">
        <v>232</v>
      </c>
      <c r="C41" s="72" t="s">
        <v>233</v>
      </c>
      <c r="D41" s="72" t="s">
        <v>234</v>
      </c>
      <c r="E41" s="72" t="s">
        <v>235</v>
      </c>
      <c r="F41" s="76" t="s">
        <v>236</v>
      </c>
      <c r="G41" s="38" t="s">
        <v>122</v>
      </c>
      <c r="H41" s="94" t="s">
        <v>246</v>
      </c>
      <c r="I41" s="59"/>
      <c r="J41" s="60"/>
    </row>
    <row r="42" spans="1:10" ht="15" customHeight="1">
      <c r="A42" s="7" t="s">
        <v>123</v>
      </c>
      <c r="B42" s="70">
        <v>4.1650336145321409</v>
      </c>
      <c r="C42" s="70">
        <v>4.1650336145321409</v>
      </c>
      <c r="D42" s="70">
        <v>4.1650336145321409</v>
      </c>
      <c r="E42" s="70">
        <v>4.1650336145321409</v>
      </c>
      <c r="F42" s="74">
        <v>4.1483034286577274</v>
      </c>
      <c r="G42" s="37" t="s">
        <v>124</v>
      </c>
      <c r="H42" s="93" t="s">
        <v>247</v>
      </c>
      <c r="I42" s="57"/>
      <c r="J42" s="99">
        <v>0.19492470675220369</v>
      </c>
    </row>
    <row r="43" spans="1:10" ht="15" customHeight="1" thickBot="1">
      <c r="A43" s="18" t="s">
        <v>125</v>
      </c>
      <c r="B43" s="81">
        <v>4.1650336145321409</v>
      </c>
      <c r="C43" s="81"/>
      <c r="D43" s="81" t="s">
        <v>250</v>
      </c>
      <c r="E43" s="81"/>
      <c r="F43" s="83"/>
      <c r="G43" s="38" t="s">
        <v>122</v>
      </c>
      <c r="H43" s="94" t="s">
        <v>248</v>
      </c>
      <c r="I43" s="59"/>
      <c r="J43" s="60"/>
    </row>
    <row r="44" spans="1:10" ht="15" customHeight="1">
      <c r="A44" s="6" t="s">
        <v>126</v>
      </c>
      <c r="B44" s="146"/>
      <c r="C44" s="3"/>
      <c r="D44" s="3"/>
      <c r="E44" s="6" t="s">
        <v>127</v>
      </c>
      <c r="F44" s="21"/>
      <c r="G44" s="37" t="s">
        <v>128</v>
      </c>
      <c r="H44" s="95">
        <v>3439.3210385031957</v>
      </c>
      <c r="I44" s="92">
        <v>3.6419704458218322E-2</v>
      </c>
      <c r="J44" s="99">
        <v>0.63277917391104432</v>
      </c>
    </row>
    <row r="45" spans="1:10" ht="15" customHeight="1">
      <c r="A45" s="7" t="s">
        <v>129</v>
      </c>
      <c r="B45" s="70">
        <v>0.28274884819984436</v>
      </c>
      <c r="C45" s="5" t="s">
        <v>130</v>
      </c>
      <c r="D45" s="74">
        <v>9.1436933726072311E-3</v>
      </c>
      <c r="E45" s="7" t="s">
        <v>131</v>
      </c>
      <c r="F45" s="76">
        <v>1274.7443095507069</v>
      </c>
      <c r="G45" s="39" t="s">
        <v>122</v>
      </c>
      <c r="H45" s="88" t="s">
        <v>249</v>
      </c>
      <c r="I45" s="61"/>
      <c r="J45" s="62"/>
    </row>
    <row r="46" spans="1:10" ht="15" customHeight="1">
      <c r="A46" s="7" t="s">
        <v>132</v>
      </c>
      <c r="B46" s="70">
        <v>0.17885906994342804</v>
      </c>
      <c r="C46" s="5" t="s">
        <v>133</v>
      </c>
      <c r="D46" s="74">
        <v>6.5210564061999321E-3</v>
      </c>
      <c r="E46" s="7" t="s">
        <v>134</v>
      </c>
      <c r="F46" s="76">
        <v>2284.1456056996444</v>
      </c>
      <c r="G46" s="38" t="s">
        <v>135</v>
      </c>
      <c r="H46" s="96">
        <v>755.91872727745317</v>
      </c>
      <c r="I46" s="59"/>
      <c r="J46" s="60"/>
    </row>
    <row r="47" spans="1:10" ht="15" customHeight="1">
      <c r="A47" s="7" t="s">
        <v>136</v>
      </c>
      <c r="B47" s="70">
        <v>0.46160793304443359</v>
      </c>
      <c r="C47" s="5" t="s">
        <v>137</v>
      </c>
      <c r="D47" s="74">
        <v>7.7487551607191563E-3</v>
      </c>
      <c r="E47" s="7" t="s">
        <v>138</v>
      </c>
      <c r="F47" s="76">
        <v>1871.318706316508</v>
      </c>
      <c r="G47" s="66" t="s">
        <v>139</v>
      </c>
      <c r="H47" s="95">
        <v>3316.4442325073528</v>
      </c>
      <c r="I47" s="92">
        <v>3.5060256872303956E-2</v>
      </c>
      <c r="J47" s="97">
        <v>0.64561708912546834</v>
      </c>
    </row>
    <row r="48" spans="1:10" ht="15" customHeight="1">
      <c r="A48" s="7" t="s">
        <v>140</v>
      </c>
      <c r="B48" s="70">
        <v>1.0646026581525803E-2</v>
      </c>
      <c r="C48" s="5" t="s">
        <v>100</v>
      </c>
      <c r="D48" s="74">
        <v>3.4059531986713409E-2</v>
      </c>
      <c r="E48" s="7" t="s">
        <v>141</v>
      </c>
      <c r="F48" s="76">
        <v>565.54105111556817</v>
      </c>
      <c r="G48" s="67" t="s">
        <v>122</v>
      </c>
      <c r="H48" s="88">
        <v>254.03632573782863</v>
      </c>
      <c r="I48" s="61"/>
      <c r="J48" s="62"/>
    </row>
    <row r="49" spans="1:10" ht="15" customHeight="1" thickBot="1">
      <c r="A49" s="9"/>
      <c r="B49" s="56"/>
      <c r="C49" s="34" t="s">
        <v>142</v>
      </c>
      <c r="D49" s="83">
        <v>0.96594047546386719</v>
      </c>
      <c r="E49" s="18" t="s">
        <v>143</v>
      </c>
      <c r="F49" s="85">
        <v>1224.8339973272252</v>
      </c>
      <c r="G49" s="68" t="s">
        <v>135</v>
      </c>
      <c r="H49" s="96">
        <v>741.42006758036052</v>
      </c>
      <c r="I49" s="59"/>
      <c r="J49" s="63"/>
    </row>
    <row r="50" spans="1:10" ht="15" customHeight="1">
      <c r="A50" s="14" t="s">
        <v>196</v>
      </c>
      <c r="B50" s="15"/>
      <c r="C50" s="15"/>
      <c r="D50" s="15"/>
      <c r="E50" s="15"/>
      <c r="F50" s="16"/>
      <c r="G50" s="14" t="s">
        <v>144</v>
      </c>
      <c r="H50" s="15"/>
      <c r="I50" s="43"/>
      <c r="J50" s="28"/>
    </row>
    <row r="51" spans="1:10" ht="15" customHeight="1">
      <c r="A51" s="11" t="s">
        <v>145</v>
      </c>
      <c r="B51" s="53">
        <v>58</v>
      </c>
      <c r="C51" s="10" t="s">
        <v>146</v>
      </c>
      <c r="D51" s="71" t="s">
        <v>174</v>
      </c>
      <c r="E51" s="10" t="s">
        <v>147</v>
      </c>
      <c r="F51" s="75" t="s">
        <v>174</v>
      </c>
      <c r="G51" s="10" t="s">
        <v>148</v>
      </c>
      <c r="H51" s="69">
        <v>8.4820271074612874E-2</v>
      </c>
      <c r="I51" s="46" t="s">
        <v>149</v>
      </c>
      <c r="J51" s="40"/>
    </row>
    <row r="52" spans="1:10" ht="15" customHeight="1">
      <c r="A52" s="11" t="s">
        <v>58</v>
      </c>
      <c r="B52" s="71">
        <v>36.549999237060547</v>
      </c>
      <c r="C52" s="10" t="s">
        <v>150</v>
      </c>
      <c r="D52" s="71" t="s">
        <v>174</v>
      </c>
      <c r="E52" s="10" t="s">
        <v>151</v>
      </c>
      <c r="F52" s="75" t="s">
        <v>174</v>
      </c>
      <c r="G52" s="10" t="s">
        <v>168</v>
      </c>
      <c r="H52" s="71">
        <v>233985.50031916262</v>
      </c>
      <c r="I52" s="100" t="s">
        <v>229</v>
      </c>
      <c r="J52" s="64"/>
    </row>
    <row r="53" spans="1:10" ht="15" customHeight="1">
      <c r="A53" s="11" t="s">
        <v>64</v>
      </c>
      <c r="B53" s="71">
        <v>3.5</v>
      </c>
      <c r="C53" s="10" t="s">
        <v>152</v>
      </c>
      <c r="D53" s="71" t="s">
        <v>174</v>
      </c>
      <c r="E53" s="10" t="s">
        <v>153</v>
      </c>
      <c r="F53" s="75" t="s">
        <v>174</v>
      </c>
      <c r="G53" s="10" t="s">
        <v>169</v>
      </c>
      <c r="H53" s="70">
        <v>264.91554633508048</v>
      </c>
      <c r="I53" s="45" t="s">
        <v>154</v>
      </c>
      <c r="J53" s="40"/>
    </row>
    <row r="54" spans="1:10" ht="15" customHeight="1">
      <c r="A54" s="11" t="s">
        <v>66</v>
      </c>
      <c r="B54" s="71">
        <v>1.5</v>
      </c>
      <c r="C54" s="10" t="s">
        <v>155</v>
      </c>
      <c r="D54" s="71" t="s">
        <v>174</v>
      </c>
      <c r="E54" s="10" t="s">
        <v>153</v>
      </c>
      <c r="F54" s="75" t="s">
        <v>174</v>
      </c>
      <c r="G54" s="10" t="s">
        <v>170</v>
      </c>
      <c r="H54" s="72">
        <v>494183.4</v>
      </c>
      <c r="I54" s="101" t="s">
        <v>230</v>
      </c>
      <c r="J54" s="102" t="s">
        <v>194</v>
      </c>
    </row>
    <row r="55" spans="1:10" ht="15" customHeight="1">
      <c r="A55" s="11" t="s">
        <v>156</v>
      </c>
      <c r="B55" s="71">
        <v>12.050000190734863</v>
      </c>
      <c r="C55" s="10" t="s">
        <v>157</v>
      </c>
      <c r="D55" s="71" t="s">
        <v>174</v>
      </c>
      <c r="E55" s="10" t="s">
        <v>158</v>
      </c>
      <c r="F55" s="75" t="s">
        <v>174</v>
      </c>
      <c r="G55" s="10" t="s">
        <v>159</v>
      </c>
      <c r="H55" s="71">
        <v>1</v>
      </c>
      <c r="I55" s="45" t="s">
        <v>160</v>
      </c>
      <c r="J55" s="40"/>
    </row>
    <row r="56" spans="1:10" ht="15" customHeight="1" thickBot="1">
      <c r="A56" s="12" t="s">
        <v>161</v>
      </c>
      <c r="B56" s="82" t="s">
        <v>174</v>
      </c>
      <c r="C56" s="22" t="s">
        <v>162</v>
      </c>
      <c r="D56" s="82" t="s">
        <v>174</v>
      </c>
      <c r="E56" s="22" t="s">
        <v>163</v>
      </c>
      <c r="F56" s="84" t="s">
        <v>174</v>
      </c>
      <c r="G56" s="22" t="s">
        <v>164</v>
      </c>
      <c r="H56" s="81">
        <v>0.87493749999999992</v>
      </c>
      <c r="I56" s="103" t="s">
        <v>231</v>
      </c>
      <c r="J56" s="63" t="s">
        <v>195</v>
      </c>
    </row>
    <row r="57" spans="1:10" ht="15" customHeight="1">
      <c r="A57" s="24" t="s">
        <v>395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119</v>
      </c>
      <c r="B58" s="4" t="s">
        <v>165</v>
      </c>
      <c r="C58" s="17" t="s">
        <v>396</v>
      </c>
      <c r="D58" s="4" t="s">
        <v>119</v>
      </c>
      <c r="E58" s="4" t="s">
        <v>165</v>
      </c>
      <c r="F58" s="17" t="s">
        <v>397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0.25188103318214417</v>
      </c>
      <c r="D59" s="130">
        <v>0.68736839294433594</v>
      </c>
      <c r="E59" s="88">
        <v>80.933132670271405</v>
      </c>
      <c r="F59" s="89">
        <v>550.87640380859375</v>
      </c>
      <c r="G59" s="124"/>
      <c r="H59" s="47"/>
      <c r="I59" s="47"/>
      <c r="J59" s="48"/>
    </row>
    <row r="60" spans="1:10" ht="15" customHeight="1">
      <c r="A60" s="132">
        <v>2.0000003278255463E-3</v>
      </c>
      <c r="B60" s="88">
        <v>107.98311947000265</v>
      </c>
      <c r="C60" s="89">
        <v>118.97451019287109</v>
      </c>
      <c r="D60" s="130">
        <v>0.79157894849777222</v>
      </c>
      <c r="E60" s="88">
        <v>80.438436060665069</v>
      </c>
      <c r="F60" s="89">
        <v>556.6412353515625</v>
      </c>
      <c r="G60" s="124"/>
      <c r="H60" s="47"/>
      <c r="I60" s="47"/>
      <c r="J60" s="48"/>
    </row>
    <row r="61" spans="1:10" ht="15" customHeight="1">
      <c r="A61" s="132">
        <v>1.0000001639127731E-2</v>
      </c>
      <c r="B61" s="88">
        <v>230</v>
      </c>
      <c r="C61" s="89">
        <v>374.52499389648438</v>
      </c>
      <c r="D61" s="130">
        <v>0.89578944444656372</v>
      </c>
      <c r="E61" s="88">
        <v>80.154655644963682</v>
      </c>
      <c r="F61" s="89">
        <v>561.42144775390625</v>
      </c>
      <c r="G61" s="124"/>
      <c r="H61" s="47"/>
      <c r="I61" s="47"/>
      <c r="J61" s="48"/>
    </row>
    <row r="62" spans="1:10" ht="15" customHeight="1">
      <c r="A62" s="128">
        <v>6.2105264514684677E-2</v>
      </c>
      <c r="B62" s="88">
        <v>136.86865234264729</v>
      </c>
      <c r="C62" s="89">
        <v>452.07351684570312</v>
      </c>
      <c r="D62" s="131">
        <v>1</v>
      </c>
      <c r="E62" s="88">
        <v>80</v>
      </c>
      <c r="F62" s="89">
        <v>565.45452880859375</v>
      </c>
      <c r="G62" s="124"/>
      <c r="H62" s="47"/>
      <c r="I62" s="47"/>
      <c r="J62" s="48"/>
    </row>
    <row r="63" spans="1:10" ht="15" customHeight="1" thickBot="1">
      <c r="A63" s="128">
        <v>0.11421053111553192</v>
      </c>
      <c r="B63" s="88">
        <v>109.29465770434577</v>
      </c>
      <c r="C63" s="89">
        <v>476.8587646484375</v>
      </c>
      <c r="D63" s="391"/>
      <c r="E63" s="392"/>
      <c r="F63" s="393"/>
      <c r="G63" s="124"/>
      <c r="H63" s="47"/>
      <c r="I63" s="47"/>
      <c r="J63" s="48"/>
    </row>
    <row r="64" spans="1:10" ht="15" customHeight="1">
      <c r="A64" s="128">
        <v>0.16631579399108887</v>
      </c>
      <c r="B64" s="88">
        <v>96.734207192465959</v>
      </c>
      <c r="C64" s="89">
        <v>490.3087158203125</v>
      </c>
      <c r="D64" s="394" t="s">
        <v>430</v>
      </c>
      <c r="E64" s="395"/>
      <c r="F64" s="395"/>
      <c r="G64" s="124"/>
      <c r="H64" s="47"/>
      <c r="I64" s="47"/>
      <c r="J64" s="48"/>
    </row>
    <row r="65" spans="1:10" ht="15" customHeight="1">
      <c r="A65" s="128">
        <v>0.27052631974220276</v>
      </c>
      <c r="B65" s="88">
        <v>88.902140215754031</v>
      </c>
      <c r="C65" s="89">
        <v>508.67672729492187</v>
      </c>
      <c r="D65" s="396" t="s">
        <v>414</v>
      </c>
      <c r="E65" s="398" t="s">
        <v>428</v>
      </c>
      <c r="F65" s="399"/>
      <c r="G65" s="124"/>
      <c r="H65" s="47"/>
      <c r="I65" s="47"/>
      <c r="J65" s="48"/>
    </row>
    <row r="66" spans="1:10" ht="15" customHeight="1">
      <c r="A66" s="128">
        <v>0.37473684549331665</v>
      </c>
      <c r="B66" s="88">
        <v>85.233608408300142</v>
      </c>
      <c r="C66" s="89">
        <v>522.804931640625</v>
      </c>
      <c r="D66" s="396" t="s">
        <v>411</v>
      </c>
      <c r="E66" s="398" t="s">
        <v>429</v>
      </c>
      <c r="F66" s="399"/>
      <c r="G66" s="124"/>
      <c r="H66" s="47"/>
      <c r="I66" s="47"/>
      <c r="J66" s="48"/>
    </row>
    <row r="67" spans="1:10" ht="15" customHeight="1">
      <c r="A67" s="128">
        <v>0.47894737124443054</v>
      </c>
      <c r="B67" s="88">
        <v>83.082776772848618</v>
      </c>
      <c r="C67" s="89">
        <v>534.22894287109375</v>
      </c>
      <c r="D67" s="396" t="s">
        <v>418</v>
      </c>
      <c r="E67" s="398" t="s">
        <v>431</v>
      </c>
      <c r="F67" s="399"/>
      <c r="G67" s="124"/>
      <c r="H67" s="47"/>
      <c r="I67" s="47"/>
      <c r="J67" s="48"/>
    </row>
    <row r="68" spans="1:10" ht="15" customHeight="1" thickBot="1">
      <c r="A68" s="129">
        <v>0.58315789699554443</v>
      </c>
      <c r="B68" s="90">
        <v>81.754339982393248</v>
      </c>
      <c r="C68" s="91">
        <v>543.52783203125</v>
      </c>
      <c r="D68" s="397" t="s">
        <v>419</v>
      </c>
      <c r="E68" s="400" t="s">
        <v>432</v>
      </c>
      <c r="F68" s="400"/>
      <c r="G68" s="125"/>
      <c r="H68" s="49"/>
      <c r="I68" s="49"/>
      <c r="J68" s="50"/>
    </row>
    <row r="69" spans="1:10" ht="1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90" t="s">
        <v>427</v>
      </c>
      <c r="B99" s="390"/>
      <c r="C99" s="390"/>
      <c r="D99" s="390"/>
      <c r="E99" s="390"/>
      <c r="F99" s="390"/>
      <c r="G99" s="390"/>
      <c r="H99" s="390"/>
      <c r="I99" s="390"/>
    </row>
    <row r="100" spans="1:9">
      <c r="A100" s="390">
        <v>100</v>
      </c>
      <c r="B100" s="390"/>
      <c r="C100" s="390"/>
      <c r="D100" s="390"/>
      <c r="E100" s="390"/>
      <c r="F100" s="390"/>
      <c r="G100" s="390"/>
      <c r="H100" s="390"/>
      <c r="I100" s="390"/>
    </row>
    <row r="101" spans="1:9">
      <c r="A101" s="390">
        <v>99.599998474121094</v>
      </c>
      <c r="B101" s="390"/>
      <c r="C101" s="390"/>
      <c r="D101" s="390"/>
      <c r="E101" s="390"/>
      <c r="F101" s="390"/>
      <c r="G101" s="390"/>
      <c r="H101" s="390"/>
      <c r="I101" s="390"/>
    </row>
    <row r="102" spans="1:9">
      <c r="A102" s="390">
        <v>98</v>
      </c>
      <c r="B102" s="390"/>
      <c r="C102" s="390"/>
      <c r="D102" s="390"/>
      <c r="E102" s="390"/>
      <c r="F102" s="390"/>
      <c r="G102" s="390"/>
      <c r="H102" s="390"/>
      <c r="I102" s="390"/>
    </row>
    <row r="103" spans="1:9">
      <c r="A103" s="390">
        <v>83.852630615234375</v>
      </c>
      <c r="B103" s="390"/>
      <c r="C103" s="390"/>
      <c r="D103" s="390"/>
      <c r="E103" s="390"/>
      <c r="F103" s="390"/>
      <c r="G103" s="390"/>
      <c r="H103" s="390"/>
      <c r="I103" s="390"/>
    </row>
    <row r="104" spans="1:9">
      <c r="A104" s="390">
        <v>70.305259704589844</v>
      </c>
      <c r="B104" s="390"/>
      <c r="C104" s="390"/>
      <c r="D104" s="390"/>
      <c r="E104" s="390"/>
      <c r="F104" s="390"/>
      <c r="G104" s="390"/>
      <c r="H104" s="390"/>
      <c r="I104" s="390"/>
    </row>
    <row r="105" spans="1:9">
      <c r="A105" s="390">
        <v>57.410526275634766</v>
      </c>
      <c r="B105" s="390"/>
      <c r="C105" s="390"/>
      <c r="D105" s="390"/>
      <c r="E105" s="390"/>
      <c r="F105" s="390"/>
      <c r="G105" s="390"/>
      <c r="H105" s="390"/>
      <c r="I105" s="390"/>
    </row>
    <row r="106" spans="1:9">
      <c r="A106" s="390">
        <v>38.010524749755859</v>
      </c>
      <c r="B106" s="390"/>
      <c r="C106" s="390"/>
      <c r="D106" s="390"/>
      <c r="E106" s="390"/>
      <c r="F106" s="390"/>
      <c r="G106" s="390"/>
      <c r="H106" s="390"/>
      <c r="I106" s="390"/>
    </row>
    <row r="107" spans="1:9">
      <c r="A107" s="390">
        <v>24.778947830200195</v>
      </c>
      <c r="B107" s="390"/>
      <c r="C107" s="390"/>
      <c r="D107" s="390"/>
      <c r="E107" s="390"/>
      <c r="F107" s="390"/>
      <c r="G107" s="390"/>
      <c r="H107" s="390"/>
      <c r="I107" s="390"/>
    </row>
    <row r="108" spans="1:9">
      <c r="A108" s="390">
        <v>15.684209823608398</v>
      </c>
      <c r="B108" s="390"/>
      <c r="C108" s="390"/>
      <c r="D108" s="390"/>
      <c r="E108" s="390"/>
      <c r="F108" s="390"/>
      <c r="G108" s="390"/>
      <c r="H108" s="390"/>
      <c r="I108" s="390"/>
    </row>
    <row r="109" spans="1:9">
      <c r="A109" s="390">
        <v>9.0105257034301758</v>
      </c>
      <c r="B109" s="390"/>
      <c r="C109" s="390"/>
      <c r="D109" s="390"/>
      <c r="E109" s="390"/>
      <c r="F109" s="390"/>
      <c r="G109" s="390"/>
      <c r="H109" s="390"/>
      <c r="I109" s="390"/>
    </row>
    <row r="110" spans="1:9">
      <c r="A110" s="390">
        <v>6.2526321411132813</v>
      </c>
      <c r="B110" s="390"/>
      <c r="C110" s="390"/>
      <c r="D110" s="390"/>
      <c r="E110" s="390"/>
      <c r="F110" s="390"/>
      <c r="G110" s="390"/>
      <c r="H110" s="390"/>
      <c r="I110" s="390"/>
    </row>
    <row r="111" spans="1:9">
      <c r="A111" s="390">
        <v>7.8315787315368652</v>
      </c>
      <c r="B111" s="390"/>
      <c r="C111" s="390"/>
      <c r="D111" s="390"/>
      <c r="E111" s="390"/>
      <c r="F111" s="390"/>
      <c r="G111" s="390"/>
      <c r="H111" s="390"/>
      <c r="I111" s="390"/>
    </row>
    <row r="112" spans="1:9">
      <c r="A112" s="390">
        <v>14.70526123046875</v>
      </c>
      <c r="B112" s="390"/>
      <c r="C112" s="390"/>
      <c r="D112" s="390"/>
      <c r="E112" s="390"/>
      <c r="F112" s="390"/>
      <c r="G112" s="390"/>
      <c r="H112" s="390"/>
      <c r="I112" s="390"/>
    </row>
    <row r="113" spans="1:9">
      <c r="A113" s="390">
        <v>30</v>
      </c>
      <c r="B113" s="390"/>
      <c r="C113" s="390"/>
      <c r="D113" s="390"/>
      <c r="E113" s="390"/>
      <c r="F113" s="390"/>
      <c r="G113" s="390"/>
      <c r="H113" s="390"/>
      <c r="I113" s="390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workbookViewId="0">
      <selection activeCell="I37" sqref="I37"/>
    </sheetView>
  </sheetViews>
  <sheetFormatPr defaultRowHeight="15.75"/>
  <cols>
    <col min="1" max="1" width="12.140625" style="304" customWidth="1"/>
    <col min="2" max="2" width="6.140625" style="304" customWidth="1"/>
    <col min="3" max="3" width="7.7109375" style="304" customWidth="1"/>
    <col min="4" max="5" width="13.140625" style="304" customWidth="1"/>
    <col min="6" max="6" width="9.42578125" style="304" customWidth="1"/>
    <col min="7" max="7" width="5.7109375" style="304" customWidth="1"/>
    <col min="8" max="8" width="7.85546875" style="304" customWidth="1"/>
    <col min="9" max="9" width="6.5703125" style="304" customWidth="1"/>
    <col min="10" max="10" width="12" style="305" customWidth="1"/>
    <col min="11" max="11" width="12" style="304" customWidth="1"/>
    <col min="12" max="12" width="16" style="153" customWidth="1"/>
    <col min="13" max="26" width="9.140625" style="153"/>
    <col min="27" max="16384" width="9.140625" style="154"/>
  </cols>
  <sheetData>
    <row r="1" spans="1:26" ht="20.25" customHeight="1">
      <c r="A1" s="630" t="s">
        <v>251</v>
      </c>
      <c r="B1" s="630"/>
      <c r="C1" s="630"/>
      <c r="D1" s="630"/>
      <c r="E1" s="630"/>
      <c r="F1" s="630"/>
      <c r="G1" s="630"/>
      <c r="H1" s="630"/>
      <c r="I1" s="630"/>
      <c r="J1" s="630"/>
      <c r="K1" s="630"/>
    </row>
    <row r="2" spans="1:26" ht="20.25" customHeight="1">
      <c r="A2" s="631" t="s">
        <v>252</v>
      </c>
      <c r="B2" s="631"/>
      <c r="C2" s="631"/>
      <c r="D2" s="631"/>
      <c r="E2" s="631"/>
      <c r="F2" s="631"/>
      <c r="G2" s="631"/>
      <c r="H2" s="631"/>
      <c r="I2" s="631"/>
      <c r="J2" s="631"/>
      <c r="K2" s="631"/>
    </row>
    <row r="3" spans="1:26" ht="18.75" customHeight="1" thickBot="1">
      <c r="A3" s="155" t="s">
        <v>1</v>
      </c>
      <c r="B3" s="156" t="s">
        <v>753</v>
      </c>
      <c r="C3" s="157"/>
      <c r="D3" s="157"/>
      <c r="E3" s="157"/>
      <c r="F3" s="158"/>
      <c r="G3" s="157"/>
      <c r="H3" s="157"/>
      <c r="I3" s="155" t="s">
        <v>253</v>
      </c>
      <c r="J3" s="632" t="s">
        <v>754</v>
      </c>
      <c r="K3" s="632"/>
    </row>
    <row r="4" spans="1:26" s="167" customFormat="1" ht="18.399999999999999" customHeight="1" thickBot="1">
      <c r="A4" s="159" t="s">
        <v>751</v>
      </c>
      <c r="B4" s="160"/>
      <c r="C4" s="161"/>
      <c r="D4" s="161"/>
      <c r="E4" s="161"/>
      <c r="F4" s="161"/>
      <c r="G4" s="161"/>
      <c r="H4" s="161"/>
      <c r="I4" s="161"/>
      <c r="J4" s="161"/>
      <c r="K4" s="162"/>
      <c r="L4" s="163"/>
      <c r="M4" s="163"/>
      <c r="N4" s="163"/>
      <c r="O4" s="163"/>
      <c r="P4" s="163"/>
      <c r="Q4" s="164" t="s">
        <v>254</v>
      </c>
      <c r="R4" s="165"/>
      <c r="S4" s="163"/>
      <c r="T4" s="164" t="s">
        <v>255</v>
      </c>
      <c r="U4" s="166"/>
      <c r="V4" s="163"/>
      <c r="W4" s="163"/>
      <c r="X4" s="163"/>
      <c r="Y4" s="163"/>
      <c r="Z4" s="163"/>
    </row>
    <row r="5" spans="1:26" s="167" customFormat="1" ht="18.399999999999999" customHeight="1">
      <c r="A5" s="633" t="s">
        <v>256</v>
      </c>
      <c r="B5" s="634"/>
      <c r="C5" s="634"/>
      <c r="D5" s="168"/>
      <c r="E5" s="169"/>
      <c r="F5" s="170" t="s">
        <v>257</v>
      </c>
      <c r="G5" s="171"/>
      <c r="H5" s="171"/>
      <c r="I5" s="172"/>
      <c r="J5" s="173" t="s">
        <v>258</v>
      </c>
      <c r="K5" s="174" t="s">
        <v>259</v>
      </c>
      <c r="L5" s="163"/>
      <c r="M5" s="163"/>
      <c r="N5" s="163"/>
      <c r="O5" s="163"/>
      <c r="P5" s="163"/>
      <c r="Q5" s="175" t="s">
        <v>260</v>
      </c>
      <c r="R5" s="176"/>
      <c r="S5" s="163"/>
      <c r="T5" s="175" t="s">
        <v>261</v>
      </c>
      <c r="U5" s="177"/>
      <c r="V5" s="163"/>
      <c r="W5" s="163"/>
      <c r="X5" s="163"/>
      <c r="Y5" s="163"/>
      <c r="Z5" s="163"/>
    </row>
    <row r="6" spans="1:26" s="167" customFormat="1" ht="18.399999999999999" customHeight="1">
      <c r="A6" s="635" t="s">
        <v>67</v>
      </c>
      <c r="B6" s="636"/>
      <c r="C6" s="636"/>
      <c r="D6" s="637" t="s">
        <v>265</v>
      </c>
      <c r="E6" s="638"/>
      <c r="F6" s="584" t="s">
        <v>263</v>
      </c>
      <c r="G6" s="585"/>
      <c r="H6" s="585"/>
      <c r="I6" s="585"/>
      <c r="J6" s="585"/>
      <c r="K6" s="586"/>
      <c r="L6" s="163"/>
      <c r="M6" s="163"/>
      <c r="N6" s="163"/>
      <c r="O6" s="163"/>
      <c r="P6" s="163"/>
      <c r="Q6" s="175" t="s">
        <v>264</v>
      </c>
      <c r="R6" s="176"/>
      <c r="S6" s="163"/>
      <c r="T6" s="175" t="s">
        <v>265</v>
      </c>
      <c r="U6" s="177"/>
      <c r="V6" s="163"/>
      <c r="W6" s="163"/>
      <c r="X6" s="163"/>
      <c r="Y6" s="163"/>
      <c r="Z6" s="163"/>
    </row>
    <row r="7" spans="1:26" s="167" customFormat="1" ht="18.399999999999999" customHeight="1">
      <c r="A7" s="626" t="s">
        <v>20</v>
      </c>
      <c r="B7" s="627"/>
      <c r="C7" s="627"/>
      <c r="D7" s="628">
        <v>2.0999999046325701</v>
      </c>
      <c r="E7" s="629"/>
      <c r="F7" s="178" t="s">
        <v>266</v>
      </c>
      <c r="G7" s="179"/>
      <c r="H7" s="180"/>
      <c r="I7" s="181"/>
      <c r="J7" s="182">
        <v>49</v>
      </c>
      <c r="K7" s="183" t="s">
        <v>174</v>
      </c>
      <c r="L7" s="163"/>
      <c r="M7" s="163"/>
      <c r="N7" s="163"/>
      <c r="O7" s="163"/>
      <c r="P7" s="163"/>
      <c r="Q7" s="175" t="s">
        <v>267</v>
      </c>
      <c r="R7" s="176"/>
      <c r="S7" s="163"/>
      <c r="T7" s="175" t="s">
        <v>262</v>
      </c>
      <c r="U7" s="177"/>
      <c r="V7" s="163"/>
      <c r="W7" s="163"/>
      <c r="X7" s="163"/>
      <c r="Y7" s="163"/>
      <c r="Z7" s="163"/>
    </row>
    <row r="8" spans="1:26" s="167" customFormat="1" ht="18.399999999999999" customHeight="1">
      <c r="A8" s="626" t="s">
        <v>268</v>
      </c>
      <c r="B8" s="627"/>
      <c r="C8" s="627"/>
      <c r="D8" s="614">
        <v>924</v>
      </c>
      <c r="E8" s="610"/>
      <c r="F8" s="184" t="s">
        <v>269</v>
      </c>
      <c r="G8" s="185"/>
      <c r="H8" s="186"/>
      <c r="I8" s="187"/>
      <c r="J8" s="188">
        <v>15880</v>
      </c>
      <c r="K8" s="189" t="s">
        <v>174</v>
      </c>
      <c r="L8" s="163"/>
      <c r="M8" s="163"/>
      <c r="N8" s="163"/>
      <c r="O8" s="163"/>
      <c r="P8" s="163"/>
      <c r="Q8" s="175" t="s">
        <v>270</v>
      </c>
      <c r="R8" s="176"/>
      <c r="S8" s="163"/>
      <c r="T8" s="175" t="s">
        <v>271</v>
      </c>
      <c r="U8" s="177"/>
      <c r="V8" s="163"/>
      <c r="W8" s="163"/>
      <c r="X8" s="163"/>
      <c r="Y8" s="163"/>
      <c r="Z8" s="163"/>
    </row>
    <row r="9" spans="1:26" s="167" customFormat="1" ht="18.399999999999999" customHeight="1">
      <c r="A9" s="621" t="s">
        <v>272</v>
      </c>
      <c r="B9" s="622"/>
      <c r="C9" s="623"/>
      <c r="D9" s="614">
        <v>10</v>
      </c>
      <c r="E9" s="610"/>
      <c r="F9" s="178" t="s">
        <v>273</v>
      </c>
      <c r="G9" s="179"/>
      <c r="H9" s="190">
        <v>3</v>
      </c>
      <c r="I9" s="191" t="s">
        <v>274</v>
      </c>
      <c r="J9" s="192">
        <v>339</v>
      </c>
      <c r="K9" s="189" t="s">
        <v>174</v>
      </c>
      <c r="L9" s="163"/>
      <c r="M9" s="163"/>
      <c r="N9" s="163"/>
      <c r="O9" s="163"/>
      <c r="P9" s="163"/>
      <c r="Q9" s="175" t="s">
        <v>275</v>
      </c>
      <c r="R9" s="176"/>
      <c r="S9" s="163"/>
      <c r="T9" s="175" t="s">
        <v>276</v>
      </c>
      <c r="U9" s="177"/>
      <c r="V9" s="163"/>
      <c r="W9" s="163"/>
      <c r="X9" s="163"/>
      <c r="Y9" s="163"/>
      <c r="Z9" s="163"/>
    </row>
    <row r="10" spans="1:26" s="167" customFormat="1" ht="18.399999999999999" customHeight="1" thickBot="1">
      <c r="A10" s="621" t="s">
        <v>277</v>
      </c>
      <c r="B10" s="622"/>
      <c r="C10" s="623"/>
      <c r="D10" s="597" t="s">
        <v>185</v>
      </c>
      <c r="E10" s="598"/>
      <c r="F10" s="178" t="s">
        <v>278</v>
      </c>
      <c r="G10" s="179"/>
      <c r="H10" s="190">
        <v>3</v>
      </c>
      <c r="I10" s="191" t="s">
        <v>274</v>
      </c>
      <c r="J10" s="192">
        <v>1150</v>
      </c>
      <c r="K10" s="189" t="s">
        <v>174</v>
      </c>
      <c r="L10" s="163"/>
      <c r="M10" s="163"/>
      <c r="N10" s="163"/>
      <c r="O10" s="163"/>
      <c r="P10" s="163"/>
      <c r="Q10" s="175" t="s">
        <v>279</v>
      </c>
      <c r="R10" s="176"/>
      <c r="S10" s="163"/>
      <c r="T10" s="193" t="s">
        <v>280</v>
      </c>
      <c r="U10" s="194"/>
      <c r="V10" s="163"/>
      <c r="W10" s="163"/>
      <c r="X10" s="163"/>
      <c r="Y10" s="163"/>
      <c r="Z10" s="163"/>
    </row>
    <row r="11" spans="1:26" s="167" customFormat="1" ht="18.399999999999999" customHeight="1" thickBot="1">
      <c r="A11" s="621" t="s">
        <v>281</v>
      </c>
      <c r="B11" s="622"/>
      <c r="C11" s="623"/>
      <c r="D11" s="592" t="s">
        <v>174</v>
      </c>
      <c r="E11" s="593"/>
      <c r="F11" s="195" t="s">
        <v>282</v>
      </c>
      <c r="G11" s="196"/>
      <c r="H11" s="197">
        <v>3</v>
      </c>
      <c r="I11" s="191" t="s">
        <v>274</v>
      </c>
      <c r="J11" s="198">
        <v>104531</v>
      </c>
      <c r="K11" s="199" t="s">
        <v>174</v>
      </c>
      <c r="L11" s="163"/>
      <c r="M11" s="163"/>
      <c r="N11" s="163"/>
      <c r="O11" s="163"/>
      <c r="P11" s="163"/>
      <c r="Q11" s="193" t="s">
        <v>283</v>
      </c>
      <c r="R11" s="200"/>
      <c r="S11" s="163"/>
      <c r="T11" s="163"/>
      <c r="U11" s="163"/>
      <c r="V11" s="163"/>
      <c r="W11" s="163"/>
      <c r="X11" s="163"/>
      <c r="Y11" s="163"/>
      <c r="Z11" s="163"/>
    </row>
    <row r="12" spans="1:26" s="167" customFormat="1" ht="18.399999999999999" customHeight="1">
      <c r="A12" s="201" t="s">
        <v>284</v>
      </c>
      <c r="C12" s="202"/>
      <c r="D12" s="624" t="s">
        <v>174</v>
      </c>
      <c r="E12" s="625"/>
      <c r="F12" s="594" t="s">
        <v>285</v>
      </c>
      <c r="G12" s="595"/>
      <c r="H12" s="595"/>
      <c r="I12" s="595"/>
      <c r="J12" s="595"/>
      <c r="K12" s="596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</row>
    <row r="13" spans="1:26" s="167" customFormat="1" ht="18.399999999999999" customHeight="1">
      <c r="A13" s="621" t="s">
        <v>53</v>
      </c>
      <c r="B13" s="622"/>
      <c r="C13" s="623"/>
      <c r="D13" s="617" t="s">
        <v>363</v>
      </c>
      <c r="E13" s="618"/>
      <c r="F13" s="203"/>
      <c r="G13" s="204" t="s">
        <v>286</v>
      </c>
      <c r="H13" s="205"/>
      <c r="I13" s="206" t="s">
        <v>287</v>
      </c>
      <c r="J13" s="207" t="s">
        <v>367</v>
      </c>
      <c r="K13" s="208" t="s">
        <v>174</v>
      </c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</row>
    <row r="14" spans="1:26" s="167" customFormat="1" ht="18.399999999999999" customHeight="1">
      <c r="A14" s="621" t="s">
        <v>56</v>
      </c>
      <c r="B14" s="622"/>
      <c r="C14" s="623"/>
      <c r="D14" s="624">
        <v>1459</v>
      </c>
      <c r="E14" s="625"/>
      <c r="F14" s="203"/>
      <c r="G14" s="209" t="s">
        <v>10</v>
      </c>
      <c r="H14" s="210"/>
      <c r="I14" s="210"/>
      <c r="J14" s="192" t="s">
        <v>174</v>
      </c>
      <c r="K14" s="189" t="s">
        <v>174</v>
      </c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</row>
    <row r="15" spans="1:26" s="167" customFormat="1" ht="18.399999999999999" customHeight="1">
      <c r="A15" s="611" t="s">
        <v>288</v>
      </c>
      <c r="B15" s="612"/>
      <c r="C15" s="613"/>
      <c r="D15" s="590">
        <v>14.022000312805176</v>
      </c>
      <c r="E15" s="591"/>
      <c r="F15" s="203"/>
      <c r="G15" s="209" t="s">
        <v>289</v>
      </c>
      <c r="H15" s="210"/>
      <c r="I15" s="210"/>
      <c r="J15" s="192" t="s">
        <v>174</v>
      </c>
      <c r="K15" s="189" t="s">
        <v>174</v>
      </c>
      <c r="L15" s="163"/>
      <c r="M15" s="163"/>
      <c r="N15" s="163"/>
      <c r="O15" s="163"/>
      <c r="P15" s="163"/>
      <c r="Q15" s="163"/>
      <c r="R15" s="163"/>
      <c r="S15" s="163"/>
      <c r="T15" s="163"/>
      <c r="U15" s="163"/>
      <c r="V15" s="163"/>
      <c r="W15" s="163"/>
      <c r="X15" s="163"/>
      <c r="Y15" s="163"/>
      <c r="Z15" s="163"/>
    </row>
    <row r="16" spans="1:26" s="167" customFormat="1" ht="18.399999999999999" customHeight="1">
      <c r="A16" s="587" t="s">
        <v>290</v>
      </c>
      <c r="B16" s="588"/>
      <c r="C16" s="589"/>
      <c r="D16" s="590">
        <v>3.5543997287750244</v>
      </c>
      <c r="E16" s="591"/>
      <c r="F16" s="211"/>
      <c r="G16" s="212" t="s">
        <v>17</v>
      </c>
      <c r="H16" s="213"/>
      <c r="I16" s="213"/>
      <c r="J16" s="198" t="s">
        <v>174</v>
      </c>
      <c r="K16" s="199" t="s">
        <v>174</v>
      </c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</row>
    <row r="17" spans="1:26" s="167" customFormat="1" ht="18.399999999999999" customHeight="1">
      <c r="A17" s="214" t="s">
        <v>291</v>
      </c>
      <c r="B17" s="215"/>
      <c r="C17" s="216"/>
      <c r="D17" s="592" t="s">
        <v>362</v>
      </c>
      <c r="E17" s="593"/>
      <c r="F17" s="594" t="s">
        <v>292</v>
      </c>
      <c r="G17" s="595"/>
      <c r="H17" s="595"/>
      <c r="I17" s="595"/>
      <c r="J17" s="595"/>
      <c r="K17" s="596"/>
      <c r="L17" s="163"/>
      <c r="M17" s="163"/>
      <c r="N17" s="163"/>
      <c r="O17" s="163"/>
      <c r="P17" s="163"/>
      <c r="Q17" s="163"/>
      <c r="R17" s="163"/>
      <c r="S17" s="163"/>
      <c r="T17" s="163"/>
      <c r="U17" s="163"/>
      <c r="V17" s="163"/>
      <c r="W17" s="163"/>
      <c r="X17" s="163"/>
      <c r="Y17" s="163"/>
      <c r="Z17" s="163"/>
    </row>
    <row r="18" spans="1:26" s="167" customFormat="1" ht="18.399999999999999" customHeight="1">
      <c r="A18" s="217" t="s">
        <v>293</v>
      </c>
      <c r="B18" s="218"/>
      <c r="C18" s="216"/>
      <c r="D18" s="597" t="s">
        <v>174</v>
      </c>
      <c r="E18" s="598"/>
      <c r="F18" s="599"/>
      <c r="G18" s="600"/>
      <c r="H18" s="219" t="s">
        <v>294</v>
      </c>
      <c r="I18" s="220"/>
      <c r="J18" s="188">
        <v>220</v>
      </c>
      <c r="K18" s="189"/>
      <c r="L18" s="163"/>
      <c r="M18" s="163">
        <f>J18*6.5</f>
        <v>1430</v>
      </c>
      <c r="N18" s="163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</row>
    <row r="19" spans="1:26" s="167" customFormat="1" ht="18.399999999999999" customHeight="1">
      <c r="A19" s="605" t="s">
        <v>295</v>
      </c>
      <c r="B19" s="606"/>
      <c r="C19" s="607"/>
      <c r="D19" s="608" t="s">
        <v>174</v>
      </c>
      <c r="E19" s="593"/>
      <c r="F19" s="601"/>
      <c r="G19" s="602"/>
      <c r="H19" s="219" t="s">
        <v>5</v>
      </c>
      <c r="I19" s="181"/>
      <c r="J19" s="188">
        <v>1192</v>
      </c>
      <c r="K19" s="189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</row>
    <row r="20" spans="1:26" s="167" customFormat="1" ht="18.399999999999999" customHeight="1" thickBot="1">
      <c r="A20" s="221" t="s">
        <v>296</v>
      </c>
      <c r="C20" s="222"/>
      <c r="D20" s="609" t="s">
        <v>184</v>
      </c>
      <c r="E20" s="610"/>
      <c r="F20" s="601"/>
      <c r="G20" s="602"/>
      <c r="H20" s="219" t="s">
        <v>297</v>
      </c>
      <c r="I20" s="181"/>
      <c r="J20" s="192" t="s">
        <v>338</v>
      </c>
      <c r="K20" s="189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</row>
    <row r="21" spans="1:26" s="167" customFormat="1" ht="18.399999999999999" customHeight="1" thickBot="1">
      <c r="A21" s="611" t="s">
        <v>298</v>
      </c>
      <c r="B21" s="612"/>
      <c r="C21" s="613"/>
      <c r="D21" s="614" t="s">
        <v>174</v>
      </c>
      <c r="E21" s="610"/>
      <c r="F21" s="601"/>
      <c r="G21" s="602"/>
      <c r="H21" s="223" t="s">
        <v>299</v>
      </c>
      <c r="I21" s="181"/>
      <c r="J21" s="192">
        <v>1.1499999999999999</v>
      </c>
      <c r="K21" s="189"/>
      <c r="L21" s="163"/>
      <c r="M21" s="163"/>
      <c r="N21" s="163"/>
      <c r="O21" s="163"/>
      <c r="P21" s="163"/>
      <c r="Q21" s="164" t="s">
        <v>300</v>
      </c>
      <c r="R21" s="166"/>
      <c r="S21" s="163"/>
      <c r="T21" s="163"/>
      <c r="U21" s="163"/>
      <c r="V21" s="163"/>
      <c r="W21" s="163"/>
      <c r="X21" s="163"/>
      <c r="Y21" s="163"/>
      <c r="Z21" s="163"/>
    </row>
    <row r="22" spans="1:26" s="167" customFormat="1" ht="18.399999999999999" customHeight="1">
      <c r="A22" s="217" t="s">
        <v>301</v>
      </c>
      <c r="B22" s="224"/>
      <c r="C22" s="224"/>
      <c r="D22" s="615">
        <v>7.2749999999999995E-2</v>
      </c>
      <c r="E22" s="616"/>
      <c r="F22" s="601"/>
      <c r="G22" s="602"/>
      <c r="H22" s="219" t="s">
        <v>258</v>
      </c>
      <c r="I22" s="181"/>
      <c r="J22" s="192" t="s">
        <v>174</v>
      </c>
      <c r="K22" s="189"/>
      <c r="L22" s="163"/>
      <c r="M22" s="163"/>
      <c r="N22" s="163"/>
      <c r="O22" s="163"/>
      <c r="P22" s="163"/>
      <c r="Q22" s="175" t="s">
        <v>303</v>
      </c>
      <c r="R22" s="177"/>
      <c r="S22" s="163"/>
      <c r="T22" s="163"/>
      <c r="U22" s="163"/>
      <c r="V22" s="163"/>
      <c r="W22" s="163"/>
      <c r="X22" s="163"/>
      <c r="Y22" s="163"/>
      <c r="Z22" s="163"/>
    </row>
    <row r="23" spans="1:26" s="167" customFormat="1" ht="18.399999999999999" customHeight="1">
      <c r="A23" s="225" t="s">
        <v>304</v>
      </c>
      <c r="B23" s="226" t="s">
        <v>305</v>
      </c>
      <c r="C23" s="227"/>
      <c r="D23" s="617">
        <v>783</v>
      </c>
      <c r="E23" s="618"/>
      <c r="F23" s="601"/>
      <c r="G23" s="602"/>
      <c r="H23" s="228" t="s">
        <v>306</v>
      </c>
      <c r="I23" s="229"/>
      <c r="J23" s="230"/>
      <c r="K23" s="231"/>
      <c r="L23" s="163"/>
      <c r="Q23" s="175" t="s">
        <v>307</v>
      </c>
      <c r="R23" s="177"/>
      <c r="S23" s="163"/>
      <c r="T23" s="163"/>
      <c r="U23" s="163"/>
      <c r="V23" s="163"/>
      <c r="W23" s="163"/>
      <c r="X23" s="163"/>
      <c r="Y23" s="163"/>
      <c r="Z23" s="163"/>
    </row>
    <row r="24" spans="1:26" s="167" customFormat="1" ht="18.399999999999999" customHeight="1" thickBot="1">
      <c r="A24" s="232" t="s">
        <v>308</v>
      </c>
      <c r="B24" s="233" t="s">
        <v>309</v>
      </c>
      <c r="C24" s="234"/>
      <c r="D24" s="619" t="s">
        <v>174</v>
      </c>
      <c r="E24" s="620"/>
      <c r="F24" s="601"/>
      <c r="G24" s="602"/>
      <c r="H24" s="219" t="s">
        <v>310</v>
      </c>
      <c r="I24" s="202"/>
      <c r="J24" s="235"/>
      <c r="K24" s="236"/>
      <c r="Q24" s="237" t="s">
        <v>174</v>
      </c>
      <c r="R24" s="238"/>
      <c r="S24" s="163"/>
      <c r="T24" s="163"/>
      <c r="U24" s="163"/>
      <c r="V24" s="163"/>
      <c r="W24" s="163"/>
      <c r="X24" s="163"/>
      <c r="Y24" s="163"/>
      <c r="Z24" s="163"/>
    </row>
    <row r="25" spans="1:26" s="167" customFormat="1" ht="18.399999999999999" customHeight="1">
      <c r="A25" s="239" t="s">
        <v>311</v>
      </c>
      <c r="B25" s="240"/>
      <c r="C25" s="240"/>
      <c r="D25" s="241"/>
      <c r="E25" s="241" t="s">
        <v>312</v>
      </c>
      <c r="F25" s="601"/>
      <c r="G25" s="602"/>
      <c r="H25" s="219" t="s">
        <v>313</v>
      </c>
      <c r="I25" s="202"/>
      <c r="J25" s="242" t="s">
        <v>174</v>
      </c>
      <c r="K25" s="236"/>
      <c r="R25" s="163"/>
      <c r="S25" s="163"/>
      <c r="T25" s="163"/>
      <c r="U25" s="163"/>
      <c r="V25" s="163"/>
      <c r="W25" s="163"/>
      <c r="X25" s="163"/>
      <c r="Y25" s="163"/>
      <c r="Z25" s="163"/>
    </row>
    <row r="26" spans="1:26" s="167" customFormat="1" ht="18.399999999999999" customHeight="1">
      <c r="A26" s="243" t="s">
        <v>314</v>
      </c>
      <c r="B26" s="244"/>
      <c r="C26" s="245"/>
      <c r="D26" s="246" t="s">
        <v>365</v>
      </c>
      <c r="E26" s="246" t="s">
        <v>366</v>
      </c>
      <c r="F26" s="603"/>
      <c r="G26" s="604"/>
      <c r="H26" s="566"/>
      <c r="I26" s="567"/>
      <c r="J26" s="247"/>
      <c r="K26" s="248"/>
      <c r="R26" s="163"/>
      <c r="S26" s="163"/>
      <c r="T26" s="163"/>
      <c r="U26" s="163"/>
      <c r="V26" s="163"/>
      <c r="W26" s="163"/>
      <c r="X26" s="163"/>
      <c r="Y26" s="163"/>
      <c r="Z26" s="163"/>
    </row>
    <row r="27" spans="1:26" s="167" customFormat="1" ht="18.399999999999999" customHeight="1">
      <c r="A27" s="576" t="s">
        <v>315</v>
      </c>
      <c r="B27" s="577"/>
      <c r="C27" s="577"/>
      <c r="D27" s="577"/>
      <c r="E27" s="577"/>
      <c r="F27" s="584" t="s">
        <v>316</v>
      </c>
      <c r="G27" s="585"/>
      <c r="H27" s="585"/>
      <c r="I27" s="585"/>
      <c r="J27" s="585"/>
      <c r="K27" s="586"/>
      <c r="R27" s="163"/>
      <c r="S27" s="163"/>
      <c r="T27" s="163"/>
      <c r="U27" s="163"/>
      <c r="V27" s="163"/>
      <c r="W27" s="163"/>
      <c r="X27" s="163"/>
      <c r="Y27" s="163"/>
      <c r="Z27" s="163"/>
    </row>
    <row r="28" spans="1:26" s="167" customFormat="1" ht="18.399999999999999" customHeight="1">
      <c r="A28" s="570"/>
      <c r="B28" s="571"/>
      <c r="C28" s="571"/>
      <c r="D28" s="571"/>
      <c r="E28" s="572"/>
      <c r="F28" s="249"/>
      <c r="G28" s="250"/>
      <c r="H28" s="209" t="s">
        <v>317</v>
      </c>
      <c r="I28" s="251" t="s">
        <v>364</v>
      </c>
      <c r="J28" s="188">
        <v>1244</v>
      </c>
      <c r="K28" s="252" t="s">
        <v>174</v>
      </c>
      <c r="M28" s="167">
        <f>(J28/J18)*100</f>
        <v>565.45454545454538</v>
      </c>
      <c r="N28" s="253"/>
      <c r="O28" s="253"/>
      <c r="R28" s="163"/>
      <c r="S28" s="163"/>
      <c r="T28" s="163"/>
      <c r="U28" s="163"/>
      <c r="V28" s="163"/>
      <c r="W28" s="163"/>
      <c r="X28" s="163"/>
      <c r="Y28" s="163"/>
      <c r="Z28" s="163"/>
    </row>
    <row r="29" spans="1:26" s="167" customFormat="1" ht="18.399999999999999" customHeight="1">
      <c r="A29" s="570"/>
      <c r="B29" s="571"/>
      <c r="C29" s="571"/>
      <c r="D29" s="571"/>
      <c r="E29" s="572"/>
      <c r="F29" s="254"/>
      <c r="G29" s="255"/>
      <c r="H29" s="209" t="s">
        <v>318</v>
      </c>
      <c r="I29" s="256">
        <v>60</v>
      </c>
      <c r="J29" s="188">
        <v>82</v>
      </c>
      <c r="K29" s="257" t="s">
        <v>174</v>
      </c>
      <c r="Q29" s="163"/>
      <c r="R29" s="163"/>
      <c r="S29" s="163"/>
      <c r="T29" s="163"/>
      <c r="U29" s="163"/>
      <c r="V29" s="163"/>
      <c r="W29" s="163"/>
      <c r="X29" s="163"/>
      <c r="Y29" s="163"/>
      <c r="Z29" s="163"/>
    </row>
    <row r="30" spans="1:26" s="167" customFormat="1" ht="18.399999999999999" customHeight="1">
      <c r="A30" s="570"/>
      <c r="B30" s="571"/>
      <c r="C30" s="571"/>
      <c r="D30" s="571"/>
      <c r="E30" s="572"/>
      <c r="F30" s="254"/>
      <c r="G30" s="255"/>
      <c r="H30" s="209" t="s">
        <v>319</v>
      </c>
      <c r="I30" s="256">
        <v>175</v>
      </c>
      <c r="J30" s="188">
        <v>230</v>
      </c>
      <c r="K30" s="258" t="s">
        <v>174</v>
      </c>
      <c r="L30" s="163"/>
      <c r="R30" s="163"/>
      <c r="S30" s="163"/>
      <c r="T30" s="163"/>
      <c r="U30" s="163"/>
      <c r="V30" s="163"/>
      <c r="W30" s="163"/>
      <c r="X30" s="163"/>
      <c r="Y30" s="163"/>
      <c r="Z30" s="163"/>
    </row>
    <row r="31" spans="1:26" s="167" customFormat="1" ht="18.399999999999999" customHeight="1">
      <c r="A31" s="570"/>
      <c r="B31" s="571"/>
      <c r="C31" s="571"/>
      <c r="D31" s="571"/>
      <c r="E31" s="572"/>
      <c r="F31" s="254"/>
      <c r="G31" s="255"/>
      <c r="H31" s="209" t="s">
        <v>320</v>
      </c>
      <c r="I31" s="210"/>
      <c r="J31" s="259">
        <v>0.64</v>
      </c>
      <c r="K31" s="183" t="s">
        <v>174</v>
      </c>
      <c r="L31" s="163"/>
      <c r="R31" s="163"/>
      <c r="S31" s="163"/>
      <c r="T31" s="163"/>
      <c r="U31" s="163"/>
      <c r="V31" s="163"/>
      <c r="W31" s="163"/>
      <c r="X31" s="163"/>
      <c r="Y31" s="163"/>
      <c r="Z31" s="163"/>
    </row>
    <row r="32" spans="1:26" s="167" customFormat="1" ht="18.399999999999999" customHeight="1">
      <c r="A32" s="573"/>
      <c r="B32" s="574"/>
      <c r="C32" s="574"/>
      <c r="D32" s="574"/>
      <c r="E32" s="575"/>
      <c r="F32" s="254"/>
      <c r="G32" s="260" t="s">
        <v>321</v>
      </c>
      <c r="H32" s="209" t="s">
        <v>322</v>
      </c>
      <c r="I32" s="261"/>
      <c r="J32" s="182">
        <v>96</v>
      </c>
      <c r="K32" s="257" t="s">
        <v>174</v>
      </c>
      <c r="L32" s="163"/>
      <c r="N32" s="262"/>
      <c r="R32" s="163"/>
      <c r="S32" s="163"/>
      <c r="T32" s="163"/>
      <c r="U32" s="163"/>
      <c r="V32" s="163"/>
      <c r="W32" s="163"/>
      <c r="X32" s="163"/>
      <c r="Y32" s="163"/>
      <c r="Z32" s="163"/>
    </row>
    <row r="33" spans="1:26" s="167" customFormat="1" ht="18.399999999999999" customHeight="1">
      <c r="A33" s="576" t="s">
        <v>323</v>
      </c>
      <c r="B33" s="577"/>
      <c r="C33" s="577"/>
      <c r="D33" s="577"/>
      <c r="E33" s="578"/>
      <c r="F33" s="263"/>
      <c r="G33" s="264"/>
      <c r="H33" s="265" t="s">
        <v>324</v>
      </c>
      <c r="I33" s="266"/>
      <c r="J33" s="267">
        <v>89.4</v>
      </c>
      <c r="K33" s="268" t="s">
        <v>174</v>
      </c>
      <c r="L33" s="163"/>
      <c r="R33" s="163"/>
      <c r="S33" s="163"/>
      <c r="T33" s="163"/>
      <c r="U33" s="163"/>
      <c r="V33" s="163"/>
      <c r="W33" s="163"/>
      <c r="X33" s="163"/>
      <c r="Y33" s="163"/>
      <c r="Z33" s="163"/>
    </row>
    <row r="34" spans="1:26" s="167" customFormat="1" ht="18.399999999999999" customHeight="1">
      <c r="A34" s="570"/>
      <c r="B34" s="571"/>
      <c r="C34" s="571"/>
      <c r="D34" s="571"/>
      <c r="E34" s="572"/>
      <c r="F34" s="184" t="s">
        <v>325</v>
      </c>
      <c r="G34" s="269"/>
      <c r="H34" s="270" t="s">
        <v>14</v>
      </c>
      <c r="I34" s="271"/>
      <c r="J34" s="272">
        <v>12425</v>
      </c>
      <c r="K34" s="273" t="s">
        <v>174</v>
      </c>
      <c r="L34" s="274"/>
      <c r="M34" s="275"/>
      <c r="R34" s="163"/>
      <c r="S34" s="163"/>
      <c r="T34" s="163"/>
      <c r="U34" s="163"/>
      <c r="V34" s="163"/>
      <c r="W34" s="163"/>
      <c r="X34" s="163"/>
      <c r="Y34" s="163"/>
      <c r="Z34" s="163"/>
    </row>
    <row r="35" spans="1:26" s="167" customFormat="1" ht="18.399999999999999" customHeight="1">
      <c r="A35" s="570"/>
      <c r="B35" s="571"/>
      <c r="C35" s="571"/>
      <c r="D35" s="571"/>
      <c r="E35" s="572"/>
      <c r="F35" s="203"/>
      <c r="G35" s="276"/>
      <c r="H35" s="277" t="s">
        <v>15</v>
      </c>
      <c r="I35" s="278"/>
      <c r="J35" s="188">
        <v>8709</v>
      </c>
      <c r="K35" s="183" t="s">
        <v>174</v>
      </c>
      <c r="L35" s="279"/>
      <c r="M35" s="275"/>
      <c r="R35" s="163"/>
      <c r="S35" s="163"/>
      <c r="T35" s="163"/>
      <c r="U35" s="163"/>
      <c r="V35" s="163"/>
      <c r="W35" s="163"/>
      <c r="X35" s="163"/>
      <c r="Y35" s="163"/>
      <c r="Z35" s="163"/>
    </row>
    <row r="36" spans="1:26" s="167" customFormat="1" ht="18.399999999999999" customHeight="1">
      <c r="A36" s="570"/>
      <c r="B36" s="571"/>
      <c r="C36" s="571"/>
      <c r="D36" s="571"/>
      <c r="E36" s="572"/>
      <c r="F36" s="203"/>
      <c r="G36" s="276"/>
      <c r="H36" s="277" t="s">
        <v>326</v>
      </c>
      <c r="I36" s="278"/>
      <c r="J36" s="188">
        <v>6013</v>
      </c>
      <c r="K36" s="183" t="s">
        <v>174</v>
      </c>
      <c r="L36" s="279"/>
      <c r="M36" s="253"/>
      <c r="Q36" s="163"/>
      <c r="R36" s="163"/>
      <c r="S36" s="163"/>
      <c r="T36" s="163"/>
      <c r="U36" s="163"/>
      <c r="V36" s="163"/>
      <c r="W36" s="163"/>
      <c r="X36" s="163"/>
      <c r="Y36" s="163"/>
      <c r="Z36" s="163"/>
    </row>
    <row r="37" spans="1:26" s="167" customFormat="1" ht="18.399999999999999" customHeight="1">
      <c r="A37" s="570"/>
      <c r="B37" s="571"/>
      <c r="C37" s="571"/>
      <c r="D37" s="571"/>
      <c r="E37" s="572"/>
      <c r="F37" s="254"/>
      <c r="G37" s="276"/>
      <c r="H37" s="277" t="s">
        <v>755</v>
      </c>
      <c r="I37" s="278"/>
      <c r="J37" s="188">
        <v>8700</v>
      </c>
      <c r="K37" s="183" t="s">
        <v>174</v>
      </c>
      <c r="L37" s="279"/>
      <c r="M37" s="253"/>
      <c r="N37" s="279"/>
      <c r="R37" s="163"/>
      <c r="S37" s="163"/>
      <c r="T37" s="163"/>
      <c r="U37" s="163"/>
      <c r="V37" s="163"/>
      <c r="W37" s="163"/>
      <c r="X37" s="163"/>
      <c r="Y37" s="163"/>
      <c r="Z37" s="163"/>
    </row>
    <row r="38" spans="1:26" s="167" customFormat="1" ht="18.399999999999999" customHeight="1">
      <c r="A38" s="573"/>
      <c r="B38" s="574"/>
      <c r="C38" s="574"/>
      <c r="D38" s="574"/>
      <c r="E38" s="575"/>
      <c r="F38" s="211"/>
      <c r="G38" s="280"/>
      <c r="H38" s="281" t="s">
        <v>327</v>
      </c>
      <c r="I38" s="282"/>
      <c r="J38" s="283">
        <v>17785</v>
      </c>
      <c r="K38" s="284" t="s">
        <v>174</v>
      </c>
      <c r="R38" s="163"/>
      <c r="S38" s="163"/>
      <c r="T38" s="163"/>
      <c r="U38" s="163"/>
      <c r="V38" s="163"/>
      <c r="W38" s="163"/>
      <c r="X38" s="163"/>
      <c r="Y38" s="163"/>
      <c r="Z38" s="163"/>
    </row>
    <row r="39" spans="1:26" s="167" customFormat="1" ht="18.399999999999999" customHeight="1">
      <c r="A39" s="576" t="s">
        <v>328</v>
      </c>
      <c r="B39" s="577"/>
      <c r="C39" s="577"/>
      <c r="D39" s="577"/>
      <c r="E39" s="577"/>
      <c r="F39" s="285" t="s">
        <v>329</v>
      </c>
      <c r="G39" s="286"/>
      <c r="H39" s="286"/>
      <c r="I39" s="286"/>
      <c r="J39" s="286"/>
      <c r="K39" s="287"/>
      <c r="R39" s="163"/>
      <c r="S39" s="163"/>
      <c r="T39" s="163"/>
      <c r="U39" s="163"/>
      <c r="V39" s="163"/>
      <c r="W39" s="163"/>
      <c r="X39" s="163"/>
      <c r="Y39" s="163"/>
      <c r="Z39" s="163"/>
    </row>
    <row r="40" spans="1:26" s="167" customFormat="1" ht="18.399999999999999" customHeight="1">
      <c r="A40" s="570"/>
      <c r="B40" s="571"/>
      <c r="C40" s="571"/>
      <c r="D40" s="571"/>
      <c r="E40" s="572"/>
      <c r="F40" s="288"/>
      <c r="G40" s="289"/>
      <c r="H40" s="289"/>
      <c r="I40" s="289"/>
      <c r="J40" s="289"/>
      <c r="K40" s="290"/>
      <c r="R40" s="163"/>
      <c r="S40" s="163"/>
      <c r="T40" s="163"/>
      <c r="U40" s="163"/>
      <c r="V40" s="163"/>
      <c r="W40" s="163"/>
      <c r="X40" s="163"/>
      <c r="Y40" s="163"/>
      <c r="Z40" s="163"/>
    </row>
    <row r="41" spans="1:26" s="167" customFormat="1" ht="18.399999999999999" customHeight="1">
      <c r="A41" s="570"/>
      <c r="B41" s="571"/>
      <c r="C41" s="571"/>
      <c r="D41" s="571"/>
      <c r="E41" s="572"/>
      <c r="F41" s="288"/>
      <c r="G41" s="291"/>
      <c r="H41" s="291"/>
      <c r="I41" s="291"/>
      <c r="J41" s="291"/>
      <c r="K41" s="292"/>
      <c r="L41" s="293"/>
      <c r="R41" s="163"/>
      <c r="S41" s="163"/>
      <c r="T41" s="163"/>
      <c r="U41" s="163"/>
      <c r="V41" s="163"/>
      <c r="W41" s="163"/>
      <c r="X41" s="163"/>
      <c r="Y41" s="163"/>
      <c r="Z41" s="163"/>
    </row>
    <row r="42" spans="1:26" s="167" customFormat="1" ht="18.399999999999999" customHeight="1">
      <c r="A42" s="570"/>
      <c r="B42" s="571"/>
      <c r="C42" s="571"/>
      <c r="D42" s="571"/>
      <c r="E42" s="572"/>
      <c r="F42" s="288"/>
      <c r="G42" s="291"/>
      <c r="H42" s="291"/>
      <c r="I42" s="291"/>
      <c r="J42" s="291"/>
      <c r="K42" s="292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</row>
    <row r="43" spans="1:26" s="167" customFormat="1" ht="18.399999999999999" customHeight="1">
      <c r="A43" s="570"/>
      <c r="B43" s="571"/>
      <c r="C43" s="571"/>
      <c r="D43" s="571"/>
      <c r="E43" s="572"/>
      <c r="F43" s="288"/>
      <c r="G43" s="549" t="s">
        <v>748</v>
      </c>
      <c r="H43" s="549"/>
      <c r="I43" s="549"/>
      <c r="J43" s="291"/>
      <c r="K43" s="292"/>
      <c r="L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3"/>
      <c r="Z43" s="163"/>
    </row>
    <row r="44" spans="1:26" s="167" customFormat="1" ht="17.100000000000001" customHeight="1" thickBot="1">
      <c r="A44" s="579"/>
      <c r="B44" s="580"/>
      <c r="C44" s="580"/>
      <c r="D44" s="580"/>
      <c r="E44" s="581"/>
      <c r="F44" s="288"/>
      <c r="G44" s="549" t="s">
        <v>756</v>
      </c>
      <c r="H44" s="549"/>
      <c r="I44" s="549"/>
      <c r="J44" s="291"/>
      <c r="K44" s="292"/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</row>
    <row r="45" spans="1:26" s="167" customFormat="1" ht="17.100000000000001" customHeight="1">
      <c r="A45" s="294" t="s">
        <v>330</v>
      </c>
      <c r="B45" s="582"/>
      <c r="C45" s="583"/>
      <c r="D45" s="295" t="s">
        <v>331</v>
      </c>
      <c r="E45" s="296" t="s">
        <v>332</v>
      </c>
      <c r="F45" s="297"/>
      <c r="G45" s="549"/>
      <c r="H45" s="549"/>
      <c r="I45" s="549"/>
      <c r="J45" s="291"/>
      <c r="K45" s="292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</row>
    <row r="46" spans="1:26" s="167" customFormat="1" ht="17.100000000000001" customHeight="1" thickBot="1">
      <c r="A46" s="298" t="s">
        <v>333</v>
      </c>
      <c r="B46" s="568"/>
      <c r="C46" s="569"/>
      <c r="D46" s="299" t="s">
        <v>333</v>
      </c>
      <c r="E46" s="300">
        <v>41992</v>
      </c>
      <c r="F46" s="301"/>
      <c r="G46" s="550" t="s">
        <v>749</v>
      </c>
      <c r="H46" s="550"/>
      <c r="I46" s="550"/>
      <c r="J46" s="302"/>
      <c r="K46" s="30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</row>
    <row r="47" spans="1:26" s="167" customFormat="1" ht="17.100000000000001" customHeight="1">
      <c r="F47" s="304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</row>
    <row r="48" spans="1:26" s="167" customFormat="1" ht="17.100000000000001" customHeight="1">
      <c r="F48" s="163"/>
      <c r="G48" s="163"/>
      <c r="H48" s="163"/>
      <c r="I48" s="163"/>
      <c r="J48" s="163"/>
      <c r="K48" s="163"/>
    </row>
    <row r="49" spans="2:26" ht="17.100000000000001" customHeight="1">
      <c r="F49" s="153"/>
      <c r="G49" s="153"/>
      <c r="H49" s="153"/>
      <c r="I49" s="153"/>
      <c r="J49" s="153"/>
      <c r="K49" s="153"/>
      <c r="L49" s="154"/>
      <c r="M49" s="154"/>
      <c r="N49" s="154"/>
      <c r="O49" s="154"/>
      <c r="P49" s="154"/>
      <c r="Q49" s="154"/>
      <c r="R49" s="154"/>
      <c r="S49" s="154"/>
      <c r="T49" s="154"/>
      <c r="U49" s="154"/>
      <c r="V49" s="154"/>
      <c r="W49" s="154"/>
      <c r="X49" s="154"/>
      <c r="Y49" s="154"/>
      <c r="Z49" s="154"/>
    </row>
    <row r="50" spans="2:26">
      <c r="F50" s="153"/>
      <c r="G50" s="153"/>
      <c r="H50" s="153"/>
      <c r="I50" s="153"/>
      <c r="J50" s="153"/>
      <c r="K50" s="153"/>
      <c r="L50" s="154"/>
      <c r="M50" s="154"/>
      <c r="N50" s="154"/>
      <c r="O50" s="154"/>
      <c r="P50" s="154"/>
      <c r="Q50" s="154"/>
      <c r="R50" s="154"/>
      <c r="S50" s="154"/>
      <c r="T50" s="154"/>
      <c r="U50" s="154"/>
      <c r="V50" s="154"/>
      <c r="W50" s="154"/>
      <c r="X50" s="154"/>
      <c r="Y50" s="154"/>
      <c r="Z50" s="154"/>
    </row>
    <row r="51" spans="2:26">
      <c r="F51" s="153"/>
      <c r="G51" s="153"/>
      <c r="H51" s="153"/>
      <c r="I51" s="153"/>
      <c r="J51" s="153"/>
      <c r="K51" s="153"/>
      <c r="L51" s="154"/>
      <c r="M51" s="154"/>
      <c r="N51" s="154"/>
      <c r="O51" s="154"/>
      <c r="P51" s="154"/>
      <c r="Q51" s="154"/>
      <c r="R51" s="154"/>
      <c r="S51" s="154"/>
      <c r="T51" s="154"/>
      <c r="U51" s="154"/>
      <c r="V51" s="154"/>
      <c r="W51" s="154"/>
      <c r="X51" s="154"/>
      <c r="Y51" s="154"/>
      <c r="Z51" s="154"/>
    </row>
    <row r="52" spans="2:26"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Q52" s="154"/>
      <c r="R52" s="154"/>
      <c r="S52" s="154"/>
      <c r="T52" s="154"/>
      <c r="U52" s="154"/>
      <c r="V52" s="154"/>
      <c r="W52" s="154"/>
      <c r="X52" s="154"/>
      <c r="Y52" s="154"/>
      <c r="Z52" s="154"/>
    </row>
    <row r="53" spans="2:26">
      <c r="F53" s="153"/>
      <c r="G53" s="153"/>
      <c r="H53" s="153"/>
      <c r="I53" s="153"/>
      <c r="J53" s="153"/>
      <c r="K53" s="153"/>
      <c r="Q53" s="154"/>
      <c r="R53" s="154"/>
      <c r="S53" s="154"/>
      <c r="T53" s="154"/>
      <c r="U53" s="154"/>
      <c r="V53" s="154"/>
      <c r="W53" s="154"/>
      <c r="X53" s="154"/>
      <c r="Y53" s="154"/>
      <c r="Z53" s="154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B46:C46"/>
    <mergeCell ref="A28:E32"/>
    <mergeCell ref="A33:E33"/>
    <mergeCell ref="A34:E38"/>
    <mergeCell ref="A39:E39"/>
    <mergeCell ref="A40:E44"/>
    <mergeCell ref="B45:C45"/>
    <mergeCell ref="A27:E27"/>
    <mergeCell ref="F27:K27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22" zoomScale="75" zoomScaleNormal="75" workbookViewId="0"/>
  </sheetViews>
  <sheetFormatPr defaultColWidth="9.140625" defaultRowHeight="12.75"/>
  <cols>
    <col min="1" max="1" width="9.140625" style="311" customWidth="1"/>
    <col min="2" max="2" width="18.140625" style="311" customWidth="1"/>
    <col min="3" max="3" width="21.5703125" style="311" customWidth="1"/>
    <col min="4" max="4" width="21.28515625" style="311" bestFit="1" customWidth="1"/>
    <col min="5" max="5" width="6.85546875" style="311" bestFit="1" customWidth="1"/>
    <col min="6" max="6" width="29.85546875" style="311" customWidth="1"/>
    <col min="7" max="7" width="43.7109375" style="311" customWidth="1"/>
    <col min="8" max="8" width="17.140625" style="311" customWidth="1"/>
    <col min="9" max="9" width="7.85546875" style="311" customWidth="1"/>
    <col min="10" max="10" width="2.28515625" style="311" bestFit="1" customWidth="1"/>
    <col min="11" max="12" width="2.28515625" style="311" customWidth="1"/>
    <col min="13" max="13" width="2.5703125" style="311" bestFit="1" customWidth="1"/>
    <col min="14" max="14" width="2.28515625" style="311" bestFit="1" customWidth="1"/>
    <col min="15" max="16384" width="9.140625" style="311"/>
  </cols>
  <sheetData>
    <row r="1" spans="2:14" ht="12.75" customHeight="1">
      <c r="B1" s="306"/>
      <c r="C1" s="307"/>
      <c r="D1" s="307"/>
      <c r="E1" s="307"/>
      <c r="F1" s="307"/>
      <c r="G1" s="307"/>
      <c r="H1" s="308"/>
      <c r="I1" s="309"/>
      <c r="J1" s="310" t="s">
        <v>334</v>
      </c>
      <c r="K1" s="310" t="s">
        <v>335</v>
      </c>
      <c r="L1" s="310" t="s">
        <v>336</v>
      </c>
      <c r="M1" s="310" t="s">
        <v>335</v>
      </c>
      <c r="N1" s="310"/>
    </row>
    <row r="2" spans="2:14" ht="12.75" customHeight="1">
      <c r="B2" s="663" t="s">
        <v>337</v>
      </c>
      <c r="C2" s="664"/>
      <c r="D2" s="664"/>
      <c r="E2" s="664"/>
      <c r="F2" s="664"/>
      <c r="G2" s="664"/>
      <c r="H2" s="312"/>
      <c r="I2" s="313"/>
      <c r="J2" s="314" t="s">
        <v>338</v>
      </c>
      <c r="K2" s="314" t="s">
        <v>339</v>
      </c>
      <c r="L2" s="314" t="s">
        <v>340</v>
      </c>
      <c r="M2" s="314" t="s">
        <v>341</v>
      </c>
      <c r="N2" s="314" t="s">
        <v>342</v>
      </c>
    </row>
    <row r="3" spans="2:14" ht="12.75" customHeight="1">
      <c r="B3" s="663"/>
      <c r="C3" s="664"/>
      <c r="D3" s="664"/>
      <c r="E3" s="664"/>
      <c r="F3" s="664"/>
      <c r="G3" s="664"/>
      <c r="H3" s="312"/>
      <c r="I3" s="313"/>
      <c r="J3" s="314" t="s">
        <v>343</v>
      </c>
      <c r="K3" s="314"/>
      <c r="L3" s="314" t="s">
        <v>344</v>
      </c>
      <c r="M3" s="314" t="s">
        <v>334</v>
      </c>
      <c r="N3" s="314"/>
    </row>
    <row r="4" spans="2:14" ht="12.75" customHeight="1">
      <c r="B4" s="663"/>
      <c r="C4" s="664"/>
      <c r="D4" s="664"/>
      <c r="E4" s="664"/>
      <c r="F4" s="664"/>
      <c r="G4" s="664"/>
      <c r="H4" s="312"/>
      <c r="I4" s="313"/>
      <c r="J4" s="314" t="s">
        <v>345</v>
      </c>
      <c r="K4" s="314"/>
      <c r="L4" s="314" t="s">
        <v>340</v>
      </c>
      <c r="M4" s="314" t="s">
        <v>338</v>
      </c>
      <c r="N4" s="314"/>
    </row>
    <row r="5" spans="2:14" ht="12.75" customHeight="1">
      <c r="B5" s="315"/>
      <c r="C5" s="316"/>
      <c r="D5" s="316"/>
      <c r="E5" s="316"/>
      <c r="F5" s="316"/>
      <c r="G5" s="316"/>
      <c r="H5" s="312"/>
      <c r="I5" s="313"/>
      <c r="J5" s="314"/>
      <c r="K5" s="314" t="s">
        <v>346</v>
      </c>
      <c r="L5" s="314" t="s">
        <v>335</v>
      </c>
      <c r="M5" s="314"/>
      <c r="N5" s="314" t="s">
        <v>340</v>
      </c>
    </row>
    <row r="6" spans="2:14" ht="12" customHeight="1">
      <c r="B6" s="317"/>
      <c r="C6" s="318"/>
      <c r="D6" s="318"/>
      <c r="F6" s="318"/>
      <c r="H6" s="319"/>
      <c r="I6" s="313"/>
      <c r="J6" s="314" t="s">
        <v>339</v>
      </c>
      <c r="K6" s="314" t="s">
        <v>347</v>
      </c>
      <c r="L6" s="314"/>
      <c r="M6" s="314" t="s">
        <v>335</v>
      </c>
      <c r="N6" s="314" t="s">
        <v>348</v>
      </c>
    </row>
    <row r="7" spans="2:14" ht="12.75" customHeight="1">
      <c r="B7" s="317"/>
      <c r="D7" s="320"/>
      <c r="H7" s="319"/>
      <c r="I7" s="313"/>
      <c r="J7" s="314" t="s">
        <v>349</v>
      </c>
      <c r="K7" s="314" t="s">
        <v>343</v>
      </c>
      <c r="L7" s="314" t="s">
        <v>343</v>
      </c>
      <c r="M7" s="314" t="s">
        <v>338</v>
      </c>
      <c r="N7" s="314" t="s">
        <v>350</v>
      </c>
    </row>
    <row r="8" spans="2:14" ht="12.75" customHeight="1">
      <c r="B8" s="317"/>
      <c r="G8" s="320"/>
      <c r="H8" s="321"/>
      <c r="I8" s="314" t="s">
        <v>350</v>
      </c>
      <c r="J8" s="314" t="s">
        <v>335</v>
      </c>
      <c r="K8" s="314" t="s">
        <v>351</v>
      </c>
      <c r="L8" s="314" t="s">
        <v>338</v>
      </c>
      <c r="M8" s="314" t="s">
        <v>350</v>
      </c>
      <c r="N8" s="314" t="s">
        <v>347</v>
      </c>
    </row>
    <row r="9" spans="2:14">
      <c r="B9" s="314" t="s">
        <v>352</v>
      </c>
      <c r="C9" s="321" t="s">
        <v>353</v>
      </c>
      <c r="D9" s="321" t="s">
        <v>354</v>
      </c>
      <c r="E9" s="321" t="s">
        <v>355</v>
      </c>
      <c r="F9" s="314" t="s">
        <v>356</v>
      </c>
      <c r="G9" s="314" t="s">
        <v>357</v>
      </c>
      <c r="H9" s="314" t="s">
        <v>358</v>
      </c>
      <c r="I9" s="314" t="s">
        <v>345</v>
      </c>
      <c r="J9" s="314" t="s">
        <v>349</v>
      </c>
      <c r="K9" s="314" t="s">
        <v>338</v>
      </c>
      <c r="L9" s="314" t="s">
        <v>351</v>
      </c>
      <c r="M9" s="314" t="s">
        <v>335</v>
      </c>
      <c r="N9" s="314" t="s">
        <v>336</v>
      </c>
    </row>
    <row r="10" spans="2:14" ht="15" customHeight="1">
      <c r="B10" s="322"/>
      <c r="C10" s="323"/>
      <c r="D10" s="323"/>
      <c r="E10" s="323"/>
      <c r="F10" s="324"/>
      <c r="G10" s="325"/>
      <c r="H10" s="325"/>
      <c r="I10" s="326"/>
      <c r="J10" s="327"/>
      <c r="K10" s="327"/>
      <c r="L10" s="327"/>
      <c r="M10" s="327"/>
      <c r="N10" s="328"/>
    </row>
    <row r="11" spans="2:14" ht="15" customHeight="1">
      <c r="B11" s="322"/>
      <c r="C11" s="324"/>
      <c r="D11" s="324"/>
      <c r="E11" s="324"/>
      <c r="F11" s="324"/>
      <c r="G11" s="324"/>
      <c r="H11" s="324"/>
      <c r="I11" s="329"/>
      <c r="J11" s="327"/>
      <c r="K11" s="327"/>
      <c r="L11" s="327"/>
      <c r="M11" s="327"/>
      <c r="N11" s="328"/>
    </row>
    <row r="12" spans="2:14" ht="15" customHeight="1">
      <c r="B12" s="322"/>
      <c r="C12" s="324"/>
      <c r="D12" s="324"/>
      <c r="E12" s="324"/>
      <c r="F12" s="324"/>
      <c r="G12" s="324"/>
      <c r="H12" s="324"/>
      <c r="I12" s="329"/>
      <c r="J12" s="330"/>
      <c r="K12" s="327"/>
      <c r="L12" s="327"/>
      <c r="M12" s="327"/>
      <c r="N12" s="328"/>
    </row>
    <row r="13" spans="2:14" ht="15" customHeight="1">
      <c r="B13" s="322"/>
      <c r="C13" s="324"/>
      <c r="D13" s="324"/>
      <c r="E13" s="324"/>
      <c r="F13" s="324"/>
      <c r="G13" s="324"/>
      <c r="H13" s="324"/>
      <c r="I13" s="329"/>
      <c r="J13" s="327"/>
      <c r="K13" s="327"/>
      <c r="L13" s="327"/>
      <c r="M13" s="327"/>
      <c r="N13" s="328"/>
    </row>
    <row r="14" spans="2:14" ht="15" customHeight="1">
      <c r="B14" s="322"/>
      <c r="C14" s="324"/>
      <c r="D14" s="324"/>
      <c r="E14" s="324"/>
      <c r="F14" s="324"/>
      <c r="G14" s="324"/>
      <c r="H14" s="324"/>
      <c r="I14" s="329"/>
      <c r="J14" s="327"/>
      <c r="K14" s="327"/>
      <c r="L14" s="327"/>
      <c r="M14" s="327"/>
      <c r="N14" s="328"/>
    </row>
    <row r="15" spans="2:14" ht="15" customHeight="1">
      <c r="B15" s="322"/>
      <c r="C15" s="324"/>
      <c r="D15" s="324"/>
      <c r="E15" s="324"/>
      <c r="F15" s="324"/>
      <c r="G15" s="324"/>
      <c r="H15" s="324"/>
      <c r="I15" s="329"/>
      <c r="J15" s="327"/>
      <c r="K15" s="327"/>
      <c r="L15" s="327"/>
      <c r="M15" s="327"/>
      <c r="N15" s="328"/>
    </row>
    <row r="16" spans="2:14" ht="15" customHeight="1">
      <c r="B16" s="322"/>
      <c r="C16" s="324"/>
      <c r="D16" s="324"/>
      <c r="E16" s="324"/>
      <c r="F16" s="324"/>
      <c r="G16" s="324"/>
      <c r="H16" s="324"/>
      <c r="I16" s="329"/>
      <c r="J16" s="327"/>
      <c r="K16" s="327"/>
      <c r="L16" s="327"/>
      <c r="M16" s="327"/>
      <c r="N16" s="328"/>
    </row>
    <row r="17" spans="2:14" ht="15" customHeight="1">
      <c r="B17" s="322"/>
      <c r="C17" s="324"/>
      <c r="D17" s="324"/>
      <c r="E17" s="324"/>
      <c r="F17" s="324"/>
      <c r="G17" s="324"/>
      <c r="H17" s="324"/>
      <c r="I17" s="329"/>
      <c r="J17" s="327"/>
      <c r="K17" s="327"/>
      <c r="L17" s="327"/>
      <c r="M17" s="327"/>
      <c r="N17" s="328"/>
    </row>
    <row r="18" spans="2:14" ht="15" customHeight="1">
      <c r="B18" s="322"/>
      <c r="C18" s="324"/>
      <c r="D18" s="324"/>
      <c r="E18" s="324"/>
      <c r="F18" s="324"/>
      <c r="G18" s="324"/>
      <c r="H18" s="324"/>
      <c r="I18" s="329"/>
      <c r="J18" s="327"/>
      <c r="K18" s="327"/>
      <c r="L18" s="327"/>
      <c r="M18" s="327"/>
      <c r="N18" s="328"/>
    </row>
    <row r="19" spans="2:14" ht="15" customHeight="1">
      <c r="B19" s="322"/>
      <c r="C19" s="324"/>
      <c r="D19" s="324"/>
      <c r="E19" s="324"/>
      <c r="F19" s="324"/>
      <c r="G19" s="324"/>
      <c r="H19" s="324"/>
      <c r="I19" s="329"/>
      <c r="J19" s="327"/>
      <c r="K19" s="327"/>
      <c r="L19" s="327"/>
      <c r="M19" s="327"/>
      <c r="N19" s="328"/>
    </row>
    <row r="20" spans="2:14" ht="15" customHeight="1">
      <c r="B20" s="322"/>
      <c r="C20" s="324"/>
      <c r="D20" s="324"/>
      <c r="E20" s="324"/>
      <c r="F20" s="324"/>
      <c r="G20" s="324"/>
      <c r="H20" s="324"/>
      <c r="I20" s="329"/>
      <c r="J20" s="327"/>
      <c r="K20" s="327"/>
      <c r="L20" s="327"/>
      <c r="M20" s="327"/>
      <c r="N20" s="328"/>
    </row>
    <row r="21" spans="2:14" ht="15" customHeight="1">
      <c r="B21" s="322"/>
      <c r="C21" s="324"/>
      <c r="D21" s="324"/>
      <c r="E21" s="324"/>
      <c r="F21" s="324"/>
      <c r="G21" s="324"/>
      <c r="H21" s="324"/>
      <c r="I21" s="329"/>
      <c r="J21" s="327"/>
      <c r="K21" s="327"/>
      <c r="L21" s="327"/>
      <c r="M21" s="327"/>
      <c r="N21" s="328"/>
    </row>
    <row r="22" spans="2:14" ht="15" customHeight="1">
      <c r="B22" s="322"/>
      <c r="C22" s="324"/>
      <c r="D22" s="324"/>
      <c r="E22" s="324"/>
      <c r="F22" s="324"/>
      <c r="G22" s="324"/>
      <c r="H22" s="324"/>
      <c r="I22" s="329"/>
      <c r="J22" s="327"/>
      <c r="K22" s="327"/>
      <c r="L22" s="327"/>
      <c r="M22" s="327"/>
      <c r="N22" s="328"/>
    </row>
    <row r="23" spans="2:14" ht="15" customHeight="1">
      <c r="B23" s="322"/>
      <c r="C23" s="324"/>
      <c r="D23" s="324"/>
      <c r="E23" s="324"/>
      <c r="F23" s="324"/>
      <c r="G23" s="324"/>
      <c r="H23" s="324"/>
      <c r="I23" s="329"/>
      <c r="J23" s="327"/>
      <c r="K23" s="327"/>
      <c r="L23" s="327"/>
      <c r="M23" s="327"/>
      <c r="N23" s="328"/>
    </row>
    <row r="24" spans="2:14" ht="15" customHeight="1">
      <c r="B24" s="322"/>
      <c r="C24" s="324"/>
      <c r="D24" s="324"/>
      <c r="E24" s="324"/>
      <c r="F24" s="324"/>
      <c r="G24" s="324"/>
      <c r="H24" s="324"/>
      <c r="I24" s="329"/>
      <c r="J24" s="327"/>
      <c r="K24" s="327"/>
      <c r="L24" s="327"/>
      <c r="M24" s="327"/>
      <c r="N24" s="328"/>
    </row>
    <row r="25" spans="2:14" ht="15" customHeight="1">
      <c r="B25" s="322"/>
      <c r="C25" s="324"/>
      <c r="D25" s="324"/>
      <c r="E25" s="324"/>
      <c r="F25" s="324"/>
      <c r="G25" s="324"/>
      <c r="H25" s="324"/>
      <c r="I25" s="329"/>
      <c r="J25" s="327"/>
      <c r="K25" s="327"/>
      <c r="L25" s="327"/>
      <c r="M25" s="327"/>
      <c r="N25" s="328"/>
    </row>
    <row r="26" spans="2:14" ht="15" customHeight="1">
      <c r="B26" s="322"/>
      <c r="C26" s="324"/>
      <c r="D26" s="324"/>
      <c r="E26" s="324"/>
      <c r="F26" s="324"/>
      <c r="G26" s="324"/>
      <c r="H26" s="324"/>
      <c r="I26" s="329"/>
      <c r="J26" s="327"/>
      <c r="K26" s="327"/>
      <c r="L26" s="327"/>
      <c r="M26" s="327"/>
      <c r="N26" s="328"/>
    </row>
    <row r="27" spans="2:14" ht="15" customHeight="1">
      <c r="B27" s="322"/>
      <c r="C27" s="324"/>
      <c r="D27" s="324"/>
      <c r="E27" s="324"/>
      <c r="F27" s="324"/>
      <c r="G27" s="324"/>
      <c r="H27" s="324"/>
      <c r="I27" s="329"/>
      <c r="J27" s="327"/>
      <c r="K27" s="327"/>
      <c r="L27" s="327"/>
      <c r="M27" s="327"/>
      <c r="N27" s="328"/>
    </row>
    <row r="28" spans="2:14" ht="15" customHeight="1">
      <c r="B28" s="322"/>
      <c r="C28" s="324"/>
      <c r="D28" s="324"/>
      <c r="E28" s="324"/>
      <c r="F28" s="324"/>
      <c r="G28" s="324"/>
      <c r="H28" s="324"/>
      <c r="I28" s="329"/>
      <c r="J28" s="327"/>
      <c r="K28" s="327"/>
      <c r="L28" s="327"/>
      <c r="M28" s="327"/>
      <c r="N28" s="328"/>
    </row>
    <row r="29" spans="2:14" ht="15" customHeight="1">
      <c r="B29" s="322"/>
      <c r="C29" s="324"/>
      <c r="D29" s="324"/>
      <c r="E29" s="324"/>
      <c r="F29" s="324"/>
      <c r="G29" s="324"/>
      <c r="H29" s="324"/>
      <c r="I29" s="329"/>
      <c r="J29" s="327"/>
      <c r="K29" s="327"/>
      <c r="L29" s="327"/>
      <c r="M29" s="327"/>
      <c r="N29" s="328"/>
    </row>
    <row r="30" spans="2:14" ht="15" customHeight="1">
      <c r="B30" s="322"/>
      <c r="C30" s="324"/>
      <c r="D30" s="324"/>
      <c r="E30" s="324"/>
      <c r="F30" s="324"/>
      <c r="G30" s="324"/>
      <c r="H30" s="324"/>
      <c r="I30" s="329"/>
      <c r="J30" s="327"/>
      <c r="K30" s="327"/>
      <c r="L30" s="327"/>
      <c r="M30" s="327"/>
      <c r="N30" s="328"/>
    </row>
    <row r="31" spans="2:14" ht="15" customHeight="1">
      <c r="B31" s="322"/>
      <c r="C31" s="324"/>
      <c r="D31" s="324"/>
      <c r="E31" s="324"/>
      <c r="F31" s="324"/>
      <c r="G31" s="324"/>
      <c r="H31" s="324"/>
      <c r="I31" s="329"/>
      <c r="J31" s="327"/>
      <c r="K31" s="327"/>
      <c r="L31" s="327"/>
      <c r="M31" s="327"/>
      <c r="N31" s="328"/>
    </row>
    <row r="32" spans="2:14" ht="15" customHeight="1">
      <c r="B32" s="322"/>
      <c r="C32" s="324"/>
      <c r="D32" s="324"/>
      <c r="E32" s="324"/>
      <c r="F32" s="324"/>
      <c r="G32" s="324"/>
      <c r="H32" s="324"/>
      <c r="I32" s="329"/>
      <c r="J32" s="327"/>
      <c r="K32" s="327"/>
      <c r="L32" s="327"/>
      <c r="M32" s="327"/>
      <c r="N32" s="328"/>
    </row>
    <row r="33" spans="2:14" ht="15" customHeight="1">
      <c r="B33" s="322"/>
      <c r="C33" s="324"/>
      <c r="D33" s="324"/>
      <c r="E33" s="324"/>
      <c r="F33" s="324"/>
      <c r="G33" s="324"/>
      <c r="H33" s="324"/>
      <c r="I33" s="329"/>
      <c r="J33" s="327"/>
      <c r="K33" s="327"/>
      <c r="L33" s="327"/>
      <c r="M33" s="327"/>
      <c r="N33" s="328"/>
    </row>
    <row r="34" spans="2:14" ht="15" customHeight="1">
      <c r="B34" s="322"/>
      <c r="C34" s="324"/>
      <c r="D34" s="324"/>
      <c r="E34" s="324"/>
      <c r="F34" s="324"/>
      <c r="G34" s="324"/>
      <c r="H34" s="324"/>
      <c r="I34" s="329"/>
      <c r="J34" s="327"/>
      <c r="K34" s="327"/>
      <c r="L34" s="327"/>
      <c r="M34" s="327"/>
      <c r="N34" s="328"/>
    </row>
    <row r="35" spans="2:14" ht="15" customHeight="1">
      <c r="B35" s="322"/>
      <c r="C35" s="324"/>
      <c r="D35" s="324"/>
      <c r="E35" s="324"/>
      <c r="F35" s="324"/>
      <c r="G35" s="324"/>
      <c r="H35" s="324"/>
      <c r="I35" s="329"/>
      <c r="J35" s="327"/>
      <c r="K35" s="327"/>
      <c r="L35" s="327"/>
      <c r="M35" s="327"/>
      <c r="N35" s="328"/>
    </row>
    <row r="36" spans="2:14" ht="15" customHeight="1">
      <c r="B36" s="322"/>
      <c r="C36" s="324"/>
      <c r="D36" s="324"/>
      <c r="E36" s="324"/>
      <c r="F36" s="324"/>
      <c r="G36" s="324"/>
      <c r="H36" s="324"/>
      <c r="I36" s="329"/>
      <c r="J36" s="327"/>
      <c r="K36" s="327"/>
      <c r="L36" s="327"/>
      <c r="M36" s="327"/>
      <c r="N36" s="328"/>
    </row>
    <row r="37" spans="2:14" ht="15" customHeight="1">
      <c r="B37" s="322"/>
      <c r="C37" s="324"/>
      <c r="D37" s="324"/>
      <c r="E37" s="324"/>
      <c r="F37" s="324"/>
      <c r="G37" s="324"/>
      <c r="H37" s="324"/>
      <c r="I37" s="329"/>
      <c r="J37" s="327"/>
      <c r="K37" s="327"/>
      <c r="L37" s="327"/>
      <c r="M37" s="327"/>
      <c r="N37" s="328"/>
    </row>
    <row r="38" spans="2:14" ht="15" customHeight="1">
      <c r="B38" s="322"/>
      <c r="C38" s="324"/>
      <c r="D38" s="324"/>
      <c r="E38" s="324"/>
      <c r="F38" s="324"/>
      <c r="G38" s="324"/>
      <c r="H38" s="324"/>
      <c r="I38" s="329"/>
      <c r="J38" s="327"/>
      <c r="K38" s="327"/>
      <c r="L38" s="327"/>
      <c r="M38" s="327"/>
      <c r="N38" s="328"/>
    </row>
    <row r="39" spans="2:14" ht="15" customHeight="1">
      <c r="B39" s="322"/>
      <c r="C39" s="324"/>
      <c r="D39" s="324"/>
      <c r="E39" s="324"/>
      <c r="F39" s="324"/>
      <c r="G39" s="324"/>
      <c r="H39" s="324"/>
      <c r="I39" s="329"/>
      <c r="J39" s="327"/>
      <c r="K39" s="327"/>
      <c r="L39" s="327"/>
      <c r="M39" s="327"/>
      <c r="N39" s="328"/>
    </row>
    <row r="40" spans="2:14" ht="15" customHeight="1">
      <c r="B40" s="322"/>
      <c r="C40" s="324"/>
      <c r="D40" s="324"/>
      <c r="E40" s="324"/>
      <c r="F40" s="324"/>
      <c r="G40" s="324"/>
      <c r="H40" s="324"/>
      <c r="I40" s="329"/>
      <c r="J40" s="327"/>
      <c r="K40" s="327"/>
      <c r="L40" s="327"/>
      <c r="M40" s="327"/>
      <c r="N40" s="328"/>
    </row>
    <row r="41" spans="2:14" ht="15" customHeight="1">
      <c r="B41" s="322"/>
      <c r="C41" s="324"/>
      <c r="D41" s="324"/>
      <c r="E41" s="324"/>
      <c r="F41" s="324"/>
      <c r="G41" s="324"/>
      <c r="H41" s="324"/>
      <c r="I41" s="329"/>
      <c r="J41" s="327"/>
      <c r="K41" s="327"/>
      <c r="L41" s="327"/>
      <c r="M41" s="327"/>
      <c r="N41" s="328"/>
    </row>
    <row r="42" spans="2:14" ht="15" customHeight="1">
      <c r="B42" s="322"/>
      <c r="C42" s="324"/>
      <c r="D42" s="324"/>
      <c r="E42" s="324"/>
      <c r="F42" s="324"/>
      <c r="G42" s="324"/>
      <c r="H42" s="324"/>
      <c r="I42" s="329"/>
      <c r="J42" s="327"/>
      <c r="K42" s="327"/>
      <c r="L42" s="327"/>
      <c r="M42" s="327"/>
      <c r="N42" s="328"/>
    </row>
    <row r="43" spans="2:14" ht="15" customHeight="1">
      <c r="B43" s="322"/>
      <c r="C43" s="324"/>
      <c r="D43" s="324"/>
      <c r="E43" s="324"/>
      <c r="F43" s="324"/>
      <c r="G43" s="324"/>
      <c r="H43" s="324"/>
      <c r="I43" s="329"/>
      <c r="J43" s="327"/>
      <c r="K43" s="327"/>
      <c r="L43" s="327"/>
      <c r="M43" s="327"/>
      <c r="N43" s="328"/>
    </row>
    <row r="44" spans="2:14" ht="15" customHeight="1">
      <c r="B44" s="322"/>
      <c r="C44" s="324"/>
      <c r="D44" s="324"/>
      <c r="E44" s="324"/>
      <c r="F44" s="324"/>
      <c r="G44" s="324"/>
      <c r="H44" s="324"/>
      <c r="I44" s="329"/>
      <c r="J44" s="327"/>
      <c r="K44" s="327"/>
      <c r="L44" s="327"/>
      <c r="M44" s="327"/>
      <c r="N44" s="328"/>
    </row>
    <row r="45" spans="2:14" ht="15" customHeight="1">
      <c r="B45" s="322"/>
      <c r="C45" s="324"/>
      <c r="D45" s="324"/>
      <c r="E45" s="324"/>
      <c r="F45" s="324"/>
      <c r="G45" s="324"/>
      <c r="H45" s="324"/>
      <c r="I45" s="329"/>
      <c r="J45" s="327"/>
      <c r="K45" s="327"/>
      <c r="L45" s="327"/>
      <c r="M45" s="327"/>
      <c r="N45" s="328"/>
    </row>
    <row r="46" spans="2:14" ht="15" customHeight="1">
      <c r="B46" s="322"/>
      <c r="C46" s="324"/>
      <c r="D46" s="324"/>
      <c r="E46" s="324"/>
      <c r="F46" s="324"/>
      <c r="G46" s="324"/>
      <c r="H46" s="324"/>
      <c r="I46" s="329"/>
      <c r="J46" s="327"/>
      <c r="K46" s="327"/>
      <c r="L46" s="327"/>
      <c r="M46" s="327"/>
      <c r="N46" s="328"/>
    </row>
    <row r="47" spans="2:14" ht="15" customHeight="1">
      <c r="B47" s="322"/>
      <c r="C47" s="324"/>
      <c r="D47" s="324"/>
      <c r="E47" s="324"/>
      <c r="F47" s="324"/>
      <c r="G47" s="324"/>
      <c r="H47" s="324"/>
      <c r="I47" s="329"/>
      <c r="J47" s="327"/>
      <c r="K47" s="327"/>
      <c r="L47" s="327"/>
      <c r="M47" s="327"/>
      <c r="N47" s="328"/>
    </row>
    <row r="48" spans="2:14" ht="15" customHeight="1">
      <c r="B48" s="322"/>
      <c r="C48" s="324"/>
      <c r="D48" s="324"/>
      <c r="E48" s="324"/>
      <c r="F48" s="324"/>
      <c r="G48" s="324"/>
      <c r="H48" s="324"/>
      <c r="I48" s="329"/>
      <c r="J48" s="327"/>
      <c r="K48" s="327"/>
      <c r="L48" s="327"/>
      <c r="M48" s="327"/>
      <c r="N48" s="328"/>
    </row>
    <row r="49" spans="2:14" ht="15" customHeight="1">
      <c r="B49" s="322"/>
      <c r="C49" s="324"/>
      <c r="D49" s="324"/>
      <c r="E49" s="324"/>
      <c r="F49" s="324"/>
      <c r="G49" s="324"/>
      <c r="H49" s="324"/>
      <c r="I49" s="329"/>
      <c r="J49" s="327"/>
      <c r="K49" s="327"/>
      <c r="L49" s="327"/>
      <c r="M49" s="327"/>
      <c r="N49" s="328"/>
    </row>
    <row r="50" spans="2:14" ht="15" customHeight="1">
      <c r="B50" s="322"/>
      <c r="C50" s="324"/>
      <c r="D50" s="324"/>
      <c r="E50" s="324"/>
      <c r="F50" s="324"/>
      <c r="G50" s="324"/>
      <c r="H50" s="324"/>
      <c r="I50" s="329"/>
      <c r="J50" s="327"/>
      <c r="K50" s="327"/>
      <c r="L50" s="327"/>
      <c r="M50" s="327"/>
      <c r="N50" s="328"/>
    </row>
    <row r="51" spans="2:14" ht="15" customHeight="1">
      <c r="B51" s="322"/>
      <c r="C51" s="324"/>
      <c r="D51" s="324"/>
      <c r="E51" s="324"/>
      <c r="F51" s="324"/>
      <c r="G51" s="324"/>
      <c r="H51" s="324"/>
      <c r="I51" s="329"/>
      <c r="J51" s="327"/>
      <c r="K51" s="327"/>
      <c r="L51" s="327"/>
      <c r="M51" s="327"/>
      <c r="N51" s="328"/>
    </row>
    <row r="52" spans="2:14" ht="15" customHeight="1" thickBot="1">
      <c r="B52" s="331"/>
      <c r="C52" s="332"/>
      <c r="D52" s="332"/>
      <c r="E52" s="332"/>
      <c r="F52" s="332"/>
      <c r="G52" s="332"/>
      <c r="H52" s="332"/>
      <c r="I52" s="333"/>
      <c r="J52" s="334"/>
      <c r="K52" s="334"/>
      <c r="L52" s="334"/>
      <c r="M52" s="334"/>
      <c r="N52" s="335"/>
    </row>
    <row r="53" spans="2:14" ht="20.25" customHeight="1" thickBot="1">
      <c r="B53" s="665" t="s">
        <v>359</v>
      </c>
      <c r="C53" s="665"/>
      <c r="D53" s="665"/>
      <c r="E53" s="665"/>
      <c r="F53" s="665"/>
      <c r="G53" s="665"/>
      <c r="H53" s="665"/>
      <c r="I53" s="665"/>
      <c r="J53" s="665"/>
      <c r="K53" s="665"/>
      <c r="L53" s="665"/>
      <c r="M53" s="665"/>
      <c r="N53" s="665"/>
    </row>
    <row r="54" spans="2:14" ht="15" customHeight="1" thickBot="1">
      <c r="B54" s="336" t="s">
        <v>360</v>
      </c>
      <c r="C54" s="666" t="s">
        <v>357</v>
      </c>
      <c r="D54" s="667"/>
      <c r="E54" s="667"/>
      <c r="F54" s="667"/>
      <c r="G54" s="667"/>
      <c r="H54" s="337"/>
      <c r="I54" s="666" t="s">
        <v>352</v>
      </c>
      <c r="J54" s="667"/>
      <c r="K54" s="668"/>
      <c r="L54" s="666" t="s">
        <v>361</v>
      </c>
      <c r="M54" s="667"/>
      <c r="N54" s="669"/>
    </row>
    <row r="55" spans="2:14" ht="15" customHeight="1">
      <c r="B55" s="338"/>
      <c r="C55" s="655"/>
      <c r="D55" s="656"/>
      <c r="E55" s="656"/>
      <c r="F55" s="656"/>
      <c r="G55" s="656"/>
      <c r="H55" s="339"/>
      <c r="I55" s="657"/>
      <c r="J55" s="658"/>
      <c r="K55" s="659"/>
      <c r="L55" s="660"/>
      <c r="M55" s="661"/>
      <c r="N55" s="662"/>
    </row>
    <row r="56" spans="2:14" ht="15" customHeight="1">
      <c r="B56" s="340"/>
      <c r="C56" s="639"/>
      <c r="D56" s="640"/>
      <c r="E56" s="640"/>
      <c r="F56" s="640"/>
      <c r="G56" s="640"/>
      <c r="H56" s="341"/>
      <c r="I56" s="641"/>
      <c r="J56" s="642"/>
      <c r="K56" s="643"/>
      <c r="L56" s="644"/>
      <c r="M56" s="645"/>
      <c r="N56" s="646"/>
    </row>
    <row r="57" spans="2:14" ht="15" customHeight="1">
      <c r="B57" s="340"/>
      <c r="C57" s="639"/>
      <c r="D57" s="640"/>
      <c r="E57" s="640"/>
      <c r="F57" s="640"/>
      <c r="G57" s="640"/>
      <c r="H57" s="341"/>
      <c r="I57" s="641"/>
      <c r="J57" s="642"/>
      <c r="K57" s="643"/>
      <c r="L57" s="644"/>
      <c r="M57" s="645"/>
      <c r="N57" s="646"/>
    </row>
    <row r="58" spans="2:14" ht="15" customHeight="1">
      <c r="B58" s="340"/>
      <c r="C58" s="639"/>
      <c r="D58" s="640"/>
      <c r="E58" s="640"/>
      <c r="F58" s="640"/>
      <c r="G58" s="640"/>
      <c r="H58" s="341"/>
      <c r="I58" s="641"/>
      <c r="J58" s="642"/>
      <c r="K58" s="643"/>
      <c r="L58" s="644"/>
      <c r="M58" s="645"/>
      <c r="N58" s="646"/>
    </row>
    <row r="59" spans="2:14" ht="15" customHeight="1">
      <c r="B59" s="340"/>
      <c r="C59" s="639"/>
      <c r="D59" s="640"/>
      <c r="E59" s="640"/>
      <c r="F59" s="640"/>
      <c r="G59" s="640"/>
      <c r="H59" s="341"/>
      <c r="I59" s="641"/>
      <c r="J59" s="642"/>
      <c r="K59" s="643"/>
      <c r="L59" s="644"/>
      <c r="M59" s="645"/>
      <c r="N59" s="646"/>
    </row>
    <row r="60" spans="2:14" ht="15" customHeight="1">
      <c r="B60" s="340"/>
      <c r="C60" s="639"/>
      <c r="D60" s="640"/>
      <c r="E60" s="640"/>
      <c r="F60" s="640"/>
      <c r="G60" s="640"/>
      <c r="H60" s="341"/>
      <c r="I60" s="641"/>
      <c r="J60" s="642"/>
      <c r="K60" s="643"/>
      <c r="L60" s="644"/>
      <c r="M60" s="645"/>
      <c r="N60" s="646"/>
    </row>
    <row r="61" spans="2:14" ht="15" customHeight="1">
      <c r="B61" s="340"/>
      <c r="C61" s="639"/>
      <c r="D61" s="640"/>
      <c r="E61" s="640"/>
      <c r="F61" s="640"/>
      <c r="G61" s="640"/>
      <c r="H61" s="341"/>
      <c r="I61" s="641"/>
      <c r="J61" s="642"/>
      <c r="K61" s="643"/>
      <c r="L61" s="644"/>
      <c r="M61" s="645"/>
      <c r="N61" s="646"/>
    </row>
    <row r="62" spans="2:14" ht="15" customHeight="1">
      <c r="B62" s="340"/>
      <c r="C62" s="639"/>
      <c r="D62" s="640"/>
      <c r="E62" s="640"/>
      <c r="F62" s="640"/>
      <c r="G62" s="640"/>
      <c r="H62" s="341"/>
      <c r="I62" s="641"/>
      <c r="J62" s="642"/>
      <c r="K62" s="643"/>
      <c r="L62" s="644"/>
      <c r="M62" s="645"/>
      <c r="N62" s="646"/>
    </row>
    <row r="63" spans="2:14" ht="15" customHeight="1">
      <c r="B63" s="340"/>
      <c r="C63" s="639"/>
      <c r="D63" s="640"/>
      <c r="E63" s="640"/>
      <c r="F63" s="640"/>
      <c r="G63" s="640"/>
      <c r="H63" s="341"/>
      <c r="I63" s="641"/>
      <c r="J63" s="642"/>
      <c r="K63" s="643"/>
      <c r="L63" s="644"/>
      <c r="M63" s="645"/>
      <c r="N63" s="646"/>
    </row>
    <row r="64" spans="2:14" ht="15" customHeight="1">
      <c r="B64" s="340"/>
      <c r="C64" s="639"/>
      <c r="D64" s="640"/>
      <c r="E64" s="640"/>
      <c r="F64" s="640"/>
      <c r="G64" s="640"/>
      <c r="H64" s="341"/>
      <c r="I64" s="641"/>
      <c r="J64" s="642"/>
      <c r="K64" s="643"/>
      <c r="L64" s="644"/>
      <c r="M64" s="645"/>
      <c r="N64" s="646"/>
    </row>
    <row r="65" spans="2:14" ht="15" customHeight="1">
      <c r="B65" s="340"/>
      <c r="C65" s="639"/>
      <c r="D65" s="640"/>
      <c r="E65" s="640"/>
      <c r="F65" s="640"/>
      <c r="G65" s="640"/>
      <c r="H65" s="341"/>
      <c r="I65" s="641"/>
      <c r="J65" s="642"/>
      <c r="K65" s="643"/>
      <c r="L65" s="644"/>
      <c r="M65" s="645"/>
      <c r="N65" s="646"/>
    </row>
    <row r="66" spans="2:14" ht="15" customHeight="1">
      <c r="B66" s="340"/>
      <c r="C66" s="639"/>
      <c r="D66" s="640"/>
      <c r="E66" s="640"/>
      <c r="F66" s="640"/>
      <c r="G66" s="640"/>
      <c r="H66" s="341"/>
      <c r="I66" s="641"/>
      <c r="J66" s="642"/>
      <c r="K66" s="643"/>
      <c r="L66" s="644"/>
      <c r="M66" s="645"/>
      <c r="N66" s="646"/>
    </row>
    <row r="67" spans="2:14" ht="15" customHeight="1">
      <c r="B67" s="340"/>
      <c r="C67" s="639"/>
      <c r="D67" s="640"/>
      <c r="E67" s="640"/>
      <c r="F67" s="640"/>
      <c r="G67" s="640"/>
      <c r="H67" s="341"/>
      <c r="I67" s="641"/>
      <c r="J67" s="642"/>
      <c r="K67" s="643"/>
      <c r="L67" s="644"/>
      <c r="M67" s="645"/>
      <c r="N67" s="646"/>
    </row>
    <row r="68" spans="2:14" ht="15" customHeight="1">
      <c r="B68" s="340"/>
      <c r="C68" s="639"/>
      <c r="D68" s="640"/>
      <c r="E68" s="640"/>
      <c r="F68" s="640"/>
      <c r="G68" s="640"/>
      <c r="H68" s="341"/>
      <c r="I68" s="641"/>
      <c r="J68" s="642"/>
      <c r="K68" s="643"/>
      <c r="L68" s="644"/>
      <c r="M68" s="645"/>
      <c r="N68" s="646"/>
    </row>
    <row r="69" spans="2:14" ht="15" customHeight="1">
      <c r="B69" s="340"/>
      <c r="C69" s="639"/>
      <c r="D69" s="640"/>
      <c r="E69" s="640"/>
      <c r="F69" s="640"/>
      <c r="G69" s="640"/>
      <c r="H69" s="341"/>
      <c r="I69" s="641"/>
      <c r="J69" s="642"/>
      <c r="K69" s="643"/>
      <c r="L69" s="644"/>
      <c r="M69" s="645"/>
      <c r="N69" s="646"/>
    </row>
    <row r="70" spans="2:14" ht="15" customHeight="1">
      <c r="B70" s="340"/>
      <c r="C70" s="639"/>
      <c r="D70" s="640"/>
      <c r="E70" s="640"/>
      <c r="F70" s="640"/>
      <c r="G70" s="640"/>
      <c r="H70" s="341"/>
      <c r="I70" s="641"/>
      <c r="J70" s="642"/>
      <c r="K70" s="643"/>
      <c r="L70" s="644"/>
      <c r="M70" s="645"/>
      <c r="N70" s="646"/>
    </row>
    <row r="71" spans="2:14" ht="15" customHeight="1">
      <c r="B71" s="340"/>
      <c r="C71" s="639"/>
      <c r="D71" s="640"/>
      <c r="E71" s="640"/>
      <c r="F71" s="640"/>
      <c r="G71" s="640"/>
      <c r="H71" s="341"/>
      <c r="I71" s="641"/>
      <c r="J71" s="642"/>
      <c r="K71" s="643"/>
      <c r="L71" s="644"/>
      <c r="M71" s="645"/>
      <c r="N71" s="646"/>
    </row>
    <row r="72" spans="2:14">
      <c r="B72" s="340"/>
      <c r="C72" s="639"/>
      <c r="D72" s="640"/>
      <c r="E72" s="640"/>
      <c r="F72" s="640"/>
      <c r="G72" s="640"/>
      <c r="H72" s="341"/>
      <c r="I72" s="641"/>
      <c r="J72" s="642"/>
      <c r="K72" s="643"/>
      <c r="L72" s="644"/>
      <c r="M72" s="645"/>
      <c r="N72" s="646"/>
    </row>
    <row r="73" spans="2:14">
      <c r="B73" s="340"/>
      <c r="C73" s="639"/>
      <c r="D73" s="640"/>
      <c r="E73" s="640"/>
      <c r="F73" s="640"/>
      <c r="G73" s="640"/>
      <c r="H73" s="341"/>
      <c r="I73" s="641"/>
      <c r="J73" s="642"/>
      <c r="K73" s="643"/>
      <c r="L73" s="644"/>
      <c r="M73" s="645"/>
      <c r="N73" s="646"/>
    </row>
    <row r="74" spans="2:14">
      <c r="B74" s="340"/>
      <c r="C74" s="639"/>
      <c r="D74" s="640"/>
      <c r="E74" s="640"/>
      <c r="F74" s="640"/>
      <c r="G74" s="640"/>
      <c r="H74" s="341"/>
      <c r="I74" s="641"/>
      <c r="J74" s="642"/>
      <c r="K74" s="643"/>
      <c r="L74" s="644"/>
      <c r="M74" s="645"/>
      <c r="N74" s="646"/>
    </row>
    <row r="75" spans="2:14">
      <c r="B75" s="340"/>
      <c r="C75" s="639"/>
      <c r="D75" s="640"/>
      <c r="E75" s="640"/>
      <c r="F75" s="640"/>
      <c r="G75" s="640"/>
      <c r="H75" s="341"/>
      <c r="I75" s="641"/>
      <c r="J75" s="642"/>
      <c r="K75" s="643"/>
      <c r="L75" s="644"/>
      <c r="M75" s="645"/>
      <c r="N75" s="646"/>
    </row>
    <row r="76" spans="2:14">
      <c r="B76" s="340"/>
      <c r="C76" s="639"/>
      <c r="D76" s="640"/>
      <c r="E76" s="640"/>
      <c r="F76" s="640"/>
      <c r="G76" s="640"/>
      <c r="H76" s="341"/>
      <c r="I76" s="641"/>
      <c r="J76" s="642"/>
      <c r="K76" s="643"/>
      <c r="L76" s="644"/>
      <c r="M76" s="645"/>
      <c r="N76" s="646"/>
    </row>
    <row r="77" spans="2:14">
      <c r="B77" s="340"/>
      <c r="C77" s="639"/>
      <c r="D77" s="640"/>
      <c r="E77" s="640"/>
      <c r="F77" s="640"/>
      <c r="G77" s="640"/>
      <c r="H77" s="341"/>
      <c r="I77" s="641"/>
      <c r="J77" s="642"/>
      <c r="K77" s="643"/>
      <c r="L77" s="644"/>
      <c r="M77" s="645"/>
      <c r="N77" s="646"/>
    </row>
    <row r="78" spans="2:14">
      <c r="B78" s="340"/>
      <c r="C78" s="639"/>
      <c r="D78" s="640"/>
      <c r="E78" s="640"/>
      <c r="F78" s="640"/>
      <c r="G78" s="640"/>
      <c r="H78" s="341"/>
      <c r="I78" s="641"/>
      <c r="J78" s="642"/>
      <c r="K78" s="643"/>
      <c r="L78" s="644"/>
      <c r="M78" s="645"/>
      <c r="N78" s="646"/>
    </row>
    <row r="79" spans="2:14" ht="13.5" thickBot="1">
      <c r="B79" s="342"/>
      <c r="C79" s="647"/>
      <c r="D79" s="648"/>
      <c r="E79" s="648"/>
      <c r="F79" s="648"/>
      <c r="G79" s="648"/>
      <c r="H79" s="343"/>
      <c r="I79" s="649"/>
      <c r="J79" s="650"/>
      <c r="K79" s="651"/>
      <c r="L79" s="652"/>
      <c r="M79" s="653"/>
      <c r="N79" s="654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sqref="A1:F1"/>
    </sheetView>
  </sheetViews>
  <sheetFormatPr defaultRowHeight="12.75"/>
  <cols>
    <col min="1" max="6" width="14.7109375" style="344" customWidth="1"/>
    <col min="7" max="16384" width="9.140625" style="344"/>
  </cols>
  <sheetData>
    <row r="1" spans="1:7" ht="20.25">
      <c r="A1" s="690" t="s">
        <v>368</v>
      </c>
      <c r="B1" s="690"/>
      <c r="C1" s="690"/>
      <c r="D1" s="690"/>
      <c r="E1" s="690"/>
      <c r="F1" s="690"/>
    </row>
    <row r="2" spans="1:7" ht="19.5" thickBot="1">
      <c r="A2" s="345"/>
      <c r="B2" s="345"/>
      <c r="C2" s="691" t="s">
        <v>380</v>
      </c>
      <c r="D2" s="691"/>
      <c r="E2" s="345"/>
      <c r="F2" s="345"/>
      <c r="G2" s="345"/>
    </row>
    <row r="3" spans="1:7" ht="19.5">
      <c r="A3" s="678" t="s">
        <v>369</v>
      </c>
      <c r="B3" s="679"/>
      <c r="C3" s="680"/>
      <c r="D3" s="678" t="s">
        <v>370</v>
      </c>
      <c r="E3" s="679"/>
      <c r="F3" s="680"/>
      <c r="G3" s="345"/>
    </row>
    <row r="4" spans="1:7" ht="15.75">
      <c r="A4" s="346" t="s">
        <v>381</v>
      </c>
      <c r="B4" s="692" t="s">
        <v>383</v>
      </c>
      <c r="C4" s="685"/>
      <c r="D4" s="693" t="s">
        <v>384</v>
      </c>
      <c r="E4" s="694"/>
      <c r="F4" s="695"/>
      <c r="G4" s="345"/>
    </row>
    <row r="5" spans="1:7" ht="16.5" thickBot="1">
      <c r="A5" s="347" t="s">
        <v>382</v>
      </c>
      <c r="B5" s="673" t="s">
        <v>382</v>
      </c>
      <c r="C5" s="674"/>
      <c r="D5" s="675" t="s">
        <v>385</v>
      </c>
      <c r="E5" s="676"/>
      <c r="F5" s="677"/>
      <c r="G5" s="345"/>
    </row>
    <row r="6" spans="1:7" ht="19.5">
      <c r="A6" s="678" t="s">
        <v>371</v>
      </c>
      <c r="B6" s="679"/>
      <c r="C6" s="679"/>
      <c r="D6" s="679"/>
      <c r="E6" s="679"/>
      <c r="F6" s="680"/>
      <c r="G6" s="345"/>
    </row>
    <row r="7" spans="1:7" ht="15.75">
      <c r="A7" s="348" t="s">
        <v>372</v>
      </c>
      <c r="B7" s="349" t="s">
        <v>386</v>
      </c>
      <c r="C7" s="350" t="s">
        <v>373</v>
      </c>
      <c r="D7" s="351" t="s">
        <v>387</v>
      </c>
      <c r="E7" s="681" t="s">
        <v>374</v>
      </c>
      <c r="F7" s="682"/>
      <c r="G7" s="345"/>
    </row>
    <row r="8" spans="1:7" ht="16.5" thickBot="1">
      <c r="A8" s="352"/>
      <c r="B8" s="353" t="s">
        <v>382</v>
      </c>
      <c r="C8" s="354"/>
      <c r="D8" s="355" t="s">
        <v>382</v>
      </c>
      <c r="E8" s="683" t="s">
        <v>388</v>
      </c>
      <c r="F8" s="677"/>
      <c r="G8" s="345"/>
    </row>
    <row r="9" spans="1:7" ht="19.5">
      <c r="A9" s="678" t="s">
        <v>375</v>
      </c>
      <c r="B9" s="679"/>
      <c r="C9" s="680"/>
      <c r="D9" s="678" t="s">
        <v>376</v>
      </c>
      <c r="E9" s="679"/>
      <c r="F9" s="680"/>
      <c r="G9" s="345"/>
    </row>
    <row r="10" spans="1:7" ht="15.75">
      <c r="A10" s="356" t="s">
        <v>377</v>
      </c>
      <c r="B10" s="684" t="s">
        <v>389</v>
      </c>
      <c r="C10" s="685"/>
      <c r="D10" s="686" t="s">
        <v>391</v>
      </c>
      <c r="E10" s="687"/>
      <c r="F10" s="357" t="s">
        <v>392</v>
      </c>
      <c r="G10" s="345"/>
    </row>
    <row r="11" spans="1:7" ht="16.5" thickBot="1">
      <c r="A11" s="358" t="s">
        <v>378</v>
      </c>
      <c r="B11" s="676" t="s">
        <v>390</v>
      </c>
      <c r="C11" s="677"/>
      <c r="D11" s="688"/>
      <c r="E11" s="689"/>
      <c r="F11" s="359" t="s">
        <v>382</v>
      </c>
      <c r="G11" s="345"/>
    </row>
    <row r="12" spans="1:7" ht="19.5">
      <c r="A12" s="678" t="s">
        <v>379</v>
      </c>
      <c r="B12" s="679"/>
      <c r="C12" s="679"/>
      <c r="D12" s="679"/>
      <c r="E12" s="679"/>
      <c r="F12" s="680"/>
      <c r="G12" s="345"/>
    </row>
    <row r="13" spans="1:7" ht="16.5" thickBot="1">
      <c r="A13" s="670" t="s">
        <v>393</v>
      </c>
      <c r="B13" s="671"/>
      <c r="C13" s="672" t="s">
        <v>394</v>
      </c>
      <c r="D13" s="672"/>
      <c r="E13" s="672"/>
      <c r="F13" s="360"/>
      <c r="G13" s="345"/>
    </row>
    <row r="14" spans="1:7" ht="18.95" customHeight="1">
      <c r="A14" s="361"/>
      <c r="B14" s="361"/>
      <c r="C14" s="361"/>
      <c r="D14" s="361"/>
      <c r="E14" s="361"/>
      <c r="F14" s="361"/>
      <c r="G14" s="345"/>
    </row>
    <row r="15" spans="1:7" ht="15.75">
      <c r="G15" s="345"/>
    </row>
    <row r="16" spans="1:7" ht="15.75">
      <c r="G16" s="345"/>
    </row>
    <row r="17" spans="7:7" ht="15.75">
      <c r="G17" s="345"/>
    </row>
    <row r="18" spans="7:7" ht="15.75">
      <c r="G18" s="345"/>
    </row>
    <row r="19" spans="7:7" ht="15.75">
      <c r="G19" s="345"/>
    </row>
    <row r="20" spans="7:7" ht="15.75">
      <c r="G20" s="345"/>
    </row>
    <row r="21" spans="7:7" ht="15.75">
      <c r="G21" s="345"/>
    </row>
    <row r="22" spans="7:7" ht="15.75">
      <c r="G22" s="345"/>
    </row>
    <row r="23" spans="7:7" ht="15.75">
      <c r="G23" s="345"/>
    </row>
    <row r="24" spans="7:7" ht="15.75">
      <c r="G24" s="345"/>
    </row>
    <row r="25" spans="7:7" ht="15.75">
      <c r="G25" s="345"/>
    </row>
    <row r="26" spans="7:7" ht="15.75">
      <c r="G26" s="345"/>
    </row>
    <row r="27" spans="7:7" ht="18.95" customHeight="1">
      <c r="G27" s="345"/>
    </row>
    <row r="28" spans="7:7" ht="15.75">
      <c r="G28" s="345"/>
    </row>
    <row r="29" spans="7:7" ht="15.75">
      <c r="G29" s="345"/>
    </row>
    <row r="30" spans="7:7" ht="15.75">
      <c r="G30" s="345"/>
    </row>
    <row r="31" spans="7:7" ht="15.75">
      <c r="G31" s="345"/>
    </row>
  </sheetData>
  <mergeCells count="20">
    <mergeCell ref="A1:F1"/>
    <mergeCell ref="C2:D2"/>
    <mergeCell ref="A3:C3"/>
    <mergeCell ref="D3:F3"/>
    <mergeCell ref="B4:C4"/>
    <mergeCell ref="D4:F4"/>
    <mergeCell ref="A13:B13"/>
    <mergeCell ref="C13:E13"/>
    <mergeCell ref="B5:C5"/>
    <mergeCell ref="D5:F5"/>
    <mergeCell ref="A6:F6"/>
    <mergeCell ref="E7:F7"/>
    <mergeCell ref="E8:F8"/>
    <mergeCell ref="A9:C9"/>
    <mergeCell ref="D9:F9"/>
    <mergeCell ref="B10:C10"/>
    <mergeCell ref="D10:E10"/>
    <mergeCell ref="B11:C11"/>
    <mergeCell ref="D11:E11"/>
    <mergeCell ref="A12:F12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H33" sqref="H33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369" t="s">
        <v>398</v>
      </c>
      <c r="B3" s="367"/>
      <c r="C3" s="367"/>
      <c r="D3" s="367"/>
      <c r="E3" s="367"/>
      <c r="F3" s="368"/>
    </row>
    <row r="4" spans="1:6" ht="18.95" customHeight="1">
      <c r="A4" s="370"/>
      <c r="B4" s="371"/>
      <c r="C4" s="371"/>
      <c r="D4" s="371"/>
      <c r="E4" s="371"/>
      <c r="F4" s="372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4" t="s">
        <v>399</v>
      </c>
      <c r="B6" s="696" t="str">
        <f>'Performance Data Sheet'!C17</f>
        <v>M357TCAL11E-C</v>
      </c>
      <c r="C6" s="697"/>
      <c r="D6" s="698"/>
      <c r="E6" s="554" t="s">
        <v>400</v>
      </c>
      <c r="F6" s="555">
        <v>220</v>
      </c>
    </row>
    <row r="7" spans="1:6" ht="18.95" customHeight="1">
      <c r="A7" s="554" t="s">
        <v>401</v>
      </c>
      <c r="B7" s="555" t="str">
        <f>'Performance Data Sheet'!F14</f>
        <v>TEAAC</v>
      </c>
      <c r="C7" s="554" t="s">
        <v>402</v>
      </c>
      <c r="D7" s="555" t="s">
        <v>424</v>
      </c>
      <c r="E7" s="554" t="s">
        <v>403</v>
      </c>
      <c r="F7" s="555" t="str">
        <f>'Performance Data Sheet'!C14</f>
        <v>6813US</v>
      </c>
    </row>
    <row r="8" spans="1:6" ht="18.95" customHeight="1">
      <c r="A8" s="554" t="s">
        <v>404</v>
      </c>
      <c r="B8" s="555">
        <v>6</v>
      </c>
      <c r="C8" s="554" t="s">
        <v>405</v>
      </c>
      <c r="D8" s="555" t="s">
        <v>406</v>
      </c>
      <c r="E8" s="554" t="s">
        <v>407</v>
      </c>
      <c r="F8" s="555" t="str">
        <f>'Performance Data Sheet'!M15</f>
        <v>F</v>
      </c>
    </row>
    <row r="9" spans="1:6" ht="18.95" customHeight="1">
      <c r="A9" s="554" t="s">
        <v>408</v>
      </c>
      <c r="B9" s="555">
        <v>1750</v>
      </c>
      <c r="C9" s="554" t="s">
        <v>409</v>
      </c>
      <c r="D9" s="555" t="s">
        <v>425</v>
      </c>
      <c r="E9" s="554" t="s">
        <v>2</v>
      </c>
      <c r="F9" s="556">
        <f>'Performance Data Sheet'!K45</f>
        <v>41992</v>
      </c>
    </row>
    <row r="10" spans="1:6" ht="18.95" customHeight="1">
      <c r="A10" s="554" t="s">
        <v>410</v>
      </c>
      <c r="B10" s="555">
        <v>1192</v>
      </c>
      <c r="C10" s="554" t="s">
        <v>411</v>
      </c>
      <c r="D10" s="555" t="s">
        <v>412</v>
      </c>
      <c r="E10" s="554" t="s">
        <v>1</v>
      </c>
      <c r="F10" s="555" t="s">
        <v>753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 t="s">
        <v>413</v>
      </c>
      <c r="C12" s="377" t="s">
        <v>426</v>
      </c>
      <c r="D12" s="376" t="s">
        <v>414</v>
      </c>
      <c r="E12" s="377" t="s">
        <v>412</v>
      </c>
      <c r="F12" s="372"/>
    </row>
    <row r="13" spans="1:6" ht="18.95" customHeight="1">
      <c r="A13" s="370"/>
      <c r="B13" s="376" t="s">
        <v>415</v>
      </c>
      <c r="C13" s="378">
        <v>0.8</v>
      </c>
      <c r="D13" s="376" t="s">
        <v>416</v>
      </c>
      <c r="E13" s="377" t="s">
        <v>412</v>
      </c>
      <c r="F13" s="372"/>
    </row>
    <row r="14" spans="1:6" ht="18.95" customHeight="1">
      <c r="A14" s="370"/>
      <c r="B14" s="376" t="s">
        <v>417</v>
      </c>
      <c r="C14" s="378">
        <v>2.2999999999999998</v>
      </c>
      <c r="D14" s="376" t="s">
        <v>418</v>
      </c>
      <c r="E14" s="377" t="s">
        <v>412</v>
      </c>
      <c r="F14" s="372"/>
    </row>
    <row r="15" spans="1:6" ht="18.95" customHeight="1">
      <c r="A15" s="370"/>
      <c r="B15" s="376" t="s">
        <v>419</v>
      </c>
      <c r="C15" s="377" t="s">
        <v>750</v>
      </c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60" t="s">
        <v>420</v>
      </c>
      <c r="B39" s="561"/>
      <c r="C39" s="561"/>
      <c r="D39" s="552"/>
      <c r="E39" s="557" t="s">
        <v>421</v>
      </c>
      <c r="F39" s="562" t="s">
        <v>753</v>
      </c>
    </row>
    <row r="40" spans="1:6" ht="18.95" customHeight="1">
      <c r="A40" s="551"/>
      <c r="B40" s="561"/>
      <c r="C40" s="561"/>
      <c r="D40" s="552"/>
      <c r="E40" s="552"/>
      <c r="F40" s="553"/>
    </row>
    <row r="41" spans="1:6" ht="18.95" customHeight="1">
      <c r="A41" s="551"/>
      <c r="B41" s="561"/>
      <c r="C41" s="561"/>
      <c r="D41" s="552"/>
      <c r="E41" s="552"/>
      <c r="F41" s="553"/>
    </row>
    <row r="42" spans="1:6" ht="18.95" customHeight="1">
      <c r="A42" s="551"/>
      <c r="B42" s="552"/>
      <c r="C42" s="552"/>
      <c r="D42" s="552"/>
      <c r="E42" s="552"/>
      <c r="F42" s="553"/>
    </row>
    <row r="43" spans="1:6" ht="18.95" customHeight="1">
      <c r="A43" s="563"/>
      <c r="B43" s="561"/>
      <c r="C43" s="564" t="s">
        <v>422</v>
      </c>
      <c r="D43" s="565" t="str">
        <f>'Performance Data Sheet'!K43</f>
        <v>Mario L</v>
      </c>
      <c r="E43" s="564" t="s">
        <v>423</v>
      </c>
      <c r="F43" s="56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388">
        <v>100</v>
      </c>
      <c r="B54" s="362">
        <v>0</v>
      </c>
      <c r="C54" s="362">
        <v>0.25188103318214417</v>
      </c>
    </row>
    <row r="55" spans="1:3" ht="15" customHeight="1">
      <c r="A55" s="388">
        <v>99.799999967217445</v>
      </c>
      <c r="B55" s="362">
        <v>107.98311947000265</v>
      </c>
      <c r="C55" s="362">
        <v>118.97451019287109</v>
      </c>
    </row>
    <row r="56" spans="1:3" ht="15" customHeight="1">
      <c r="A56" s="388">
        <v>98.999999836087227</v>
      </c>
      <c r="B56" s="362">
        <v>230</v>
      </c>
      <c r="C56" s="362">
        <v>374.52499389648438</v>
      </c>
    </row>
    <row r="57" spans="1:3">
      <c r="A57" s="388">
        <v>93.789473548531532</v>
      </c>
      <c r="B57" s="362">
        <v>136.86865234264729</v>
      </c>
      <c r="C57" s="362">
        <v>452.07351684570312</v>
      </c>
    </row>
    <row r="58" spans="1:3">
      <c r="A58" s="388">
        <v>88.578946888446808</v>
      </c>
      <c r="B58" s="362">
        <v>109.29465770434577</v>
      </c>
      <c r="C58" s="362">
        <v>476.8587646484375</v>
      </c>
    </row>
    <row r="59" spans="1:3">
      <c r="A59" s="388">
        <v>83.368420600891113</v>
      </c>
      <c r="B59" s="362">
        <v>96.734207192465959</v>
      </c>
      <c r="C59" s="362">
        <v>490.3087158203125</v>
      </c>
    </row>
    <row r="60" spans="1:3">
      <c r="A60" s="388">
        <v>72.947368025779724</v>
      </c>
      <c r="B60" s="362">
        <v>88.902140215754031</v>
      </c>
      <c r="C60" s="362">
        <v>508.67672729492187</v>
      </c>
    </row>
    <row r="61" spans="1:3">
      <c r="A61" s="388">
        <v>62.526315450668335</v>
      </c>
      <c r="B61" s="362">
        <v>85.233608408300142</v>
      </c>
      <c r="C61" s="362">
        <v>522.804931640625</v>
      </c>
    </row>
    <row r="62" spans="1:3">
      <c r="A62" s="388">
        <v>52.105262875556946</v>
      </c>
      <c r="B62" s="362">
        <v>83.082776772848618</v>
      </c>
      <c r="C62" s="362">
        <v>534.22894287109375</v>
      </c>
    </row>
    <row r="63" spans="1:3">
      <c r="A63" s="388">
        <v>41.684210300445557</v>
      </c>
      <c r="B63" s="362">
        <v>81.754339982393248</v>
      </c>
      <c r="C63" s="362">
        <v>543.52783203125</v>
      </c>
    </row>
    <row r="64" spans="1:3">
      <c r="A64" s="388">
        <v>31.263160705566406</v>
      </c>
      <c r="B64" s="362">
        <v>80.933132670271405</v>
      </c>
      <c r="C64" s="362">
        <v>550.87640380859375</v>
      </c>
    </row>
    <row r="65" spans="1:3">
      <c r="A65" s="388">
        <v>20.842105150222778</v>
      </c>
      <c r="B65" s="362">
        <v>80.438436060665069</v>
      </c>
      <c r="C65" s="362">
        <v>556.6412353515625</v>
      </c>
    </row>
    <row r="66" spans="1:3">
      <c r="A66" s="388">
        <v>10.421055555343628</v>
      </c>
      <c r="B66" s="362">
        <v>80.154655644963682</v>
      </c>
      <c r="C66" s="362">
        <v>561.42144775390625</v>
      </c>
    </row>
    <row r="67" spans="1:3">
      <c r="A67" s="389">
        <v>0</v>
      </c>
      <c r="B67" s="362">
        <v>80</v>
      </c>
      <c r="C67" s="362">
        <v>565.45452880859375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344" customWidth="1"/>
    <col min="2" max="7" width="10.7109375" style="344" customWidth="1"/>
    <col min="8" max="16384" width="9.140625" style="344"/>
  </cols>
  <sheetData>
    <row r="1" spans="1:12" ht="21" customHeight="1">
      <c r="A1" s="401" t="s">
        <v>433</v>
      </c>
      <c r="B1" s="708" t="s">
        <v>472</v>
      </c>
      <c r="C1" s="708"/>
      <c r="D1" s="708"/>
      <c r="E1" s="708"/>
      <c r="F1" s="708"/>
      <c r="G1" s="708"/>
    </row>
    <row r="2" spans="1:12" ht="15" customHeight="1"/>
    <row r="3" spans="1:12" ht="20.25">
      <c r="A3" s="402" t="s">
        <v>434</v>
      </c>
    </row>
    <row r="4" spans="1:12" ht="12" customHeight="1">
      <c r="A4" s="345"/>
      <c r="B4" s="345"/>
      <c r="C4" s="345"/>
      <c r="D4" s="345" t="s">
        <v>486</v>
      </c>
      <c r="E4" s="345"/>
      <c r="F4" s="345"/>
      <c r="G4" s="345"/>
      <c r="H4" s="345"/>
      <c r="I4" s="345"/>
      <c r="J4" s="345"/>
      <c r="K4" s="345"/>
      <c r="L4" s="345"/>
    </row>
    <row r="5" spans="1:12" ht="15.6" customHeight="1">
      <c r="A5" s="403" t="s">
        <v>5</v>
      </c>
      <c r="B5" s="403" t="s">
        <v>435</v>
      </c>
      <c r="C5" s="403" t="s">
        <v>436</v>
      </c>
      <c r="D5" s="403" t="s">
        <v>437</v>
      </c>
      <c r="E5" s="403" t="s">
        <v>438</v>
      </c>
      <c r="F5" s="403" t="s">
        <v>439</v>
      </c>
      <c r="G5" s="403" t="s">
        <v>440</v>
      </c>
      <c r="H5" s="345"/>
      <c r="I5" s="345"/>
      <c r="J5" s="345"/>
      <c r="K5" s="345"/>
      <c r="L5" s="345"/>
    </row>
    <row r="6" spans="1:12" ht="15.6" customHeight="1">
      <c r="A6" s="404" t="s">
        <v>441</v>
      </c>
      <c r="B6" s="404" t="s">
        <v>165</v>
      </c>
      <c r="C6" s="404" t="s">
        <v>165</v>
      </c>
      <c r="D6" s="404" t="s">
        <v>442</v>
      </c>
      <c r="E6" s="404" t="s">
        <v>135</v>
      </c>
      <c r="F6" s="404" t="s">
        <v>443</v>
      </c>
      <c r="G6" s="404" t="s">
        <v>443</v>
      </c>
      <c r="H6" s="345"/>
      <c r="I6" s="345"/>
      <c r="J6" s="345"/>
      <c r="K6" s="345"/>
      <c r="L6" s="345"/>
    </row>
    <row r="7" spans="1:12" ht="15.95" customHeight="1">
      <c r="A7" s="405" t="s">
        <v>473</v>
      </c>
      <c r="B7" s="405" t="s">
        <v>487</v>
      </c>
      <c r="C7" s="405" t="s">
        <v>500</v>
      </c>
      <c r="D7" s="405" t="s">
        <v>513</v>
      </c>
      <c r="E7" s="405" t="s">
        <v>526</v>
      </c>
      <c r="F7" s="405" t="s">
        <v>539</v>
      </c>
      <c r="G7" s="405" t="s">
        <v>552</v>
      </c>
      <c r="H7" s="345"/>
      <c r="I7" s="345"/>
      <c r="J7" s="345"/>
      <c r="K7" s="345"/>
      <c r="L7" s="345"/>
    </row>
    <row r="8" spans="1:12" ht="15.95" customHeight="1">
      <c r="A8" s="405" t="s">
        <v>474</v>
      </c>
      <c r="B8" s="405" t="s">
        <v>488</v>
      </c>
      <c r="C8" s="405" t="s">
        <v>501</v>
      </c>
      <c r="D8" s="405" t="s">
        <v>514</v>
      </c>
      <c r="E8" s="405" t="s">
        <v>527</v>
      </c>
      <c r="F8" s="405" t="s">
        <v>540</v>
      </c>
      <c r="G8" s="405" t="s">
        <v>553</v>
      </c>
      <c r="H8" s="345"/>
      <c r="I8" s="345"/>
      <c r="J8" s="345"/>
      <c r="K8" s="345"/>
      <c r="L8" s="345"/>
    </row>
    <row r="9" spans="1:12" ht="15.95" customHeight="1">
      <c r="A9" s="405" t="s">
        <v>475</v>
      </c>
      <c r="B9" s="405" t="s">
        <v>489</v>
      </c>
      <c r="C9" s="405" t="s">
        <v>502</v>
      </c>
      <c r="D9" s="405" t="s">
        <v>515</v>
      </c>
      <c r="E9" s="405" t="s">
        <v>528</v>
      </c>
      <c r="F9" s="405" t="s">
        <v>541</v>
      </c>
      <c r="G9" s="405" t="s">
        <v>554</v>
      </c>
      <c r="H9" s="345"/>
      <c r="I9" s="345"/>
      <c r="J9" s="345"/>
      <c r="K9" s="345"/>
      <c r="L9" s="345"/>
    </row>
    <row r="10" spans="1:12" ht="15.95" customHeight="1">
      <c r="A10" s="405" t="s">
        <v>476</v>
      </c>
      <c r="B10" s="405" t="s">
        <v>490</v>
      </c>
      <c r="C10" s="405" t="s">
        <v>503</v>
      </c>
      <c r="D10" s="405" t="s">
        <v>516</v>
      </c>
      <c r="E10" s="405" t="s">
        <v>529</v>
      </c>
      <c r="F10" s="405" t="s">
        <v>542</v>
      </c>
      <c r="G10" s="405" t="s">
        <v>555</v>
      </c>
      <c r="H10" s="345"/>
      <c r="I10" s="345"/>
      <c r="J10" s="345"/>
      <c r="K10" s="345"/>
      <c r="L10" s="345"/>
    </row>
    <row r="11" spans="1:12" ht="15.95" customHeight="1">
      <c r="A11" s="405" t="s">
        <v>477</v>
      </c>
      <c r="B11" s="405" t="s">
        <v>491</v>
      </c>
      <c r="C11" s="405" t="s">
        <v>504</v>
      </c>
      <c r="D11" s="405" t="s">
        <v>517</v>
      </c>
      <c r="E11" s="405" t="s">
        <v>530</v>
      </c>
      <c r="F11" s="405" t="s">
        <v>543</v>
      </c>
      <c r="G11" s="405" t="s">
        <v>556</v>
      </c>
      <c r="H11" s="345"/>
      <c r="I11" s="345"/>
      <c r="J11" s="345"/>
      <c r="K11" s="345"/>
      <c r="L11" s="345"/>
    </row>
    <row r="12" spans="1:12" ht="15.95" customHeight="1">
      <c r="A12" s="405" t="s">
        <v>478</v>
      </c>
      <c r="B12" s="405" t="s">
        <v>492</v>
      </c>
      <c r="C12" s="405" t="s">
        <v>505</v>
      </c>
      <c r="D12" s="405" t="s">
        <v>518</v>
      </c>
      <c r="E12" s="405" t="s">
        <v>531</v>
      </c>
      <c r="F12" s="405" t="s">
        <v>544</v>
      </c>
      <c r="G12" s="405" t="s">
        <v>557</v>
      </c>
      <c r="H12" s="345"/>
      <c r="I12" s="345"/>
      <c r="J12" s="345"/>
      <c r="K12" s="345"/>
      <c r="L12" s="345"/>
    </row>
    <row r="13" spans="1:12" ht="15.95" customHeight="1">
      <c r="A13" s="405" t="s">
        <v>479</v>
      </c>
      <c r="B13" s="405" t="s">
        <v>493</v>
      </c>
      <c r="C13" s="405" t="s">
        <v>506</v>
      </c>
      <c r="D13" s="405" t="s">
        <v>519</v>
      </c>
      <c r="E13" s="405" t="s">
        <v>532</v>
      </c>
      <c r="F13" s="405" t="s">
        <v>545</v>
      </c>
      <c r="G13" s="405" t="s">
        <v>558</v>
      </c>
      <c r="H13" s="345"/>
      <c r="I13" s="345"/>
      <c r="J13" s="345"/>
      <c r="K13" s="345"/>
      <c r="L13" s="345"/>
    </row>
    <row r="14" spans="1:12" ht="15.95" customHeight="1">
      <c r="A14" s="405" t="s">
        <v>480</v>
      </c>
      <c r="B14" s="405" t="s">
        <v>494</v>
      </c>
      <c r="C14" s="405" t="s">
        <v>507</v>
      </c>
      <c r="D14" s="405" t="s">
        <v>520</v>
      </c>
      <c r="E14" s="405" t="s">
        <v>533</v>
      </c>
      <c r="F14" s="405" t="s">
        <v>546</v>
      </c>
      <c r="G14" s="405" t="s">
        <v>559</v>
      </c>
      <c r="H14" s="345"/>
      <c r="I14" s="345"/>
      <c r="J14" s="345"/>
      <c r="K14" s="345"/>
      <c r="L14" s="345"/>
    </row>
    <row r="15" spans="1:12" ht="15.95" customHeight="1">
      <c r="A15" s="405" t="s">
        <v>481</v>
      </c>
      <c r="B15" s="405" t="s">
        <v>495</v>
      </c>
      <c r="C15" s="405" t="s">
        <v>508</v>
      </c>
      <c r="D15" s="405" t="s">
        <v>521</v>
      </c>
      <c r="E15" s="405" t="s">
        <v>534</v>
      </c>
      <c r="F15" s="405" t="s">
        <v>547</v>
      </c>
      <c r="G15" s="405" t="s">
        <v>560</v>
      </c>
      <c r="H15" s="345"/>
      <c r="I15" s="345"/>
      <c r="J15" s="345"/>
      <c r="K15" s="345"/>
      <c r="L15" s="345"/>
    </row>
    <row r="16" spans="1:12" ht="15.95" customHeight="1">
      <c r="A16" s="405" t="s">
        <v>482</v>
      </c>
      <c r="B16" s="405" t="s">
        <v>496</v>
      </c>
      <c r="C16" s="405" t="s">
        <v>509</v>
      </c>
      <c r="D16" s="405" t="s">
        <v>522</v>
      </c>
      <c r="E16" s="405" t="s">
        <v>535</v>
      </c>
      <c r="F16" s="405" t="s">
        <v>548</v>
      </c>
      <c r="G16" s="405" t="s">
        <v>561</v>
      </c>
      <c r="H16" s="345"/>
      <c r="I16" s="345"/>
      <c r="J16" s="345"/>
      <c r="K16" s="345"/>
      <c r="L16" s="345"/>
    </row>
    <row r="17" spans="1:12" ht="15.95" customHeight="1">
      <c r="A17" s="405" t="s">
        <v>483</v>
      </c>
      <c r="B17" s="405" t="s">
        <v>497</v>
      </c>
      <c r="C17" s="405" t="s">
        <v>510</v>
      </c>
      <c r="D17" s="405" t="s">
        <v>523</v>
      </c>
      <c r="E17" s="405" t="s">
        <v>536</v>
      </c>
      <c r="F17" s="405" t="s">
        <v>549</v>
      </c>
      <c r="G17" s="405" t="s">
        <v>562</v>
      </c>
      <c r="H17" s="345"/>
      <c r="I17" s="345"/>
      <c r="J17" s="345"/>
      <c r="K17" s="345"/>
      <c r="L17" s="345"/>
    </row>
    <row r="18" spans="1:12" ht="15.95" customHeight="1">
      <c r="A18" s="405" t="s">
        <v>484</v>
      </c>
      <c r="B18" s="405" t="s">
        <v>498</v>
      </c>
      <c r="C18" s="405" t="s">
        <v>511</v>
      </c>
      <c r="D18" s="405" t="s">
        <v>524</v>
      </c>
      <c r="E18" s="405" t="s">
        <v>537</v>
      </c>
      <c r="F18" s="405" t="s">
        <v>550</v>
      </c>
      <c r="G18" s="405" t="s">
        <v>563</v>
      </c>
      <c r="H18" s="345"/>
      <c r="I18" s="345"/>
      <c r="J18" s="345"/>
      <c r="K18" s="345"/>
      <c r="L18" s="345"/>
    </row>
    <row r="19" spans="1:12" ht="15.95" customHeight="1">
      <c r="A19" s="405" t="s">
        <v>485</v>
      </c>
      <c r="B19" s="405" t="s">
        <v>499</v>
      </c>
      <c r="C19" s="405" t="s">
        <v>512</v>
      </c>
      <c r="D19" s="405" t="s">
        <v>525</v>
      </c>
      <c r="E19" s="405" t="s">
        <v>538</v>
      </c>
      <c r="F19" s="405" t="s">
        <v>551</v>
      </c>
      <c r="G19" s="405" t="s">
        <v>564</v>
      </c>
      <c r="H19" s="345"/>
      <c r="I19" s="345"/>
      <c r="J19" s="345"/>
      <c r="K19" s="345"/>
      <c r="L19" s="345"/>
    </row>
    <row r="20" spans="1:12" ht="15.75">
      <c r="A20" s="345"/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709" t="s">
        <v>574</v>
      </c>
      <c r="E21" s="705"/>
      <c r="F21" s="705"/>
      <c r="G21" s="706"/>
      <c r="H21" s="345"/>
      <c r="I21" s="345"/>
      <c r="J21" s="345"/>
      <c r="K21" s="345"/>
      <c r="L21" s="345"/>
    </row>
    <row r="22" spans="1:12" ht="17.25" customHeight="1">
      <c r="A22" s="345"/>
      <c r="B22" s="707" t="s">
        <v>444</v>
      </c>
      <c r="C22" s="707"/>
      <c r="D22" s="707" t="s">
        <v>445</v>
      </c>
      <c r="E22" s="707"/>
      <c r="F22" s="707" t="s">
        <v>446</v>
      </c>
      <c r="G22" s="707"/>
      <c r="H22" s="345"/>
      <c r="I22" s="345"/>
      <c r="J22" s="345"/>
      <c r="K22" s="345"/>
      <c r="L22" s="345"/>
    </row>
    <row r="23" spans="1:12" ht="15.75">
      <c r="A23" s="406" t="s">
        <v>447</v>
      </c>
      <c r="B23" s="703" t="s">
        <v>565</v>
      </c>
      <c r="C23" s="703"/>
      <c r="D23" s="703" t="s">
        <v>568</v>
      </c>
      <c r="E23" s="703"/>
      <c r="F23" s="703" t="s">
        <v>571</v>
      </c>
      <c r="G23" s="703"/>
      <c r="H23" s="345"/>
      <c r="I23" s="345"/>
      <c r="J23" s="345"/>
      <c r="K23" s="345"/>
      <c r="L23" s="345"/>
    </row>
    <row r="24" spans="1:12" ht="18" customHeight="1">
      <c r="A24" s="406" t="s">
        <v>448</v>
      </c>
      <c r="B24" s="703" t="s">
        <v>566</v>
      </c>
      <c r="C24" s="703"/>
      <c r="D24" s="703" t="s">
        <v>569</v>
      </c>
      <c r="E24" s="703"/>
      <c r="F24" s="703" t="s">
        <v>572</v>
      </c>
      <c r="G24" s="703"/>
      <c r="H24" s="345"/>
      <c r="I24" s="345"/>
      <c r="J24" s="345"/>
      <c r="K24" s="345"/>
      <c r="L24" s="345"/>
    </row>
    <row r="25" spans="1:12" ht="15.75">
      <c r="A25" s="406" t="s">
        <v>449</v>
      </c>
      <c r="B25" s="703" t="s">
        <v>567</v>
      </c>
      <c r="C25" s="703"/>
      <c r="D25" s="703" t="s">
        <v>570</v>
      </c>
      <c r="E25" s="703"/>
      <c r="F25" s="703" t="s">
        <v>573</v>
      </c>
      <c r="G25" s="703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20.25">
      <c r="A27" s="402" t="s">
        <v>450</v>
      </c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704" t="s">
        <v>451</v>
      </c>
      <c r="F28" s="705"/>
      <c r="G28" s="706"/>
      <c r="H28" s="345"/>
      <c r="I28" s="345"/>
      <c r="J28" s="345"/>
      <c r="K28" s="345"/>
      <c r="L28" s="345"/>
    </row>
    <row r="29" spans="1:12" ht="15.75">
      <c r="A29" s="345"/>
      <c r="B29" s="707" t="s">
        <v>452</v>
      </c>
      <c r="C29" s="707"/>
      <c r="D29" s="407" t="s">
        <v>453</v>
      </c>
      <c r="E29" s="407" t="s">
        <v>454</v>
      </c>
      <c r="F29" s="707" t="s">
        <v>455</v>
      </c>
      <c r="G29" s="707"/>
      <c r="H29" s="345"/>
      <c r="I29" s="345"/>
      <c r="J29" s="345"/>
      <c r="K29" s="345"/>
      <c r="L29" s="345"/>
    </row>
    <row r="30" spans="1:12" ht="15.75">
      <c r="A30" s="406" t="s">
        <v>456</v>
      </c>
      <c r="B30" s="703" t="s">
        <v>575</v>
      </c>
      <c r="C30" s="703"/>
      <c r="D30" s="405" t="s">
        <v>578</v>
      </c>
      <c r="E30" s="405" t="s">
        <v>457</v>
      </c>
      <c r="F30" s="703" t="s">
        <v>581</v>
      </c>
      <c r="G30" s="703"/>
      <c r="H30" s="345"/>
      <c r="I30" s="345"/>
      <c r="J30" s="345"/>
      <c r="K30" s="345"/>
      <c r="L30" s="345"/>
    </row>
    <row r="31" spans="1:12" ht="15.75">
      <c r="A31" s="406" t="s">
        <v>458</v>
      </c>
      <c r="B31" s="703" t="s">
        <v>576</v>
      </c>
      <c r="C31" s="703"/>
      <c r="D31" s="405" t="s">
        <v>579</v>
      </c>
      <c r="E31" s="405" t="s">
        <v>459</v>
      </c>
      <c r="F31" s="703" t="s">
        <v>582</v>
      </c>
      <c r="G31" s="703"/>
      <c r="H31" s="345"/>
      <c r="I31" s="345"/>
      <c r="J31" s="345"/>
      <c r="K31" s="345"/>
      <c r="L31" s="345"/>
    </row>
    <row r="32" spans="1:12" ht="15.75">
      <c r="A32" s="406" t="s">
        <v>460</v>
      </c>
      <c r="B32" s="703" t="s">
        <v>577</v>
      </c>
      <c r="C32" s="703"/>
      <c r="D32" s="405" t="s">
        <v>580</v>
      </c>
      <c r="E32" s="405" t="s">
        <v>461</v>
      </c>
      <c r="F32" s="703" t="s">
        <v>583</v>
      </c>
      <c r="G32" s="703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  <row r="34" spans="1:12" ht="15.75">
      <c r="A34" s="345"/>
      <c r="B34" s="345"/>
      <c r="C34" s="345"/>
      <c r="D34" s="345"/>
      <c r="E34" s="704" t="s">
        <v>462</v>
      </c>
      <c r="F34" s="705"/>
      <c r="G34" s="706"/>
      <c r="H34" s="345"/>
      <c r="I34" s="345"/>
      <c r="J34" s="345"/>
      <c r="K34" s="345"/>
      <c r="L34" s="345"/>
    </row>
    <row r="35" spans="1:12" ht="15.75">
      <c r="A35" s="345"/>
      <c r="B35" s="707" t="s">
        <v>463</v>
      </c>
      <c r="C35" s="707"/>
      <c r="D35" s="407" t="s">
        <v>454</v>
      </c>
      <c r="E35" s="407" t="s">
        <v>464</v>
      </c>
      <c r="F35" s="407" t="s">
        <v>100</v>
      </c>
      <c r="G35" s="407" t="s">
        <v>465</v>
      </c>
      <c r="H35" s="345"/>
      <c r="I35" s="345"/>
      <c r="J35" s="345"/>
      <c r="K35" s="345"/>
      <c r="L35" s="345"/>
    </row>
    <row r="36" spans="1:12" ht="15.75">
      <c r="A36" s="406" t="s">
        <v>456</v>
      </c>
      <c r="B36" s="699" t="s">
        <v>584</v>
      </c>
      <c r="C36" s="700"/>
      <c r="D36" s="408" t="s">
        <v>586</v>
      </c>
      <c r="E36" s="408" t="s">
        <v>466</v>
      </c>
      <c r="F36" s="409" t="s">
        <v>467</v>
      </c>
      <c r="G36" s="405" t="s">
        <v>589</v>
      </c>
      <c r="H36" s="345"/>
      <c r="I36" s="345"/>
      <c r="J36" s="345"/>
      <c r="K36" s="345"/>
      <c r="L36" s="345"/>
    </row>
    <row r="37" spans="1:12" ht="15.75">
      <c r="A37" s="406" t="s">
        <v>458</v>
      </c>
      <c r="B37" s="699" t="s">
        <v>585</v>
      </c>
      <c r="C37" s="700"/>
      <c r="D37" s="408" t="s">
        <v>587</v>
      </c>
      <c r="E37" s="408" t="s">
        <v>466</v>
      </c>
      <c r="F37" s="409" t="s">
        <v>468</v>
      </c>
      <c r="G37" s="410" t="s">
        <v>590</v>
      </c>
      <c r="H37" s="345"/>
      <c r="I37" s="345"/>
      <c r="J37" s="345"/>
      <c r="K37" s="345"/>
      <c r="L37" s="345"/>
    </row>
    <row r="38" spans="1:12" ht="15.75">
      <c r="A38" s="406" t="s">
        <v>460</v>
      </c>
      <c r="B38" s="699" t="s">
        <v>585</v>
      </c>
      <c r="C38" s="700"/>
      <c r="D38" s="408" t="s">
        <v>588</v>
      </c>
      <c r="E38" s="408" t="s">
        <v>466</v>
      </c>
      <c r="F38" s="409" t="s">
        <v>469</v>
      </c>
      <c r="G38" s="405" t="s">
        <v>591</v>
      </c>
      <c r="H38" s="345"/>
      <c r="I38" s="345"/>
      <c r="J38" s="345"/>
      <c r="K38" s="345"/>
      <c r="L38" s="345"/>
    </row>
    <row r="39" spans="1:12" ht="15.75">
      <c r="A39" s="345"/>
      <c r="B39" s="345"/>
      <c r="C39" s="345"/>
      <c r="D39" s="345"/>
      <c r="E39" s="345"/>
      <c r="F39" s="345"/>
      <c r="G39" s="345"/>
      <c r="H39" s="345"/>
      <c r="I39" s="345"/>
      <c r="J39" s="345"/>
      <c r="K39" s="345"/>
      <c r="L39" s="345"/>
    </row>
    <row r="40" spans="1:12" ht="15.75">
      <c r="A40" s="411" t="s">
        <v>470</v>
      </c>
      <c r="B40" s="701" t="s">
        <v>592</v>
      </c>
      <c r="C40" s="701"/>
      <c r="D40" s="702" t="s">
        <v>471</v>
      </c>
      <c r="E40" s="702"/>
      <c r="F40" s="701" t="s">
        <v>593</v>
      </c>
      <c r="G40" s="701"/>
      <c r="H40" s="345"/>
      <c r="I40" s="345"/>
      <c r="J40" s="345"/>
      <c r="K40" s="345"/>
      <c r="L40" s="345"/>
    </row>
    <row r="41" spans="1:12" ht="15.75">
      <c r="A41" s="345"/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</row>
    <row r="42" spans="1:12" ht="15.75">
      <c r="A42" s="345"/>
      <c r="B42" s="345"/>
      <c r="C42" s="345"/>
      <c r="D42" s="345"/>
      <c r="E42" s="345"/>
      <c r="F42" s="345"/>
      <c r="G42" s="345"/>
      <c r="H42" s="345"/>
      <c r="I42" s="345"/>
      <c r="J42" s="345"/>
      <c r="K42" s="345"/>
      <c r="L42" s="345"/>
    </row>
    <row r="43" spans="1:12" ht="15.75">
      <c r="A43" s="345"/>
      <c r="B43" s="345"/>
      <c r="C43" s="345"/>
      <c r="D43" s="345"/>
      <c r="E43" s="345"/>
      <c r="F43" s="345"/>
      <c r="G43" s="345"/>
      <c r="H43" s="345"/>
      <c r="I43" s="345"/>
      <c r="J43" s="345"/>
      <c r="K43" s="345"/>
      <c r="L43" s="345"/>
    </row>
    <row r="44" spans="1:12" ht="15.75">
      <c r="A44" s="345"/>
      <c r="B44" s="345"/>
      <c r="C44" s="345"/>
      <c r="D44" s="345"/>
      <c r="E44" s="345"/>
      <c r="F44" s="345"/>
      <c r="G44" s="345"/>
      <c r="H44" s="345"/>
      <c r="I44" s="345"/>
      <c r="J44" s="345"/>
      <c r="K44" s="345"/>
      <c r="L44" s="345"/>
    </row>
    <row r="45" spans="1:12" ht="15.75">
      <c r="A45" s="345"/>
      <c r="B45" s="345"/>
      <c r="C45" s="345"/>
      <c r="D45" s="345"/>
      <c r="E45" s="345"/>
      <c r="F45" s="345"/>
      <c r="G45" s="345"/>
      <c r="H45" s="345"/>
      <c r="I45" s="345"/>
      <c r="J45" s="345"/>
      <c r="K45" s="345"/>
      <c r="L45" s="345"/>
    </row>
    <row r="46" spans="1:12" ht="15.75">
      <c r="A46" s="345"/>
      <c r="B46" s="345"/>
      <c r="C46" s="345"/>
      <c r="D46" s="345"/>
      <c r="E46" s="345"/>
      <c r="F46" s="345"/>
      <c r="G46" s="345"/>
      <c r="H46" s="345"/>
      <c r="I46" s="345"/>
      <c r="J46" s="345"/>
      <c r="K46" s="345"/>
      <c r="L46" s="345"/>
    </row>
    <row r="47" spans="1:12" ht="15.75">
      <c r="A47" s="345"/>
      <c r="B47" s="345"/>
      <c r="C47" s="345"/>
      <c r="D47" s="345"/>
      <c r="E47" s="345"/>
      <c r="F47" s="345"/>
      <c r="G47" s="345"/>
      <c r="H47" s="345"/>
      <c r="I47" s="345"/>
      <c r="J47" s="345"/>
      <c r="K47" s="345"/>
      <c r="L47" s="345"/>
    </row>
    <row r="48" spans="1:12" ht="15.75">
      <c r="A48" s="345"/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</row>
    <row r="49" spans="1:12" ht="15.75">
      <c r="A49" s="345"/>
      <c r="B49" s="345"/>
      <c r="C49" s="345"/>
      <c r="D49" s="345"/>
      <c r="E49" s="345"/>
      <c r="F49" s="345"/>
      <c r="G49" s="345"/>
      <c r="H49" s="345"/>
      <c r="I49" s="345"/>
      <c r="J49" s="345"/>
      <c r="K49" s="345"/>
      <c r="L49" s="345"/>
    </row>
    <row r="50" spans="1:12" ht="15.75">
      <c r="A50" s="345"/>
      <c r="B50" s="345"/>
      <c r="C50" s="345"/>
      <c r="D50" s="345"/>
      <c r="E50" s="345"/>
      <c r="F50" s="345"/>
      <c r="G50" s="345"/>
      <c r="H50" s="345"/>
      <c r="I50" s="345"/>
      <c r="J50" s="345"/>
      <c r="K50" s="345"/>
      <c r="L50" s="345"/>
    </row>
    <row r="51" spans="1:12" ht="15.75">
      <c r="A51" s="345"/>
      <c r="B51" s="345"/>
      <c r="C51" s="345"/>
      <c r="D51" s="345"/>
      <c r="E51" s="345"/>
      <c r="F51" s="345"/>
      <c r="G51" s="345"/>
      <c r="H51" s="345"/>
      <c r="I51" s="345"/>
      <c r="J51" s="345"/>
      <c r="K51" s="345"/>
      <c r="L51" s="345"/>
    </row>
    <row r="52" spans="1:12" ht="15.75">
      <c r="A52" s="345"/>
      <c r="B52" s="345"/>
      <c r="C52" s="345"/>
      <c r="D52" s="345"/>
      <c r="E52" s="345"/>
      <c r="F52" s="345"/>
      <c r="G52" s="345"/>
      <c r="H52" s="345"/>
      <c r="I52" s="345"/>
      <c r="J52" s="345"/>
      <c r="K52" s="345"/>
      <c r="L52" s="345"/>
    </row>
    <row r="53" spans="1:12" ht="15.75">
      <c r="A53" s="345"/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</row>
    <row r="54" spans="1:12" ht="15.75">
      <c r="A54" s="345"/>
      <c r="B54" s="345"/>
      <c r="C54" s="345"/>
      <c r="D54" s="345"/>
      <c r="E54" s="345"/>
      <c r="F54" s="345"/>
      <c r="G54" s="345"/>
      <c r="H54" s="345"/>
      <c r="I54" s="345"/>
      <c r="J54" s="345"/>
      <c r="K54" s="345"/>
      <c r="L54" s="345"/>
    </row>
    <row r="55" spans="1:12" ht="15.75">
      <c r="A55" s="345"/>
      <c r="B55" s="345"/>
      <c r="C55" s="345"/>
      <c r="D55" s="345"/>
      <c r="E55" s="345"/>
      <c r="F55" s="345"/>
      <c r="G55" s="345"/>
      <c r="H55" s="345"/>
      <c r="I55" s="345"/>
      <c r="J55" s="345"/>
      <c r="K55" s="345"/>
      <c r="L55" s="345"/>
    </row>
    <row r="56" spans="1:12" ht="15.75">
      <c r="A56" s="345"/>
      <c r="B56" s="345"/>
      <c r="C56" s="345"/>
      <c r="D56" s="345"/>
      <c r="E56" s="345"/>
      <c r="F56" s="345"/>
      <c r="G56" s="345"/>
      <c r="H56" s="345"/>
      <c r="I56" s="345"/>
      <c r="J56" s="345"/>
      <c r="K56" s="345"/>
      <c r="L56" s="345"/>
    </row>
    <row r="57" spans="1:12" ht="15.75">
      <c r="A57" s="345"/>
      <c r="B57" s="345"/>
      <c r="C57" s="345"/>
      <c r="D57" s="345"/>
      <c r="E57" s="345"/>
      <c r="F57" s="345"/>
      <c r="G57" s="345"/>
      <c r="H57" s="345"/>
      <c r="I57" s="345"/>
      <c r="J57" s="345"/>
      <c r="K57" s="345"/>
      <c r="L57" s="345"/>
    </row>
    <row r="58" spans="1:12" ht="15.75">
      <c r="A58" s="345"/>
      <c r="B58" s="345"/>
      <c r="C58" s="345"/>
      <c r="D58" s="345"/>
      <c r="E58" s="345"/>
      <c r="F58" s="345"/>
      <c r="G58" s="345"/>
      <c r="H58" s="345"/>
      <c r="I58" s="345"/>
      <c r="J58" s="345"/>
      <c r="K58" s="345"/>
      <c r="L58" s="345"/>
    </row>
    <row r="59" spans="1:12" ht="15.75">
      <c r="A59" s="345"/>
      <c r="B59" s="345"/>
      <c r="C59" s="345"/>
      <c r="D59" s="345"/>
      <c r="E59" s="345"/>
      <c r="F59" s="345"/>
      <c r="G59" s="345"/>
      <c r="H59" s="345"/>
      <c r="I59" s="345"/>
      <c r="J59" s="345"/>
      <c r="K59" s="345"/>
      <c r="L59" s="345"/>
    </row>
    <row r="60" spans="1:12" ht="15.75">
      <c r="A60" s="345"/>
      <c r="B60" s="345"/>
      <c r="C60" s="345"/>
      <c r="D60" s="345"/>
      <c r="E60" s="345"/>
      <c r="F60" s="345"/>
      <c r="G60" s="345"/>
      <c r="H60" s="345"/>
      <c r="I60" s="345"/>
      <c r="J60" s="345"/>
      <c r="K60" s="345"/>
      <c r="L60" s="345"/>
    </row>
    <row r="61" spans="1:12" ht="15.75">
      <c r="A61" s="345"/>
      <c r="B61" s="345"/>
      <c r="C61" s="345"/>
      <c r="D61" s="345"/>
      <c r="E61" s="345"/>
      <c r="F61" s="345"/>
      <c r="G61" s="345"/>
      <c r="H61" s="345"/>
      <c r="I61" s="345"/>
      <c r="J61" s="345"/>
      <c r="K61" s="345"/>
      <c r="L61" s="345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F43" sqref="F43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710" t="s">
        <v>594</v>
      </c>
      <c r="B3" s="711"/>
      <c r="C3" s="711"/>
      <c r="D3" s="711"/>
      <c r="E3" s="711"/>
      <c r="F3" s="712"/>
    </row>
    <row r="4" spans="1:6" ht="18.95" customHeight="1">
      <c r="A4" s="713" t="s">
        <v>595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373" t="s">
        <v>399</v>
      </c>
      <c r="B6" s="696" t="str">
        <f>'Performance Data Sheet'!C17</f>
        <v>M357TCAL11E-C</v>
      </c>
      <c r="C6" s="697"/>
      <c r="D6" s="698"/>
      <c r="E6" s="373" t="s">
        <v>400</v>
      </c>
      <c r="F6" s="374">
        <v>220</v>
      </c>
    </row>
    <row r="7" spans="1:6" ht="18.95" customHeight="1">
      <c r="A7" s="373" t="s">
        <v>401</v>
      </c>
      <c r="B7" s="374" t="str">
        <f>'Performance Data Sheet'!F14</f>
        <v>TEAAC</v>
      </c>
      <c r="C7" s="373" t="s">
        <v>402</v>
      </c>
      <c r="D7" s="374" t="s">
        <v>424</v>
      </c>
      <c r="E7" s="373" t="s">
        <v>403</v>
      </c>
      <c r="F7" s="374" t="str">
        <f>'Performance Data Sheet'!C14</f>
        <v>6813US</v>
      </c>
    </row>
    <row r="8" spans="1:6" ht="18.95" customHeight="1">
      <c r="A8" s="373" t="s">
        <v>404</v>
      </c>
      <c r="B8" s="374">
        <v>6</v>
      </c>
      <c r="C8" s="373" t="s">
        <v>405</v>
      </c>
      <c r="D8" s="374" t="s">
        <v>406</v>
      </c>
      <c r="E8" s="373" t="s">
        <v>407</v>
      </c>
      <c r="F8" s="374" t="str">
        <f>'Performance Data Sheet'!M15</f>
        <v>F</v>
      </c>
    </row>
    <row r="9" spans="1:6" ht="18.95" customHeight="1">
      <c r="A9" s="373" t="s">
        <v>408</v>
      </c>
      <c r="B9" s="374">
        <v>1750</v>
      </c>
      <c r="C9" s="373" t="s">
        <v>409</v>
      </c>
      <c r="D9" s="374" t="s">
        <v>425</v>
      </c>
      <c r="E9" s="373" t="s">
        <v>2</v>
      </c>
      <c r="F9" s="375">
        <f>'Performance Data Sheet'!K45</f>
        <v>41992</v>
      </c>
    </row>
    <row r="10" spans="1:6" ht="18.95" customHeight="1">
      <c r="A10" s="373" t="s">
        <v>410</v>
      </c>
      <c r="B10" s="374">
        <v>1192</v>
      </c>
      <c r="C10" s="373" t="s">
        <v>411</v>
      </c>
      <c r="D10" s="374" t="s">
        <v>600</v>
      </c>
      <c r="E10" s="373" t="s">
        <v>1</v>
      </c>
      <c r="F10" s="374" t="s">
        <v>753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370"/>
      <c r="B12" s="376"/>
      <c r="C12" s="377"/>
      <c r="D12" s="376"/>
      <c r="E12" s="377"/>
      <c r="F12" s="372"/>
    </row>
    <row r="13" spans="1:6" ht="18.95" customHeight="1">
      <c r="A13" s="370"/>
      <c r="B13" s="376"/>
      <c r="C13" s="378"/>
      <c r="D13" s="376"/>
      <c r="E13" s="377"/>
      <c r="F13" s="372"/>
    </row>
    <row r="14" spans="1:6" ht="18.95" customHeight="1">
      <c r="A14" s="370"/>
      <c r="B14" s="376"/>
      <c r="C14" s="378"/>
      <c r="D14" s="376"/>
      <c r="E14" s="377"/>
      <c r="F14" s="372"/>
    </row>
    <row r="15" spans="1:6" ht="18.95" customHeight="1">
      <c r="A15" s="370"/>
      <c r="B15" s="376"/>
      <c r="C15" s="377"/>
      <c r="D15" s="371"/>
      <c r="E15" s="371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6" ht="18.95" customHeight="1">
      <c r="A17" s="370"/>
      <c r="B17" s="371"/>
      <c r="C17" s="371"/>
      <c r="D17" s="371"/>
      <c r="E17" s="371"/>
      <c r="F17" s="372"/>
    </row>
    <row r="18" spans="1:6" ht="18.95" customHeight="1">
      <c r="A18" s="370"/>
      <c r="B18" s="371"/>
      <c r="C18" s="371"/>
      <c r="D18" s="371"/>
      <c r="E18" s="371"/>
      <c r="F18" s="372"/>
    </row>
    <row r="19" spans="1:6" ht="18.95" customHeight="1">
      <c r="A19" s="370"/>
      <c r="B19" s="371"/>
      <c r="C19" s="371"/>
      <c r="D19" s="371"/>
      <c r="E19" s="371"/>
      <c r="F19" s="372"/>
    </row>
    <row r="20" spans="1:6" ht="18.95" customHeight="1">
      <c r="A20" s="370"/>
      <c r="B20" s="371"/>
      <c r="C20" s="371"/>
      <c r="D20" s="371"/>
      <c r="E20" s="371"/>
      <c r="F20" s="372"/>
    </row>
    <row r="21" spans="1:6" ht="18.95" customHeight="1">
      <c r="A21" s="370"/>
      <c r="B21" s="371"/>
      <c r="C21" s="371"/>
      <c r="D21" s="371"/>
      <c r="E21" s="371"/>
      <c r="F21" s="372"/>
    </row>
    <row r="22" spans="1:6" ht="18.95" customHeight="1">
      <c r="A22" s="370"/>
      <c r="B22" s="371"/>
      <c r="C22" s="371"/>
      <c r="D22" s="371"/>
      <c r="E22" s="371"/>
      <c r="F22" s="372"/>
    </row>
    <row r="23" spans="1:6" ht="18.95" customHeight="1">
      <c r="A23" s="370"/>
      <c r="B23" s="371"/>
      <c r="C23" s="371"/>
      <c r="D23" s="371"/>
      <c r="E23" s="371"/>
      <c r="F23" s="372"/>
    </row>
    <row r="24" spans="1:6" ht="18.95" customHeight="1">
      <c r="A24" s="370"/>
      <c r="B24" s="371"/>
      <c r="C24" s="371"/>
      <c r="D24" s="371"/>
      <c r="E24" s="371"/>
      <c r="F24" s="372"/>
    </row>
    <row r="25" spans="1:6" ht="18.95" customHeight="1">
      <c r="A25" s="370"/>
      <c r="B25" s="371"/>
      <c r="C25" s="371"/>
      <c r="D25" s="371"/>
      <c r="E25" s="371"/>
      <c r="F25" s="372"/>
    </row>
    <row r="26" spans="1:6" ht="18.95" customHeight="1">
      <c r="A26" s="370"/>
      <c r="B26" s="371"/>
      <c r="C26" s="371"/>
      <c r="D26" s="371"/>
      <c r="E26" s="371"/>
      <c r="F26" s="372"/>
    </row>
    <row r="27" spans="1:6" ht="18.95" customHeight="1">
      <c r="A27" s="370"/>
      <c r="B27" s="371"/>
      <c r="C27" s="371"/>
      <c r="D27" s="371"/>
      <c r="E27" s="371"/>
      <c r="F27" s="372"/>
    </row>
    <row r="28" spans="1:6" ht="18.95" customHeight="1">
      <c r="A28" s="370"/>
      <c r="B28" s="371"/>
      <c r="C28" s="371"/>
      <c r="D28" s="371"/>
      <c r="E28" s="371"/>
      <c r="F28" s="372"/>
    </row>
    <row r="29" spans="1:6" ht="18.95" customHeight="1">
      <c r="A29" s="370"/>
      <c r="B29" s="371"/>
      <c r="C29" s="371"/>
      <c r="D29" s="371"/>
      <c r="E29" s="371"/>
      <c r="F29" s="372"/>
    </row>
    <row r="30" spans="1:6" ht="18.95" customHeight="1">
      <c r="A30" s="370"/>
      <c r="B30" s="371"/>
      <c r="C30" s="371"/>
      <c r="D30" s="371"/>
      <c r="E30" s="371"/>
      <c r="F30" s="372"/>
    </row>
    <row r="31" spans="1:6" ht="18.95" customHeight="1">
      <c r="A31" s="370"/>
      <c r="B31" s="371"/>
      <c r="C31" s="371"/>
      <c r="D31" s="371"/>
      <c r="E31" s="371"/>
      <c r="F31" s="372"/>
    </row>
    <row r="32" spans="1:6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379" t="s">
        <v>420</v>
      </c>
      <c r="B39" s="380"/>
      <c r="C39" s="380"/>
      <c r="D39" s="371"/>
      <c r="E39" s="376" t="s">
        <v>421</v>
      </c>
      <c r="F39" s="381" t="s">
        <v>753</v>
      </c>
    </row>
    <row r="40" spans="1:6" ht="18.95" customHeight="1">
      <c r="A40" s="370"/>
      <c r="B40" s="380"/>
      <c r="C40" s="380"/>
      <c r="D40" s="371"/>
      <c r="E40" s="371"/>
      <c r="F40" s="372"/>
    </row>
    <row r="41" spans="1:6" ht="18.95" customHeight="1">
      <c r="A41" s="370"/>
      <c r="B41" s="380"/>
      <c r="C41" s="380"/>
      <c r="D41" s="371"/>
      <c r="E41" s="371"/>
      <c r="F41" s="372"/>
    </row>
    <row r="42" spans="1:6" ht="18.95" customHeight="1">
      <c r="A42" s="370"/>
      <c r="B42" s="371"/>
      <c r="C42" s="371"/>
      <c r="D42" s="371"/>
      <c r="E42" s="371"/>
      <c r="F42" s="372"/>
    </row>
    <row r="43" spans="1:6" ht="18.95" customHeight="1">
      <c r="A43" s="382"/>
      <c r="B43" s="380"/>
      <c r="C43" s="383" t="s">
        <v>422</v>
      </c>
      <c r="D43" s="384" t="str">
        <f>'Performance Data Sheet'!K43</f>
        <v>Mario L</v>
      </c>
      <c r="E43" s="383" t="s">
        <v>423</v>
      </c>
      <c r="F43" s="384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2" t="e">
        <f>5252.1*B50/D53</f>
        <v>#DIV/0!</v>
      </c>
      <c r="G50" s="412"/>
    </row>
    <row r="51" spans="6:9" ht="15" customHeight="1">
      <c r="G51" s="413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415" t="s">
        <v>39</v>
      </c>
    </row>
    <row r="64" spans="6:9">
      <c r="I64" s="415"/>
    </row>
    <row r="65" spans="1:9">
      <c r="I65" s="415"/>
    </row>
    <row r="66" spans="1:9">
      <c r="D66" s="412" t="e">
        <f>D65/D64</f>
        <v>#DIV/0!</v>
      </c>
    </row>
    <row r="67" spans="1:9">
      <c r="A67" s="416" t="s">
        <v>396</v>
      </c>
      <c r="B67" s="416" t="s">
        <v>596</v>
      </c>
      <c r="C67" s="416" t="s">
        <v>597</v>
      </c>
      <c r="E67" s="416" t="s">
        <v>598</v>
      </c>
      <c r="F67" s="416" t="s">
        <v>599</v>
      </c>
    </row>
    <row r="68" spans="1:9">
      <c r="A68" s="417">
        <v>565.4545454545455</v>
      </c>
      <c r="B68" s="418">
        <v>35</v>
      </c>
      <c r="C68" s="418">
        <v>15</v>
      </c>
      <c r="E68" s="417">
        <f>A68</f>
        <v>565.4545454545455</v>
      </c>
      <c r="F68" s="418">
        <v>1E-4</v>
      </c>
    </row>
    <row r="69" spans="1:9">
      <c r="A69" s="417">
        <v>494.31014545454548</v>
      </c>
      <c r="B69" s="418">
        <f>((A68/A69)^2)*B68</f>
        <v>45.799885786332069</v>
      </c>
      <c r="C69" s="418">
        <f>((A68/A69)^2)*C68</f>
        <v>19.628522479856603</v>
      </c>
      <c r="E69" s="417">
        <v>563.45454545454538</v>
      </c>
      <c r="F69" s="418">
        <v>1.5190000534057617</v>
      </c>
    </row>
    <row r="70" spans="1:9">
      <c r="A70" s="417">
        <v>423.14440000000002</v>
      </c>
      <c r="B70" s="418">
        <f>((A68/A70)^2)*B68</f>
        <v>62.500896676130907</v>
      </c>
      <c r="C70" s="418">
        <f>((A68/A70)^2)*C68</f>
        <v>26.786098575484676</v>
      </c>
      <c r="E70" s="417">
        <v>559.04545454545462</v>
      </c>
      <c r="F70" s="418">
        <v>2.7890000343322754</v>
      </c>
    </row>
    <row r="71" spans="1:9">
      <c r="A71" s="417">
        <v>352</v>
      </c>
      <c r="B71" s="418">
        <f>((A68/A71)^2)*B68</f>
        <v>90.318791194249044</v>
      </c>
      <c r="C71" s="418">
        <f>((A68/A71)^2)*C68</f>
        <v>38.708053368963874</v>
      </c>
      <c r="E71" s="417">
        <v>553.77272727272725</v>
      </c>
      <c r="F71" s="418">
        <v>3.9800000190734863</v>
      </c>
    </row>
    <row r="72" spans="1:9">
      <c r="A72" s="417">
        <f>A71-100</f>
        <v>252</v>
      </c>
      <c r="B72" s="418">
        <f>((A68/A72)^2)*B68</f>
        <v>176.22290728351336</v>
      </c>
      <c r="C72" s="418"/>
      <c r="E72" s="417">
        <v>547.18181818181813</v>
      </c>
      <c r="F72" s="418">
        <v>5.1690001487731934</v>
      </c>
    </row>
    <row r="73" spans="1:9">
      <c r="A73" s="417">
        <f>A72-100</f>
        <v>152</v>
      </c>
      <c r="B73" s="418">
        <f>((A68/A73)^2)*B68</f>
        <v>484.36891898079273</v>
      </c>
      <c r="C73" s="418"/>
      <c r="E73" s="417">
        <v>538.86363636363637</v>
      </c>
      <c r="F73" s="418">
        <v>6.4190001487731934</v>
      </c>
    </row>
    <row r="74" spans="1:9">
      <c r="A74" s="417">
        <v>230</v>
      </c>
      <c r="B74" s="418">
        <f>((A68/A74)^2)*B68</f>
        <v>211.54743864144103</v>
      </c>
      <c r="C74" s="418">
        <f>((A68/A74)^2)*C68</f>
        <v>90.663187989189012</v>
      </c>
      <c r="E74" s="417">
        <v>528.5</v>
      </c>
      <c r="F74" s="418">
        <v>7.7899999618530273</v>
      </c>
    </row>
    <row r="75" spans="1:9">
      <c r="A75" s="419">
        <v>180</v>
      </c>
      <c r="B75" s="418">
        <f>((A68/A75)^2)*B69</f>
        <v>451.9753854851366</v>
      </c>
      <c r="C75" s="418">
        <f>((A68/A75)^2)*C68</f>
        <v>148.02724211815121</v>
      </c>
      <c r="E75" s="417">
        <v>515.72727272727263</v>
      </c>
      <c r="F75" s="418">
        <v>9.3629999160766602</v>
      </c>
    </row>
    <row r="76" spans="1:9">
      <c r="A76" s="419">
        <v>145</v>
      </c>
      <c r="B76" s="418">
        <f>((A68/A76)^2)*B68</f>
        <v>532.26442350212767</v>
      </c>
      <c r="C76" s="418">
        <f>((A68/A76)^2)*C68</f>
        <v>228.11332435805468</v>
      </c>
      <c r="E76" s="417">
        <v>499.50000000000006</v>
      </c>
      <c r="F76" s="418">
        <v>11.305999755859375</v>
      </c>
    </row>
    <row r="77" spans="1:9">
      <c r="A77" s="419">
        <v>125</v>
      </c>
      <c r="B77" s="418"/>
      <c r="C77" s="417">
        <f>CEILING(C76*2,100)</f>
        <v>500</v>
      </c>
      <c r="E77" s="417">
        <v>483.59090909090918</v>
      </c>
      <c r="F77" s="418">
        <v>12.423999786376953</v>
      </c>
    </row>
    <row r="78" spans="1:9">
      <c r="A78" s="419">
        <v>125</v>
      </c>
      <c r="B78" s="418"/>
      <c r="C78" s="417">
        <f>2*C77</f>
        <v>1000</v>
      </c>
      <c r="E78" s="417">
        <v>464.45454545454544</v>
      </c>
      <c r="F78" s="418">
        <v>13.375999450683594</v>
      </c>
    </row>
    <row r="79" spans="1:9">
      <c r="A79" s="419">
        <v>125</v>
      </c>
      <c r="B79" s="419"/>
      <c r="C79" s="419">
        <v>10000</v>
      </c>
      <c r="E79" s="417">
        <v>413.31818181818181</v>
      </c>
      <c r="F79" s="418">
        <v>13.84999942779541</v>
      </c>
    </row>
    <row r="80" spans="1:9">
      <c r="E80" s="417">
        <v>246.72727272727269</v>
      </c>
      <c r="F80" s="418">
        <v>13.945999145507813</v>
      </c>
    </row>
    <row r="81" spans="5:6">
      <c r="E81" s="417">
        <v>0</v>
      </c>
      <c r="F81" s="418">
        <v>14.345998764038086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RowHeight="12.75"/>
  <cols>
    <col min="1" max="1" width="9.5703125" style="344" customWidth="1"/>
    <col min="2" max="11" width="7.7109375" style="344" customWidth="1"/>
    <col min="12" max="16384" width="9.140625" style="344"/>
  </cols>
  <sheetData>
    <row r="1" spans="1:12" ht="20.25">
      <c r="A1" s="718" t="s">
        <v>601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345"/>
    </row>
    <row r="2" spans="1:12" ht="30" customHeight="1">
      <c r="A2" s="345"/>
      <c r="B2" s="345"/>
      <c r="C2" s="345"/>
      <c r="D2" s="345"/>
      <c r="E2" s="345"/>
      <c r="F2" s="345"/>
      <c r="G2" s="345"/>
      <c r="H2" s="345"/>
      <c r="I2" s="345"/>
      <c r="J2" s="345"/>
      <c r="K2" s="345"/>
      <c r="L2" s="345"/>
    </row>
    <row r="3" spans="1:12" ht="19.5">
      <c r="A3" s="420" t="s">
        <v>433</v>
      </c>
      <c r="B3" s="421" t="s">
        <v>472</v>
      </c>
      <c r="C3" s="345"/>
      <c r="D3" s="345"/>
      <c r="E3" s="345"/>
      <c r="F3" s="345"/>
      <c r="G3" s="345"/>
      <c r="H3" s="345"/>
      <c r="I3" s="345"/>
      <c r="J3" s="345"/>
      <c r="K3" s="345"/>
      <c r="L3" s="345"/>
    </row>
    <row r="4" spans="1:12" ht="12" customHeight="1">
      <c r="A4" s="345"/>
      <c r="B4" s="345"/>
      <c r="C4" s="345"/>
      <c r="D4" s="345"/>
      <c r="E4" s="345"/>
      <c r="F4" s="345"/>
      <c r="G4" s="345"/>
      <c r="H4" s="345"/>
      <c r="I4" s="345"/>
      <c r="J4" s="345"/>
      <c r="K4" s="345"/>
      <c r="L4" s="345"/>
    </row>
    <row r="5" spans="1:12" ht="19.5">
      <c r="A5" s="422" t="s">
        <v>602</v>
      </c>
      <c r="B5" s="423"/>
      <c r="C5" s="423"/>
      <c r="D5" s="423"/>
      <c r="E5" s="423"/>
      <c r="F5" s="345"/>
      <c r="G5" s="345"/>
      <c r="H5" s="345"/>
      <c r="I5" s="345"/>
      <c r="J5" s="345"/>
      <c r="K5" s="345"/>
      <c r="L5" s="345"/>
    </row>
    <row r="6" spans="1:12" ht="17.25" customHeight="1">
      <c r="A6" s="345"/>
      <c r="B6" s="345"/>
      <c r="C6" s="345"/>
      <c r="D6" s="345"/>
      <c r="E6" s="345"/>
      <c r="F6" s="345"/>
      <c r="G6" s="345"/>
      <c r="H6" s="345"/>
      <c r="I6" s="345"/>
      <c r="J6" s="345"/>
      <c r="K6" s="345"/>
      <c r="L6" s="345"/>
    </row>
    <row r="7" spans="1:12" ht="15.75">
      <c r="A7" s="345"/>
      <c r="B7" s="424" t="s">
        <v>603</v>
      </c>
      <c r="C7" s="425">
        <v>0</v>
      </c>
      <c r="D7" s="424" t="s">
        <v>603</v>
      </c>
      <c r="E7" s="426" t="s">
        <v>604</v>
      </c>
      <c r="F7" s="424" t="s">
        <v>603</v>
      </c>
      <c r="G7" s="426" t="s">
        <v>605</v>
      </c>
      <c r="H7" s="424" t="s">
        <v>606</v>
      </c>
      <c r="I7" s="426">
        <v>0</v>
      </c>
      <c r="J7" s="424" t="s">
        <v>606</v>
      </c>
      <c r="K7" s="426">
        <v>7.0000000000000001E-3</v>
      </c>
      <c r="L7" s="345"/>
    </row>
    <row r="8" spans="1:12" ht="15.75">
      <c r="A8" s="405" t="s">
        <v>607</v>
      </c>
      <c r="B8" s="703">
        <v>8</v>
      </c>
      <c r="C8" s="703"/>
      <c r="D8" s="703">
        <v>26</v>
      </c>
      <c r="E8" s="703"/>
      <c r="F8" s="703">
        <v>10</v>
      </c>
      <c r="G8" s="703"/>
      <c r="H8" s="703" t="s">
        <v>622</v>
      </c>
      <c r="I8" s="703"/>
      <c r="J8" s="703" t="s">
        <v>623</v>
      </c>
      <c r="K8" s="703"/>
      <c r="L8" s="345"/>
    </row>
    <row r="9" spans="1:12" ht="15.75">
      <c r="A9" s="405" t="s">
        <v>608</v>
      </c>
      <c r="B9" s="703">
        <v>20</v>
      </c>
      <c r="C9" s="703"/>
      <c r="D9" s="703">
        <v>38</v>
      </c>
      <c r="E9" s="703"/>
      <c r="F9" s="703">
        <v>2</v>
      </c>
      <c r="G9" s="703"/>
      <c r="H9" s="703" t="s">
        <v>624</v>
      </c>
      <c r="I9" s="703"/>
      <c r="J9" s="703" t="s">
        <v>625</v>
      </c>
      <c r="K9" s="703"/>
      <c r="L9" s="345"/>
    </row>
    <row r="10" spans="1:12" ht="15.75">
      <c r="A10" s="405" t="s">
        <v>609</v>
      </c>
      <c r="B10" s="703">
        <v>14</v>
      </c>
      <c r="C10" s="703"/>
      <c r="D10" s="703">
        <v>32</v>
      </c>
      <c r="E10" s="703"/>
      <c r="F10" s="703">
        <v>4</v>
      </c>
      <c r="G10" s="703"/>
      <c r="H10" s="703" t="s">
        <v>626</v>
      </c>
      <c r="I10" s="703"/>
      <c r="J10" s="703" t="s">
        <v>627</v>
      </c>
      <c r="K10" s="703"/>
      <c r="L10" s="345"/>
    </row>
    <row r="11" spans="1:12" ht="26.25" customHeight="1">
      <c r="A11" s="345"/>
      <c r="B11" s="345"/>
      <c r="C11" s="345"/>
      <c r="D11" s="345"/>
      <c r="E11" s="345"/>
      <c r="F11" s="345"/>
      <c r="G11" s="345"/>
      <c r="H11" s="345"/>
      <c r="I11" s="345"/>
      <c r="J11" s="345"/>
      <c r="K11" s="345"/>
      <c r="L11" s="345"/>
    </row>
    <row r="12" spans="1:12" ht="19.5">
      <c r="A12" s="422" t="s">
        <v>610</v>
      </c>
      <c r="B12" s="345"/>
      <c r="C12" s="345"/>
      <c r="D12" s="345"/>
      <c r="E12" s="345"/>
      <c r="F12" s="345"/>
      <c r="G12" s="345"/>
      <c r="H12" s="345"/>
      <c r="I12" s="345"/>
      <c r="J12" s="345"/>
      <c r="K12" s="345"/>
      <c r="L12" s="345"/>
    </row>
    <row r="13" spans="1:12" ht="15.75">
      <c r="A13" s="345"/>
      <c r="B13" s="345"/>
      <c r="C13" s="345"/>
      <c r="D13" s="345"/>
      <c r="E13" s="345"/>
      <c r="F13" s="345"/>
      <c r="G13" s="345"/>
      <c r="H13" s="345"/>
      <c r="I13" s="345"/>
      <c r="J13" s="345"/>
      <c r="K13" s="345"/>
      <c r="L13" s="345"/>
    </row>
    <row r="14" spans="1:12" ht="15.75">
      <c r="A14" s="345"/>
      <c r="B14" s="716" t="s">
        <v>611</v>
      </c>
      <c r="C14" s="699"/>
      <c r="D14" s="717" t="s">
        <v>628</v>
      </c>
      <c r="E14" s="703"/>
      <c r="F14" s="716" t="s">
        <v>612</v>
      </c>
      <c r="G14" s="699"/>
      <c r="H14" s="717" t="s">
        <v>633</v>
      </c>
      <c r="I14" s="703"/>
      <c r="J14" s="345"/>
      <c r="K14" s="345"/>
      <c r="L14" s="345"/>
    </row>
    <row r="15" spans="1:12" ht="15.75">
      <c r="A15" s="345"/>
      <c r="B15" s="716" t="s">
        <v>613</v>
      </c>
      <c r="C15" s="699"/>
      <c r="D15" s="717" t="s">
        <v>629</v>
      </c>
      <c r="E15" s="703"/>
      <c r="F15" s="716" t="s">
        <v>614</v>
      </c>
      <c r="G15" s="699"/>
      <c r="H15" s="717" t="s">
        <v>634</v>
      </c>
      <c r="I15" s="703"/>
      <c r="J15" s="345"/>
      <c r="K15" s="345"/>
      <c r="L15" s="345"/>
    </row>
    <row r="16" spans="1:12" ht="15.75">
      <c r="A16" s="345"/>
      <c r="B16" s="716" t="s">
        <v>615</v>
      </c>
      <c r="C16" s="699"/>
      <c r="D16" s="717" t="s">
        <v>630</v>
      </c>
      <c r="E16" s="703"/>
      <c r="F16" s="716" t="s">
        <v>616</v>
      </c>
      <c r="G16" s="699"/>
      <c r="H16" s="717" t="s">
        <v>635</v>
      </c>
      <c r="I16" s="703"/>
      <c r="J16" s="345"/>
      <c r="K16" s="345"/>
      <c r="L16" s="345"/>
    </row>
    <row r="17" spans="1:12" ht="15.75">
      <c r="A17" s="345"/>
      <c r="B17" s="716" t="s">
        <v>617</v>
      </c>
      <c r="C17" s="699"/>
      <c r="D17" s="717" t="s">
        <v>631</v>
      </c>
      <c r="E17" s="703"/>
      <c r="F17" s="716" t="s">
        <v>618</v>
      </c>
      <c r="G17" s="699"/>
      <c r="H17" s="717" t="s">
        <v>636</v>
      </c>
      <c r="I17" s="703"/>
      <c r="J17" s="345"/>
      <c r="K17" s="345"/>
      <c r="L17" s="345"/>
    </row>
    <row r="18" spans="1:12" ht="15.75">
      <c r="A18" s="345"/>
      <c r="B18" s="716" t="s">
        <v>619</v>
      </c>
      <c r="C18" s="699"/>
      <c r="D18" s="717" t="s">
        <v>632</v>
      </c>
      <c r="E18" s="703"/>
      <c r="F18" s="716" t="s">
        <v>620</v>
      </c>
      <c r="G18" s="699"/>
      <c r="H18" s="717" t="s">
        <v>637</v>
      </c>
      <c r="I18" s="703"/>
      <c r="J18" s="345"/>
      <c r="K18" s="345"/>
      <c r="L18" s="345"/>
    </row>
    <row r="19" spans="1:12" ht="27" customHeight="1">
      <c r="A19" s="345"/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</row>
    <row r="20" spans="1:12" ht="19.5">
      <c r="A20" s="422" t="s">
        <v>621</v>
      </c>
      <c r="B20" s="345"/>
      <c r="C20" s="345"/>
      <c r="D20" s="345"/>
      <c r="E20" s="345"/>
      <c r="F20" s="345"/>
      <c r="G20" s="345"/>
      <c r="H20" s="345"/>
      <c r="I20" s="345"/>
      <c r="J20" s="345"/>
      <c r="K20" s="345"/>
      <c r="L20" s="345"/>
    </row>
    <row r="21" spans="1:12" ht="15.75">
      <c r="A21" s="345"/>
      <c r="B21" s="345"/>
      <c r="C21" s="345"/>
      <c r="D21" s="345"/>
      <c r="E21" s="345"/>
      <c r="F21" s="345"/>
      <c r="G21" s="345"/>
      <c r="H21" s="345"/>
      <c r="I21" s="345"/>
      <c r="J21" s="345"/>
      <c r="K21" s="345"/>
      <c r="L21" s="345"/>
    </row>
    <row r="22" spans="1:12" ht="19.5">
      <c r="A22" s="345"/>
      <c r="B22" s="422" t="s">
        <v>638</v>
      </c>
      <c r="C22" s="345"/>
      <c r="D22" s="345"/>
      <c r="E22" s="345"/>
      <c r="F22" s="345"/>
      <c r="G22" s="345"/>
      <c r="H22" s="345"/>
      <c r="I22" s="345"/>
      <c r="J22" s="345"/>
      <c r="K22" s="345"/>
      <c r="L22" s="345"/>
    </row>
    <row r="23" spans="1:12" ht="15.75">
      <c r="A23" s="345"/>
      <c r="B23" s="345" t="s">
        <v>639</v>
      </c>
      <c r="C23" s="345"/>
      <c r="D23" s="345"/>
      <c r="E23" s="345"/>
      <c r="F23" s="345"/>
      <c r="G23" s="345"/>
      <c r="H23" s="345"/>
      <c r="I23" s="345"/>
      <c r="J23" s="345"/>
      <c r="K23" s="345"/>
      <c r="L23" s="345"/>
    </row>
    <row r="24" spans="1:12" ht="15.75">
      <c r="A24" s="345"/>
      <c r="B24" s="345"/>
      <c r="C24" s="345"/>
      <c r="D24" s="345"/>
      <c r="E24" s="345"/>
      <c r="F24" s="345"/>
      <c r="G24" s="345"/>
      <c r="H24" s="345"/>
      <c r="I24" s="345"/>
      <c r="J24" s="345"/>
      <c r="K24" s="345"/>
      <c r="L24" s="345"/>
    </row>
    <row r="25" spans="1:12" ht="15.75">
      <c r="A25" s="345"/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</row>
    <row r="26" spans="1:12" ht="15.75">
      <c r="A26" s="345"/>
      <c r="B26" s="345"/>
      <c r="C26" s="345"/>
      <c r="D26" s="345"/>
      <c r="E26" s="345"/>
      <c r="F26" s="345"/>
      <c r="G26" s="345"/>
      <c r="H26" s="345"/>
      <c r="I26" s="345"/>
      <c r="J26" s="345"/>
      <c r="K26" s="345"/>
      <c r="L26" s="345"/>
    </row>
    <row r="27" spans="1:12" ht="15.75">
      <c r="A27" s="345"/>
      <c r="B27" s="345"/>
      <c r="C27" s="345"/>
      <c r="D27" s="345"/>
      <c r="E27" s="345"/>
      <c r="F27" s="345"/>
      <c r="G27" s="345"/>
      <c r="H27" s="345"/>
      <c r="I27" s="345"/>
      <c r="J27" s="345"/>
      <c r="K27" s="345"/>
      <c r="L27" s="345"/>
    </row>
    <row r="28" spans="1:12" ht="15.75">
      <c r="A28" s="345"/>
      <c r="B28" s="345"/>
      <c r="C28" s="345"/>
      <c r="D28" s="345"/>
      <c r="E28" s="345"/>
      <c r="F28" s="345"/>
      <c r="G28" s="345"/>
      <c r="H28" s="345"/>
      <c r="I28" s="345"/>
      <c r="J28" s="345"/>
      <c r="K28" s="345"/>
      <c r="L28" s="345"/>
    </row>
    <row r="29" spans="1:12" ht="15.75">
      <c r="A29" s="345"/>
      <c r="B29" s="345"/>
      <c r="C29" s="345"/>
      <c r="D29" s="345"/>
      <c r="E29" s="345"/>
      <c r="F29" s="345"/>
      <c r="G29" s="345"/>
      <c r="H29" s="345"/>
      <c r="I29" s="345"/>
      <c r="J29" s="345"/>
      <c r="K29" s="345"/>
      <c r="L29" s="345"/>
    </row>
    <row r="30" spans="1:12" ht="15.75">
      <c r="A30" s="345"/>
      <c r="B30" s="345"/>
      <c r="C30" s="345"/>
      <c r="D30" s="345"/>
      <c r="E30" s="345"/>
      <c r="F30" s="345"/>
      <c r="G30" s="345"/>
      <c r="H30" s="345"/>
      <c r="I30" s="345"/>
      <c r="J30" s="345"/>
      <c r="K30" s="345"/>
      <c r="L30" s="345"/>
    </row>
    <row r="31" spans="1:12" ht="15.75">
      <c r="A31" s="345"/>
      <c r="B31" s="345"/>
      <c r="C31" s="345"/>
      <c r="D31" s="345"/>
      <c r="E31" s="345"/>
      <c r="F31" s="345"/>
      <c r="G31" s="345"/>
      <c r="H31" s="345"/>
      <c r="I31" s="345"/>
      <c r="J31" s="345"/>
      <c r="K31" s="345"/>
      <c r="L31" s="345"/>
    </row>
    <row r="32" spans="1:12" ht="15.75">
      <c r="A32" s="345"/>
      <c r="B32" s="345"/>
      <c r="C32" s="345"/>
      <c r="D32" s="345"/>
      <c r="E32" s="345"/>
      <c r="F32" s="345"/>
      <c r="G32" s="345"/>
      <c r="H32" s="345"/>
      <c r="I32" s="345"/>
      <c r="J32" s="345"/>
      <c r="K32" s="345"/>
      <c r="L32" s="345"/>
    </row>
    <row r="33" spans="1:12" ht="15.75">
      <c r="A33" s="345"/>
      <c r="B33" s="345"/>
      <c r="C33" s="345"/>
      <c r="D33" s="345"/>
      <c r="E33" s="345"/>
      <c r="F33" s="345"/>
      <c r="G33" s="345"/>
      <c r="H33" s="345"/>
      <c r="I33" s="345"/>
      <c r="J33" s="345"/>
      <c r="K33" s="345"/>
      <c r="L33" s="345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topLeftCell="A4" workbookViewId="0">
      <selection activeCell="H39" sqref="H39"/>
    </sheetView>
  </sheetViews>
  <sheetFormatPr defaultRowHeight="12.75"/>
  <cols>
    <col min="1" max="6" width="16.7109375" style="344" customWidth="1"/>
    <col min="7" max="16384" width="9.140625" style="344"/>
  </cols>
  <sheetData>
    <row r="1" spans="1:6" ht="18.95" customHeight="1">
      <c r="A1" s="363"/>
      <c r="B1" s="364"/>
      <c r="C1" s="364"/>
      <c r="D1" s="364"/>
      <c r="E1" s="364"/>
      <c r="F1" s="365"/>
    </row>
    <row r="2" spans="1:6" ht="26.1" customHeight="1">
      <c r="A2" s="366" t="s">
        <v>251</v>
      </c>
      <c r="B2" s="367"/>
      <c r="C2" s="367"/>
      <c r="D2" s="367"/>
      <c r="E2" s="367"/>
      <c r="F2" s="368"/>
    </row>
    <row r="3" spans="1:6" ht="18.95" customHeight="1">
      <c r="A3" s="369" t="s">
        <v>640</v>
      </c>
      <c r="B3" s="367"/>
      <c r="C3" s="367"/>
      <c r="D3" s="367"/>
      <c r="E3" s="367"/>
      <c r="F3" s="368"/>
    </row>
    <row r="4" spans="1:6" ht="18.95" customHeight="1">
      <c r="A4" s="713" t="s">
        <v>595</v>
      </c>
      <c r="B4" s="714"/>
      <c r="C4" s="714"/>
      <c r="D4" s="714"/>
      <c r="E4" s="714"/>
      <c r="F4" s="715"/>
    </row>
    <row r="5" spans="1:6" ht="18.95" customHeight="1">
      <c r="A5" s="370"/>
      <c r="B5" s="371"/>
      <c r="C5" s="371"/>
      <c r="D5" s="371"/>
      <c r="E5" s="371"/>
      <c r="F5" s="372"/>
    </row>
    <row r="6" spans="1:6" ht="18.95" customHeight="1">
      <c r="A6" s="554" t="s">
        <v>399</v>
      </c>
      <c r="B6" s="696" t="str">
        <f>'Performance Data Sheet'!C17</f>
        <v>M357TCAL11E-C</v>
      </c>
      <c r="C6" s="697"/>
      <c r="D6" s="698"/>
      <c r="E6" s="554" t="s">
        <v>400</v>
      </c>
      <c r="F6" s="555">
        <v>220</v>
      </c>
    </row>
    <row r="7" spans="1:6" ht="18.95" customHeight="1">
      <c r="A7" s="554" t="s">
        <v>401</v>
      </c>
      <c r="B7" s="555" t="str">
        <f>'Performance Data Sheet'!F14</f>
        <v>TEAAC</v>
      </c>
      <c r="C7" s="554" t="s">
        <v>402</v>
      </c>
      <c r="D7" s="555" t="s">
        <v>424</v>
      </c>
      <c r="E7" s="554" t="s">
        <v>403</v>
      </c>
      <c r="F7" s="555" t="str">
        <f>'Performance Data Sheet'!C14</f>
        <v>6813US</v>
      </c>
    </row>
    <row r="8" spans="1:6" ht="18.95" customHeight="1">
      <c r="A8" s="554" t="s">
        <v>404</v>
      </c>
      <c r="B8" s="555">
        <v>6</v>
      </c>
      <c r="C8" s="554" t="s">
        <v>405</v>
      </c>
      <c r="D8" s="555" t="s">
        <v>406</v>
      </c>
      <c r="E8" s="554" t="s">
        <v>407</v>
      </c>
      <c r="F8" s="555" t="str">
        <f>'Performance Data Sheet'!M15</f>
        <v>F</v>
      </c>
    </row>
    <row r="9" spans="1:6" ht="18.95" customHeight="1">
      <c r="A9" s="554" t="s">
        <v>408</v>
      </c>
      <c r="B9" s="555">
        <v>1750</v>
      </c>
      <c r="C9" s="554" t="s">
        <v>409</v>
      </c>
      <c r="D9" s="555" t="s">
        <v>425</v>
      </c>
      <c r="E9" s="554" t="s">
        <v>2</v>
      </c>
      <c r="F9" s="556">
        <f>'Performance Data Sheet'!K45</f>
        <v>41992</v>
      </c>
    </row>
    <row r="10" spans="1:6" ht="18.95" customHeight="1">
      <c r="A10" s="554" t="s">
        <v>410</v>
      </c>
      <c r="B10" s="555">
        <v>1192</v>
      </c>
      <c r="C10" s="554" t="s">
        <v>411</v>
      </c>
      <c r="D10" s="555" t="s">
        <v>412</v>
      </c>
      <c r="E10" s="554" t="s">
        <v>1</v>
      </c>
      <c r="F10" s="555" t="s">
        <v>753</v>
      </c>
    </row>
    <row r="11" spans="1:6" ht="18.95" customHeight="1">
      <c r="A11" s="370"/>
      <c r="B11" s="371"/>
      <c r="C11" s="371"/>
      <c r="D11" s="371"/>
      <c r="E11" s="371"/>
      <c r="F11" s="372"/>
    </row>
    <row r="12" spans="1:6" ht="18.95" customHeight="1">
      <c r="A12" s="551"/>
      <c r="B12" s="557" t="s">
        <v>413</v>
      </c>
      <c r="C12" s="558" t="s">
        <v>426</v>
      </c>
      <c r="D12" s="557" t="s">
        <v>414</v>
      </c>
      <c r="E12" s="558" t="s">
        <v>412</v>
      </c>
      <c r="F12" s="372"/>
    </row>
    <row r="13" spans="1:6" ht="18.95" customHeight="1">
      <c r="A13" s="551"/>
      <c r="B13" s="557" t="s">
        <v>415</v>
      </c>
      <c r="C13" s="559">
        <v>0.8</v>
      </c>
      <c r="D13" s="557" t="s">
        <v>416</v>
      </c>
      <c r="E13" s="558" t="s">
        <v>412</v>
      </c>
      <c r="F13" s="372"/>
    </row>
    <row r="14" spans="1:6" ht="18.95" customHeight="1">
      <c r="A14" s="551"/>
      <c r="B14" s="557" t="s">
        <v>417</v>
      </c>
      <c r="C14" s="559">
        <v>2.2999999999999998</v>
      </c>
      <c r="D14" s="557" t="s">
        <v>418</v>
      </c>
      <c r="E14" s="558" t="s">
        <v>412</v>
      </c>
      <c r="F14" s="372"/>
    </row>
    <row r="15" spans="1:6" ht="18.95" customHeight="1">
      <c r="A15" s="551"/>
      <c r="B15" s="557" t="s">
        <v>419</v>
      </c>
      <c r="C15" s="558" t="s">
        <v>750</v>
      </c>
      <c r="D15" s="552"/>
      <c r="E15" s="552"/>
      <c r="F15" s="372"/>
    </row>
    <row r="16" spans="1:6" ht="18.95" customHeight="1">
      <c r="A16" s="370"/>
      <c r="B16" s="371"/>
      <c r="C16" s="371"/>
      <c r="D16" s="371"/>
      <c r="E16" s="371"/>
      <c r="F16" s="372"/>
    </row>
    <row r="17" spans="1:8" ht="18.95" customHeight="1">
      <c r="A17" s="370"/>
      <c r="B17" s="371"/>
      <c r="C17" s="371"/>
      <c r="D17" s="371"/>
      <c r="E17" s="371"/>
      <c r="F17" s="372"/>
    </row>
    <row r="18" spans="1:8" ht="18.95" customHeight="1">
      <c r="A18" s="370"/>
      <c r="B18" s="371"/>
      <c r="C18" s="371"/>
      <c r="D18" s="371"/>
      <c r="E18" s="371"/>
      <c r="F18" s="372"/>
    </row>
    <row r="19" spans="1:8" ht="18.95" customHeight="1">
      <c r="A19" s="370"/>
      <c r="B19" s="371"/>
      <c r="C19" s="371"/>
      <c r="D19" s="371"/>
      <c r="E19" s="371"/>
      <c r="F19" s="372"/>
    </row>
    <row r="20" spans="1:8" ht="18.95" customHeight="1">
      <c r="A20" s="370"/>
      <c r="B20" s="371"/>
      <c r="C20" s="371"/>
      <c r="D20" s="371"/>
      <c r="E20" s="371"/>
      <c r="F20" s="372"/>
    </row>
    <row r="21" spans="1:8" ht="18.95" customHeight="1">
      <c r="A21" s="370"/>
      <c r="B21" s="371"/>
      <c r="C21" s="371"/>
      <c r="D21" s="371"/>
      <c r="E21" s="371"/>
      <c r="F21" s="372"/>
    </row>
    <row r="22" spans="1:8" ht="18.95" customHeight="1">
      <c r="A22" s="370"/>
      <c r="B22" s="371"/>
      <c r="C22" s="371"/>
      <c r="D22" s="371"/>
      <c r="E22" s="371"/>
      <c r="F22" s="372"/>
    </row>
    <row r="23" spans="1:8" ht="18.95" customHeight="1">
      <c r="A23" s="370"/>
      <c r="B23" s="371"/>
      <c r="C23" s="371"/>
      <c r="D23" s="371"/>
      <c r="E23" s="371"/>
      <c r="F23" s="372"/>
    </row>
    <row r="24" spans="1:8" ht="18.95" customHeight="1">
      <c r="A24" s="370"/>
      <c r="B24" s="371"/>
      <c r="C24" s="371"/>
      <c r="D24" s="371"/>
      <c r="E24" s="371"/>
      <c r="F24" s="372"/>
      <c r="H24" s="427"/>
    </row>
    <row r="25" spans="1:8" ht="18.95" customHeight="1">
      <c r="A25" s="370"/>
      <c r="B25" s="371"/>
      <c r="C25" s="371"/>
      <c r="D25" s="371"/>
      <c r="E25" s="371"/>
      <c r="F25" s="372"/>
    </row>
    <row r="26" spans="1:8" ht="18.95" customHeight="1">
      <c r="A26" s="370"/>
      <c r="B26" s="371"/>
      <c r="C26" s="371"/>
      <c r="D26" s="371"/>
      <c r="E26" s="371"/>
      <c r="F26" s="372"/>
    </row>
    <row r="27" spans="1:8" ht="18.95" customHeight="1">
      <c r="A27" s="370"/>
      <c r="B27" s="371"/>
      <c r="C27" s="371"/>
      <c r="D27" s="371"/>
      <c r="E27" s="371"/>
      <c r="F27" s="372"/>
    </row>
    <row r="28" spans="1:8" ht="18.95" customHeight="1">
      <c r="A28" s="370"/>
      <c r="B28" s="371"/>
      <c r="C28" s="371"/>
      <c r="D28" s="371"/>
      <c r="E28" s="371"/>
      <c r="F28" s="372"/>
    </row>
    <row r="29" spans="1:8" ht="18.95" customHeight="1">
      <c r="A29" s="370"/>
      <c r="B29" s="371"/>
      <c r="C29" s="371"/>
      <c r="D29" s="371"/>
      <c r="E29" s="371"/>
      <c r="F29" s="372"/>
    </row>
    <row r="30" spans="1:8" ht="18.95" customHeight="1">
      <c r="A30" s="370"/>
      <c r="B30" s="371"/>
      <c r="C30" s="371"/>
      <c r="D30" s="371"/>
      <c r="E30" s="371"/>
      <c r="F30" s="372"/>
    </row>
    <row r="31" spans="1:8" ht="18.95" customHeight="1">
      <c r="A31" s="370"/>
      <c r="B31" s="371"/>
      <c r="C31" s="371"/>
      <c r="D31" s="371"/>
      <c r="E31" s="371"/>
      <c r="F31" s="372"/>
    </row>
    <row r="32" spans="1:8" ht="18.95" customHeight="1">
      <c r="A32" s="370"/>
      <c r="B32" s="371"/>
      <c r="C32" s="371"/>
      <c r="D32" s="371"/>
      <c r="E32" s="371"/>
      <c r="F32" s="372"/>
    </row>
    <row r="33" spans="1:6" ht="18.95" customHeight="1">
      <c r="A33" s="370"/>
      <c r="B33" s="371"/>
      <c r="C33" s="371"/>
      <c r="D33" s="371"/>
      <c r="E33" s="371"/>
      <c r="F33" s="372"/>
    </row>
    <row r="34" spans="1:6" ht="18.95" customHeight="1">
      <c r="A34" s="370"/>
      <c r="B34" s="371"/>
      <c r="C34" s="371"/>
      <c r="D34" s="371"/>
      <c r="E34" s="371"/>
      <c r="F34" s="372"/>
    </row>
    <row r="35" spans="1:6" ht="18.95" customHeight="1">
      <c r="A35" s="370"/>
      <c r="B35" s="371"/>
      <c r="C35" s="371"/>
      <c r="D35" s="371"/>
      <c r="E35" s="371"/>
      <c r="F35" s="372"/>
    </row>
    <row r="36" spans="1:6" ht="18.95" customHeight="1">
      <c r="A36" s="370"/>
      <c r="B36" s="371"/>
      <c r="C36" s="371"/>
      <c r="D36" s="371"/>
      <c r="E36" s="371"/>
      <c r="F36" s="372"/>
    </row>
    <row r="37" spans="1:6" ht="18.95" customHeight="1">
      <c r="A37" s="370"/>
      <c r="B37" s="371"/>
      <c r="C37" s="371"/>
      <c r="D37" s="371"/>
      <c r="E37" s="371"/>
      <c r="F37" s="372"/>
    </row>
    <row r="38" spans="1:6" ht="18.95" customHeight="1">
      <c r="A38" s="370"/>
      <c r="B38" s="371"/>
      <c r="C38" s="371"/>
      <c r="D38" s="371"/>
      <c r="E38" s="371"/>
      <c r="F38" s="372"/>
    </row>
    <row r="39" spans="1:6" ht="18.95" customHeight="1">
      <c r="A39" s="560" t="s">
        <v>420</v>
      </c>
      <c r="B39" s="561"/>
      <c r="C39" s="561"/>
      <c r="D39" s="552"/>
      <c r="E39" s="557" t="s">
        <v>421</v>
      </c>
      <c r="F39" s="562" t="s">
        <v>753</v>
      </c>
    </row>
    <row r="40" spans="1:6" ht="18.95" customHeight="1">
      <c r="A40" s="551"/>
      <c r="B40" s="561"/>
      <c r="C40" s="561"/>
      <c r="D40" s="552"/>
      <c r="E40" s="552"/>
      <c r="F40" s="553"/>
    </row>
    <row r="41" spans="1:6" ht="18.95" customHeight="1">
      <c r="A41" s="551"/>
      <c r="B41" s="561"/>
      <c r="C41" s="561"/>
      <c r="D41" s="552"/>
      <c r="E41" s="552"/>
      <c r="F41" s="553"/>
    </row>
    <row r="42" spans="1:6" ht="18.95" customHeight="1">
      <c r="A42" s="551"/>
      <c r="B42" s="552"/>
      <c r="C42" s="552"/>
      <c r="D42" s="552"/>
      <c r="E42" s="552"/>
      <c r="F42" s="553"/>
    </row>
    <row r="43" spans="1:6" ht="18.95" customHeight="1">
      <c r="A43" s="563"/>
      <c r="B43" s="561"/>
      <c r="C43" s="564" t="s">
        <v>422</v>
      </c>
      <c r="D43" s="565" t="str">
        <f>'Performance Data Sheet'!K43</f>
        <v>Mario L</v>
      </c>
      <c r="E43" s="564" t="s">
        <v>423</v>
      </c>
      <c r="F43" s="565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8" t="s">
        <v>427</v>
      </c>
      <c r="B53" s="428" t="s">
        <v>142</v>
      </c>
      <c r="C53" s="428" t="s">
        <v>120</v>
      </c>
      <c r="D53" s="428" t="s">
        <v>135</v>
      </c>
      <c r="E53" s="428" t="s">
        <v>5</v>
      </c>
      <c r="F53" s="429" t="s">
        <v>641</v>
      </c>
    </row>
    <row r="54" spans="1:6" ht="15" customHeight="1">
      <c r="A54" s="430">
        <v>0</v>
      </c>
      <c r="B54" s="431"/>
      <c r="C54" s="432"/>
      <c r="D54" s="432">
        <v>56.412991550715404</v>
      </c>
      <c r="E54" s="432">
        <v>100</v>
      </c>
      <c r="F54" s="433">
        <v>0.39700000000000002</v>
      </c>
    </row>
    <row r="55" spans="1:6" ht="15" customHeight="1">
      <c r="A55" s="434">
        <v>25</v>
      </c>
      <c r="B55" s="435">
        <v>91.541702270507813</v>
      </c>
      <c r="C55" s="436">
        <v>64.116119384765625</v>
      </c>
      <c r="D55" s="436">
        <v>80.294692993164063</v>
      </c>
      <c r="E55" s="436">
        <v>90.677688175010118</v>
      </c>
      <c r="F55" s="437">
        <v>8.916654665678486</v>
      </c>
    </row>
    <row r="56" spans="1:6" ht="15" customHeight="1">
      <c r="A56" s="434">
        <v>50</v>
      </c>
      <c r="B56" s="435">
        <v>94.82647705078125</v>
      </c>
      <c r="C56" s="436">
        <v>82.3541259765625</v>
      </c>
      <c r="D56" s="436">
        <v>120.69466400146484</v>
      </c>
      <c r="E56" s="436">
        <v>81.138035265797015</v>
      </c>
      <c r="F56" s="437">
        <v>17.215566086339205</v>
      </c>
    </row>
    <row r="57" spans="1:6">
      <c r="A57" s="434">
        <v>75</v>
      </c>
      <c r="B57" s="435">
        <v>95.722030639648437</v>
      </c>
      <c r="C57" s="436">
        <v>87.727760314941406</v>
      </c>
      <c r="D57" s="436">
        <v>168.36248779296875</v>
      </c>
      <c r="E57" s="436">
        <v>71.382521155248924</v>
      </c>
      <c r="F57" s="437">
        <v>25.58174992164297</v>
      </c>
    </row>
    <row r="58" spans="1:6">
      <c r="A58" s="434">
        <v>100</v>
      </c>
      <c r="B58" s="435">
        <v>95.976234436035156</v>
      </c>
      <c r="C58" s="436">
        <v>89.430770874023438</v>
      </c>
      <c r="D58" s="436">
        <v>219.62527465820313</v>
      </c>
      <c r="E58" s="436">
        <v>61.373917988865401</v>
      </c>
      <c r="F58" s="437">
        <v>34.01865943710213</v>
      </c>
    </row>
    <row r="59" spans="1:6" ht="13.5" thickBot="1">
      <c r="A59" s="438">
        <v>125</v>
      </c>
      <c r="B59" s="439">
        <v>95.963394165039063</v>
      </c>
      <c r="C59" s="440">
        <v>89.69085693359375</v>
      </c>
      <c r="D59" s="440">
        <v>273.77215576171875</v>
      </c>
      <c r="E59" s="440">
        <v>51.318299576215054</v>
      </c>
      <c r="F59" s="441">
        <v>42.529015053995195</v>
      </c>
    </row>
    <row r="60" spans="1:6">
      <c r="A60" s="385"/>
      <c r="B60" s="386"/>
      <c r="C60" s="386"/>
    </row>
    <row r="61" spans="1:6">
      <c r="A61" s="385"/>
      <c r="B61" s="386"/>
      <c r="C61" s="386"/>
    </row>
    <row r="62" spans="1:6">
      <c r="A62" s="385"/>
      <c r="B62" s="386"/>
      <c r="C62" s="386"/>
    </row>
    <row r="63" spans="1:6">
      <c r="A63" s="385"/>
      <c r="B63" s="386"/>
      <c r="C63" s="386"/>
    </row>
    <row r="64" spans="1:6">
      <c r="A64" s="385"/>
      <c r="B64" s="386"/>
      <c r="C64" s="386"/>
    </row>
    <row r="65" spans="1:3">
      <c r="A65" s="385"/>
      <c r="B65" s="386"/>
      <c r="C65" s="386"/>
    </row>
    <row r="66" spans="1:3">
      <c r="A66" s="385"/>
      <c r="B66" s="386"/>
      <c r="C66" s="386"/>
    </row>
    <row r="67" spans="1:3">
      <c r="A67" s="387"/>
      <c r="B67" s="386"/>
      <c r="C67" s="38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U121"/>
  <sheetViews>
    <sheetView showGridLines="0" zoomScale="90" workbookViewId="0">
      <selection activeCell="F24" sqref="F24"/>
    </sheetView>
  </sheetViews>
  <sheetFormatPr defaultColWidth="12.5703125" defaultRowHeight="15.75"/>
  <cols>
    <col min="1" max="13" width="7" style="449" customWidth="1"/>
    <col min="14" max="14" width="7.140625" style="449" customWidth="1"/>
    <col min="15" max="16384" width="12.5703125" style="449"/>
  </cols>
  <sheetData>
    <row r="1" spans="1:14" ht="17.100000000000001" customHeight="1">
      <c r="A1" s="442" t="s">
        <v>251</v>
      </c>
      <c r="B1" s="443"/>
      <c r="C1" s="443"/>
      <c r="D1" s="443"/>
      <c r="E1" s="443"/>
      <c r="F1" s="443"/>
      <c r="G1" s="443"/>
      <c r="H1" s="443"/>
      <c r="I1" s="443"/>
      <c r="J1" s="444" t="s">
        <v>642</v>
      </c>
      <c r="K1" s="445"/>
      <c r="L1" s="446" t="s">
        <v>643</v>
      </c>
      <c r="M1" s="447"/>
      <c r="N1" s="448"/>
    </row>
    <row r="2" spans="1:14" ht="17.100000000000001" customHeight="1">
      <c r="A2" s="450" t="s">
        <v>644</v>
      </c>
      <c r="B2" s="451"/>
      <c r="C2" s="451"/>
      <c r="D2" s="451"/>
      <c r="E2" s="451"/>
      <c r="F2" s="451"/>
      <c r="G2" s="451"/>
      <c r="H2" s="451"/>
      <c r="I2" s="451"/>
      <c r="J2" s="452" t="s">
        <v>645</v>
      </c>
      <c r="K2" s="453"/>
      <c r="L2" s="454" t="s">
        <v>646</v>
      </c>
      <c r="M2" s="455"/>
      <c r="N2" s="448"/>
    </row>
    <row r="3" spans="1:14" ht="15.95" customHeight="1">
      <c r="A3" s="456"/>
      <c r="B3" s="457"/>
      <c r="C3" s="457"/>
      <c r="D3" s="457"/>
      <c r="E3" s="457"/>
      <c r="F3" s="457"/>
      <c r="G3" s="457"/>
      <c r="H3" s="457"/>
      <c r="I3" s="457"/>
      <c r="J3" s="452" t="s">
        <v>647</v>
      </c>
      <c r="K3" s="453"/>
      <c r="L3" s="458" t="s">
        <v>648</v>
      </c>
      <c r="M3" s="455"/>
      <c r="N3" s="448"/>
    </row>
    <row r="4" spans="1:14" ht="15.95" customHeight="1">
      <c r="A4" s="459"/>
      <c r="B4" s="457"/>
      <c r="C4" s="457"/>
      <c r="D4" s="457"/>
      <c r="E4" s="457"/>
      <c r="F4" s="457"/>
      <c r="G4" s="457"/>
      <c r="H4" s="457"/>
      <c r="I4" s="457"/>
      <c r="J4" s="452" t="s">
        <v>649</v>
      </c>
      <c r="K4" s="453"/>
      <c r="L4" s="460" t="s">
        <v>650</v>
      </c>
      <c r="M4" s="455"/>
      <c r="N4" s="448"/>
    </row>
    <row r="5" spans="1:14" ht="15.95" customHeight="1">
      <c r="A5" s="456"/>
      <c r="B5" s="457"/>
      <c r="C5" s="457"/>
      <c r="D5" s="457"/>
      <c r="E5" s="457"/>
      <c r="F5" s="457"/>
      <c r="G5" s="457"/>
      <c r="H5" s="457"/>
      <c r="I5" s="457"/>
      <c r="J5" s="452" t="s">
        <v>651</v>
      </c>
      <c r="K5" s="453"/>
      <c r="L5" s="454">
        <v>1</v>
      </c>
      <c r="M5" s="455"/>
      <c r="N5" s="448"/>
    </row>
    <row r="6" spans="1:14" ht="15.95" customHeight="1">
      <c r="A6" s="461" t="s">
        <v>652</v>
      </c>
      <c r="B6" s="457"/>
      <c r="C6" s="457"/>
      <c r="D6" s="457"/>
      <c r="E6" s="457"/>
      <c r="F6" s="457"/>
      <c r="G6" s="457"/>
      <c r="H6" s="457"/>
      <c r="I6" s="457"/>
      <c r="J6" s="452" t="s">
        <v>653</v>
      </c>
      <c r="K6" s="453"/>
      <c r="L6" s="462" t="s">
        <v>654</v>
      </c>
      <c r="M6" s="455"/>
      <c r="N6" s="448"/>
    </row>
    <row r="7" spans="1:14" ht="15.95" customHeight="1" thickBot="1">
      <c r="A7" s="463" t="s">
        <v>655</v>
      </c>
      <c r="B7" s="464"/>
      <c r="C7" s="464"/>
      <c r="D7" s="464"/>
      <c r="E7" s="464"/>
      <c r="F7" s="464"/>
      <c r="G7" s="464"/>
      <c r="H7" s="464"/>
      <c r="I7" s="464"/>
      <c r="J7" s="465" t="s">
        <v>656</v>
      </c>
      <c r="K7" s="466"/>
      <c r="L7" s="467" t="s">
        <v>657</v>
      </c>
      <c r="M7" s="468"/>
      <c r="N7" s="448"/>
    </row>
    <row r="8" spans="1:14" ht="15.95" customHeight="1">
      <c r="A8" s="469"/>
      <c r="B8" s="457"/>
      <c r="C8" s="457"/>
      <c r="D8" s="457"/>
      <c r="E8" s="457"/>
      <c r="F8" s="457"/>
      <c r="G8" s="457"/>
      <c r="H8" s="457"/>
      <c r="I8" s="457"/>
      <c r="J8" s="457"/>
      <c r="K8" s="470"/>
      <c r="L8" s="471"/>
      <c r="M8" s="472"/>
      <c r="N8" s="457"/>
    </row>
    <row r="9" spans="1:14" ht="12" customHeight="1">
      <c r="A9" s="473"/>
      <c r="B9" s="474" t="s">
        <v>658</v>
      </c>
      <c r="C9" s="475"/>
      <c r="D9" s="476"/>
      <c r="E9" s="476"/>
      <c r="F9" s="476"/>
      <c r="G9" s="476"/>
      <c r="H9" s="476"/>
      <c r="I9" s="476"/>
      <c r="J9" s="476"/>
      <c r="K9" s="477"/>
      <c r="L9" s="478"/>
      <c r="M9" s="476"/>
      <c r="N9" s="457"/>
    </row>
    <row r="10" spans="1:14" ht="12" customHeight="1">
      <c r="A10" s="473"/>
      <c r="B10" s="474" t="s">
        <v>659</v>
      </c>
      <c r="C10" s="479"/>
      <c r="D10" s="478"/>
      <c r="E10" s="478"/>
      <c r="F10" s="478"/>
      <c r="G10" s="478"/>
      <c r="H10" s="478"/>
      <c r="I10" s="478"/>
      <c r="J10" s="478"/>
      <c r="K10" s="478"/>
      <c r="L10" s="478"/>
      <c r="M10" s="478"/>
      <c r="N10" s="471"/>
    </row>
    <row r="11" spans="1:14" ht="16.5" thickBot="1">
      <c r="A11" s="480"/>
      <c r="B11" s="480"/>
      <c r="C11" s="480"/>
      <c r="D11" s="480"/>
      <c r="E11" s="480"/>
      <c r="F11" s="480"/>
      <c r="G11" s="480"/>
      <c r="H11" s="480"/>
      <c r="I11" s="480"/>
      <c r="J11" s="480"/>
      <c r="K11" s="480"/>
      <c r="L11" s="480"/>
      <c r="M11" s="480"/>
      <c r="N11" s="480"/>
    </row>
    <row r="12" spans="1:14" ht="20.100000000000001" customHeight="1" thickBot="1">
      <c r="A12" s="481" t="s">
        <v>660</v>
      </c>
      <c r="B12" s="482"/>
      <c r="C12" s="482"/>
      <c r="D12" s="482"/>
      <c r="E12" s="482"/>
      <c r="F12" s="482"/>
      <c r="G12" s="482"/>
      <c r="H12" s="482"/>
      <c r="I12" s="482"/>
      <c r="J12" s="482"/>
      <c r="K12" s="482"/>
      <c r="L12" s="482"/>
      <c r="M12" s="483"/>
      <c r="N12" s="448"/>
    </row>
    <row r="13" spans="1:14" ht="12.95" customHeight="1" thickTop="1">
      <c r="A13" s="484"/>
      <c r="B13" s="485" t="s">
        <v>661</v>
      </c>
      <c r="C13" s="486">
        <v>1750</v>
      </c>
      <c r="D13" s="478"/>
      <c r="E13" s="485" t="s">
        <v>662</v>
      </c>
      <c r="F13" s="486">
        <v>4000</v>
      </c>
      <c r="G13" s="478"/>
      <c r="H13" s="485" t="s">
        <v>663</v>
      </c>
      <c r="I13" s="486" t="s">
        <v>745</v>
      </c>
      <c r="J13" s="478"/>
      <c r="K13" s="478"/>
      <c r="L13" s="485" t="s">
        <v>664</v>
      </c>
      <c r="M13" s="487">
        <v>1200</v>
      </c>
      <c r="N13" s="448"/>
    </row>
    <row r="14" spans="1:14" ht="12.95" customHeight="1">
      <c r="A14" s="484"/>
      <c r="B14" s="485" t="s">
        <v>665</v>
      </c>
      <c r="C14" s="486" t="s">
        <v>177</v>
      </c>
      <c r="D14" s="478"/>
      <c r="E14" s="485" t="s">
        <v>666</v>
      </c>
      <c r="F14" s="486" t="s">
        <v>746</v>
      </c>
      <c r="G14" s="478"/>
      <c r="H14" s="485" t="s">
        <v>667</v>
      </c>
      <c r="I14" s="486">
        <v>220</v>
      </c>
      <c r="J14" s="478"/>
      <c r="K14" s="478"/>
      <c r="L14" s="485" t="s">
        <v>410</v>
      </c>
      <c r="M14" s="487">
        <v>1192</v>
      </c>
      <c r="N14" s="448"/>
    </row>
    <row r="15" spans="1:14" ht="12.95" customHeight="1">
      <c r="A15" s="484"/>
      <c r="B15" s="485" t="s">
        <v>668</v>
      </c>
      <c r="C15" s="486" t="s">
        <v>752</v>
      </c>
      <c r="D15" s="478"/>
      <c r="E15" s="485" t="s">
        <v>669</v>
      </c>
      <c r="F15" s="486">
        <v>1.1499999999999999</v>
      </c>
      <c r="G15" s="478"/>
      <c r="H15" s="488" t="s">
        <v>670</v>
      </c>
      <c r="I15" s="486" t="s">
        <v>174</v>
      </c>
      <c r="J15" s="478"/>
      <c r="K15" s="478"/>
      <c r="L15" s="485" t="s">
        <v>671</v>
      </c>
      <c r="M15" s="487" t="s">
        <v>345</v>
      </c>
      <c r="N15" s="448"/>
    </row>
    <row r="16" spans="1:14" ht="12.95" customHeight="1">
      <c r="A16" s="484"/>
      <c r="B16" s="485" t="s">
        <v>672</v>
      </c>
      <c r="C16" s="486" t="s">
        <v>744</v>
      </c>
      <c r="D16" s="478"/>
      <c r="E16" s="485" t="s">
        <v>673</v>
      </c>
      <c r="F16" s="486" t="s">
        <v>466</v>
      </c>
      <c r="G16" s="478"/>
      <c r="H16" s="489" t="s">
        <v>674</v>
      </c>
      <c r="I16" s="490" t="s">
        <v>338</v>
      </c>
      <c r="J16" s="478"/>
      <c r="K16" s="478"/>
      <c r="L16" s="485" t="s">
        <v>675</v>
      </c>
      <c r="M16" s="487" t="s">
        <v>676</v>
      </c>
      <c r="N16" s="448"/>
    </row>
    <row r="17" spans="1:21" ht="12.95" customHeight="1">
      <c r="A17" s="484"/>
      <c r="B17" s="485" t="s">
        <v>677</v>
      </c>
      <c r="C17" s="491" t="s">
        <v>754</v>
      </c>
      <c r="D17" s="478"/>
      <c r="E17" s="485"/>
      <c r="F17" s="492"/>
      <c r="G17" s="478"/>
      <c r="H17" s="485" t="s">
        <v>678</v>
      </c>
      <c r="I17" s="490"/>
      <c r="J17" s="478"/>
      <c r="K17" s="478"/>
      <c r="L17" s="485"/>
      <c r="M17" s="493"/>
      <c r="N17" s="448"/>
    </row>
    <row r="18" spans="1:21" ht="12.95" customHeight="1" thickBot="1">
      <c r="A18" s="494"/>
      <c r="B18" s="495" t="s">
        <v>679</v>
      </c>
      <c r="C18" s="496" t="s">
        <v>174</v>
      </c>
      <c r="D18" s="497"/>
      <c r="E18" s="498" t="s">
        <v>680</v>
      </c>
      <c r="F18" s="496" t="s">
        <v>174</v>
      </c>
      <c r="G18" s="499"/>
      <c r="H18" s="498" t="s">
        <v>681</v>
      </c>
      <c r="I18" s="496" t="s">
        <v>174</v>
      </c>
      <c r="J18" s="497"/>
      <c r="K18" s="497"/>
      <c r="L18" s="497"/>
      <c r="M18" s="500"/>
      <c r="N18" s="448"/>
    </row>
    <row r="19" spans="1:21" ht="16.5" thickBot="1">
      <c r="A19" s="448"/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</row>
    <row r="20" spans="1:21" ht="20.100000000000001" customHeight="1" thickBot="1">
      <c r="A20" s="481"/>
      <c r="B20" s="482"/>
      <c r="C20" s="482"/>
      <c r="D20" s="482"/>
      <c r="E20" s="482"/>
      <c r="F20" s="482"/>
      <c r="G20" s="482"/>
      <c r="H20" s="482"/>
      <c r="I20" s="482"/>
      <c r="J20" s="482"/>
      <c r="K20" s="482"/>
      <c r="L20" s="482"/>
      <c r="M20" s="483"/>
    </row>
    <row r="21" spans="1:21" ht="15.95" customHeight="1" thickTop="1">
      <c r="A21" s="501" t="s">
        <v>682</v>
      </c>
      <c r="B21" s="502"/>
      <c r="C21" s="471"/>
      <c r="D21" s="503"/>
      <c r="E21" s="504" t="s">
        <v>683</v>
      </c>
      <c r="F21" s="505"/>
      <c r="G21" s="505"/>
      <c r="H21" s="506"/>
      <c r="I21" s="507" t="s">
        <v>684</v>
      </c>
      <c r="J21" s="508"/>
      <c r="K21" s="508"/>
      <c r="L21" s="471"/>
      <c r="M21" s="509"/>
    </row>
    <row r="22" spans="1:21" ht="15.95" customHeight="1">
      <c r="A22" s="510"/>
      <c r="B22" s="478"/>
      <c r="C22" s="511" t="s">
        <v>685</v>
      </c>
      <c r="D22" s="512">
        <v>1244</v>
      </c>
      <c r="E22" s="485"/>
      <c r="G22" s="489" t="s">
        <v>686</v>
      </c>
      <c r="H22" s="513">
        <v>7711</v>
      </c>
      <c r="I22" s="511"/>
      <c r="J22" s="478"/>
      <c r="K22" s="511" t="s">
        <v>687</v>
      </c>
      <c r="L22" s="719" t="s">
        <v>747</v>
      </c>
      <c r="M22" s="720"/>
    </row>
    <row r="23" spans="1:21" ht="15.95" customHeight="1">
      <c r="A23" s="510"/>
      <c r="B23" s="511"/>
      <c r="C23" s="514"/>
      <c r="D23" s="515"/>
      <c r="E23" s="485"/>
      <c r="G23" s="485" t="s">
        <v>688</v>
      </c>
      <c r="H23" s="512">
        <v>80</v>
      </c>
      <c r="I23" s="478"/>
      <c r="J23" s="478"/>
      <c r="K23" s="485" t="s">
        <v>689</v>
      </c>
      <c r="L23" s="719" t="s">
        <v>747</v>
      </c>
      <c r="M23" s="720"/>
    </row>
    <row r="24" spans="1:21" ht="15.95" customHeight="1">
      <c r="A24" s="484"/>
      <c r="B24" s="485"/>
      <c r="C24" s="478"/>
      <c r="D24" s="515"/>
      <c r="E24" s="485"/>
      <c r="G24" s="489" t="s">
        <v>690</v>
      </c>
      <c r="H24" s="512">
        <v>230</v>
      </c>
      <c r="I24" s="478"/>
      <c r="J24" s="485"/>
      <c r="K24" s="478"/>
      <c r="L24" s="478"/>
      <c r="M24" s="493"/>
      <c r="O24" s="546"/>
      <c r="P24" s="546"/>
      <c r="Q24" s="546"/>
      <c r="R24" s="546"/>
      <c r="S24" s="546"/>
      <c r="T24" s="546"/>
      <c r="U24" s="546"/>
    </row>
    <row r="25" spans="1:21" ht="15.95" customHeight="1" thickBot="1">
      <c r="A25" s="494"/>
      <c r="B25" s="495"/>
      <c r="C25" s="497"/>
      <c r="D25" s="516"/>
      <c r="E25" s="498"/>
      <c r="F25" s="498"/>
      <c r="G25" s="498"/>
      <c r="H25" s="517"/>
      <c r="I25" s="497"/>
      <c r="J25" s="498"/>
      <c r="K25" s="497"/>
      <c r="L25" s="497"/>
      <c r="M25" s="500"/>
      <c r="O25" s="546"/>
      <c r="P25" s="546"/>
      <c r="Q25" s="546"/>
      <c r="R25" s="546"/>
      <c r="S25" s="546"/>
      <c r="T25" s="546"/>
      <c r="U25" s="546"/>
    </row>
    <row r="26" spans="1:21" ht="18.95" customHeight="1" thickBot="1">
      <c r="A26" s="518"/>
      <c r="B26" s="518"/>
      <c r="C26" s="518"/>
      <c r="D26" s="519"/>
      <c r="E26" s="519"/>
      <c r="F26" s="519"/>
      <c r="G26" s="519"/>
      <c r="H26" s="519"/>
      <c r="I26" s="519"/>
      <c r="J26" s="519"/>
      <c r="K26" s="519"/>
      <c r="L26" s="519"/>
      <c r="M26" s="448"/>
      <c r="N26" s="448"/>
      <c r="O26" s="546"/>
      <c r="P26" s="546"/>
      <c r="Q26" s="546"/>
      <c r="R26" s="546"/>
      <c r="S26" s="546"/>
      <c r="T26" s="546"/>
      <c r="U26" s="546"/>
    </row>
    <row r="27" spans="1:21" ht="20.100000000000001" customHeight="1" thickBot="1">
      <c r="A27" s="520"/>
      <c r="B27" s="521"/>
      <c r="C27" s="521"/>
      <c r="D27" s="521"/>
      <c r="E27" s="521"/>
      <c r="F27" s="521"/>
      <c r="G27" s="522"/>
      <c r="H27" s="521"/>
      <c r="I27" s="521"/>
      <c r="J27" s="521"/>
      <c r="K27" s="521"/>
      <c r="L27" s="521"/>
      <c r="M27" s="523"/>
      <c r="O27" s="546"/>
      <c r="P27" s="547"/>
      <c r="Q27" s="113"/>
      <c r="R27" s="113"/>
      <c r="S27" s="113"/>
      <c r="T27" s="113"/>
      <c r="U27" s="546"/>
    </row>
    <row r="28" spans="1:21" ht="15.95" customHeight="1" thickTop="1">
      <c r="A28" s="524" t="s">
        <v>691</v>
      </c>
      <c r="B28" s="502"/>
      <c r="C28" s="471"/>
      <c r="D28" s="471"/>
      <c r="E28" s="505"/>
      <c r="F28" s="505"/>
      <c r="G28" s="525"/>
      <c r="H28" s="504" t="s">
        <v>692</v>
      </c>
      <c r="I28" s="505"/>
      <c r="J28" s="508"/>
      <c r="K28" s="504"/>
      <c r="L28" s="508"/>
      <c r="M28" s="509"/>
      <c r="O28" s="546"/>
      <c r="P28" s="547"/>
      <c r="Q28" s="548"/>
      <c r="R28" s="548"/>
      <c r="S28" s="548"/>
      <c r="T28" s="548"/>
      <c r="U28" s="546"/>
    </row>
    <row r="29" spans="1:21" ht="15.95" customHeight="1">
      <c r="A29" s="484"/>
      <c r="B29" s="511"/>
      <c r="C29" s="511" t="s">
        <v>693</v>
      </c>
      <c r="D29" s="526">
        <v>96</v>
      </c>
      <c r="E29" s="485"/>
      <c r="F29" s="485"/>
      <c r="G29" s="525"/>
      <c r="H29" s="489"/>
      <c r="I29" s="511"/>
      <c r="J29" s="511" t="s">
        <v>693</v>
      </c>
      <c r="K29" s="526">
        <v>89.4</v>
      </c>
      <c r="L29" s="478"/>
      <c r="M29" s="493"/>
      <c r="O29" s="546"/>
      <c r="P29" s="547"/>
      <c r="Q29" s="114"/>
      <c r="R29" s="114"/>
      <c r="S29" s="114"/>
      <c r="T29" s="114"/>
      <c r="U29" s="546"/>
    </row>
    <row r="30" spans="1:21" ht="15.95" customHeight="1">
      <c r="A30" s="527"/>
      <c r="B30" s="478"/>
      <c r="C30" s="511" t="s">
        <v>694</v>
      </c>
      <c r="D30" s="526">
        <v>95.8</v>
      </c>
      <c r="E30" s="485"/>
      <c r="F30" s="485"/>
      <c r="G30" s="525"/>
      <c r="H30" s="485"/>
      <c r="I30" s="478"/>
      <c r="J30" s="511" t="s">
        <v>694</v>
      </c>
      <c r="K30" s="526">
        <v>87.7</v>
      </c>
      <c r="L30" s="478"/>
      <c r="M30" s="493"/>
      <c r="O30" s="546"/>
      <c r="P30" s="547"/>
      <c r="Q30" s="114"/>
      <c r="R30" s="114"/>
      <c r="S30" s="114"/>
      <c r="T30" s="114"/>
      <c r="U30" s="546"/>
    </row>
    <row r="31" spans="1:21" ht="15.95" customHeight="1">
      <c r="A31" s="484"/>
      <c r="B31" s="485"/>
      <c r="C31" s="511" t="s">
        <v>695</v>
      </c>
      <c r="D31" s="526">
        <v>94.9</v>
      </c>
      <c r="E31" s="485"/>
      <c r="F31" s="485"/>
      <c r="G31" s="525"/>
      <c r="H31" s="485"/>
      <c r="I31" s="478"/>
      <c r="J31" s="511" t="s">
        <v>695</v>
      </c>
      <c r="K31" s="526">
        <v>82.3</v>
      </c>
      <c r="L31" s="485"/>
      <c r="M31" s="493"/>
      <c r="O31" s="546"/>
      <c r="P31" s="546"/>
      <c r="Q31" s="546"/>
      <c r="R31" s="546"/>
      <c r="S31" s="546"/>
      <c r="T31" s="546"/>
      <c r="U31" s="546"/>
    </row>
    <row r="32" spans="1:21" ht="15.95" customHeight="1" thickBot="1">
      <c r="A32" s="494"/>
      <c r="B32" s="495"/>
      <c r="C32" s="497"/>
      <c r="D32" s="497"/>
      <c r="E32" s="498"/>
      <c r="F32" s="498"/>
      <c r="G32" s="528"/>
      <c r="H32" s="498"/>
      <c r="I32" s="497"/>
      <c r="J32" s="498"/>
      <c r="K32" s="497"/>
      <c r="L32" s="498"/>
      <c r="M32" s="500"/>
      <c r="O32" s="546"/>
      <c r="P32" s="546"/>
      <c r="Q32" s="546"/>
      <c r="R32" s="546"/>
      <c r="S32" s="546"/>
      <c r="T32" s="546"/>
      <c r="U32" s="546"/>
    </row>
    <row r="33" spans="1:21" ht="20.100000000000001" customHeight="1" thickBot="1">
      <c r="A33" s="529"/>
      <c r="B33" s="529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30"/>
      <c r="N33" s="530"/>
      <c r="O33" s="546"/>
      <c r="P33" s="546"/>
      <c r="Q33" s="546"/>
      <c r="R33" s="546"/>
      <c r="S33" s="546"/>
      <c r="T33" s="546"/>
      <c r="U33" s="546"/>
    </row>
    <row r="34" spans="1:21" ht="20.100000000000001" customHeight="1" thickBot="1">
      <c r="A34" s="531"/>
      <c r="B34" s="532"/>
      <c r="C34" s="532"/>
      <c r="D34" s="532"/>
      <c r="E34" s="532"/>
      <c r="F34" s="532"/>
      <c r="G34" s="532"/>
      <c r="H34" s="532"/>
      <c r="I34" s="532"/>
      <c r="J34" s="532"/>
      <c r="K34" s="532"/>
      <c r="L34" s="532"/>
      <c r="M34" s="533"/>
      <c r="O34" s="546"/>
      <c r="P34" s="546"/>
      <c r="Q34" s="546"/>
      <c r="R34" s="546"/>
      <c r="S34" s="546"/>
      <c r="T34" s="546"/>
      <c r="U34" s="546"/>
    </row>
    <row r="35" spans="1:21" ht="15.95" customHeight="1" thickTop="1">
      <c r="A35" s="534" t="s">
        <v>696</v>
      </c>
      <c r="B35" s="514"/>
      <c r="C35" s="514"/>
      <c r="D35" s="514"/>
      <c r="E35" s="514"/>
      <c r="F35" s="514"/>
      <c r="G35" s="514"/>
      <c r="H35" s="514"/>
      <c r="I35" s="514"/>
      <c r="J35" s="514"/>
      <c r="K35" s="514"/>
      <c r="L35" s="514"/>
      <c r="M35" s="535"/>
    </row>
    <row r="36" spans="1:21" ht="15.95" customHeight="1">
      <c r="A36" s="527" t="s">
        <v>697</v>
      </c>
      <c r="B36" s="514"/>
      <c r="C36" s="514"/>
      <c r="D36" s="514"/>
      <c r="E36" s="514"/>
      <c r="F36" s="514"/>
      <c r="G36" s="514"/>
      <c r="H36" s="514"/>
      <c r="I36" s="514"/>
      <c r="J36" s="514"/>
      <c r="K36" s="514"/>
      <c r="L36" s="514"/>
      <c r="M36" s="535"/>
    </row>
    <row r="37" spans="1:21" ht="15.95" customHeight="1">
      <c r="A37" s="536" t="s">
        <v>698</v>
      </c>
      <c r="B37" s="514"/>
      <c r="C37" s="514"/>
      <c r="D37" s="514"/>
      <c r="E37" s="537"/>
      <c r="F37" s="514"/>
      <c r="G37" s="514"/>
      <c r="H37" s="514"/>
      <c r="I37" s="514"/>
      <c r="J37" s="514"/>
      <c r="K37" s="514"/>
      <c r="L37" s="514"/>
      <c r="M37" s="535"/>
    </row>
    <row r="38" spans="1:21" ht="15.95" customHeight="1">
      <c r="A38" s="538" t="s">
        <v>699</v>
      </c>
      <c r="B38" s="514"/>
      <c r="C38" s="514"/>
      <c r="D38" s="514"/>
      <c r="E38" s="514"/>
      <c r="F38" s="514"/>
      <c r="G38" s="514"/>
      <c r="H38" s="514"/>
      <c r="I38" s="514"/>
      <c r="J38" s="514"/>
      <c r="K38" s="514"/>
      <c r="L38" s="514"/>
      <c r="M38" s="535"/>
    </row>
    <row r="39" spans="1:21" ht="15.95" customHeight="1">
      <c r="A39" s="539" t="s">
        <v>700</v>
      </c>
      <c r="B39" s="514"/>
      <c r="C39" s="514"/>
      <c r="D39" s="514"/>
      <c r="E39" s="514"/>
      <c r="F39" s="514"/>
      <c r="G39" s="514"/>
      <c r="H39" s="514"/>
      <c r="I39" s="514"/>
      <c r="J39" s="514"/>
      <c r="K39" s="514"/>
      <c r="L39" s="514"/>
      <c r="M39" s="535"/>
    </row>
    <row r="40" spans="1:21" ht="15.95" customHeight="1" thickBot="1">
      <c r="A40" s="540" t="s">
        <v>701</v>
      </c>
      <c r="B40" s="541"/>
      <c r="C40" s="541"/>
      <c r="D40" s="541"/>
      <c r="E40" s="541"/>
      <c r="F40" s="541"/>
      <c r="G40" s="541"/>
      <c r="H40" s="541"/>
      <c r="I40" s="541"/>
      <c r="J40" s="541"/>
      <c r="K40" s="541"/>
      <c r="L40" s="541"/>
      <c r="M40" s="542"/>
    </row>
    <row r="41" spans="1:21" ht="15.95" customHeight="1">
      <c r="A41" s="514"/>
      <c r="B41" s="514"/>
      <c r="C41" s="514"/>
      <c r="D41" s="514"/>
      <c r="E41" s="514"/>
      <c r="F41" s="514"/>
      <c r="G41" s="514"/>
      <c r="H41" s="514"/>
      <c r="I41" s="514"/>
      <c r="J41" s="514"/>
      <c r="K41" s="514"/>
      <c r="L41" s="514"/>
      <c r="M41" s="514"/>
    </row>
    <row r="42" spans="1:21" ht="15.95" customHeight="1"/>
    <row r="43" spans="1:21" ht="18">
      <c r="A43" s="543"/>
      <c r="B43" s="543"/>
      <c r="C43" s="543"/>
      <c r="D43" s="543"/>
      <c r="E43" s="543"/>
      <c r="F43" s="543"/>
      <c r="G43" s="543"/>
      <c r="H43" s="448"/>
      <c r="I43" s="448"/>
      <c r="J43" s="544" t="s">
        <v>702</v>
      </c>
      <c r="K43" s="721" t="s">
        <v>332</v>
      </c>
      <c r="L43" s="721"/>
      <c r="M43" s="721"/>
      <c r="N43" s="543"/>
    </row>
    <row r="44" spans="1:21" ht="7.5" customHeight="1">
      <c r="H44" s="448"/>
      <c r="I44" s="448"/>
      <c r="J44" s="448"/>
      <c r="K44" s="448"/>
      <c r="L44" s="448"/>
      <c r="M44" s="448"/>
    </row>
    <row r="45" spans="1:21" ht="16.5">
      <c r="H45" s="448"/>
      <c r="I45" s="448"/>
      <c r="J45" s="544" t="s">
        <v>703</v>
      </c>
      <c r="K45" s="722">
        <v>41992</v>
      </c>
      <c r="L45" s="722"/>
      <c r="M45" s="722"/>
    </row>
    <row r="60" spans="1:5">
      <c r="A60" s="449" t="s">
        <v>174</v>
      </c>
      <c r="B60" s="449" t="s">
        <v>747</v>
      </c>
      <c r="D60" s="449">
        <v>1</v>
      </c>
      <c r="E60" s="545" t="s">
        <v>174</v>
      </c>
    </row>
    <row r="61" spans="1:5">
      <c r="A61" s="449" t="s">
        <v>704</v>
      </c>
      <c r="B61" s="449" t="s">
        <v>705</v>
      </c>
      <c r="D61" s="449">
        <v>1.1499999999999999</v>
      </c>
      <c r="E61" s="545" t="s">
        <v>349</v>
      </c>
    </row>
    <row r="62" spans="1:5">
      <c r="A62" s="449" t="s">
        <v>706</v>
      </c>
      <c r="B62" s="449" t="s">
        <v>707</v>
      </c>
      <c r="E62" s="545" t="s">
        <v>302</v>
      </c>
    </row>
    <row r="63" spans="1:5">
      <c r="B63" s="449" t="s">
        <v>708</v>
      </c>
    </row>
    <row r="64" spans="1:5">
      <c r="B64" s="449" t="s">
        <v>709</v>
      </c>
    </row>
    <row r="65" spans="2:2">
      <c r="B65" s="449" t="s">
        <v>710</v>
      </c>
    </row>
    <row r="66" spans="2:2">
      <c r="B66" s="449" t="s">
        <v>711</v>
      </c>
    </row>
    <row r="67" spans="2:2">
      <c r="B67" s="449" t="s">
        <v>712</v>
      </c>
    </row>
    <row r="68" spans="2:2">
      <c r="B68" s="449" t="s">
        <v>713</v>
      </c>
    </row>
    <row r="69" spans="2:2">
      <c r="B69" s="449" t="s">
        <v>714</v>
      </c>
    </row>
    <row r="70" spans="2:2">
      <c r="B70" s="449" t="s">
        <v>715</v>
      </c>
    </row>
    <row r="71" spans="2:2">
      <c r="B71" s="449" t="s">
        <v>716</v>
      </c>
    </row>
    <row r="72" spans="2:2">
      <c r="B72" s="449" t="s">
        <v>717</v>
      </c>
    </row>
    <row r="73" spans="2:2">
      <c r="B73" s="449" t="s">
        <v>718</v>
      </c>
    </row>
    <row r="74" spans="2:2">
      <c r="B74" s="449" t="s">
        <v>719</v>
      </c>
    </row>
    <row r="75" spans="2:2">
      <c r="B75" s="449" t="s">
        <v>720</v>
      </c>
    </row>
    <row r="76" spans="2:2">
      <c r="B76" s="449" t="s">
        <v>721</v>
      </c>
    </row>
    <row r="77" spans="2:2">
      <c r="B77" s="449" t="s">
        <v>722</v>
      </c>
    </row>
    <row r="78" spans="2:2">
      <c r="B78" s="449" t="s">
        <v>723</v>
      </c>
    </row>
    <row r="79" spans="2:2">
      <c r="B79" s="449" t="s">
        <v>724</v>
      </c>
    </row>
    <row r="80" spans="2:2">
      <c r="B80" s="449" t="s">
        <v>725</v>
      </c>
    </row>
    <row r="81" spans="2:2">
      <c r="B81" s="449">
        <v>6312</v>
      </c>
    </row>
    <row r="82" spans="2:2">
      <c r="B82" s="449" t="s">
        <v>726</v>
      </c>
    </row>
    <row r="83" spans="2:2">
      <c r="B83" s="449" t="s">
        <v>727</v>
      </c>
    </row>
    <row r="84" spans="2:2">
      <c r="B84" s="449" t="s">
        <v>728</v>
      </c>
    </row>
    <row r="85" spans="2:2">
      <c r="B85" s="449" t="s">
        <v>729</v>
      </c>
    </row>
    <row r="86" spans="2:2">
      <c r="B86" s="449">
        <v>6313</v>
      </c>
    </row>
    <row r="87" spans="2:2">
      <c r="B87" s="449" t="s">
        <v>730</v>
      </c>
    </row>
    <row r="88" spans="2:2">
      <c r="B88" s="449" t="s">
        <v>731</v>
      </c>
    </row>
    <row r="89" spans="2:2">
      <c r="B89" s="449" t="s">
        <v>732</v>
      </c>
    </row>
    <row r="90" spans="2:2">
      <c r="B90" s="449">
        <v>6314</v>
      </c>
    </row>
    <row r="91" spans="2:2">
      <c r="B91" s="449" t="s">
        <v>733</v>
      </c>
    </row>
    <row r="92" spans="2:2">
      <c r="B92" s="449">
        <v>6317</v>
      </c>
    </row>
    <row r="93" spans="2:2">
      <c r="B93" s="449" t="s">
        <v>734</v>
      </c>
    </row>
    <row r="94" spans="2:2">
      <c r="B94" s="449">
        <v>6318</v>
      </c>
    </row>
    <row r="95" spans="2:2">
      <c r="B95" s="449" t="s">
        <v>735</v>
      </c>
    </row>
    <row r="96" spans="2:2">
      <c r="B96" s="449" t="s">
        <v>736</v>
      </c>
    </row>
    <row r="97" spans="2:2">
      <c r="B97" s="449" t="s">
        <v>737</v>
      </c>
    </row>
    <row r="98" spans="2:2">
      <c r="B98" s="449">
        <v>6320</v>
      </c>
    </row>
    <row r="99" spans="2:2">
      <c r="B99" s="449" t="s">
        <v>738</v>
      </c>
    </row>
    <row r="100" spans="2:2">
      <c r="B100" s="449" t="s">
        <v>739</v>
      </c>
    </row>
    <row r="101" spans="2:2">
      <c r="B101" s="449" t="s">
        <v>740</v>
      </c>
    </row>
    <row r="102" spans="2:2">
      <c r="B102" s="449" t="s">
        <v>741</v>
      </c>
    </row>
    <row r="103" spans="2:2">
      <c r="B103" s="449" t="s">
        <v>741</v>
      </c>
    </row>
    <row r="119" spans="2:2">
      <c r="B119" s="449" t="s">
        <v>742</v>
      </c>
    </row>
    <row r="121" spans="2:2">
      <c r="B121" s="449" t="s">
        <v>743</v>
      </c>
    </row>
  </sheetData>
  <mergeCells count="4">
    <mergeCell ref="L22:M22"/>
    <mergeCell ref="L23:M23"/>
    <mergeCell ref="K43:M43"/>
    <mergeCell ref="K45:M45"/>
  </mergeCells>
  <dataValidations count="4">
    <dataValidation type="list" allowBlank="1" showInputMessage="1" showErrorMessage="1" prompt="Pick one!" sqref="I15">
      <formula1>$E$60:$E$62</formula1>
    </dataValidation>
    <dataValidation type="list" allowBlank="1" showInputMessage="1" showErrorMessage="1" prompt="Pick from list" sqref="F15">
      <formula1>$D$60:$D$61</formula1>
    </dataValidation>
    <dataValidation type="list" allowBlank="1" showInputMessage="1" showErrorMessage="1" prompt="Choose from list" sqref="L22:L23">
      <formula1>$B$60:$B$103</formula1>
    </dataValidation>
    <dataValidation type="list" errorStyle="warning" allowBlank="1" showInputMessage="1" showErrorMessage="1" error="You should choose from the list!" prompt="Choose Enclosure Type" sqref="F14">
      <formula1>$A$60:$A$62</formula1>
    </dataValidation>
  </dataValidations>
  <printOptions horizontalCentered="1" gridLinesSet="0"/>
  <pageMargins left="0.5" right="0.5" top="0.5" bottom="0.5" header="0.5" footer="0.5"/>
  <pageSetup orientation="portrait" horizontalDpi="1200" verticalDpi="1200" r:id="rId1"/>
  <headerFooter alignWithMargins="0">
    <oddFooter>&amp;L&amp;"Univers (WN),Regular"&amp;7N:\ELECTRIC\PERFORMA&amp;C&amp;"Univers (WN),Regular"&amp;7&amp;F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DesignSheet</vt:lpstr>
      <vt:lpstr>Data Sheet</vt:lpstr>
      <vt:lpstr>LoginSheet</vt:lpstr>
      <vt:lpstr>Form</vt:lpstr>
      <vt:lpstr>STCurve</vt:lpstr>
      <vt:lpstr>StallTime</vt:lpstr>
      <vt:lpstr>Thermdam</vt:lpstr>
      <vt:lpstr>MagNoise</vt:lpstr>
      <vt:lpstr>Performance</vt:lpstr>
      <vt:lpstr>Performance Data Sheet</vt:lpstr>
      <vt:lpstr>'Data Sheet'!Print_Area</vt:lpstr>
      <vt:lpstr>DesignSheet!Print_Area</vt:lpstr>
      <vt:lpstr>Form!Print_Area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dell</cp:lastModifiedBy>
  <cp:lastPrinted>2015-01-14T21:17:01Z</cp:lastPrinted>
  <dcterms:created xsi:type="dcterms:W3CDTF">1997-10-03T20:37:30Z</dcterms:created>
  <dcterms:modified xsi:type="dcterms:W3CDTF">2015-06-24T18:59:42Z</dcterms:modified>
</cp:coreProperties>
</file>