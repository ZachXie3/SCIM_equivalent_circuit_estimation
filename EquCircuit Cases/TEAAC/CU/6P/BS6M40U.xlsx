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37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12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<sst xmlns="http://schemas.openxmlformats.org/spreadsheetml/2006/main" count="995" uniqueCount="757">
  <si>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</si>
  <si>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</si>
  <si>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</si>
  <si>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</si>
  <si>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</si>
  <si>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</si>
  <si>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</si>
  <si>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</si>
  <si>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</si>
  <si>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</si>
  <si>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</si>
  <si>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</si>
  <si>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</si>
  <si>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</si>
  <si>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</si>
  <si>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</si>
  <si>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</si>
  <si>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</si>
  <si>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</si>
  <si>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</si>
  <si>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</si>
  <si>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</si>
  <si>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</si>
  <si>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</si>
  <si>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</si>
  <si>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</si>
  <si>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</si>
  <si>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</si>
  <si>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</si>
  <si>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</si>
  <si>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</si>
  <si>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</si>
  <si>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</si>
  <si>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</si>
  <si>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</si>
  <si>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</si>
  <si>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</si>
  <si>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</si>
  <si>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</si>
  <si>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</si>
  <si>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</si>
  <si>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</si>
  <si>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</si>
  <si>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</si>
  <si>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</si>
  <si>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</si>
  <si>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</si>
  <si>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</si>
  <si>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</si>
  <si>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</si>
  <si>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</si>
  <si>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</si>
  <si>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</si>
  <si>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</si>
  <si>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</si>
  <si>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</si>
  <si>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</si>
  <si>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</si>
  <si>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</si>
  <si>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</si>
  <si>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</si>
  <si>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</si>
  <si>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</si>
  <si>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</si>
  <si>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</si>
  <si>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</si>
  <si>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</si>
  <si>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</si>
  <si>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</si>
  <si>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</si>
  <si>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</si>
  <si>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</si>
  <si>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</si>
  <si>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</si>
  <si>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</si>
  <si>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</si>
  <si>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</si>
  <si>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</si>
  <si>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</si>
  <si>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</si>
  <si>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</si>
  <si>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</si>
  <si>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</si>
  <si>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</si>
  <si>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</si>
  <si>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</si>
  <si>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</si>
  <si>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</si>
  <si>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</si>
  <si>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</si>
  <si>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</si>
  <si>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</si>
  <si>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</si>
  <si>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</si>
  <si>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</si>
  <si>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</si>
  <si>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</si>
  <si>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</si>
  <si>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</si>
  <si>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</si>
  <si>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</si>
  <si>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</si>
  <si>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</si>
  <si>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</si>
  <si>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</si>
  <si>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</si>
  <si>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</si>
  <si>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</si>
  <si>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</si>
  <si>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</si>
  <si>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</si>
  <si>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</si>
  <si>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</si>
  <si>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</si>
  <si>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</si>
  <si>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</si>
  <si>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</si>
  <si>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</si>
  <si>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</si>
  <si>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</si>
  <si>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</si>
  <si>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</si>
  <si>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</si>
  <si>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</si>
  <si>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</si>
  <si>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</si>
  <si>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</si>
  <si>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</si>
  <si>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</si>
  <si>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</si>
  <si>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</si>
  <si>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</si>
  <si>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</si>
  <si>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</si>
  <si>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</si>
  <si>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</si>
  <si>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</si>
  <si>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</si>
  <si>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</si>
  <si>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</si>
  <si>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</si>
  <si>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</si>
  <si>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</si>
  <si>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</si>
  <si>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</si>
  <si>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</si>
  <si>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</si>
  <si>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</si>
  <si>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</si>
  <si>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</si>
  <si>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</si>
  <si>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</si>
  <si>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</si>
  <si>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</si>
  <si>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</si>
  <si>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</si>
  <si>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</si>
  <si>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</si>
  <si>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</si>
  <si>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</si>
  <si>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</si>
  <si>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</si>
  <si>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</si>
  <si>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</si>
  <si>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</si>
  <si>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</si>
  <si>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</si>
  <si>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</si>
  <si>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</si>
  <si>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</si>
  <si>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</si>
  <si>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</si>
  <si>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</si>
  <si>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</si>
  <si>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</si>
  <si>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</si>
  <si>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</si>
  <si>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6813US</t>
  </si>
  <si>
    <t>Open</t>
  </si>
  <si>
    <t>Rectang</t>
  </si>
  <si>
    <t>9.24 - 9.24</t>
  </si>
  <si>
    <t>2.83 - 3.20</t>
  </si>
  <si>
    <t>Magnetic</t>
  </si>
  <si>
    <t>32 x 6</t>
  </si>
  <si>
    <t>1 ~ 11</t>
  </si>
  <si>
    <t>(.091"x.182")x2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</si>
  <si>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</si>
  <si>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</si>
  <si>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</si>
  <si>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</si>
  <si>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</si>
  <si>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</si>
  <si>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</si>
  <si>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</si>
  <si>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</si>
  <si>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</si>
  <si>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</si>
  <si>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</si>
  <si>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</si>
  <si>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0.0359)</t>
  </si>
  <si>
    <t>Skew R.: 0.00</t>
  </si>
  <si>
    <t>Z:\Motor R&amp;D\Active Projects\6810 Development\Electrical Design\TEAAC\6P\Series\BS6M40U.rat</t>
  </si>
  <si>
    <t>2-2-2-0-1-2</t>
  </si>
  <si>
    <t>B.L.-1  P.F.-1</t>
  </si>
  <si>
    <t>14964.9 / 13553.3</t>
  </si>
  <si>
    <t>9761.6 / 9609.4</t>
  </si>
  <si>
    <t>29117.2 / 20528.7</t>
  </si>
  <si>
    <t>10116.0 / 9343.1</t>
  </si>
  <si>
    <t>18189.8 / 6892.8</t>
  </si>
  <si>
    <t>2897.4 / 1097.9</t>
  </si>
  <si>
    <t>15292.3 / 5794.9</t>
  </si>
  <si>
    <t>1.75 / 0.66</t>
  </si>
  <si>
    <t>73 / 75</t>
  </si>
  <si>
    <t>Temp. Rise @ 100%:</t>
  </si>
  <si>
    <t>Stray Loss</t>
  </si>
  <si>
    <t>0.924 / 0.919</t>
  </si>
  <si>
    <t>0.955 / 0.951</t>
  </si>
  <si>
    <t>0.964 / 0.959</t>
  </si>
  <si>
    <t>0.966 / 0.962</t>
  </si>
  <si>
    <t>0.630 / 0.622</t>
  </si>
  <si>
    <t>0.823 / 0.812</t>
  </si>
  <si>
    <t>0.882 / 0.871</t>
  </si>
  <si>
    <t>0.902 / 0.890</t>
  </si>
  <si>
    <t>0.906 / 0.894</t>
  </si>
  <si>
    <t>92.53 / 94.16</t>
  </si>
  <si>
    <t>136.99 / 139.41</t>
  </si>
  <si>
    <t>190.00 / 193.36</t>
  </si>
  <si>
    <t>247.18 / 251.55</t>
  </si>
  <si>
    <t>307.57 / 313.01</t>
  </si>
  <si>
    <t>3.97 / 4.04</t>
  </si>
  <si>
    <t>UB: 3.66 / 3.72</t>
  </si>
  <si>
    <t>UER: 3.17 / 3.22</t>
  </si>
  <si>
    <t>1198.1 / 1198.2</t>
  </si>
  <si>
    <t>1196.2 / 1196.4</t>
  </si>
  <si>
    <t>1194.4 / 1194.5</t>
  </si>
  <si>
    <t>1192.4 / 1192.5</t>
  </si>
  <si>
    <t>1190.5 / 1190.6</t>
  </si>
  <si>
    <t>0.0016 / 0.0015</t>
  </si>
  <si>
    <t>0.0031 / 0.0030</t>
  </si>
  <si>
    <t>0.0047 / 0.0046</t>
  </si>
  <si>
    <t>0.0063 / 0.0062</t>
  </si>
  <si>
    <t>0.0079 / 0.0079</t>
  </si>
  <si>
    <t>66.476 / 58.972</t>
  </si>
  <si>
    <t>2.623 / 2.327</t>
  </si>
  <si>
    <t>66.53 / 59.02</t>
  </si>
  <si>
    <t>1539.3 / 1466.2</t>
  </si>
  <si>
    <t>622.7 / 593.2</t>
  </si>
  <si>
    <t>1216.5 / 1047.4</t>
  </si>
  <si>
    <t>99.8 / 85.9</t>
  </si>
  <si>
    <t>267.6 / 236.1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</si>
  <si>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</si>
  <si>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</si>
  <si>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</si>
  <si>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</si>
  <si>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</si>
  <si>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</si>
  <si>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</si>
  <si>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</si>
  <si>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</si>
  <si>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</si>
  <si>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</si>
  <si>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</si>
  <si>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</si>
  <si>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</si>
  <si>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</si>
  <si>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</si>
  <si>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</si>
  <si>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</si>
  <si>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</si>
  <si>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</si>
  <si>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</si>
  <si>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</si>
  <si>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</si>
  <si>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</si>
  <si>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</si>
  <si>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</si>
  <si>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</si>
  <si>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</si>
  <si>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</si>
  <si>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</si>
  <si>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</si>
  <si>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</si>
  <si>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</si>
  <si>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</si>
  <si>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</si>
  <si>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</si>
  <si>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</si>
  <si>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</si>
  <si>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</si>
  <si>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</si>
  <si>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</si>
  <si>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</si>
  <si>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</si>
  <si>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</si>
  <si>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</si>
  <si>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</si>
  <si>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</si>
  <si>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</si>
  <si>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</si>
  <si>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</si>
  <si>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</si>
  <si>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</si>
  <si>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</si>
  <si>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</si>
  <si>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</si>
  <si>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</si>
  <si>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</si>
  <si>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</si>
  <si>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</si>
  <si>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</si>
  <si>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</si>
  <si>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</si>
  <si>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</si>
  <si>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</si>
  <si>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</si>
  <si>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</si>
  <si>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</si>
  <si>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</si>
  <si>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</si>
  <si>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</si>
  <si>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</si>
  <si>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</si>
  <si>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</si>
  <si>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</si>
  <si>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</si>
  <si>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</si>
  <si>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</si>
  <si>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</si>
  <si>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</si>
  <si>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</si>
  <si>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</si>
  <si>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</si>
  <si>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</si>
  <si>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</si>
  <si>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</si>
  <si>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</si>
  <si>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</si>
  <si>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</si>
  <si>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</si>
  <si>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</si>
  <si>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</si>
  <si>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</si>
  <si>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</si>
  <si>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</si>
  <si>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</si>
  <si>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</si>
  <si>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</si>
  <si>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</si>
  <si>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</si>
  <si>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</si>
  <si>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</si>
  <si>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</si>
  <si>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</si>
  <si>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</si>
  <si>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</si>
  <si>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</si>
  <si>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</si>
  <si>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</si>
  <si>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</si>
  <si>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</si>
  <si>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</si>
  <si>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</si>
  <si>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</si>
  <si>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BS6M40U</t>
  </si>
  <si>
    <t>18 x 2</t>
  </si>
  <si>
    <t>3 x Wye</t>
  </si>
  <si>
    <t xml:space="preserve"> - </t>
  </si>
  <si>
    <t>404 / 2350</t>
  </si>
  <si>
    <t>372 / 322</t>
  </si>
  <si>
    <t>S-T Curve Data (Custom Values)</t>
  </si>
  <si>
    <t>Current (%)</t>
  </si>
  <si>
    <t>Current(%)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</si>
  <si>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</si>
  <si>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</si>
  <si>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</si>
  <si>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</si>
  <si>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</si>
  <si>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</si>
  <si>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</si>
  <si>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</si>
  <si>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</si>
  <si>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</si>
  <si>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</si>
  <si>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</si>
  <si>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1519.0</t>
  </si>
  <si>
    <t xml:space="preserve">9T: </t>
  </si>
  <si>
    <t/>
  </si>
  <si>
    <t>0.0237 ~ 0.0228</t>
  </si>
  <si>
    <t>AWG. 3/0 x 3</t>
  </si>
  <si>
    <t>0.00075</t>
  </si>
  <si>
    <t>9T: 22.60</t>
  </si>
  <si>
    <t>9T: 9.65</t>
  </si>
  <si>
    <t>13.30 ~ 12.90</t>
  </si>
  <si>
    <t>13.96</t>
  </si>
  <si>
    <t>3.55</t>
  </si>
  <si>
    <t xml:space="preserve"> (.091"x.182")x 2: </t>
  </si>
  <si>
    <t>825 lbs.</t>
  </si>
  <si>
    <t xml:space="preserve">1-2, 2-3, 3-1: </t>
  </si>
  <si>
    <t>0.129 ~ 0.122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</si>
  <si>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</si>
  <si>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</si>
  <si>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</si>
  <si>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</si>
  <si>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</si>
  <si>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</si>
  <si>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</si>
  <si>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</si>
  <si>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</si>
  <si>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</si>
  <si>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</si>
  <si>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</si>
  <si>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</si>
  <si>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</si>
  <si>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</si>
  <si>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</si>
  <si>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</si>
  <si>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</si>
  <si>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</si>
  <si>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</si>
  <si>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</si>
  <si>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</si>
  <si>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</si>
  <si>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</si>
  <si>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</si>
  <si>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</si>
  <si>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</si>
  <si>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1673.0 lb-ft²</t>
  </si>
  <si>
    <t>1466 A</t>
  </si>
  <si>
    <t>Load</t>
  </si>
  <si>
    <t>Fan / Pump</t>
  </si>
  <si>
    <t>2828.2 kg.m²</t>
  </si>
  <si>
    <t>Acceleration Data (FV V)</t>
  </si>
  <si>
    <t>12.8 (s)</t>
  </si>
  <si>
    <t>1218.7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</si>
  <si>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</si>
  <si>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</si>
  <si>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</si>
  <si>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</si>
  <si>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</si>
  <si>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</si>
  <si>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</si>
  <si>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</si>
  <si>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</si>
  <si>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</si>
  <si>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</si>
  <si>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</si>
  <si>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</si>
  <si>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</si>
  <si>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</si>
  <si>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</si>
  <si>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</si>
  <si>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</si>
  <si>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</si>
  <si>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</si>
  <si>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</si>
  <si>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</si>
  <si>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</si>
  <si>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</si>
  <si>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</si>
  <si>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</si>
  <si>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</si>
  <si>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</si>
  <si>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</si>
  <si>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</si>
  <si>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</si>
  <si>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</si>
  <si>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</si>
  <si>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</si>
  <si>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</si>
  <si>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</si>
  <si>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</si>
  <si>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</si>
  <si>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</si>
  <si>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- 2000.0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</si>
  <si>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</si>
  <si>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</si>
  <si>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</si>
  <si>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</si>
  <si>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</si>
  <si>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</si>
  <si>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</si>
  <si>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</si>
  <si>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</si>
  <si>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</si>
  <si>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</si>
  <si>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</si>
  <si>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</si>
  <si>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- 16778.0 lb-ft²</t>
  </si>
  <si>
    <t>85.1</t>
  </si>
  <si>
    <t>85.3</t>
  </si>
  <si>
    <t>85.7</t>
  </si>
  <si>
    <t>86.3</t>
  </si>
  <si>
    <t>87.4</t>
  </si>
  <si>
    <t>89.0</t>
  </si>
  <si>
    <t>91.9</t>
  </si>
  <si>
    <t>97.5</t>
  </si>
  <si>
    <t>107.6</t>
  </si>
  <si>
    <t>127.7</t>
  </si>
  <si>
    <t>188.3</t>
  </si>
  <si>
    <t>172.7</t>
  </si>
  <si>
    <t>105.2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</si>
  <si>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</si>
  <si>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</si>
  <si>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</si>
  <si>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</si>
  <si>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</si>
  <si>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</si>
  <si>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</si>
  <si>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</si>
  <si>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</si>
  <si>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</si>
  <si>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</si>
  <si>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</si>
  <si>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</si>
  <si>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1.357</t>
  </si>
  <si>
    <t>1.150</t>
  </si>
  <si>
    <t>1.083</t>
  </si>
  <si>
    <t>1.081</t>
  </si>
  <si>
    <t>1.135</t>
  </si>
  <si>
    <t>1.237</t>
  </si>
  <si>
    <t>1.407</t>
  </si>
  <si>
    <t>1.709</t>
  </si>
  <si>
    <t>0.972</t>
  </si>
  <si>
    <t>0.839</t>
  </si>
  <si>
    <t>0.437</t>
  </si>
  <si>
    <t>0.088</t>
  </si>
  <si>
    <t>0.302</t>
  </si>
  <si>
    <t>1460.7</t>
  </si>
  <si>
    <t>1449.2</t>
  </si>
  <si>
    <t>1435.4</t>
  </si>
  <si>
    <t>1418.2</t>
  </si>
  <si>
    <t>1396.4</t>
  </si>
  <si>
    <t>1369.4</t>
  </si>
  <si>
    <t>1336.0</t>
  </si>
  <si>
    <t>1293.7</t>
  </si>
  <si>
    <t>1252.4</t>
  </si>
  <si>
    <t>1202.9</t>
  </si>
  <si>
    <t>1070.6</t>
  </si>
  <si>
    <t>639.5</t>
  </si>
  <si>
    <t>238.1</t>
  </si>
  <si>
    <t>714.5</t>
  </si>
  <si>
    <t>596.7</t>
  </si>
  <si>
    <t>552.2</t>
  </si>
  <si>
    <t>540.0</t>
  </si>
  <si>
    <t>551.5</t>
  </si>
  <si>
    <t>580.6</t>
  </si>
  <si>
    <t>632.1</t>
  </si>
  <si>
    <t>726.7</t>
  </si>
  <si>
    <t>383.7</t>
  </si>
  <si>
    <t>313.5</t>
  </si>
  <si>
    <t>146.7</t>
  </si>
  <si>
    <t>20.4</t>
  </si>
  <si>
    <t>4.7</t>
  </si>
  <si>
    <t>1536.3</t>
  </si>
  <si>
    <t>1168.1</t>
  </si>
  <si>
    <t>975.0</t>
  </si>
  <si>
    <t>850.3</t>
  </si>
  <si>
    <t>764.1</t>
  </si>
  <si>
    <t>694.3</t>
  </si>
  <si>
    <t>632.4</t>
  </si>
  <si>
    <t>576.6</t>
  </si>
  <si>
    <t>436.3</t>
  </si>
  <si>
    <t>290.7</t>
  </si>
  <si>
    <t>102.3</t>
  </si>
  <si>
    <t>36.0</t>
  </si>
  <si>
    <t>146.3</t>
  </si>
  <si>
    <t>5763 kW / s</t>
  </si>
  <si>
    <t>7226 kW / s</t>
  </si>
  <si>
    <t>982 kW / s</t>
  </si>
  <si>
    <t>41°C</t>
  </si>
  <si>
    <t>76°C</t>
  </si>
  <si>
    <t>58°C</t>
  </si>
  <si>
    <t>82°C</t>
  </si>
  <si>
    <t>151°C</t>
  </si>
  <si>
    <t>117°C</t>
  </si>
  <si>
    <t>Acceleration Time:  12.8 s</t>
  </si>
  <si>
    <t>4.5°C / s</t>
  </si>
  <si>
    <t>11.7°C / s</t>
  </si>
  <si>
    <t>9.0°C / s</t>
  </si>
  <si>
    <t>1116.4 kW</t>
  </si>
  <si>
    <t>151.8 kW</t>
  </si>
  <si>
    <t>22.2 s</t>
  </si>
  <si>
    <t>20.0 s</t>
  </si>
  <si>
    <t>40.5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</si>
  <si>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</si>
  <si>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</si>
  <si>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</si>
  <si>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</si>
  <si>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</si>
  <si>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</si>
  <si>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16778.0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</si>
  <si>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</si>
  <si>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</si>
  <si>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</si>
  <si>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</si>
  <si>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</si>
  <si>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</si>
  <si>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</si>
  <si>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</si>
  <si>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</si>
  <si>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</si>
  <si>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</si>
  <si>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</si>
  <si>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</si>
  <si>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</si>
  <si>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</si>
  <si>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</si>
  <si>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</si>
  <si>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</si>
  <si>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</si>
  <si>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</si>
  <si>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</si>
  <si>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</si>
  <si>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1272.7 Hz</t>
  </si>
  <si>
    <t>1040.0 Hz</t>
  </si>
  <si>
    <t>1032.7 Hz</t>
  </si>
  <si>
    <t>1160.0 Hz</t>
  </si>
  <si>
    <t>1152.7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</si>
  <si>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</si>
  <si>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</si>
  <si>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</si>
  <si>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</si>
  <si>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</si>
  <si>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</si>
  <si>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</si>
  <si>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</si>
  <si>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</si>
  <si>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</si>
  <si>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</si>
  <si>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</si>
  <si>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</si>
  <si>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</si>
  <si>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</si>
  <si>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</si>
  <si>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</si>
  <si>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</si>
  <si>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</si>
  <si>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</si>
  <si>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</si>
  <si>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</si>
  <si>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</si>
  <si>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</si>
  <si>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</si>
  <si>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</si>
  <si>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</si>
  <si>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</si>
  <si>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</si>
  <si>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</si>
  <si>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</si>
  <si>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</si>
  <si>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</si>
  <si>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</si>
  <si>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</si>
  <si>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</si>
  <si>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</si>
  <si>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</si>
  <si>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</si>
  <si>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</si>
  <si>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</si>
  <si>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</si>
  <si>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</si>
  <si>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</si>
  <si>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</si>
  <si>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</si>
  <si>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</si>
  <si>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</si>
  <si>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</si>
  <si>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</si>
  <si>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</si>
  <si>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</si>
  <si>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</si>
  <si>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</si>
  <si>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</si>
  <si>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</si>
  <si>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</si>
  <si>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</si>
  <si>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</si>
  <si>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</si>
  <si>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</si>
  <si>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</si>
  <si>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</si>
  <si>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</si>
  <si>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</si>
  <si>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</si>
  <si>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</si>
  <si>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</si>
  <si>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</si>
  <si>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</si>
  <si>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</si>
  <si>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</si>
  <si>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</si>
  <si>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</si>
  <si>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</si>
  <si>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</si>
  <si>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</si>
  <si>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</si>
  <si>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</si>
  <si>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</si>
  <si>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</si>
  <si>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</si>
  <si>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</si>
  <si>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</si>
  <si>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</si>
  <si>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</si>
  <si>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</si>
  <si>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</si>
  <si>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</si>
  <si>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</si>
  <si>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</si>
  <si>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</si>
  <si>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</si>
  <si>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</si>
  <si>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</si>
  <si>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</si>
  <si>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</si>
  <si>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</si>
  <si>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</si>
  <si>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</si>
  <si>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</si>
  <si>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</si>
  <si>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</si>
  <si>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</si>
  <si>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</si>
  <si>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</si>
  <si>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</si>
  <si>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</si>
  <si>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</si>
  <si>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</si>
  <si>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</si>
  <si>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</si>
  <si>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</si>
  <si>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</si>
  <si>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</si>
  <si>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</si>
  <si>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</si>
  <si>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</si>
  <si>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M406TCQL11E-C</t>
  </si>
  <si>
    <t>75 / 96</t>
  </si>
  <si>
    <t>627.8 kW</t>
  </si>
  <si>
    <t>35.6 s</t>
  </si>
  <si>
    <t>75°C    +</t>
  </si>
  <si>
    <t>101°C    +</t>
  </si>
  <si>
    <t>85°C    +</t>
  </si>
  <si>
    <t>159°C   +</t>
  </si>
  <si>
    <t>79°C   +</t>
  </si>
  <si>
    <t>18.9 s</t>
  </si>
  <si>
    <t>13.6 s</t>
  </si>
  <si>
    <t>8.7 s</t>
  </si>
  <si>
    <t>17.7 s</t>
  </si>
  <si>
    <t>Outer Fan: 550OD</t>
  </si>
  <si>
    <t>Rev 0: First Issue</t>
  </si>
  <si>
    <t>Limits: BS6M40U</t>
  </si>
  <si>
    <t>M11-125 INS</t>
  </si>
  <si>
    <t>8805 lb-ft</t>
  </si>
  <si>
    <t>TEAAC</t>
  </si>
  <si>
    <t>Type: TIKE - Form: FCW4 - 6 Pole - 2000 HP - 4000 V - 60 Hz - 6813US - Class F</t>
  </si>
  <si>
    <t>FCW4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</si>
</sst>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166" fontId="2" fillId="0" borderId="0" xfId="0" applyNumberFormat="1" applyFont="1" applyBorder="1" applyAlignment="1">
      <alignment horizontal="center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110.38020377052021</c:v>
                </c:pt>
                <c:pt idx="2">
                  <c:v>235</c:v>
                </c:pt>
                <c:pt idx="3">
                  <c:v>141.58052153428309</c:v>
                </c:pt>
                <c:pt idx="4">
                  <c:v>113.88151300010574</c:v>
                </c:pt>
                <c:pt idx="5">
                  <c:v>101.38253506716967</c:v>
                </c:pt>
                <c:pt idx="6">
                  <c:v>93.66315701624066</c:v>
                </c:pt>
                <c:pt idx="7">
                  <c:v>90.092526160642706</c:v>
                </c:pt>
                <c:pt idx="8">
                  <c:v>88.003085997618172</c:v>
                </c:pt>
                <c:pt idx="9">
                  <c:v>86.710751890326534</c:v>
                </c:pt>
                <c:pt idx="10">
                  <c:v>85.910311514935401</c:v>
                </c:pt>
                <c:pt idx="11">
                  <c:v>85.427476664312621</c:v>
                </c:pt>
                <c:pt idx="12">
                  <c:v>85.150651426667366</c:v>
                </c:pt>
                <c:pt idx="13">
                  <c:v>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08288"/>
        <c:axId val="19451020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0.26399999856948853</c:v>
                </c:pt>
                <c:pt idx="1">
                  <c:v>122.43235015869141</c:v>
                </c:pt>
                <c:pt idx="2">
                  <c:v>385.08514404296875</c:v>
                </c:pt>
                <c:pt idx="3">
                  <c:v>464.6361083984375</c:v>
                </c:pt>
                <c:pt idx="4">
                  <c:v>490.06109619140625</c:v>
                </c:pt>
                <c:pt idx="5">
                  <c:v>503.89190673828125</c:v>
                </c:pt>
                <c:pt idx="6">
                  <c:v>522.8492431640625</c:v>
                </c:pt>
                <c:pt idx="7">
                  <c:v>537.47369384765625</c:v>
                </c:pt>
                <c:pt idx="8">
                  <c:v>549.3150634765625</c:v>
                </c:pt>
                <c:pt idx="9">
                  <c:v>558.96124267578125</c:v>
                </c:pt>
                <c:pt idx="10">
                  <c:v>566.59259033203125</c:v>
                </c:pt>
                <c:pt idx="11">
                  <c:v>572.5833740234375</c:v>
                </c:pt>
                <c:pt idx="12">
                  <c:v>577.552490234375</c:v>
                </c:pt>
                <c:pt idx="13">
                  <c:v>581.74603271484375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9840"/>
        <c:axId val="194661376"/>
      </c:scatterChart>
      <c:valAx>
        <c:axId val="19450828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510208"/>
        <c:crossesAt val="0"/>
        <c:crossBetween val="midCat"/>
        <c:majorUnit val="0.2"/>
        <c:minorUnit val="0.2"/>
      </c:valAx>
      <c:valAx>
        <c:axId val="19451020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508288"/>
        <c:crosses val="max"/>
        <c:crossBetween val="midCat"/>
        <c:majorUnit val="50"/>
        <c:minorUnit val="50"/>
      </c:valAx>
      <c:valAx>
        <c:axId val="19465984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94661376"/>
        <c:crosses val="autoZero"/>
        <c:crossBetween val="midCat"/>
      </c:valAx>
      <c:valAx>
        <c:axId val="19466137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465984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110.38020377052021</c:v>
                </c:pt>
                <c:pt idx="2">
                  <c:v>235</c:v>
                </c:pt>
                <c:pt idx="3">
                  <c:v>141.58052153428309</c:v>
                </c:pt>
                <c:pt idx="4">
                  <c:v>113.88151300010574</c:v>
                </c:pt>
                <c:pt idx="5">
                  <c:v>101.38253506716967</c:v>
                </c:pt>
                <c:pt idx="6">
                  <c:v>93.66315701624066</c:v>
                </c:pt>
                <c:pt idx="7">
                  <c:v>90.092526160642706</c:v>
                </c:pt>
                <c:pt idx="8">
                  <c:v>88.003085997618172</c:v>
                </c:pt>
                <c:pt idx="9">
                  <c:v>86.710751890326534</c:v>
                </c:pt>
                <c:pt idx="10">
                  <c:v>85.910311514935401</c:v>
                </c:pt>
                <c:pt idx="11">
                  <c:v>85.427476664312621</c:v>
                </c:pt>
                <c:pt idx="12">
                  <c:v>85.150651426667366</c:v>
                </c:pt>
                <c:pt idx="13">
                  <c:v>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26048"/>
        <c:axId val="20342822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0.26399999856948853</c:v>
                </c:pt>
                <c:pt idx="1">
                  <c:v>122.43235015869141</c:v>
                </c:pt>
                <c:pt idx="2">
                  <c:v>385.08514404296875</c:v>
                </c:pt>
                <c:pt idx="3">
                  <c:v>464.6361083984375</c:v>
                </c:pt>
                <c:pt idx="4">
                  <c:v>490.06109619140625</c:v>
                </c:pt>
                <c:pt idx="5">
                  <c:v>503.89190673828125</c:v>
                </c:pt>
                <c:pt idx="6">
                  <c:v>522.8492431640625</c:v>
                </c:pt>
                <c:pt idx="7">
                  <c:v>537.47369384765625</c:v>
                </c:pt>
                <c:pt idx="8">
                  <c:v>549.3150634765625</c:v>
                </c:pt>
                <c:pt idx="9">
                  <c:v>558.96124267578125</c:v>
                </c:pt>
                <c:pt idx="10">
                  <c:v>566.59259033203125</c:v>
                </c:pt>
                <c:pt idx="11">
                  <c:v>572.5833740234375</c:v>
                </c:pt>
                <c:pt idx="12">
                  <c:v>577.552490234375</c:v>
                </c:pt>
                <c:pt idx="13">
                  <c:v>581.74603271484375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30144"/>
        <c:axId val="203436032"/>
      </c:scatterChart>
      <c:valAx>
        <c:axId val="20342604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428224"/>
        <c:crosses val="autoZero"/>
        <c:crossBetween val="midCat"/>
        <c:majorUnit val="20"/>
        <c:minorUnit val="20"/>
      </c:valAx>
      <c:valAx>
        <c:axId val="203428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426048"/>
        <c:crosses val="autoZero"/>
        <c:crossBetween val="midCat"/>
      </c:valAx>
      <c:valAx>
        <c:axId val="20343014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3436032"/>
        <c:crosses val="autoZero"/>
        <c:crossBetween val="midCat"/>
      </c:valAx>
      <c:valAx>
        <c:axId val="203436032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343014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581.74603174603169</c:v>
                </c:pt>
                <c:pt idx="1">
                  <c:v>507.83807936507935</c:v>
                </c:pt>
                <c:pt idx="2">
                  <c:v>433.90795238095234</c:v>
                </c:pt>
                <c:pt idx="3">
                  <c:v>360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45.928723819316524</c:v>
                </c:pt>
                <c:pt idx="2">
                  <c:v>62.91289701674858</c:v>
                </c:pt>
                <c:pt idx="3">
                  <c:v>91.396570916889829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581.74603174603169</c:v>
                </c:pt>
                <c:pt idx="1">
                  <c:v>507.83807936507935</c:v>
                </c:pt>
                <c:pt idx="2">
                  <c:v>433.90795238095234</c:v>
                </c:pt>
                <c:pt idx="3">
                  <c:v>360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19.683738779707081</c:v>
                </c:pt>
                <c:pt idx="2">
                  <c:v>26.962670150035105</c:v>
                </c:pt>
                <c:pt idx="3">
                  <c:v>39.169958964381351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260</c:v>
                </c:pt>
                <c:pt idx="1">
                  <c:v>160</c:v>
                </c:pt>
                <c:pt idx="2">
                  <c:v>235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91.922619860277464</c:v>
                </c:pt>
                <c:pt idx="3">
                  <c:v>156.6798358575254</c:v>
                </c:pt>
                <c:pt idx="4">
                  <c:v>241.44716679114498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581.74603174603169</c:v>
                </c:pt>
                <c:pt idx="1">
                  <c:v>579.64285714285711</c:v>
                </c:pt>
                <c:pt idx="2">
                  <c:v>575.07936507936506</c:v>
                </c:pt>
                <c:pt idx="3">
                  <c:v>569.60317460317458</c:v>
                </c:pt>
                <c:pt idx="4">
                  <c:v>562.77777777777783</c:v>
                </c:pt>
                <c:pt idx="5">
                  <c:v>554.1269841269841</c:v>
                </c:pt>
                <c:pt idx="6">
                  <c:v>543.41269841269843</c:v>
                </c:pt>
                <c:pt idx="7">
                  <c:v>530.15873015873012</c:v>
                </c:pt>
                <c:pt idx="8">
                  <c:v>513.3730158730159</c:v>
                </c:pt>
                <c:pt idx="9">
                  <c:v>496.98412698412704</c:v>
                </c:pt>
                <c:pt idx="10">
                  <c:v>477.34126984126988</c:v>
                </c:pt>
                <c:pt idx="11">
                  <c:v>424.84126984126976</c:v>
                </c:pt>
                <c:pt idx="12">
                  <c:v>253.76984126984127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1.3569999933242798</c:v>
                </c:pt>
                <c:pt idx="2">
                  <c:v>2.5069999694824219</c:v>
                </c:pt>
                <c:pt idx="3">
                  <c:v>3.5899999141693115</c:v>
                </c:pt>
                <c:pt idx="4">
                  <c:v>4.6710000038146973</c:v>
                </c:pt>
                <c:pt idx="5">
                  <c:v>5.8060002326965332</c:v>
                </c:pt>
                <c:pt idx="6">
                  <c:v>7.0430002212524414</c:v>
                </c:pt>
                <c:pt idx="7">
                  <c:v>8.4499998092651367</c:v>
                </c:pt>
                <c:pt idx="8">
                  <c:v>10.158999443054199</c:v>
                </c:pt>
                <c:pt idx="9">
                  <c:v>11.130999565124512</c:v>
                </c:pt>
                <c:pt idx="10">
                  <c:v>11.969999313354492</c:v>
                </c:pt>
                <c:pt idx="11">
                  <c:v>12.406999588012695</c:v>
                </c:pt>
                <c:pt idx="12">
                  <c:v>12.494999885559082</c:v>
                </c:pt>
                <c:pt idx="13">
                  <c:v>12.796999931335449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84896"/>
        <c:axId val="203986816"/>
      </c:scatterChart>
      <c:valAx>
        <c:axId val="203984896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986816"/>
        <c:crossesAt val="0.1"/>
        <c:crossBetween val="midCat"/>
        <c:majorUnit val="100"/>
      </c:valAx>
      <c:valAx>
        <c:axId val="20398681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984896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91.973037719726563</c:v>
                </c:pt>
                <c:pt idx="2">
                  <c:v>95.121780395507813</c:v>
                </c:pt>
                <c:pt idx="3">
                  <c:v>95.982902526855469</c:v>
                </c:pt>
                <c:pt idx="4">
                  <c:v>96.227989196777344</c:v>
                </c:pt>
                <c:pt idx="5">
                  <c:v>96.216423034667969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62.162109375</c:v>
                </c:pt>
                <c:pt idx="1">
                  <c:v>81.193588256835938</c:v>
                </c:pt>
                <c:pt idx="2">
                  <c:v>87.021469116210937</c:v>
                </c:pt>
                <c:pt idx="3">
                  <c:v>88.961593627929688</c:v>
                </c:pt>
                <c:pt idx="4">
                  <c:v>89.378593444824219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90.993924803531101</c:v>
                </c:pt>
                <c:pt idx="2">
                  <c:v>81.726545942478879</c:v>
                </c:pt>
                <c:pt idx="3">
                  <c:v>72.264396518319529</c:v>
                </c:pt>
                <c:pt idx="4">
                  <c:v>62.602687967027748</c:v>
                </c:pt>
                <c:pt idx="5">
                  <c:v>52.831628312523549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0.42227500000000001</c:v>
                </c:pt>
                <c:pt idx="1">
                  <c:v>10.137968541522405</c:v>
                </c:pt>
                <c:pt idx="2">
                  <c:v>19.604757477150933</c:v>
                </c:pt>
                <c:pt idx="3">
                  <c:v>29.143308071888274</c:v>
                </c:pt>
                <c:pt idx="4">
                  <c:v>38.758774570978275</c:v>
                </c:pt>
                <c:pt idx="5">
                  <c:v>48.454290846503113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80960"/>
        <c:axId val="20428288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67.704177790728281</c:v>
                </c:pt>
                <c:pt idx="1">
                  <c:v>94.162353515625</c:v>
                </c:pt>
                <c:pt idx="2">
                  <c:v>139.40933227539062</c:v>
                </c:pt>
                <c:pt idx="3">
                  <c:v>193.35906982421875</c:v>
                </c:pt>
                <c:pt idx="4">
                  <c:v>251.54727172851562</c:v>
                </c:pt>
                <c:pt idx="5">
                  <c:v>313.00469970703125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93248"/>
        <c:axId val="204294784"/>
      </c:scatterChart>
      <c:valAx>
        <c:axId val="20428096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82880"/>
        <c:crossesAt val="0"/>
        <c:crossBetween val="midCat"/>
        <c:majorUnit val="25"/>
        <c:minorUnit val="12.5"/>
      </c:valAx>
      <c:valAx>
        <c:axId val="20428288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80960"/>
        <c:crosses val="autoZero"/>
        <c:crossBetween val="midCat"/>
        <c:majorUnit val="10"/>
        <c:minorUnit val="5"/>
      </c:valAx>
      <c:valAx>
        <c:axId val="2042932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04294784"/>
        <c:crosses val="autoZero"/>
        <c:crossBetween val="midCat"/>
      </c:valAx>
      <c:valAx>
        <c:axId val="204294784"/>
        <c:scaling>
          <c:orientation val="minMax"/>
          <c:max val="4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93248"/>
        <c:crosses val="max"/>
        <c:crossBetween val="midCat"/>
        <c:majorUnit val="4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720090</xdr:colOff>
      <xdr:row>39</xdr:row>
      <xdr:rowOff>190500</xdr:rowOff>
    </xdr:from>
    <xdr:to>
      <xdr:col>4</xdr:col>
      <xdr:colOff>746863</xdr:colOff>
      <xdr:row>40</xdr:row>
      <xdr:rowOff>123825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53640" y="91725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219075</xdr:colOff>
      <xdr:row>39</xdr:row>
      <xdr:rowOff>180975</xdr:rowOff>
    </xdr:from>
    <xdr:to>
      <xdr:col>3</xdr:col>
      <xdr:colOff>823076</xdr:colOff>
      <xdr:row>43</xdr:row>
      <xdr:rowOff>28575</xdr:rowOff>
    </xdr:to>
    <xdr:grpSp>
      <xdr:nvGrpSpPr>
        <xdr:cNvPr id="97" name="Group 96"/>
        <xdr:cNvGrpSpPr/>
      </xdr:nvGrpSpPr>
      <xdr:grpSpPr>
        <a:xfrm>
          <a:off x="1028700" y="916305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720090</xdr:colOff>
      <xdr:row>33</xdr:row>
      <xdr:rowOff>152400</xdr:rowOff>
    </xdr:from>
    <xdr:to>
      <xdr:col>4</xdr:col>
      <xdr:colOff>746863</xdr:colOff>
      <xdr:row>34</xdr:row>
      <xdr:rowOff>85725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53640" y="77628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710565</xdr:colOff>
      <xdr:row>27</xdr:row>
      <xdr:rowOff>190500</xdr:rowOff>
    </xdr:from>
    <xdr:to>
      <xdr:col>4</xdr:col>
      <xdr:colOff>737338</xdr:colOff>
      <xdr:row>28</xdr:row>
      <xdr:rowOff>123825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44115" y="64293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0.62414</cdr:x>
      <cdr:y>0.60809</cdr:y>
    </cdr:from>
    <cdr:to>
      <cdr:x>0.85999</cdr:x>
      <cdr:y>0.62878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0209" y="39154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0.61274</cdr:x>
      <cdr:y>0.51869</cdr:y>
    </cdr:from>
    <cdr:to>
      <cdr:x>0.89556</cdr:x>
      <cdr:y>0.54382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83534" y="333980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16</xdr:row>
      <xdr:rowOff>85725</xdr:rowOff>
    </xdr:from>
    <xdr:to>
      <xdr:col>1</xdr:col>
      <xdr:colOff>47625</xdr:colOff>
      <xdr:row>17</xdr:row>
      <xdr:rowOff>28575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38175" y="398145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628650</xdr:colOff>
      <xdr:row>18</xdr:row>
      <xdr:rowOff>28575</xdr:rowOff>
    </xdr:from>
    <xdr:to>
      <xdr:col>1</xdr:col>
      <xdr:colOff>38100</xdr:colOff>
      <xdr:row>18</xdr:row>
      <xdr:rowOff>209550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28650" y="440055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619125</xdr:colOff>
      <xdr:row>19</xdr:row>
      <xdr:rowOff>200025</xdr:rowOff>
    </xdr:from>
    <xdr:to>
      <xdr:col>1</xdr:col>
      <xdr:colOff>28575</xdr:colOff>
      <xdr:row>20</xdr:row>
      <xdr:rowOff>142875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19125" y="4810125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619125</xdr:colOff>
      <xdr:row>21</xdr:row>
      <xdr:rowOff>133350</xdr:rowOff>
    </xdr:from>
    <xdr:to>
      <xdr:col>1</xdr:col>
      <xdr:colOff>28575</xdr:colOff>
      <xdr:row>22</xdr:row>
      <xdr:rowOff>76200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19125" y="521970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628650</xdr:colOff>
      <xdr:row>23</xdr:row>
      <xdr:rowOff>66675</xdr:rowOff>
    </xdr:from>
    <xdr:to>
      <xdr:col>1</xdr:col>
      <xdr:colOff>38100</xdr:colOff>
      <xdr:row>24</xdr:row>
      <xdr:rowOff>9525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28650" y="5629275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628650</xdr:colOff>
      <xdr:row>25</xdr:row>
      <xdr:rowOff>0</xdr:rowOff>
    </xdr:from>
    <xdr:to>
      <xdr:col>1</xdr:col>
      <xdr:colOff>38100</xdr:colOff>
      <xdr:row>25</xdr:row>
      <xdr:rowOff>180975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28650" y="603885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619125</xdr:colOff>
      <xdr:row>26</xdr:row>
      <xdr:rowOff>171450</xdr:rowOff>
    </xdr:from>
    <xdr:to>
      <xdr:col>1</xdr:col>
      <xdr:colOff>28575</xdr:colOff>
      <xdr:row>27</xdr:row>
      <xdr:rowOff>114300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19125" y="6448425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609600</xdr:colOff>
      <xdr:row>28</xdr:row>
      <xdr:rowOff>104775</xdr:rowOff>
    </xdr:from>
    <xdr:to>
      <xdr:col>1</xdr:col>
      <xdr:colOff>19050</xdr:colOff>
      <xdr:row>29</xdr:row>
      <xdr:rowOff>47625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9600" y="685800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609600</xdr:colOff>
      <xdr:row>30</xdr:row>
      <xdr:rowOff>47625</xdr:rowOff>
    </xdr:from>
    <xdr:to>
      <xdr:col>1</xdr:col>
      <xdr:colOff>19050</xdr:colOff>
      <xdr:row>30</xdr:row>
      <xdr:rowOff>228600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9600" y="727710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609600</xdr:colOff>
      <xdr:row>31</xdr:row>
      <xdr:rowOff>219075</xdr:rowOff>
    </xdr:from>
    <xdr:to>
      <xdr:col>1</xdr:col>
      <xdr:colOff>19050</xdr:colOff>
      <xdr:row>32</xdr:row>
      <xdr:rowOff>161925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9600" y="7686675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619125</xdr:colOff>
      <xdr:row>33</xdr:row>
      <xdr:rowOff>152400</xdr:rowOff>
    </xdr:from>
    <xdr:to>
      <xdr:col>1</xdr:col>
      <xdr:colOff>28575</xdr:colOff>
      <xdr:row>34</xdr:row>
      <xdr:rowOff>95250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19125" y="8096250"/>
          <a:ext cx="52387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333375</xdr:colOff>
      <xdr:row>16</xdr:row>
      <xdr:rowOff>85725</xdr:rowOff>
    </xdr:from>
    <xdr:to>
      <xdr:col>5</xdr:col>
      <xdr:colOff>809625</xdr:colOff>
      <xdr:row>17</xdr:row>
      <xdr:rowOff>66675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05500" y="3981450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359507</xdr:colOff>
      <xdr:row>25</xdr:row>
      <xdr:rowOff>0</xdr:rowOff>
    </xdr:from>
    <xdr:to>
      <xdr:col>5</xdr:col>
      <xdr:colOff>896815</xdr:colOff>
      <xdr:row>25</xdr:row>
      <xdr:rowOff>230029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31632" y="6038850"/>
          <a:ext cx="537308" cy="2300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352425</xdr:colOff>
      <xdr:row>26</xdr:row>
      <xdr:rowOff>180975</xdr:rowOff>
    </xdr:from>
    <xdr:to>
      <xdr:col>5</xdr:col>
      <xdr:colOff>828675</xdr:colOff>
      <xdr:row>27</xdr:row>
      <xdr:rowOff>161925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24550" y="6457950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361950</xdr:colOff>
      <xdr:row>28</xdr:row>
      <xdr:rowOff>114300</xdr:rowOff>
    </xdr:from>
    <xdr:to>
      <xdr:col>5</xdr:col>
      <xdr:colOff>838200</xdr:colOff>
      <xdr:row>29</xdr:row>
      <xdr:rowOff>95250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34075" y="686752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352425</xdr:colOff>
      <xdr:row>30</xdr:row>
      <xdr:rowOff>38100</xdr:rowOff>
    </xdr:from>
    <xdr:to>
      <xdr:col>5</xdr:col>
      <xdr:colOff>828675</xdr:colOff>
      <xdr:row>31</xdr:row>
      <xdr:rowOff>19050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24550" y="726757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352425</xdr:colOff>
      <xdr:row>31</xdr:row>
      <xdr:rowOff>219075</xdr:rowOff>
    </xdr:from>
    <xdr:to>
      <xdr:col>5</xdr:col>
      <xdr:colOff>828675</xdr:colOff>
      <xdr:row>32</xdr:row>
      <xdr:rowOff>200025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24550" y="768667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742950</xdr:colOff>
      <xdr:row>23</xdr:row>
      <xdr:rowOff>28575</xdr:rowOff>
    </xdr:from>
    <xdr:to>
      <xdr:col>5</xdr:col>
      <xdr:colOff>962025</xdr:colOff>
      <xdr:row>28</xdr:row>
      <xdr:rowOff>161925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15075" y="55911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352425</xdr:colOff>
      <xdr:row>23</xdr:row>
      <xdr:rowOff>66675</xdr:rowOff>
    </xdr:from>
    <xdr:to>
      <xdr:col>5</xdr:col>
      <xdr:colOff>828675</xdr:colOff>
      <xdr:row>24</xdr:row>
      <xdr:rowOff>47625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24550" y="562927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352425</xdr:colOff>
      <xdr:row>21</xdr:row>
      <xdr:rowOff>133350</xdr:rowOff>
    </xdr:from>
    <xdr:to>
      <xdr:col>5</xdr:col>
      <xdr:colOff>828675</xdr:colOff>
      <xdr:row>22</xdr:row>
      <xdr:rowOff>114300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24550" y="5219700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342900</xdr:colOff>
      <xdr:row>19</xdr:row>
      <xdr:rowOff>200025</xdr:rowOff>
    </xdr:from>
    <xdr:to>
      <xdr:col>5</xdr:col>
      <xdr:colOff>819150</xdr:colOff>
      <xdr:row>20</xdr:row>
      <xdr:rowOff>180975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15025" y="4810125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342900</xdr:colOff>
      <xdr:row>18</xdr:row>
      <xdr:rowOff>28575</xdr:rowOff>
    </xdr:from>
    <xdr:to>
      <xdr:col>5</xdr:col>
      <xdr:colOff>819150</xdr:colOff>
      <xdr:row>19</xdr:row>
      <xdr:rowOff>9525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15025" y="4400550"/>
          <a:ext cx="476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16</xdr:row>
      <xdr:rowOff>219075</xdr:rowOff>
    </xdr:from>
    <xdr:to>
      <xdr:col>3</xdr:col>
      <xdr:colOff>85725</xdr:colOff>
      <xdr:row>17</xdr:row>
      <xdr:rowOff>123825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4</xdr:col>
      <xdr:colOff>219075</xdr:colOff>
      <xdr:row>18</xdr:row>
      <xdr:rowOff>190500</xdr:rowOff>
    </xdr:from>
    <xdr:to>
      <xdr:col>4</xdr:col>
      <xdr:colOff>552450</xdr:colOff>
      <xdr:row>19</xdr:row>
      <xdr:rowOff>123825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676775" y="456247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904875</xdr:colOff>
      <xdr:row>30</xdr:row>
      <xdr:rowOff>200025</xdr:rowOff>
    </xdr:from>
    <xdr:to>
      <xdr:col>3</xdr:col>
      <xdr:colOff>295275</xdr:colOff>
      <xdr:row>31</xdr:row>
      <xdr:rowOff>114300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33725" y="74295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341923</xdr:colOff>
      <xdr:row>33</xdr:row>
      <xdr:rowOff>142875</xdr:rowOff>
    </xdr:from>
    <xdr:to>
      <xdr:col>5</xdr:col>
      <xdr:colOff>842596</xdr:colOff>
      <xdr:row>34</xdr:row>
      <xdr:rowOff>134779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14048" y="8086725"/>
          <a:ext cx="500673" cy="23002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31" zoomScale="95" zoomScaleNormal="95" workbookViewId="0">
      <selection activeCell="M28" sqref="M28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0.65479166666666666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2000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642.32296357332302</v>
      </c>
    </row>
    <row r="10" spans="1:10" ht="15" customHeight="1">
      <c r="A10" s="7" t="s">
        <v>27</v>
      </c>
      <c r="B10" s="71">
        <v>984</v>
      </c>
      <c r="C10" s="75">
        <v>984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53532.880730056779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18</v>
      </c>
      <c r="F13" s="126"/>
      <c r="G13" s="118" t="s">
        <v>191</v>
      </c>
      <c r="H13" s="11" t="s">
        <v>40</v>
      </c>
      <c r="I13" s="70">
        <v>1.0284131572919286</v>
      </c>
      <c r="J13" s="106">
        <v>247.17730712890625</v>
      </c>
    </row>
    <row r="14" spans="1:10" ht="15" customHeight="1" thickBot="1">
      <c r="A14" s="136" t="s">
        <v>41</v>
      </c>
      <c r="B14" s="137">
        <v>736.55999755859375</v>
      </c>
      <c r="C14" s="138">
        <v>736.55999755859375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32.075954861111114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3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601.58138558093594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1519</v>
      </c>
      <c r="F18" s="72">
        <v>1115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144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6.1204382898000217E-2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8.1645925319729168E-2</v>
      </c>
      <c r="F21" s="69">
        <v>5.7568803429603577E-2</v>
      </c>
      <c r="G21" s="73">
        <v>7.8262399665033448E-3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4.4527873992919922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5.8003114490796319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2.6673044385134843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0.1470409631729126</v>
      </c>
      <c r="J25" s="74">
        <v>0.2920667827129364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363.18607396810523</v>
      </c>
      <c r="F26" s="71">
        <v>247.96166757602691</v>
      </c>
      <c r="G26" s="75">
        <v>43.799240591961784</v>
      </c>
      <c r="H26" s="11" t="s">
        <v>80</v>
      </c>
      <c r="I26" s="70">
        <v>1.8054772615432739</v>
      </c>
      <c r="J26" s="74">
        <v>1.4716631174087524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1.8114548921585083</v>
      </c>
      <c r="J27" s="83">
        <v>1.500365138053894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928.06559692382814</v>
      </c>
      <c r="G30" s="71">
        <v>14.02819803911933</v>
      </c>
      <c r="H30" s="76">
        <v>287.08138658176034</v>
      </c>
      <c r="I30" s="72">
        <v>109626.62010886135</v>
      </c>
      <c r="J30" s="76">
        <v>6730.1233099076617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1012.2769411149155</v>
      </c>
      <c r="G31" s="71">
        <v>12.861191891422335</v>
      </c>
      <c r="H31" s="76">
        <v>56.769513299784158</v>
      </c>
      <c r="I31" s="72">
        <v>37656.702209474861</v>
      </c>
      <c r="J31" s="76">
        <v>2008.3610726956595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12.76794540327414</v>
      </c>
      <c r="F32" s="71">
        <v>1382.5231280613709</v>
      </c>
      <c r="G32" s="71">
        <v>9.4169042981558206</v>
      </c>
      <c r="H32" s="76">
        <v>44.324677411323584</v>
      </c>
      <c r="I32" s="10" t="s">
        <v>100</v>
      </c>
      <c r="J32" s="76">
        <v>8738.4843826033211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3.6549999237060549</v>
      </c>
      <c r="F33" s="71">
        <v>1023.2406340374071</v>
      </c>
      <c r="G33" s="71">
        <v>12.723388374024454</v>
      </c>
      <c r="H33" s="76">
        <v>31.918256287407502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13.019087986940955</v>
      </c>
      <c r="D34" s="12" t="s">
        <v>20</v>
      </c>
      <c r="E34" s="81">
        <v>0.20999999046325685</v>
      </c>
      <c r="F34" s="82">
        <v>1892.5338100889135</v>
      </c>
      <c r="G34" s="82">
        <v>6.8791838315053955</v>
      </c>
      <c r="H34" s="85">
        <v>1149.5998356016569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19623.515625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3.5660883820005838</v>
      </c>
      <c r="C42" s="70">
        <v>3.5660883820005838</v>
      </c>
      <c r="D42" s="70">
        <v>3.5660883820005838</v>
      </c>
      <c r="E42" s="70">
        <v>3.5660883820005838</v>
      </c>
      <c r="F42" s="74">
        <v>3.5484428147046594</v>
      </c>
      <c r="G42" s="37" t="s">
        <v>124</v>
      </c>
      <c r="H42" s="93" t="s">
        <v>247</v>
      </c>
      <c r="I42" s="57"/>
      <c r="J42" s="99">
        <v>0.19466960352150253</v>
      </c>
    </row>
    <row r="43" spans="1:10" ht="15" customHeight="1" thickBot="1">
      <c r="A43" s="18" t="s">
        <v>125</v>
      </c>
      <c r="B43" s="81">
        <v>3.5660883820005838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4018.1152734312727</v>
      </c>
      <c r="I44" s="92">
        <v>3.6183386679974984E-2</v>
      </c>
      <c r="J44" s="99">
        <v>0.6324358639406894</v>
      </c>
    </row>
    <row r="45" spans="1:10" ht="15" customHeight="1">
      <c r="A45" s="7" t="s">
        <v>129</v>
      </c>
      <c r="B45" s="70">
        <v>0.29801502823829651</v>
      </c>
      <c r="C45" s="5" t="s">
        <v>130</v>
      </c>
      <c r="D45" s="74">
        <v>8.6900461465120316E-3</v>
      </c>
      <c r="E45" s="7" t="s">
        <v>131</v>
      </c>
      <c r="F45" s="76">
        <v>1478.3791094677108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0.17438474297523499</v>
      </c>
      <c r="C46" s="5" t="s">
        <v>133</v>
      </c>
      <c r="D46" s="74">
        <v>6.3162785954773426E-3</v>
      </c>
      <c r="E46" s="7" t="s">
        <v>134</v>
      </c>
      <c r="F46" s="76">
        <v>2649.0278255401781</v>
      </c>
      <c r="G46" s="38" t="s">
        <v>135</v>
      </c>
      <c r="H46" s="96">
        <v>883.82639058908683</v>
      </c>
      <c r="I46" s="59"/>
      <c r="J46" s="60"/>
    </row>
    <row r="47" spans="1:10" ht="15" customHeight="1">
      <c r="A47" s="7" t="s">
        <v>136</v>
      </c>
      <c r="B47" s="70">
        <v>0.47239977121353149</v>
      </c>
      <c r="C47" s="5" t="s">
        <v>137</v>
      </c>
      <c r="D47" s="74">
        <v>6.7801610566675663E-3</v>
      </c>
      <c r="E47" s="7" t="s">
        <v>138</v>
      </c>
      <c r="F47" s="76">
        <v>2170.2536436891783</v>
      </c>
      <c r="G47" s="66" t="s">
        <v>139</v>
      </c>
      <c r="H47" s="95">
        <v>3875.4700344023568</v>
      </c>
      <c r="I47" s="92">
        <v>3.4842978065331327E-2</v>
      </c>
      <c r="J47" s="97">
        <v>0.64516238239003731</v>
      </c>
    </row>
    <row r="48" spans="1:10" ht="15" customHeight="1">
      <c r="A48" s="7" t="s">
        <v>140</v>
      </c>
      <c r="B48" s="70">
        <v>1.0669877752661705E-2</v>
      </c>
      <c r="C48" s="5" t="s">
        <v>100</v>
      </c>
      <c r="D48" s="74">
        <v>3.245636448264122E-2</v>
      </c>
      <c r="E48" s="7" t="s">
        <v>141</v>
      </c>
      <c r="F48" s="76">
        <v>655.86811087524859</v>
      </c>
      <c r="G48" s="67" t="s">
        <v>122</v>
      </c>
      <c r="H48" s="88">
        <v>259.75000230578797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0.96754366159439087</v>
      </c>
      <c r="E49" s="18" t="s">
        <v>143</v>
      </c>
      <c r="F49" s="85">
        <v>1420.2432068309299</v>
      </c>
      <c r="G49" s="68" t="s">
        <v>135</v>
      </c>
      <c r="H49" s="96">
        <v>867.00579737235932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8.8871104223496561E-2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249081.33904943118</v>
      </c>
      <c r="I52" s="100" t="s">
        <v>229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282.00687190508563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526066.19999999995</v>
      </c>
      <c r="I54" s="101" t="s">
        <v>230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231</v>
      </c>
      <c r="J56" s="63" t="s">
        <v>195</v>
      </c>
    </row>
    <row r="57" spans="1:10" ht="15" customHeight="1">
      <c r="A57" s="24" t="s">
        <v>369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370</v>
      </c>
      <c r="D58" s="4" t="s">
        <v>119</v>
      </c>
      <c r="E58" s="4" t="s">
        <v>165</v>
      </c>
      <c r="F58" s="17" t="s">
        <v>371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0.26399999856948853</v>
      </c>
      <c r="D59" s="130">
        <v>0.68736839294433594</v>
      </c>
      <c r="E59" s="88">
        <v>85.910311514935401</v>
      </c>
      <c r="F59" s="89">
        <v>566.59259033203125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110.38020377052021</v>
      </c>
      <c r="C60" s="89">
        <v>122.43235015869141</v>
      </c>
      <c r="D60" s="130">
        <v>0.79157894849777222</v>
      </c>
      <c r="E60" s="88">
        <v>85.427476664312621</v>
      </c>
      <c r="F60" s="89">
        <v>572.5833740234375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235</v>
      </c>
      <c r="C61" s="89">
        <v>385.08514404296875</v>
      </c>
      <c r="D61" s="130">
        <v>0.89578944444656372</v>
      </c>
      <c r="E61" s="88">
        <v>85.150651426667366</v>
      </c>
      <c r="F61" s="89">
        <v>577.552490234375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141.58052153428309</v>
      </c>
      <c r="C62" s="89">
        <v>464.6361083984375</v>
      </c>
      <c r="D62" s="131">
        <v>1</v>
      </c>
      <c r="E62" s="88">
        <v>85</v>
      </c>
      <c r="F62" s="89">
        <v>581.74603271484375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113.88151300010574</v>
      </c>
      <c r="C63" s="89">
        <v>490.06109619140625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101.38253506716967</v>
      </c>
      <c r="C64" s="89">
        <v>503.89190673828125</v>
      </c>
      <c r="D64" s="394" t="s">
        <v>431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93.66315701624066</v>
      </c>
      <c r="C65" s="89">
        <v>522.8492431640625</v>
      </c>
      <c r="D65" s="396" t="s">
        <v>415</v>
      </c>
      <c r="E65" s="398" t="s">
        <v>429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90.092526160642706</v>
      </c>
      <c r="C66" s="89">
        <v>537.47369384765625</v>
      </c>
      <c r="D66" s="396" t="s">
        <v>412</v>
      </c>
      <c r="E66" s="398" t="s">
        <v>430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88.003085997618172</v>
      </c>
      <c r="C67" s="89">
        <v>549.3150634765625</v>
      </c>
      <c r="D67" s="396" t="s">
        <v>419</v>
      </c>
      <c r="E67" s="398" t="s">
        <v>432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86.710751890326534</v>
      </c>
      <c r="C68" s="91">
        <v>558.96124267578125</v>
      </c>
      <c r="D68" s="397" t="s">
        <v>420</v>
      </c>
      <c r="E68" s="400" t="s">
        <v>433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428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A14" sqref="A14:C14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252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363</v>
      </c>
      <c r="C3" s="157"/>
      <c r="D3" s="157"/>
      <c r="E3" s="157"/>
      <c r="F3" s="158"/>
      <c r="G3" s="157"/>
      <c r="H3" s="157"/>
      <c r="I3" s="155" t="s">
        <v>253</v>
      </c>
      <c r="J3" s="632" t="s">
        <v>736</v>
      </c>
      <c r="K3" s="632"/>
    </row>
    <row r="4" spans="1:26" s="167" customFormat="1" ht="18.399999999999999" customHeight="1" thickBot="1">
      <c r="A4" s="159" t="s">
        <v>755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256</v>
      </c>
      <c r="B5" s="634"/>
      <c r="C5" s="634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265</v>
      </c>
      <c r="E6" s="638"/>
      <c r="F6" s="592" t="s">
        <v>263</v>
      </c>
      <c r="G6" s="593"/>
      <c r="H6" s="593"/>
      <c r="I6" s="593"/>
      <c r="J6" s="593"/>
      <c r="K6" s="594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266</v>
      </c>
      <c r="G7" s="179"/>
      <c r="H7" s="180"/>
      <c r="I7" s="181"/>
      <c r="J7" s="182">
        <v>59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268</v>
      </c>
      <c r="B8" s="627"/>
      <c r="C8" s="627"/>
      <c r="D8" s="582">
        <v>984</v>
      </c>
      <c r="E8" s="583"/>
      <c r="F8" s="184" t="s">
        <v>269</v>
      </c>
      <c r="G8" s="185"/>
      <c r="H8" s="186"/>
      <c r="I8" s="187"/>
      <c r="J8" s="188">
        <v>16891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272</v>
      </c>
      <c r="B9" s="622"/>
      <c r="C9" s="623"/>
      <c r="D9" s="582">
        <v>9</v>
      </c>
      <c r="E9" s="583"/>
      <c r="F9" s="178" t="s">
        <v>273</v>
      </c>
      <c r="G9" s="179"/>
      <c r="H9" s="190">
        <v>3</v>
      </c>
      <c r="I9" s="191" t="s">
        <v>274</v>
      </c>
      <c r="J9" s="192">
        <v>392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277</v>
      </c>
      <c r="B10" s="622"/>
      <c r="C10" s="623"/>
      <c r="D10" s="605" t="s">
        <v>185</v>
      </c>
      <c r="E10" s="606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281</v>
      </c>
      <c r="B11" s="622"/>
      <c r="C11" s="623"/>
      <c r="D11" s="600" t="s">
        <v>174</v>
      </c>
      <c r="E11" s="601"/>
      <c r="F11" s="195" t="s">
        <v>282</v>
      </c>
      <c r="G11" s="196"/>
      <c r="H11" s="197">
        <v>3</v>
      </c>
      <c r="I11" s="191" t="s">
        <v>274</v>
      </c>
      <c r="J11" s="198">
        <v>121182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624" t="s">
        <v>174</v>
      </c>
      <c r="E12" s="625"/>
      <c r="F12" s="602" t="s">
        <v>285</v>
      </c>
      <c r="G12" s="603"/>
      <c r="H12" s="603"/>
      <c r="I12" s="603"/>
      <c r="J12" s="603"/>
      <c r="K12" s="604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586" t="s">
        <v>365</v>
      </c>
      <c r="E13" s="587"/>
      <c r="F13" s="203"/>
      <c r="G13" s="204" t="s">
        <v>286</v>
      </c>
      <c r="H13" s="205"/>
      <c r="I13" s="206" t="s">
        <v>287</v>
      </c>
      <c r="J13" s="207" t="s">
        <v>737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1519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8" t="s">
        <v>288</v>
      </c>
      <c r="B15" s="619"/>
      <c r="C15" s="620"/>
      <c r="D15" s="598">
        <v>13.964799880981445</v>
      </c>
      <c r="E15" s="599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95" t="s">
        <v>290</v>
      </c>
      <c r="B16" s="596"/>
      <c r="C16" s="597"/>
      <c r="D16" s="598">
        <v>3.5543997287750244</v>
      </c>
      <c r="E16" s="59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600" t="s">
        <v>364</v>
      </c>
      <c r="E17" s="601"/>
      <c r="F17" s="602" t="s">
        <v>292</v>
      </c>
      <c r="G17" s="603"/>
      <c r="H17" s="603"/>
      <c r="I17" s="603"/>
      <c r="J17" s="603"/>
      <c r="K17" s="604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605" t="s">
        <v>174</v>
      </c>
      <c r="E18" s="606"/>
      <c r="F18" s="607"/>
      <c r="G18" s="608"/>
      <c r="H18" s="219" t="s">
        <v>294</v>
      </c>
      <c r="I18" s="220"/>
      <c r="J18" s="188">
        <v>252</v>
      </c>
      <c r="K18" s="189"/>
      <c r="L18" s="163"/>
      <c r="M18" s="163">
        <f>J18*6.5</f>
        <v>1638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13" t="s">
        <v>295</v>
      </c>
      <c r="B19" s="614"/>
      <c r="C19" s="615"/>
      <c r="D19" s="616" t="s">
        <v>174</v>
      </c>
      <c r="E19" s="601"/>
      <c r="F19" s="609"/>
      <c r="G19" s="610"/>
      <c r="H19" s="219" t="s">
        <v>5</v>
      </c>
      <c r="I19" s="181"/>
      <c r="J19" s="188">
        <v>1193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617" t="s">
        <v>184</v>
      </c>
      <c r="E20" s="583"/>
      <c r="F20" s="609"/>
      <c r="G20" s="610"/>
      <c r="H20" s="219" t="s">
        <v>297</v>
      </c>
      <c r="I20" s="181"/>
      <c r="J20" s="192" t="s">
        <v>346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8" t="s">
        <v>298</v>
      </c>
      <c r="B21" s="619"/>
      <c r="C21" s="620"/>
      <c r="D21" s="582" t="s">
        <v>174</v>
      </c>
      <c r="E21" s="583"/>
      <c r="F21" s="609"/>
      <c r="G21" s="610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584">
        <v>6.275E-2</v>
      </c>
      <c r="E22" s="585"/>
      <c r="F22" s="609"/>
      <c r="G22" s="610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586">
        <v>825</v>
      </c>
      <c r="E23" s="587"/>
      <c r="F23" s="609"/>
      <c r="G23" s="610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588" t="s">
        <v>174</v>
      </c>
      <c r="E24" s="589"/>
      <c r="F24" s="609"/>
      <c r="G24" s="610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609"/>
      <c r="G25" s="610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367</v>
      </c>
      <c r="E26" s="246" t="s">
        <v>368</v>
      </c>
      <c r="F26" s="611"/>
      <c r="G26" s="612"/>
      <c r="H26" s="590"/>
      <c r="I26" s="591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74" t="s">
        <v>315</v>
      </c>
      <c r="B27" s="575"/>
      <c r="C27" s="575"/>
      <c r="D27" s="575"/>
      <c r="E27" s="575"/>
      <c r="F27" s="592" t="s">
        <v>316</v>
      </c>
      <c r="G27" s="593"/>
      <c r="H27" s="593"/>
      <c r="I27" s="593"/>
      <c r="J27" s="593"/>
      <c r="K27" s="594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68"/>
      <c r="B28" s="569"/>
      <c r="C28" s="569"/>
      <c r="D28" s="569"/>
      <c r="E28" s="570"/>
      <c r="F28" s="249"/>
      <c r="G28" s="250"/>
      <c r="H28" s="209" t="s">
        <v>317</v>
      </c>
      <c r="I28" s="251" t="s">
        <v>366</v>
      </c>
      <c r="J28" s="188">
        <v>1466</v>
      </c>
      <c r="K28" s="252" t="s">
        <v>174</v>
      </c>
      <c r="M28" s="167">
        <f>(J28/J18)*100</f>
        <v>581.74603174603169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68"/>
      <c r="B29" s="569"/>
      <c r="C29" s="569"/>
      <c r="D29" s="569"/>
      <c r="E29" s="570"/>
      <c r="F29" s="254"/>
      <c r="G29" s="255"/>
      <c r="H29" s="209" t="s">
        <v>318</v>
      </c>
      <c r="I29" s="256">
        <v>60</v>
      </c>
      <c r="J29" s="188">
        <v>85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68"/>
      <c r="B30" s="569"/>
      <c r="C30" s="569"/>
      <c r="D30" s="569"/>
      <c r="E30" s="570"/>
      <c r="F30" s="254"/>
      <c r="G30" s="255"/>
      <c r="H30" s="209" t="s">
        <v>319</v>
      </c>
      <c r="I30" s="256">
        <v>175</v>
      </c>
      <c r="J30" s="188">
        <v>236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68"/>
      <c r="B31" s="569"/>
      <c r="C31" s="569"/>
      <c r="D31" s="569"/>
      <c r="E31" s="570"/>
      <c r="F31" s="254"/>
      <c r="G31" s="255"/>
      <c r="H31" s="209" t="s">
        <v>320</v>
      </c>
      <c r="I31" s="210"/>
      <c r="J31" s="259">
        <v>0.62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1"/>
      <c r="B32" s="572"/>
      <c r="C32" s="572"/>
      <c r="D32" s="572"/>
      <c r="E32" s="573"/>
      <c r="F32" s="254"/>
      <c r="G32" s="260" t="s">
        <v>321</v>
      </c>
      <c r="H32" s="209" t="s">
        <v>322</v>
      </c>
      <c r="I32" s="261"/>
      <c r="J32" s="182">
        <v>96.2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74" t="s">
        <v>323</v>
      </c>
      <c r="B33" s="575"/>
      <c r="C33" s="575"/>
      <c r="D33" s="575"/>
      <c r="E33" s="576"/>
      <c r="F33" s="263"/>
      <c r="G33" s="264"/>
      <c r="H33" s="265" t="s">
        <v>324</v>
      </c>
      <c r="I33" s="266"/>
      <c r="J33" s="267">
        <v>89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68"/>
      <c r="B34" s="569"/>
      <c r="C34" s="569"/>
      <c r="D34" s="569"/>
      <c r="E34" s="570"/>
      <c r="F34" s="184" t="s">
        <v>325</v>
      </c>
      <c r="G34" s="269"/>
      <c r="H34" s="270" t="s">
        <v>14</v>
      </c>
      <c r="I34" s="271"/>
      <c r="J34" s="272">
        <v>13553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68"/>
      <c r="B35" s="569"/>
      <c r="C35" s="569"/>
      <c r="D35" s="569"/>
      <c r="E35" s="570"/>
      <c r="F35" s="203"/>
      <c r="G35" s="276"/>
      <c r="H35" s="277" t="s">
        <v>15</v>
      </c>
      <c r="I35" s="278"/>
      <c r="J35" s="188">
        <v>9609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68"/>
      <c r="B36" s="569"/>
      <c r="C36" s="569"/>
      <c r="D36" s="569"/>
      <c r="E36" s="570"/>
      <c r="F36" s="203"/>
      <c r="G36" s="276"/>
      <c r="H36" s="277" t="s">
        <v>326</v>
      </c>
      <c r="I36" s="278"/>
      <c r="J36" s="188">
        <v>6893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68"/>
      <c r="B37" s="569"/>
      <c r="C37" s="569"/>
      <c r="D37" s="569"/>
      <c r="E37" s="570"/>
      <c r="F37" s="254"/>
      <c r="G37" s="276"/>
      <c r="H37" s="277" t="s">
        <v>327</v>
      </c>
      <c r="I37" s="278"/>
      <c r="J37" s="188">
        <v>9343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1"/>
      <c r="B38" s="572"/>
      <c r="C38" s="572"/>
      <c r="D38" s="572"/>
      <c r="E38" s="573"/>
      <c r="F38" s="211"/>
      <c r="G38" s="280"/>
      <c r="H38" s="281" t="s">
        <v>328</v>
      </c>
      <c r="I38" s="282"/>
      <c r="J38" s="283">
        <v>19624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74" t="s">
        <v>329</v>
      </c>
      <c r="B39" s="575"/>
      <c r="C39" s="575"/>
      <c r="D39" s="575"/>
      <c r="E39" s="575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68"/>
      <c r="B40" s="569"/>
      <c r="C40" s="569"/>
      <c r="D40" s="569"/>
      <c r="E40" s="570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68"/>
      <c r="B41" s="569"/>
      <c r="C41" s="569"/>
      <c r="D41" s="569"/>
      <c r="E41" s="570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68"/>
      <c r="B42" s="569"/>
      <c r="C42" s="569"/>
      <c r="D42" s="569"/>
      <c r="E42" s="570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68"/>
      <c r="B43" s="569"/>
      <c r="C43" s="569"/>
      <c r="D43" s="569"/>
      <c r="E43" s="570"/>
      <c r="F43" s="288"/>
      <c r="G43" s="548" t="s">
        <v>749</v>
      </c>
      <c r="H43" s="548"/>
      <c r="I43" s="548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77"/>
      <c r="B44" s="578"/>
      <c r="C44" s="578"/>
      <c r="D44" s="578"/>
      <c r="E44" s="579"/>
      <c r="F44" s="288"/>
      <c r="G44" s="548" t="s">
        <v>751</v>
      </c>
      <c r="H44" s="548"/>
      <c r="I44" s="548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580"/>
      <c r="C45" s="581"/>
      <c r="D45" s="295" t="s">
        <v>332</v>
      </c>
      <c r="E45" s="296" t="s">
        <v>333</v>
      </c>
      <c r="F45" s="297"/>
      <c r="G45" s="548"/>
      <c r="H45" s="548"/>
      <c r="I45" s="548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566"/>
      <c r="C46" s="567"/>
      <c r="D46" s="299" t="s">
        <v>334</v>
      </c>
      <c r="E46" s="300">
        <v>41992</v>
      </c>
      <c r="F46" s="301"/>
      <c r="G46" s="549" t="s">
        <v>750</v>
      </c>
      <c r="H46" s="549"/>
      <c r="I46" s="549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5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55" t="s">
        <v>338</v>
      </c>
      <c r="C2" s="656"/>
      <c r="D2" s="656"/>
      <c r="E2" s="656"/>
      <c r="F2" s="656"/>
      <c r="G2" s="656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55"/>
      <c r="C3" s="656"/>
      <c r="D3" s="656"/>
      <c r="E3" s="656"/>
      <c r="F3" s="656"/>
      <c r="G3" s="656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55"/>
      <c r="C4" s="656"/>
      <c r="D4" s="656"/>
      <c r="E4" s="656"/>
      <c r="F4" s="656"/>
      <c r="G4" s="656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57" t="s">
        <v>360</v>
      </c>
      <c r="C53" s="657"/>
      <c r="D53" s="657"/>
      <c r="E53" s="657"/>
      <c r="F53" s="657"/>
      <c r="G53" s="657"/>
      <c r="H53" s="657"/>
      <c r="I53" s="657"/>
      <c r="J53" s="657"/>
      <c r="K53" s="657"/>
      <c r="L53" s="657"/>
      <c r="M53" s="657"/>
      <c r="N53" s="657"/>
    </row>
    <row r="54" spans="2:14" ht="15" customHeight="1" thickBot="1">
      <c r="B54" s="336" t="s">
        <v>361</v>
      </c>
      <c r="C54" s="658" t="s">
        <v>358</v>
      </c>
      <c r="D54" s="659"/>
      <c r="E54" s="659"/>
      <c r="F54" s="659"/>
      <c r="G54" s="659"/>
      <c r="H54" s="337"/>
      <c r="I54" s="658" t="s">
        <v>353</v>
      </c>
      <c r="J54" s="659"/>
      <c r="K54" s="660"/>
      <c r="L54" s="658" t="s">
        <v>362</v>
      </c>
      <c r="M54" s="659"/>
      <c r="N54" s="661"/>
    </row>
    <row r="55" spans="2:14" ht="15" customHeight="1">
      <c r="B55" s="338"/>
      <c r="C55" s="662"/>
      <c r="D55" s="663"/>
      <c r="E55" s="663"/>
      <c r="F55" s="663"/>
      <c r="G55" s="663"/>
      <c r="H55" s="339"/>
      <c r="I55" s="664"/>
      <c r="J55" s="665"/>
      <c r="K55" s="666"/>
      <c r="L55" s="667"/>
      <c r="M55" s="668"/>
      <c r="N55" s="669"/>
    </row>
    <row r="56" spans="2:14" ht="15" customHeight="1">
      <c r="B56" s="340"/>
      <c r="C56" s="639"/>
      <c r="D56" s="640"/>
      <c r="E56" s="640"/>
      <c r="F56" s="640"/>
      <c r="G56" s="640"/>
      <c r="H56" s="341"/>
      <c r="I56" s="641"/>
      <c r="J56" s="642"/>
      <c r="K56" s="643"/>
      <c r="L56" s="644"/>
      <c r="M56" s="645"/>
      <c r="N56" s="646"/>
    </row>
    <row r="57" spans="2:14" ht="15" customHeight="1">
      <c r="B57" s="340"/>
      <c r="C57" s="639"/>
      <c r="D57" s="640"/>
      <c r="E57" s="640"/>
      <c r="F57" s="640"/>
      <c r="G57" s="640"/>
      <c r="H57" s="341"/>
      <c r="I57" s="641"/>
      <c r="J57" s="642"/>
      <c r="K57" s="643"/>
      <c r="L57" s="644"/>
      <c r="M57" s="645"/>
      <c r="N57" s="646"/>
    </row>
    <row r="58" spans="2:14" ht="15" customHeight="1">
      <c r="B58" s="340"/>
      <c r="C58" s="639"/>
      <c r="D58" s="640"/>
      <c r="E58" s="640"/>
      <c r="F58" s="640"/>
      <c r="G58" s="640"/>
      <c r="H58" s="341"/>
      <c r="I58" s="641"/>
      <c r="J58" s="642"/>
      <c r="K58" s="643"/>
      <c r="L58" s="644"/>
      <c r="M58" s="645"/>
      <c r="N58" s="646"/>
    </row>
    <row r="59" spans="2:14" ht="15" customHeight="1">
      <c r="B59" s="340"/>
      <c r="C59" s="639"/>
      <c r="D59" s="640"/>
      <c r="E59" s="640"/>
      <c r="F59" s="640"/>
      <c r="G59" s="640"/>
      <c r="H59" s="341"/>
      <c r="I59" s="641"/>
      <c r="J59" s="642"/>
      <c r="K59" s="643"/>
      <c r="L59" s="644"/>
      <c r="M59" s="645"/>
      <c r="N59" s="646"/>
    </row>
    <row r="60" spans="2:14" ht="15" customHeight="1">
      <c r="B60" s="340"/>
      <c r="C60" s="639"/>
      <c r="D60" s="640"/>
      <c r="E60" s="640"/>
      <c r="F60" s="640"/>
      <c r="G60" s="640"/>
      <c r="H60" s="341"/>
      <c r="I60" s="641"/>
      <c r="J60" s="642"/>
      <c r="K60" s="643"/>
      <c r="L60" s="644"/>
      <c r="M60" s="645"/>
      <c r="N60" s="646"/>
    </row>
    <row r="61" spans="2:14" ht="15" customHeight="1">
      <c r="B61" s="340"/>
      <c r="C61" s="639"/>
      <c r="D61" s="640"/>
      <c r="E61" s="640"/>
      <c r="F61" s="640"/>
      <c r="G61" s="640"/>
      <c r="H61" s="341"/>
      <c r="I61" s="641"/>
      <c r="J61" s="642"/>
      <c r="K61" s="643"/>
      <c r="L61" s="644"/>
      <c r="M61" s="645"/>
      <c r="N61" s="646"/>
    </row>
    <row r="62" spans="2:14" ht="15" customHeight="1">
      <c r="B62" s="340"/>
      <c r="C62" s="639"/>
      <c r="D62" s="640"/>
      <c r="E62" s="640"/>
      <c r="F62" s="640"/>
      <c r="G62" s="640"/>
      <c r="H62" s="341"/>
      <c r="I62" s="641"/>
      <c r="J62" s="642"/>
      <c r="K62" s="643"/>
      <c r="L62" s="644"/>
      <c r="M62" s="645"/>
      <c r="N62" s="646"/>
    </row>
    <row r="63" spans="2:14" ht="15" customHeight="1">
      <c r="B63" s="340"/>
      <c r="C63" s="639"/>
      <c r="D63" s="640"/>
      <c r="E63" s="640"/>
      <c r="F63" s="640"/>
      <c r="G63" s="640"/>
      <c r="H63" s="341"/>
      <c r="I63" s="641"/>
      <c r="J63" s="642"/>
      <c r="K63" s="643"/>
      <c r="L63" s="644"/>
      <c r="M63" s="645"/>
      <c r="N63" s="646"/>
    </row>
    <row r="64" spans="2:14" ht="15" customHeight="1">
      <c r="B64" s="340"/>
      <c r="C64" s="639"/>
      <c r="D64" s="640"/>
      <c r="E64" s="640"/>
      <c r="F64" s="640"/>
      <c r="G64" s="640"/>
      <c r="H64" s="341"/>
      <c r="I64" s="641"/>
      <c r="J64" s="642"/>
      <c r="K64" s="643"/>
      <c r="L64" s="644"/>
      <c r="M64" s="645"/>
      <c r="N64" s="646"/>
    </row>
    <row r="65" spans="2:14" ht="15" customHeight="1">
      <c r="B65" s="340"/>
      <c r="C65" s="639"/>
      <c r="D65" s="640"/>
      <c r="E65" s="640"/>
      <c r="F65" s="640"/>
      <c r="G65" s="640"/>
      <c r="H65" s="341"/>
      <c r="I65" s="641"/>
      <c r="J65" s="642"/>
      <c r="K65" s="643"/>
      <c r="L65" s="644"/>
      <c r="M65" s="645"/>
      <c r="N65" s="646"/>
    </row>
    <row r="66" spans="2:14" ht="15" customHeight="1">
      <c r="B66" s="340"/>
      <c r="C66" s="639"/>
      <c r="D66" s="640"/>
      <c r="E66" s="640"/>
      <c r="F66" s="640"/>
      <c r="G66" s="640"/>
      <c r="H66" s="341"/>
      <c r="I66" s="641"/>
      <c r="J66" s="642"/>
      <c r="K66" s="643"/>
      <c r="L66" s="644"/>
      <c r="M66" s="645"/>
      <c r="N66" s="646"/>
    </row>
    <row r="67" spans="2:14" ht="15" customHeight="1">
      <c r="B67" s="340"/>
      <c r="C67" s="639"/>
      <c r="D67" s="640"/>
      <c r="E67" s="640"/>
      <c r="F67" s="640"/>
      <c r="G67" s="640"/>
      <c r="H67" s="341"/>
      <c r="I67" s="641"/>
      <c r="J67" s="642"/>
      <c r="K67" s="643"/>
      <c r="L67" s="644"/>
      <c r="M67" s="645"/>
      <c r="N67" s="646"/>
    </row>
    <row r="68" spans="2:14" ht="15" customHeight="1">
      <c r="B68" s="340"/>
      <c r="C68" s="639"/>
      <c r="D68" s="640"/>
      <c r="E68" s="640"/>
      <c r="F68" s="640"/>
      <c r="G68" s="640"/>
      <c r="H68" s="341"/>
      <c r="I68" s="641"/>
      <c r="J68" s="642"/>
      <c r="K68" s="643"/>
      <c r="L68" s="644"/>
      <c r="M68" s="645"/>
      <c r="N68" s="646"/>
    </row>
    <row r="69" spans="2:14" ht="15" customHeight="1">
      <c r="B69" s="340"/>
      <c r="C69" s="639"/>
      <c r="D69" s="640"/>
      <c r="E69" s="640"/>
      <c r="F69" s="640"/>
      <c r="G69" s="640"/>
      <c r="H69" s="341"/>
      <c r="I69" s="641"/>
      <c r="J69" s="642"/>
      <c r="K69" s="643"/>
      <c r="L69" s="644"/>
      <c r="M69" s="645"/>
      <c r="N69" s="646"/>
    </row>
    <row r="70" spans="2:14" ht="15" customHeight="1">
      <c r="B70" s="340"/>
      <c r="C70" s="639"/>
      <c r="D70" s="640"/>
      <c r="E70" s="640"/>
      <c r="F70" s="640"/>
      <c r="G70" s="640"/>
      <c r="H70" s="341"/>
      <c r="I70" s="641"/>
      <c r="J70" s="642"/>
      <c r="K70" s="643"/>
      <c r="L70" s="644"/>
      <c r="M70" s="645"/>
      <c r="N70" s="646"/>
    </row>
    <row r="71" spans="2:14" ht="15" customHeight="1">
      <c r="B71" s="340"/>
      <c r="C71" s="639"/>
      <c r="D71" s="640"/>
      <c r="E71" s="640"/>
      <c r="F71" s="640"/>
      <c r="G71" s="640"/>
      <c r="H71" s="341"/>
      <c r="I71" s="641"/>
      <c r="J71" s="642"/>
      <c r="K71" s="643"/>
      <c r="L71" s="644"/>
      <c r="M71" s="645"/>
      <c r="N71" s="646"/>
    </row>
    <row r="72" spans="2:14">
      <c r="B72" s="340"/>
      <c r="C72" s="639"/>
      <c r="D72" s="640"/>
      <c r="E72" s="640"/>
      <c r="F72" s="640"/>
      <c r="G72" s="640"/>
      <c r="H72" s="341"/>
      <c r="I72" s="641"/>
      <c r="J72" s="642"/>
      <c r="K72" s="643"/>
      <c r="L72" s="644"/>
      <c r="M72" s="645"/>
      <c r="N72" s="646"/>
    </row>
    <row r="73" spans="2:14">
      <c r="B73" s="340"/>
      <c r="C73" s="639"/>
      <c r="D73" s="640"/>
      <c r="E73" s="640"/>
      <c r="F73" s="640"/>
      <c r="G73" s="640"/>
      <c r="H73" s="341"/>
      <c r="I73" s="641"/>
      <c r="J73" s="642"/>
      <c r="K73" s="643"/>
      <c r="L73" s="644"/>
      <c r="M73" s="645"/>
      <c r="N73" s="646"/>
    </row>
    <row r="74" spans="2:14">
      <c r="B74" s="340"/>
      <c r="C74" s="639"/>
      <c r="D74" s="640"/>
      <c r="E74" s="640"/>
      <c r="F74" s="640"/>
      <c r="G74" s="640"/>
      <c r="H74" s="341"/>
      <c r="I74" s="641"/>
      <c r="J74" s="642"/>
      <c r="K74" s="643"/>
      <c r="L74" s="644"/>
      <c r="M74" s="645"/>
      <c r="N74" s="646"/>
    </row>
    <row r="75" spans="2:14">
      <c r="B75" s="340"/>
      <c r="C75" s="639"/>
      <c r="D75" s="640"/>
      <c r="E75" s="640"/>
      <c r="F75" s="640"/>
      <c r="G75" s="640"/>
      <c r="H75" s="341"/>
      <c r="I75" s="641"/>
      <c r="J75" s="642"/>
      <c r="K75" s="643"/>
      <c r="L75" s="644"/>
      <c r="M75" s="645"/>
      <c r="N75" s="646"/>
    </row>
    <row r="76" spans="2:14">
      <c r="B76" s="340"/>
      <c r="C76" s="639"/>
      <c r="D76" s="640"/>
      <c r="E76" s="640"/>
      <c r="F76" s="640"/>
      <c r="G76" s="640"/>
      <c r="H76" s="341"/>
      <c r="I76" s="641"/>
      <c r="J76" s="642"/>
      <c r="K76" s="643"/>
      <c r="L76" s="644"/>
      <c r="M76" s="645"/>
      <c r="N76" s="646"/>
    </row>
    <row r="77" spans="2:14">
      <c r="B77" s="340"/>
      <c r="C77" s="639"/>
      <c r="D77" s="640"/>
      <c r="E77" s="640"/>
      <c r="F77" s="640"/>
      <c r="G77" s="640"/>
      <c r="H77" s="341"/>
      <c r="I77" s="641"/>
      <c r="J77" s="642"/>
      <c r="K77" s="643"/>
      <c r="L77" s="644"/>
      <c r="M77" s="645"/>
      <c r="N77" s="646"/>
    </row>
    <row r="78" spans="2:14">
      <c r="B78" s="340"/>
      <c r="C78" s="639"/>
      <c r="D78" s="640"/>
      <c r="E78" s="640"/>
      <c r="F78" s="640"/>
      <c r="G78" s="640"/>
      <c r="H78" s="341"/>
      <c r="I78" s="641"/>
      <c r="J78" s="642"/>
      <c r="K78" s="643"/>
      <c r="L78" s="644"/>
      <c r="M78" s="645"/>
      <c r="N78" s="646"/>
    </row>
    <row r="79" spans="2:14" ht="13.5" thickBot="1">
      <c r="B79" s="342"/>
      <c r="C79" s="647"/>
      <c r="D79" s="648"/>
      <c r="E79" s="648"/>
      <c r="F79" s="648"/>
      <c r="G79" s="648"/>
      <c r="H79" s="343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5" customWidth="1"/>
    <col min="7" max="16384" width="9.140625" style="345"/>
  </cols>
  <sheetData>
    <row r="1" spans="1:7" ht="20.25">
      <c r="A1" s="690" t="s">
        <v>372</v>
      </c>
      <c r="B1" s="690"/>
      <c r="C1" s="690"/>
      <c r="D1" s="690"/>
      <c r="E1" s="690"/>
      <c r="F1" s="690"/>
    </row>
    <row r="2" spans="1:7" ht="19.5" thickBot="1">
      <c r="A2" s="346"/>
      <c r="B2" s="346"/>
      <c r="C2" s="691" t="s">
        <v>384</v>
      </c>
      <c r="D2" s="691"/>
      <c r="E2" s="346"/>
      <c r="F2" s="346"/>
      <c r="G2" s="346"/>
    </row>
    <row r="3" spans="1:7" ht="19.5">
      <c r="A3" s="678" t="s">
        <v>373</v>
      </c>
      <c r="B3" s="679"/>
      <c r="C3" s="680"/>
      <c r="D3" s="678" t="s">
        <v>374</v>
      </c>
      <c r="E3" s="679"/>
      <c r="F3" s="680"/>
      <c r="G3" s="346"/>
    </row>
    <row r="4" spans="1:7" ht="15.75">
      <c r="A4" s="347" t="s">
        <v>385</v>
      </c>
      <c r="B4" s="692" t="s">
        <v>387</v>
      </c>
      <c r="C4" s="671"/>
      <c r="D4" s="693" t="s">
        <v>388</v>
      </c>
      <c r="E4" s="694"/>
      <c r="F4" s="695"/>
      <c r="G4" s="346"/>
    </row>
    <row r="5" spans="1:7" ht="16.5" thickBot="1">
      <c r="A5" s="348" t="s">
        <v>386</v>
      </c>
      <c r="B5" s="684" t="s">
        <v>386</v>
      </c>
      <c r="C5" s="685"/>
      <c r="D5" s="686" t="s">
        <v>389</v>
      </c>
      <c r="E5" s="674"/>
      <c r="F5" s="675"/>
      <c r="G5" s="346"/>
    </row>
    <row r="6" spans="1:7" ht="19.5">
      <c r="A6" s="678" t="s">
        <v>375</v>
      </c>
      <c r="B6" s="679"/>
      <c r="C6" s="679"/>
      <c r="D6" s="679"/>
      <c r="E6" s="679"/>
      <c r="F6" s="680"/>
      <c r="G6" s="346"/>
    </row>
    <row r="7" spans="1:7" ht="15.75">
      <c r="A7" s="349" t="s">
        <v>376</v>
      </c>
      <c r="B7" s="350" t="s">
        <v>390</v>
      </c>
      <c r="C7" s="351" t="s">
        <v>377</v>
      </c>
      <c r="D7" s="352" t="s">
        <v>391</v>
      </c>
      <c r="E7" s="687" t="s">
        <v>378</v>
      </c>
      <c r="F7" s="688"/>
      <c r="G7" s="346"/>
    </row>
    <row r="8" spans="1:7" ht="16.5" thickBot="1">
      <c r="A8" s="353"/>
      <c r="B8" s="354" t="s">
        <v>386</v>
      </c>
      <c r="C8" s="355"/>
      <c r="D8" s="356" t="s">
        <v>386</v>
      </c>
      <c r="E8" s="689" t="s">
        <v>392</v>
      </c>
      <c r="F8" s="675"/>
      <c r="G8" s="346"/>
    </row>
    <row r="9" spans="1:7" ht="19.5">
      <c r="A9" s="678" t="s">
        <v>379</v>
      </c>
      <c r="B9" s="679"/>
      <c r="C9" s="680"/>
      <c r="D9" s="678" t="s">
        <v>380</v>
      </c>
      <c r="E9" s="679"/>
      <c r="F9" s="680"/>
      <c r="G9" s="346"/>
    </row>
    <row r="10" spans="1:7" ht="15.75">
      <c r="A10" s="357" t="s">
        <v>381</v>
      </c>
      <c r="B10" s="670" t="s">
        <v>393</v>
      </c>
      <c r="C10" s="671"/>
      <c r="D10" s="672" t="s">
        <v>395</v>
      </c>
      <c r="E10" s="673"/>
      <c r="F10" s="358" t="s">
        <v>396</v>
      </c>
      <c r="G10" s="346"/>
    </row>
    <row r="11" spans="1:7" ht="16.5" thickBot="1">
      <c r="A11" s="359" t="s">
        <v>382</v>
      </c>
      <c r="B11" s="674" t="s">
        <v>394</v>
      </c>
      <c r="C11" s="675"/>
      <c r="D11" s="676"/>
      <c r="E11" s="677"/>
      <c r="F11" s="360" t="s">
        <v>386</v>
      </c>
      <c r="G11" s="346"/>
    </row>
    <row r="12" spans="1:7" ht="19.5">
      <c r="A12" s="678" t="s">
        <v>383</v>
      </c>
      <c r="B12" s="679"/>
      <c r="C12" s="679"/>
      <c r="D12" s="679"/>
      <c r="E12" s="679"/>
      <c r="F12" s="680"/>
      <c r="G12" s="346"/>
    </row>
    <row r="13" spans="1:7" ht="16.5" thickBot="1">
      <c r="A13" s="681" t="s">
        <v>397</v>
      </c>
      <c r="B13" s="682"/>
      <c r="C13" s="683" t="s">
        <v>398</v>
      </c>
      <c r="D13" s="683"/>
      <c r="E13" s="683"/>
      <c r="F13" s="361"/>
      <c r="G13" s="346"/>
    </row>
    <row r="14" spans="1:7" ht="18.95" customHeight="1">
      <c r="A14" s="362"/>
      <c r="B14" s="362"/>
      <c r="C14" s="362"/>
      <c r="D14" s="362"/>
      <c r="E14" s="362"/>
      <c r="F14" s="362"/>
      <c r="G14" s="346"/>
    </row>
    <row r="15" spans="1:7" ht="15.75">
      <c r="G15" s="346"/>
    </row>
    <row r="16" spans="1:7" ht="15.75">
      <c r="G16" s="346"/>
    </row>
    <row r="17" spans="7:7" ht="15.75">
      <c r="G17" s="346"/>
    </row>
    <row r="18" spans="7:7" ht="15.75">
      <c r="G18" s="346"/>
    </row>
    <row r="19" spans="7:7" ht="15.75">
      <c r="G19" s="346"/>
    </row>
    <row r="20" spans="7:7" ht="15.75">
      <c r="G20" s="346"/>
    </row>
    <row r="21" spans="7:7" ht="15.75">
      <c r="G21" s="346"/>
    </row>
    <row r="22" spans="7:7" ht="15.75">
      <c r="G22" s="346"/>
    </row>
    <row r="23" spans="7:7" ht="15.75">
      <c r="G23" s="346"/>
    </row>
    <row r="24" spans="7:7" ht="15.75">
      <c r="G24" s="346"/>
    </row>
    <row r="25" spans="7:7" ht="15.75">
      <c r="G25" s="346"/>
    </row>
    <row r="26" spans="7:7" ht="15.75">
      <c r="G26" s="346"/>
    </row>
    <row r="27" spans="7:7" ht="18.95" customHeight="1">
      <c r="G27" s="346"/>
    </row>
    <row r="28" spans="7:7" ht="15.75">
      <c r="G28" s="346"/>
    </row>
    <row r="29" spans="7:7" ht="15.75">
      <c r="G29" s="346"/>
    </row>
    <row r="30" spans="7:7" ht="15.75">
      <c r="G30" s="346"/>
    </row>
    <row r="31" spans="7:7" ht="15.75">
      <c r="G31" s="346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16" workbookViewId="0">
      <selection activeCell="D11" sqref="D11"/>
    </sheetView>
  </sheetViews>
  <sheetFormatPr defaultRowHeight="12.75"/>
  <cols>
    <col min="1" max="6" width="16.7109375" style="345" customWidth="1"/>
    <col min="7" max="16384" width="9.140625" style="345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399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400</v>
      </c>
      <c r="B6" s="696" t="str">
        <f>'Performance Data Sheet'!C17</f>
        <v>M406TCQL11E-C</v>
      </c>
      <c r="C6" s="697"/>
      <c r="D6" s="698"/>
      <c r="E6" s="553" t="s">
        <v>401</v>
      </c>
      <c r="F6" s="554">
        <v>252</v>
      </c>
    </row>
    <row r="7" spans="1:6" ht="18.95" customHeight="1">
      <c r="A7" s="553" t="s">
        <v>402</v>
      </c>
      <c r="B7" s="554" t="str">
        <f>'Performance Data Sheet'!F14</f>
        <v>TEAAC</v>
      </c>
      <c r="C7" s="553" t="s">
        <v>403</v>
      </c>
      <c r="D7" s="554" t="s">
        <v>425</v>
      </c>
      <c r="E7" s="553" t="s">
        <v>404</v>
      </c>
      <c r="F7" s="554" t="str">
        <f>'Performance Data Sheet'!C14</f>
        <v>6813US</v>
      </c>
    </row>
    <row r="8" spans="1:6" ht="18.95" customHeight="1">
      <c r="A8" s="553" t="s">
        <v>405</v>
      </c>
      <c r="B8" s="554">
        <v>6</v>
      </c>
      <c r="C8" s="553" t="s">
        <v>406</v>
      </c>
      <c r="D8" s="554" t="s">
        <v>407</v>
      </c>
      <c r="E8" s="553" t="s">
        <v>408</v>
      </c>
      <c r="F8" s="554" t="str">
        <f>'Performance Data Sheet'!M15</f>
        <v>F</v>
      </c>
    </row>
    <row r="9" spans="1:6" ht="18.95" customHeight="1">
      <c r="A9" s="553" t="s">
        <v>409</v>
      </c>
      <c r="B9" s="554">
        <v>2000</v>
      </c>
      <c r="C9" s="553" t="s">
        <v>410</v>
      </c>
      <c r="D9" s="554" t="s">
        <v>426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411</v>
      </c>
      <c r="B10" s="554">
        <v>1193</v>
      </c>
      <c r="C10" s="553" t="s">
        <v>412</v>
      </c>
      <c r="D10" s="554" t="s">
        <v>413</v>
      </c>
      <c r="E10" s="553" t="s">
        <v>1</v>
      </c>
      <c r="F10" s="554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414</v>
      </c>
      <c r="C12" s="377" t="s">
        <v>427</v>
      </c>
      <c r="D12" s="376" t="s">
        <v>415</v>
      </c>
      <c r="E12" s="377" t="s">
        <v>413</v>
      </c>
      <c r="F12" s="372"/>
    </row>
    <row r="13" spans="1:6" ht="18.95" customHeight="1">
      <c r="A13" s="370"/>
      <c r="B13" s="376" t="s">
        <v>416</v>
      </c>
      <c r="C13" s="378">
        <v>0.85</v>
      </c>
      <c r="D13" s="376" t="s">
        <v>417</v>
      </c>
      <c r="E13" s="377" t="s">
        <v>413</v>
      </c>
      <c r="F13" s="372"/>
    </row>
    <row r="14" spans="1:6" ht="18.95" customHeight="1">
      <c r="A14" s="370"/>
      <c r="B14" s="376" t="s">
        <v>418</v>
      </c>
      <c r="C14" s="378">
        <v>2.35</v>
      </c>
      <c r="D14" s="376" t="s">
        <v>419</v>
      </c>
      <c r="E14" s="377" t="s">
        <v>413</v>
      </c>
      <c r="F14" s="372"/>
    </row>
    <row r="15" spans="1:6" ht="18.95" customHeight="1">
      <c r="A15" s="370"/>
      <c r="B15" s="376" t="s">
        <v>420</v>
      </c>
      <c r="C15" s="377" t="s">
        <v>753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421</v>
      </c>
      <c r="B39" s="560"/>
      <c r="C39" s="560"/>
      <c r="D39" s="551"/>
      <c r="E39" s="556" t="s">
        <v>422</v>
      </c>
      <c r="F39" s="561" t="s">
        <v>363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423</v>
      </c>
      <c r="D43" s="564" t="str">
        <f>'Performance Data Sheet'!K43</f>
        <v>Mario L</v>
      </c>
      <c r="E43" s="563" t="s">
        <v>424</v>
      </c>
      <c r="F43" s="56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44">
        <v>0</v>
      </c>
      <c r="C54" s="344">
        <v>0.26399999856948853</v>
      </c>
    </row>
    <row r="55" spans="1:3" ht="15" customHeight="1">
      <c r="A55" s="388">
        <v>99.799999967217445</v>
      </c>
      <c r="B55" s="344">
        <v>110.38020377052021</v>
      </c>
      <c r="C55" s="344">
        <v>122.43235015869141</v>
      </c>
    </row>
    <row r="56" spans="1:3" ht="15" customHeight="1">
      <c r="A56" s="388">
        <v>98.999999836087227</v>
      </c>
      <c r="B56" s="344">
        <v>235</v>
      </c>
      <c r="C56" s="344">
        <v>385.08514404296875</v>
      </c>
    </row>
    <row r="57" spans="1:3">
      <c r="A57" s="388">
        <v>93.789473548531532</v>
      </c>
      <c r="B57" s="344">
        <v>141.58052153428309</v>
      </c>
      <c r="C57" s="344">
        <v>464.6361083984375</v>
      </c>
    </row>
    <row r="58" spans="1:3">
      <c r="A58" s="388">
        <v>88.578946888446808</v>
      </c>
      <c r="B58" s="344">
        <v>113.88151300010574</v>
      </c>
      <c r="C58" s="344">
        <v>490.06109619140625</v>
      </c>
    </row>
    <row r="59" spans="1:3">
      <c r="A59" s="388">
        <v>83.368420600891113</v>
      </c>
      <c r="B59" s="344">
        <v>101.38253506716967</v>
      </c>
      <c r="C59" s="344">
        <v>503.89190673828125</v>
      </c>
    </row>
    <row r="60" spans="1:3">
      <c r="A60" s="388">
        <v>72.947368025779724</v>
      </c>
      <c r="B60" s="344">
        <v>93.66315701624066</v>
      </c>
      <c r="C60" s="344">
        <v>522.8492431640625</v>
      </c>
    </row>
    <row r="61" spans="1:3">
      <c r="A61" s="388">
        <v>62.526315450668335</v>
      </c>
      <c r="B61" s="344">
        <v>90.092526160642706</v>
      </c>
      <c r="C61" s="344">
        <v>537.47369384765625</v>
      </c>
    </row>
    <row r="62" spans="1:3">
      <c r="A62" s="388">
        <v>52.105262875556946</v>
      </c>
      <c r="B62" s="344">
        <v>88.003085997618172</v>
      </c>
      <c r="C62" s="344">
        <v>549.3150634765625</v>
      </c>
    </row>
    <row r="63" spans="1:3">
      <c r="A63" s="388">
        <v>41.684210300445557</v>
      </c>
      <c r="B63" s="344">
        <v>86.710751890326534</v>
      </c>
      <c r="C63" s="344">
        <v>558.96124267578125</v>
      </c>
    </row>
    <row r="64" spans="1:3">
      <c r="A64" s="388">
        <v>31.263160705566406</v>
      </c>
      <c r="B64" s="344">
        <v>85.910311514935401</v>
      </c>
      <c r="C64" s="344">
        <v>566.59259033203125</v>
      </c>
    </row>
    <row r="65" spans="1:3">
      <c r="A65" s="388">
        <v>20.842105150222778</v>
      </c>
      <c r="B65" s="344">
        <v>85.427476664312621</v>
      </c>
      <c r="C65" s="344">
        <v>572.5833740234375</v>
      </c>
    </row>
    <row r="66" spans="1:3">
      <c r="A66" s="388">
        <v>10.421055555343628</v>
      </c>
      <c r="B66" s="344">
        <v>85.150651426667366</v>
      </c>
      <c r="C66" s="344">
        <v>577.552490234375</v>
      </c>
    </row>
    <row r="67" spans="1:3">
      <c r="A67" s="389">
        <v>0</v>
      </c>
      <c r="B67" s="344">
        <v>85</v>
      </c>
      <c r="C67" s="344">
        <v>581.74603271484375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>
      <selection activeCell="I32" sqref="I32"/>
    </sheetView>
  </sheetViews>
  <sheetFormatPr defaultRowHeight="12.75"/>
  <cols>
    <col min="1" max="1" width="19.7109375" style="345" customWidth="1"/>
    <col min="2" max="7" width="10.7109375" style="345" customWidth="1"/>
    <col min="8" max="16384" width="9.140625" style="345"/>
  </cols>
  <sheetData>
    <row r="1" spans="1:12" ht="21" customHeight="1">
      <c r="A1" s="401" t="s">
        <v>434</v>
      </c>
      <c r="B1" s="708" t="s">
        <v>473</v>
      </c>
      <c r="C1" s="708"/>
      <c r="D1" s="708"/>
      <c r="E1" s="708"/>
      <c r="F1" s="708"/>
      <c r="G1" s="708"/>
    </row>
    <row r="2" spans="1:12" ht="15" customHeight="1"/>
    <row r="3" spans="1:12" ht="20.25">
      <c r="A3" s="402" t="s">
        <v>435</v>
      </c>
    </row>
    <row r="4" spans="1:12" ht="12" customHeight="1">
      <c r="A4" s="346"/>
      <c r="B4" s="346"/>
      <c r="C4" s="346"/>
      <c r="D4" s="346" t="s">
        <v>487</v>
      </c>
      <c r="E4" s="346"/>
      <c r="F4" s="346"/>
      <c r="G4" s="346"/>
      <c r="H4" s="346"/>
      <c r="I4" s="346"/>
      <c r="J4" s="346"/>
      <c r="K4" s="346"/>
      <c r="L4" s="346"/>
    </row>
    <row r="5" spans="1:12" ht="15.6" customHeight="1">
      <c r="A5" s="403" t="s">
        <v>5</v>
      </c>
      <c r="B5" s="403" t="s">
        <v>436</v>
      </c>
      <c r="C5" s="403" t="s">
        <v>437</v>
      </c>
      <c r="D5" s="403" t="s">
        <v>438</v>
      </c>
      <c r="E5" s="403" t="s">
        <v>439</v>
      </c>
      <c r="F5" s="403" t="s">
        <v>440</v>
      </c>
      <c r="G5" s="403" t="s">
        <v>441</v>
      </c>
      <c r="H5" s="346"/>
      <c r="I5" s="346"/>
      <c r="J5" s="346"/>
      <c r="K5" s="346"/>
      <c r="L5" s="346"/>
    </row>
    <row r="6" spans="1:12" ht="15.6" customHeight="1">
      <c r="A6" s="404" t="s">
        <v>442</v>
      </c>
      <c r="B6" s="404" t="s">
        <v>165</v>
      </c>
      <c r="C6" s="404" t="s">
        <v>165</v>
      </c>
      <c r="D6" s="404" t="s">
        <v>443</v>
      </c>
      <c r="E6" s="404" t="s">
        <v>135</v>
      </c>
      <c r="F6" s="404" t="s">
        <v>444</v>
      </c>
      <c r="G6" s="404" t="s">
        <v>444</v>
      </c>
      <c r="H6" s="346"/>
      <c r="I6" s="346"/>
      <c r="J6" s="346"/>
      <c r="K6" s="346"/>
      <c r="L6" s="346"/>
    </row>
    <row r="7" spans="1:12" ht="15.95" customHeight="1">
      <c r="A7" s="405" t="s">
        <v>474</v>
      </c>
      <c r="B7" s="405" t="s">
        <v>488</v>
      </c>
      <c r="C7" s="405" t="s">
        <v>501</v>
      </c>
      <c r="D7" s="405" t="s">
        <v>514</v>
      </c>
      <c r="E7" s="405" t="s">
        <v>527</v>
      </c>
      <c r="F7" s="405" t="s">
        <v>540</v>
      </c>
      <c r="G7" s="405" t="s">
        <v>553</v>
      </c>
      <c r="H7" s="346"/>
      <c r="I7" s="346"/>
      <c r="J7" s="346"/>
      <c r="K7" s="346"/>
      <c r="L7" s="346"/>
    </row>
    <row r="8" spans="1:12" ht="15.95" customHeight="1">
      <c r="A8" s="405" t="s">
        <v>475</v>
      </c>
      <c r="B8" s="405" t="s">
        <v>489</v>
      </c>
      <c r="C8" s="405" t="s">
        <v>502</v>
      </c>
      <c r="D8" s="405" t="s">
        <v>515</v>
      </c>
      <c r="E8" s="405" t="s">
        <v>528</v>
      </c>
      <c r="F8" s="405" t="s">
        <v>541</v>
      </c>
      <c r="G8" s="405" t="s">
        <v>554</v>
      </c>
      <c r="H8" s="346"/>
      <c r="I8" s="346"/>
      <c r="J8" s="346"/>
      <c r="K8" s="346"/>
      <c r="L8" s="346"/>
    </row>
    <row r="9" spans="1:12" ht="15.95" customHeight="1">
      <c r="A9" s="405" t="s">
        <v>476</v>
      </c>
      <c r="B9" s="405" t="s">
        <v>490</v>
      </c>
      <c r="C9" s="405" t="s">
        <v>503</v>
      </c>
      <c r="D9" s="405" t="s">
        <v>516</v>
      </c>
      <c r="E9" s="405" t="s">
        <v>529</v>
      </c>
      <c r="F9" s="405" t="s">
        <v>542</v>
      </c>
      <c r="G9" s="405" t="s">
        <v>555</v>
      </c>
      <c r="H9" s="346"/>
      <c r="I9" s="346"/>
      <c r="J9" s="346"/>
      <c r="K9" s="346"/>
      <c r="L9" s="346"/>
    </row>
    <row r="10" spans="1:12" ht="15.95" customHeight="1">
      <c r="A10" s="405" t="s">
        <v>477</v>
      </c>
      <c r="B10" s="405" t="s">
        <v>491</v>
      </c>
      <c r="C10" s="405" t="s">
        <v>504</v>
      </c>
      <c r="D10" s="405" t="s">
        <v>517</v>
      </c>
      <c r="E10" s="405" t="s">
        <v>530</v>
      </c>
      <c r="F10" s="405" t="s">
        <v>543</v>
      </c>
      <c r="G10" s="405" t="s">
        <v>556</v>
      </c>
      <c r="H10" s="346"/>
      <c r="I10" s="346"/>
      <c r="J10" s="346"/>
      <c r="K10" s="346"/>
      <c r="L10" s="346"/>
    </row>
    <row r="11" spans="1:12" ht="15.95" customHeight="1">
      <c r="A11" s="405" t="s">
        <v>478</v>
      </c>
      <c r="B11" s="405" t="s">
        <v>492</v>
      </c>
      <c r="C11" s="405" t="s">
        <v>505</v>
      </c>
      <c r="D11" s="405" t="s">
        <v>518</v>
      </c>
      <c r="E11" s="405" t="s">
        <v>531</v>
      </c>
      <c r="F11" s="405" t="s">
        <v>544</v>
      </c>
      <c r="G11" s="405" t="s">
        <v>557</v>
      </c>
      <c r="H11" s="346"/>
      <c r="I11" s="346"/>
      <c r="J11" s="346"/>
      <c r="K11" s="346"/>
      <c r="L11" s="346"/>
    </row>
    <row r="12" spans="1:12" ht="15.95" customHeight="1">
      <c r="A12" s="405" t="s">
        <v>479</v>
      </c>
      <c r="B12" s="405" t="s">
        <v>493</v>
      </c>
      <c r="C12" s="405" t="s">
        <v>506</v>
      </c>
      <c r="D12" s="405" t="s">
        <v>519</v>
      </c>
      <c r="E12" s="405" t="s">
        <v>532</v>
      </c>
      <c r="F12" s="405" t="s">
        <v>545</v>
      </c>
      <c r="G12" s="405" t="s">
        <v>558</v>
      </c>
      <c r="H12" s="346"/>
      <c r="I12" s="346"/>
      <c r="J12" s="346"/>
      <c r="K12" s="346"/>
      <c r="L12" s="346"/>
    </row>
    <row r="13" spans="1:12" ht="15.95" customHeight="1">
      <c r="A13" s="405" t="s">
        <v>480</v>
      </c>
      <c r="B13" s="405" t="s">
        <v>494</v>
      </c>
      <c r="C13" s="405" t="s">
        <v>507</v>
      </c>
      <c r="D13" s="405" t="s">
        <v>520</v>
      </c>
      <c r="E13" s="405" t="s">
        <v>533</v>
      </c>
      <c r="F13" s="405" t="s">
        <v>546</v>
      </c>
      <c r="G13" s="405" t="s">
        <v>559</v>
      </c>
      <c r="H13" s="346"/>
      <c r="I13" s="346"/>
      <c r="J13" s="346"/>
      <c r="K13" s="346"/>
      <c r="L13" s="346"/>
    </row>
    <row r="14" spans="1:12" ht="15.95" customHeight="1">
      <c r="A14" s="405" t="s">
        <v>481</v>
      </c>
      <c r="B14" s="405" t="s">
        <v>495</v>
      </c>
      <c r="C14" s="405" t="s">
        <v>508</v>
      </c>
      <c r="D14" s="405" t="s">
        <v>521</v>
      </c>
      <c r="E14" s="405" t="s">
        <v>534</v>
      </c>
      <c r="F14" s="405" t="s">
        <v>547</v>
      </c>
      <c r="G14" s="405" t="s">
        <v>560</v>
      </c>
      <c r="H14" s="346"/>
      <c r="I14" s="346"/>
      <c r="J14" s="346"/>
      <c r="K14" s="346"/>
      <c r="L14" s="346"/>
    </row>
    <row r="15" spans="1:12" ht="15.95" customHeight="1">
      <c r="A15" s="405" t="s">
        <v>482</v>
      </c>
      <c r="B15" s="405" t="s">
        <v>496</v>
      </c>
      <c r="C15" s="405" t="s">
        <v>509</v>
      </c>
      <c r="D15" s="405" t="s">
        <v>522</v>
      </c>
      <c r="E15" s="405" t="s">
        <v>535</v>
      </c>
      <c r="F15" s="405" t="s">
        <v>548</v>
      </c>
      <c r="G15" s="405" t="s">
        <v>561</v>
      </c>
      <c r="H15" s="346"/>
      <c r="I15" s="346"/>
      <c r="J15" s="346"/>
      <c r="K15" s="346"/>
      <c r="L15" s="346"/>
    </row>
    <row r="16" spans="1:12" ht="15.95" customHeight="1">
      <c r="A16" s="405" t="s">
        <v>483</v>
      </c>
      <c r="B16" s="405" t="s">
        <v>497</v>
      </c>
      <c r="C16" s="405" t="s">
        <v>510</v>
      </c>
      <c r="D16" s="405" t="s">
        <v>523</v>
      </c>
      <c r="E16" s="405" t="s">
        <v>536</v>
      </c>
      <c r="F16" s="405" t="s">
        <v>549</v>
      </c>
      <c r="G16" s="405" t="s">
        <v>562</v>
      </c>
      <c r="H16" s="346"/>
      <c r="I16" s="346"/>
      <c r="J16" s="346"/>
      <c r="K16" s="346"/>
      <c r="L16" s="346"/>
    </row>
    <row r="17" spans="1:12" ht="15.95" customHeight="1">
      <c r="A17" s="405" t="s">
        <v>484</v>
      </c>
      <c r="B17" s="405" t="s">
        <v>498</v>
      </c>
      <c r="C17" s="405" t="s">
        <v>511</v>
      </c>
      <c r="D17" s="405" t="s">
        <v>524</v>
      </c>
      <c r="E17" s="405" t="s">
        <v>537</v>
      </c>
      <c r="F17" s="405" t="s">
        <v>550</v>
      </c>
      <c r="G17" s="405" t="s">
        <v>563</v>
      </c>
      <c r="H17" s="346"/>
      <c r="I17" s="346"/>
      <c r="J17" s="346"/>
      <c r="K17" s="346"/>
      <c r="L17" s="346"/>
    </row>
    <row r="18" spans="1:12" ht="15.95" customHeight="1">
      <c r="A18" s="405" t="s">
        <v>485</v>
      </c>
      <c r="B18" s="405" t="s">
        <v>499</v>
      </c>
      <c r="C18" s="405" t="s">
        <v>512</v>
      </c>
      <c r="D18" s="405" t="s">
        <v>525</v>
      </c>
      <c r="E18" s="405" t="s">
        <v>538</v>
      </c>
      <c r="F18" s="405" t="s">
        <v>551</v>
      </c>
      <c r="G18" s="405" t="s">
        <v>564</v>
      </c>
      <c r="H18" s="346"/>
      <c r="I18" s="346"/>
      <c r="J18" s="346"/>
      <c r="K18" s="346"/>
      <c r="L18" s="346"/>
    </row>
    <row r="19" spans="1:12" ht="15.95" customHeight="1">
      <c r="A19" s="405" t="s">
        <v>486</v>
      </c>
      <c r="B19" s="405" t="s">
        <v>500</v>
      </c>
      <c r="C19" s="405" t="s">
        <v>513</v>
      </c>
      <c r="D19" s="405" t="s">
        <v>526</v>
      </c>
      <c r="E19" s="405" t="s">
        <v>539</v>
      </c>
      <c r="F19" s="405" t="s">
        <v>552</v>
      </c>
      <c r="G19" s="405" t="s">
        <v>565</v>
      </c>
      <c r="H19" s="346"/>
      <c r="I19" s="346"/>
      <c r="J19" s="346"/>
      <c r="K19" s="346"/>
      <c r="L19" s="346"/>
    </row>
    <row r="20" spans="1:12" ht="15.75">
      <c r="A20" s="346"/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</row>
    <row r="21" spans="1:12" ht="15.75">
      <c r="A21" s="346"/>
      <c r="B21" s="346"/>
      <c r="C21" s="346"/>
      <c r="D21" s="709" t="s">
        <v>575</v>
      </c>
      <c r="E21" s="705"/>
      <c r="F21" s="705"/>
      <c r="G21" s="706"/>
      <c r="H21" s="346"/>
      <c r="I21" s="346"/>
      <c r="J21" s="346"/>
      <c r="K21" s="346"/>
      <c r="L21" s="346"/>
    </row>
    <row r="22" spans="1:12" ht="17.25" customHeight="1">
      <c r="A22" s="346"/>
      <c r="B22" s="707" t="s">
        <v>445</v>
      </c>
      <c r="C22" s="707"/>
      <c r="D22" s="707" t="s">
        <v>446</v>
      </c>
      <c r="E22" s="707"/>
      <c r="F22" s="707" t="s">
        <v>447</v>
      </c>
      <c r="G22" s="707"/>
      <c r="H22" s="346"/>
      <c r="I22" s="346"/>
      <c r="J22" s="346"/>
      <c r="K22" s="346"/>
      <c r="L22" s="346"/>
    </row>
    <row r="23" spans="1:12" ht="15.75">
      <c r="A23" s="406" t="s">
        <v>448</v>
      </c>
      <c r="B23" s="703" t="s">
        <v>566</v>
      </c>
      <c r="C23" s="703"/>
      <c r="D23" s="703" t="s">
        <v>569</v>
      </c>
      <c r="E23" s="703"/>
      <c r="F23" s="703" t="s">
        <v>572</v>
      </c>
      <c r="G23" s="703"/>
      <c r="H23" s="346"/>
      <c r="I23" s="346"/>
      <c r="J23" s="346"/>
      <c r="K23" s="346"/>
      <c r="L23" s="346"/>
    </row>
    <row r="24" spans="1:12" ht="18" customHeight="1">
      <c r="A24" s="406" t="s">
        <v>449</v>
      </c>
      <c r="B24" s="703" t="s">
        <v>567</v>
      </c>
      <c r="C24" s="703"/>
      <c r="D24" s="703" t="s">
        <v>570</v>
      </c>
      <c r="E24" s="703"/>
      <c r="F24" s="703" t="s">
        <v>573</v>
      </c>
      <c r="G24" s="703"/>
      <c r="H24" s="346"/>
      <c r="I24" s="346"/>
      <c r="J24" s="346"/>
      <c r="K24" s="346"/>
      <c r="L24" s="346"/>
    </row>
    <row r="25" spans="1:12" ht="15.75">
      <c r="A25" s="406" t="s">
        <v>450</v>
      </c>
      <c r="B25" s="703" t="s">
        <v>568</v>
      </c>
      <c r="C25" s="703"/>
      <c r="D25" s="703" t="s">
        <v>571</v>
      </c>
      <c r="E25" s="703"/>
      <c r="F25" s="703" t="s">
        <v>574</v>
      </c>
      <c r="G25" s="703"/>
      <c r="H25" s="346"/>
      <c r="I25" s="346"/>
      <c r="J25" s="346"/>
      <c r="K25" s="346"/>
      <c r="L25" s="346"/>
    </row>
    <row r="26" spans="1:12" ht="15.75">
      <c r="A26" s="346"/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</row>
    <row r="27" spans="1:12" ht="20.25">
      <c r="A27" s="402" t="s">
        <v>451</v>
      </c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</row>
    <row r="28" spans="1:12" ht="15.75">
      <c r="A28" s="346"/>
      <c r="B28" s="346"/>
      <c r="C28" s="346"/>
      <c r="D28" s="346"/>
      <c r="E28" s="704" t="s">
        <v>452</v>
      </c>
      <c r="F28" s="705"/>
      <c r="G28" s="706"/>
      <c r="H28" s="346"/>
      <c r="I28" s="346"/>
      <c r="J28" s="346"/>
      <c r="K28" s="346"/>
      <c r="L28" s="346"/>
    </row>
    <row r="29" spans="1:12" ht="15.75">
      <c r="A29" s="346"/>
      <c r="B29" s="707" t="s">
        <v>453</v>
      </c>
      <c r="C29" s="707"/>
      <c r="D29" s="407" t="s">
        <v>454</v>
      </c>
      <c r="E29" s="407" t="s">
        <v>455</v>
      </c>
      <c r="F29" s="707" t="s">
        <v>456</v>
      </c>
      <c r="G29" s="707"/>
      <c r="H29" s="346"/>
      <c r="I29" s="346"/>
      <c r="J29" s="346"/>
      <c r="K29" s="346"/>
      <c r="L29" s="346"/>
    </row>
    <row r="30" spans="1:12" ht="15.75">
      <c r="A30" s="406" t="s">
        <v>457</v>
      </c>
      <c r="B30" s="703" t="s">
        <v>576</v>
      </c>
      <c r="C30" s="703"/>
      <c r="D30" s="405" t="s">
        <v>738</v>
      </c>
      <c r="E30" s="405" t="s">
        <v>458</v>
      </c>
      <c r="F30" s="703" t="s">
        <v>739</v>
      </c>
      <c r="G30" s="703"/>
      <c r="H30" s="346"/>
      <c r="I30" s="346"/>
      <c r="J30" s="346"/>
      <c r="K30" s="346"/>
      <c r="L30" s="346"/>
    </row>
    <row r="31" spans="1:12" ht="15.75">
      <c r="A31" s="406" t="s">
        <v>459</v>
      </c>
      <c r="B31" s="703" t="s">
        <v>577</v>
      </c>
      <c r="C31" s="703"/>
      <c r="D31" s="405" t="s">
        <v>579</v>
      </c>
      <c r="E31" s="405" t="s">
        <v>460</v>
      </c>
      <c r="F31" s="703" t="s">
        <v>581</v>
      </c>
      <c r="G31" s="703"/>
      <c r="H31" s="346"/>
      <c r="I31" s="346"/>
      <c r="J31" s="346"/>
      <c r="K31" s="346"/>
      <c r="L31" s="346"/>
    </row>
    <row r="32" spans="1:12" ht="15.75">
      <c r="A32" s="406" t="s">
        <v>461</v>
      </c>
      <c r="B32" s="703" t="s">
        <v>578</v>
      </c>
      <c r="C32" s="703"/>
      <c r="D32" s="405" t="s">
        <v>580</v>
      </c>
      <c r="E32" s="405" t="s">
        <v>462</v>
      </c>
      <c r="F32" s="703" t="s">
        <v>582</v>
      </c>
      <c r="G32" s="703"/>
      <c r="H32" s="346"/>
      <c r="I32" s="346"/>
      <c r="J32" s="346"/>
      <c r="K32" s="346"/>
      <c r="L32" s="346"/>
    </row>
    <row r="33" spans="1:12" ht="15.75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</row>
    <row r="34" spans="1:12" ht="15.75">
      <c r="A34" s="346"/>
      <c r="B34" s="346"/>
      <c r="C34" s="346"/>
      <c r="D34" s="346"/>
      <c r="E34" s="704" t="s">
        <v>463</v>
      </c>
      <c r="F34" s="705"/>
      <c r="G34" s="706"/>
      <c r="H34" s="346"/>
      <c r="I34" s="346"/>
      <c r="J34" s="346"/>
      <c r="K34" s="346"/>
      <c r="L34" s="346"/>
    </row>
    <row r="35" spans="1:12" ht="15.75">
      <c r="A35" s="346"/>
      <c r="B35" s="707" t="s">
        <v>464</v>
      </c>
      <c r="C35" s="707"/>
      <c r="D35" s="407" t="s">
        <v>455</v>
      </c>
      <c r="E35" s="407" t="s">
        <v>465</v>
      </c>
      <c r="F35" s="407" t="s">
        <v>100</v>
      </c>
      <c r="G35" s="407" t="s">
        <v>466</v>
      </c>
      <c r="H35" s="346"/>
      <c r="I35" s="346"/>
      <c r="J35" s="346"/>
      <c r="K35" s="346"/>
      <c r="L35" s="346"/>
    </row>
    <row r="36" spans="1:12" ht="15.75">
      <c r="A36" s="406" t="s">
        <v>457</v>
      </c>
      <c r="B36" s="699" t="s">
        <v>740</v>
      </c>
      <c r="C36" s="700"/>
      <c r="D36" s="408" t="s">
        <v>742</v>
      </c>
      <c r="E36" s="408" t="s">
        <v>467</v>
      </c>
      <c r="F36" s="409" t="s">
        <v>468</v>
      </c>
      <c r="G36" s="405" t="s">
        <v>745</v>
      </c>
      <c r="H36" s="346"/>
      <c r="I36" s="346"/>
      <c r="J36" s="346"/>
      <c r="K36" s="346"/>
      <c r="L36" s="346"/>
    </row>
    <row r="37" spans="1:12" ht="15.75">
      <c r="A37" s="406" t="s">
        <v>459</v>
      </c>
      <c r="B37" s="699" t="s">
        <v>741</v>
      </c>
      <c r="C37" s="700"/>
      <c r="D37" s="408" t="s">
        <v>743</v>
      </c>
      <c r="E37" s="408" t="s">
        <v>467</v>
      </c>
      <c r="F37" s="409" t="s">
        <v>469</v>
      </c>
      <c r="G37" s="410" t="s">
        <v>746</v>
      </c>
      <c r="H37" s="346"/>
      <c r="I37" s="346"/>
      <c r="J37" s="346"/>
      <c r="K37" s="346"/>
      <c r="L37" s="346"/>
    </row>
    <row r="38" spans="1:12" ht="15.75">
      <c r="A38" s="406" t="s">
        <v>461</v>
      </c>
      <c r="B38" s="699" t="s">
        <v>741</v>
      </c>
      <c r="C38" s="700"/>
      <c r="D38" s="408" t="s">
        <v>744</v>
      </c>
      <c r="E38" s="408" t="s">
        <v>467</v>
      </c>
      <c r="F38" s="409" t="s">
        <v>470</v>
      </c>
      <c r="G38" s="405" t="s">
        <v>747</v>
      </c>
      <c r="H38" s="346"/>
      <c r="I38" s="346"/>
      <c r="J38" s="346"/>
      <c r="K38" s="346"/>
      <c r="L38" s="346"/>
    </row>
    <row r="39" spans="1:12" ht="15.75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</row>
    <row r="40" spans="1:12" ht="15.75">
      <c r="A40" s="411" t="s">
        <v>471</v>
      </c>
      <c r="B40" s="701" t="s">
        <v>583</v>
      </c>
      <c r="C40" s="701"/>
      <c r="D40" s="702" t="s">
        <v>472</v>
      </c>
      <c r="E40" s="702"/>
      <c r="F40" s="701" t="s">
        <v>748</v>
      </c>
      <c r="G40" s="701"/>
      <c r="H40" s="346"/>
      <c r="I40" s="346"/>
      <c r="J40" s="346"/>
      <c r="K40" s="346"/>
      <c r="L40" s="346"/>
    </row>
    <row r="41" spans="1:12" ht="15.75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</row>
    <row r="42" spans="1:12" ht="15.75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</row>
    <row r="43" spans="1:12" ht="15.75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</row>
    <row r="44" spans="1:12" ht="15.75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</row>
    <row r="45" spans="1:12" ht="15.75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</row>
    <row r="46" spans="1:12" ht="15.75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</row>
    <row r="47" spans="1:12" ht="15.75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</row>
    <row r="48" spans="1:12" ht="15.75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</row>
    <row r="49" spans="1:12" ht="15.75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</row>
    <row r="50" spans="1:12" ht="15.75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</row>
    <row r="51" spans="1:12" ht="15.75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</row>
    <row r="52" spans="1:12" ht="15.75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</row>
    <row r="53" spans="1:12" ht="15.75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</row>
    <row r="54" spans="1:12" ht="15.75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</row>
    <row r="55" spans="1:12" ht="15.75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</row>
    <row r="56" spans="1:12" ht="15.75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</row>
    <row r="57" spans="1:12" ht="15.75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</row>
    <row r="58" spans="1:12" ht="15.75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</row>
    <row r="59" spans="1:12" ht="15.75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</row>
    <row r="60" spans="1:12" ht="15.75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</row>
    <row r="61" spans="1:12" ht="15.75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3" workbookViewId="0">
      <selection activeCell="I33" sqref="I33"/>
    </sheetView>
  </sheetViews>
  <sheetFormatPr defaultRowHeight="12.75"/>
  <cols>
    <col min="1" max="6" width="16.7109375" style="345" customWidth="1"/>
    <col min="7" max="16384" width="9.140625" style="345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710" t="s">
        <v>584</v>
      </c>
      <c r="B3" s="711"/>
      <c r="C3" s="711"/>
      <c r="D3" s="711"/>
      <c r="E3" s="711"/>
      <c r="F3" s="712"/>
    </row>
    <row r="4" spans="1:6" ht="18.95" customHeight="1">
      <c r="A4" s="713" t="s">
        <v>585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400</v>
      </c>
      <c r="B6" s="696" t="str">
        <f>'Performance Data Sheet'!C17</f>
        <v>M406TCQL11E-C</v>
      </c>
      <c r="C6" s="697"/>
      <c r="D6" s="698"/>
      <c r="E6" s="373" t="s">
        <v>401</v>
      </c>
      <c r="F6" s="374">
        <v>252</v>
      </c>
    </row>
    <row r="7" spans="1:6" ht="18.95" customHeight="1">
      <c r="A7" s="373" t="s">
        <v>402</v>
      </c>
      <c r="B7" s="374" t="str">
        <f>'Performance Data Sheet'!F14</f>
        <v>TEAAC</v>
      </c>
      <c r="C7" s="373" t="s">
        <v>403</v>
      </c>
      <c r="D7" s="374" t="s">
        <v>425</v>
      </c>
      <c r="E7" s="373" t="s">
        <v>404</v>
      </c>
      <c r="F7" s="374" t="str">
        <f>'Performance Data Sheet'!C14</f>
        <v>6813US</v>
      </c>
    </row>
    <row r="8" spans="1:6" ht="18.95" customHeight="1">
      <c r="A8" s="373" t="s">
        <v>405</v>
      </c>
      <c r="B8" s="374">
        <v>6</v>
      </c>
      <c r="C8" s="373" t="s">
        <v>406</v>
      </c>
      <c r="D8" s="374" t="s">
        <v>407</v>
      </c>
      <c r="E8" s="373" t="s">
        <v>408</v>
      </c>
      <c r="F8" s="374" t="str">
        <f>'Performance Data Sheet'!M15</f>
        <v>F</v>
      </c>
    </row>
    <row r="9" spans="1:6" ht="18.95" customHeight="1">
      <c r="A9" s="373" t="s">
        <v>409</v>
      </c>
      <c r="B9" s="374">
        <v>2000</v>
      </c>
      <c r="C9" s="373" t="s">
        <v>410</v>
      </c>
      <c r="D9" s="374" t="s">
        <v>426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411</v>
      </c>
      <c r="B10" s="374">
        <v>1193</v>
      </c>
      <c r="C10" s="373" t="s">
        <v>412</v>
      </c>
      <c r="D10" s="374" t="s">
        <v>590</v>
      </c>
      <c r="E10" s="373" t="s">
        <v>1</v>
      </c>
      <c r="F10" s="374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421</v>
      </c>
      <c r="B39" s="380"/>
      <c r="C39" s="380"/>
      <c r="D39" s="371"/>
      <c r="E39" s="376" t="s">
        <v>422</v>
      </c>
      <c r="F39" s="381" t="s">
        <v>363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423</v>
      </c>
      <c r="D43" s="384" t="str">
        <f>'Performance Data Sheet'!K43</f>
        <v>Mario L</v>
      </c>
      <c r="E43" s="383" t="s">
        <v>424</v>
      </c>
      <c r="F43" s="38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370</v>
      </c>
      <c r="B67" s="416" t="s">
        <v>586</v>
      </c>
      <c r="C67" s="416" t="s">
        <v>587</v>
      </c>
      <c r="E67" s="416" t="s">
        <v>588</v>
      </c>
      <c r="F67" s="416" t="s">
        <v>589</v>
      </c>
    </row>
    <row r="68" spans="1:9">
      <c r="A68" s="417">
        <v>581.74603174603169</v>
      </c>
      <c r="B68" s="418">
        <v>35</v>
      </c>
      <c r="C68" s="418">
        <v>15</v>
      </c>
      <c r="E68" s="417">
        <f>A68</f>
        <v>581.74603174603169</v>
      </c>
      <c r="F68" s="418">
        <v>1E-4</v>
      </c>
    </row>
    <row r="69" spans="1:9">
      <c r="A69" s="417">
        <v>507.83807936507935</v>
      </c>
      <c r="B69" s="418">
        <f>((A68/A69)^2)*B68</f>
        <v>45.928723819316524</v>
      </c>
      <c r="C69" s="418">
        <f>((A68/A69)^2)*C68</f>
        <v>19.683738779707081</v>
      </c>
      <c r="E69" s="417">
        <v>579.64285714285711</v>
      </c>
      <c r="F69" s="418">
        <v>1.3569999933242798</v>
      </c>
    </row>
    <row r="70" spans="1:9">
      <c r="A70" s="417">
        <v>433.90795238095234</v>
      </c>
      <c r="B70" s="418">
        <f>((A68/A70)^2)*B68</f>
        <v>62.91289701674858</v>
      </c>
      <c r="C70" s="418">
        <f>((A68/A70)^2)*C68</f>
        <v>26.962670150035105</v>
      </c>
      <c r="E70" s="417">
        <v>575.07936507936506</v>
      </c>
      <c r="F70" s="418">
        <v>2.5069999694824219</v>
      </c>
    </row>
    <row r="71" spans="1:9">
      <c r="A71" s="417">
        <v>360</v>
      </c>
      <c r="B71" s="418">
        <f>((A68/A71)^2)*B68</f>
        <v>91.396570916889829</v>
      </c>
      <c r="C71" s="418">
        <f>((A68/A71)^2)*C68</f>
        <v>39.169958964381351</v>
      </c>
      <c r="E71" s="417">
        <v>569.60317460317458</v>
      </c>
      <c r="F71" s="418">
        <v>3.5899999141693115</v>
      </c>
    </row>
    <row r="72" spans="1:9">
      <c r="A72" s="417">
        <f>A71-100</f>
        <v>260</v>
      </c>
      <c r="B72" s="418">
        <f>((A68/A72)^2)*B68</f>
        <v>175.22182826669999</v>
      </c>
      <c r="C72" s="418"/>
      <c r="E72" s="417">
        <v>562.77777777777783</v>
      </c>
      <c r="F72" s="418">
        <v>4.6710000038146973</v>
      </c>
    </row>
    <row r="73" spans="1:9">
      <c r="A73" s="417">
        <f>A72-100</f>
        <v>160</v>
      </c>
      <c r="B73" s="418">
        <f>((A68/A73)^2)*B68</f>
        <v>462.69514026675478</v>
      </c>
      <c r="C73" s="418"/>
      <c r="E73" s="417">
        <v>554.1269841269841</v>
      </c>
      <c r="F73" s="418">
        <v>5.8060002326965332</v>
      </c>
    </row>
    <row r="74" spans="1:9">
      <c r="A74" s="417">
        <v>235</v>
      </c>
      <c r="B74" s="418">
        <f>((A68/A74)^2)*B68</f>
        <v>214.48611300731409</v>
      </c>
      <c r="C74" s="418">
        <f>((A68/A74)^2)*C68</f>
        <v>91.922619860277464</v>
      </c>
      <c r="E74" s="417">
        <v>543.41269841269843</v>
      </c>
      <c r="F74" s="418">
        <v>7.0430002212524414</v>
      </c>
    </row>
    <row r="75" spans="1:9">
      <c r="A75" s="419">
        <v>180</v>
      </c>
      <c r="B75" s="418">
        <f>((A68/A75)^2)*B69</f>
        <v>479.74032727707538</v>
      </c>
      <c r="C75" s="418">
        <f>((A68/A75)^2)*C68</f>
        <v>156.6798358575254</v>
      </c>
      <c r="E75" s="417">
        <v>530.15873015873012</v>
      </c>
      <c r="F75" s="418">
        <v>8.4499998092651367</v>
      </c>
    </row>
    <row r="76" spans="1:9">
      <c r="A76" s="419">
        <v>145</v>
      </c>
      <c r="B76" s="418">
        <f>((A68/A76)^2)*B68</f>
        <v>563.37672251267156</v>
      </c>
      <c r="C76" s="418">
        <f>((A68/A76)^2)*C68</f>
        <v>241.44716679114498</v>
      </c>
      <c r="E76" s="417">
        <v>513.3730158730159</v>
      </c>
      <c r="F76" s="418">
        <v>10.158999443054199</v>
      </c>
    </row>
    <row r="77" spans="1:9">
      <c r="A77" s="419">
        <v>125</v>
      </c>
      <c r="B77" s="418"/>
      <c r="C77" s="417">
        <f>CEILING(C76*2,100)</f>
        <v>500</v>
      </c>
      <c r="E77" s="417">
        <v>496.98412698412704</v>
      </c>
      <c r="F77" s="418">
        <v>11.130999565124512</v>
      </c>
    </row>
    <row r="78" spans="1:9">
      <c r="A78" s="419">
        <v>125</v>
      </c>
      <c r="B78" s="418"/>
      <c r="C78" s="417">
        <f>2*C77</f>
        <v>1000</v>
      </c>
      <c r="E78" s="417">
        <v>477.34126984126988</v>
      </c>
      <c r="F78" s="418">
        <v>11.969999313354492</v>
      </c>
    </row>
    <row r="79" spans="1:9">
      <c r="A79" s="419">
        <v>125</v>
      </c>
      <c r="B79" s="419"/>
      <c r="C79" s="419">
        <v>10000</v>
      </c>
      <c r="E79" s="417">
        <v>424.84126984126976</v>
      </c>
      <c r="F79" s="418">
        <v>12.406999588012695</v>
      </c>
    </row>
    <row r="80" spans="1:9">
      <c r="E80" s="417">
        <v>253.76984126984127</v>
      </c>
      <c r="F80" s="418">
        <v>12.494999885559082</v>
      </c>
    </row>
    <row r="81" spans="5:6">
      <c r="E81" s="417">
        <v>0</v>
      </c>
      <c r="F81" s="418">
        <v>12.796999931335449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5" customWidth="1"/>
    <col min="2" max="11" width="7.7109375" style="345" customWidth="1"/>
    <col min="12" max="16384" width="9.140625" style="345"/>
  </cols>
  <sheetData>
    <row r="1" spans="1:12" ht="20.25">
      <c r="A1" s="718" t="s">
        <v>591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346"/>
    </row>
    <row r="2" spans="1:12" ht="30" customHeight="1">
      <c r="A2" s="346"/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</row>
    <row r="3" spans="1:12" ht="19.5">
      <c r="A3" s="420" t="s">
        <v>434</v>
      </c>
      <c r="B3" s="421" t="s">
        <v>473</v>
      </c>
      <c r="C3" s="346"/>
      <c r="D3" s="346"/>
      <c r="E3" s="346"/>
      <c r="F3" s="346"/>
      <c r="G3" s="346"/>
      <c r="H3" s="346"/>
      <c r="I3" s="346"/>
      <c r="J3" s="346"/>
      <c r="K3" s="346"/>
      <c r="L3" s="346"/>
    </row>
    <row r="4" spans="1:12" ht="12" customHeight="1">
      <c r="A4" s="346"/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</row>
    <row r="5" spans="1:12" ht="19.5">
      <c r="A5" s="422" t="s">
        <v>592</v>
      </c>
      <c r="B5" s="423"/>
      <c r="C5" s="423"/>
      <c r="D5" s="423"/>
      <c r="E5" s="423"/>
      <c r="F5" s="346"/>
      <c r="G5" s="346"/>
      <c r="H5" s="346"/>
      <c r="I5" s="346"/>
      <c r="J5" s="346"/>
      <c r="K5" s="346"/>
      <c r="L5" s="346"/>
    </row>
    <row r="6" spans="1:12" ht="17.25" customHeight="1">
      <c r="A6" s="346"/>
      <c r="B6" s="346"/>
      <c r="C6" s="346"/>
      <c r="D6" s="346"/>
      <c r="E6" s="346"/>
      <c r="F6" s="346"/>
      <c r="G6" s="346"/>
      <c r="H6" s="346"/>
      <c r="I6" s="346"/>
      <c r="J6" s="346"/>
      <c r="K6" s="346"/>
      <c r="L6" s="346"/>
    </row>
    <row r="7" spans="1:12" ht="15.75">
      <c r="A7" s="346"/>
      <c r="B7" s="424" t="s">
        <v>593</v>
      </c>
      <c r="C7" s="425">
        <v>0</v>
      </c>
      <c r="D7" s="424" t="s">
        <v>593</v>
      </c>
      <c r="E7" s="426" t="s">
        <v>594</v>
      </c>
      <c r="F7" s="424" t="s">
        <v>593</v>
      </c>
      <c r="G7" s="426" t="s">
        <v>595</v>
      </c>
      <c r="H7" s="424" t="s">
        <v>596</v>
      </c>
      <c r="I7" s="426">
        <v>0</v>
      </c>
      <c r="J7" s="424" t="s">
        <v>596</v>
      </c>
      <c r="K7" s="426">
        <v>6.0000000000000001E-3</v>
      </c>
      <c r="L7" s="346"/>
    </row>
    <row r="8" spans="1:12" ht="15.75">
      <c r="A8" s="405" t="s">
        <v>597</v>
      </c>
      <c r="B8" s="703">
        <v>8</v>
      </c>
      <c r="C8" s="703"/>
      <c r="D8" s="703">
        <v>26</v>
      </c>
      <c r="E8" s="703"/>
      <c r="F8" s="703">
        <v>10</v>
      </c>
      <c r="G8" s="703"/>
      <c r="H8" s="703" t="s">
        <v>612</v>
      </c>
      <c r="I8" s="703"/>
      <c r="J8" s="703" t="s">
        <v>613</v>
      </c>
      <c r="K8" s="703"/>
      <c r="L8" s="346"/>
    </row>
    <row r="9" spans="1:12" ht="15.75">
      <c r="A9" s="405" t="s">
        <v>598</v>
      </c>
      <c r="B9" s="703">
        <v>20</v>
      </c>
      <c r="C9" s="703"/>
      <c r="D9" s="703">
        <v>38</v>
      </c>
      <c r="E9" s="703"/>
      <c r="F9" s="703">
        <v>2</v>
      </c>
      <c r="G9" s="703"/>
      <c r="H9" s="703" t="s">
        <v>614</v>
      </c>
      <c r="I9" s="703"/>
      <c r="J9" s="703" t="s">
        <v>615</v>
      </c>
      <c r="K9" s="703"/>
      <c r="L9" s="346"/>
    </row>
    <row r="10" spans="1:12" ht="15.75">
      <c r="A10" s="405" t="s">
        <v>599</v>
      </c>
      <c r="B10" s="703">
        <v>14</v>
      </c>
      <c r="C10" s="703"/>
      <c r="D10" s="703">
        <v>32</v>
      </c>
      <c r="E10" s="703"/>
      <c r="F10" s="703">
        <v>4</v>
      </c>
      <c r="G10" s="703"/>
      <c r="H10" s="703" t="s">
        <v>616</v>
      </c>
      <c r="I10" s="703"/>
      <c r="J10" s="703" t="s">
        <v>617</v>
      </c>
      <c r="K10" s="703"/>
      <c r="L10" s="346"/>
    </row>
    <row r="11" spans="1:12" ht="26.25" customHeight="1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</row>
    <row r="12" spans="1:12" ht="19.5">
      <c r="A12" s="422" t="s">
        <v>600</v>
      </c>
      <c r="B12" s="346"/>
      <c r="C12" s="346"/>
      <c r="D12" s="346"/>
      <c r="E12" s="346"/>
      <c r="F12" s="346"/>
      <c r="G12" s="346"/>
      <c r="H12" s="346"/>
      <c r="I12" s="346"/>
      <c r="J12" s="346"/>
      <c r="K12" s="346"/>
      <c r="L12" s="346"/>
    </row>
    <row r="13" spans="1:12" ht="15.75">
      <c r="A13" s="346"/>
      <c r="B13" s="346"/>
      <c r="C13" s="346"/>
      <c r="D13" s="346"/>
      <c r="E13" s="346"/>
      <c r="F13" s="346"/>
      <c r="G13" s="346"/>
      <c r="H13" s="346"/>
      <c r="I13" s="346"/>
      <c r="J13" s="346"/>
      <c r="K13" s="346"/>
      <c r="L13" s="346"/>
    </row>
    <row r="14" spans="1:12" ht="15.75">
      <c r="A14" s="346"/>
      <c r="B14" s="716" t="s">
        <v>601</v>
      </c>
      <c r="C14" s="699"/>
      <c r="D14" s="717" t="s">
        <v>618</v>
      </c>
      <c r="E14" s="703"/>
      <c r="F14" s="716" t="s">
        <v>602</v>
      </c>
      <c r="G14" s="699"/>
      <c r="H14" s="717" t="s">
        <v>623</v>
      </c>
      <c r="I14" s="703"/>
      <c r="J14" s="346"/>
      <c r="K14" s="346"/>
      <c r="L14" s="346"/>
    </row>
    <row r="15" spans="1:12" ht="15.75">
      <c r="A15" s="346"/>
      <c r="B15" s="716" t="s">
        <v>603</v>
      </c>
      <c r="C15" s="699"/>
      <c r="D15" s="717" t="s">
        <v>619</v>
      </c>
      <c r="E15" s="703"/>
      <c r="F15" s="716" t="s">
        <v>604</v>
      </c>
      <c r="G15" s="699"/>
      <c r="H15" s="717" t="s">
        <v>624</v>
      </c>
      <c r="I15" s="703"/>
      <c r="J15" s="346"/>
      <c r="K15" s="346"/>
      <c r="L15" s="346"/>
    </row>
    <row r="16" spans="1:12" ht="15.75">
      <c r="A16" s="346"/>
      <c r="B16" s="716" t="s">
        <v>605</v>
      </c>
      <c r="C16" s="699"/>
      <c r="D16" s="717" t="s">
        <v>620</v>
      </c>
      <c r="E16" s="703"/>
      <c r="F16" s="716" t="s">
        <v>606</v>
      </c>
      <c r="G16" s="699"/>
      <c r="H16" s="717" t="s">
        <v>625</v>
      </c>
      <c r="I16" s="703"/>
      <c r="J16" s="346"/>
      <c r="K16" s="346"/>
      <c r="L16" s="346"/>
    </row>
    <row r="17" spans="1:12" ht="15.75">
      <c r="A17" s="346"/>
      <c r="B17" s="716" t="s">
        <v>607</v>
      </c>
      <c r="C17" s="699"/>
      <c r="D17" s="717" t="s">
        <v>621</v>
      </c>
      <c r="E17" s="703"/>
      <c r="F17" s="716" t="s">
        <v>608</v>
      </c>
      <c r="G17" s="699"/>
      <c r="H17" s="717" t="s">
        <v>626</v>
      </c>
      <c r="I17" s="703"/>
      <c r="J17" s="346"/>
      <c r="K17" s="346"/>
      <c r="L17" s="346"/>
    </row>
    <row r="18" spans="1:12" ht="15.75">
      <c r="A18" s="346"/>
      <c r="B18" s="716" t="s">
        <v>609</v>
      </c>
      <c r="C18" s="699"/>
      <c r="D18" s="717" t="s">
        <v>622</v>
      </c>
      <c r="E18" s="703"/>
      <c r="F18" s="716" t="s">
        <v>610</v>
      </c>
      <c r="G18" s="699"/>
      <c r="H18" s="717" t="s">
        <v>627</v>
      </c>
      <c r="I18" s="703"/>
      <c r="J18" s="346"/>
      <c r="K18" s="346"/>
      <c r="L18" s="346"/>
    </row>
    <row r="19" spans="1:12" ht="27" customHeight="1">
      <c r="A19" s="346"/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</row>
    <row r="20" spans="1:12" ht="19.5">
      <c r="A20" s="422" t="s">
        <v>611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</row>
    <row r="21" spans="1:12" ht="15.75">
      <c r="A21" s="346"/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</row>
    <row r="22" spans="1:12" ht="19.5">
      <c r="A22" s="346"/>
      <c r="B22" s="422" t="s">
        <v>628</v>
      </c>
      <c r="C22" s="346"/>
      <c r="D22" s="346"/>
      <c r="E22" s="346"/>
      <c r="F22" s="346"/>
      <c r="G22" s="346"/>
      <c r="H22" s="346"/>
      <c r="I22" s="346"/>
      <c r="J22" s="346"/>
      <c r="K22" s="346"/>
      <c r="L22" s="346"/>
    </row>
    <row r="23" spans="1:12" ht="15.75">
      <c r="A23" s="346"/>
      <c r="B23" s="346" t="s">
        <v>629</v>
      </c>
      <c r="C23" s="346"/>
      <c r="D23" s="346"/>
      <c r="E23" s="346"/>
      <c r="F23" s="346"/>
      <c r="G23" s="346"/>
      <c r="H23" s="346"/>
      <c r="I23" s="346"/>
      <c r="J23" s="346"/>
      <c r="K23" s="346"/>
      <c r="L23" s="346"/>
    </row>
    <row r="24" spans="1:12" ht="15.75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</row>
    <row r="25" spans="1:12" ht="15.75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</row>
    <row r="26" spans="1:12" ht="15.75">
      <c r="A26" s="346"/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</row>
    <row r="27" spans="1:12" ht="15.75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</row>
    <row r="28" spans="1:12" ht="15.75">
      <c r="A28" s="346"/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</row>
    <row r="29" spans="1:12" ht="15.75">
      <c r="A29" s="346"/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</row>
    <row r="30" spans="1:12" ht="15.75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</row>
    <row r="31" spans="1:12" ht="15.75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</row>
    <row r="32" spans="1:12" ht="15.75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</row>
    <row r="33" spans="1:12" ht="15.75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3" workbookViewId="0">
      <selection activeCell="D11" sqref="D11"/>
    </sheetView>
  </sheetViews>
  <sheetFormatPr defaultRowHeight="12.75"/>
  <cols>
    <col min="1" max="6" width="16.7109375" style="345" customWidth="1"/>
    <col min="7" max="16384" width="9.140625" style="345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630</v>
      </c>
      <c r="B3" s="367"/>
      <c r="C3" s="367"/>
      <c r="D3" s="367"/>
      <c r="E3" s="367"/>
      <c r="F3" s="368"/>
    </row>
    <row r="4" spans="1:6" ht="18.95" customHeight="1">
      <c r="A4" s="713" t="s">
        <v>585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400</v>
      </c>
      <c r="B6" s="696" t="str">
        <f>'Performance Data Sheet'!C17</f>
        <v>M406TCQL11E-C</v>
      </c>
      <c r="C6" s="697"/>
      <c r="D6" s="698"/>
      <c r="E6" s="553" t="s">
        <v>401</v>
      </c>
      <c r="F6" s="554">
        <v>252</v>
      </c>
    </row>
    <row r="7" spans="1:6" ht="18.95" customHeight="1">
      <c r="A7" s="553" t="s">
        <v>402</v>
      </c>
      <c r="B7" s="554" t="str">
        <f>'Performance Data Sheet'!F14</f>
        <v>TEAAC</v>
      </c>
      <c r="C7" s="553" t="s">
        <v>403</v>
      </c>
      <c r="D7" s="554" t="s">
        <v>425</v>
      </c>
      <c r="E7" s="553" t="s">
        <v>404</v>
      </c>
      <c r="F7" s="554" t="str">
        <f>'Performance Data Sheet'!C14</f>
        <v>6813US</v>
      </c>
    </row>
    <row r="8" spans="1:6" ht="18.95" customHeight="1">
      <c r="A8" s="553" t="s">
        <v>405</v>
      </c>
      <c r="B8" s="554">
        <v>6</v>
      </c>
      <c r="C8" s="553" t="s">
        <v>406</v>
      </c>
      <c r="D8" s="554" t="s">
        <v>407</v>
      </c>
      <c r="E8" s="553" t="s">
        <v>408</v>
      </c>
      <c r="F8" s="554" t="str">
        <f>'Performance Data Sheet'!M15</f>
        <v>F</v>
      </c>
    </row>
    <row r="9" spans="1:6" ht="18.95" customHeight="1">
      <c r="A9" s="553" t="s">
        <v>409</v>
      </c>
      <c r="B9" s="554">
        <v>2000</v>
      </c>
      <c r="C9" s="553" t="s">
        <v>410</v>
      </c>
      <c r="D9" s="554" t="s">
        <v>426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411</v>
      </c>
      <c r="B10" s="554">
        <v>1193</v>
      </c>
      <c r="C10" s="553" t="s">
        <v>412</v>
      </c>
      <c r="D10" s="554" t="s">
        <v>413</v>
      </c>
      <c r="E10" s="553" t="s">
        <v>1</v>
      </c>
      <c r="F10" s="554" t="s">
        <v>363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0"/>
      <c r="B12" s="556" t="s">
        <v>414</v>
      </c>
      <c r="C12" s="557" t="s">
        <v>427</v>
      </c>
      <c r="D12" s="556" t="s">
        <v>415</v>
      </c>
      <c r="E12" s="557" t="s">
        <v>413</v>
      </c>
      <c r="F12" s="372"/>
    </row>
    <row r="13" spans="1:6" ht="18.95" customHeight="1">
      <c r="A13" s="550"/>
      <c r="B13" s="556" t="s">
        <v>416</v>
      </c>
      <c r="C13" s="558">
        <v>0.85</v>
      </c>
      <c r="D13" s="556" t="s">
        <v>417</v>
      </c>
      <c r="E13" s="557" t="s">
        <v>413</v>
      </c>
      <c r="F13" s="372"/>
    </row>
    <row r="14" spans="1:6" ht="18.95" customHeight="1">
      <c r="A14" s="550"/>
      <c r="B14" s="556" t="s">
        <v>418</v>
      </c>
      <c r="C14" s="558">
        <v>2.35</v>
      </c>
      <c r="D14" s="556" t="s">
        <v>419</v>
      </c>
      <c r="E14" s="557" t="s">
        <v>413</v>
      </c>
      <c r="F14" s="372"/>
    </row>
    <row r="15" spans="1:6" ht="18.95" customHeight="1">
      <c r="A15" s="550"/>
      <c r="B15" s="556" t="s">
        <v>420</v>
      </c>
      <c r="C15" s="557" t="s">
        <v>753</v>
      </c>
      <c r="D15" s="551"/>
      <c r="E15" s="55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421</v>
      </c>
      <c r="B39" s="560"/>
      <c r="C39" s="560"/>
      <c r="D39" s="551"/>
      <c r="E39" s="556" t="s">
        <v>422</v>
      </c>
      <c r="F39" s="561" t="s">
        <v>363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423</v>
      </c>
      <c r="D43" s="564" t="str">
        <f>'Performance Data Sheet'!K43</f>
        <v>Mario L</v>
      </c>
      <c r="E43" s="563" t="s">
        <v>424</v>
      </c>
      <c r="F43" s="56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428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631</v>
      </c>
    </row>
    <row r="54" spans="1:6" ht="15" customHeight="1">
      <c r="A54" s="430">
        <v>0</v>
      </c>
      <c r="B54" s="431"/>
      <c r="C54" s="432"/>
      <c r="D54" s="432">
        <v>67.704177790728281</v>
      </c>
      <c r="E54" s="432">
        <v>100</v>
      </c>
      <c r="F54" s="433">
        <v>0.42227500000000001</v>
      </c>
    </row>
    <row r="55" spans="1:6" ht="15" customHeight="1">
      <c r="A55" s="434">
        <v>25</v>
      </c>
      <c r="B55" s="435">
        <v>91.973037719726563</v>
      </c>
      <c r="C55" s="436">
        <v>62.162109375</v>
      </c>
      <c r="D55" s="436">
        <v>94.162353515625</v>
      </c>
      <c r="E55" s="436">
        <v>90.993924803531101</v>
      </c>
      <c r="F55" s="437">
        <v>10.137968541522405</v>
      </c>
    </row>
    <row r="56" spans="1:6" ht="15" customHeight="1">
      <c r="A56" s="434">
        <v>50</v>
      </c>
      <c r="B56" s="435">
        <v>95.121780395507813</v>
      </c>
      <c r="C56" s="436">
        <v>81.193588256835938</v>
      </c>
      <c r="D56" s="436">
        <v>139.40933227539062</v>
      </c>
      <c r="E56" s="436">
        <v>81.726545942478879</v>
      </c>
      <c r="F56" s="437">
        <v>19.604757477150933</v>
      </c>
    </row>
    <row r="57" spans="1:6">
      <c r="A57" s="434">
        <v>75</v>
      </c>
      <c r="B57" s="435">
        <v>95.982902526855469</v>
      </c>
      <c r="C57" s="436">
        <v>87.021469116210937</v>
      </c>
      <c r="D57" s="436">
        <v>193.35906982421875</v>
      </c>
      <c r="E57" s="436">
        <v>72.264396518319529</v>
      </c>
      <c r="F57" s="437">
        <v>29.143308071888274</v>
      </c>
    </row>
    <row r="58" spans="1:6">
      <c r="A58" s="434">
        <v>100</v>
      </c>
      <c r="B58" s="435">
        <v>96.227989196777344</v>
      </c>
      <c r="C58" s="436">
        <v>88.961593627929688</v>
      </c>
      <c r="D58" s="436">
        <v>251.54727172851562</v>
      </c>
      <c r="E58" s="436">
        <v>62.602687967027748</v>
      </c>
      <c r="F58" s="437">
        <v>38.758774570978275</v>
      </c>
    </row>
    <row r="59" spans="1:6" ht="13.5" thickBot="1">
      <c r="A59" s="438">
        <v>125</v>
      </c>
      <c r="B59" s="439">
        <v>96.216423034667969</v>
      </c>
      <c r="C59" s="440">
        <v>89.378593444824219</v>
      </c>
      <c r="D59" s="440">
        <v>313.00469970703125</v>
      </c>
      <c r="E59" s="440">
        <v>52.831628312523549</v>
      </c>
      <c r="F59" s="441">
        <v>48.454290846503113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" transitionEvaluation="1"/>
  <dimension ref="A1:U121"/>
  <sheetViews>
    <sheetView showGridLines="0" topLeftCell="A4" zoomScale="90" workbookViewId="0">
      <selection activeCell="Q31" sqref="Q31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251</v>
      </c>
      <c r="B1" s="443"/>
      <c r="C1" s="443"/>
      <c r="D1" s="443"/>
      <c r="E1" s="443"/>
      <c r="F1" s="443"/>
      <c r="G1" s="443"/>
      <c r="H1" s="443"/>
      <c r="I1" s="443"/>
      <c r="J1" s="444" t="s">
        <v>632</v>
      </c>
      <c r="K1" s="445"/>
      <c r="L1" s="446" t="s">
        <v>633</v>
      </c>
      <c r="M1" s="447"/>
      <c r="N1" s="448"/>
    </row>
    <row r="2" spans="1:14" ht="17.100000000000001" customHeight="1">
      <c r="A2" s="450" t="s">
        <v>634</v>
      </c>
      <c r="B2" s="451"/>
      <c r="C2" s="451"/>
      <c r="D2" s="451"/>
      <c r="E2" s="451"/>
      <c r="F2" s="451"/>
      <c r="G2" s="451"/>
      <c r="H2" s="451"/>
      <c r="I2" s="451"/>
      <c r="J2" s="452" t="s">
        <v>635</v>
      </c>
      <c r="K2" s="453"/>
      <c r="L2" s="454" t="s">
        <v>636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637</v>
      </c>
      <c r="K3" s="453"/>
      <c r="L3" s="458" t="s">
        <v>638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639</v>
      </c>
      <c r="K4" s="453"/>
      <c r="L4" s="460" t="s">
        <v>640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641</v>
      </c>
      <c r="K5" s="453"/>
      <c r="L5" s="454">
        <v>1</v>
      </c>
      <c r="M5" s="455"/>
      <c r="N5" s="448"/>
    </row>
    <row r="6" spans="1:14" ht="15.95" customHeight="1">
      <c r="A6" s="461" t="s">
        <v>642</v>
      </c>
      <c r="B6" s="457"/>
      <c r="C6" s="457"/>
      <c r="D6" s="457"/>
      <c r="E6" s="457"/>
      <c r="F6" s="457"/>
      <c r="G6" s="457"/>
      <c r="H6" s="457"/>
      <c r="I6" s="457"/>
      <c r="J6" s="452" t="s">
        <v>643</v>
      </c>
      <c r="K6" s="453"/>
      <c r="L6" s="462" t="s">
        <v>644</v>
      </c>
      <c r="M6" s="455"/>
      <c r="N6" s="448"/>
    </row>
    <row r="7" spans="1:14" ht="15.95" customHeight="1" thickBot="1">
      <c r="A7" s="463" t="s">
        <v>645</v>
      </c>
      <c r="B7" s="464"/>
      <c r="C7" s="464"/>
      <c r="D7" s="464"/>
      <c r="E7" s="464"/>
      <c r="F7" s="464"/>
      <c r="G7" s="464"/>
      <c r="H7" s="464"/>
      <c r="I7" s="464"/>
      <c r="J7" s="465" t="s">
        <v>646</v>
      </c>
      <c r="K7" s="466"/>
      <c r="L7" s="467" t="s">
        <v>647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648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649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650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651</v>
      </c>
      <c r="C13" s="486">
        <v>2000</v>
      </c>
      <c r="D13" s="478"/>
      <c r="E13" s="485" t="s">
        <v>652</v>
      </c>
      <c r="F13" s="486">
        <v>4000</v>
      </c>
      <c r="G13" s="478"/>
      <c r="H13" s="485" t="s">
        <v>653</v>
      </c>
      <c r="I13" s="486" t="s">
        <v>735</v>
      </c>
      <c r="J13" s="478"/>
      <c r="K13" s="478"/>
      <c r="L13" s="485" t="s">
        <v>654</v>
      </c>
      <c r="M13" s="487">
        <v>1200</v>
      </c>
      <c r="N13" s="448"/>
    </row>
    <row r="14" spans="1:14" ht="12.95" customHeight="1">
      <c r="A14" s="484"/>
      <c r="B14" s="485" t="s">
        <v>655</v>
      </c>
      <c r="C14" s="486" t="s">
        <v>177</v>
      </c>
      <c r="D14" s="478"/>
      <c r="E14" s="485" t="s">
        <v>656</v>
      </c>
      <c r="F14" s="486" t="s">
        <v>754</v>
      </c>
      <c r="G14" s="478"/>
      <c r="H14" s="485" t="s">
        <v>657</v>
      </c>
      <c r="I14" s="486">
        <v>252</v>
      </c>
      <c r="J14" s="478"/>
      <c r="K14" s="478"/>
      <c r="L14" s="485" t="s">
        <v>411</v>
      </c>
      <c r="M14" s="487">
        <v>1193</v>
      </c>
      <c r="N14" s="448"/>
    </row>
    <row r="15" spans="1:14" ht="12.95" customHeight="1">
      <c r="A15" s="484"/>
      <c r="B15" s="485" t="s">
        <v>658</v>
      </c>
      <c r="C15" s="486" t="s">
        <v>756</v>
      </c>
      <c r="D15" s="478"/>
      <c r="E15" s="485" t="s">
        <v>659</v>
      </c>
      <c r="F15" s="486">
        <v>1.1499999999999999</v>
      </c>
      <c r="G15" s="478"/>
      <c r="H15" s="488" t="s">
        <v>660</v>
      </c>
      <c r="I15" s="486" t="s">
        <v>174</v>
      </c>
      <c r="J15" s="478"/>
      <c r="K15" s="478"/>
      <c r="L15" s="485" t="s">
        <v>661</v>
      </c>
      <c r="M15" s="487" t="s">
        <v>346</v>
      </c>
      <c r="N15" s="448"/>
    </row>
    <row r="16" spans="1:14" ht="12.95" customHeight="1">
      <c r="A16" s="484"/>
      <c r="B16" s="485" t="s">
        <v>662</v>
      </c>
      <c r="C16" s="486" t="s">
        <v>734</v>
      </c>
      <c r="D16" s="478"/>
      <c r="E16" s="485" t="s">
        <v>663</v>
      </c>
      <c r="F16" s="486" t="s">
        <v>467</v>
      </c>
      <c r="G16" s="478"/>
      <c r="H16" s="489" t="s">
        <v>664</v>
      </c>
      <c r="I16" s="490" t="s">
        <v>346</v>
      </c>
      <c r="J16" s="478"/>
      <c r="K16" s="478"/>
      <c r="L16" s="485" t="s">
        <v>665</v>
      </c>
      <c r="M16" s="487" t="s">
        <v>666</v>
      </c>
      <c r="N16" s="448"/>
    </row>
    <row r="17" spans="1:21" ht="12.95" customHeight="1">
      <c r="A17" s="484"/>
      <c r="B17" s="485" t="s">
        <v>667</v>
      </c>
      <c r="C17" s="491" t="s">
        <v>736</v>
      </c>
      <c r="D17" s="478"/>
      <c r="E17" s="485"/>
      <c r="F17" s="492"/>
      <c r="G17" s="478"/>
      <c r="H17" s="485" t="s">
        <v>668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669</v>
      </c>
      <c r="C18" s="496" t="s">
        <v>174</v>
      </c>
      <c r="D18" s="497"/>
      <c r="E18" s="498" t="s">
        <v>670</v>
      </c>
      <c r="F18" s="496" t="s">
        <v>174</v>
      </c>
      <c r="G18" s="499"/>
      <c r="H18" s="498" t="s">
        <v>671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672</v>
      </c>
      <c r="B21" s="502"/>
      <c r="C21" s="471"/>
      <c r="D21" s="503"/>
      <c r="E21" s="504" t="s">
        <v>673</v>
      </c>
      <c r="F21" s="505"/>
      <c r="G21" s="505"/>
      <c r="H21" s="506"/>
      <c r="I21" s="507" t="s">
        <v>674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675</v>
      </c>
      <c r="D22" s="512">
        <v>1466</v>
      </c>
      <c r="E22" s="485"/>
      <c r="G22" s="489" t="s">
        <v>676</v>
      </c>
      <c r="H22" s="513">
        <v>8805</v>
      </c>
      <c r="I22" s="511"/>
      <c r="J22" s="478"/>
      <c r="K22" s="511" t="s">
        <v>677</v>
      </c>
      <c r="L22" s="719" t="s">
        <v>752</v>
      </c>
      <c r="M22" s="720"/>
    </row>
    <row r="23" spans="1:21" ht="15.95" customHeight="1">
      <c r="A23" s="510"/>
      <c r="B23" s="511"/>
      <c r="C23" s="514"/>
      <c r="D23" s="515"/>
      <c r="E23" s="485"/>
      <c r="G23" s="485" t="s">
        <v>678</v>
      </c>
      <c r="H23" s="512">
        <v>85</v>
      </c>
      <c r="I23" s="478"/>
      <c r="J23" s="478"/>
      <c r="K23" s="485" t="s">
        <v>679</v>
      </c>
      <c r="L23" s="719" t="s">
        <v>752</v>
      </c>
      <c r="M23" s="720"/>
    </row>
    <row r="24" spans="1:21" ht="15.95" customHeight="1">
      <c r="A24" s="484"/>
      <c r="B24" s="485"/>
      <c r="C24" s="478"/>
      <c r="D24" s="515"/>
      <c r="E24" s="485"/>
      <c r="G24" s="489" t="s">
        <v>680</v>
      </c>
      <c r="H24" s="512">
        <v>235</v>
      </c>
      <c r="I24" s="478"/>
      <c r="J24" s="485"/>
      <c r="K24" s="478"/>
      <c r="L24" s="478"/>
      <c r="M24" s="493"/>
      <c r="O24" s="565"/>
      <c r="P24" s="565"/>
      <c r="Q24" s="565"/>
      <c r="R24" s="565"/>
      <c r="S24" s="565"/>
      <c r="T24" s="565"/>
      <c r="U24" s="565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65"/>
      <c r="P25" s="565"/>
      <c r="Q25" s="565"/>
      <c r="R25" s="565"/>
      <c r="S25" s="565"/>
      <c r="T25" s="565"/>
      <c r="U25" s="565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5"/>
      <c r="P27" s="547"/>
      <c r="Q27" s="113"/>
      <c r="R27" s="113"/>
      <c r="S27" s="113"/>
      <c r="T27" s="113"/>
      <c r="U27" s="565"/>
    </row>
    <row r="28" spans="1:21" ht="15.95" customHeight="1" thickTop="1">
      <c r="A28" s="524" t="s">
        <v>681</v>
      </c>
      <c r="B28" s="502"/>
      <c r="C28" s="471"/>
      <c r="D28" s="471"/>
      <c r="E28" s="505"/>
      <c r="F28" s="505"/>
      <c r="G28" s="525"/>
      <c r="H28" s="504" t="s">
        <v>682</v>
      </c>
      <c r="I28" s="505"/>
      <c r="J28" s="508"/>
      <c r="K28" s="504"/>
      <c r="L28" s="508"/>
      <c r="M28" s="509"/>
      <c r="O28" s="565"/>
      <c r="P28" s="547"/>
      <c r="Q28" s="546"/>
      <c r="R28" s="546"/>
      <c r="S28" s="546"/>
      <c r="T28" s="546"/>
      <c r="U28" s="565"/>
    </row>
    <row r="29" spans="1:21" ht="15.95" customHeight="1">
      <c r="A29" s="484"/>
      <c r="B29" s="511"/>
      <c r="C29" s="511" t="s">
        <v>683</v>
      </c>
      <c r="D29" s="526">
        <v>96.2</v>
      </c>
      <c r="E29" s="485"/>
      <c r="F29" s="485"/>
      <c r="G29" s="525"/>
      <c r="H29" s="489"/>
      <c r="I29" s="511"/>
      <c r="J29" s="511" t="s">
        <v>683</v>
      </c>
      <c r="K29" s="526">
        <v>89</v>
      </c>
      <c r="L29" s="478"/>
      <c r="M29" s="493"/>
      <c r="O29" s="565"/>
      <c r="P29" s="547"/>
      <c r="Q29" s="114"/>
      <c r="R29" s="114"/>
      <c r="S29" s="114"/>
      <c r="T29" s="114"/>
      <c r="U29" s="565"/>
    </row>
    <row r="30" spans="1:21" ht="15.95" customHeight="1">
      <c r="A30" s="527"/>
      <c r="B30" s="478"/>
      <c r="C30" s="511" t="s">
        <v>684</v>
      </c>
      <c r="D30" s="526">
        <v>95.9</v>
      </c>
      <c r="E30" s="485"/>
      <c r="F30" s="485"/>
      <c r="G30" s="525"/>
      <c r="H30" s="485"/>
      <c r="I30" s="478"/>
      <c r="J30" s="511" t="s">
        <v>684</v>
      </c>
      <c r="K30" s="526">
        <v>87.1</v>
      </c>
      <c r="L30" s="478"/>
      <c r="M30" s="493"/>
      <c r="O30" s="565"/>
      <c r="P30" s="547"/>
      <c r="Q30" s="114"/>
      <c r="R30" s="114"/>
      <c r="S30" s="114"/>
      <c r="T30" s="114"/>
      <c r="U30" s="565"/>
    </row>
    <row r="31" spans="1:21" ht="15.95" customHeight="1">
      <c r="A31" s="484"/>
      <c r="B31" s="485"/>
      <c r="C31" s="511" t="s">
        <v>685</v>
      </c>
      <c r="D31" s="526">
        <v>95.1</v>
      </c>
      <c r="E31" s="485"/>
      <c r="F31" s="485"/>
      <c r="G31" s="525"/>
      <c r="H31" s="485"/>
      <c r="I31" s="478"/>
      <c r="J31" s="511" t="s">
        <v>685</v>
      </c>
      <c r="K31" s="526">
        <v>81.2</v>
      </c>
      <c r="L31" s="485"/>
      <c r="M31" s="493"/>
      <c r="O31" s="565"/>
      <c r="P31" s="565"/>
      <c r="Q31" s="565"/>
      <c r="R31" s="565"/>
      <c r="S31" s="565"/>
      <c r="T31" s="565"/>
      <c r="U31" s="565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65"/>
      <c r="P32" s="565"/>
      <c r="Q32" s="565"/>
      <c r="R32" s="565"/>
      <c r="S32" s="565"/>
      <c r="T32" s="565"/>
      <c r="U32" s="565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5" customHeight="1" thickTop="1">
      <c r="A35" s="534" t="s">
        <v>686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5" customHeight="1">
      <c r="A36" s="527" t="s">
        <v>687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5" customHeight="1">
      <c r="A37" s="536" t="s">
        <v>688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5" customHeight="1">
      <c r="A38" s="538" t="s">
        <v>689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5" customHeight="1">
      <c r="A39" s="539" t="s">
        <v>690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5" customHeight="1" thickBot="1">
      <c r="A40" s="540" t="s">
        <v>691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5" customHeight="1"/>
    <row r="43" spans="1:14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692</v>
      </c>
      <c r="K43" s="721" t="s">
        <v>333</v>
      </c>
      <c r="L43" s="721"/>
      <c r="M43" s="721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6.5">
      <c r="H45" s="448"/>
      <c r="I45" s="448"/>
      <c r="J45" s="544" t="s">
        <v>693</v>
      </c>
      <c r="K45" s="722">
        <v>41992</v>
      </c>
      <c r="L45" s="722"/>
      <c r="M45" s="722"/>
    </row>
    <row r="60" spans="1:5">
      <c r="A60" s="449" t="s">
        <v>174</v>
      </c>
      <c r="B60" s="449" t="s">
        <v>752</v>
      </c>
      <c r="D60" s="449">
        <v>1</v>
      </c>
      <c r="E60" s="545" t="s">
        <v>174</v>
      </c>
    </row>
    <row r="61" spans="1:5">
      <c r="A61" s="449" t="s">
        <v>694</v>
      </c>
      <c r="B61" s="449" t="s">
        <v>695</v>
      </c>
      <c r="D61" s="449">
        <v>1.1499999999999999</v>
      </c>
      <c r="E61" s="545" t="s">
        <v>350</v>
      </c>
    </row>
    <row r="62" spans="1:5">
      <c r="A62" s="449" t="s">
        <v>696</v>
      </c>
      <c r="B62" s="449" t="s">
        <v>697</v>
      </c>
      <c r="E62" s="545" t="s">
        <v>302</v>
      </c>
    </row>
    <row r="63" spans="1:5">
      <c r="B63" s="449" t="s">
        <v>698</v>
      </c>
    </row>
    <row r="64" spans="1:5">
      <c r="B64" s="449" t="s">
        <v>699</v>
      </c>
    </row>
    <row r="65" spans="2:2">
      <c r="B65" s="449" t="s">
        <v>700</v>
      </c>
    </row>
    <row r="66" spans="2:2">
      <c r="B66" s="449" t="s">
        <v>701</v>
      </c>
    </row>
    <row r="67" spans="2:2">
      <c r="B67" s="449" t="s">
        <v>702</v>
      </c>
    </row>
    <row r="68" spans="2:2">
      <c r="B68" s="449" t="s">
        <v>703</v>
      </c>
    </row>
    <row r="69" spans="2:2">
      <c r="B69" s="449" t="s">
        <v>704</v>
      </c>
    </row>
    <row r="70" spans="2:2">
      <c r="B70" s="449" t="s">
        <v>705</v>
      </c>
    </row>
    <row r="71" spans="2:2">
      <c r="B71" s="449" t="s">
        <v>706</v>
      </c>
    </row>
    <row r="72" spans="2:2">
      <c r="B72" s="449" t="s">
        <v>707</v>
      </c>
    </row>
    <row r="73" spans="2:2">
      <c r="B73" s="449" t="s">
        <v>708</v>
      </c>
    </row>
    <row r="74" spans="2:2">
      <c r="B74" s="449" t="s">
        <v>709</v>
      </c>
    </row>
    <row r="75" spans="2:2">
      <c r="B75" s="449" t="s">
        <v>710</v>
      </c>
    </row>
    <row r="76" spans="2:2">
      <c r="B76" s="449" t="s">
        <v>711</v>
      </c>
    </row>
    <row r="77" spans="2:2">
      <c r="B77" s="449" t="s">
        <v>712</v>
      </c>
    </row>
    <row r="78" spans="2:2">
      <c r="B78" s="449" t="s">
        <v>713</v>
      </c>
    </row>
    <row r="79" spans="2:2">
      <c r="B79" s="449" t="s">
        <v>714</v>
      </c>
    </row>
    <row r="80" spans="2:2">
      <c r="B80" s="449" t="s">
        <v>715</v>
      </c>
    </row>
    <row r="81" spans="2:2">
      <c r="B81" s="449">
        <v>6312</v>
      </c>
    </row>
    <row r="82" spans="2:2">
      <c r="B82" s="449" t="s">
        <v>716</v>
      </c>
    </row>
    <row r="83" spans="2:2">
      <c r="B83" s="449" t="s">
        <v>717</v>
      </c>
    </row>
    <row r="84" spans="2:2">
      <c r="B84" s="449" t="s">
        <v>718</v>
      </c>
    </row>
    <row r="85" spans="2:2">
      <c r="B85" s="449" t="s">
        <v>719</v>
      </c>
    </row>
    <row r="86" spans="2:2">
      <c r="B86" s="449">
        <v>6313</v>
      </c>
    </row>
    <row r="87" spans="2:2">
      <c r="B87" s="449" t="s">
        <v>720</v>
      </c>
    </row>
    <row r="88" spans="2:2">
      <c r="B88" s="449" t="s">
        <v>721</v>
      </c>
    </row>
    <row r="89" spans="2:2">
      <c r="B89" s="449" t="s">
        <v>722</v>
      </c>
    </row>
    <row r="90" spans="2:2">
      <c r="B90" s="449">
        <v>6314</v>
      </c>
    </row>
    <row r="91" spans="2:2">
      <c r="B91" s="449" t="s">
        <v>723</v>
      </c>
    </row>
    <row r="92" spans="2:2">
      <c r="B92" s="449">
        <v>6317</v>
      </c>
    </row>
    <row r="93" spans="2:2">
      <c r="B93" s="449" t="s">
        <v>724</v>
      </c>
    </row>
    <row r="94" spans="2:2">
      <c r="B94" s="449">
        <v>6318</v>
      </c>
    </row>
    <row r="95" spans="2:2">
      <c r="B95" s="449" t="s">
        <v>725</v>
      </c>
    </row>
    <row r="96" spans="2:2">
      <c r="B96" s="449" t="s">
        <v>726</v>
      </c>
    </row>
    <row r="97" spans="2:2">
      <c r="B97" s="449" t="s">
        <v>727</v>
      </c>
    </row>
    <row r="98" spans="2:2">
      <c r="B98" s="449">
        <v>6320</v>
      </c>
    </row>
    <row r="99" spans="2:2">
      <c r="B99" s="449" t="s">
        <v>728</v>
      </c>
    </row>
    <row r="100" spans="2:2">
      <c r="B100" s="449" t="s">
        <v>729</v>
      </c>
    </row>
    <row r="101" spans="2:2">
      <c r="B101" s="449" t="s">
        <v>730</v>
      </c>
    </row>
    <row r="102" spans="2:2">
      <c r="B102" s="449" t="s">
        <v>731</v>
      </c>
    </row>
    <row r="103" spans="2:2">
      <c r="B103" s="449" t="s">
        <v>731</v>
      </c>
    </row>
    <row r="119" spans="2:2">
      <c r="B119" s="449" t="s">
        <v>732</v>
      </c>
    </row>
    <row r="121" spans="2:2">
      <c r="B121" s="449" t="s">
        <v>733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2015-01-14T21:21:52Z</cp:lastPrinted>
  <dcterms:created xsi:type="dcterms:W3CDTF">1997-10-03T20:37:30Z</dcterms:created>
  <dcterms:modified xsi:type="dcterms:W3CDTF">2015-01-14T21:23:55Z</dcterms:modified>
</cp:coreProperties>
</file>