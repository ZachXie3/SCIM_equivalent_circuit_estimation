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77" activeTab="1"/>
  </bookViews>
  <sheets>
    <sheet name="DesignSheet" sheetId="2" r:id="rId1"/>
    <sheet name="Data Sheet" sheetId="3" r:id="rId2"/>
    <sheet name="LoginSheet" sheetId="4" r:id="rId3"/>
    <sheet name="Form" sheetId="8" r:id="rId4"/>
    <sheet name="STCurve" sheetId="5" r:id="rId5"/>
    <sheet name="StallTime" sheetId="6" r:id="rId6"/>
    <sheet name="Thermdam" sheetId="7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5"/>
  <c r="F9" i="10"/>
  <c r="F8" i="10"/>
  <c r="F7" i="10"/>
  <c r="B7" i="10"/>
  <c r="B6" i="10"/>
  <c r="F9" i="5"/>
  <c r="F8" i="5"/>
  <c r="F7" i="5"/>
  <c r="B7" i="5"/>
  <c r="B6" i="5"/>
  <c r="D43" i="7"/>
  <c r="F9" i="7"/>
  <c r="F8" i="7"/>
  <c r="F7" i="7"/>
  <c r="B7" i="7"/>
  <c r="B6" i="7"/>
  <c r="C76" i="7"/>
  <c r="C77" i="7" s="1"/>
  <c r="C78" i="7" s="1"/>
  <c r="B76" i="7"/>
  <c r="C75" i="7"/>
  <c r="C74" i="7"/>
  <c r="B74" i="7"/>
  <c r="C69" i="7"/>
  <c r="E68" i="7"/>
  <c r="D66" i="7"/>
  <c r="F50" i="7"/>
  <c r="M28" i="3"/>
  <c r="M18" i="3"/>
  <c r="B69" i="7" l="1"/>
  <c r="B75" i="7" s="1"/>
  <c r="B70" i="7" l="1"/>
  <c r="C70" i="7"/>
  <c r="C71" i="7" l="1"/>
  <c r="A72" i="7"/>
  <c r="B71" i="7"/>
  <c r="B72" i="7" l="1"/>
  <c r="A73" i="7"/>
  <c r="B73" i="7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<sst xmlns="http://schemas.openxmlformats.org/spreadsheetml/2006/main" count="1000" uniqueCount="762">
  <si>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</si>
  <si>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</si>
  <si>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</si>
  <si>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</si>
  <si>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</si>
  <si>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</si>
  <si>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</si>
  <si>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</si>
  <si>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</si>
  <si>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</si>
  <si>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</si>
  <si>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</si>
  <si>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</si>
  <si>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</si>
  <si>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</si>
  <si>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</si>
  <si>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</si>
  <si>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</si>
  <si>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</si>
  <si>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</si>
  <si>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</si>
  <si>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</si>
  <si>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</si>
  <si>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</si>
  <si>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</si>
  <si>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</si>
  <si>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</si>
  <si>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</si>
  <si>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</si>
  <si>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</si>
  <si>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</si>
  <si>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</si>
  <si>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</si>
  <si>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</si>
  <si>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</si>
  <si>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</si>
  <si>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</si>
  <si>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</si>
  <si>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</si>
  <si>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</si>
  <si>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</si>
  <si>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</si>
  <si>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</si>
  <si>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</si>
  <si>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</si>
  <si>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</si>
  <si>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</si>
  <si>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</si>
  <si>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</si>
  <si>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</si>
  <si>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</si>
  <si>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</si>
  <si>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</si>
  <si>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</si>
  <si>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</si>
  <si>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</si>
  <si>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</si>
  <si>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</si>
  <si>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</si>
  <si>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</si>
  <si>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</si>
  <si>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</si>
  <si>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</si>
  <si>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</si>
  <si>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</si>
  <si>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</si>
  <si>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</si>
  <si>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</si>
  <si>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</si>
  <si>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</si>
  <si>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</si>
  <si>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</si>
  <si>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</si>
  <si>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</si>
  <si>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</si>
  <si>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</si>
  <si>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</si>
  <si>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</si>
  <si>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</si>
  <si>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</si>
  <si>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</si>
  <si>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</si>
  <si>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</si>
  <si>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</si>
  <si>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</si>
  <si>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</si>
  <si>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</si>
  <si>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</si>
  <si>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</si>
  <si>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</si>
  <si>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</si>
  <si>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</si>
  <si>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</si>
  <si>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</si>
  <si>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</si>
  <si>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</si>
  <si>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</si>
  <si>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</si>
  <si>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</si>
  <si>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</si>
  <si>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</si>
  <si>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</si>
  <si>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</si>
  <si>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</si>
  <si>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</si>
  <si>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</si>
  <si>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</si>
  <si>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</si>
  <si>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</si>
  <si>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</si>
  <si>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</si>
  <si>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</si>
  <si>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</si>
  <si>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</si>
  <si>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</si>
  <si>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</si>
  <si>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</si>
  <si>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</si>
  <si>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</si>
  <si>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</si>
  <si>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</si>
  <si>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</si>
  <si>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</si>
  <si>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</si>
  <si>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</si>
  <si>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</si>
  <si>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</si>
  <si>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</si>
  <si>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</si>
  <si>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</si>
  <si>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</si>
  <si>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</si>
  <si>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</si>
  <si>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</si>
  <si>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</si>
  <si>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</si>
  <si>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</si>
  <si>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</si>
  <si>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</si>
  <si>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</si>
  <si>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</si>
  <si>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</si>
  <si>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</si>
  <si>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</si>
  <si>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</si>
  <si>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</si>
  <si>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</si>
  <si>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</si>
  <si>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</si>
  <si>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</si>
  <si>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</si>
  <si>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</si>
  <si>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</si>
  <si>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</si>
  <si>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</si>
  <si>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</si>
  <si>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</si>
  <si>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</si>
  <si>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</si>
  <si>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</si>
  <si>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</si>
  <si>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</si>
  <si>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</si>
  <si>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</si>
  <si>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</si>
  <si>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</si>
  <si>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</si>
  <si>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</si>
  <si>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</si>
  <si>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</si>
  <si>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</si>
  <si>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</si>
  <si>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</si>
  <si>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</si>
  <si>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</si>
  <si>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</si>
  <si>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</si>
  <si>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</si>
  <si>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</si>
  <si>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</si>
  <si>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</si>
  <si>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</si>
  <si>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</si>
  <si>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26 x 6</t>
  </si>
  <si>
    <t>1 ~ 11</t>
  </si>
  <si>
    <t>(.091"x.182")x2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</si>
  <si>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</si>
  <si>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</si>
  <si>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</si>
  <si>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</si>
  <si>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</si>
  <si>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</si>
  <si>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</si>
  <si>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</si>
  <si>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</si>
  <si>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</si>
  <si>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</si>
  <si>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</si>
  <si>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</si>
  <si>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0.0590)</t>
  </si>
  <si>
    <t>Skew R.: 0.00</t>
  </si>
  <si>
    <t>Z:\Motor R&amp;D\Active Projects\6810 Development\Electrical Design\TEAAC\6P\Series\BS6M25U.rat</t>
  </si>
  <si>
    <t>2-2-2-0-1-2</t>
  </si>
  <si>
    <t>B.L.-1  P.F.-1</t>
  </si>
  <si>
    <t>10862.0 / 9837.4</t>
  </si>
  <si>
    <t>6698.1 / 6593.6</t>
  </si>
  <si>
    <t>22114.3 / 15591.5</t>
  </si>
  <si>
    <t>10116.0 / 9343.1</t>
  </si>
  <si>
    <t>11538.5 / 4372.4</t>
  </si>
  <si>
    <t>1688.1 / 639.7</t>
  </si>
  <si>
    <t>9850.4 / 3732.7</t>
  </si>
  <si>
    <t>1.75 / 0.66</t>
  </si>
  <si>
    <t>57 / 57</t>
  </si>
  <si>
    <t>Temp. Rise @ 100%:</t>
  </si>
  <si>
    <t>Stray Loss</t>
  </si>
  <si>
    <t>0.909 / 0.904</t>
  </si>
  <si>
    <t>0.947 / 0.942</t>
  </si>
  <si>
    <t>0.957 / 0.952</t>
  </si>
  <si>
    <t>0.960 / 0.955</t>
  </si>
  <si>
    <t>0.680 / 0.672</t>
  </si>
  <si>
    <t>0.850 / 0.839</t>
  </si>
  <si>
    <t>0.897 / 0.886</t>
  </si>
  <si>
    <t>0.911 / 0.899</t>
  </si>
  <si>
    <t>54.41 / 55.41</t>
  </si>
  <si>
    <t>83.61 / 85.15</t>
  </si>
  <si>
    <t>117.56 / 119.72</t>
  </si>
  <si>
    <t>153.86 / 156.69</t>
  </si>
  <si>
    <t>192.24 / 195.78</t>
  </si>
  <si>
    <t>3.71 / 3.78</t>
  </si>
  <si>
    <t>UB: 3.27 / 3.33</t>
  </si>
  <si>
    <t>UER: 2.83 / 2.88</t>
  </si>
  <si>
    <t>1197.9 / 1198.0</t>
  </si>
  <si>
    <t>1195.9 / 1196.0</t>
  </si>
  <si>
    <t>1193.9 / 1194.0</t>
  </si>
  <si>
    <t>1191.8 / 1191.9</t>
  </si>
  <si>
    <t>1189.7 / 1189.8</t>
  </si>
  <si>
    <t>0.0017 / 0.0016</t>
  </si>
  <si>
    <t>0.0034 / 0.0033</t>
  </si>
  <si>
    <t>0.0051 / 0.0050</t>
  </si>
  <si>
    <t>0.0069 / 0.0068</t>
  </si>
  <si>
    <t>0.0086 / 0.0085</t>
  </si>
  <si>
    <t>36.565 / 32.438</t>
  </si>
  <si>
    <t>1.664 / 1.476</t>
  </si>
  <si>
    <t>36.60 / 32.47</t>
  </si>
  <si>
    <t>887.6 / 845.4</t>
  </si>
  <si>
    <t>576.9 / 549.5</t>
  </si>
  <si>
    <t>685.6 / 590.3</t>
  </si>
  <si>
    <t>90.0 / 77.5</t>
  </si>
  <si>
    <t>253.8 / 223.9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</si>
  <si>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</si>
  <si>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</si>
  <si>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</si>
  <si>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</si>
  <si>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</si>
  <si>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</si>
  <si>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</si>
  <si>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</si>
  <si>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</si>
  <si>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</si>
  <si>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</si>
  <si>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</si>
  <si>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</si>
  <si>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</si>
  <si>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</si>
  <si>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</si>
  <si>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</si>
  <si>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</si>
  <si>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</si>
  <si>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</si>
  <si>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</si>
  <si>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</si>
  <si>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</si>
  <si>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</si>
  <si>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</si>
  <si>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</si>
  <si>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</si>
  <si>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</si>
  <si>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</si>
  <si>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</si>
  <si>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</si>
  <si>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</si>
  <si>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</si>
  <si>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</si>
  <si>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</si>
  <si>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</si>
  <si>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</si>
  <si>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</si>
  <si>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</si>
  <si>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</si>
  <si>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</si>
  <si>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</si>
  <si>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</si>
  <si>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</si>
  <si>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</si>
  <si>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</si>
  <si>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</si>
  <si>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</si>
  <si>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</si>
  <si>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</si>
  <si>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</si>
  <si>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</si>
  <si>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</si>
  <si>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</si>
  <si>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</si>
  <si>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</si>
  <si>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</si>
  <si>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</si>
  <si>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</si>
  <si>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</si>
  <si>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</si>
  <si>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</si>
  <si>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</si>
  <si>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</si>
  <si>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</si>
  <si>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</si>
  <si>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</si>
  <si>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</si>
  <si>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</si>
  <si>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</si>
  <si>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</si>
  <si>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</si>
  <si>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</si>
  <si>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</si>
  <si>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</si>
  <si>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</si>
  <si>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</si>
  <si>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</si>
  <si>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</si>
  <si>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</si>
  <si>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</si>
  <si>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</si>
  <si>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</si>
  <si>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</si>
  <si>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</si>
  <si>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</si>
  <si>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</si>
  <si>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</si>
  <si>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</si>
  <si>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</si>
  <si>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</si>
  <si>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</si>
  <si>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</si>
  <si>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</si>
  <si>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</si>
  <si>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</si>
  <si>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</si>
  <si>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</si>
  <si>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</si>
  <si>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</si>
  <si>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</si>
  <si>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</si>
  <si>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</si>
  <si>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</si>
  <si>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</si>
  <si>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</si>
  <si>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</si>
  <si>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</si>
  <si>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</si>
  <si>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</si>
  <si>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</si>
  <si>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</si>
  <si>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17 x 2</t>
  </si>
  <si>
    <t>2 x Wye</t>
  </si>
  <si>
    <t xml:space="preserve"> - </t>
  </si>
  <si>
    <t>57 / 75</t>
  </si>
  <si>
    <t>378 / 2034</t>
  </si>
  <si>
    <t>333 / 288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</si>
  <si>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</si>
  <si>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</si>
  <si>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</si>
  <si>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</si>
  <si>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</si>
  <si>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</si>
  <si>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</si>
  <si>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</si>
  <si>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</si>
  <si>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</si>
  <si>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</si>
  <si>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</si>
  <si>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</si>
  <si>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</si>
  <si>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</si>
  <si>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</si>
  <si>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</si>
  <si>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</si>
  <si>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</si>
  <si>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</si>
  <si>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</si>
  <si>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</si>
  <si>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</si>
  <si>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</si>
  <si>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</si>
  <si>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</si>
  <si>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</si>
  <si>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</si>
  <si>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</si>
  <si>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</si>
  <si>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1368.8 lb-ft²</t>
  </si>
  <si>
    <t>845 A</t>
  </si>
  <si>
    <t>Load</t>
  </si>
  <si>
    <t>Fan / Pump</t>
  </si>
  <si>
    <t>1918.1 kg.m²</t>
  </si>
  <si>
    <t>Acceleration Data (FV V)</t>
  </si>
  <si>
    <t>17.5 (s)</t>
  </si>
  <si>
    <t>762.1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</si>
  <si>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</si>
  <si>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</si>
  <si>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</si>
  <si>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</si>
  <si>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</si>
  <si>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</si>
  <si>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</si>
  <si>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</si>
  <si>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</si>
  <si>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</si>
  <si>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</si>
  <si>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</si>
  <si>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</si>
  <si>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</si>
  <si>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</si>
  <si>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</si>
  <si>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</si>
  <si>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</si>
  <si>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</si>
  <si>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</si>
  <si>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</si>
  <si>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</si>
  <si>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</si>
  <si>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</si>
  <si>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</si>
  <si>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</si>
  <si>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</si>
  <si>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</si>
  <si>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</si>
  <si>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</si>
  <si>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</si>
  <si>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</si>
  <si>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</si>
  <si>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</si>
  <si>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</si>
  <si>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</si>
  <si>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</si>
  <si>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</si>
  <si>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</si>
  <si>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- 1250.0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</si>
  <si>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</si>
  <si>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</si>
  <si>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</si>
  <si>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</si>
  <si>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</si>
  <si>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</si>
  <si>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</si>
  <si>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</si>
  <si>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</si>
  <si>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</si>
  <si>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</si>
  <si>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</si>
  <si>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</si>
  <si>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- 11379.0 lb-ft²</t>
  </si>
  <si>
    <t>75.1</t>
  </si>
  <si>
    <t>75.3</t>
  </si>
  <si>
    <t>75.7</t>
  </si>
  <si>
    <t>76.3</t>
  </si>
  <si>
    <t>77.3</t>
  </si>
  <si>
    <t>79.0</t>
  </si>
  <si>
    <t>81.9</t>
  </si>
  <si>
    <t>87.5</t>
  </si>
  <si>
    <t>97.5</t>
  </si>
  <si>
    <t>116.9</t>
  </si>
  <si>
    <t>175.1</t>
  </si>
  <si>
    <t>161.6</t>
  </si>
  <si>
    <t>101.6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</si>
  <si>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</si>
  <si>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</si>
  <si>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</si>
  <si>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</si>
  <si>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</si>
  <si>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</si>
  <si>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</si>
  <si>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</si>
  <si>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</si>
  <si>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</si>
  <si>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</si>
  <si>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</si>
  <si>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</si>
  <si>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1.784</t>
  </si>
  <si>
    <t>1.469</t>
  </si>
  <si>
    <t>1.371</t>
  </si>
  <si>
    <t>1.369</t>
  </si>
  <si>
    <t>1.447</t>
  </si>
  <si>
    <t>1.599</t>
  </si>
  <si>
    <t>1.862</t>
  </si>
  <si>
    <t>2.362</t>
  </si>
  <si>
    <t>1.399</t>
  </si>
  <si>
    <t>1.181</t>
  </si>
  <si>
    <t>0.558</t>
  </si>
  <si>
    <t>0.115</t>
  </si>
  <si>
    <t>1.003</t>
  </si>
  <si>
    <t>842.1</t>
  </si>
  <si>
    <t>835.6</t>
  </si>
  <si>
    <t>828.0</t>
  </si>
  <si>
    <t>818.4</t>
  </si>
  <si>
    <t>806.2</t>
  </si>
  <si>
    <t>791.0</t>
  </si>
  <si>
    <t>772.2</t>
  </si>
  <si>
    <t>748.2</t>
  </si>
  <si>
    <t>724.5</t>
  </si>
  <si>
    <t>695.8</t>
  </si>
  <si>
    <t>618.9</t>
  </si>
  <si>
    <t>369.2</t>
  </si>
  <si>
    <t>117.7</t>
  </si>
  <si>
    <t>584.5</t>
  </si>
  <si>
    <t>474.6</t>
  </si>
  <si>
    <t>435.5</t>
  </si>
  <si>
    <t>426.1</t>
  </si>
  <si>
    <t>438.7</t>
  </si>
  <si>
    <t>468.8</t>
  </si>
  <si>
    <t>523.3</t>
  </si>
  <si>
    <t>629.1</t>
  </si>
  <si>
    <t>346.4</t>
  </si>
  <si>
    <t>276.7</t>
  </si>
  <si>
    <t>117.5</t>
  </si>
  <si>
    <t>16.6</t>
  </si>
  <si>
    <t>1131.4</t>
  </si>
  <si>
    <t>836.2</t>
  </si>
  <si>
    <t>691.9</t>
  </si>
  <si>
    <t>603.7</t>
  </si>
  <si>
    <t>547.0</t>
  </si>
  <si>
    <t>505.0</t>
  </si>
  <si>
    <t>472.5</t>
  </si>
  <si>
    <t>452.2</t>
  </si>
  <si>
    <t>359.5</t>
  </si>
  <si>
    <t>236.3</t>
  </si>
  <si>
    <t>76.4</t>
  </si>
  <si>
    <t>27.8</t>
  </si>
  <si>
    <t>313.1</t>
  </si>
  <si>
    <t>4749 kW / s</t>
  </si>
  <si>
    <t>5381 kW / s</t>
  </si>
  <si>
    <t>872 kW / s</t>
  </si>
  <si>
    <t>41°C</t>
  </si>
  <si>
    <t>67°C</t>
  </si>
  <si>
    <t>52°C</t>
  </si>
  <si>
    <t>82°C</t>
  </si>
  <si>
    <t>134°C</t>
  </si>
  <si>
    <t>103°C</t>
  </si>
  <si>
    <t>Acceleration Time:  17.5 s</t>
  </si>
  <si>
    <t>3.2°C / s</t>
  </si>
  <si>
    <t>7.5°C / s</t>
  </si>
  <si>
    <t>5.8°C / s</t>
  </si>
  <si>
    <t>368.0 kW</t>
  </si>
  <si>
    <t>601.8 kW</t>
  </si>
  <si>
    <t>97.6 kW</t>
  </si>
  <si>
    <t>50.6 s</t>
  </si>
  <si>
    <t>34.8 s</t>
  </si>
  <si>
    <t>31.1 s</t>
  </si>
  <si>
    <t>57°C    +</t>
  </si>
  <si>
    <t>74°C    +</t>
  </si>
  <si>
    <t>103°C    +</t>
  </si>
  <si>
    <t>186°C   +</t>
  </si>
  <si>
    <t>106°C   +</t>
  </si>
  <si>
    <t>32.6 s</t>
  </si>
  <si>
    <t>24.9 s</t>
  </si>
  <si>
    <t>18.3 s</t>
  </si>
  <si>
    <t>61.8 s</t>
  </si>
  <si>
    <t>36.4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</si>
  <si>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</si>
  <si>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</si>
  <si>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</si>
  <si>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</si>
  <si>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</si>
  <si>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</si>
  <si>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11379.0 lb-ft²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</si>
  <si>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</si>
  <si>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</si>
  <si>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</si>
  <si>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</si>
  <si>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</si>
  <si>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</si>
  <si>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</si>
  <si>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</si>
  <si>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</si>
  <si>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</si>
  <si>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</si>
  <si>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</si>
  <si>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1339.0</t>
  </si>
  <si>
    <t xml:space="preserve">8T: </t>
  </si>
  <si>
    <t xml:space="preserve">9T: </t>
  </si>
  <si>
    <t>0.0186 ~ 0.0179</t>
  </si>
  <si>
    <t>0.0209 ~ 0.0201</t>
  </si>
  <si>
    <t>AWG. 1/0 x 3</t>
  </si>
  <si>
    <t>0.00115</t>
  </si>
  <si>
    <t>8T: 20.09</t>
  </si>
  <si>
    <t>9T: 22.60</t>
  </si>
  <si>
    <t>8T: 9.65</t>
  </si>
  <si>
    <t>9T: 9.65</t>
  </si>
  <si>
    <t>13.30 ~ 12.90</t>
  </si>
  <si>
    <t>16.48</t>
  </si>
  <si>
    <t>3.55</t>
  </si>
  <si>
    <t xml:space="preserve"> (.091"x.182")x 2: </t>
  </si>
  <si>
    <t>686 lbs.</t>
  </si>
  <si>
    <t/>
  </si>
  <si>
    <t xml:space="preserve">1-2, 2-3, 3-1: </t>
  </si>
  <si>
    <t>0.242 ~ 0.228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</si>
  <si>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</si>
  <si>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</si>
  <si>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</si>
  <si>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</si>
  <si>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</si>
  <si>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</si>
  <si>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</si>
  <si>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</si>
  <si>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</si>
  <si>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</si>
  <si>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</si>
  <si>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</si>
  <si>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</si>
  <si>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</si>
  <si>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</si>
  <si>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</si>
  <si>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</si>
  <si>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</si>
  <si>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</si>
  <si>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</si>
  <si>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</si>
  <si>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</si>
  <si>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1272.0 Hz</t>
  </si>
  <si>
    <t>1040.0 Hz</t>
  </si>
  <si>
    <t>1032.0 Hz</t>
  </si>
  <si>
    <t>1160.0 Hz</t>
  </si>
  <si>
    <t>1152.0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</si>
  <si>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</si>
  <si>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</si>
  <si>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</si>
  <si>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</si>
  <si>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</si>
  <si>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</si>
  <si>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</si>
  <si>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</si>
  <si>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</si>
  <si>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</si>
  <si>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</si>
  <si>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</si>
  <si>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</si>
  <si>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</si>
  <si>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</si>
  <si>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</si>
  <si>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</si>
  <si>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</si>
  <si>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</si>
  <si>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</si>
  <si>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</si>
  <si>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</si>
  <si>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</si>
  <si>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</si>
  <si>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</si>
  <si>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</si>
  <si>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</si>
  <si>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</si>
  <si>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</si>
  <si>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</si>
  <si>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</si>
  <si>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</si>
  <si>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</si>
  <si>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</si>
  <si>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</si>
  <si>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</si>
  <si>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</si>
  <si>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</si>
  <si>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</si>
  <si>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</si>
  <si>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</si>
  <si>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</si>
  <si>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</si>
  <si>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</si>
  <si>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</si>
  <si>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</si>
  <si>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</si>
  <si>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</si>
  <si>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</si>
  <si>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</si>
  <si>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</si>
  <si>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</si>
  <si>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</si>
  <si>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</si>
  <si>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</si>
  <si>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</si>
  <si>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</si>
  <si>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</si>
  <si>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</si>
  <si>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</si>
  <si>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</si>
  <si>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</si>
  <si>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</si>
  <si>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</si>
  <si>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</si>
  <si>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</si>
  <si>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</si>
  <si>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</si>
  <si>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</si>
  <si>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</si>
  <si>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</si>
  <si>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</si>
  <si>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</si>
  <si>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</si>
  <si>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</si>
  <si>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</si>
  <si>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</si>
  <si>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</si>
  <si>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</si>
  <si>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</si>
  <si>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</si>
  <si>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</si>
  <si>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</si>
  <si>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</si>
  <si>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</si>
  <si>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</si>
  <si>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</si>
  <si>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</si>
  <si>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</si>
  <si>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</si>
  <si>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</si>
  <si>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</si>
  <si>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</si>
  <si>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</si>
  <si>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</si>
  <si>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</si>
  <si>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</si>
  <si>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</si>
  <si>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</si>
  <si>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</si>
  <si>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</si>
  <si>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</si>
  <si>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</si>
  <si>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</si>
  <si>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</si>
  <si>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</si>
  <si>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</si>
  <si>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</si>
  <si>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</si>
  <si>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</si>
  <si>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</si>
  <si>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</si>
  <si>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</si>
  <si>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</si>
  <si>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</si>
  <si>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</si>
  <si>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</si>
  <si>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</si>
  <si>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8, 9</t>
  </si>
  <si>
    <t>Outer Fan: 550OD</t>
  </si>
  <si>
    <t>Rev 0: First Issue</t>
  </si>
  <si>
    <t>M11-125 INS</t>
  </si>
  <si>
    <t>TEAAC</t>
  </si>
  <si>
    <t>5508 lb-ft</t>
  </si>
  <si>
    <t>Type: TIKE - Form: FCW4 - 6 Pole - 1250 HP - 4000 V - 60 Hz - 6810US - Class F</t>
  </si>
  <si>
    <t>FCW4</t>
  </si>
  <si>
    <t>A. Gracia</t>
  </si>
  <si>
    <t>AG</t>
  </si>
  <si>
    <t>BW6M25U</t>
  </si>
  <si>
    <t>M257TCAL11E-C</t>
  </si>
  <si>
    <t>F &amp; W( Ball Brg)</t>
  </si>
  <si>
    <t>Limits: BW6M25U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</si>
</sst>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166" fontId="2" fillId="0" borderId="0" xfId="0" applyNumberFormat="1" applyFont="1" applyBorder="1" applyAlignment="1">
      <alignment horizontal="center"/>
    </xf>
    <xf numFmtId="0" fontId="48" fillId="0" borderId="60" xfId="4" applyFont="1" applyBorder="1"/>
    <xf numFmtId="0" fontId="48" fillId="0" borderId="61" xfId="4" applyFont="1" applyBorder="1"/>
    <xf numFmtId="0" fontId="48" fillId="0" borderId="38" xfId="4" applyFont="1" applyBorder="1"/>
    <xf numFmtId="0" fontId="1" fillId="0" borderId="0" xfId="4"/>
    <xf numFmtId="0" fontId="49" fillId="0" borderId="82" xfId="4" applyFont="1" applyBorder="1" applyAlignment="1">
      <alignment horizontal="centerContinuous"/>
    </xf>
    <xf numFmtId="0" fontId="48" fillId="0" borderId="0" xfId="4" applyFont="1" applyBorder="1" applyAlignment="1">
      <alignment horizontal="centerContinuous"/>
    </xf>
    <xf numFmtId="0" fontId="48" fillId="0" borderId="107" xfId="4" applyFont="1" applyBorder="1" applyAlignment="1">
      <alignment horizontal="centerContinuous"/>
    </xf>
    <xf numFmtId="0" fontId="50" fillId="0" borderId="82" xfId="4" applyFont="1" applyBorder="1" applyAlignment="1">
      <alignment horizontal="centerContinuous"/>
    </xf>
    <xf numFmtId="0" fontId="48" fillId="0" borderId="82" xfId="4" applyFont="1" applyBorder="1"/>
    <xf numFmtId="0" fontId="48" fillId="0" borderId="0" xfId="4" applyFont="1" applyBorder="1"/>
    <xf numFmtId="0" fontId="48" fillId="0" borderId="107" xfId="4" applyFont="1" applyBorder="1"/>
    <xf numFmtId="0" fontId="51" fillId="0" borderId="1" xfId="4" applyFont="1" applyBorder="1" applyAlignment="1">
      <alignment horizontal="right"/>
    </xf>
    <xf numFmtId="0" fontId="48" fillId="0" borderId="1" xfId="4" applyFont="1" applyBorder="1" applyAlignment="1">
      <alignment horizontal="center"/>
    </xf>
    <xf numFmtId="14" fontId="48" fillId="0" borderId="1" xfId="4" applyNumberFormat="1" applyFont="1" applyBorder="1" applyAlignment="1">
      <alignment horizontal="center"/>
    </xf>
    <xf numFmtId="0" fontId="51" fillId="0" borderId="0" xfId="4" applyFont="1" applyBorder="1" applyAlignment="1">
      <alignment horizontal="right"/>
    </xf>
    <xf numFmtId="0" fontId="48" fillId="0" borderId="0" xfId="4" applyFont="1" applyBorder="1" applyAlignment="1">
      <alignment horizontal="center"/>
    </xf>
    <xf numFmtId="9" fontId="48" fillId="0" borderId="0" xfId="4" applyNumberFormat="1" applyFont="1" applyBorder="1" applyAlignment="1">
      <alignment horizontal="center"/>
    </xf>
    <xf numFmtId="0" fontId="51" fillId="0" borderId="82" xfId="4" applyFont="1" applyBorder="1" applyAlignment="1">
      <alignment horizontal="right"/>
    </xf>
    <xf numFmtId="0" fontId="48" fillId="0" borderId="40" xfId="4" applyFont="1" applyBorder="1"/>
    <xf numFmtId="0" fontId="48" fillId="0" borderId="39" xfId="4" applyFont="1" applyBorder="1" applyAlignment="1">
      <alignment horizontal="center"/>
    </xf>
    <xf numFmtId="0" fontId="48" fillId="0" borderId="84" xfId="4" applyFont="1" applyBorder="1"/>
    <xf numFmtId="0" fontId="51" fillId="0" borderId="17" xfId="4" applyFont="1" applyBorder="1" applyAlignment="1">
      <alignment horizontal="right"/>
    </xf>
    <xf numFmtId="0" fontId="48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2" fillId="0" borderId="0" xfId="4" applyFont="1"/>
    <xf numFmtId="0" fontId="53" fillId="0" borderId="26" xfId="4" applyFont="1" applyBorder="1" applyAlignment="1">
      <alignment horizontal="center"/>
    </xf>
    <xf numFmtId="0" fontId="53" fillId="0" borderId="28" xfId="4" applyFont="1" applyBorder="1" applyAlignment="1">
      <alignment horizontal="center"/>
    </xf>
    <xf numFmtId="0" fontId="52" fillId="0" borderId="1" xfId="4" applyFont="1" applyBorder="1" applyAlignment="1">
      <alignment horizontal="center"/>
    </xf>
    <xf numFmtId="0" fontId="53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0" fontId="52" fillId="0" borderId="130" xfId="4" applyFont="1" applyBorder="1" applyAlignment="1">
      <alignment horizontal="center"/>
    </xf>
    <xf numFmtId="0" fontId="52" fillId="0" borderId="131" xfId="4" quotePrefix="1" applyFont="1" applyBorder="1" applyAlignment="1">
      <alignment horizontal="center"/>
    </xf>
    <xf numFmtId="0" fontId="52" fillId="0" borderId="131" xfId="4" applyFont="1" applyBorder="1" applyAlignment="1">
      <alignment horizontal="center"/>
    </xf>
    <xf numFmtId="0" fontId="53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4" fillId="0" borderId="20" xfId="4" applyFont="1" applyBorder="1" applyAlignment="1">
      <alignment horizontal="right"/>
    </xf>
    <xf numFmtId="0" fontId="54" fillId="0" borderId="47" xfId="4" applyFont="1" applyBorder="1" applyAlignment="1">
      <alignment horizontal="right"/>
    </xf>
    <xf numFmtId="0" fontId="54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4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52" fillId="0" borderId="134" xfId="4" applyFont="1" applyBorder="1" applyAlignment="1">
      <alignment horizontal="center"/>
    </xf>
    <xf numFmtId="0" fontId="22" fillId="0" borderId="48" xfId="4" applyFont="1" applyBorder="1"/>
    <xf numFmtId="0" fontId="54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4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52" fillId="0" borderId="0" xfId="4" applyFont="1" applyBorder="1" applyAlignment="1">
      <alignment horizontal="center"/>
    </xf>
    <xf numFmtId="0" fontId="51" fillId="0" borderId="0" xfId="4" applyFont="1" applyAlignment="1">
      <alignment horizontal="right"/>
    </xf>
    <xf numFmtId="0" fontId="6" fillId="0" borderId="0" xfId="4" applyFont="1"/>
    <xf numFmtId="0" fontId="51" fillId="0" borderId="0" xfId="4" applyFont="1"/>
    <xf numFmtId="0" fontId="48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48" fillId="0" borderId="82" xfId="4" applyFont="1" applyBorder="1"/>
    <xf numFmtId="0" fontId="48" fillId="0" borderId="0" xfId="4" applyFont="1" applyBorder="1"/>
    <xf numFmtId="0" fontId="48" fillId="0" borderId="107" xfId="4" applyFont="1" applyBorder="1"/>
    <xf numFmtId="0" fontId="51" fillId="0" borderId="1" xfId="4" applyFont="1" applyBorder="1" applyAlignment="1">
      <alignment horizontal="right"/>
    </xf>
    <xf numFmtId="0" fontId="48" fillId="0" borderId="1" xfId="4" applyFont="1" applyBorder="1" applyAlignment="1">
      <alignment horizontal="center"/>
    </xf>
    <xf numFmtId="14" fontId="48" fillId="0" borderId="1" xfId="4" applyNumberFormat="1" applyFont="1" applyBorder="1" applyAlignment="1">
      <alignment horizontal="center"/>
    </xf>
    <xf numFmtId="0" fontId="51" fillId="0" borderId="0" xfId="4" applyFont="1" applyBorder="1" applyAlignment="1">
      <alignment horizontal="right"/>
    </xf>
    <xf numFmtId="0" fontId="48" fillId="0" borderId="0" xfId="4" applyFont="1" applyBorder="1" applyAlignment="1">
      <alignment horizontal="center"/>
    </xf>
    <xf numFmtId="9" fontId="48" fillId="0" borderId="0" xfId="4" applyNumberFormat="1" applyFont="1" applyBorder="1" applyAlignment="1">
      <alignment horizontal="center"/>
    </xf>
    <xf numFmtId="0" fontId="51" fillId="0" borderId="82" xfId="4" applyFont="1" applyBorder="1" applyAlignment="1">
      <alignment horizontal="right"/>
    </xf>
    <xf numFmtId="0" fontId="48" fillId="0" borderId="40" xfId="4" applyFont="1" applyBorder="1"/>
    <xf numFmtId="0" fontId="48" fillId="0" borderId="39" xfId="4" applyFont="1" applyBorder="1" applyAlignment="1">
      <alignment horizontal="center"/>
    </xf>
    <xf numFmtId="0" fontId="48" fillId="0" borderId="84" xfId="4" applyFont="1" applyBorder="1"/>
    <xf numFmtId="0" fontId="51" fillId="0" borderId="17" xfId="4" applyFont="1" applyBorder="1" applyAlignment="1">
      <alignment horizontal="right"/>
    </xf>
    <xf numFmtId="0" fontId="48" fillId="0" borderId="131" xfId="4" applyFont="1" applyBorder="1"/>
    <xf numFmtId="171" fontId="60" fillId="0" borderId="0" xfId="5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54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4" fillId="0" borderId="101" xfId="4" applyFont="1" applyBorder="1" applyAlignment="1">
      <alignment horizontal="right"/>
    </xf>
    <xf numFmtId="0" fontId="54" fillId="0" borderId="61" xfId="4" applyFont="1" applyBorder="1" applyAlignment="1">
      <alignment horizontal="right"/>
    </xf>
    <xf numFmtId="0" fontId="54" fillId="0" borderId="46" xfId="4" applyFont="1" applyBorder="1" applyAlignment="1">
      <alignment horizontal="right"/>
    </xf>
    <xf numFmtId="0" fontId="54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4" fillId="0" borderId="101" xfId="4" applyFont="1" applyBorder="1" applyAlignment="1">
      <alignment horizontal="center"/>
    </xf>
    <xf numFmtId="0" fontId="54" fillId="0" borderId="61" xfId="4" applyFont="1" applyBorder="1" applyAlignment="1">
      <alignment horizontal="center"/>
    </xf>
    <xf numFmtId="0" fontId="54" fillId="0" borderId="27" xfId="4" applyFont="1" applyBorder="1" applyAlignment="1">
      <alignment horizontal="center"/>
    </xf>
    <xf numFmtId="0" fontId="48" fillId="0" borderId="17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2" fillId="0" borderId="17" xfId="4" applyFont="1" applyBorder="1" applyAlignment="1">
      <alignment horizontal="right"/>
    </xf>
    <xf numFmtId="0" fontId="52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3" fillId="0" borderId="0" xfId="4" applyFont="1" applyAlignment="1">
      <alignment horizontal="right"/>
    </xf>
    <xf numFmtId="0" fontId="52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3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4" fillId="0" borderId="17" xfId="4" applyFont="1" applyBorder="1" applyAlignment="1">
      <alignment horizontal="center"/>
    </xf>
    <xf numFmtId="0" fontId="50" fillId="0" borderId="82" xfId="4" applyFont="1" applyBorder="1" applyAlignment="1">
      <alignment horizontal="center"/>
    </xf>
    <xf numFmtId="0" fontId="50" fillId="0" borderId="0" xfId="4" applyFont="1" applyBorder="1" applyAlignment="1">
      <alignment horizontal="center"/>
    </xf>
    <xf numFmtId="0" fontId="50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2" fillId="0" borderId="1" xfId="4" applyFont="1" applyBorder="1" applyAlignment="1">
      <alignment horizontal="right"/>
    </xf>
    <xf numFmtId="0" fontId="52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103.25577961702669</c:v>
                </c:pt>
                <c:pt idx="2">
                  <c:v>220</c:v>
                </c:pt>
                <c:pt idx="3">
                  <c:v>130.24754280511854</c:v>
                </c:pt>
                <c:pt idx="4">
                  <c:v>103.58030751416116</c:v>
                </c:pt>
                <c:pt idx="5">
                  <c:v>91.35949834546372</c:v>
                </c:pt>
                <c:pt idx="6">
                  <c:v>83.694734195452796</c:v>
                </c:pt>
                <c:pt idx="7">
                  <c:v>80.094597480754317</c:v>
                </c:pt>
                <c:pt idx="8">
                  <c:v>77.991460580836588</c:v>
                </c:pt>
                <c:pt idx="9">
                  <c:v>76.698181357915033</c:v>
                </c:pt>
                <c:pt idx="10">
                  <c:v>75.901584605165482</c:v>
                </c:pt>
                <c:pt idx="11">
                  <c:v>75.423085595487493</c:v>
                </c:pt>
                <c:pt idx="12">
                  <c:v>75.149107470586443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5296"/>
        <c:axId val="21118156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0.23314210772514343</c:v>
                </c:pt>
                <c:pt idx="1">
                  <c:v>113.30343627929687</c:v>
                </c:pt>
                <c:pt idx="2">
                  <c:v>357.04791259765625</c:v>
                </c:pt>
                <c:pt idx="3">
                  <c:v>431.34027099609375</c:v>
                </c:pt>
                <c:pt idx="4">
                  <c:v>455.08938598632812</c:v>
                </c:pt>
                <c:pt idx="5">
                  <c:v>467.90286254882812</c:v>
                </c:pt>
                <c:pt idx="6">
                  <c:v>485.24722290039062</c:v>
                </c:pt>
                <c:pt idx="7">
                  <c:v>498.49313354492187</c:v>
                </c:pt>
                <c:pt idx="8">
                  <c:v>509.16915893554687</c:v>
                </c:pt>
                <c:pt idx="9">
                  <c:v>517.84527587890625</c:v>
                </c:pt>
                <c:pt idx="10">
                  <c:v>524.68475341796875</c:v>
                </c:pt>
                <c:pt idx="11">
                  <c:v>530.03887939453125</c:v>
                </c:pt>
                <c:pt idx="12">
                  <c:v>534.4755859375</c:v>
                </c:pt>
                <c:pt idx="13">
                  <c:v>538.216552734375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83488"/>
        <c:axId val="211185024"/>
      </c:scatterChart>
      <c:valAx>
        <c:axId val="21117529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1181568"/>
        <c:crossesAt val="0"/>
        <c:crossBetween val="midCat"/>
        <c:majorUnit val="0.2"/>
        <c:minorUnit val="0.2"/>
      </c:valAx>
      <c:valAx>
        <c:axId val="21118156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1175296"/>
        <c:crosses val="max"/>
        <c:crossBetween val="midCat"/>
        <c:majorUnit val="50"/>
        <c:minorUnit val="50"/>
      </c:valAx>
      <c:valAx>
        <c:axId val="21118348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11185024"/>
        <c:crosses val="autoZero"/>
        <c:crossBetween val="midCat"/>
      </c:valAx>
      <c:valAx>
        <c:axId val="2111850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118348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103.25577961702669</c:v>
                </c:pt>
                <c:pt idx="2">
                  <c:v>220</c:v>
                </c:pt>
                <c:pt idx="3">
                  <c:v>130.24754280511854</c:v>
                </c:pt>
                <c:pt idx="4">
                  <c:v>103.58030751416116</c:v>
                </c:pt>
                <c:pt idx="5">
                  <c:v>91.35949834546372</c:v>
                </c:pt>
                <c:pt idx="6">
                  <c:v>83.694734195452796</c:v>
                </c:pt>
                <c:pt idx="7">
                  <c:v>80.094597480754317</c:v>
                </c:pt>
                <c:pt idx="8">
                  <c:v>77.991460580836588</c:v>
                </c:pt>
                <c:pt idx="9">
                  <c:v>76.698181357915033</c:v>
                </c:pt>
                <c:pt idx="10">
                  <c:v>75.901584605165482</c:v>
                </c:pt>
                <c:pt idx="11">
                  <c:v>75.423085595487493</c:v>
                </c:pt>
                <c:pt idx="12">
                  <c:v>75.149107470586443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2336"/>
        <c:axId val="16302425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0.23314210772514343</c:v>
                </c:pt>
                <c:pt idx="1">
                  <c:v>113.30343627929687</c:v>
                </c:pt>
                <c:pt idx="2">
                  <c:v>357.04791259765625</c:v>
                </c:pt>
                <c:pt idx="3">
                  <c:v>431.34027099609375</c:v>
                </c:pt>
                <c:pt idx="4">
                  <c:v>455.08938598632812</c:v>
                </c:pt>
                <c:pt idx="5">
                  <c:v>467.90286254882812</c:v>
                </c:pt>
                <c:pt idx="6">
                  <c:v>485.24722290039062</c:v>
                </c:pt>
                <c:pt idx="7">
                  <c:v>498.49313354492187</c:v>
                </c:pt>
                <c:pt idx="8">
                  <c:v>509.16915893554687</c:v>
                </c:pt>
                <c:pt idx="9">
                  <c:v>517.84527587890625</c:v>
                </c:pt>
                <c:pt idx="10">
                  <c:v>524.68475341796875</c:v>
                </c:pt>
                <c:pt idx="11">
                  <c:v>530.03887939453125</c:v>
                </c:pt>
                <c:pt idx="12">
                  <c:v>534.4755859375</c:v>
                </c:pt>
                <c:pt idx="13">
                  <c:v>538.216552734375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30528"/>
        <c:axId val="163032064"/>
      </c:scatterChart>
      <c:valAx>
        <c:axId val="1630223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24256"/>
        <c:crosses val="autoZero"/>
        <c:crossBetween val="midCat"/>
        <c:majorUnit val="20"/>
        <c:minorUnit val="20"/>
      </c:valAx>
      <c:valAx>
        <c:axId val="163024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22336"/>
        <c:crosses val="autoZero"/>
        <c:crossBetween val="midCat"/>
      </c:valAx>
      <c:valAx>
        <c:axId val="1630305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3032064"/>
        <c:crosses val="autoZero"/>
        <c:crossBetween val="midCat"/>
      </c:valAx>
      <c:valAx>
        <c:axId val="16303206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3052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538.21656050955414</c:v>
                </c:pt>
                <c:pt idx="1">
                  <c:v>471.48438089171975</c:v>
                </c:pt>
                <c:pt idx="2">
                  <c:v>404.73217961783439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45.608683557289602</c:v>
                </c:pt>
                <c:pt idx="2">
                  <c:v>61.89373423330192</c:v>
                </c:pt>
                <c:pt idx="3">
                  <c:v>88.745993752282047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538.21656050955414</c:v>
                </c:pt>
                <c:pt idx="1">
                  <c:v>471.48438089171975</c:v>
                </c:pt>
                <c:pt idx="2">
                  <c:v>404.73217961783439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19.546578667409829</c:v>
                </c:pt>
                <c:pt idx="2">
                  <c:v>26.52588609998654</c:v>
                </c:pt>
                <c:pt idx="3">
                  <c:v>38.033997322406591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89.775950208698717</c:v>
                </c:pt>
                <c:pt idx="3">
                  <c:v>134.1097527808956</c:v>
                </c:pt>
                <c:pt idx="4">
                  <c:v>206.66615886330644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538.21656050955414</c:v>
                </c:pt>
                <c:pt idx="1">
                  <c:v>536.3694267515923</c:v>
                </c:pt>
                <c:pt idx="2">
                  <c:v>532.22929936305729</c:v>
                </c:pt>
                <c:pt idx="3">
                  <c:v>527.38853503184714</c:v>
                </c:pt>
                <c:pt idx="4">
                  <c:v>521.27388535031844</c:v>
                </c:pt>
                <c:pt idx="5">
                  <c:v>513.50318471337584</c:v>
                </c:pt>
                <c:pt idx="6">
                  <c:v>503.82165605095543</c:v>
                </c:pt>
                <c:pt idx="7">
                  <c:v>491.84713375796179</c:v>
                </c:pt>
                <c:pt idx="8">
                  <c:v>476.56050955414014</c:v>
                </c:pt>
                <c:pt idx="9">
                  <c:v>461.46496815286622</c:v>
                </c:pt>
                <c:pt idx="10">
                  <c:v>443.18471337579615</c:v>
                </c:pt>
                <c:pt idx="11">
                  <c:v>394.20382165605093</c:v>
                </c:pt>
                <c:pt idx="12">
                  <c:v>235.15923566878982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1.784000039100647</c:v>
                </c:pt>
                <c:pt idx="2">
                  <c:v>3.253000020980835</c:v>
                </c:pt>
                <c:pt idx="3">
                  <c:v>4.624000072479248</c:v>
                </c:pt>
                <c:pt idx="4">
                  <c:v>5.9930000305175781</c:v>
                </c:pt>
                <c:pt idx="5">
                  <c:v>7.440000057220459</c:v>
                </c:pt>
                <c:pt idx="6">
                  <c:v>9.0390005111694336</c:v>
                </c:pt>
                <c:pt idx="7">
                  <c:v>10.9010009765625</c:v>
                </c:pt>
                <c:pt idx="8">
                  <c:v>13.263001441955566</c:v>
                </c:pt>
                <c:pt idx="9">
                  <c:v>14.662001609802246</c:v>
                </c:pt>
                <c:pt idx="10">
                  <c:v>15.843001365661621</c:v>
                </c:pt>
                <c:pt idx="11">
                  <c:v>16.4010009765625</c:v>
                </c:pt>
                <c:pt idx="12">
                  <c:v>16.516000747680664</c:v>
                </c:pt>
                <c:pt idx="13">
                  <c:v>17.519001007080078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1264"/>
        <c:axId val="212013440"/>
      </c:scatterChart>
      <c:valAx>
        <c:axId val="21201126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013440"/>
        <c:crossesAt val="0.1"/>
        <c:crossBetween val="midCat"/>
        <c:majorUnit val="100"/>
      </c:valAx>
      <c:valAx>
        <c:axId val="21201344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01126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90.412460327148438</c:v>
                </c:pt>
                <c:pt idx="2">
                  <c:v>94.161346435546875</c:v>
                </c:pt>
                <c:pt idx="3">
                  <c:v>95.20843505859375</c:v>
                </c:pt>
                <c:pt idx="4">
                  <c:v>95.527069091796875</c:v>
                </c:pt>
                <c:pt idx="5">
                  <c:v>95.53790283203125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67.146064758300781</c:v>
                </c:pt>
                <c:pt idx="1">
                  <c:v>83.9090576171875</c:v>
                </c:pt>
                <c:pt idx="2">
                  <c:v>88.534492492675781</c:v>
                </c:pt>
                <c:pt idx="3">
                  <c:v>89.892387390136719</c:v>
                </c:pt>
                <c:pt idx="4">
                  <c:v>89.922775268554688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90.108563673212316</c:v>
                </c:pt>
                <c:pt idx="2">
                  <c:v>80.112899758680101</c:v>
                </c:pt>
                <c:pt idx="3">
                  <c:v>69.955941220533191</c:v>
                </c:pt>
                <c:pt idx="4">
                  <c:v>59.30842974943431</c:v>
                </c:pt>
                <c:pt idx="5">
                  <c:v>48.775787930898673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0.35247499999999998</c:v>
                </c:pt>
                <c:pt idx="1">
                  <c:v>6.4440631493166949</c:v>
                </c:pt>
                <c:pt idx="2">
                  <c:v>12.37500653518622</c:v>
                </c:pt>
                <c:pt idx="3">
                  <c:v>18.358360115502641</c:v>
                </c:pt>
                <c:pt idx="4">
                  <c:v>24.396167943374302</c:v>
                </c:pt>
                <c:pt idx="5">
                  <c:v>30.491752794603858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407232"/>
        <c:axId val="21745740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37.276569164175271</c:v>
                </c:pt>
                <c:pt idx="1">
                  <c:v>55.410404205322266</c:v>
                </c:pt>
                <c:pt idx="2">
                  <c:v>85.150794982910156</c:v>
                </c:pt>
                <c:pt idx="3">
                  <c:v>119.72187042236328</c:v>
                </c:pt>
                <c:pt idx="4">
                  <c:v>156.69343566894531</c:v>
                </c:pt>
                <c:pt idx="5">
                  <c:v>195.77841186523437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59328"/>
        <c:axId val="217465216"/>
      </c:scatterChart>
      <c:valAx>
        <c:axId val="2154072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57408"/>
        <c:crossesAt val="0"/>
        <c:crossBetween val="midCat"/>
        <c:majorUnit val="25"/>
        <c:minorUnit val="12.5"/>
      </c:valAx>
      <c:valAx>
        <c:axId val="21745740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407232"/>
        <c:crosses val="autoZero"/>
        <c:crossBetween val="midCat"/>
        <c:majorUnit val="10"/>
        <c:minorUnit val="5"/>
      </c:valAx>
      <c:valAx>
        <c:axId val="2174593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17465216"/>
        <c:crosses val="autoZero"/>
        <c:crossBetween val="midCat"/>
      </c:valAx>
      <c:valAx>
        <c:axId val="217465216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5932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729615</xdr:colOff>
      <xdr:row>39</xdr:row>
      <xdr:rowOff>180975</xdr:rowOff>
    </xdr:from>
    <xdr:to>
      <xdr:col>4</xdr:col>
      <xdr:colOff>756388</xdr:colOff>
      <xdr:row>40</xdr:row>
      <xdr:rowOff>114300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63165" y="91630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228600</xdr:colOff>
      <xdr:row>39</xdr:row>
      <xdr:rowOff>171450</xdr:rowOff>
    </xdr:from>
    <xdr:to>
      <xdr:col>3</xdr:col>
      <xdr:colOff>832601</xdr:colOff>
      <xdr:row>43</xdr:row>
      <xdr:rowOff>19050</xdr:rowOff>
    </xdr:to>
    <xdr:grpSp>
      <xdr:nvGrpSpPr>
        <xdr:cNvPr id="97" name="Group 96"/>
        <xdr:cNvGrpSpPr/>
      </xdr:nvGrpSpPr>
      <xdr:grpSpPr>
        <a:xfrm>
          <a:off x="1038225" y="915352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729615</xdr:colOff>
      <xdr:row>33</xdr:row>
      <xdr:rowOff>142875</xdr:rowOff>
    </xdr:from>
    <xdr:to>
      <xdr:col>4</xdr:col>
      <xdr:colOff>756388</xdr:colOff>
      <xdr:row>34</xdr:row>
      <xdr:rowOff>76200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63165" y="77533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720090</xdr:colOff>
      <xdr:row>27</xdr:row>
      <xdr:rowOff>180975</xdr:rowOff>
    </xdr:from>
    <xdr:to>
      <xdr:col>4</xdr:col>
      <xdr:colOff>746863</xdr:colOff>
      <xdr:row>28</xdr:row>
      <xdr:rowOff>114300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53640" y="64198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0.58343</cdr:x>
      <cdr:y>0.61105</cdr:y>
    </cdr:from>
    <cdr:to>
      <cdr:x>0.81928</cdr:x>
      <cdr:y>0.63174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2084" y="39344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0.57691</cdr:x>
      <cdr:y>0.51869</cdr:y>
    </cdr:from>
    <cdr:to>
      <cdr:x>0.85973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3984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85725</xdr:rowOff>
    </xdr:from>
    <xdr:to>
      <xdr:col>1</xdr:col>
      <xdr:colOff>0</xdr:colOff>
      <xdr:row>17</xdr:row>
      <xdr:rowOff>38099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0" y="39814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28575</xdr:rowOff>
    </xdr:from>
    <xdr:to>
      <xdr:col>0</xdr:col>
      <xdr:colOff>1104900</xdr:colOff>
      <xdr:row>18</xdr:row>
      <xdr:rowOff>219074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5" y="44005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609600</xdr:colOff>
      <xdr:row>19</xdr:row>
      <xdr:rowOff>200025</xdr:rowOff>
    </xdr:from>
    <xdr:to>
      <xdr:col>0</xdr:col>
      <xdr:colOff>1095375</xdr:colOff>
      <xdr:row>20</xdr:row>
      <xdr:rowOff>152399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0" y="481012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21</xdr:row>
      <xdr:rowOff>133350</xdr:rowOff>
    </xdr:from>
    <xdr:to>
      <xdr:col>0</xdr:col>
      <xdr:colOff>1095375</xdr:colOff>
      <xdr:row>22</xdr:row>
      <xdr:rowOff>85724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0" y="52197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619125</xdr:colOff>
      <xdr:row>23</xdr:row>
      <xdr:rowOff>66675</xdr:rowOff>
    </xdr:from>
    <xdr:to>
      <xdr:col>0</xdr:col>
      <xdr:colOff>1104900</xdr:colOff>
      <xdr:row>24</xdr:row>
      <xdr:rowOff>19049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5" y="562927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619125</xdr:colOff>
      <xdr:row>25</xdr:row>
      <xdr:rowOff>0</xdr:rowOff>
    </xdr:from>
    <xdr:to>
      <xdr:col>0</xdr:col>
      <xdr:colOff>1104900</xdr:colOff>
      <xdr:row>25</xdr:row>
      <xdr:rowOff>190499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5" y="60388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609600</xdr:colOff>
      <xdr:row>26</xdr:row>
      <xdr:rowOff>171450</xdr:rowOff>
    </xdr:from>
    <xdr:to>
      <xdr:col>0</xdr:col>
      <xdr:colOff>1095375</xdr:colOff>
      <xdr:row>27</xdr:row>
      <xdr:rowOff>123824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0" y="644842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600075</xdr:colOff>
      <xdr:row>28</xdr:row>
      <xdr:rowOff>104775</xdr:rowOff>
    </xdr:from>
    <xdr:to>
      <xdr:col>0</xdr:col>
      <xdr:colOff>1085850</xdr:colOff>
      <xdr:row>29</xdr:row>
      <xdr:rowOff>57149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5" y="68580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600075</xdr:colOff>
      <xdr:row>30</xdr:row>
      <xdr:rowOff>47625</xdr:rowOff>
    </xdr:from>
    <xdr:to>
      <xdr:col>0</xdr:col>
      <xdr:colOff>1085850</xdr:colOff>
      <xdr:row>30</xdr:row>
      <xdr:rowOff>238124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5" y="72771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600075</xdr:colOff>
      <xdr:row>31</xdr:row>
      <xdr:rowOff>219075</xdr:rowOff>
    </xdr:from>
    <xdr:to>
      <xdr:col>0</xdr:col>
      <xdr:colOff>1085850</xdr:colOff>
      <xdr:row>32</xdr:row>
      <xdr:rowOff>171449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5" y="768667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609600</xdr:colOff>
      <xdr:row>33</xdr:row>
      <xdr:rowOff>152400</xdr:rowOff>
    </xdr:from>
    <xdr:to>
      <xdr:col>0</xdr:col>
      <xdr:colOff>1095375</xdr:colOff>
      <xdr:row>34</xdr:row>
      <xdr:rowOff>104774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0" y="80962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323850</xdr:colOff>
      <xdr:row>16</xdr:row>
      <xdr:rowOff>85725</xdr:rowOff>
    </xdr:from>
    <xdr:to>
      <xdr:col>5</xdr:col>
      <xdr:colOff>800099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5" y="39814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348762</xdr:colOff>
      <xdr:row>25</xdr:row>
      <xdr:rowOff>0</xdr:rowOff>
    </xdr:from>
    <xdr:to>
      <xdr:col>5</xdr:col>
      <xdr:colOff>886068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7" y="6038850"/>
          <a:ext cx="537306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342900</xdr:colOff>
      <xdr:row>26</xdr:row>
      <xdr:rowOff>180975</xdr:rowOff>
    </xdr:from>
    <xdr:to>
      <xdr:col>5</xdr:col>
      <xdr:colOff>819149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5" y="64579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352425</xdr:colOff>
      <xdr:row>28</xdr:row>
      <xdr:rowOff>114300</xdr:rowOff>
    </xdr:from>
    <xdr:to>
      <xdr:col>5</xdr:col>
      <xdr:colOff>828674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0" y="686752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342900</xdr:colOff>
      <xdr:row>30</xdr:row>
      <xdr:rowOff>38100</xdr:rowOff>
    </xdr:from>
    <xdr:to>
      <xdr:col>5</xdr:col>
      <xdr:colOff>819149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5" y="72675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342900</xdr:colOff>
      <xdr:row>31</xdr:row>
      <xdr:rowOff>219075</xdr:rowOff>
    </xdr:from>
    <xdr:to>
      <xdr:col>5</xdr:col>
      <xdr:colOff>819149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5" y="76866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714375</xdr:colOff>
      <xdr:row>23</xdr:row>
      <xdr:rowOff>19050</xdr:rowOff>
    </xdr:from>
    <xdr:to>
      <xdr:col>5</xdr:col>
      <xdr:colOff>933450</xdr:colOff>
      <xdr:row>28</xdr:row>
      <xdr:rowOff>152400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86500" y="5581650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342900</xdr:colOff>
      <xdr:row>23</xdr:row>
      <xdr:rowOff>66675</xdr:rowOff>
    </xdr:from>
    <xdr:to>
      <xdr:col>5</xdr:col>
      <xdr:colOff>819149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5" y="56292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342900</xdr:colOff>
      <xdr:row>21</xdr:row>
      <xdr:rowOff>133350</xdr:rowOff>
    </xdr:from>
    <xdr:to>
      <xdr:col>5</xdr:col>
      <xdr:colOff>819149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5" y="521970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333375</xdr:colOff>
      <xdr:row>19</xdr:row>
      <xdr:rowOff>200025</xdr:rowOff>
    </xdr:from>
    <xdr:to>
      <xdr:col>5</xdr:col>
      <xdr:colOff>809624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0" y="481012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333375</xdr:colOff>
      <xdr:row>18</xdr:row>
      <xdr:rowOff>28575</xdr:rowOff>
    </xdr:from>
    <xdr:to>
      <xdr:col>5</xdr:col>
      <xdr:colOff>809624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0" y="44005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542925</xdr:colOff>
      <xdr:row>18</xdr:row>
      <xdr:rowOff>180975</xdr:rowOff>
    </xdr:from>
    <xdr:to>
      <xdr:col>3</xdr:col>
      <xdr:colOff>876300</xdr:colOff>
      <xdr:row>19</xdr:row>
      <xdr:rowOff>114300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886200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95250</xdr:colOff>
      <xdr:row>22</xdr:row>
      <xdr:rowOff>9525</xdr:rowOff>
    </xdr:from>
    <xdr:to>
      <xdr:col>3</xdr:col>
      <xdr:colOff>438150</xdr:colOff>
      <xdr:row>22</xdr:row>
      <xdr:rowOff>152400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38525" y="53340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914400</xdr:colOff>
      <xdr:row>28</xdr:row>
      <xdr:rowOff>66675</xdr:rowOff>
    </xdr:from>
    <xdr:to>
      <xdr:col>2</xdr:col>
      <xdr:colOff>238125</xdr:colOff>
      <xdr:row>28</xdr:row>
      <xdr:rowOff>219075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028825" y="68199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552450</xdr:colOff>
      <xdr:row>30</xdr:row>
      <xdr:rowOff>209550</xdr:rowOff>
    </xdr:from>
    <xdr:to>
      <xdr:col>3</xdr:col>
      <xdr:colOff>1057275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89572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142875</xdr:rowOff>
    </xdr:from>
    <xdr:to>
      <xdr:col>5</xdr:col>
      <xdr:colOff>832582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86725"/>
          <a:ext cx="500672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L23" sqref="L2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0.57586805555555554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1250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234</v>
      </c>
      <c r="I5" s="79" t="s">
        <v>239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693.39806946797773</v>
      </c>
    </row>
    <row r="10" spans="1:10" ht="15" customHeight="1">
      <c r="A10" s="7" t="s">
        <v>27</v>
      </c>
      <c r="B10" s="71">
        <v>804</v>
      </c>
      <c r="C10" s="75">
        <v>804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36192.888039282894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17</v>
      </c>
      <c r="F13" s="126"/>
      <c r="G13" s="118" t="s">
        <v>191</v>
      </c>
      <c r="H13" s="11" t="s">
        <v>40</v>
      </c>
      <c r="I13" s="70">
        <v>1.0284131572919286</v>
      </c>
      <c r="J13" s="106">
        <v>153.86337280273438</v>
      </c>
    </row>
    <row r="14" spans="1:10" ht="15" customHeight="1" thickBot="1">
      <c r="A14" s="136" t="s">
        <v>41</v>
      </c>
      <c r="B14" s="137">
        <v>602.6400146484375</v>
      </c>
      <c r="C14" s="138">
        <v>602.6400146484375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22.641850490196077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530.50406585039048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1339</v>
      </c>
      <c r="F18" s="72">
        <v>935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204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0.11464741342224975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0.15293829806229386</v>
      </c>
      <c r="F21" s="69">
        <v>9.6885614097118378E-2</v>
      </c>
      <c r="G21" s="73">
        <v>1.5706828821662966E-2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5.0947170257568359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7.0892695488751061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3.031186049981148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0.26553073525428772</v>
      </c>
      <c r="J25" s="74">
        <v>0.50960242748260498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302.36283379913607</v>
      </c>
      <c r="F26" s="71">
        <v>208.98079407062531</v>
      </c>
      <c r="G26" s="75">
        <v>43.799240591961784</v>
      </c>
      <c r="H26" s="11" t="s">
        <v>80</v>
      </c>
      <c r="I26" s="70">
        <v>3.0407066345214844</v>
      </c>
      <c r="J26" s="74">
        <v>2.5515615940093994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3.0522785186767578</v>
      </c>
      <c r="J27" s="83">
        <v>2.6019532680511475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759.32641845703131</v>
      </c>
      <c r="G30" s="71">
        <v>12.102758758274556</v>
      </c>
      <c r="H30" s="76">
        <v>150.31166910207696</v>
      </c>
      <c r="I30" s="72">
        <v>89694.509839311984</v>
      </c>
      <c r="J30" s="76">
        <v>4335.1336285470934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828.22661106197165</v>
      </c>
      <c r="G31" s="71">
        <v>11.095929952777686</v>
      </c>
      <c r="H31" s="76">
        <v>31.443917070289228</v>
      </c>
      <c r="I31" s="72">
        <v>30810.029931505345</v>
      </c>
      <c r="J31" s="76">
        <v>1293.6633139679207</v>
      </c>
    </row>
    <row r="32" spans="1:10" ht="15" customHeight="1">
      <c r="A32" s="7" t="s">
        <v>98</v>
      </c>
      <c r="B32" s="70" t="s">
        <v>241</v>
      </c>
      <c r="C32" s="112"/>
      <c r="D32" s="11" t="s">
        <v>99</v>
      </c>
      <c r="E32" s="71">
        <v>12.76794540327414</v>
      </c>
      <c r="F32" s="71">
        <v>1131.1553178401186</v>
      </c>
      <c r="G32" s="71">
        <v>8.1243877975288132</v>
      </c>
      <c r="H32" s="76">
        <v>31.690199997124566</v>
      </c>
      <c r="I32" s="10" t="s">
        <v>100</v>
      </c>
      <c r="J32" s="76">
        <v>5628.7969425150141</v>
      </c>
    </row>
    <row r="33" spans="1:10" ht="15" customHeight="1">
      <c r="A33" s="7" t="s">
        <v>101</v>
      </c>
      <c r="B33" s="70" t="s">
        <v>242</v>
      </c>
      <c r="C33" s="113" t="s">
        <v>102</v>
      </c>
      <c r="D33" s="11" t="s">
        <v>97</v>
      </c>
      <c r="E33" s="71">
        <v>3.6549999237060549</v>
      </c>
      <c r="F33" s="71">
        <v>837.19690551905774</v>
      </c>
      <c r="G33" s="71">
        <v>10.97704064693403</v>
      </c>
      <c r="H33" s="76">
        <v>17.913531369958474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243</v>
      </c>
      <c r="C34" s="114">
        <v>9.1899444613700858</v>
      </c>
      <c r="D34" s="12" t="s">
        <v>20</v>
      </c>
      <c r="E34" s="81">
        <v>0.20999999046325685</v>
      </c>
      <c r="F34" s="82">
        <v>1548.4367537091109</v>
      </c>
      <c r="G34" s="82">
        <v>5.9349821291419103</v>
      </c>
      <c r="H34" s="85">
        <v>991.81162287201789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223</v>
      </c>
      <c r="C37" s="71" t="s">
        <v>224</v>
      </c>
      <c r="D37" s="71" t="s">
        <v>225</v>
      </c>
      <c r="E37" s="71" t="s">
        <v>226</v>
      </c>
      <c r="F37" s="75" t="s">
        <v>227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13464.982421875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222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236</v>
      </c>
      <c r="C40" s="69" t="s">
        <v>237</v>
      </c>
      <c r="D40" s="69" t="s">
        <v>238</v>
      </c>
      <c r="E40" s="69" t="s">
        <v>239</v>
      </c>
      <c r="F40" s="73" t="s">
        <v>240</v>
      </c>
      <c r="G40" s="37" t="s">
        <v>121</v>
      </c>
      <c r="H40" s="93" t="s">
        <v>244</v>
      </c>
      <c r="I40" s="57"/>
      <c r="J40" s="58"/>
    </row>
    <row r="41" spans="1:10" ht="15" customHeight="1">
      <c r="A41" s="7" t="s">
        <v>5</v>
      </c>
      <c r="B41" s="72" t="s">
        <v>231</v>
      </c>
      <c r="C41" s="72" t="s">
        <v>232</v>
      </c>
      <c r="D41" s="72" t="s">
        <v>233</v>
      </c>
      <c r="E41" s="72" t="s">
        <v>234</v>
      </c>
      <c r="F41" s="76" t="s">
        <v>235</v>
      </c>
      <c r="G41" s="38" t="s">
        <v>122</v>
      </c>
      <c r="H41" s="94" t="s">
        <v>245</v>
      </c>
      <c r="I41" s="59"/>
      <c r="J41" s="60"/>
    </row>
    <row r="42" spans="1:10" ht="15" customHeight="1">
      <c r="A42" s="7" t="s">
        <v>123</v>
      </c>
      <c r="B42" s="70">
        <v>5.9984657755635338</v>
      </c>
      <c r="C42" s="70">
        <v>5.9984657755635338</v>
      </c>
      <c r="D42" s="70">
        <v>5.9984657755635338</v>
      </c>
      <c r="E42" s="70">
        <v>5.9984657755635338</v>
      </c>
      <c r="F42" s="74">
        <v>5.99127259249099</v>
      </c>
      <c r="G42" s="37" t="s">
        <v>124</v>
      </c>
      <c r="H42" s="93" t="s">
        <v>246</v>
      </c>
      <c r="I42" s="57"/>
      <c r="J42" s="99">
        <v>0.1958596337393893</v>
      </c>
    </row>
    <row r="43" spans="1:10" ht="15" customHeight="1" thickBot="1">
      <c r="A43" s="18" t="s">
        <v>125</v>
      </c>
      <c r="B43" s="81">
        <v>5.9984657755635338</v>
      </c>
      <c r="C43" s="81"/>
      <c r="D43" s="81" t="s">
        <v>249</v>
      </c>
      <c r="E43" s="81"/>
      <c r="F43" s="83"/>
      <c r="G43" s="38" t="s">
        <v>122</v>
      </c>
      <c r="H43" s="94" t="s">
        <v>247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2383.1006392353652</v>
      </c>
      <c r="I44" s="92">
        <v>3.6981631053740478E-2</v>
      </c>
      <c r="J44" s="99">
        <v>0.63286722286463948</v>
      </c>
    </row>
    <row r="45" spans="1:10" ht="15" customHeight="1">
      <c r="A45" s="7" t="s">
        <v>129</v>
      </c>
      <c r="B45" s="70">
        <v>0.25966322422027588</v>
      </c>
      <c r="C45" s="5" t="s">
        <v>130</v>
      </c>
      <c r="D45" s="74">
        <v>1.0174502618610859E-2</v>
      </c>
      <c r="E45" s="7" t="s">
        <v>131</v>
      </c>
      <c r="F45" s="76">
        <v>900.32776216718742</v>
      </c>
      <c r="G45" s="39" t="s">
        <v>122</v>
      </c>
      <c r="H45" s="88" t="s">
        <v>248</v>
      </c>
      <c r="I45" s="61"/>
      <c r="J45" s="62"/>
    </row>
    <row r="46" spans="1:10" ht="15" customHeight="1">
      <c r="A46" s="7" t="s">
        <v>132</v>
      </c>
      <c r="B46" s="70">
        <v>0.18540577590465546</v>
      </c>
      <c r="C46" s="5" t="s">
        <v>133</v>
      </c>
      <c r="D46" s="74">
        <v>6.8652755580842495E-3</v>
      </c>
      <c r="E46" s="7" t="s">
        <v>134</v>
      </c>
      <c r="F46" s="76">
        <v>1613.2487795677209</v>
      </c>
      <c r="G46" s="38" t="s">
        <v>135</v>
      </c>
      <c r="H46" s="96">
        <v>523.39673114954678</v>
      </c>
      <c r="I46" s="59"/>
      <c r="J46" s="60"/>
    </row>
    <row r="47" spans="1:10" ht="15" customHeight="1">
      <c r="A47" s="7" t="s">
        <v>136</v>
      </c>
      <c r="B47" s="70">
        <v>0.44506901502609253</v>
      </c>
      <c r="C47" s="5" t="s">
        <v>137</v>
      </c>
      <c r="D47" s="74">
        <v>1.0848257690668106E-2</v>
      </c>
      <c r="E47" s="7" t="s">
        <v>138</v>
      </c>
      <c r="F47" s="76">
        <v>1321.676959478531</v>
      </c>
      <c r="G47" s="66" t="s">
        <v>139</v>
      </c>
      <c r="H47" s="95">
        <v>2296.6774112505254</v>
      </c>
      <c r="I47" s="92">
        <v>3.5575682046891509E-2</v>
      </c>
      <c r="J47" s="97">
        <v>0.64596253437659479</v>
      </c>
    </row>
    <row r="48" spans="1:10" ht="15" customHeight="1">
      <c r="A48" s="7" t="s">
        <v>140</v>
      </c>
      <c r="B48" s="70">
        <v>1.082856860011816E-2</v>
      </c>
      <c r="C48" s="5" t="s">
        <v>100</v>
      </c>
      <c r="D48" s="74">
        <v>3.8716603070497513E-2</v>
      </c>
      <c r="E48" s="7" t="s">
        <v>141</v>
      </c>
      <c r="F48" s="76">
        <v>399.45421284856229</v>
      </c>
      <c r="G48" s="67" t="s">
        <v>122</v>
      </c>
      <c r="H48" s="88">
        <v>246.2924837802172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0.96128338575363159</v>
      </c>
      <c r="E49" s="18" t="s">
        <v>143</v>
      </c>
      <c r="F49" s="85">
        <v>865.45331760276201</v>
      </c>
      <c r="G49" s="68" t="s">
        <v>135</v>
      </c>
      <c r="H49" s="96">
        <v>513.16771341242418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7.3176698941140941E-2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203793.8228586255</v>
      </c>
      <c r="I52" s="100" t="s">
        <v>228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230.73289519507009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430417.8</v>
      </c>
      <c r="I54" s="101" t="s">
        <v>229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230</v>
      </c>
      <c r="J56" s="63" t="s">
        <v>195</v>
      </c>
    </row>
    <row r="57" spans="1:10" ht="15" customHeight="1">
      <c r="A57" s="24" t="s">
        <v>367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368</v>
      </c>
      <c r="D58" s="4" t="s">
        <v>119</v>
      </c>
      <c r="E58" s="4" t="s">
        <v>165</v>
      </c>
      <c r="F58" s="17" t="s">
        <v>369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0.23314210772514343</v>
      </c>
      <c r="D59" s="130">
        <v>0.68736839294433594</v>
      </c>
      <c r="E59" s="88">
        <v>75.901584605165482</v>
      </c>
      <c r="F59" s="89">
        <v>524.68475341796875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103.25577961702669</v>
      </c>
      <c r="C60" s="89">
        <v>113.30343627929687</v>
      </c>
      <c r="D60" s="130">
        <v>0.79157894849777222</v>
      </c>
      <c r="E60" s="88">
        <v>75.423085595487493</v>
      </c>
      <c r="F60" s="89">
        <v>530.03887939453125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220</v>
      </c>
      <c r="C61" s="89">
        <v>357.04791259765625</v>
      </c>
      <c r="D61" s="130">
        <v>0.89578944444656372</v>
      </c>
      <c r="E61" s="88">
        <v>75.149107470586443</v>
      </c>
      <c r="F61" s="89">
        <v>534.4755859375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130.24754280511854</v>
      </c>
      <c r="C62" s="89">
        <v>431.34027099609375</v>
      </c>
      <c r="D62" s="131">
        <v>1</v>
      </c>
      <c r="E62" s="88">
        <v>75</v>
      </c>
      <c r="F62" s="89">
        <v>538.216552734375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103.58030751416116</v>
      </c>
      <c r="C63" s="89">
        <v>455.08938598632812</v>
      </c>
      <c r="D63" s="374"/>
      <c r="E63" s="375"/>
      <c r="F63" s="376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91.35949834546372</v>
      </c>
      <c r="C64" s="89">
        <v>467.90286254882812</v>
      </c>
      <c r="D64" s="377" t="s">
        <v>402</v>
      </c>
      <c r="E64" s="378"/>
      <c r="F64" s="378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83.694734195452796</v>
      </c>
      <c r="C65" s="89">
        <v>485.24722290039062</v>
      </c>
      <c r="D65" s="379" t="s">
        <v>386</v>
      </c>
      <c r="E65" s="381" t="s">
        <v>400</v>
      </c>
      <c r="F65" s="382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80.094597480754317</v>
      </c>
      <c r="C66" s="89">
        <v>498.49313354492187</v>
      </c>
      <c r="D66" s="379" t="s">
        <v>383</v>
      </c>
      <c r="E66" s="381" t="s">
        <v>401</v>
      </c>
      <c r="F66" s="382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77.991460580836588</v>
      </c>
      <c r="C67" s="89">
        <v>509.16915893554687</v>
      </c>
      <c r="D67" s="379" t="s">
        <v>390</v>
      </c>
      <c r="E67" s="381" t="s">
        <v>403</v>
      </c>
      <c r="F67" s="382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76.698181357915033</v>
      </c>
      <c r="C68" s="91">
        <v>517.84527587890625</v>
      </c>
      <c r="D68" s="380" t="s">
        <v>391</v>
      </c>
      <c r="E68" s="383" t="s">
        <v>404</v>
      </c>
      <c r="F68" s="383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3" t="s">
        <v>399</v>
      </c>
      <c r="B99" s="373"/>
      <c r="C99" s="373"/>
      <c r="D99" s="373"/>
      <c r="E99" s="373"/>
      <c r="F99" s="373"/>
      <c r="G99" s="373"/>
      <c r="H99" s="373"/>
      <c r="I99" s="373"/>
    </row>
    <row r="100" spans="1:9">
      <c r="A100" s="373">
        <v>100</v>
      </c>
      <c r="B100" s="373"/>
      <c r="C100" s="373"/>
      <c r="D100" s="373"/>
      <c r="E100" s="373"/>
      <c r="F100" s="373"/>
      <c r="G100" s="373"/>
      <c r="H100" s="373"/>
      <c r="I100" s="373"/>
    </row>
    <row r="101" spans="1:9">
      <c r="A101" s="373">
        <v>99.599998474121094</v>
      </c>
      <c r="B101" s="373"/>
      <c r="C101" s="373"/>
      <c r="D101" s="373"/>
      <c r="E101" s="373"/>
      <c r="F101" s="373"/>
      <c r="G101" s="373"/>
      <c r="H101" s="373"/>
      <c r="I101" s="373"/>
    </row>
    <row r="102" spans="1:9">
      <c r="A102" s="373">
        <v>98</v>
      </c>
      <c r="B102" s="373"/>
      <c r="C102" s="373"/>
      <c r="D102" s="373"/>
      <c r="E102" s="373"/>
      <c r="F102" s="373"/>
      <c r="G102" s="373"/>
      <c r="H102" s="373"/>
      <c r="I102" s="373"/>
    </row>
    <row r="103" spans="1:9">
      <c r="A103" s="373">
        <v>83.852630615234375</v>
      </c>
      <c r="B103" s="373"/>
      <c r="C103" s="373"/>
      <c r="D103" s="373"/>
      <c r="E103" s="373"/>
      <c r="F103" s="373"/>
      <c r="G103" s="373"/>
      <c r="H103" s="373"/>
      <c r="I103" s="373"/>
    </row>
    <row r="104" spans="1:9">
      <c r="A104" s="373">
        <v>70.305259704589844</v>
      </c>
      <c r="B104" s="373"/>
      <c r="C104" s="373"/>
      <c r="D104" s="373"/>
      <c r="E104" s="373"/>
      <c r="F104" s="373"/>
      <c r="G104" s="373"/>
      <c r="H104" s="373"/>
      <c r="I104" s="373"/>
    </row>
    <row r="105" spans="1:9">
      <c r="A105" s="373">
        <v>57.410526275634766</v>
      </c>
      <c r="B105" s="373"/>
      <c r="C105" s="373"/>
      <c r="D105" s="373"/>
      <c r="E105" s="373"/>
      <c r="F105" s="373"/>
      <c r="G105" s="373"/>
      <c r="H105" s="373"/>
      <c r="I105" s="373"/>
    </row>
    <row r="106" spans="1:9">
      <c r="A106" s="373">
        <v>38.010524749755859</v>
      </c>
      <c r="B106" s="373"/>
      <c r="C106" s="373"/>
      <c r="D106" s="373"/>
      <c r="E106" s="373"/>
      <c r="F106" s="373"/>
      <c r="G106" s="373"/>
      <c r="H106" s="373"/>
      <c r="I106" s="373"/>
    </row>
    <row r="107" spans="1:9">
      <c r="A107" s="373">
        <v>24.778947830200195</v>
      </c>
      <c r="B107" s="373"/>
      <c r="C107" s="373"/>
      <c r="D107" s="373"/>
      <c r="E107" s="373"/>
      <c r="F107" s="373"/>
      <c r="G107" s="373"/>
      <c r="H107" s="373"/>
      <c r="I107" s="373"/>
    </row>
    <row r="108" spans="1:9">
      <c r="A108" s="373">
        <v>15.684209823608398</v>
      </c>
      <c r="B108" s="373"/>
      <c r="C108" s="373"/>
      <c r="D108" s="373"/>
      <c r="E108" s="373"/>
      <c r="F108" s="373"/>
      <c r="G108" s="373"/>
      <c r="H108" s="373"/>
      <c r="I108" s="373"/>
    </row>
    <row r="109" spans="1:9">
      <c r="A109" s="373">
        <v>9.0105257034301758</v>
      </c>
      <c r="B109" s="373"/>
      <c r="C109" s="373"/>
      <c r="D109" s="373"/>
      <c r="E109" s="373"/>
      <c r="F109" s="373"/>
      <c r="G109" s="373"/>
      <c r="H109" s="373"/>
      <c r="I109" s="373"/>
    </row>
    <row r="110" spans="1:9">
      <c r="A110" s="373">
        <v>6.2526321411132813</v>
      </c>
      <c r="B110" s="373"/>
      <c r="C110" s="373"/>
      <c r="D110" s="373"/>
      <c r="E110" s="373"/>
      <c r="F110" s="373"/>
      <c r="G110" s="373"/>
      <c r="H110" s="373"/>
      <c r="I110" s="373"/>
    </row>
    <row r="111" spans="1:9">
      <c r="A111" s="373">
        <v>7.8315787315368652</v>
      </c>
      <c r="B111" s="373"/>
      <c r="C111" s="373"/>
      <c r="D111" s="373"/>
      <c r="E111" s="373"/>
      <c r="F111" s="373"/>
      <c r="G111" s="373"/>
      <c r="H111" s="373"/>
      <c r="I111" s="373"/>
    </row>
    <row r="112" spans="1:9">
      <c r="A112" s="373">
        <v>14.70526123046875</v>
      </c>
      <c r="B112" s="373"/>
      <c r="C112" s="373"/>
      <c r="D112" s="373"/>
      <c r="E112" s="373"/>
      <c r="F112" s="373"/>
      <c r="G112" s="373"/>
      <c r="H112" s="373"/>
      <c r="I112" s="373"/>
    </row>
    <row r="113" spans="1:9">
      <c r="A113" s="373">
        <v>30</v>
      </c>
      <c r="B113" s="373"/>
      <c r="C113" s="373"/>
      <c r="D113" s="373"/>
      <c r="E113" s="373"/>
      <c r="F113" s="373"/>
      <c r="G113" s="373"/>
      <c r="H113" s="373"/>
      <c r="I113" s="373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I47" sqref="I47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251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758</v>
      </c>
      <c r="C3" s="157"/>
      <c r="D3" s="157"/>
      <c r="E3" s="157"/>
      <c r="F3" s="158"/>
      <c r="G3" s="157"/>
      <c r="H3" s="157"/>
      <c r="I3" s="155" t="s">
        <v>252</v>
      </c>
      <c r="J3" s="632" t="s">
        <v>759</v>
      </c>
      <c r="K3" s="632"/>
    </row>
    <row r="4" spans="1:26" s="167" customFormat="1" ht="18.399999999999999" customHeight="1" thickBot="1">
      <c r="A4" s="159" t="s">
        <v>754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253</v>
      </c>
      <c r="R4" s="165"/>
      <c r="S4" s="163"/>
      <c r="T4" s="164" t="s">
        <v>254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255</v>
      </c>
      <c r="B5" s="634"/>
      <c r="C5" s="634"/>
      <c r="D5" s="168"/>
      <c r="E5" s="169"/>
      <c r="F5" s="170" t="s">
        <v>256</v>
      </c>
      <c r="G5" s="171"/>
      <c r="H5" s="171"/>
      <c r="I5" s="172"/>
      <c r="J5" s="173" t="s">
        <v>257</v>
      </c>
      <c r="K5" s="174" t="s">
        <v>258</v>
      </c>
      <c r="L5" s="163"/>
      <c r="M5" s="163"/>
      <c r="N5" s="163"/>
      <c r="O5" s="163"/>
      <c r="P5" s="163"/>
      <c r="Q5" s="175" t="s">
        <v>259</v>
      </c>
      <c r="R5" s="176"/>
      <c r="S5" s="163"/>
      <c r="T5" s="175" t="s">
        <v>260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264</v>
      </c>
      <c r="E6" s="638"/>
      <c r="F6" s="568" t="s">
        <v>262</v>
      </c>
      <c r="G6" s="569"/>
      <c r="H6" s="569"/>
      <c r="I6" s="569"/>
      <c r="J6" s="569"/>
      <c r="K6" s="570"/>
      <c r="L6" s="163"/>
      <c r="M6" s="163"/>
      <c r="N6" s="163"/>
      <c r="O6" s="163"/>
      <c r="P6" s="163"/>
      <c r="Q6" s="175" t="s">
        <v>263</v>
      </c>
      <c r="R6" s="176"/>
      <c r="S6" s="163"/>
      <c r="T6" s="175" t="s">
        <v>264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265</v>
      </c>
      <c r="G7" s="179"/>
      <c r="H7" s="180"/>
      <c r="I7" s="181"/>
      <c r="J7" s="182">
        <v>33</v>
      </c>
      <c r="K7" s="183" t="s">
        <v>174</v>
      </c>
      <c r="L7" s="163"/>
      <c r="M7" s="163"/>
      <c r="N7" s="163"/>
      <c r="O7" s="163"/>
      <c r="P7" s="163"/>
      <c r="Q7" s="175" t="s">
        <v>266</v>
      </c>
      <c r="R7" s="176"/>
      <c r="S7" s="163"/>
      <c r="T7" s="175" t="s">
        <v>261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267</v>
      </c>
      <c r="B8" s="627"/>
      <c r="C8" s="627"/>
      <c r="D8" s="612">
        <v>804</v>
      </c>
      <c r="E8" s="608"/>
      <c r="F8" s="184" t="s">
        <v>268</v>
      </c>
      <c r="G8" s="185"/>
      <c r="H8" s="186"/>
      <c r="I8" s="187"/>
      <c r="J8" s="188">
        <v>14099</v>
      </c>
      <c r="K8" s="189" t="s">
        <v>174</v>
      </c>
      <c r="L8" s="163"/>
      <c r="M8" s="163"/>
      <c r="N8" s="163"/>
      <c r="O8" s="163"/>
      <c r="P8" s="163"/>
      <c r="Q8" s="175" t="s">
        <v>269</v>
      </c>
      <c r="R8" s="176"/>
      <c r="S8" s="163"/>
      <c r="T8" s="175" t="s">
        <v>270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271</v>
      </c>
      <c r="B9" s="622"/>
      <c r="C9" s="623"/>
      <c r="D9" s="612" t="s">
        <v>748</v>
      </c>
      <c r="E9" s="608"/>
      <c r="F9" s="178" t="s">
        <v>272</v>
      </c>
      <c r="G9" s="179"/>
      <c r="H9" s="190">
        <v>3</v>
      </c>
      <c r="I9" s="191" t="s">
        <v>273</v>
      </c>
      <c r="J9" s="192">
        <v>239</v>
      </c>
      <c r="K9" s="189" t="s">
        <v>174</v>
      </c>
      <c r="L9" s="163"/>
      <c r="M9" s="163"/>
      <c r="N9" s="163"/>
      <c r="O9" s="163"/>
      <c r="P9" s="163"/>
      <c r="Q9" s="175" t="s">
        <v>274</v>
      </c>
      <c r="R9" s="176"/>
      <c r="S9" s="163"/>
      <c r="T9" s="175" t="s">
        <v>275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276</v>
      </c>
      <c r="B10" s="622"/>
      <c r="C10" s="623"/>
      <c r="D10" s="595" t="s">
        <v>185</v>
      </c>
      <c r="E10" s="596"/>
      <c r="F10" s="178" t="s">
        <v>277</v>
      </c>
      <c r="G10" s="179"/>
      <c r="H10" s="190">
        <v>3</v>
      </c>
      <c r="I10" s="191" t="s">
        <v>273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278</v>
      </c>
      <c r="R10" s="176"/>
      <c r="S10" s="163"/>
      <c r="T10" s="193" t="s">
        <v>279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280</v>
      </c>
      <c r="B11" s="622"/>
      <c r="C11" s="623"/>
      <c r="D11" s="590" t="s">
        <v>174</v>
      </c>
      <c r="E11" s="591"/>
      <c r="F11" s="195" t="s">
        <v>281</v>
      </c>
      <c r="G11" s="196"/>
      <c r="H11" s="197">
        <v>3</v>
      </c>
      <c r="I11" s="191" t="s">
        <v>273</v>
      </c>
      <c r="J11" s="198">
        <v>73899</v>
      </c>
      <c r="K11" s="199" t="s">
        <v>174</v>
      </c>
      <c r="L11" s="163"/>
      <c r="M11" s="163"/>
      <c r="N11" s="163"/>
      <c r="O11" s="163"/>
      <c r="P11" s="163"/>
      <c r="Q11" s="193" t="s">
        <v>282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283</v>
      </c>
      <c r="C12" s="202"/>
      <c r="D12" s="624" t="s">
        <v>174</v>
      </c>
      <c r="E12" s="625"/>
      <c r="F12" s="592" t="s">
        <v>284</v>
      </c>
      <c r="G12" s="593"/>
      <c r="H12" s="593"/>
      <c r="I12" s="593"/>
      <c r="J12" s="593"/>
      <c r="K12" s="594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615" t="s">
        <v>362</v>
      </c>
      <c r="E13" s="616"/>
      <c r="F13" s="203"/>
      <c r="G13" s="204" t="s">
        <v>285</v>
      </c>
      <c r="H13" s="205"/>
      <c r="I13" s="206" t="s">
        <v>286</v>
      </c>
      <c r="J13" s="207" t="s">
        <v>364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1339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9" t="s">
        <v>287</v>
      </c>
      <c r="B15" s="610"/>
      <c r="C15" s="611"/>
      <c r="D15" s="588">
        <v>16.476200103759766</v>
      </c>
      <c r="E15" s="589"/>
      <c r="F15" s="203"/>
      <c r="G15" s="209" t="s">
        <v>288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5" t="s">
        <v>289</v>
      </c>
      <c r="B16" s="586"/>
      <c r="C16" s="587"/>
      <c r="D16" s="588">
        <v>3.5543997287750244</v>
      </c>
      <c r="E16" s="58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290</v>
      </c>
      <c r="B17" s="215"/>
      <c r="C17" s="216"/>
      <c r="D17" s="590" t="s">
        <v>361</v>
      </c>
      <c r="E17" s="591"/>
      <c r="F17" s="592" t="s">
        <v>291</v>
      </c>
      <c r="G17" s="593"/>
      <c r="H17" s="593"/>
      <c r="I17" s="593"/>
      <c r="J17" s="593"/>
      <c r="K17" s="594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292</v>
      </c>
      <c r="B18" s="218"/>
      <c r="C18" s="216"/>
      <c r="D18" s="595" t="s">
        <v>174</v>
      </c>
      <c r="E18" s="596"/>
      <c r="F18" s="597"/>
      <c r="G18" s="598"/>
      <c r="H18" s="219" t="s">
        <v>293</v>
      </c>
      <c r="I18" s="220"/>
      <c r="J18" s="188">
        <v>157</v>
      </c>
      <c r="K18" s="189"/>
      <c r="L18" s="163"/>
      <c r="M18" s="163">
        <f>J18*6.5</f>
        <v>1020.5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3" t="s">
        <v>294</v>
      </c>
      <c r="B19" s="604"/>
      <c r="C19" s="605"/>
      <c r="D19" s="606" t="s">
        <v>174</v>
      </c>
      <c r="E19" s="591"/>
      <c r="F19" s="599"/>
      <c r="G19" s="600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295</v>
      </c>
      <c r="C20" s="222"/>
      <c r="D20" s="607" t="s">
        <v>184</v>
      </c>
      <c r="E20" s="608"/>
      <c r="F20" s="599"/>
      <c r="G20" s="600"/>
      <c r="H20" s="219" t="s">
        <v>296</v>
      </c>
      <c r="I20" s="181"/>
      <c r="J20" s="192" t="s">
        <v>337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9" t="s">
        <v>297</v>
      </c>
      <c r="B21" s="610"/>
      <c r="C21" s="611"/>
      <c r="D21" s="612" t="s">
        <v>174</v>
      </c>
      <c r="E21" s="608"/>
      <c r="F21" s="599"/>
      <c r="G21" s="600"/>
      <c r="H21" s="223" t="s">
        <v>298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299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300</v>
      </c>
      <c r="B22" s="224"/>
      <c r="C22" s="224"/>
      <c r="D22" s="613">
        <v>0.11749999999999999</v>
      </c>
      <c r="E22" s="614"/>
      <c r="F22" s="599"/>
      <c r="G22" s="600"/>
      <c r="H22" s="219" t="s">
        <v>257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302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303</v>
      </c>
      <c r="B23" s="226" t="s">
        <v>304</v>
      </c>
      <c r="C23" s="227"/>
      <c r="D23" s="615">
        <v>686</v>
      </c>
      <c r="E23" s="616"/>
      <c r="F23" s="599"/>
      <c r="G23" s="600"/>
      <c r="H23" s="228" t="s">
        <v>305</v>
      </c>
      <c r="I23" s="229"/>
      <c r="J23" s="230"/>
      <c r="K23" s="231"/>
      <c r="L23" s="163"/>
      <c r="Q23" s="175" t="s">
        <v>306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307</v>
      </c>
      <c r="B24" s="233" t="s">
        <v>308</v>
      </c>
      <c r="C24" s="234"/>
      <c r="D24" s="617" t="s">
        <v>174</v>
      </c>
      <c r="E24" s="618"/>
      <c r="F24" s="599"/>
      <c r="G24" s="600"/>
      <c r="H24" s="219" t="s">
        <v>309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310</v>
      </c>
      <c r="B25" s="240"/>
      <c r="C25" s="240"/>
      <c r="D25" s="241"/>
      <c r="E25" s="241" t="s">
        <v>311</v>
      </c>
      <c r="F25" s="599"/>
      <c r="G25" s="600"/>
      <c r="H25" s="219" t="s">
        <v>312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313</v>
      </c>
      <c r="B26" s="244"/>
      <c r="C26" s="245"/>
      <c r="D26" s="246" t="s">
        <v>365</v>
      </c>
      <c r="E26" s="246" t="s">
        <v>366</v>
      </c>
      <c r="F26" s="601"/>
      <c r="G26" s="602"/>
      <c r="H26" s="619"/>
      <c r="I26" s="620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6" t="s">
        <v>314</v>
      </c>
      <c r="B27" s="567"/>
      <c r="C27" s="567"/>
      <c r="D27" s="567"/>
      <c r="E27" s="567"/>
      <c r="F27" s="568" t="s">
        <v>315</v>
      </c>
      <c r="G27" s="569"/>
      <c r="H27" s="569"/>
      <c r="I27" s="569"/>
      <c r="J27" s="569"/>
      <c r="K27" s="570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3"/>
      <c r="B28" s="574"/>
      <c r="C28" s="574"/>
      <c r="D28" s="574"/>
      <c r="E28" s="575"/>
      <c r="F28" s="249"/>
      <c r="G28" s="250"/>
      <c r="H28" s="209" t="s">
        <v>316</v>
      </c>
      <c r="I28" s="251" t="s">
        <v>363</v>
      </c>
      <c r="J28" s="188">
        <v>845</v>
      </c>
      <c r="K28" s="252" t="s">
        <v>174</v>
      </c>
      <c r="M28" s="167">
        <f>(J28/J18)*100</f>
        <v>538.21656050955414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3"/>
      <c r="B29" s="574"/>
      <c r="C29" s="574"/>
      <c r="D29" s="574"/>
      <c r="E29" s="575"/>
      <c r="F29" s="254"/>
      <c r="G29" s="255"/>
      <c r="H29" s="209" t="s">
        <v>317</v>
      </c>
      <c r="I29" s="256">
        <v>60</v>
      </c>
      <c r="J29" s="188">
        <v>77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3"/>
      <c r="B30" s="574"/>
      <c r="C30" s="574"/>
      <c r="D30" s="574"/>
      <c r="E30" s="575"/>
      <c r="F30" s="254"/>
      <c r="G30" s="255"/>
      <c r="H30" s="209" t="s">
        <v>318</v>
      </c>
      <c r="I30" s="256">
        <v>175</v>
      </c>
      <c r="J30" s="188">
        <v>223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3"/>
      <c r="B31" s="574"/>
      <c r="C31" s="574"/>
      <c r="D31" s="574"/>
      <c r="E31" s="575"/>
      <c r="F31" s="254"/>
      <c r="G31" s="255"/>
      <c r="H31" s="209" t="s">
        <v>319</v>
      </c>
      <c r="I31" s="210"/>
      <c r="J31" s="259">
        <v>0.68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6"/>
      <c r="B32" s="577"/>
      <c r="C32" s="577"/>
      <c r="D32" s="577"/>
      <c r="E32" s="578"/>
      <c r="F32" s="254"/>
      <c r="G32" s="260" t="s">
        <v>320</v>
      </c>
      <c r="H32" s="209" t="s">
        <v>321</v>
      </c>
      <c r="I32" s="261"/>
      <c r="J32" s="182">
        <v>95.5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66" t="s">
        <v>322</v>
      </c>
      <c r="B33" s="567"/>
      <c r="C33" s="567"/>
      <c r="D33" s="567"/>
      <c r="E33" s="579"/>
      <c r="F33" s="263"/>
      <c r="G33" s="264"/>
      <c r="H33" s="265" t="s">
        <v>323</v>
      </c>
      <c r="I33" s="266"/>
      <c r="J33" s="267">
        <v>89.9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3"/>
      <c r="B34" s="574"/>
      <c r="C34" s="574"/>
      <c r="D34" s="574"/>
      <c r="E34" s="575"/>
      <c r="F34" s="184" t="s">
        <v>324</v>
      </c>
      <c r="G34" s="269"/>
      <c r="H34" s="270" t="s">
        <v>14</v>
      </c>
      <c r="I34" s="271"/>
      <c r="J34" s="272">
        <v>9837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3"/>
      <c r="B35" s="574"/>
      <c r="C35" s="574"/>
      <c r="D35" s="574"/>
      <c r="E35" s="575"/>
      <c r="F35" s="203"/>
      <c r="G35" s="276"/>
      <c r="H35" s="277" t="s">
        <v>15</v>
      </c>
      <c r="I35" s="278"/>
      <c r="J35" s="188">
        <v>6594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3"/>
      <c r="B36" s="574"/>
      <c r="C36" s="574"/>
      <c r="D36" s="574"/>
      <c r="E36" s="575"/>
      <c r="F36" s="203"/>
      <c r="G36" s="276"/>
      <c r="H36" s="277" t="s">
        <v>325</v>
      </c>
      <c r="I36" s="278"/>
      <c r="J36" s="188">
        <v>4372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3"/>
      <c r="B37" s="574"/>
      <c r="C37" s="574"/>
      <c r="D37" s="574"/>
      <c r="E37" s="575"/>
      <c r="F37" s="254"/>
      <c r="G37" s="276"/>
      <c r="H37" s="277" t="s">
        <v>760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6"/>
      <c r="B38" s="577"/>
      <c r="C38" s="577"/>
      <c r="D38" s="577"/>
      <c r="E38" s="578"/>
      <c r="F38" s="211"/>
      <c r="G38" s="280"/>
      <c r="H38" s="281" t="s">
        <v>326</v>
      </c>
      <c r="I38" s="282"/>
      <c r="J38" s="283">
        <v>13465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66" t="s">
        <v>327</v>
      </c>
      <c r="B39" s="567"/>
      <c r="C39" s="567"/>
      <c r="D39" s="567"/>
      <c r="E39" s="567"/>
      <c r="F39" s="285" t="s">
        <v>328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3"/>
      <c r="B40" s="574"/>
      <c r="C40" s="574"/>
      <c r="D40" s="574"/>
      <c r="E40" s="575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3"/>
      <c r="B41" s="574"/>
      <c r="C41" s="574"/>
      <c r="D41" s="574"/>
      <c r="E41" s="575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3"/>
      <c r="B42" s="574"/>
      <c r="C42" s="574"/>
      <c r="D42" s="574"/>
      <c r="E42" s="575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3"/>
      <c r="B43" s="574"/>
      <c r="C43" s="574"/>
      <c r="D43" s="574"/>
      <c r="E43" s="575"/>
      <c r="F43" s="288"/>
      <c r="G43" s="548" t="s">
        <v>749</v>
      </c>
      <c r="H43" s="548"/>
      <c r="I43" s="548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80"/>
      <c r="B44" s="581"/>
      <c r="C44" s="581"/>
      <c r="D44" s="581"/>
      <c r="E44" s="582"/>
      <c r="F44" s="288"/>
      <c r="G44" s="548" t="s">
        <v>761</v>
      </c>
      <c r="H44" s="548"/>
      <c r="I44" s="548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329</v>
      </c>
      <c r="B45" s="583" t="s">
        <v>756</v>
      </c>
      <c r="C45" s="584"/>
      <c r="D45" s="295" t="s">
        <v>330</v>
      </c>
      <c r="E45" s="296" t="s">
        <v>331</v>
      </c>
      <c r="F45" s="297"/>
      <c r="G45" s="548"/>
      <c r="H45" s="548"/>
      <c r="I45" s="548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332</v>
      </c>
      <c r="B46" s="571">
        <v>42019</v>
      </c>
      <c r="C46" s="572"/>
      <c r="D46" s="299" t="s">
        <v>332</v>
      </c>
      <c r="E46" s="300">
        <v>41992</v>
      </c>
      <c r="F46" s="301"/>
      <c r="G46" s="549" t="s">
        <v>750</v>
      </c>
      <c r="H46" s="549"/>
      <c r="I46" s="549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333</v>
      </c>
      <c r="K1" s="310" t="s">
        <v>334</v>
      </c>
      <c r="L1" s="310" t="s">
        <v>335</v>
      </c>
      <c r="M1" s="310" t="s">
        <v>334</v>
      </c>
      <c r="N1" s="310"/>
    </row>
    <row r="2" spans="2:14" ht="12.75" customHeight="1">
      <c r="B2" s="663" t="s">
        <v>336</v>
      </c>
      <c r="C2" s="664"/>
      <c r="D2" s="664"/>
      <c r="E2" s="664"/>
      <c r="F2" s="664"/>
      <c r="G2" s="664"/>
      <c r="H2" s="312"/>
      <c r="I2" s="313"/>
      <c r="J2" s="314" t="s">
        <v>337</v>
      </c>
      <c r="K2" s="314" t="s">
        <v>338</v>
      </c>
      <c r="L2" s="314" t="s">
        <v>339</v>
      </c>
      <c r="M2" s="314" t="s">
        <v>340</v>
      </c>
      <c r="N2" s="314" t="s">
        <v>341</v>
      </c>
    </row>
    <row r="3" spans="2:14" ht="12.75" customHeight="1">
      <c r="B3" s="663"/>
      <c r="C3" s="664"/>
      <c r="D3" s="664"/>
      <c r="E3" s="664"/>
      <c r="F3" s="664"/>
      <c r="G3" s="664"/>
      <c r="H3" s="312"/>
      <c r="I3" s="313"/>
      <c r="J3" s="314" t="s">
        <v>342</v>
      </c>
      <c r="K3" s="314"/>
      <c r="L3" s="314" t="s">
        <v>343</v>
      </c>
      <c r="M3" s="314" t="s">
        <v>333</v>
      </c>
      <c r="N3" s="314"/>
    </row>
    <row r="4" spans="2:14" ht="12.75" customHeight="1">
      <c r="B4" s="663"/>
      <c r="C4" s="664"/>
      <c r="D4" s="664"/>
      <c r="E4" s="664"/>
      <c r="F4" s="664"/>
      <c r="G4" s="664"/>
      <c r="H4" s="312"/>
      <c r="I4" s="313"/>
      <c r="J4" s="314" t="s">
        <v>344</v>
      </c>
      <c r="K4" s="314"/>
      <c r="L4" s="314" t="s">
        <v>339</v>
      </c>
      <c r="M4" s="314" t="s">
        <v>337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345</v>
      </c>
      <c r="L5" s="314" t="s">
        <v>334</v>
      </c>
      <c r="M5" s="314"/>
      <c r="N5" s="314" t="s">
        <v>339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338</v>
      </c>
      <c r="K6" s="314" t="s">
        <v>346</v>
      </c>
      <c r="L6" s="314"/>
      <c r="M6" s="314" t="s">
        <v>334</v>
      </c>
      <c r="N6" s="314" t="s">
        <v>347</v>
      </c>
    </row>
    <row r="7" spans="2:14" ht="12.75" customHeight="1">
      <c r="B7" s="317"/>
      <c r="D7" s="320"/>
      <c r="H7" s="319"/>
      <c r="I7" s="313"/>
      <c r="J7" s="314" t="s">
        <v>348</v>
      </c>
      <c r="K7" s="314" t="s">
        <v>342</v>
      </c>
      <c r="L7" s="314" t="s">
        <v>342</v>
      </c>
      <c r="M7" s="314" t="s">
        <v>337</v>
      </c>
      <c r="N7" s="314" t="s">
        <v>349</v>
      </c>
    </row>
    <row r="8" spans="2:14" ht="12.75" customHeight="1">
      <c r="B8" s="317"/>
      <c r="G8" s="320"/>
      <c r="H8" s="321"/>
      <c r="I8" s="314" t="s">
        <v>349</v>
      </c>
      <c r="J8" s="314" t="s">
        <v>334</v>
      </c>
      <c r="K8" s="314" t="s">
        <v>350</v>
      </c>
      <c r="L8" s="314" t="s">
        <v>337</v>
      </c>
      <c r="M8" s="314" t="s">
        <v>349</v>
      </c>
      <c r="N8" s="314" t="s">
        <v>346</v>
      </c>
    </row>
    <row r="9" spans="2:14">
      <c r="B9" s="314" t="s">
        <v>351</v>
      </c>
      <c r="C9" s="321" t="s">
        <v>352</v>
      </c>
      <c r="D9" s="321" t="s">
        <v>353</v>
      </c>
      <c r="E9" s="321" t="s">
        <v>354</v>
      </c>
      <c r="F9" s="314" t="s">
        <v>355</v>
      </c>
      <c r="G9" s="314" t="s">
        <v>356</v>
      </c>
      <c r="H9" s="314" t="s">
        <v>357</v>
      </c>
      <c r="I9" s="314" t="s">
        <v>344</v>
      </c>
      <c r="J9" s="314" t="s">
        <v>348</v>
      </c>
      <c r="K9" s="314" t="s">
        <v>337</v>
      </c>
      <c r="L9" s="314" t="s">
        <v>350</v>
      </c>
      <c r="M9" s="314" t="s">
        <v>334</v>
      </c>
      <c r="N9" s="314" t="s">
        <v>335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5" t="s">
        <v>358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6" t="s">
        <v>359</v>
      </c>
      <c r="C54" s="666" t="s">
        <v>356</v>
      </c>
      <c r="D54" s="667"/>
      <c r="E54" s="667"/>
      <c r="F54" s="667"/>
      <c r="G54" s="667"/>
      <c r="H54" s="337"/>
      <c r="I54" s="666" t="s">
        <v>351</v>
      </c>
      <c r="J54" s="667"/>
      <c r="K54" s="668"/>
      <c r="L54" s="666" t="s">
        <v>360</v>
      </c>
      <c r="M54" s="667"/>
      <c r="N54" s="669"/>
    </row>
    <row r="55" spans="2:14" ht="15" customHeight="1">
      <c r="B55" s="338"/>
      <c r="C55" s="655"/>
      <c r="D55" s="656"/>
      <c r="E55" s="656"/>
      <c r="F55" s="656"/>
      <c r="G55" s="656"/>
      <c r="H55" s="339"/>
      <c r="I55" s="657"/>
      <c r="J55" s="658"/>
      <c r="K55" s="659"/>
      <c r="L55" s="660"/>
      <c r="M55" s="661"/>
      <c r="N55" s="662"/>
    </row>
    <row r="56" spans="2:14" ht="15" customHeight="1">
      <c r="B56" s="340"/>
      <c r="C56" s="639"/>
      <c r="D56" s="640"/>
      <c r="E56" s="640"/>
      <c r="F56" s="640"/>
      <c r="G56" s="640"/>
      <c r="H56" s="341"/>
      <c r="I56" s="641"/>
      <c r="J56" s="642"/>
      <c r="K56" s="643"/>
      <c r="L56" s="644"/>
      <c r="M56" s="645"/>
      <c r="N56" s="646"/>
    </row>
    <row r="57" spans="2:14" ht="15" customHeight="1">
      <c r="B57" s="340"/>
      <c r="C57" s="639"/>
      <c r="D57" s="640"/>
      <c r="E57" s="640"/>
      <c r="F57" s="640"/>
      <c r="G57" s="640"/>
      <c r="H57" s="341"/>
      <c r="I57" s="641"/>
      <c r="J57" s="642"/>
      <c r="K57" s="643"/>
      <c r="L57" s="644"/>
      <c r="M57" s="645"/>
      <c r="N57" s="646"/>
    </row>
    <row r="58" spans="2:14" ht="15" customHeight="1">
      <c r="B58" s="340"/>
      <c r="C58" s="639"/>
      <c r="D58" s="640"/>
      <c r="E58" s="640"/>
      <c r="F58" s="640"/>
      <c r="G58" s="640"/>
      <c r="H58" s="341"/>
      <c r="I58" s="641"/>
      <c r="J58" s="642"/>
      <c r="K58" s="643"/>
      <c r="L58" s="644"/>
      <c r="M58" s="645"/>
      <c r="N58" s="646"/>
    </row>
    <row r="59" spans="2:14" ht="15" customHeight="1">
      <c r="B59" s="340"/>
      <c r="C59" s="639"/>
      <c r="D59" s="640"/>
      <c r="E59" s="640"/>
      <c r="F59" s="640"/>
      <c r="G59" s="640"/>
      <c r="H59" s="341"/>
      <c r="I59" s="641"/>
      <c r="J59" s="642"/>
      <c r="K59" s="643"/>
      <c r="L59" s="644"/>
      <c r="M59" s="645"/>
      <c r="N59" s="646"/>
    </row>
    <row r="60" spans="2:14" ht="15" customHeight="1">
      <c r="B60" s="340"/>
      <c r="C60" s="639"/>
      <c r="D60" s="640"/>
      <c r="E60" s="640"/>
      <c r="F60" s="640"/>
      <c r="G60" s="640"/>
      <c r="H60" s="341"/>
      <c r="I60" s="641"/>
      <c r="J60" s="642"/>
      <c r="K60" s="643"/>
      <c r="L60" s="644"/>
      <c r="M60" s="645"/>
      <c r="N60" s="646"/>
    </row>
    <row r="61" spans="2:14" ht="15" customHeight="1">
      <c r="B61" s="340"/>
      <c r="C61" s="639"/>
      <c r="D61" s="640"/>
      <c r="E61" s="640"/>
      <c r="F61" s="640"/>
      <c r="G61" s="640"/>
      <c r="H61" s="341"/>
      <c r="I61" s="641"/>
      <c r="J61" s="642"/>
      <c r="K61" s="643"/>
      <c r="L61" s="644"/>
      <c r="M61" s="645"/>
      <c r="N61" s="646"/>
    </row>
    <row r="62" spans="2:14" ht="15" customHeight="1">
      <c r="B62" s="340"/>
      <c r="C62" s="639"/>
      <c r="D62" s="640"/>
      <c r="E62" s="640"/>
      <c r="F62" s="640"/>
      <c r="G62" s="640"/>
      <c r="H62" s="341"/>
      <c r="I62" s="641"/>
      <c r="J62" s="642"/>
      <c r="K62" s="643"/>
      <c r="L62" s="644"/>
      <c r="M62" s="645"/>
      <c r="N62" s="646"/>
    </row>
    <row r="63" spans="2:14" ht="15" customHeight="1">
      <c r="B63" s="340"/>
      <c r="C63" s="639"/>
      <c r="D63" s="640"/>
      <c r="E63" s="640"/>
      <c r="F63" s="640"/>
      <c r="G63" s="640"/>
      <c r="H63" s="341"/>
      <c r="I63" s="641"/>
      <c r="J63" s="642"/>
      <c r="K63" s="643"/>
      <c r="L63" s="644"/>
      <c r="M63" s="645"/>
      <c r="N63" s="646"/>
    </row>
    <row r="64" spans="2:14" ht="15" customHeight="1">
      <c r="B64" s="340"/>
      <c r="C64" s="639"/>
      <c r="D64" s="640"/>
      <c r="E64" s="640"/>
      <c r="F64" s="640"/>
      <c r="G64" s="640"/>
      <c r="H64" s="341"/>
      <c r="I64" s="641"/>
      <c r="J64" s="642"/>
      <c r="K64" s="643"/>
      <c r="L64" s="644"/>
      <c r="M64" s="645"/>
      <c r="N64" s="646"/>
    </row>
    <row r="65" spans="2:14" ht="15" customHeight="1">
      <c r="B65" s="340"/>
      <c r="C65" s="639"/>
      <c r="D65" s="640"/>
      <c r="E65" s="640"/>
      <c r="F65" s="640"/>
      <c r="G65" s="640"/>
      <c r="H65" s="341"/>
      <c r="I65" s="641"/>
      <c r="J65" s="642"/>
      <c r="K65" s="643"/>
      <c r="L65" s="644"/>
      <c r="M65" s="645"/>
      <c r="N65" s="646"/>
    </row>
    <row r="66" spans="2:14" ht="15" customHeight="1">
      <c r="B66" s="340"/>
      <c r="C66" s="639"/>
      <c r="D66" s="640"/>
      <c r="E66" s="640"/>
      <c r="F66" s="640"/>
      <c r="G66" s="640"/>
      <c r="H66" s="341"/>
      <c r="I66" s="641"/>
      <c r="J66" s="642"/>
      <c r="K66" s="643"/>
      <c r="L66" s="644"/>
      <c r="M66" s="645"/>
      <c r="N66" s="646"/>
    </row>
    <row r="67" spans="2:14" ht="15" customHeight="1">
      <c r="B67" s="340"/>
      <c r="C67" s="639"/>
      <c r="D67" s="640"/>
      <c r="E67" s="640"/>
      <c r="F67" s="640"/>
      <c r="G67" s="640"/>
      <c r="H67" s="341"/>
      <c r="I67" s="641"/>
      <c r="J67" s="642"/>
      <c r="K67" s="643"/>
      <c r="L67" s="644"/>
      <c r="M67" s="645"/>
      <c r="N67" s="646"/>
    </row>
    <row r="68" spans="2:14" ht="15" customHeight="1">
      <c r="B68" s="340"/>
      <c r="C68" s="639"/>
      <c r="D68" s="640"/>
      <c r="E68" s="640"/>
      <c r="F68" s="640"/>
      <c r="G68" s="640"/>
      <c r="H68" s="341"/>
      <c r="I68" s="641"/>
      <c r="J68" s="642"/>
      <c r="K68" s="643"/>
      <c r="L68" s="644"/>
      <c r="M68" s="645"/>
      <c r="N68" s="646"/>
    </row>
    <row r="69" spans="2:14" ht="15" customHeight="1">
      <c r="B69" s="340"/>
      <c r="C69" s="639"/>
      <c r="D69" s="640"/>
      <c r="E69" s="640"/>
      <c r="F69" s="640"/>
      <c r="G69" s="640"/>
      <c r="H69" s="341"/>
      <c r="I69" s="641"/>
      <c r="J69" s="642"/>
      <c r="K69" s="643"/>
      <c r="L69" s="644"/>
      <c r="M69" s="645"/>
      <c r="N69" s="646"/>
    </row>
    <row r="70" spans="2:14" ht="15" customHeight="1">
      <c r="B70" s="340"/>
      <c r="C70" s="639"/>
      <c r="D70" s="640"/>
      <c r="E70" s="640"/>
      <c r="F70" s="640"/>
      <c r="G70" s="640"/>
      <c r="H70" s="341"/>
      <c r="I70" s="641"/>
      <c r="J70" s="642"/>
      <c r="K70" s="643"/>
      <c r="L70" s="644"/>
      <c r="M70" s="645"/>
      <c r="N70" s="646"/>
    </row>
    <row r="71" spans="2:14" ht="15" customHeight="1">
      <c r="B71" s="340"/>
      <c r="C71" s="639"/>
      <c r="D71" s="640"/>
      <c r="E71" s="640"/>
      <c r="F71" s="640"/>
      <c r="G71" s="640"/>
      <c r="H71" s="341"/>
      <c r="I71" s="641"/>
      <c r="J71" s="642"/>
      <c r="K71" s="643"/>
      <c r="L71" s="644"/>
      <c r="M71" s="645"/>
      <c r="N71" s="646"/>
    </row>
    <row r="72" spans="2:14">
      <c r="B72" s="340"/>
      <c r="C72" s="639"/>
      <c r="D72" s="640"/>
      <c r="E72" s="640"/>
      <c r="F72" s="640"/>
      <c r="G72" s="640"/>
      <c r="H72" s="341"/>
      <c r="I72" s="641"/>
      <c r="J72" s="642"/>
      <c r="K72" s="643"/>
      <c r="L72" s="644"/>
      <c r="M72" s="645"/>
      <c r="N72" s="646"/>
    </row>
    <row r="73" spans="2:14">
      <c r="B73" s="340"/>
      <c r="C73" s="639"/>
      <c r="D73" s="640"/>
      <c r="E73" s="640"/>
      <c r="F73" s="640"/>
      <c r="G73" s="640"/>
      <c r="H73" s="341"/>
      <c r="I73" s="641"/>
      <c r="J73" s="642"/>
      <c r="K73" s="643"/>
      <c r="L73" s="644"/>
      <c r="M73" s="645"/>
      <c r="N73" s="646"/>
    </row>
    <row r="74" spans="2:14">
      <c r="B74" s="340"/>
      <c r="C74" s="639"/>
      <c r="D74" s="640"/>
      <c r="E74" s="640"/>
      <c r="F74" s="640"/>
      <c r="G74" s="640"/>
      <c r="H74" s="341"/>
      <c r="I74" s="641"/>
      <c r="J74" s="642"/>
      <c r="K74" s="643"/>
      <c r="L74" s="644"/>
      <c r="M74" s="645"/>
      <c r="N74" s="646"/>
    </row>
    <row r="75" spans="2:14">
      <c r="B75" s="340"/>
      <c r="C75" s="639"/>
      <c r="D75" s="640"/>
      <c r="E75" s="640"/>
      <c r="F75" s="640"/>
      <c r="G75" s="640"/>
      <c r="H75" s="341"/>
      <c r="I75" s="641"/>
      <c r="J75" s="642"/>
      <c r="K75" s="643"/>
      <c r="L75" s="644"/>
      <c r="M75" s="645"/>
      <c r="N75" s="646"/>
    </row>
    <row r="76" spans="2:14">
      <c r="B76" s="340"/>
      <c r="C76" s="639"/>
      <c r="D76" s="640"/>
      <c r="E76" s="640"/>
      <c r="F76" s="640"/>
      <c r="G76" s="640"/>
      <c r="H76" s="341"/>
      <c r="I76" s="641"/>
      <c r="J76" s="642"/>
      <c r="K76" s="643"/>
      <c r="L76" s="644"/>
      <c r="M76" s="645"/>
      <c r="N76" s="646"/>
    </row>
    <row r="77" spans="2:14">
      <c r="B77" s="340"/>
      <c r="C77" s="639"/>
      <c r="D77" s="640"/>
      <c r="E77" s="640"/>
      <c r="F77" s="640"/>
      <c r="G77" s="640"/>
      <c r="H77" s="341"/>
      <c r="I77" s="641"/>
      <c r="J77" s="642"/>
      <c r="K77" s="643"/>
      <c r="L77" s="644"/>
      <c r="M77" s="645"/>
      <c r="N77" s="646"/>
    </row>
    <row r="78" spans="2:14">
      <c r="B78" s="340"/>
      <c r="C78" s="639"/>
      <c r="D78" s="640"/>
      <c r="E78" s="640"/>
      <c r="F78" s="640"/>
      <c r="G78" s="640"/>
      <c r="H78" s="341"/>
      <c r="I78" s="641"/>
      <c r="J78" s="642"/>
      <c r="K78" s="643"/>
      <c r="L78" s="644"/>
      <c r="M78" s="645"/>
      <c r="N78" s="646"/>
    </row>
    <row r="79" spans="2:14" ht="13.5" thickBot="1">
      <c r="B79" s="342"/>
      <c r="C79" s="647"/>
      <c r="D79" s="648"/>
      <c r="E79" s="648"/>
      <c r="F79" s="648"/>
      <c r="G79" s="648"/>
      <c r="H79" s="343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37" sqref="B37"/>
    </sheetView>
  </sheetViews>
  <sheetFormatPr defaultRowHeight="12.75"/>
  <cols>
    <col min="1" max="6" width="14.7109375" style="348" customWidth="1"/>
    <col min="7" max="16384" width="9.140625" style="348"/>
  </cols>
  <sheetData>
    <row r="1" spans="1:7" ht="20.25">
      <c r="A1" s="690" t="s">
        <v>572</v>
      </c>
      <c r="B1" s="690"/>
      <c r="C1" s="690"/>
      <c r="D1" s="690"/>
      <c r="E1" s="690"/>
      <c r="F1" s="690"/>
    </row>
    <row r="2" spans="1:7" ht="19.5" thickBot="1">
      <c r="A2" s="386"/>
      <c r="B2" s="386"/>
      <c r="C2" s="691" t="s">
        <v>584</v>
      </c>
      <c r="D2" s="691"/>
      <c r="E2" s="386"/>
      <c r="F2" s="386"/>
      <c r="G2" s="386"/>
    </row>
    <row r="3" spans="1:7" ht="19.5">
      <c r="A3" s="678" t="s">
        <v>573</v>
      </c>
      <c r="B3" s="679"/>
      <c r="C3" s="680"/>
      <c r="D3" s="678" t="s">
        <v>574</v>
      </c>
      <c r="E3" s="679"/>
      <c r="F3" s="680"/>
      <c r="G3" s="386"/>
    </row>
    <row r="4" spans="1:7" ht="15.75">
      <c r="A4" s="404" t="s">
        <v>585</v>
      </c>
      <c r="B4" s="692" t="s">
        <v>587</v>
      </c>
      <c r="C4" s="685"/>
      <c r="D4" s="693" t="s">
        <v>589</v>
      </c>
      <c r="E4" s="694"/>
      <c r="F4" s="695"/>
      <c r="G4" s="386"/>
    </row>
    <row r="5" spans="1:7" ht="16.5" thickBot="1">
      <c r="A5" s="405" t="s">
        <v>586</v>
      </c>
      <c r="B5" s="673" t="s">
        <v>588</v>
      </c>
      <c r="C5" s="674"/>
      <c r="D5" s="675" t="s">
        <v>590</v>
      </c>
      <c r="E5" s="676"/>
      <c r="F5" s="677"/>
      <c r="G5" s="386"/>
    </row>
    <row r="6" spans="1:7" ht="19.5">
      <c r="A6" s="678" t="s">
        <v>575</v>
      </c>
      <c r="B6" s="679"/>
      <c r="C6" s="679"/>
      <c r="D6" s="679"/>
      <c r="E6" s="679"/>
      <c r="F6" s="680"/>
      <c r="G6" s="386"/>
    </row>
    <row r="7" spans="1:7" ht="15.75">
      <c r="A7" s="406" t="s">
        <v>576</v>
      </c>
      <c r="B7" s="407" t="s">
        <v>591</v>
      </c>
      <c r="C7" s="408" t="s">
        <v>577</v>
      </c>
      <c r="D7" s="409" t="s">
        <v>593</v>
      </c>
      <c r="E7" s="681" t="s">
        <v>578</v>
      </c>
      <c r="F7" s="682"/>
      <c r="G7" s="386"/>
    </row>
    <row r="8" spans="1:7" ht="16.5" thickBot="1">
      <c r="A8" s="410"/>
      <c r="B8" s="411" t="s">
        <v>592</v>
      </c>
      <c r="C8" s="412"/>
      <c r="D8" s="413" t="s">
        <v>594</v>
      </c>
      <c r="E8" s="683" t="s">
        <v>595</v>
      </c>
      <c r="F8" s="677"/>
      <c r="G8" s="386"/>
    </row>
    <row r="9" spans="1:7" ht="19.5">
      <c r="A9" s="678" t="s">
        <v>579</v>
      </c>
      <c r="B9" s="679"/>
      <c r="C9" s="680"/>
      <c r="D9" s="678" t="s">
        <v>580</v>
      </c>
      <c r="E9" s="679"/>
      <c r="F9" s="680"/>
      <c r="G9" s="386"/>
    </row>
    <row r="10" spans="1:7" ht="15.75">
      <c r="A10" s="414" t="s">
        <v>581</v>
      </c>
      <c r="B10" s="684" t="s">
        <v>596</v>
      </c>
      <c r="C10" s="685"/>
      <c r="D10" s="686" t="s">
        <v>598</v>
      </c>
      <c r="E10" s="687"/>
      <c r="F10" s="415" t="s">
        <v>599</v>
      </c>
      <c r="G10" s="386"/>
    </row>
    <row r="11" spans="1:7" ht="16.5" thickBot="1">
      <c r="A11" s="416" t="s">
        <v>582</v>
      </c>
      <c r="B11" s="676" t="s">
        <v>597</v>
      </c>
      <c r="C11" s="677"/>
      <c r="D11" s="688"/>
      <c r="E11" s="689"/>
      <c r="F11" s="417" t="s">
        <v>600</v>
      </c>
      <c r="G11" s="386"/>
    </row>
    <row r="12" spans="1:7" ht="19.5">
      <c r="A12" s="678" t="s">
        <v>583</v>
      </c>
      <c r="B12" s="679"/>
      <c r="C12" s="679"/>
      <c r="D12" s="679"/>
      <c r="E12" s="679"/>
      <c r="F12" s="680"/>
      <c r="G12" s="386"/>
    </row>
    <row r="13" spans="1:7" ht="16.5" thickBot="1">
      <c r="A13" s="670" t="s">
        <v>601</v>
      </c>
      <c r="B13" s="671"/>
      <c r="C13" s="672" t="s">
        <v>602</v>
      </c>
      <c r="D13" s="672"/>
      <c r="E13" s="672"/>
      <c r="F13" s="418"/>
      <c r="G13" s="386"/>
    </row>
    <row r="14" spans="1:7" ht="18.95" customHeight="1">
      <c r="A14" s="419"/>
      <c r="B14" s="419"/>
      <c r="C14" s="419"/>
      <c r="D14" s="419"/>
      <c r="E14" s="419"/>
      <c r="F14" s="419"/>
      <c r="G14" s="386"/>
    </row>
    <row r="15" spans="1:7" ht="15.75">
      <c r="G15" s="386"/>
    </row>
    <row r="16" spans="1:7" ht="15.75">
      <c r="G16" s="386"/>
    </row>
    <row r="17" spans="7:7" ht="15.75">
      <c r="G17" s="386"/>
    </row>
    <row r="18" spans="7:7" ht="15.75">
      <c r="G18" s="386"/>
    </row>
    <row r="19" spans="7:7" ht="15.75">
      <c r="G19" s="386"/>
    </row>
    <row r="20" spans="7:7" ht="15.75">
      <c r="G20" s="386"/>
    </row>
    <row r="21" spans="7:7" ht="15.75">
      <c r="G21" s="386"/>
    </row>
    <row r="22" spans="7:7" ht="15.75">
      <c r="G22" s="386"/>
    </row>
    <row r="23" spans="7:7" ht="15.75">
      <c r="G23" s="386"/>
    </row>
    <row r="24" spans="7:7" ht="15.75">
      <c r="G24" s="386"/>
    </row>
    <row r="25" spans="7:7" ht="15.75">
      <c r="G25" s="386"/>
    </row>
    <row r="26" spans="7:7" ht="15.75">
      <c r="G26" s="386"/>
    </row>
    <row r="27" spans="7:7" ht="18.95" customHeight="1">
      <c r="G27" s="386"/>
    </row>
    <row r="28" spans="7:7" ht="15.75">
      <c r="G28" s="386"/>
    </row>
    <row r="29" spans="7:7" ht="15.75">
      <c r="G29" s="386"/>
    </row>
    <row r="30" spans="7:7" ht="15.75">
      <c r="G30" s="386"/>
    </row>
    <row r="31" spans="7:7" ht="15.75">
      <c r="G31" s="386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J35" sqref="J35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250</v>
      </c>
      <c r="B2" s="350"/>
      <c r="C2" s="350"/>
      <c r="D2" s="350"/>
      <c r="E2" s="350"/>
      <c r="F2" s="351"/>
    </row>
    <row r="3" spans="1:6" ht="18.95" customHeight="1">
      <c r="A3" s="352" t="s">
        <v>370</v>
      </c>
      <c r="B3" s="350"/>
      <c r="C3" s="350"/>
      <c r="D3" s="350"/>
      <c r="E3" s="350"/>
      <c r="F3" s="351"/>
    </row>
    <row r="4" spans="1:6" ht="18.95" customHeight="1">
      <c r="A4" s="353"/>
      <c r="B4" s="354"/>
      <c r="C4" s="354"/>
      <c r="D4" s="354"/>
      <c r="E4" s="354"/>
      <c r="F4" s="355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553" t="s">
        <v>371</v>
      </c>
      <c r="B6" s="696" t="str">
        <f>'Performance Data Sheet'!C17</f>
        <v>M257TCAL11E-C</v>
      </c>
      <c r="C6" s="697"/>
      <c r="D6" s="698"/>
      <c r="E6" s="553" t="s">
        <v>372</v>
      </c>
      <c r="F6" s="554">
        <v>157</v>
      </c>
    </row>
    <row r="7" spans="1:6" ht="18.95" customHeight="1">
      <c r="A7" s="553" t="s">
        <v>373</v>
      </c>
      <c r="B7" s="554" t="str">
        <f>'Performance Data Sheet'!F14</f>
        <v>TEAAC</v>
      </c>
      <c r="C7" s="553" t="s">
        <v>374</v>
      </c>
      <c r="D7" s="554" t="s">
        <v>396</v>
      </c>
      <c r="E7" s="553" t="s">
        <v>375</v>
      </c>
      <c r="F7" s="554" t="str">
        <f>'Performance Data Sheet'!C14</f>
        <v>6810US</v>
      </c>
    </row>
    <row r="8" spans="1:6" ht="18.95" customHeight="1">
      <c r="A8" s="553" t="s">
        <v>376</v>
      </c>
      <c r="B8" s="554">
        <v>6</v>
      </c>
      <c r="C8" s="553" t="s">
        <v>377</v>
      </c>
      <c r="D8" s="554" t="s">
        <v>378</v>
      </c>
      <c r="E8" s="553" t="s">
        <v>379</v>
      </c>
      <c r="F8" s="554" t="str">
        <f>'Performance Data Sheet'!M15</f>
        <v>F</v>
      </c>
    </row>
    <row r="9" spans="1:6" ht="18.95" customHeight="1">
      <c r="A9" s="553" t="s">
        <v>380</v>
      </c>
      <c r="B9" s="554">
        <v>1250</v>
      </c>
      <c r="C9" s="553" t="s">
        <v>381</v>
      </c>
      <c r="D9" s="554" t="s">
        <v>397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382</v>
      </c>
      <c r="B10" s="554">
        <v>1192</v>
      </c>
      <c r="C10" s="553" t="s">
        <v>383</v>
      </c>
      <c r="D10" s="554" t="s">
        <v>384</v>
      </c>
      <c r="E10" s="553" t="s">
        <v>1</v>
      </c>
      <c r="F10" s="554" t="s">
        <v>758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353"/>
      <c r="B12" s="359" t="s">
        <v>385</v>
      </c>
      <c r="C12" s="360" t="s">
        <v>398</v>
      </c>
      <c r="D12" s="359" t="s">
        <v>386</v>
      </c>
      <c r="E12" s="360" t="s">
        <v>384</v>
      </c>
      <c r="F12" s="355"/>
    </row>
    <row r="13" spans="1:6" ht="18.95" customHeight="1">
      <c r="A13" s="353"/>
      <c r="B13" s="359" t="s">
        <v>387</v>
      </c>
      <c r="C13" s="361">
        <v>0.75</v>
      </c>
      <c r="D13" s="359" t="s">
        <v>388</v>
      </c>
      <c r="E13" s="360" t="s">
        <v>384</v>
      </c>
      <c r="F13" s="355"/>
    </row>
    <row r="14" spans="1:6" ht="18.95" customHeight="1">
      <c r="A14" s="353"/>
      <c r="B14" s="359" t="s">
        <v>389</v>
      </c>
      <c r="C14" s="361">
        <v>2.2000000000000002</v>
      </c>
      <c r="D14" s="359" t="s">
        <v>390</v>
      </c>
      <c r="E14" s="360" t="s">
        <v>384</v>
      </c>
      <c r="F14" s="355"/>
    </row>
    <row r="15" spans="1:6" ht="18.95" customHeight="1">
      <c r="A15" s="353"/>
      <c r="B15" s="359" t="s">
        <v>391</v>
      </c>
      <c r="C15" s="360" t="s">
        <v>753</v>
      </c>
      <c r="D15" s="354"/>
      <c r="E15" s="354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6" ht="18.95" customHeight="1">
      <c r="A17" s="353"/>
      <c r="B17" s="354"/>
      <c r="C17" s="354"/>
      <c r="D17" s="354"/>
      <c r="E17" s="354"/>
      <c r="F17" s="355"/>
    </row>
    <row r="18" spans="1:6" ht="18.95" customHeight="1">
      <c r="A18" s="353"/>
      <c r="B18" s="354"/>
      <c r="C18" s="354"/>
      <c r="D18" s="354"/>
      <c r="E18" s="354"/>
      <c r="F18" s="355"/>
    </row>
    <row r="19" spans="1:6" ht="18.95" customHeight="1">
      <c r="A19" s="353"/>
      <c r="B19" s="354"/>
      <c r="C19" s="354"/>
      <c r="D19" s="354"/>
      <c r="E19" s="354"/>
      <c r="F19" s="355"/>
    </row>
    <row r="20" spans="1:6" ht="18.95" customHeight="1">
      <c r="A20" s="353"/>
      <c r="B20" s="354"/>
      <c r="C20" s="354"/>
      <c r="D20" s="354"/>
      <c r="E20" s="354"/>
      <c r="F20" s="355"/>
    </row>
    <row r="21" spans="1:6" ht="18.95" customHeight="1">
      <c r="A21" s="353"/>
      <c r="B21" s="354"/>
      <c r="C21" s="354"/>
      <c r="D21" s="354"/>
      <c r="E21" s="354"/>
      <c r="F21" s="355"/>
    </row>
    <row r="22" spans="1:6" ht="18.95" customHeight="1">
      <c r="A22" s="353"/>
      <c r="B22" s="354"/>
      <c r="C22" s="354"/>
      <c r="D22" s="354"/>
      <c r="E22" s="354"/>
      <c r="F22" s="355"/>
    </row>
    <row r="23" spans="1:6" ht="18.95" customHeight="1">
      <c r="A23" s="353"/>
      <c r="B23" s="354"/>
      <c r="C23" s="354"/>
      <c r="D23" s="354"/>
      <c r="E23" s="354"/>
      <c r="F23" s="355"/>
    </row>
    <row r="24" spans="1:6" ht="18.95" customHeight="1">
      <c r="A24" s="353"/>
      <c r="B24" s="354"/>
      <c r="C24" s="354"/>
      <c r="D24" s="354"/>
      <c r="E24" s="354"/>
      <c r="F24" s="355"/>
    </row>
    <row r="25" spans="1:6" ht="18.95" customHeight="1">
      <c r="A25" s="353"/>
      <c r="B25" s="354"/>
      <c r="C25" s="354"/>
      <c r="D25" s="354"/>
      <c r="E25" s="354"/>
      <c r="F25" s="355"/>
    </row>
    <row r="26" spans="1:6" ht="18.95" customHeight="1">
      <c r="A26" s="353"/>
      <c r="B26" s="354"/>
      <c r="C26" s="354"/>
      <c r="D26" s="354"/>
      <c r="E26" s="354"/>
      <c r="F26" s="355"/>
    </row>
    <row r="27" spans="1:6" ht="18.95" customHeight="1">
      <c r="A27" s="353"/>
      <c r="B27" s="354"/>
      <c r="C27" s="354"/>
      <c r="D27" s="354"/>
      <c r="E27" s="354"/>
      <c r="F27" s="355"/>
    </row>
    <row r="28" spans="1:6" ht="18.95" customHeight="1">
      <c r="A28" s="353"/>
      <c r="B28" s="354"/>
      <c r="C28" s="354"/>
      <c r="D28" s="354"/>
      <c r="E28" s="354"/>
      <c r="F28" s="355"/>
    </row>
    <row r="29" spans="1:6" ht="18.95" customHeight="1">
      <c r="A29" s="353"/>
      <c r="B29" s="354"/>
      <c r="C29" s="354"/>
      <c r="D29" s="354"/>
      <c r="E29" s="354"/>
      <c r="F29" s="355"/>
    </row>
    <row r="30" spans="1:6" ht="18.95" customHeight="1">
      <c r="A30" s="353"/>
      <c r="B30" s="354"/>
      <c r="C30" s="354"/>
      <c r="D30" s="354"/>
      <c r="E30" s="354"/>
      <c r="F30" s="355"/>
    </row>
    <row r="31" spans="1:6" ht="18.95" customHeight="1">
      <c r="A31" s="353"/>
      <c r="B31" s="354"/>
      <c r="C31" s="354"/>
      <c r="D31" s="354"/>
      <c r="E31" s="354"/>
      <c r="F31" s="355"/>
    </row>
    <row r="32" spans="1:6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559" t="s">
        <v>392</v>
      </c>
      <c r="B39" s="560"/>
      <c r="C39" s="560"/>
      <c r="D39" s="551"/>
      <c r="E39" s="556" t="s">
        <v>393</v>
      </c>
      <c r="F39" s="561" t="s">
        <v>758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394</v>
      </c>
      <c r="D43" s="564" t="str">
        <f>'Performance Data Sheet'!K43</f>
        <v>Mario L</v>
      </c>
      <c r="E43" s="563" t="s">
        <v>395</v>
      </c>
      <c r="F43" s="564" t="s">
        <v>757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1">
        <v>100</v>
      </c>
      <c r="B54" s="344">
        <v>0</v>
      </c>
      <c r="C54" s="344">
        <v>0.23314210772514343</v>
      </c>
    </row>
    <row r="55" spans="1:3" ht="15" customHeight="1">
      <c r="A55" s="371">
        <v>99.799999967217445</v>
      </c>
      <c r="B55" s="344">
        <v>103.25577961702669</v>
      </c>
      <c r="C55" s="344">
        <v>113.30343627929687</v>
      </c>
    </row>
    <row r="56" spans="1:3" ht="15" customHeight="1">
      <c r="A56" s="371">
        <v>98.999999836087227</v>
      </c>
      <c r="B56" s="344">
        <v>220</v>
      </c>
      <c r="C56" s="344">
        <v>357.04791259765625</v>
      </c>
    </row>
    <row r="57" spans="1:3">
      <c r="A57" s="371">
        <v>93.789473548531532</v>
      </c>
      <c r="B57" s="344">
        <v>130.24754280511854</v>
      </c>
      <c r="C57" s="344">
        <v>431.34027099609375</v>
      </c>
    </row>
    <row r="58" spans="1:3">
      <c r="A58" s="371">
        <v>88.578946888446808</v>
      </c>
      <c r="B58" s="344">
        <v>103.58030751416116</v>
      </c>
      <c r="C58" s="344">
        <v>455.08938598632812</v>
      </c>
    </row>
    <row r="59" spans="1:3">
      <c r="A59" s="371">
        <v>83.368420600891113</v>
      </c>
      <c r="B59" s="344">
        <v>91.35949834546372</v>
      </c>
      <c r="C59" s="344">
        <v>467.90286254882812</v>
      </c>
    </row>
    <row r="60" spans="1:3">
      <c r="A60" s="371">
        <v>72.947368025779724</v>
      </c>
      <c r="B60" s="344">
        <v>83.694734195452796</v>
      </c>
      <c r="C60" s="344">
        <v>485.24722290039062</v>
      </c>
    </row>
    <row r="61" spans="1:3">
      <c r="A61" s="371">
        <v>62.526315450668335</v>
      </c>
      <c r="B61" s="344">
        <v>80.094597480754317</v>
      </c>
      <c r="C61" s="344">
        <v>498.49313354492187</v>
      </c>
    </row>
    <row r="62" spans="1:3">
      <c r="A62" s="371">
        <v>52.105262875556946</v>
      </c>
      <c r="B62" s="344">
        <v>77.991460580836588</v>
      </c>
      <c r="C62" s="344">
        <v>509.16915893554687</v>
      </c>
    </row>
    <row r="63" spans="1:3">
      <c r="A63" s="371">
        <v>41.684210300445557</v>
      </c>
      <c r="B63" s="344">
        <v>76.698181357915033</v>
      </c>
      <c r="C63" s="344">
        <v>517.84527587890625</v>
      </c>
    </row>
    <row r="64" spans="1:3">
      <c r="A64" s="371">
        <v>31.263160705566406</v>
      </c>
      <c r="B64" s="344">
        <v>75.901584605165482</v>
      </c>
      <c r="C64" s="344">
        <v>524.68475341796875</v>
      </c>
    </row>
    <row r="65" spans="1:3">
      <c r="A65" s="371">
        <v>20.842105150222778</v>
      </c>
      <c r="B65" s="344">
        <v>75.423085595487493</v>
      </c>
      <c r="C65" s="344">
        <v>530.03887939453125</v>
      </c>
    </row>
    <row r="66" spans="1:3">
      <c r="A66" s="371">
        <v>10.421055555343628</v>
      </c>
      <c r="B66" s="344">
        <v>75.149107470586443</v>
      </c>
      <c r="C66" s="344">
        <v>534.4755859375</v>
      </c>
    </row>
    <row r="67" spans="1:3">
      <c r="A67" s="372">
        <v>0</v>
      </c>
      <c r="B67" s="344">
        <v>75</v>
      </c>
      <c r="C67" s="344">
        <v>538.216552734375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84" t="s">
        <v>405</v>
      </c>
      <c r="B1" s="708" t="s">
        <v>444</v>
      </c>
      <c r="C1" s="708"/>
      <c r="D1" s="708"/>
      <c r="E1" s="708"/>
      <c r="F1" s="708"/>
      <c r="G1" s="708"/>
    </row>
    <row r="2" spans="1:12" ht="15" customHeight="1"/>
    <row r="3" spans="1:12" ht="20.25">
      <c r="A3" s="385" t="s">
        <v>406</v>
      </c>
    </row>
    <row r="4" spans="1:12" ht="12" customHeight="1">
      <c r="A4" s="386"/>
      <c r="B4" s="386"/>
      <c r="C4" s="386"/>
      <c r="D4" s="386" t="s">
        <v>458</v>
      </c>
      <c r="E4" s="386"/>
      <c r="F4" s="386"/>
      <c r="G4" s="386"/>
      <c r="H4" s="386"/>
      <c r="I4" s="386"/>
      <c r="J4" s="386"/>
      <c r="K4" s="386"/>
      <c r="L4" s="386"/>
    </row>
    <row r="5" spans="1:12" ht="15.6" customHeight="1">
      <c r="A5" s="387" t="s">
        <v>5</v>
      </c>
      <c r="B5" s="387" t="s">
        <v>407</v>
      </c>
      <c r="C5" s="387" t="s">
        <v>408</v>
      </c>
      <c r="D5" s="387" t="s">
        <v>409</v>
      </c>
      <c r="E5" s="387" t="s">
        <v>410</v>
      </c>
      <c r="F5" s="387" t="s">
        <v>411</v>
      </c>
      <c r="G5" s="387" t="s">
        <v>412</v>
      </c>
      <c r="H5" s="386"/>
      <c r="I5" s="386"/>
      <c r="J5" s="386"/>
      <c r="K5" s="386"/>
      <c r="L5" s="386"/>
    </row>
    <row r="6" spans="1:12" ht="15.6" customHeight="1">
      <c r="A6" s="388" t="s">
        <v>413</v>
      </c>
      <c r="B6" s="388" t="s">
        <v>165</v>
      </c>
      <c r="C6" s="388" t="s">
        <v>165</v>
      </c>
      <c r="D6" s="388" t="s">
        <v>414</v>
      </c>
      <c r="E6" s="388" t="s">
        <v>135</v>
      </c>
      <c r="F6" s="388" t="s">
        <v>415</v>
      </c>
      <c r="G6" s="388" t="s">
        <v>415</v>
      </c>
      <c r="H6" s="386"/>
      <c r="I6" s="386"/>
      <c r="J6" s="386"/>
      <c r="K6" s="386"/>
      <c r="L6" s="386"/>
    </row>
    <row r="7" spans="1:12" ht="15.95" customHeight="1">
      <c r="A7" s="389" t="s">
        <v>445</v>
      </c>
      <c r="B7" s="389" t="s">
        <v>459</v>
      </c>
      <c r="C7" s="389" t="s">
        <v>472</v>
      </c>
      <c r="D7" s="389" t="s">
        <v>485</v>
      </c>
      <c r="E7" s="389" t="s">
        <v>498</v>
      </c>
      <c r="F7" s="389" t="s">
        <v>511</v>
      </c>
      <c r="G7" s="389" t="s">
        <v>523</v>
      </c>
      <c r="H7" s="386"/>
      <c r="I7" s="386"/>
      <c r="J7" s="386"/>
      <c r="K7" s="386"/>
      <c r="L7" s="386"/>
    </row>
    <row r="8" spans="1:12" ht="15.95" customHeight="1">
      <c r="A8" s="389" t="s">
        <v>446</v>
      </c>
      <c r="B8" s="389" t="s">
        <v>460</v>
      </c>
      <c r="C8" s="389" t="s">
        <v>473</v>
      </c>
      <c r="D8" s="389" t="s">
        <v>486</v>
      </c>
      <c r="E8" s="389" t="s">
        <v>499</v>
      </c>
      <c r="F8" s="389" t="s">
        <v>512</v>
      </c>
      <c r="G8" s="389" t="s">
        <v>524</v>
      </c>
      <c r="H8" s="386"/>
      <c r="I8" s="386"/>
      <c r="J8" s="386"/>
      <c r="K8" s="386"/>
      <c r="L8" s="386"/>
    </row>
    <row r="9" spans="1:12" ht="15.95" customHeight="1">
      <c r="A9" s="389" t="s">
        <v>447</v>
      </c>
      <c r="B9" s="389" t="s">
        <v>461</v>
      </c>
      <c r="C9" s="389" t="s">
        <v>474</v>
      </c>
      <c r="D9" s="389" t="s">
        <v>487</v>
      </c>
      <c r="E9" s="389" t="s">
        <v>500</v>
      </c>
      <c r="F9" s="389" t="s">
        <v>513</v>
      </c>
      <c r="G9" s="389" t="s">
        <v>525</v>
      </c>
      <c r="H9" s="386"/>
      <c r="I9" s="386"/>
      <c r="J9" s="386"/>
      <c r="K9" s="386"/>
      <c r="L9" s="386"/>
    </row>
    <row r="10" spans="1:12" ht="15.95" customHeight="1">
      <c r="A10" s="389" t="s">
        <v>448</v>
      </c>
      <c r="B10" s="389" t="s">
        <v>462</v>
      </c>
      <c r="C10" s="389" t="s">
        <v>475</v>
      </c>
      <c r="D10" s="389" t="s">
        <v>488</v>
      </c>
      <c r="E10" s="389" t="s">
        <v>501</v>
      </c>
      <c r="F10" s="389" t="s">
        <v>514</v>
      </c>
      <c r="G10" s="389" t="s">
        <v>526</v>
      </c>
      <c r="H10" s="386"/>
      <c r="I10" s="386"/>
      <c r="J10" s="386"/>
      <c r="K10" s="386"/>
      <c r="L10" s="386"/>
    </row>
    <row r="11" spans="1:12" ht="15.95" customHeight="1">
      <c r="A11" s="389" t="s">
        <v>449</v>
      </c>
      <c r="B11" s="389" t="s">
        <v>463</v>
      </c>
      <c r="C11" s="389" t="s">
        <v>476</v>
      </c>
      <c r="D11" s="389" t="s">
        <v>489</v>
      </c>
      <c r="E11" s="389" t="s">
        <v>502</v>
      </c>
      <c r="F11" s="389" t="s">
        <v>515</v>
      </c>
      <c r="G11" s="389" t="s">
        <v>527</v>
      </c>
      <c r="H11" s="386"/>
      <c r="I11" s="386"/>
      <c r="J11" s="386"/>
      <c r="K11" s="386"/>
      <c r="L11" s="386"/>
    </row>
    <row r="12" spans="1:12" ht="15.95" customHeight="1">
      <c r="A12" s="389" t="s">
        <v>450</v>
      </c>
      <c r="B12" s="389" t="s">
        <v>464</v>
      </c>
      <c r="C12" s="389" t="s">
        <v>477</v>
      </c>
      <c r="D12" s="389" t="s">
        <v>490</v>
      </c>
      <c r="E12" s="389" t="s">
        <v>503</v>
      </c>
      <c r="F12" s="389" t="s">
        <v>516</v>
      </c>
      <c r="G12" s="389" t="s">
        <v>528</v>
      </c>
      <c r="H12" s="386"/>
      <c r="I12" s="386"/>
      <c r="J12" s="386"/>
      <c r="K12" s="386"/>
      <c r="L12" s="386"/>
    </row>
    <row r="13" spans="1:12" ht="15.95" customHeight="1">
      <c r="A13" s="389" t="s">
        <v>451</v>
      </c>
      <c r="B13" s="389" t="s">
        <v>465</v>
      </c>
      <c r="C13" s="389" t="s">
        <v>478</v>
      </c>
      <c r="D13" s="389" t="s">
        <v>491</v>
      </c>
      <c r="E13" s="389" t="s">
        <v>504</v>
      </c>
      <c r="F13" s="389" t="s">
        <v>517</v>
      </c>
      <c r="G13" s="389" t="s">
        <v>529</v>
      </c>
      <c r="H13" s="386"/>
      <c r="I13" s="386"/>
      <c r="J13" s="386"/>
      <c r="K13" s="386"/>
      <c r="L13" s="386"/>
    </row>
    <row r="14" spans="1:12" ht="15.95" customHeight="1">
      <c r="A14" s="389" t="s">
        <v>452</v>
      </c>
      <c r="B14" s="389" t="s">
        <v>466</v>
      </c>
      <c r="C14" s="389" t="s">
        <v>479</v>
      </c>
      <c r="D14" s="389" t="s">
        <v>492</v>
      </c>
      <c r="E14" s="389" t="s">
        <v>505</v>
      </c>
      <c r="F14" s="389" t="s">
        <v>518</v>
      </c>
      <c r="G14" s="389" t="s">
        <v>530</v>
      </c>
      <c r="H14" s="386"/>
      <c r="I14" s="386"/>
      <c r="J14" s="386"/>
      <c r="K14" s="386"/>
      <c r="L14" s="386"/>
    </row>
    <row r="15" spans="1:12" ht="15.95" customHeight="1">
      <c r="A15" s="389" t="s">
        <v>453</v>
      </c>
      <c r="B15" s="389" t="s">
        <v>467</v>
      </c>
      <c r="C15" s="389" t="s">
        <v>480</v>
      </c>
      <c r="D15" s="389" t="s">
        <v>493</v>
      </c>
      <c r="E15" s="389" t="s">
        <v>506</v>
      </c>
      <c r="F15" s="389" t="s">
        <v>519</v>
      </c>
      <c r="G15" s="389" t="s">
        <v>531</v>
      </c>
      <c r="H15" s="386"/>
      <c r="I15" s="386"/>
      <c r="J15" s="386"/>
      <c r="K15" s="386"/>
      <c r="L15" s="386"/>
    </row>
    <row r="16" spans="1:12" ht="15.95" customHeight="1">
      <c r="A16" s="389" t="s">
        <v>454</v>
      </c>
      <c r="B16" s="389" t="s">
        <v>468</v>
      </c>
      <c r="C16" s="389" t="s">
        <v>481</v>
      </c>
      <c r="D16" s="389" t="s">
        <v>494</v>
      </c>
      <c r="E16" s="389" t="s">
        <v>507</v>
      </c>
      <c r="F16" s="389" t="s">
        <v>520</v>
      </c>
      <c r="G16" s="389" t="s">
        <v>532</v>
      </c>
      <c r="H16" s="386"/>
      <c r="I16" s="386"/>
      <c r="J16" s="386"/>
      <c r="K16" s="386"/>
      <c r="L16" s="386"/>
    </row>
    <row r="17" spans="1:12" ht="15.95" customHeight="1">
      <c r="A17" s="389" t="s">
        <v>455</v>
      </c>
      <c r="B17" s="389" t="s">
        <v>469</v>
      </c>
      <c r="C17" s="389" t="s">
        <v>482</v>
      </c>
      <c r="D17" s="389" t="s">
        <v>495</v>
      </c>
      <c r="E17" s="389" t="s">
        <v>508</v>
      </c>
      <c r="F17" s="389" t="s">
        <v>521</v>
      </c>
      <c r="G17" s="389" t="s">
        <v>533</v>
      </c>
      <c r="H17" s="386"/>
      <c r="I17" s="386"/>
      <c r="J17" s="386"/>
      <c r="K17" s="386"/>
      <c r="L17" s="386"/>
    </row>
    <row r="18" spans="1:12" ht="15.95" customHeight="1">
      <c r="A18" s="389" t="s">
        <v>456</v>
      </c>
      <c r="B18" s="389" t="s">
        <v>470</v>
      </c>
      <c r="C18" s="389" t="s">
        <v>483</v>
      </c>
      <c r="D18" s="389" t="s">
        <v>496</v>
      </c>
      <c r="E18" s="389" t="s">
        <v>509</v>
      </c>
      <c r="F18" s="389" t="s">
        <v>522</v>
      </c>
      <c r="G18" s="389" t="s">
        <v>534</v>
      </c>
      <c r="H18" s="386"/>
      <c r="I18" s="386"/>
      <c r="J18" s="386"/>
      <c r="K18" s="386"/>
      <c r="L18" s="386"/>
    </row>
    <row r="19" spans="1:12" ht="15.95" customHeight="1">
      <c r="A19" s="389" t="s">
        <v>457</v>
      </c>
      <c r="B19" s="389" t="s">
        <v>471</v>
      </c>
      <c r="C19" s="389" t="s">
        <v>484</v>
      </c>
      <c r="D19" s="389" t="s">
        <v>497</v>
      </c>
      <c r="E19" s="389" t="s">
        <v>510</v>
      </c>
      <c r="F19" s="389" t="s">
        <v>473</v>
      </c>
      <c r="G19" s="389" t="s">
        <v>535</v>
      </c>
      <c r="H19" s="386"/>
      <c r="I19" s="386"/>
      <c r="J19" s="386"/>
      <c r="K19" s="386"/>
      <c r="L19" s="386"/>
    </row>
    <row r="20" spans="1:12" ht="15.7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386"/>
      <c r="L20" s="386"/>
    </row>
    <row r="21" spans="1:12" ht="15.75">
      <c r="A21" s="386"/>
      <c r="B21" s="386"/>
      <c r="C21" s="386"/>
      <c r="D21" s="709" t="s">
        <v>545</v>
      </c>
      <c r="E21" s="705"/>
      <c r="F21" s="705"/>
      <c r="G21" s="706"/>
      <c r="H21" s="386"/>
      <c r="I21" s="386"/>
      <c r="J21" s="386"/>
      <c r="K21" s="386"/>
      <c r="L21" s="386"/>
    </row>
    <row r="22" spans="1:12" ht="17.25" customHeight="1">
      <c r="A22" s="386"/>
      <c r="B22" s="707" t="s">
        <v>416</v>
      </c>
      <c r="C22" s="707"/>
      <c r="D22" s="707" t="s">
        <v>417</v>
      </c>
      <c r="E22" s="707"/>
      <c r="F22" s="707" t="s">
        <v>418</v>
      </c>
      <c r="G22" s="707"/>
      <c r="H22" s="386"/>
      <c r="I22" s="386"/>
      <c r="J22" s="386"/>
      <c r="K22" s="386"/>
      <c r="L22" s="386"/>
    </row>
    <row r="23" spans="1:12" ht="15.75">
      <c r="A23" s="390" t="s">
        <v>419</v>
      </c>
      <c r="B23" s="703" t="s">
        <v>536</v>
      </c>
      <c r="C23" s="703"/>
      <c r="D23" s="703" t="s">
        <v>539</v>
      </c>
      <c r="E23" s="703"/>
      <c r="F23" s="703" t="s">
        <v>542</v>
      </c>
      <c r="G23" s="703"/>
      <c r="H23" s="386"/>
      <c r="I23" s="386"/>
      <c r="J23" s="386"/>
      <c r="K23" s="386"/>
      <c r="L23" s="386"/>
    </row>
    <row r="24" spans="1:12" ht="18" customHeight="1">
      <c r="A24" s="390" t="s">
        <v>420</v>
      </c>
      <c r="B24" s="703" t="s">
        <v>537</v>
      </c>
      <c r="C24" s="703"/>
      <c r="D24" s="703" t="s">
        <v>540</v>
      </c>
      <c r="E24" s="703"/>
      <c r="F24" s="703" t="s">
        <v>543</v>
      </c>
      <c r="G24" s="703"/>
      <c r="H24" s="386"/>
      <c r="I24" s="386"/>
      <c r="J24" s="386"/>
      <c r="K24" s="386"/>
      <c r="L24" s="386"/>
    </row>
    <row r="25" spans="1:12" ht="15.75">
      <c r="A25" s="390" t="s">
        <v>421</v>
      </c>
      <c r="B25" s="703" t="s">
        <v>538</v>
      </c>
      <c r="C25" s="703"/>
      <c r="D25" s="703" t="s">
        <v>541</v>
      </c>
      <c r="E25" s="703"/>
      <c r="F25" s="703" t="s">
        <v>544</v>
      </c>
      <c r="G25" s="703"/>
      <c r="H25" s="386"/>
      <c r="I25" s="386"/>
      <c r="J25" s="386"/>
      <c r="K25" s="386"/>
      <c r="L25" s="386"/>
    </row>
    <row r="26" spans="1:12" ht="15.75">
      <c r="A26" s="386"/>
      <c r="B26" s="386"/>
      <c r="C26" s="386"/>
      <c r="D26" s="386"/>
      <c r="E26" s="386"/>
      <c r="F26" s="386"/>
      <c r="G26" s="386"/>
      <c r="H26" s="386"/>
      <c r="I26" s="386"/>
      <c r="J26" s="386"/>
      <c r="K26" s="386"/>
      <c r="L26" s="386"/>
    </row>
    <row r="27" spans="1:12" ht="20.25">
      <c r="A27" s="385" t="s">
        <v>422</v>
      </c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</row>
    <row r="28" spans="1:12" ht="15.75">
      <c r="A28" s="386"/>
      <c r="B28" s="386"/>
      <c r="C28" s="386"/>
      <c r="D28" s="386"/>
      <c r="E28" s="704" t="s">
        <v>423</v>
      </c>
      <c r="F28" s="705"/>
      <c r="G28" s="706"/>
      <c r="H28" s="386"/>
      <c r="I28" s="386"/>
      <c r="J28" s="386"/>
      <c r="K28" s="386"/>
      <c r="L28" s="386"/>
    </row>
    <row r="29" spans="1:12" ht="15.75">
      <c r="A29" s="386"/>
      <c r="B29" s="707" t="s">
        <v>424</v>
      </c>
      <c r="C29" s="707"/>
      <c r="D29" s="391" t="s">
        <v>425</v>
      </c>
      <c r="E29" s="391" t="s">
        <v>426</v>
      </c>
      <c r="F29" s="707" t="s">
        <v>427</v>
      </c>
      <c r="G29" s="707"/>
      <c r="H29" s="386"/>
      <c r="I29" s="386"/>
      <c r="J29" s="386"/>
      <c r="K29" s="386"/>
      <c r="L29" s="386"/>
    </row>
    <row r="30" spans="1:12" ht="15.75">
      <c r="A30" s="390" t="s">
        <v>428</v>
      </c>
      <c r="B30" s="703" t="s">
        <v>546</v>
      </c>
      <c r="C30" s="703"/>
      <c r="D30" s="389" t="s">
        <v>549</v>
      </c>
      <c r="E30" s="389" t="s">
        <v>429</v>
      </c>
      <c r="F30" s="703" t="s">
        <v>552</v>
      </c>
      <c r="G30" s="703"/>
      <c r="H30" s="386"/>
      <c r="I30" s="386"/>
      <c r="J30" s="386"/>
      <c r="K30" s="386"/>
      <c r="L30" s="386"/>
    </row>
    <row r="31" spans="1:12" ht="15.75">
      <c r="A31" s="390" t="s">
        <v>430</v>
      </c>
      <c r="B31" s="703" t="s">
        <v>547</v>
      </c>
      <c r="C31" s="703"/>
      <c r="D31" s="389" t="s">
        <v>550</v>
      </c>
      <c r="E31" s="389" t="s">
        <v>431</v>
      </c>
      <c r="F31" s="703" t="s">
        <v>553</v>
      </c>
      <c r="G31" s="703"/>
      <c r="H31" s="386"/>
      <c r="I31" s="386"/>
      <c r="J31" s="386"/>
      <c r="K31" s="386"/>
      <c r="L31" s="386"/>
    </row>
    <row r="32" spans="1:12" ht="15.75">
      <c r="A32" s="390" t="s">
        <v>432</v>
      </c>
      <c r="B32" s="703" t="s">
        <v>548</v>
      </c>
      <c r="C32" s="703"/>
      <c r="D32" s="389" t="s">
        <v>551</v>
      </c>
      <c r="E32" s="389" t="s">
        <v>433</v>
      </c>
      <c r="F32" s="703" t="s">
        <v>554</v>
      </c>
      <c r="G32" s="703"/>
      <c r="H32" s="386"/>
      <c r="I32" s="386"/>
      <c r="J32" s="386"/>
      <c r="K32" s="386"/>
      <c r="L32" s="386"/>
    </row>
    <row r="33" spans="1:12" ht="15.75">
      <c r="A33" s="386"/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</row>
    <row r="34" spans="1:12" ht="15.75">
      <c r="A34" s="386"/>
      <c r="B34" s="386"/>
      <c r="C34" s="386"/>
      <c r="D34" s="386"/>
      <c r="E34" s="704" t="s">
        <v>434</v>
      </c>
      <c r="F34" s="705"/>
      <c r="G34" s="706"/>
      <c r="H34" s="386"/>
      <c r="I34" s="386"/>
      <c r="J34" s="386"/>
      <c r="K34" s="386"/>
      <c r="L34" s="386"/>
    </row>
    <row r="35" spans="1:12" ht="15.75">
      <c r="A35" s="386"/>
      <c r="B35" s="707" t="s">
        <v>435</v>
      </c>
      <c r="C35" s="707"/>
      <c r="D35" s="391" t="s">
        <v>426</v>
      </c>
      <c r="E35" s="391" t="s">
        <v>436</v>
      </c>
      <c r="F35" s="391" t="s">
        <v>100</v>
      </c>
      <c r="G35" s="391" t="s">
        <v>437</v>
      </c>
      <c r="H35" s="386"/>
      <c r="I35" s="386"/>
      <c r="J35" s="386"/>
      <c r="K35" s="386"/>
      <c r="L35" s="386"/>
    </row>
    <row r="36" spans="1:12" ht="15.75">
      <c r="A36" s="390" t="s">
        <v>428</v>
      </c>
      <c r="B36" s="699" t="s">
        <v>555</v>
      </c>
      <c r="C36" s="700"/>
      <c r="D36" s="392" t="s">
        <v>557</v>
      </c>
      <c r="E36" s="392" t="s">
        <v>438</v>
      </c>
      <c r="F36" s="393" t="s">
        <v>439</v>
      </c>
      <c r="G36" s="389" t="s">
        <v>560</v>
      </c>
      <c r="H36" s="386"/>
      <c r="I36" s="386"/>
      <c r="J36" s="386"/>
      <c r="K36" s="386"/>
      <c r="L36" s="386"/>
    </row>
    <row r="37" spans="1:12" ht="15.75">
      <c r="A37" s="390" t="s">
        <v>430</v>
      </c>
      <c r="B37" s="699" t="s">
        <v>556</v>
      </c>
      <c r="C37" s="700"/>
      <c r="D37" s="392" t="s">
        <v>558</v>
      </c>
      <c r="E37" s="392" t="s">
        <v>438</v>
      </c>
      <c r="F37" s="393" t="s">
        <v>440</v>
      </c>
      <c r="G37" s="394" t="s">
        <v>561</v>
      </c>
      <c r="H37" s="386"/>
      <c r="I37" s="386"/>
      <c r="J37" s="386"/>
      <c r="K37" s="386"/>
      <c r="L37" s="386"/>
    </row>
    <row r="38" spans="1:12" ht="15.75">
      <c r="A38" s="390" t="s">
        <v>432</v>
      </c>
      <c r="B38" s="699" t="s">
        <v>556</v>
      </c>
      <c r="C38" s="700"/>
      <c r="D38" s="392" t="s">
        <v>559</v>
      </c>
      <c r="E38" s="392" t="s">
        <v>438</v>
      </c>
      <c r="F38" s="393" t="s">
        <v>441</v>
      </c>
      <c r="G38" s="389" t="s">
        <v>562</v>
      </c>
      <c r="H38" s="386"/>
      <c r="I38" s="386"/>
      <c r="J38" s="386"/>
      <c r="K38" s="386"/>
      <c r="L38" s="386"/>
    </row>
    <row r="39" spans="1:12" ht="15.75">
      <c r="A39" s="386"/>
      <c r="B39" s="386"/>
      <c r="C39" s="386"/>
      <c r="D39" s="386"/>
      <c r="E39" s="386"/>
      <c r="F39" s="386"/>
      <c r="G39" s="386"/>
      <c r="H39" s="386"/>
      <c r="I39" s="386"/>
      <c r="J39" s="386"/>
      <c r="K39" s="386"/>
      <c r="L39" s="386"/>
    </row>
    <row r="40" spans="1:12" ht="15.75">
      <c r="A40" s="395" t="s">
        <v>442</v>
      </c>
      <c r="B40" s="701" t="s">
        <v>563</v>
      </c>
      <c r="C40" s="701"/>
      <c r="D40" s="702" t="s">
        <v>443</v>
      </c>
      <c r="E40" s="702"/>
      <c r="F40" s="701" t="s">
        <v>564</v>
      </c>
      <c r="G40" s="701"/>
      <c r="H40" s="386"/>
      <c r="I40" s="386"/>
      <c r="J40" s="386"/>
      <c r="K40" s="386"/>
      <c r="L40" s="386"/>
    </row>
    <row r="41" spans="1:12" ht="15.75">
      <c r="A41" s="386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</row>
    <row r="42" spans="1:12" ht="15.75">
      <c r="A42" s="386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</row>
    <row r="43" spans="1:12" ht="15.75">
      <c r="A43" s="386"/>
      <c r="B43" s="386"/>
      <c r="C43" s="386"/>
      <c r="D43" s="386"/>
      <c r="E43" s="386"/>
      <c r="F43" s="386"/>
      <c r="G43" s="386"/>
      <c r="H43" s="386"/>
      <c r="I43" s="386"/>
      <c r="J43" s="386"/>
      <c r="K43" s="386"/>
      <c r="L43" s="386"/>
    </row>
    <row r="44" spans="1:12" ht="15.75">
      <c r="A44" s="386"/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</row>
    <row r="45" spans="1:12" ht="15.75">
      <c r="A45" s="386"/>
      <c r="B45" s="386"/>
      <c r="C45" s="386"/>
      <c r="D45" s="386"/>
      <c r="E45" s="386"/>
      <c r="F45" s="386"/>
      <c r="G45" s="386"/>
      <c r="H45" s="386"/>
      <c r="I45" s="386"/>
      <c r="J45" s="386"/>
      <c r="K45" s="386"/>
      <c r="L45" s="386"/>
    </row>
    <row r="46" spans="1:12" ht="15.75">
      <c r="A46" s="386"/>
      <c r="B46" s="386"/>
      <c r="C46" s="386"/>
      <c r="D46" s="386"/>
      <c r="E46" s="386"/>
      <c r="F46" s="386"/>
      <c r="G46" s="386"/>
      <c r="H46" s="386"/>
      <c r="I46" s="386"/>
      <c r="J46" s="386"/>
      <c r="K46" s="386"/>
      <c r="L46" s="386"/>
    </row>
    <row r="47" spans="1:12" ht="15.75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</row>
    <row r="48" spans="1:12" ht="15.75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</row>
    <row r="49" spans="1:12" ht="15.75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</row>
    <row r="50" spans="1:12" ht="15.75">
      <c r="A50" s="386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</row>
    <row r="51" spans="1:12" ht="15.75">
      <c r="A51" s="386"/>
      <c r="B51" s="386"/>
      <c r="C51" s="386"/>
      <c r="D51" s="386"/>
      <c r="E51" s="386"/>
      <c r="F51" s="386"/>
      <c r="G51" s="386"/>
      <c r="H51" s="386"/>
      <c r="I51" s="386"/>
      <c r="J51" s="386"/>
      <c r="K51" s="386"/>
      <c r="L51" s="386"/>
    </row>
    <row r="52" spans="1:12" ht="15.75">
      <c r="A52" s="386"/>
      <c r="B52" s="386"/>
      <c r="C52" s="386"/>
      <c r="D52" s="386"/>
      <c r="E52" s="386"/>
      <c r="F52" s="386"/>
      <c r="G52" s="386"/>
      <c r="H52" s="386"/>
      <c r="I52" s="386"/>
      <c r="J52" s="386"/>
      <c r="K52" s="386"/>
      <c r="L52" s="386"/>
    </row>
    <row r="53" spans="1:12" ht="15.75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</row>
    <row r="54" spans="1:12" ht="15.75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</row>
    <row r="55" spans="1:12" ht="15.75">
      <c r="A55" s="386"/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</row>
    <row r="56" spans="1:12" ht="15.75">
      <c r="A56" s="386"/>
      <c r="B56" s="386"/>
      <c r="C56" s="386"/>
      <c r="D56" s="386"/>
      <c r="E56" s="386"/>
      <c r="F56" s="386"/>
      <c r="G56" s="386"/>
      <c r="H56" s="386"/>
      <c r="I56" s="386"/>
      <c r="J56" s="386"/>
      <c r="K56" s="386"/>
      <c r="L56" s="386"/>
    </row>
    <row r="57" spans="1:12" ht="15.75">
      <c r="A57" s="386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6"/>
    </row>
    <row r="58" spans="1:12" ht="15.75">
      <c r="A58" s="386"/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</row>
    <row r="59" spans="1:12" ht="15.75">
      <c r="A59" s="386"/>
      <c r="B59" s="386"/>
      <c r="C59" s="386"/>
      <c r="D59" s="386"/>
      <c r="E59" s="386"/>
      <c r="F59" s="386"/>
      <c r="G59" s="386"/>
      <c r="H59" s="386"/>
      <c r="I59" s="386"/>
      <c r="J59" s="386"/>
      <c r="K59" s="386"/>
      <c r="L59" s="386"/>
    </row>
    <row r="60" spans="1:12" ht="15.75">
      <c r="A60" s="386"/>
      <c r="B60" s="386"/>
      <c r="C60" s="386"/>
      <c r="D60" s="386"/>
      <c r="E60" s="386"/>
      <c r="F60" s="386"/>
      <c r="G60" s="386"/>
      <c r="H60" s="386"/>
      <c r="I60" s="386"/>
      <c r="J60" s="386"/>
      <c r="K60" s="386"/>
      <c r="L60" s="386"/>
    </row>
    <row r="61" spans="1:12" ht="15.75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H41" sqref="H41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250</v>
      </c>
      <c r="B2" s="350"/>
      <c r="C2" s="350"/>
      <c r="D2" s="350"/>
      <c r="E2" s="350"/>
      <c r="F2" s="351"/>
    </row>
    <row r="3" spans="1:6" ht="18.95" customHeight="1">
      <c r="A3" s="710" t="s">
        <v>565</v>
      </c>
      <c r="B3" s="711"/>
      <c r="C3" s="711"/>
      <c r="D3" s="711"/>
      <c r="E3" s="711"/>
      <c r="F3" s="712"/>
    </row>
    <row r="4" spans="1:6" ht="18.95" customHeight="1">
      <c r="A4" s="713" t="s">
        <v>566</v>
      </c>
      <c r="B4" s="714"/>
      <c r="C4" s="714"/>
      <c r="D4" s="714"/>
      <c r="E4" s="714"/>
      <c r="F4" s="715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356" t="s">
        <v>371</v>
      </c>
      <c r="B6" s="696" t="str">
        <f>'Performance Data Sheet'!C17</f>
        <v>M257TCAL11E-C</v>
      </c>
      <c r="C6" s="697"/>
      <c r="D6" s="698"/>
      <c r="E6" s="356" t="s">
        <v>372</v>
      </c>
      <c r="F6" s="357">
        <v>157</v>
      </c>
    </row>
    <row r="7" spans="1:6" ht="18.95" customHeight="1">
      <c r="A7" s="356" t="s">
        <v>373</v>
      </c>
      <c r="B7" s="357" t="str">
        <f>'Performance Data Sheet'!F14</f>
        <v>TEAAC</v>
      </c>
      <c r="C7" s="356" t="s">
        <v>374</v>
      </c>
      <c r="D7" s="357" t="s">
        <v>396</v>
      </c>
      <c r="E7" s="356" t="s">
        <v>375</v>
      </c>
      <c r="F7" s="357" t="str">
        <f>'Performance Data Sheet'!C14</f>
        <v>6810US</v>
      </c>
    </row>
    <row r="8" spans="1:6" ht="18.95" customHeight="1">
      <c r="A8" s="356" t="s">
        <v>376</v>
      </c>
      <c r="B8" s="357">
        <v>6</v>
      </c>
      <c r="C8" s="356" t="s">
        <v>377</v>
      </c>
      <c r="D8" s="357" t="s">
        <v>378</v>
      </c>
      <c r="E8" s="356" t="s">
        <v>379</v>
      </c>
      <c r="F8" s="357" t="str">
        <f>'Performance Data Sheet'!M15</f>
        <v>F</v>
      </c>
    </row>
    <row r="9" spans="1:6" ht="18.95" customHeight="1">
      <c r="A9" s="356" t="s">
        <v>380</v>
      </c>
      <c r="B9" s="357">
        <v>1250</v>
      </c>
      <c r="C9" s="356" t="s">
        <v>381</v>
      </c>
      <c r="D9" s="357" t="s">
        <v>397</v>
      </c>
      <c r="E9" s="356" t="s">
        <v>2</v>
      </c>
      <c r="F9" s="358">
        <f>'Performance Data Sheet'!K45</f>
        <v>41992</v>
      </c>
    </row>
    <row r="10" spans="1:6" ht="18.95" customHeight="1">
      <c r="A10" s="356" t="s">
        <v>382</v>
      </c>
      <c r="B10" s="357">
        <v>1192</v>
      </c>
      <c r="C10" s="356" t="s">
        <v>383</v>
      </c>
      <c r="D10" s="357" t="s">
        <v>571</v>
      </c>
      <c r="E10" s="356" t="s">
        <v>1</v>
      </c>
      <c r="F10" s="357" t="s">
        <v>758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353"/>
      <c r="B12" s="359"/>
      <c r="C12" s="360"/>
      <c r="D12" s="359"/>
      <c r="E12" s="360"/>
      <c r="F12" s="355"/>
    </row>
    <row r="13" spans="1:6" ht="18.95" customHeight="1">
      <c r="A13" s="353"/>
      <c r="B13" s="359"/>
      <c r="C13" s="361"/>
      <c r="D13" s="359"/>
      <c r="E13" s="360"/>
      <c r="F13" s="355"/>
    </row>
    <row r="14" spans="1:6" ht="18.95" customHeight="1">
      <c r="A14" s="353"/>
      <c r="B14" s="359"/>
      <c r="C14" s="361"/>
      <c r="D14" s="359"/>
      <c r="E14" s="360"/>
      <c r="F14" s="355"/>
    </row>
    <row r="15" spans="1:6" ht="18.95" customHeight="1">
      <c r="A15" s="353"/>
      <c r="B15" s="359"/>
      <c r="C15" s="360"/>
      <c r="D15" s="354"/>
      <c r="E15" s="354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6" ht="18.95" customHeight="1">
      <c r="A17" s="353"/>
      <c r="B17" s="354"/>
      <c r="C17" s="354"/>
      <c r="D17" s="354"/>
      <c r="E17" s="354"/>
      <c r="F17" s="355"/>
    </row>
    <row r="18" spans="1:6" ht="18.95" customHeight="1">
      <c r="A18" s="353"/>
      <c r="B18" s="354"/>
      <c r="C18" s="354"/>
      <c r="D18" s="354"/>
      <c r="E18" s="354"/>
      <c r="F18" s="355"/>
    </row>
    <row r="19" spans="1:6" ht="18.95" customHeight="1">
      <c r="A19" s="353"/>
      <c r="B19" s="354"/>
      <c r="C19" s="354"/>
      <c r="D19" s="354"/>
      <c r="E19" s="354"/>
      <c r="F19" s="355"/>
    </row>
    <row r="20" spans="1:6" ht="18.95" customHeight="1">
      <c r="A20" s="353"/>
      <c r="B20" s="354"/>
      <c r="C20" s="354"/>
      <c r="D20" s="354"/>
      <c r="E20" s="354"/>
      <c r="F20" s="355"/>
    </row>
    <row r="21" spans="1:6" ht="18.95" customHeight="1">
      <c r="A21" s="353"/>
      <c r="B21" s="354"/>
      <c r="C21" s="354"/>
      <c r="D21" s="354"/>
      <c r="E21" s="354"/>
      <c r="F21" s="355"/>
    </row>
    <row r="22" spans="1:6" ht="18.95" customHeight="1">
      <c r="A22" s="353"/>
      <c r="B22" s="354"/>
      <c r="C22" s="354"/>
      <c r="D22" s="354"/>
      <c r="E22" s="354"/>
      <c r="F22" s="355"/>
    </row>
    <row r="23" spans="1:6" ht="18.95" customHeight="1">
      <c r="A23" s="353"/>
      <c r="B23" s="354"/>
      <c r="C23" s="354"/>
      <c r="D23" s="354"/>
      <c r="E23" s="354"/>
      <c r="F23" s="355"/>
    </row>
    <row r="24" spans="1:6" ht="18.95" customHeight="1">
      <c r="A24" s="353"/>
      <c r="B24" s="354"/>
      <c r="C24" s="354"/>
      <c r="D24" s="354"/>
      <c r="E24" s="354"/>
      <c r="F24" s="355"/>
    </row>
    <row r="25" spans="1:6" ht="18.95" customHeight="1">
      <c r="A25" s="353"/>
      <c r="B25" s="354"/>
      <c r="C25" s="354"/>
      <c r="D25" s="354"/>
      <c r="E25" s="354"/>
      <c r="F25" s="355"/>
    </row>
    <row r="26" spans="1:6" ht="18.95" customHeight="1">
      <c r="A26" s="353"/>
      <c r="B26" s="354"/>
      <c r="C26" s="354"/>
      <c r="D26" s="354"/>
      <c r="E26" s="354"/>
      <c r="F26" s="355"/>
    </row>
    <row r="27" spans="1:6" ht="18.95" customHeight="1">
      <c r="A27" s="353"/>
      <c r="B27" s="354"/>
      <c r="C27" s="354"/>
      <c r="D27" s="354"/>
      <c r="E27" s="354"/>
      <c r="F27" s="355"/>
    </row>
    <row r="28" spans="1:6" ht="18.95" customHeight="1">
      <c r="A28" s="353"/>
      <c r="B28" s="354"/>
      <c r="C28" s="354"/>
      <c r="D28" s="354"/>
      <c r="E28" s="354"/>
      <c r="F28" s="355"/>
    </row>
    <row r="29" spans="1:6" ht="18.95" customHeight="1">
      <c r="A29" s="353"/>
      <c r="B29" s="354"/>
      <c r="C29" s="354"/>
      <c r="D29" s="354"/>
      <c r="E29" s="354"/>
      <c r="F29" s="355"/>
    </row>
    <row r="30" spans="1:6" ht="18.95" customHeight="1">
      <c r="A30" s="353"/>
      <c r="B30" s="354"/>
      <c r="C30" s="354"/>
      <c r="D30" s="354"/>
      <c r="E30" s="354"/>
      <c r="F30" s="355"/>
    </row>
    <row r="31" spans="1:6" ht="18.95" customHeight="1">
      <c r="A31" s="353"/>
      <c r="B31" s="354"/>
      <c r="C31" s="354"/>
      <c r="D31" s="354"/>
      <c r="E31" s="354"/>
      <c r="F31" s="355"/>
    </row>
    <row r="32" spans="1:6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362" t="s">
        <v>392</v>
      </c>
      <c r="B39" s="363"/>
      <c r="C39" s="363"/>
      <c r="D39" s="354"/>
      <c r="E39" s="359" t="s">
        <v>393</v>
      </c>
      <c r="F39" s="364" t="s">
        <v>758</v>
      </c>
    </row>
    <row r="40" spans="1:6" ht="18.95" customHeight="1">
      <c r="A40" s="353"/>
      <c r="B40" s="363"/>
      <c r="C40" s="363"/>
      <c r="D40" s="354"/>
      <c r="E40" s="354"/>
      <c r="F40" s="355"/>
    </row>
    <row r="41" spans="1:6" ht="18.95" customHeight="1">
      <c r="A41" s="353"/>
      <c r="B41" s="363"/>
      <c r="C41" s="363"/>
      <c r="D41" s="354"/>
      <c r="E41" s="354"/>
      <c r="F41" s="355"/>
    </row>
    <row r="42" spans="1:6" ht="18.95" customHeight="1">
      <c r="A42" s="353"/>
      <c r="B42" s="354"/>
      <c r="C42" s="354"/>
      <c r="D42" s="354"/>
      <c r="E42" s="354"/>
      <c r="F42" s="355"/>
    </row>
    <row r="43" spans="1:6" ht="18.95" customHeight="1">
      <c r="A43" s="365"/>
      <c r="B43" s="363"/>
      <c r="C43" s="366" t="s">
        <v>394</v>
      </c>
      <c r="D43" s="367" t="str">
        <f>'Performance Data Sheet'!K43</f>
        <v>Mario L</v>
      </c>
      <c r="E43" s="366" t="s">
        <v>395</v>
      </c>
      <c r="F43" s="367" t="s">
        <v>757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6" t="e">
        <f>5252.1*B50/D53</f>
        <v>#DIV/0!</v>
      </c>
      <c r="G50" s="396"/>
    </row>
    <row r="51" spans="6:9" ht="15" customHeight="1">
      <c r="G51" s="39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8"/>
    </row>
    <row r="63" spans="6:9">
      <c r="I63" s="399" t="s">
        <v>39</v>
      </c>
    </row>
    <row r="64" spans="6:9">
      <c r="I64" s="399"/>
    </row>
    <row r="65" spans="1:9">
      <c r="I65" s="399"/>
    </row>
    <row r="66" spans="1:9">
      <c r="D66" s="396" t="e">
        <f>D65/D64</f>
        <v>#DIV/0!</v>
      </c>
    </row>
    <row r="67" spans="1:9">
      <c r="A67" s="400" t="s">
        <v>368</v>
      </c>
      <c r="B67" s="400" t="s">
        <v>567</v>
      </c>
      <c r="C67" s="400" t="s">
        <v>568</v>
      </c>
      <c r="E67" s="400" t="s">
        <v>569</v>
      </c>
      <c r="F67" s="400" t="s">
        <v>570</v>
      </c>
    </row>
    <row r="68" spans="1:9">
      <c r="A68" s="401">
        <v>538.21656050955414</v>
      </c>
      <c r="B68" s="402">
        <v>35</v>
      </c>
      <c r="C68" s="402">
        <v>15</v>
      </c>
      <c r="E68" s="401">
        <f>A68</f>
        <v>538.21656050955414</v>
      </c>
      <c r="F68" s="402">
        <v>1E-4</v>
      </c>
    </row>
    <row r="69" spans="1:9">
      <c r="A69" s="401">
        <v>471.48438089171975</v>
      </c>
      <c r="B69" s="402">
        <f>((A68/A69)^2)*B68</f>
        <v>45.608683557289602</v>
      </c>
      <c r="C69" s="402">
        <f>((A68/A69)^2)*C68</f>
        <v>19.546578667409829</v>
      </c>
      <c r="E69" s="401">
        <v>536.3694267515923</v>
      </c>
      <c r="F69" s="402">
        <v>1.784000039100647</v>
      </c>
    </row>
    <row r="70" spans="1:9">
      <c r="A70" s="401">
        <v>404.73217961783439</v>
      </c>
      <c r="B70" s="402">
        <f>((A68/A70)^2)*B68</f>
        <v>61.89373423330192</v>
      </c>
      <c r="C70" s="402">
        <f>((A68/A70)^2)*C68</f>
        <v>26.52588609998654</v>
      </c>
      <c r="E70" s="401">
        <v>532.22929936305729</v>
      </c>
      <c r="F70" s="402">
        <v>3.253000020980835</v>
      </c>
    </row>
    <row r="71" spans="1:9">
      <c r="A71" s="401">
        <v>338</v>
      </c>
      <c r="B71" s="402">
        <f>((A68/A71)^2)*B68</f>
        <v>88.745993752282047</v>
      </c>
      <c r="C71" s="402">
        <f>((A68/A71)^2)*C68</f>
        <v>38.033997322406591</v>
      </c>
      <c r="E71" s="401">
        <v>527.38853503184714</v>
      </c>
      <c r="F71" s="402">
        <v>4.624000072479248</v>
      </c>
    </row>
    <row r="72" spans="1:9">
      <c r="A72" s="401">
        <f>A71-100</f>
        <v>238</v>
      </c>
      <c r="B72" s="402">
        <f>((A68/A72)^2)*B68</f>
        <v>178.98978374118542</v>
      </c>
      <c r="C72" s="402"/>
      <c r="E72" s="401">
        <v>521.27388535031844</v>
      </c>
      <c r="F72" s="402">
        <v>5.9930000305175781</v>
      </c>
    </row>
    <row r="73" spans="1:9">
      <c r="A73" s="401">
        <f>A72-100</f>
        <v>138</v>
      </c>
      <c r="B73" s="402">
        <f>((A68/A73)^2)*B68</f>
        <v>532.38276151206207</v>
      </c>
      <c r="C73" s="402"/>
      <c r="E73" s="401">
        <v>513.50318471337584</v>
      </c>
      <c r="F73" s="402">
        <v>7.440000057220459</v>
      </c>
    </row>
    <row r="74" spans="1:9">
      <c r="A74" s="401">
        <v>220</v>
      </c>
      <c r="B74" s="402">
        <f>((A68/A74)^2)*B68</f>
        <v>209.47721715363033</v>
      </c>
      <c r="C74" s="402">
        <f>((A68/A74)^2)*C68</f>
        <v>89.775950208698717</v>
      </c>
      <c r="E74" s="401">
        <v>503.82165605095543</v>
      </c>
      <c r="F74" s="402">
        <v>9.0390005111694336</v>
      </c>
    </row>
    <row r="75" spans="1:9">
      <c r="A75" s="403">
        <v>180</v>
      </c>
      <c r="B75" s="402">
        <f>((A68/A75)^2)*B69</f>
        <v>407.77128510201385</v>
      </c>
      <c r="C75" s="402">
        <f>((A68/A75)^2)*C68</f>
        <v>134.1097527808956</v>
      </c>
      <c r="E75" s="401">
        <v>491.84713375796179</v>
      </c>
      <c r="F75" s="402">
        <v>10.9010009765625</v>
      </c>
    </row>
    <row r="76" spans="1:9">
      <c r="A76" s="403">
        <v>145</v>
      </c>
      <c r="B76" s="402">
        <f>((A68/A76)^2)*B68</f>
        <v>482.22103734771503</v>
      </c>
      <c r="C76" s="402">
        <f>((A68/A76)^2)*C68</f>
        <v>206.66615886330644</v>
      </c>
      <c r="E76" s="401">
        <v>476.56050955414014</v>
      </c>
      <c r="F76" s="402">
        <v>13.263001441955566</v>
      </c>
    </row>
    <row r="77" spans="1:9">
      <c r="A77" s="403">
        <v>125</v>
      </c>
      <c r="B77" s="402"/>
      <c r="C77" s="401">
        <f>CEILING(C76*2,100)</f>
        <v>500</v>
      </c>
      <c r="E77" s="401">
        <v>461.46496815286622</v>
      </c>
      <c r="F77" s="402">
        <v>14.662001609802246</v>
      </c>
    </row>
    <row r="78" spans="1:9">
      <c r="A78" s="403">
        <v>125</v>
      </c>
      <c r="B78" s="402"/>
      <c r="C78" s="401">
        <f>2*C77</f>
        <v>1000</v>
      </c>
      <c r="E78" s="401">
        <v>443.18471337579615</v>
      </c>
      <c r="F78" s="402">
        <v>15.843001365661621</v>
      </c>
    </row>
    <row r="79" spans="1:9">
      <c r="A79" s="403">
        <v>125</v>
      </c>
      <c r="B79" s="403"/>
      <c r="C79" s="403">
        <v>10000</v>
      </c>
      <c r="E79" s="401">
        <v>394.20382165605093</v>
      </c>
      <c r="F79" s="402">
        <v>16.4010009765625</v>
      </c>
    </row>
    <row r="80" spans="1:9">
      <c r="E80" s="401">
        <v>235.15923566878982</v>
      </c>
      <c r="F80" s="402">
        <v>16.516000747680664</v>
      </c>
    </row>
    <row r="81" spans="5:6">
      <c r="E81" s="401">
        <v>0</v>
      </c>
      <c r="F81" s="402">
        <v>17.519001007080078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8" customWidth="1"/>
    <col min="2" max="11" width="7.7109375" style="348" customWidth="1"/>
    <col min="12" max="16384" width="9.140625" style="348"/>
  </cols>
  <sheetData>
    <row r="1" spans="1:12" ht="20.25">
      <c r="A1" s="718" t="s">
        <v>603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386"/>
    </row>
    <row r="2" spans="1:12" ht="30" customHeight="1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</row>
    <row r="3" spans="1:12" ht="19.5">
      <c r="A3" s="420" t="s">
        <v>405</v>
      </c>
      <c r="B3" s="421" t="s">
        <v>444</v>
      </c>
      <c r="C3" s="386"/>
      <c r="D3" s="386"/>
      <c r="E3" s="386"/>
      <c r="F3" s="386"/>
      <c r="G3" s="386"/>
      <c r="H3" s="386"/>
      <c r="I3" s="386"/>
      <c r="J3" s="386"/>
      <c r="K3" s="386"/>
      <c r="L3" s="386"/>
    </row>
    <row r="4" spans="1:12" ht="12" customHeight="1">
      <c r="A4" s="386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</row>
    <row r="5" spans="1:12" ht="19.5">
      <c r="A5" s="422" t="s">
        <v>604</v>
      </c>
      <c r="B5" s="423"/>
      <c r="C5" s="423"/>
      <c r="D5" s="423"/>
      <c r="E5" s="423"/>
      <c r="F5" s="386"/>
      <c r="G5" s="386"/>
      <c r="H5" s="386"/>
      <c r="I5" s="386"/>
      <c r="J5" s="386"/>
      <c r="K5" s="386"/>
      <c r="L5" s="386"/>
    </row>
    <row r="6" spans="1:12" ht="17.25" customHeight="1">
      <c r="A6" s="386"/>
      <c r="B6" s="386"/>
      <c r="C6" s="386"/>
      <c r="D6" s="386"/>
      <c r="E6" s="386"/>
      <c r="F6" s="386"/>
      <c r="G6" s="386"/>
      <c r="H6" s="386"/>
      <c r="I6" s="386"/>
      <c r="J6" s="386"/>
      <c r="K6" s="386"/>
      <c r="L6" s="386"/>
    </row>
    <row r="7" spans="1:12" ht="15.75">
      <c r="A7" s="386"/>
      <c r="B7" s="424" t="s">
        <v>605</v>
      </c>
      <c r="C7" s="425">
        <v>0</v>
      </c>
      <c r="D7" s="424" t="s">
        <v>605</v>
      </c>
      <c r="E7" s="426" t="s">
        <v>606</v>
      </c>
      <c r="F7" s="424" t="s">
        <v>605</v>
      </c>
      <c r="G7" s="426" t="s">
        <v>607</v>
      </c>
      <c r="H7" s="424" t="s">
        <v>608</v>
      </c>
      <c r="I7" s="426">
        <v>0</v>
      </c>
      <c r="J7" s="424" t="s">
        <v>608</v>
      </c>
      <c r="K7" s="426">
        <v>7.0000000000000001E-3</v>
      </c>
      <c r="L7" s="386"/>
    </row>
    <row r="8" spans="1:12" ht="15.75">
      <c r="A8" s="389" t="s">
        <v>609</v>
      </c>
      <c r="B8" s="703">
        <v>8</v>
      </c>
      <c r="C8" s="703"/>
      <c r="D8" s="703">
        <v>26</v>
      </c>
      <c r="E8" s="703"/>
      <c r="F8" s="703">
        <v>10</v>
      </c>
      <c r="G8" s="703"/>
      <c r="H8" s="703" t="s">
        <v>624</v>
      </c>
      <c r="I8" s="703"/>
      <c r="J8" s="703" t="s">
        <v>625</v>
      </c>
      <c r="K8" s="703"/>
      <c r="L8" s="386"/>
    </row>
    <row r="9" spans="1:12" ht="15.75">
      <c r="A9" s="389" t="s">
        <v>610</v>
      </c>
      <c r="B9" s="703">
        <v>20</v>
      </c>
      <c r="C9" s="703"/>
      <c r="D9" s="703">
        <v>38</v>
      </c>
      <c r="E9" s="703"/>
      <c r="F9" s="703">
        <v>2</v>
      </c>
      <c r="G9" s="703"/>
      <c r="H9" s="703" t="s">
        <v>626</v>
      </c>
      <c r="I9" s="703"/>
      <c r="J9" s="703" t="s">
        <v>627</v>
      </c>
      <c r="K9" s="703"/>
      <c r="L9" s="386"/>
    </row>
    <row r="10" spans="1:12" ht="15.75">
      <c r="A10" s="389" t="s">
        <v>611</v>
      </c>
      <c r="B10" s="703">
        <v>14</v>
      </c>
      <c r="C10" s="703"/>
      <c r="D10" s="703">
        <v>32</v>
      </c>
      <c r="E10" s="703"/>
      <c r="F10" s="703">
        <v>4</v>
      </c>
      <c r="G10" s="703"/>
      <c r="H10" s="703" t="s">
        <v>628</v>
      </c>
      <c r="I10" s="703"/>
      <c r="J10" s="703" t="s">
        <v>629</v>
      </c>
      <c r="K10" s="703"/>
      <c r="L10" s="386"/>
    </row>
    <row r="11" spans="1:12" ht="26.25" customHeight="1">
      <c r="A11" s="386"/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</row>
    <row r="12" spans="1:12" ht="19.5">
      <c r="A12" s="422" t="s">
        <v>612</v>
      </c>
      <c r="B12" s="386"/>
      <c r="C12" s="386"/>
      <c r="D12" s="386"/>
      <c r="E12" s="386"/>
      <c r="F12" s="386"/>
      <c r="G12" s="386"/>
      <c r="H12" s="386"/>
      <c r="I12" s="386"/>
      <c r="J12" s="386"/>
      <c r="K12" s="386"/>
      <c r="L12" s="386"/>
    </row>
    <row r="13" spans="1:12" ht="15.7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386"/>
      <c r="L13" s="386"/>
    </row>
    <row r="14" spans="1:12" ht="15.75">
      <c r="A14" s="386"/>
      <c r="B14" s="716" t="s">
        <v>613</v>
      </c>
      <c r="C14" s="699"/>
      <c r="D14" s="717" t="s">
        <v>630</v>
      </c>
      <c r="E14" s="703"/>
      <c r="F14" s="716" t="s">
        <v>614</v>
      </c>
      <c r="G14" s="699"/>
      <c r="H14" s="717" t="s">
        <v>635</v>
      </c>
      <c r="I14" s="703"/>
      <c r="J14" s="386"/>
      <c r="K14" s="386"/>
      <c r="L14" s="386"/>
    </row>
    <row r="15" spans="1:12" ht="15.75">
      <c r="A15" s="386"/>
      <c r="B15" s="716" t="s">
        <v>615</v>
      </c>
      <c r="C15" s="699"/>
      <c r="D15" s="717" t="s">
        <v>631</v>
      </c>
      <c r="E15" s="703"/>
      <c r="F15" s="716" t="s">
        <v>616</v>
      </c>
      <c r="G15" s="699"/>
      <c r="H15" s="717" t="s">
        <v>636</v>
      </c>
      <c r="I15" s="703"/>
      <c r="J15" s="386"/>
      <c r="K15" s="386"/>
      <c r="L15" s="386"/>
    </row>
    <row r="16" spans="1:12" ht="15.75">
      <c r="A16" s="386"/>
      <c r="B16" s="716" t="s">
        <v>617</v>
      </c>
      <c r="C16" s="699"/>
      <c r="D16" s="717" t="s">
        <v>632</v>
      </c>
      <c r="E16" s="703"/>
      <c r="F16" s="716" t="s">
        <v>618</v>
      </c>
      <c r="G16" s="699"/>
      <c r="H16" s="717" t="s">
        <v>637</v>
      </c>
      <c r="I16" s="703"/>
      <c r="J16" s="386"/>
      <c r="K16" s="386"/>
      <c r="L16" s="386"/>
    </row>
    <row r="17" spans="1:12" ht="15.75">
      <c r="A17" s="386"/>
      <c r="B17" s="716" t="s">
        <v>619</v>
      </c>
      <c r="C17" s="699"/>
      <c r="D17" s="717" t="s">
        <v>633</v>
      </c>
      <c r="E17" s="703"/>
      <c r="F17" s="716" t="s">
        <v>620</v>
      </c>
      <c r="G17" s="699"/>
      <c r="H17" s="717" t="s">
        <v>638</v>
      </c>
      <c r="I17" s="703"/>
      <c r="J17" s="386"/>
      <c r="K17" s="386"/>
      <c r="L17" s="386"/>
    </row>
    <row r="18" spans="1:12" ht="15.75">
      <c r="A18" s="386"/>
      <c r="B18" s="716" t="s">
        <v>621</v>
      </c>
      <c r="C18" s="699"/>
      <c r="D18" s="717" t="s">
        <v>634</v>
      </c>
      <c r="E18" s="703"/>
      <c r="F18" s="716" t="s">
        <v>622</v>
      </c>
      <c r="G18" s="699"/>
      <c r="H18" s="717" t="s">
        <v>639</v>
      </c>
      <c r="I18" s="703"/>
      <c r="J18" s="386"/>
      <c r="K18" s="386"/>
      <c r="L18" s="386"/>
    </row>
    <row r="19" spans="1:12" ht="27" customHeight="1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386"/>
      <c r="L19" s="386"/>
    </row>
    <row r="20" spans="1:12" ht="19.5">
      <c r="A20" s="422" t="s">
        <v>623</v>
      </c>
      <c r="B20" s="386"/>
      <c r="C20" s="386"/>
      <c r="D20" s="386"/>
      <c r="E20" s="386"/>
      <c r="F20" s="386"/>
      <c r="G20" s="386"/>
      <c r="H20" s="386"/>
      <c r="I20" s="386"/>
      <c r="J20" s="386"/>
      <c r="K20" s="386"/>
      <c r="L20" s="386"/>
    </row>
    <row r="21" spans="1:12" ht="15.7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386"/>
      <c r="L21" s="386"/>
    </row>
    <row r="22" spans="1:12" ht="19.5">
      <c r="A22" s="386"/>
      <c r="B22" s="422" t="s">
        <v>640</v>
      </c>
      <c r="C22" s="386"/>
      <c r="D22" s="386"/>
      <c r="E22" s="386"/>
      <c r="F22" s="386"/>
      <c r="G22" s="386"/>
      <c r="H22" s="386"/>
      <c r="I22" s="386"/>
      <c r="J22" s="386"/>
      <c r="K22" s="386"/>
      <c r="L22" s="386"/>
    </row>
    <row r="23" spans="1:12" ht="15.75">
      <c r="A23" s="386"/>
      <c r="B23" s="386" t="s">
        <v>641</v>
      </c>
      <c r="C23" s="386"/>
      <c r="D23" s="386"/>
      <c r="E23" s="386"/>
      <c r="F23" s="386"/>
      <c r="G23" s="386"/>
      <c r="H23" s="386"/>
      <c r="I23" s="386"/>
      <c r="J23" s="386"/>
      <c r="K23" s="386"/>
      <c r="L23" s="386"/>
    </row>
    <row r="24" spans="1:12" ht="15.7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386"/>
      <c r="L24" s="386"/>
    </row>
    <row r="25" spans="1:12" ht="15.75">
      <c r="A25" s="386"/>
      <c r="B25" s="386"/>
      <c r="C25" s="386"/>
      <c r="D25" s="386"/>
      <c r="E25" s="386"/>
      <c r="F25" s="386"/>
      <c r="G25" s="386"/>
      <c r="H25" s="386"/>
      <c r="I25" s="386"/>
      <c r="J25" s="386"/>
      <c r="K25" s="386"/>
      <c r="L25" s="386"/>
    </row>
    <row r="26" spans="1:12" ht="15.75">
      <c r="A26" s="386"/>
      <c r="B26" s="386"/>
      <c r="C26" s="386"/>
      <c r="D26" s="386"/>
      <c r="E26" s="386"/>
      <c r="F26" s="386"/>
      <c r="G26" s="386"/>
      <c r="H26" s="386"/>
      <c r="I26" s="386"/>
      <c r="J26" s="386"/>
      <c r="K26" s="386"/>
      <c r="L26" s="386"/>
    </row>
    <row r="27" spans="1:12" ht="15.75">
      <c r="A27" s="386"/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</row>
    <row r="28" spans="1:12" ht="15.75">
      <c r="A28" s="386"/>
      <c r="B28" s="386"/>
      <c r="C28" s="386"/>
      <c r="D28" s="386"/>
      <c r="E28" s="386"/>
      <c r="F28" s="386"/>
      <c r="G28" s="386"/>
      <c r="H28" s="386"/>
      <c r="I28" s="386"/>
      <c r="J28" s="386"/>
      <c r="K28" s="386"/>
      <c r="L28" s="386"/>
    </row>
    <row r="29" spans="1:12" ht="15.75">
      <c r="A29" s="386"/>
      <c r="B29" s="386"/>
      <c r="C29" s="386"/>
      <c r="D29" s="386"/>
      <c r="E29" s="386"/>
      <c r="F29" s="386"/>
      <c r="G29" s="386"/>
      <c r="H29" s="386"/>
      <c r="I29" s="386"/>
      <c r="J29" s="386"/>
      <c r="K29" s="386"/>
      <c r="L29" s="386"/>
    </row>
    <row r="30" spans="1:12" ht="15.75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</row>
    <row r="31" spans="1:12" ht="15.75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</row>
    <row r="32" spans="1:12" ht="15.75">
      <c r="A32" s="386"/>
      <c r="B32" s="386"/>
      <c r="C32" s="386"/>
      <c r="D32" s="386"/>
      <c r="E32" s="386"/>
      <c r="F32" s="386"/>
      <c r="G32" s="386"/>
      <c r="H32" s="386"/>
      <c r="I32" s="386"/>
      <c r="J32" s="386"/>
      <c r="K32" s="386"/>
      <c r="L32" s="386"/>
    </row>
    <row r="33" spans="1:12" ht="15.75">
      <c r="A33" s="386"/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4" workbookViewId="0">
      <selection activeCell="H43" sqref="H43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45"/>
      <c r="B1" s="346"/>
      <c r="C1" s="346"/>
      <c r="D1" s="346"/>
      <c r="E1" s="346"/>
      <c r="F1" s="347"/>
    </row>
    <row r="2" spans="1:6" ht="26.1" customHeight="1">
      <c r="A2" s="349" t="s">
        <v>250</v>
      </c>
      <c r="B2" s="350"/>
      <c r="C2" s="350"/>
      <c r="D2" s="350"/>
      <c r="E2" s="350"/>
      <c r="F2" s="351"/>
    </row>
    <row r="3" spans="1:6" ht="18.95" customHeight="1">
      <c r="A3" s="352" t="s">
        <v>642</v>
      </c>
      <c r="B3" s="350"/>
      <c r="C3" s="350"/>
      <c r="D3" s="350"/>
      <c r="E3" s="350"/>
      <c r="F3" s="351"/>
    </row>
    <row r="4" spans="1:6" ht="18.95" customHeight="1">
      <c r="A4" s="713" t="s">
        <v>566</v>
      </c>
      <c r="B4" s="714"/>
      <c r="C4" s="714"/>
      <c r="D4" s="714"/>
      <c r="E4" s="714"/>
      <c r="F4" s="715"/>
    </row>
    <row r="5" spans="1:6" ht="18.95" customHeight="1">
      <c r="A5" s="353"/>
      <c r="B5" s="354"/>
      <c r="C5" s="354"/>
      <c r="D5" s="354"/>
      <c r="E5" s="354"/>
      <c r="F5" s="355"/>
    </row>
    <row r="6" spans="1:6" ht="18.95" customHeight="1">
      <c r="A6" s="553" t="s">
        <v>371</v>
      </c>
      <c r="B6" s="696" t="str">
        <f>'Performance Data Sheet'!C17</f>
        <v>M257TCAL11E-C</v>
      </c>
      <c r="C6" s="697"/>
      <c r="D6" s="698"/>
      <c r="E6" s="553" t="s">
        <v>372</v>
      </c>
      <c r="F6" s="554">
        <v>157</v>
      </c>
    </row>
    <row r="7" spans="1:6" ht="18.95" customHeight="1">
      <c r="A7" s="553" t="s">
        <v>373</v>
      </c>
      <c r="B7" s="554" t="str">
        <f>'Performance Data Sheet'!F14</f>
        <v>TEAAC</v>
      </c>
      <c r="C7" s="553" t="s">
        <v>374</v>
      </c>
      <c r="D7" s="554" t="s">
        <v>396</v>
      </c>
      <c r="E7" s="553" t="s">
        <v>375</v>
      </c>
      <c r="F7" s="554" t="str">
        <f>'Performance Data Sheet'!C14</f>
        <v>6810US</v>
      </c>
    </row>
    <row r="8" spans="1:6" ht="18.95" customHeight="1">
      <c r="A8" s="553" t="s">
        <v>376</v>
      </c>
      <c r="B8" s="554">
        <v>6</v>
      </c>
      <c r="C8" s="553" t="s">
        <v>377</v>
      </c>
      <c r="D8" s="554" t="s">
        <v>378</v>
      </c>
      <c r="E8" s="553" t="s">
        <v>379</v>
      </c>
      <c r="F8" s="554" t="str">
        <f>'Performance Data Sheet'!M15</f>
        <v>F</v>
      </c>
    </row>
    <row r="9" spans="1:6" ht="18.95" customHeight="1">
      <c r="A9" s="553" t="s">
        <v>380</v>
      </c>
      <c r="B9" s="554">
        <v>1250</v>
      </c>
      <c r="C9" s="553" t="s">
        <v>381</v>
      </c>
      <c r="D9" s="554" t="s">
        <v>397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382</v>
      </c>
      <c r="B10" s="554">
        <v>1192</v>
      </c>
      <c r="C10" s="553" t="s">
        <v>383</v>
      </c>
      <c r="D10" s="554" t="s">
        <v>384</v>
      </c>
      <c r="E10" s="553" t="s">
        <v>1</v>
      </c>
      <c r="F10" s="554" t="s">
        <v>758</v>
      </c>
    </row>
    <row r="11" spans="1:6" ht="18.95" customHeight="1">
      <c r="A11" s="353"/>
      <c r="B11" s="354"/>
      <c r="C11" s="354"/>
      <c r="D11" s="354"/>
      <c r="E11" s="354"/>
      <c r="F11" s="355"/>
    </row>
    <row r="12" spans="1:6" ht="18.95" customHeight="1">
      <c r="A12" s="550"/>
      <c r="B12" s="556" t="s">
        <v>385</v>
      </c>
      <c r="C12" s="557" t="s">
        <v>398</v>
      </c>
      <c r="D12" s="556" t="s">
        <v>386</v>
      </c>
      <c r="E12" s="557" t="s">
        <v>384</v>
      </c>
      <c r="F12" s="355"/>
    </row>
    <row r="13" spans="1:6" ht="18.95" customHeight="1">
      <c r="A13" s="550"/>
      <c r="B13" s="556" t="s">
        <v>387</v>
      </c>
      <c r="C13" s="558">
        <v>0.75</v>
      </c>
      <c r="D13" s="556" t="s">
        <v>388</v>
      </c>
      <c r="E13" s="557" t="s">
        <v>384</v>
      </c>
      <c r="F13" s="355"/>
    </row>
    <row r="14" spans="1:6" ht="18.95" customHeight="1">
      <c r="A14" s="550"/>
      <c r="B14" s="556" t="s">
        <v>389</v>
      </c>
      <c r="C14" s="558">
        <v>2.2000000000000002</v>
      </c>
      <c r="D14" s="556" t="s">
        <v>390</v>
      </c>
      <c r="E14" s="557" t="s">
        <v>384</v>
      </c>
      <c r="F14" s="355"/>
    </row>
    <row r="15" spans="1:6" ht="18.95" customHeight="1">
      <c r="A15" s="550"/>
      <c r="B15" s="556" t="s">
        <v>391</v>
      </c>
      <c r="C15" s="557" t="s">
        <v>753</v>
      </c>
      <c r="D15" s="551"/>
      <c r="E15" s="551"/>
      <c r="F15" s="355"/>
    </row>
    <row r="16" spans="1:6" ht="18.95" customHeight="1">
      <c r="A16" s="353"/>
      <c r="B16" s="354"/>
      <c r="C16" s="354"/>
      <c r="D16" s="354"/>
      <c r="E16" s="354"/>
      <c r="F16" s="355"/>
    </row>
    <row r="17" spans="1:8" ht="18.95" customHeight="1">
      <c r="A17" s="353"/>
      <c r="B17" s="354"/>
      <c r="C17" s="354"/>
      <c r="D17" s="354"/>
      <c r="E17" s="354"/>
      <c r="F17" s="355"/>
    </row>
    <row r="18" spans="1:8" ht="18.95" customHeight="1">
      <c r="A18" s="353"/>
      <c r="B18" s="354"/>
      <c r="C18" s="354"/>
      <c r="D18" s="354"/>
      <c r="E18" s="354"/>
      <c r="F18" s="355"/>
    </row>
    <row r="19" spans="1:8" ht="18.95" customHeight="1">
      <c r="A19" s="353"/>
      <c r="B19" s="354"/>
      <c r="C19" s="354"/>
      <c r="D19" s="354"/>
      <c r="E19" s="354"/>
      <c r="F19" s="355"/>
    </row>
    <row r="20" spans="1:8" ht="18.95" customHeight="1">
      <c r="A20" s="353"/>
      <c r="B20" s="354"/>
      <c r="C20" s="354"/>
      <c r="D20" s="354"/>
      <c r="E20" s="354"/>
      <c r="F20" s="355"/>
    </row>
    <row r="21" spans="1:8" ht="18.95" customHeight="1">
      <c r="A21" s="353"/>
      <c r="B21" s="354"/>
      <c r="C21" s="354"/>
      <c r="D21" s="354"/>
      <c r="E21" s="354"/>
      <c r="F21" s="355"/>
    </row>
    <row r="22" spans="1:8" ht="18.95" customHeight="1">
      <c r="A22" s="353"/>
      <c r="B22" s="354"/>
      <c r="C22" s="354"/>
      <c r="D22" s="354"/>
      <c r="E22" s="354"/>
      <c r="F22" s="355"/>
    </row>
    <row r="23" spans="1:8" ht="18.95" customHeight="1">
      <c r="A23" s="353"/>
      <c r="B23" s="354"/>
      <c r="C23" s="354"/>
      <c r="D23" s="354"/>
      <c r="E23" s="354"/>
      <c r="F23" s="355"/>
    </row>
    <row r="24" spans="1:8" ht="18.95" customHeight="1">
      <c r="A24" s="353"/>
      <c r="B24" s="354"/>
      <c r="C24" s="354"/>
      <c r="D24" s="354"/>
      <c r="E24" s="354"/>
      <c r="F24" s="355"/>
      <c r="H24" s="427"/>
    </row>
    <row r="25" spans="1:8" ht="18.95" customHeight="1">
      <c r="A25" s="353"/>
      <c r="B25" s="354"/>
      <c r="C25" s="354"/>
      <c r="D25" s="354"/>
      <c r="E25" s="354"/>
      <c r="F25" s="355"/>
    </row>
    <row r="26" spans="1:8" ht="18.95" customHeight="1">
      <c r="A26" s="353"/>
      <c r="B26" s="354"/>
      <c r="C26" s="354"/>
      <c r="D26" s="354"/>
      <c r="E26" s="354"/>
      <c r="F26" s="355"/>
    </row>
    <row r="27" spans="1:8" ht="18.95" customHeight="1">
      <c r="A27" s="353"/>
      <c r="B27" s="354"/>
      <c r="C27" s="354"/>
      <c r="D27" s="354"/>
      <c r="E27" s="354"/>
      <c r="F27" s="355"/>
    </row>
    <row r="28" spans="1:8" ht="18.95" customHeight="1">
      <c r="A28" s="353"/>
      <c r="B28" s="354"/>
      <c r="C28" s="354"/>
      <c r="D28" s="354"/>
      <c r="E28" s="354"/>
      <c r="F28" s="355"/>
    </row>
    <row r="29" spans="1:8" ht="18.95" customHeight="1">
      <c r="A29" s="353"/>
      <c r="B29" s="354"/>
      <c r="C29" s="354"/>
      <c r="D29" s="354"/>
      <c r="E29" s="354"/>
      <c r="F29" s="355"/>
    </row>
    <row r="30" spans="1:8" ht="18.95" customHeight="1">
      <c r="A30" s="353"/>
      <c r="B30" s="354"/>
      <c r="C30" s="354"/>
      <c r="D30" s="354"/>
      <c r="E30" s="354"/>
      <c r="F30" s="355"/>
    </row>
    <row r="31" spans="1:8" ht="18.95" customHeight="1">
      <c r="A31" s="353"/>
      <c r="B31" s="354"/>
      <c r="C31" s="354"/>
      <c r="D31" s="354"/>
      <c r="E31" s="354"/>
      <c r="F31" s="355"/>
    </row>
    <row r="32" spans="1:8" ht="18.95" customHeight="1">
      <c r="A32" s="353"/>
      <c r="B32" s="354"/>
      <c r="C32" s="354"/>
      <c r="D32" s="354"/>
      <c r="E32" s="354"/>
      <c r="F32" s="355"/>
    </row>
    <row r="33" spans="1:6" ht="18.95" customHeight="1">
      <c r="A33" s="353"/>
      <c r="B33" s="354"/>
      <c r="C33" s="354"/>
      <c r="D33" s="354"/>
      <c r="E33" s="354"/>
      <c r="F33" s="355"/>
    </row>
    <row r="34" spans="1:6" ht="18.95" customHeight="1">
      <c r="A34" s="353"/>
      <c r="B34" s="354"/>
      <c r="C34" s="354"/>
      <c r="D34" s="354"/>
      <c r="E34" s="354"/>
      <c r="F34" s="355"/>
    </row>
    <row r="35" spans="1:6" ht="18.95" customHeight="1">
      <c r="A35" s="353"/>
      <c r="B35" s="354"/>
      <c r="C35" s="354"/>
      <c r="D35" s="354"/>
      <c r="E35" s="354"/>
      <c r="F35" s="355"/>
    </row>
    <row r="36" spans="1:6" ht="18.95" customHeight="1">
      <c r="A36" s="353"/>
      <c r="B36" s="354"/>
      <c r="C36" s="354"/>
      <c r="D36" s="354"/>
      <c r="E36" s="354"/>
      <c r="F36" s="355"/>
    </row>
    <row r="37" spans="1:6" ht="18.95" customHeight="1">
      <c r="A37" s="353"/>
      <c r="B37" s="354"/>
      <c r="C37" s="354"/>
      <c r="D37" s="354"/>
      <c r="E37" s="354"/>
      <c r="F37" s="355"/>
    </row>
    <row r="38" spans="1:6" ht="18.95" customHeight="1">
      <c r="A38" s="353"/>
      <c r="B38" s="354"/>
      <c r="C38" s="354"/>
      <c r="D38" s="354"/>
      <c r="E38" s="354"/>
      <c r="F38" s="355"/>
    </row>
    <row r="39" spans="1:6" ht="18.95" customHeight="1">
      <c r="A39" s="559" t="s">
        <v>392</v>
      </c>
      <c r="B39" s="560"/>
      <c r="C39" s="560"/>
      <c r="D39" s="551"/>
      <c r="E39" s="556" t="s">
        <v>393</v>
      </c>
      <c r="F39" s="561" t="s">
        <v>758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394</v>
      </c>
      <c r="D43" s="564" t="str">
        <f>'Performance Data Sheet'!K43</f>
        <v>Mario L</v>
      </c>
      <c r="E43" s="563" t="s">
        <v>395</v>
      </c>
      <c r="F43" s="564" t="s">
        <v>757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399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643</v>
      </c>
    </row>
    <row r="54" spans="1:6" ht="15" customHeight="1">
      <c r="A54" s="430">
        <v>0</v>
      </c>
      <c r="B54" s="431"/>
      <c r="C54" s="432"/>
      <c r="D54" s="432">
        <v>37.276569164175271</v>
      </c>
      <c r="E54" s="432">
        <v>100</v>
      </c>
      <c r="F54" s="433">
        <v>0.35247499999999998</v>
      </c>
    </row>
    <row r="55" spans="1:6" ht="15" customHeight="1">
      <c r="A55" s="434">
        <v>25</v>
      </c>
      <c r="B55" s="435">
        <v>90.412460327148438</v>
      </c>
      <c r="C55" s="436">
        <v>67.146064758300781</v>
      </c>
      <c r="D55" s="436">
        <v>55.410404205322266</v>
      </c>
      <c r="E55" s="436">
        <v>90.108563673212316</v>
      </c>
      <c r="F55" s="437">
        <v>6.4440631493166949</v>
      </c>
    </row>
    <row r="56" spans="1:6" ht="15" customHeight="1">
      <c r="A56" s="434">
        <v>50</v>
      </c>
      <c r="B56" s="435">
        <v>94.161346435546875</v>
      </c>
      <c r="C56" s="436">
        <v>83.9090576171875</v>
      </c>
      <c r="D56" s="436">
        <v>85.150794982910156</v>
      </c>
      <c r="E56" s="436">
        <v>80.112899758680101</v>
      </c>
      <c r="F56" s="437">
        <v>12.37500653518622</v>
      </c>
    </row>
    <row r="57" spans="1:6">
      <c r="A57" s="434">
        <v>75</v>
      </c>
      <c r="B57" s="435">
        <v>95.20843505859375</v>
      </c>
      <c r="C57" s="436">
        <v>88.534492492675781</v>
      </c>
      <c r="D57" s="436">
        <v>119.72187042236328</v>
      </c>
      <c r="E57" s="436">
        <v>69.955941220533191</v>
      </c>
      <c r="F57" s="437">
        <v>18.358360115502641</v>
      </c>
    </row>
    <row r="58" spans="1:6">
      <c r="A58" s="434">
        <v>100</v>
      </c>
      <c r="B58" s="435">
        <v>95.527069091796875</v>
      </c>
      <c r="C58" s="436">
        <v>89.892387390136719</v>
      </c>
      <c r="D58" s="436">
        <v>156.69343566894531</v>
      </c>
      <c r="E58" s="436">
        <v>59.30842974943431</v>
      </c>
      <c r="F58" s="437">
        <v>24.396167943374302</v>
      </c>
    </row>
    <row r="59" spans="1:6" ht="13.5" thickBot="1">
      <c r="A59" s="438">
        <v>125</v>
      </c>
      <c r="B59" s="439">
        <v>95.53790283203125</v>
      </c>
      <c r="C59" s="440">
        <v>89.922775268554688</v>
      </c>
      <c r="D59" s="440">
        <v>195.77841186523437</v>
      </c>
      <c r="E59" s="440">
        <v>48.775787930898673</v>
      </c>
      <c r="F59" s="441">
        <v>30.491752794603858</v>
      </c>
    </row>
    <row r="60" spans="1:6">
      <c r="A60" s="368"/>
      <c r="B60" s="369"/>
      <c r="C60" s="369"/>
    </row>
    <row r="61" spans="1:6">
      <c r="A61" s="368"/>
      <c r="B61" s="369"/>
      <c r="C61" s="369"/>
    </row>
    <row r="62" spans="1:6">
      <c r="A62" s="368"/>
      <c r="B62" s="369"/>
      <c r="C62" s="369"/>
    </row>
    <row r="63" spans="1:6">
      <c r="A63" s="368"/>
      <c r="B63" s="369"/>
      <c r="C63" s="369"/>
    </row>
    <row r="64" spans="1:6">
      <c r="A64" s="368"/>
      <c r="B64" s="369"/>
      <c r="C64" s="369"/>
    </row>
    <row r="65" spans="1:3">
      <c r="A65" s="368"/>
      <c r="B65" s="369"/>
      <c r="C65" s="369"/>
    </row>
    <row r="66" spans="1:3">
      <c r="A66" s="368"/>
      <c r="B66" s="369"/>
      <c r="C66" s="369"/>
    </row>
    <row r="67" spans="1:3">
      <c r="A67" s="370"/>
      <c r="B67" s="369"/>
      <c r="C67" s="36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C24" sqref="C24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250</v>
      </c>
      <c r="B1" s="443"/>
      <c r="C1" s="443"/>
      <c r="D1" s="443"/>
      <c r="E1" s="443"/>
      <c r="F1" s="443"/>
      <c r="G1" s="443"/>
      <c r="H1" s="443"/>
      <c r="I1" s="443"/>
      <c r="J1" s="444" t="s">
        <v>644</v>
      </c>
      <c r="K1" s="445"/>
      <c r="L1" s="446" t="s">
        <v>645</v>
      </c>
      <c r="M1" s="447"/>
      <c r="N1" s="448"/>
    </row>
    <row r="2" spans="1:14" ht="17.100000000000001" customHeight="1">
      <c r="A2" s="450" t="s">
        <v>646</v>
      </c>
      <c r="B2" s="451"/>
      <c r="C2" s="451"/>
      <c r="D2" s="451"/>
      <c r="E2" s="451"/>
      <c r="F2" s="451"/>
      <c r="G2" s="451"/>
      <c r="H2" s="451"/>
      <c r="I2" s="451"/>
      <c r="J2" s="452" t="s">
        <v>647</v>
      </c>
      <c r="K2" s="453"/>
      <c r="L2" s="454" t="s">
        <v>648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649</v>
      </c>
      <c r="K3" s="453"/>
      <c r="L3" s="458" t="s">
        <v>650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651</v>
      </c>
      <c r="K4" s="453"/>
      <c r="L4" s="460" t="s">
        <v>652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653</v>
      </c>
      <c r="K5" s="453"/>
      <c r="L5" s="454">
        <v>1</v>
      </c>
      <c r="M5" s="455"/>
      <c r="N5" s="448"/>
    </row>
    <row r="6" spans="1:14" ht="15.95" customHeight="1">
      <c r="A6" s="461" t="s">
        <v>654</v>
      </c>
      <c r="B6" s="457"/>
      <c r="C6" s="457"/>
      <c r="D6" s="457"/>
      <c r="E6" s="457"/>
      <c r="F6" s="457"/>
      <c r="G6" s="457"/>
      <c r="H6" s="457"/>
      <c r="I6" s="457"/>
      <c r="J6" s="452" t="s">
        <v>655</v>
      </c>
      <c r="K6" s="453"/>
      <c r="L6" s="462" t="s">
        <v>656</v>
      </c>
      <c r="M6" s="455"/>
      <c r="N6" s="448"/>
    </row>
    <row r="7" spans="1:14" ht="15.95" customHeight="1" thickBot="1">
      <c r="A7" s="463" t="s">
        <v>657</v>
      </c>
      <c r="B7" s="464"/>
      <c r="C7" s="464"/>
      <c r="D7" s="464"/>
      <c r="E7" s="464"/>
      <c r="F7" s="464"/>
      <c r="G7" s="464"/>
      <c r="H7" s="464"/>
      <c r="I7" s="464"/>
      <c r="J7" s="465" t="s">
        <v>658</v>
      </c>
      <c r="K7" s="466"/>
      <c r="L7" s="467" t="s">
        <v>659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660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661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662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663</v>
      </c>
      <c r="C13" s="486">
        <v>1250</v>
      </c>
      <c r="D13" s="478"/>
      <c r="E13" s="485" t="s">
        <v>664</v>
      </c>
      <c r="F13" s="486">
        <v>4000</v>
      </c>
      <c r="G13" s="478"/>
      <c r="H13" s="485" t="s">
        <v>665</v>
      </c>
      <c r="I13" s="486" t="s">
        <v>747</v>
      </c>
      <c r="J13" s="478"/>
      <c r="K13" s="478"/>
      <c r="L13" s="485" t="s">
        <v>666</v>
      </c>
      <c r="M13" s="487">
        <v>1200</v>
      </c>
      <c r="N13" s="448"/>
    </row>
    <row r="14" spans="1:14" ht="12.95" customHeight="1">
      <c r="A14" s="484"/>
      <c r="B14" s="485" t="s">
        <v>667</v>
      </c>
      <c r="C14" s="486" t="s">
        <v>177</v>
      </c>
      <c r="D14" s="478"/>
      <c r="E14" s="485" t="s">
        <v>668</v>
      </c>
      <c r="F14" s="486" t="s">
        <v>752</v>
      </c>
      <c r="G14" s="478"/>
      <c r="H14" s="485" t="s">
        <v>669</v>
      </c>
      <c r="I14" s="486">
        <v>157</v>
      </c>
      <c r="J14" s="478"/>
      <c r="K14" s="478"/>
      <c r="L14" s="485" t="s">
        <v>382</v>
      </c>
      <c r="M14" s="487">
        <v>1192</v>
      </c>
      <c r="N14" s="448"/>
    </row>
    <row r="15" spans="1:14" ht="12.95" customHeight="1">
      <c r="A15" s="484"/>
      <c r="B15" s="485" t="s">
        <v>670</v>
      </c>
      <c r="C15" s="486" t="s">
        <v>755</v>
      </c>
      <c r="D15" s="478"/>
      <c r="E15" s="485" t="s">
        <v>671</v>
      </c>
      <c r="F15" s="486">
        <v>1.1499999999999999</v>
      </c>
      <c r="G15" s="478"/>
      <c r="H15" s="488" t="s">
        <v>672</v>
      </c>
      <c r="I15" s="486" t="s">
        <v>174</v>
      </c>
      <c r="J15" s="478"/>
      <c r="K15" s="478"/>
      <c r="L15" s="485" t="s">
        <v>673</v>
      </c>
      <c r="M15" s="487" t="s">
        <v>344</v>
      </c>
      <c r="N15" s="448"/>
    </row>
    <row r="16" spans="1:14" ht="12.95" customHeight="1">
      <c r="A16" s="484"/>
      <c r="B16" s="485" t="s">
        <v>674</v>
      </c>
      <c r="C16" s="486" t="s">
        <v>746</v>
      </c>
      <c r="D16" s="478"/>
      <c r="E16" s="485" t="s">
        <v>675</v>
      </c>
      <c r="F16" s="486" t="s">
        <v>438</v>
      </c>
      <c r="G16" s="478"/>
      <c r="H16" s="489" t="s">
        <v>676</v>
      </c>
      <c r="I16" s="490" t="s">
        <v>337</v>
      </c>
      <c r="J16" s="478"/>
      <c r="K16" s="478"/>
      <c r="L16" s="485" t="s">
        <v>677</v>
      </c>
      <c r="M16" s="487" t="s">
        <v>678</v>
      </c>
      <c r="N16" s="448"/>
    </row>
    <row r="17" spans="1:21" ht="12.95" customHeight="1">
      <c r="A17" s="484"/>
      <c r="B17" s="485" t="s">
        <v>679</v>
      </c>
      <c r="C17" s="491" t="s">
        <v>759</v>
      </c>
      <c r="D17" s="478"/>
      <c r="E17" s="485"/>
      <c r="F17" s="492"/>
      <c r="G17" s="478"/>
      <c r="H17" s="485" t="s">
        <v>680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681</v>
      </c>
      <c r="C18" s="496" t="s">
        <v>174</v>
      </c>
      <c r="D18" s="497"/>
      <c r="E18" s="498" t="s">
        <v>682</v>
      </c>
      <c r="F18" s="496" t="s">
        <v>174</v>
      </c>
      <c r="G18" s="499"/>
      <c r="H18" s="498" t="s">
        <v>683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684</v>
      </c>
      <c r="B21" s="502"/>
      <c r="C21" s="471"/>
      <c r="D21" s="503"/>
      <c r="E21" s="504" t="s">
        <v>685</v>
      </c>
      <c r="F21" s="505"/>
      <c r="G21" s="505"/>
      <c r="H21" s="506"/>
      <c r="I21" s="507" t="s">
        <v>686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687</v>
      </c>
      <c r="D22" s="512">
        <v>845</v>
      </c>
      <c r="E22" s="485"/>
      <c r="G22" s="489" t="s">
        <v>688</v>
      </c>
      <c r="H22" s="513">
        <v>5508</v>
      </c>
      <c r="I22" s="511"/>
      <c r="J22" s="478"/>
      <c r="K22" s="511" t="s">
        <v>689</v>
      </c>
      <c r="L22" s="719" t="s">
        <v>751</v>
      </c>
      <c r="M22" s="720"/>
    </row>
    <row r="23" spans="1:21" ht="15.95" customHeight="1">
      <c r="A23" s="510"/>
      <c r="B23" s="511"/>
      <c r="C23" s="514"/>
      <c r="D23" s="515"/>
      <c r="E23" s="485"/>
      <c r="G23" s="485" t="s">
        <v>690</v>
      </c>
      <c r="H23" s="512">
        <v>75</v>
      </c>
      <c r="I23" s="478"/>
      <c r="J23" s="478"/>
      <c r="K23" s="485" t="s">
        <v>691</v>
      </c>
      <c r="L23" s="719" t="s">
        <v>751</v>
      </c>
      <c r="M23" s="720"/>
    </row>
    <row r="24" spans="1:21" ht="15.95" customHeight="1">
      <c r="A24" s="484"/>
      <c r="B24" s="485"/>
      <c r="C24" s="478"/>
      <c r="D24" s="515"/>
      <c r="E24" s="485"/>
      <c r="G24" s="489" t="s">
        <v>692</v>
      </c>
      <c r="H24" s="512">
        <v>220</v>
      </c>
      <c r="I24" s="478"/>
      <c r="J24" s="485"/>
      <c r="K24" s="478"/>
      <c r="L24" s="478"/>
      <c r="M24" s="493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5"/>
      <c r="P27" s="565"/>
      <c r="Q27" s="565"/>
      <c r="R27" s="565"/>
      <c r="S27" s="565"/>
      <c r="T27" s="565"/>
      <c r="U27" s="565"/>
    </row>
    <row r="28" spans="1:21" ht="15.95" customHeight="1" thickTop="1">
      <c r="A28" s="524" t="s">
        <v>693</v>
      </c>
      <c r="B28" s="502"/>
      <c r="C28" s="471"/>
      <c r="D28" s="471"/>
      <c r="E28" s="505"/>
      <c r="F28" s="505"/>
      <c r="G28" s="525"/>
      <c r="H28" s="504" t="s">
        <v>694</v>
      </c>
      <c r="I28" s="505"/>
      <c r="J28" s="508"/>
      <c r="K28" s="504"/>
      <c r="L28" s="508"/>
      <c r="M28" s="509"/>
      <c r="O28" s="565"/>
      <c r="P28" s="547"/>
      <c r="Q28" s="113"/>
      <c r="R28" s="113"/>
      <c r="S28" s="113"/>
      <c r="T28" s="113"/>
      <c r="U28" s="565"/>
    </row>
    <row r="29" spans="1:21" ht="15.95" customHeight="1">
      <c r="A29" s="484"/>
      <c r="B29" s="511"/>
      <c r="C29" s="511" t="s">
        <v>695</v>
      </c>
      <c r="D29" s="526">
        <v>95.5</v>
      </c>
      <c r="E29" s="485"/>
      <c r="F29" s="485"/>
      <c r="G29" s="525"/>
      <c r="H29" s="489"/>
      <c r="I29" s="511"/>
      <c r="J29" s="511" t="s">
        <v>695</v>
      </c>
      <c r="K29" s="526">
        <v>89.9</v>
      </c>
      <c r="L29" s="478"/>
      <c r="M29" s="493"/>
      <c r="O29" s="565"/>
      <c r="P29" s="547"/>
      <c r="Q29" s="546"/>
      <c r="R29" s="546"/>
      <c r="S29" s="546"/>
      <c r="T29" s="546"/>
      <c r="U29" s="565"/>
    </row>
    <row r="30" spans="1:21" ht="15.95" customHeight="1">
      <c r="A30" s="527"/>
      <c r="B30" s="478"/>
      <c r="C30" s="511" t="s">
        <v>696</v>
      </c>
      <c r="D30" s="526">
        <v>95.2</v>
      </c>
      <c r="E30" s="485"/>
      <c r="F30" s="485"/>
      <c r="G30" s="525"/>
      <c r="H30" s="485"/>
      <c r="I30" s="478"/>
      <c r="J30" s="511" t="s">
        <v>696</v>
      </c>
      <c r="K30" s="526">
        <v>88.6</v>
      </c>
      <c r="L30" s="478"/>
      <c r="M30" s="493"/>
      <c r="O30" s="565"/>
      <c r="P30" s="547"/>
      <c r="Q30" s="114"/>
      <c r="R30" s="114"/>
      <c r="S30" s="114"/>
      <c r="T30" s="114"/>
      <c r="U30" s="565"/>
    </row>
    <row r="31" spans="1:21" ht="15.95" customHeight="1">
      <c r="A31" s="484"/>
      <c r="B31" s="485"/>
      <c r="C31" s="511" t="s">
        <v>697</v>
      </c>
      <c r="D31" s="526">
        <v>94.2</v>
      </c>
      <c r="E31" s="485"/>
      <c r="F31" s="485"/>
      <c r="G31" s="525"/>
      <c r="H31" s="485"/>
      <c r="I31" s="478"/>
      <c r="J31" s="511" t="s">
        <v>697</v>
      </c>
      <c r="K31" s="526">
        <v>83.9</v>
      </c>
      <c r="L31" s="485"/>
      <c r="M31" s="493"/>
      <c r="O31" s="565"/>
      <c r="P31" s="547"/>
      <c r="Q31" s="114"/>
      <c r="R31" s="114"/>
      <c r="S31" s="114"/>
      <c r="T31" s="114"/>
      <c r="U31" s="565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65"/>
      <c r="P32" s="565"/>
      <c r="Q32" s="565"/>
      <c r="R32" s="565"/>
      <c r="S32" s="565"/>
      <c r="T32" s="565"/>
      <c r="U32" s="565"/>
    </row>
    <row r="33" spans="1:21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O33" s="565"/>
      <c r="P33" s="565"/>
      <c r="Q33" s="565"/>
      <c r="R33" s="565"/>
      <c r="S33" s="565"/>
      <c r="T33" s="565"/>
      <c r="U33" s="565"/>
    </row>
    <row r="34" spans="1:21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21" ht="15.95" customHeight="1" thickTop="1">
      <c r="A35" s="534" t="s">
        <v>698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21" ht="15.95" customHeight="1">
      <c r="A36" s="527" t="s">
        <v>699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1" ht="15.95" customHeight="1">
      <c r="A37" s="536" t="s">
        <v>700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1" ht="15.95" customHeight="1">
      <c r="A38" s="538" t="s">
        <v>701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1" ht="15.95" customHeight="1">
      <c r="A39" s="539" t="s">
        <v>702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1" ht="15.95" customHeight="1" thickBot="1">
      <c r="A40" s="540" t="s">
        <v>703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1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1" ht="15.95" customHeight="1"/>
    <row r="43" spans="1:21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704</v>
      </c>
      <c r="K43" s="721" t="s">
        <v>331</v>
      </c>
      <c r="L43" s="721"/>
      <c r="M43" s="721"/>
      <c r="N43" s="543"/>
    </row>
    <row r="44" spans="1:21" ht="7.5" customHeight="1">
      <c r="H44" s="448"/>
      <c r="I44" s="448"/>
      <c r="J44" s="448"/>
      <c r="K44" s="448"/>
      <c r="L44" s="448"/>
      <c r="M44" s="448"/>
    </row>
    <row r="45" spans="1:21" ht="16.5">
      <c r="H45" s="448"/>
      <c r="I45" s="448"/>
      <c r="J45" s="544" t="s">
        <v>705</v>
      </c>
      <c r="K45" s="722">
        <v>41992</v>
      </c>
      <c r="L45" s="722"/>
      <c r="M45" s="722"/>
    </row>
    <row r="60" spans="1:5">
      <c r="A60" s="449" t="s">
        <v>174</v>
      </c>
      <c r="B60" s="449" t="s">
        <v>751</v>
      </c>
      <c r="D60" s="449">
        <v>1</v>
      </c>
      <c r="E60" s="545" t="s">
        <v>174</v>
      </c>
    </row>
    <row r="61" spans="1:5">
      <c r="A61" s="449" t="s">
        <v>706</v>
      </c>
      <c r="B61" s="449" t="s">
        <v>707</v>
      </c>
      <c r="D61" s="449">
        <v>1.1499999999999999</v>
      </c>
      <c r="E61" s="545" t="s">
        <v>348</v>
      </c>
    </row>
    <row r="62" spans="1:5">
      <c r="A62" s="449" t="s">
        <v>708</v>
      </c>
      <c r="B62" s="449" t="s">
        <v>709</v>
      </c>
      <c r="E62" s="545" t="s">
        <v>301</v>
      </c>
    </row>
    <row r="63" spans="1:5">
      <c r="B63" s="449" t="s">
        <v>710</v>
      </c>
    </row>
    <row r="64" spans="1:5">
      <c r="B64" s="449" t="s">
        <v>711</v>
      </c>
    </row>
    <row r="65" spans="2:2">
      <c r="B65" s="449" t="s">
        <v>712</v>
      </c>
    </row>
    <row r="66" spans="2:2">
      <c r="B66" s="449" t="s">
        <v>713</v>
      </c>
    </row>
    <row r="67" spans="2:2">
      <c r="B67" s="449" t="s">
        <v>714</v>
      </c>
    </row>
    <row r="68" spans="2:2">
      <c r="B68" s="449" t="s">
        <v>715</v>
      </c>
    </row>
    <row r="69" spans="2:2">
      <c r="B69" s="449" t="s">
        <v>716</v>
      </c>
    </row>
    <row r="70" spans="2:2">
      <c r="B70" s="449" t="s">
        <v>717</v>
      </c>
    </row>
    <row r="71" spans="2:2">
      <c r="B71" s="449" t="s">
        <v>718</v>
      </c>
    </row>
    <row r="72" spans="2:2">
      <c r="B72" s="449" t="s">
        <v>719</v>
      </c>
    </row>
    <row r="73" spans="2:2">
      <c r="B73" s="449" t="s">
        <v>720</v>
      </c>
    </row>
    <row r="74" spans="2:2">
      <c r="B74" s="449" t="s">
        <v>721</v>
      </c>
    </row>
    <row r="75" spans="2:2">
      <c r="B75" s="449" t="s">
        <v>722</v>
      </c>
    </row>
    <row r="76" spans="2:2">
      <c r="B76" s="449" t="s">
        <v>723</v>
      </c>
    </row>
    <row r="77" spans="2:2">
      <c r="B77" s="449" t="s">
        <v>724</v>
      </c>
    </row>
    <row r="78" spans="2:2">
      <c r="B78" s="449" t="s">
        <v>725</v>
      </c>
    </row>
    <row r="79" spans="2:2">
      <c r="B79" s="449" t="s">
        <v>726</v>
      </c>
    </row>
    <row r="80" spans="2:2">
      <c r="B80" s="449" t="s">
        <v>727</v>
      </c>
    </row>
    <row r="81" spans="2:2">
      <c r="B81" s="449">
        <v>6312</v>
      </c>
    </row>
    <row r="82" spans="2:2">
      <c r="B82" s="449" t="s">
        <v>728</v>
      </c>
    </row>
    <row r="83" spans="2:2">
      <c r="B83" s="449" t="s">
        <v>729</v>
      </c>
    </row>
    <row r="84" spans="2:2">
      <c r="B84" s="449" t="s">
        <v>730</v>
      </c>
    </row>
    <row r="85" spans="2:2">
      <c r="B85" s="449" t="s">
        <v>731</v>
      </c>
    </row>
    <row r="86" spans="2:2">
      <c r="B86" s="449">
        <v>6313</v>
      </c>
    </row>
    <row r="87" spans="2:2">
      <c r="B87" s="449" t="s">
        <v>732</v>
      </c>
    </row>
    <row r="88" spans="2:2">
      <c r="B88" s="449" t="s">
        <v>733</v>
      </c>
    </row>
    <row r="89" spans="2:2">
      <c r="B89" s="449" t="s">
        <v>734</v>
      </c>
    </row>
    <row r="90" spans="2:2">
      <c r="B90" s="449">
        <v>6314</v>
      </c>
    </row>
    <row r="91" spans="2:2">
      <c r="B91" s="449" t="s">
        <v>735</v>
      </c>
    </row>
    <row r="92" spans="2:2">
      <c r="B92" s="449">
        <v>6317</v>
      </c>
    </row>
    <row r="93" spans="2:2">
      <c r="B93" s="449" t="s">
        <v>736</v>
      </c>
    </row>
    <row r="94" spans="2:2">
      <c r="B94" s="449">
        <v>6318</v>
      </c>
    </row>
    <row r="95" spans="2:2">
      <c r="B95" s="449" t="s">
        <v>737</v>
      </c>
    </row>
    <row r="96" spans="2:2">
      <c r="B96" s="449" t="s">
        <v>738</v>
      </c>
    </row>
    <row r="97" spans="2:2">
      <c r="B97" s="449" t="s">
        <v>739</v>
      </c>
    </row>
    <row r="98" spans="2:2">
      <c r="B98" s="449">
        <v>6320</v>
      </c>
    </row>
    <row r="99" spans="2:2">
      <c r="B99" s="449" t="s">
        <v>740</v>
      </c>
    </row>
    <row r="100" spans="2:2">
      <c r="B100" s="449" t="s">
        <v>741</v>
      </c>
    </row>
    <row r="101" spans="2:2">
      <c r="B101" s="449" t="s">
        <v>742</v>
      </c>
    </row>
    <row r="102" spans="2:2">
      <c r="B102" s="449" t="s">
        <v>743</v>
      </c>
    </row>
    <row r="103" spans="2:2">
      <c r="B103" s="449" t="s">
        <v>743</v>
      </c>
    </row>
    <row r="119" spans="2:2">
      <c r="B119" s="449" t="s">
        <v>744</v>
      </c>
    </row>
    <row r="121" spans="2:2">
      <c r="B121" s="449" t="s">
        <v>745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2015-01-14T20:51:39Z</cp:lastPrinted>
  <dcterms:created xsi:type="dcterms:W3CDTF">1997-10-03T20:37:30Z</dcterms:created>
  <dcterms:modified xsi:type="dcterms:W3CDTF">2015-06-24T18:51:14Z</dcterms:modified>
</cp:coreProperties>
</file>