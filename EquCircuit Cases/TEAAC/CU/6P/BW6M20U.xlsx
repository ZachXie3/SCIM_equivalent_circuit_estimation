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tabRatio="814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D43" i="10" l="1"/>
  <c r="D43" i="6"/>
  <c r="D43" i="8"/>
  <c r="F9" i="10"/>
  <c r="F8" i="10"/>
  <c r="F7" i="10"/>
  <c r="B7" i="10"/>
  <c r="B6" i="10"/>
  <c r="F9" i="6"/>
  <c r="F8" i="6"/>
  <c r="F7" i="6"/>
  <c r="B7" i="6"/>
  <c r="B6" i="6"/>
  <c r="F9" i="8"/>
  <c r="F8" i="8"/>
  <c r="F7" i="8"/>
  <c r="B7" i="8"/>
  <c r="B6" i="8"/>
  <c r="C76" i="8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<sst xmlns="http://schemas.openxmlformats.org/spreadsheetml/2006/main" count="1001" uniqueCount="762">
  <si>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</si>
  <si>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</si>
  <si>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</si>
  <si>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</si>
  <si>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</si>
  <si>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</si>
  <si>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</si>
  <si>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</si>
  <si>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</si>
  <si>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</si>
  <si>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</si>
  <si>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</si>
  <si>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</si>
  <si>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</si>
  <si>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</si>
  <si>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</si>
  <si>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</si>
  <si>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</si>
  <si>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</si>
  <si>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</si>
  <si>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</si>
  <si>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</si>
  <si>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</si>
  <si>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</si>
  <si>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</si>
  <si>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</si>
  <si>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</si>
  <si>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</si>
  <si>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</si>
  <si>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</si>
  <si>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</si>
  <si>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</si>
  <si>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</si>
  <si>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</si>
  <si>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</si>
  <si>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</si>
  <si>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</si>
  <si>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</si>
  <si>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</si>
  <si>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</si>
  <si>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</si>
  <si>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</si>
  <si>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</si>
  <si>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</si>
  <si>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</si>
  <si>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</si>
  <si>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</si>
  <si>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</si>
  <si>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</si>
  <si>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</si>
  <si>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</si>
  <si>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</si>
  <si>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</si>
  <si>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</si>
  <si>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</si>
  <si>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</si>
  <si>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</si>
  <si>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</si>
  <si>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</si>
  <si>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</si>
  <si>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</si>
  <si>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</si>
  <si>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</si>
  <si>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</si>
  <si>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</si>
  <si>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</si>
  <si>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</si>
  <si>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</si>
  <si>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</si>
  <si>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</si>
  <si>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</si>
  <si>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</si>
  <si>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</si>
  <si>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</si>
  <si>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</si>
  <si>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</si>
  <si>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</si>
  <si>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</si>
  <si>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</si>
  <si>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</si>
  <si>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</si>
  <si>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</si>
  <si>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</si>
  <si>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</si>
  <si>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</si>
  <si>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</si>
  <si>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</si>
  <si>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</si>
  <si>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</si>
  <si>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</si>
  <si>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</si>
  <si>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</si>
  <si>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</si>
  <si>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</si>
  <si>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</si>
  <si>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</si>
  <si>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</si>
  <si>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</si>
  <si>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</si>
  <si>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</si>
  <si>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</si>
  <si>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</si>
  <si>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</si>
  <si>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</si>
  <si>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</si>
  <si>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</si>
  <si>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</si>
  <si>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</si>
  <si>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</si>
  <si>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</si>
  <si>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</si>
  <si>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</si>
  <si>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</si>
  <si>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</si>
  <si>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</si>
  <si>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</si>
  <si>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</si>
  <si>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</si>
  <si>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</si>
  <si>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</si>
  <si>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</si>
  <si>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</si>
  <si>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</si>
  <si>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</si>
  <si>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</si>
  <si>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</si>
  <si>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</si>
  <si>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</si>
  <si>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</si>
  <si>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</si>
  <si>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</si>
  <si>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</si>
  <si>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</si>
  <si>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</si>
  <si>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</si>
  <si>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</si>
  <si>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</si>
  <si>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</si>
  <si>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</si>
  <si>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</si>
  <si>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</si>
  <si>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</si>
  <si>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</si>
  <si>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</si>
  <si>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</si>
  <si>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</si>
  <si>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</si>
  <si>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</si>
  <si>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</si>
  <si>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</si>
  <si>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</si>
  <si>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</si>
  <si>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</si>
  <si>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</si>
  <si>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</si>
  <si>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</si>
  <si>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</si>
  <si>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</si>
  <si>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</si>
  <si>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</si>
  <si>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</si>
  <si>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</si>
  <si>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</si>
  <si>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</si>
  <si>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</si>
  <si>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</si>
  <si>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</si>
  <si>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</si>
  <si>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</si>
  <si>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</si>
  <si>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</si>
  <si>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</si>
  <si>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</si>
  <si>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</si>
  <si>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</si>
  <si>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</si>
  <si>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FCCW4</t>
  </si>
  <si>
    <t>6810US</t>
  </si>
  <si>
    <t>Open</t>
  </si>
  <si>
    <t>Rectang</t>
  </si>
  <si>
    <t>9.24 - 9.24</t>
  </si>
  <si>
    <t>2.83 - 3.20</t>
  </si>
  <si>
    <t>Magnetic</t>
  </si>
  <si>
    <t>23 x 6</t>
  </si>
  <si>
    <t>1 ~ 11</t>
  </si>
  <si>
    <t>(.081"x.182")x2</t>
  </si>
  <si>
    <t>Wye</t>
  </si>
  <si>
    <t>(105°C)</t>
  </si>
  <si>
    <t>CU</t>
  </si>
  <si>
    <t>ERD1: 460.8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</si>
  <si>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</si>
  <si>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</si>
  <si>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</si>
  <si>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</si>
  <si>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</si>
  <si>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</si>
  <si>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</si>
  <si>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</si>
  <si>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</si>
  <si>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0.0726)</t>
  </si>
  <si>
    <t>Skew R.: 0.00</t>
  </si>
  <si>
    <t>Z:\Motor R&amp;D\Active Projects\6810 Development\Electrical Design\TEAAC\6P\Series\BS6M20U.rat</t>
  </si>
  <si>
    <t>2-2-2-0-1-2</t>
  </si>
  <si>
    <t>B.L.-1  P.F.-1</t>
  </si>
  <si>
    <t>8647.8 / 7832.1</t>
  </si>
  <si>
    <t>5467.9 / 5382.6</t>
  </si>
  <si>
    <t>19974.7 / 14083.0</t>
  </si>
  <si>
    <t>10116.0 / 9343.1</t>
  </si>
  <si>
    <t>9497.6 / 3599.0</t>
  </si>
  <si>
    <t>1353.8 / 513.0</t>
  </si>
  <si>
    <t>8143.8 / 3086.0</t>
  </si>
  <si>
    <t>1.75 / 0.66</t>
  </si>
  <si>
    <t>49 / 49</t>
  </si>
  <si>
    <t>Temp. Rise @ 100%:</t>
  </si>
  <si>
    <t>Stray Loss</t>
  </si>
  <si>
    <t>0.899 / 0.894</t>
  </si>
  <si>
    <t>0.941 / 0.936</t>
  </si>
  <si>
    <t>0.953 / 0.948</t>
  </si>
  <si>
    <t>0.957 / 0.953</t>
  </si>
  <si>
    <t>0.958 / 0.953</t>
  </si>
  <si>
    <t>0.685 / 0.676</t>
  </si>
  <si>
    <t>0.852 / 0.841</t>
  </si>
  <si>
    <t>0.898 / 0.886</t>
  </si>
  <si>
    <t>0.911 / 0.899</t>
  </si>
  <si>
    <t>0.911 / 0.900</t>
  </si>
  <si>
    <t>43.70 / 44.50</t>
  </si>
  <si>
    <t>67.15 / 68.38</t>
  </si>
  <si>
    <t>94.35 / 96.07</t>
  </si>
  <si>
    <t>123.42 / 125.67</t>
  </si>
  <si>
    <t>154.14 / 156.96</t>
  </si>
  <si>
    <t>3.35 / 3.41</t>
  </si>
  <si>
    <t>UB: 3.09 / 3.14</t>
  </si>
  <si>
    <t>UER: 2.67 / 2.72</t>
  </si>
  <si>
    <t>1197.9 / 1198.0</t>
  </si>
  <si>
    <t>1195.8 / 1195.9</t>
  </si>
  <si>
    <t>1193.8 / 1193.9</t>
  </si>
  <si>
    <t>1191.6 / 1191.7</t>
  </si>
  <si>
    <t>1189.5 / 1189.6</t>
  </si>
  <si>
    <t>0.0018 / 0.0017</t>
  </si>
  <si>
    <t>0.0035 / 0.0034</t>
  </si>
  <si>
    <t>0.0052 / 0.0051</t>
  </si>
  <si>
    <t>0.0070 / 0.0069</t>
  </si>
  <si>
    <t>0.0088 / 0.0087</t>
  </si>
  <si>
    <t>29.129 / 25.841</t>
  </si>
  <si>
    <t>1.369 / 1.215</t>
  </si>
  <si>
    <t>29.16 / 25.87</t>
  </si>
  <si>
    <t>701.0 / 667.7</t>
  </si>
  <si>
    <t>568.0 / 541.0</t>
  </si>
  <si>
    <t>537.4 / 462.7</t>
  </si>
  <si>
    <t>88.1 / 75.9</t>
  </si>
  <si>
    <t>253.7 / 223.8</t>
  </si>
  <si>
    <t>Correlated to: P149087.dat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</si>
  <si>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</si>
  <si>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</si>
  <si>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</si>
  <si>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</si>
  <si>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</si>
  <si>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</si>
  <si>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</si>
  <si>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</si>
  <si>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</si>
  <si>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</si>
  <si>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</si>
  <si>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</si>
  <si>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</si>
  <si>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</si>
  <si>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</si>
  <si>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</si>
  <si>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</si>
  <si>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</si>
  <si>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</si>
  <si>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</si>
  <si>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</si>
  <si>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</si>
  <si>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</si>
  <si>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</si>
  <si>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</si>
  <si>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</si>
  <si>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</si>
  <si>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</si>
  <si>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</si>
  <si>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</si>
  <si>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</si>
  <si>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</si>
  <si>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</si>
  <si>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</si>
  <si>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</si>
  <si>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</si>
  <si>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</si>
  <si>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</si>
  <si>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</si>
  <si>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</si>
  <si>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</si>
  <si>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</si>
  <si>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</si>
  <si>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</si>
  <si>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</si>
  <si>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</si>
  <si>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</si>
  <si>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</si>
  <si>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</si>
  <si>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</si>
  <si>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</si>
  <si>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</si>
  <si>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</si>
  <si>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</si>
  <si>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</si>
  <si>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</si>
  <si>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</si>
  <si>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</si>
  <si>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</si>
  <si>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</si>
  <si>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</si>
  <si>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</si>
  <si>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</si>
  <si>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</si>
  <si>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</si>
  <si>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</si>
  <si>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</si>
  <si>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</si>
  <si>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</si>
  <si>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</si>
  <si>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</si>
  <si>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</si>
  <si>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</si>
  <si>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</si>
  <si>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</si>
  <si>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</si>
  <si>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</si>
  <si>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</si>
  <si>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</si>
  <si>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</si>
  <si>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</si>
  <si>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</si>
  <si>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</si>
  <si>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</si>
  <si>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</si>
  <si>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</si>
  <si>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</si>
  <si>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</si>
  <si>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</si>
  <si>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</si>
  <si>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</si>
  <si>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</si>
  <si>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</si>
  <si>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</si>
  <si>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</si>
  <si>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</si>
  <si>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</si>
  <si>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</si>
  <si>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</si>
  <si>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</si>
  <si>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</si>
  <si>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</si>
  <si>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</si>
  <si>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</si>
  <si>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</si>
  <si>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</si>
  <si>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</si>
  <si>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</si>
  <si>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</si>
  <si>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</si>
  <si>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</si>
  <si>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20 x 2</t>
  </si>
  <si>
    <t>2 x Wye</t>
  </si>
  <si>
    <t xml:space="preserve"> - </t>
  </si>
  <si>
    <t>49 / 65</t>
  </si>
  <si>
    <t>341 / 1808</t>
  </si>
  <si>
    <t>314 / 272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</si>
  <si>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</si>
  <si>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</si>
  <si>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</si>
  <si>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</si>
  <si>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</si>
  <si>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</si>
  <si>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</si>
  <si>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</si>
  <si>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</si>
  <si>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</si>
  <si>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</si>
  <si>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</si>
  <si>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1249.0</t>
  </si>
  <si>
    <t xml:space="preserve">10T: </t>
  </si>
  <si>
    <t/>
  </si>
  <si>
    <t>0.0236 ~ 0.0227</t>
  </si>
  <si>
    <t>AWG. 02 x 3</t>
  </si>
  <si>
    <t>0.00183</t>
  </si>
  <si>
    <t>10T: 22.57</t>
  </si>
  <si>
    <t>10T: 9.65</t>
  </si>
  <si>
    <t>13.30 ~ 12.90</t>
  </si>
  <si>
    <t>14.02</t>
  </si>
  <si>
    <t>3.55</t>
  </si>
  <si>
    <t xml:space="preserve"> (.081"x.182")x 2: </t>
  </si>
  <si>
    <t>671 lbs.</t>
  </si>
  <si>
    <t xml:space="preserve">1-2, 2-3, 3-1: </t>
  </si>
  <si>
    <t>0.290 ~ 0.273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</si>
  <si>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</si>
  <si>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</si>
  <si>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</si>
  <si>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</si>
  <si>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</si>
  <si>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</si>
  <si>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</si>
  <si>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</si>
  <si>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</si>
  <si>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</si>
  <si>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</si>
  <si>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</si>
  <si>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</si>
  <si>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</si>
  <si>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</si>
  <si>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</si>
  <si>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</si>
  <si>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</si>
  <si>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</si>
  <si>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</si>
  <si>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</si>
  <si>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</si>
  <si>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</si>
  <si>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</si>
  <si>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</si>
  <si>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</si>
  <si>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</si>
  <si>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</si>
  <si>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</si>
  <si>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</si>
  <si>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1216.7 lb-ft²</t>
  </si>
  <si>
    <t>668 A</t>
  </si>
  <si>
    <t>Load</t>
  </si>
  <si>
    <t>Fan / Pump</t>
  </si>
  <si>
    <t>1586.0 kg.m²</t>
  </si>
  <si>
    <t>Acceleration Data (FV V)</t>
  </si>
  <si>
    <t>18.5 (s)</t>
  </si>
  <si>
    <t>609.8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</si>
  <si>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</si>
  <si>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</si>
  <si>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</si>
  <si>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</si>
  <si>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</si>
  <si>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</si>
  <si>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</si>
  <si>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</si>
  <si>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</si>
  <si>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</si>
  <si>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</si>
  <si>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</si>
  <si>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</si>
  <si>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</si>
  <si>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</si>
  <si>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</si>
  <si>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</si>
  <si>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</si>
  <si>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</si>
  <si>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</si>
  <si>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</si>
  <si>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</si>
  <si>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</si>
  <si>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</si>
  <si>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</si>
  <si>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</si>
  <si>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</si>
  <si>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</si>
  <si>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</si>
  <si>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</si>
  <si>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</si>
  <si>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</si>
  <si>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</si>
  <si>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</si>
  <si>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</si>
  <si>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</si>
  <si>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</si>
  <si>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</si>
  <si>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</si>
  <si>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- 1000.0 HP - 1200 RPM - 4000 V - 60 Hz</t>
  </si>
  <si>
    <t>0~125</t>
  </si>
  <si>
    <t>125~250</t>
  </si>
  <si>
    <t>250~375</t>
  </si>
  <si>
    <t>375~500</t>
  </si>
  <si>
    <t>500~625</t>
  </si>
  <si>
    <t>625~750</t>
  </si>
  <si>
    <t>750~875</t>
  </si>
  <si>
    <t>875~1000</t>
  </si>
  <si>
    <t>1000~1063</t>
  </si>
  <si>
    <t>1063~1125</t>
  </si>
  <si>
    <t>1125~1188</t>
  </si>
  <si>
    <t>1188~1198</t>
  </si>
  <si>
    <t>1198~1200</t>
  </si>
  <si>
    <t>Load Type: Fan / Pump - 9409.0 lb-ft²</t>
  </si>
  <si>
    <t>75.1</t>
  </si>
  <si>
    <t>75.3</t>
  </si>
  <si>
    <t>75.7</t>
  </si>
  <si>
    <t>76.3</t>
  </si>
  <si>
    <t>77.3</t>
  </si>
  <si>
    <t>79.0</t>
  </si>
  <si>
    <t>81.9</t>
  </si>
  <si>
    <t>87.6</t>
  </si>
  <si>
    <t>97.6</t>
  </si>
  <si>
    <t>117.2</t>
  </si>
  <si>
    <t>175.3</t>
  </si>
  <si>
    <t>161.2</t>
  </si>
  <si>
    <t>101.2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</si>
  <si>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</si>
  <si>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</si>
  <si>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</si>
  <si>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</si>
  <si>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</si>
  <si>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</si>
  <si>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</si>
  <si>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</si>
  <si>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</si>
  <si>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</si>
  <si>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</si>
  <si>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</si>
  <si>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</si>
  <si>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1.859</t>
  </si>
  <si>
    <t>1.531</t>
  </si>
  <si>
    <t>1.428</t>
  </si>
  <si>
    <t>1.426</t>
  </si>
  <si>
    <t>1.507</t>
  </si>
  <si>
    <t>1.666</t>
  </si>
  <si>
    <t>1.940</t>
  </si>
  <si>
    <t>2.455</t>
  </si>
  <si>
    <t>1.453</t>
  </si>
  <si>
    <t>1.221</t>
  </si>
  <si>
    <t>0.580</t>
  </si>
  <si>
    <t>0.121</t>
  </si>
  <si>
    <t>1.343</t>
  </si>
  <si>
    <t>665.7</t>
  </si>
  <si>
    <t>660.8</t>
  </si>
  <si>
    <t>654.8</t>
  </si>
  <si>
    <t>647.4</t>
  </si>
  <si>
    <t>638.1</t>
  </si>
  <si>
    <t>626.3</t>
  </si>
  <si>
    <t>611.6</t>
  </si>
  <si>
    <t>592.7</t>
  </si>
  <si>
    <t>574.1</t>
  </si>
  <si>
    <t>551.2</t>
  </si>
  <si>
    <t>489.8</t>
  </si>
  <si>
    <t>291.7</t>
  </si>
  <si>
    <t>88.5</t>
  </si>
  <si>
    <t>470.9</t>
  </si>
  <si>
    <t>382.5</t>
  </si>
  <si>
    <t>351.1</t>
  </si>
  <si>
    <t>343.7</t>
  </si>
  <si>
    <t>354.0</t>
  </si>
  <si>
    <t>378.9</t>
  </si>
  <si>
    <t>422.9</t>
  </si>
  <si>
    <t>507.5</t>
  </si>
  <si>
    <t>279.5</t>
  </si>
  <si>
    <t>222.2</t>
  </si>
  <si>
    <t>94.8</t>
  </si>
  <si>
    <t>13.4</t>
  </si>
  <si>
    <t>12.1</t>
  </si>
  <si>
    <t>949.1</t>
  </si>
  <si>
    <t>701.5</t>
  </si>
  <si>
    <t>580.4</t>
  </si>
  <si>
    <t>506.4</t>
  </si>
  <si>
    <t>458.8</t>
  </si>
  <si>
    <t>423.6</t>
  </si>
  <si>
    <t>396.3</t>
  </si>
  <si>
    <t>378.5</t>
  </si>
  <si>
    <t>301.0</t>
  </si>
  <si>
    <t>197.1</t>
  </si>
  <si>
    <t>64.1</t>
  </si>
  <si>
    <t>23.5</t>
  </si>
  <si>
    <t>341.1</t>
  </si>
  <si>
    <t>3834 kW / s</t>
  </si>
  <si>
    <t>4512 kW / s</t>
  </si>
  <si>
    <t>809 kW / s</t>
  </si>
  <si>
    <t>34°C</t>
  </si>
  <si>
    <t>62°C</t>
  </si>
  <si>
    <t>48°C</t>
  </si>
  <si>
    <t>68°C</t>
  </si>
  <si>
    <t>124°C</t>
  </si>
  <si>
    <t>96°C</t>
  </si>
  <si>
    <t>Acceleration Time:  18.5 s</t>
  </si>
  <si>
    <t>2.4°C / s</t>
  </si>
  <si>
    <t>6.5°C / s</t>
  </si>
  <si>
    <t>5.0°C / s</t>
  </si>
  <si>
    <t>276.8 kW</t>
  </si>
  <si>
    <t>474.4 kW</t>
  </si>
  <si>
    <t>85.1 kW</t>
  </si>
  <si>
    <t>65.5 s</t>
  </si>
  <si>
    <t>40.0 s</t>
  </si>
  <si>
    <t>35.7 s</t>
  </si>
  <si>
    <t>49°C    +</t>
  </si>
  <si>
    <t>62°C    +</t>
  </si>
  <si>
    <t>111°C    +</t>
  </si>
  <si>
    <t>198°C   +</t>
  </si>
  <si>
    <t>118°C   +</t>
  </si>
  <si>
    <t>45.4 s</t>
  </si>
  <si>
    <t>30.4 s</t>
  </si>
  <si>
    <t>23.3 s</t>
  </si>
  <si>
    <t>72.1 s</t>
  </si>
  <si>
    <t>47.2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</si>
  <si>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</si>
  <si>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</si>
  <si>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</si>
  <si>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</si>
  <si>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</si>
  <si>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</si>
  <si>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9409.0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</si>
  <si>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</si>
  <si>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</si>
  <si>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</si>
  <si>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</si>
  <si>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</si>
  <si>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</si>
  <si>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</si>
  <si>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</si>
  <si>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</si>
  <si>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</si>
  <si>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</si>
  <si>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</si>
  <si>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</si>
  <si>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</si>
  <si>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</si>
  <si>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</si>
  <si>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</si>
  <si>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</si>
  <si>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</si>
  <si>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</si>
  <si>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</si>
  <si>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1280.0 Hz</t>
  </si>
  <si>
    <t>1271.9 Hz</t>
  </si>
  <si>
    <t>1040.0 Hz</t>
  </si>
  <si>
    <t>1031.9 Hz</t>
  </si>
  <si>
    <t>1160.0 Hz</t>
  </si>
  <si>
    <t>1151.9 Hz</t>
  </si>
  <si>
    <t>1849.2 Hz</t>
  </si>
  <si>
    <t>238.2 Hz</t>
  </si>
  <si>
    <t>673.9 Hz</t>
  </si>
  <si>
    <t>1292.1 Hz</t>
  </si>
  <si>
    <t>2089.6 Hz</t>
  </si>
  <si>
    <t>3065.4 Hz</t>
  </si>
  <si>
    <t>4219.1 Hz</t>
  </si>
  <si>
    <t>5550.6 Hz</t>
  </si>
  <si>
    <t>7059.8 Hz</t>
  </si>
  <si>
    <t>8746.6 Hz</t>
  </si>
  <si>
    <t>Matching frequencies detected!!!</t>
  </si>
  <si>
    <t>Please check slot combination!!!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</si>
  <si>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</si>
  <si>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</si>
  <si>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</si>
  <si>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</si>
  <si>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</si>
  <si>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</si>
  <si>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</si>
  <si>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</si>
  <si>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</si>
  <si>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</si>
  <si>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</si>
  <si>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</si>
  <si>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</si>
  <si>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</si>
  <si>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</si>
  <si>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</si>
  <si>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</si>
  <si>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</si>
  <si>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</si>
  <si>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</si>
  <si>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</si>
  <si>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</si>
  <si>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</si>
  <si>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</si>
  <si>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</si>
  <si>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</si>
  <si>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</si>
  <si>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</si>
  <si>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</si>
  <si>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</si>
  <si>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</si>
  <si>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</si>
  <si>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</si>
  <si>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</si>
  <si>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</si>
  <si>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</si>
  <si>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</si>
  <si>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</si>
  <si>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</si>
  <si>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</si>
  <si>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</si>
  <si>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</si>
  <si>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</si>
  <si>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</si>
  <si>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</si>
  <si>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</si>
  <si>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</si>
  <si>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</si>
  <si>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</si>
  <si>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</si>
  <si>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</si>
  <si>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</si>
  <si>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</si>
  <si>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</si>
  <si>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</si>
  <si>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</si>
  <si>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</si>
  <si>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</si>
  <si>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</si>
  <si>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</si>
  <si>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</si>
  <si>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</si>
  <si>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</si>
  <si>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</si>
  <si>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</si>
  <si>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</si>
  <si>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</si>
  <si>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</si>
  <si>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</si>
  <si>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</si>
  <si>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</si>
  <si>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</si>
  <si>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</si>
  <si>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</si>
  <si>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</si>
  <si>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</si>
  <si>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</si>
  <si>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</si>
  <si>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</si>
  <si>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</si>
  <si>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</si>
  <si>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</si>
  <si>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</si>
  <si>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</si>
  <si>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</si>
  <si>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</si>
  <si>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</si>
  <si>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</si>
  <si>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</si>
  <si>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</si>
  <si>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</si>
  <si>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</si>
  <si>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</si>
  <si>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</si>
  <si>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</si>
  <si>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</si>
  <si>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</si>
  <si>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</si>
  <si>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</si>
  <si>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</si>
  <si>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</si>
  <si>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</si>
  <si>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</si>
  <si>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</si>
  <si>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</si>
  <si>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</si>
  <si>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Outer Fan: 550OD</t>
  </si>
  <si>
    <t>Rev 0: First Issue</t>
  </si>
  <si>
    <t>TEAAC</t>
  </si>
  <si>
    <t>M11-125 INS</t>
  </si>
  <si>
    <t>4406 lb-ft</t>
  </si>
  <si>
    <t>Type: TIKE - Form: FCW4 - 6 Pole - 1000 HP - 4000 V - 60 Hz - 6810US - Class F</t>
  </si>
  <si>
    <t>FCW4</t>
  </si>
  <si>
    <t>A. Gracia</t>
  </si>
  <si>
    <t>AG</t>
  </si>
  <si>
    <t>BW6M20U</t>
  </si>
  <si>
    <t>M207TCAL11E-C</t>
  </si>
  <si>
    <t>F &amp; W( Ball Brg)</t>
  </si>
  <si>
    <t>Limits: BW6M20U</t>
  </si>
  <si>
    <t>6328 C3</t>
  </si>
  <si>
    <t>6328 C3 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</si>
</sst>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723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 applyFill="1"/>
    <xf numFmtId="0" fontId="17" fillId="0" borderId="0" xfId="1" applyFont="1" applyFill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Fill="1" applyBorder="1"/>
    <xf numFmtId="0" fontId="25" fillId="0" borderId="78" xfId="1" applyFont="1" applyFill="1" applyBorder="1"/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8" fillId="0" borderId="115" xfId="1" applyFont="1" applyFill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1" fillId="0" borderId="0" xfId="4"/>
    <xf numFmtId="0" fontId="48" fillId="0" borderId="0" xfId="4" applyFont="1"/>
    <xf numFmtId="0" fontId="50" fillId="0" borderId="20" xfId="4" applyFont="1" applyBorder="1" applyAlignment="1">
      <alignment horizontal="right"/>
    </xf>
    <xf numFmtId="0" fontId="50" fillId="0" borderId="47" xfId="4" applyFont="1" applyBorder="1" applyAlignment="1">
      <alignment horizontal="right"/>
    </xf>
    <xf numFmtId="0" fontId="50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48" fillId="0" borderId="134" xfId="4" applyFont="1" applyBorder="1" applyAlignment="1">
      <alignment horizontal="center"/>
    </xf>
    <xf numFmtId="0" fontId="22" fillId="0" borderId="48" xfId="4" applyFont="1" applyBorder="1"/>
    <xf numFmtId="0" fontId="50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48" fillId="0" borderId="0" xfId="4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1" fillId="0" borderId="60" xfId="4" applyFont="1" applyBorder="1"/>
    <xf numFmtId="0" fontId="51" fillId="0" borderId="61" xfId="4" applyFont="1" applyBorder="1"/>
    <xf numFmtId="0" fontId="51" fillId="0" borderId="38" xfId="4" applyFont="1" applyBorder="1"/>
    <xf numFmtId="0" fontId="52" fillId="0" borderId="82" xfId="4" applyFont="1" applyBorder="1" applyAlignment="1">
      <alignment horizontal="centerContinuous"/>
    </xf>
    <xf numFmtId="0" fontId="51" fillId="0" borderId="0" xfId="4" applyFont="1" applyBorder="1" applyAlignment="1">
      <alignment horizontal="centerContinuous"/>
    </xf>
    <xf numFmtId="0" fontId="51" fillId="0" borderId="107" xfId="4" applyFont="1" applyBorder="1" applyAlignment="1">
      <alignment horizontal="centerContinuous"/>
    </xf>
    <xf numFmtId="0" fontId="53" fillId="0" borderId="82" xfId="4" applyFont="1" applyBorder="1" applyAlignment="1">
      <alignment horizontal="centerContinuous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66" fontId="3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3" fillId="0" borderId="0" xfId="4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6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1" fillId="0" borderId="0" xfId="4" applyBorder="1"/>
    <xf numFmtId="0" fontId="5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49" fillId="0" borderId="0" xfId="4" applyFont="1" applyAlignment="1">
      <alignment horizontal="right"/>
    </xf>
    <xf numFmtId="0" fontId="6" fillId="0" borderId="0" xfId="4" applyFont="1"/>
    <xf numFmtId="0" fontId="49" fillId="0" borderId="0" xfId="4" applyFont="1"/>
    <xf numFmtId="0" fontId="51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 applyProtection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 applyProtection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 applyProtection="1">
      <alignment horizontal="centerContinuous"/>
    </xf>
    <xf numFmtId="171" fontId="61" fillId="0" borderId="0" xfId="5" applyFont="1" applyBorder="1" applyAlignment="1">
      <alignment horizontal="centerContinuous"/>
    </xf>
    <xf numFmtId="171" fontId="62" fillId="0" borderId="108" xfId="5" applyFont="1" applyBorder="1" applyAlignment="1" applyProtection="1">
      <alignment horizontal="left"/>
    </xf>
    <xf numFmtId="171" fontId="63" fillId="0" borderId="39" xfId="5" applyFont="1" applyBorder="1"/>
    <xf numFmtId="171" fontId="62" fillId="0" borderId="40" xfId="5" applyFont="1" applyBorder="1" applyAlignment="1" applyProtection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Border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 applyProtection="1">
      <alignment horizontal="centerContinuous"/>
    </xf>
    <xf numFmtId="171" fontId="62" fillId="0" borderId="40" xfId="5" quotePrefix="1" applyFont="1" applyBorder="1" applyAlignment="1" applyProtection="1">
      <alignment horizontal="centerContinuous"/>
    </xf>
    <xf numFmtId="171" fontId="64" fillId="0" borderId="45" xfId="5" applyFont="1" applyBorder="1" applyAlignment="1">
      <alignment horizontal="centerContinuous"/>
    </xf>
    <xf numFmtId="171" fontId="62" fillId="0" borderId="40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 applyProtection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Border="1" applyAlignment="1" applyProtection="1">
      <alignment horizontal="centerContinuous"/>
    </xf>
    <xf numFmtId="171" fontId="62" fillId="0" borderId="0" xfId="5" applyFont="1" applyBorder="1" applyAlignment="1" applyProtection="1">
      <alignment horizontal="left"/>
    </xf>
    <xf numFmtId="171" fontId="63" fillId="0" borderId="0" xfId="5" applyFont="1" applyBorder="1"/>
    <xf numFmtId="171" fontId="62" fillId="0" borderId="0" xfId="5" applyFont="1" applyBorder="1" applyAlignment="1">
      <alignment horizontal="centerContinuous"/>
    </xf>
    <xf numFmtId="171" fontId="67" fillId="0" borderId="0" xfId="5" applyFont="1"/>
    <xf numFmtId="171" fontId="67" fillId="0" borderId="0" xfId="5" applyFont="1" applyAlignment="1" applyProtection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Border="1" applyAlignment="1">
      <alignment horizontal="centerContinuous"/>
    </xf>
    <xf numFmtId="171" fontId="67" fillId="0" borderId="0" xfId="5" applyFont="1" applyBorder="1" applyAlignment="1" applyProtection="1">
      <alignment horizontal="left"/>
    </xf>
    <xf numFmtId="171" fontId="67" fillId="0" borderId="0" xfId="5" applyFont="1" applyBorder="1"/>
    <xf numFmtId="171" fontId="67" fillId="0" borderId="0" xfId="5" quotePrefix="1" applyFont="1" applyAlignment="1" applyProtection="1">
      <alignment horizontal="left"/>
      <protection locked="0"/>
    </xf>
    <xf numFmtId="171" fontId="63" fillId="0" borderId="0" xfId="5" applyFont="1"/>
    <xf numFmtId="171" fontId="68" fillId="0" borderId="139" xfId="5" applyFont="1" applyBorder="1" applyAlignment="1" applyProtection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Border="1" applyAlignment="1" applyProtection="1">
      <alignment horizontal="right"/>
    </xf>
    <xf numFmtId="171" fontId="67" fillId="0" borderId="0" xfId="5" applyFont="1" applyBorder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center"/>
      <protection locked="0"/>
    </xf>
    <xf numFmtId="171" fontId="67" fillId="0" borderId="0" xfId="5" applyFont="1" applyBorder="1" applyAlignment="1" applyProtection="1">
      <alignment horizontal="left"/>
      <protection locked="0"/>
    </xf>
    <xf numFmtId="171" fontId="67" fillId="0" borderId="0" xfId="5" applyFont="1" applyBorder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 applyProtection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Protection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Border="1" applyAlignment="1" applyProtection="1">
      <alignment horizontal="right"/>
    </xf>
    <xf numFmtId="171" fontId="63" fillId="0" borderId="107" xfId="5" applyFont="1" applyBorder="1"/>
    <xf numFmtId="171" fontId="69" fillId="0" borderId="0" xfId="5" applyFont="1" applyBorder="1" applyAlignment="1" applyProtection="1">
      <alignment horizontal="left"/>
    </xf>
    <xf numFmtId="171" fontId="63" fillId="0" borderId="0" xfId="5" applyFont="1" applyBorder="1" applyAlignment="1" applyProtection="1">
      <alignment horizontal="right"/>
    </xf>
    <xf numFmtId="171" fontId="63" fillId="0" borderId="107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left"/>
    </xf>
    <xf numFmtId="171" fontId="63" fillId="0" borderId="0" xfId="5" applyFont="1" applyBorder="1" applyAlignment="1">
      <alignment horizontal="right"/>
    </xf>
    <xf numFmtId="171" fontId="63" fillId="0" borderId="21" xfId="5" applyFont="1" applyBorder="1"/>
    <xf numFmtId="171" fontId="60" fillId="0" borderId="45" xfId="5" applyBorder="1"/>
    <xf numFmtId="171" fontId="67" fillId="0" borderId="0" xfId="5" applyFont="1" applyBorder="1" applyAlignment="1">
      <alignment horizontal="right"/>
    </xf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0" xfId="5" applyFont="1" applyBorder="1" applyAlignment="1">
      <alignment horizontal="left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4" fillId="0" borderId="0" xfId="5" applyFont="1" applyBorder="1" applyAlignment="1">
      <alignment horizontal="centerContinuous"/>
    </xf>
    <xf numFmtId="171" fontId="64" fillId="0" borderId="0" xfId="5" applyFont="1" applyBorder="1"/>
    <xf numFmtId="171" fontId="68" fillId="0" borderId="142" xfId="5" applyFont="1" applyBorder="1" applyAlignment="1" applyProtection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Border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Border="1" applyAlignment="1" applyProtection="1">
      <alignment horizontal="left"/>
    </xf>
    <xf numFmtId="171" fontId="67" fillId="0" borderId="147" xfId="5" quotePrefix="1" applyFont="1" applyBorder="1" applyAlignment="1" applyProtection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 applyProtection="1">
      <alignment horizontal="right"/>
    </xf>
    <xf numFmtId="171" fontId="60" fillId="0" borderId="0" xfId="5" applyAlignment="1">
      <alignment horizontal="right"/>
    </xf>
    <xf numFmtId="2" fontId="2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21" fillId="2" borderId="67" xfId="1" applyFont="1" applyFill="1" applyBorder="1" applyAlignment="1">
      <alignment horizontal="left"/>
    </xf>
    <xf numFmtId="0" fontId="21" fillId="2" borderId="124" xfId="1" applyFont="1" applyFill="1" applyBorder="1" applyAlignment="1">
      <alignment horizontal="left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71" fontId="60" fillId="0" borderId="0" xfId="5"/>
    <xf numFmtId="171" fontId="60" fillId="0" borderId="0" xfId="5" applyBorder="1"/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30" fillId="0" borderId="64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166" fontId="30" fillId="0" borderId="64" xfId="1" applyNumberFormat="1" applyFont="1" applyFill="1" applyBorder="1" applyAlignment="1">
      <alignment horizontal="center"/>
    </xf>
    <xf numFmtId="166" fontId="30" fillId="0" borderId="65" xfId="1" applyNumberFormat="1" applyFont="1" applyFill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Fill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19" fillId="0" borderId="38" xfId="1" applyFont="1" applyFill="1" applyBorder="1" applyAlignment="1">
      <alignment horizontal="left"/>
    </xf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5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49" fillId="0" borderId="12" xfId="4" applyFont="1" applyBorder="1" applyAlignment="1">
      <alignment horizontal="left"/>
    </xf>
    <xf numFmtId="0" fontId="49" fillId="0" borderId="13" xfId="4" applyFont="1" applyBorder="1" applyAlignment="1">
      <alignment horizontal="left"/>
    </xf>
    <xf numFmtId="0" fontId="49" fillId="0" borderId="14" xfId="4" applyFont="1" applyBorder="1" applyAlignment="1">
      <alignment horizontal="left"/>
    </xf>
    <xf numFmtId="0" fontId="22" fillId="0" borderId="60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0" fillId="0" borderId="101" xfId="4" applyFont="1" applyBorder="1" applyAlignment="1">
      <alignment horizontal="center"/>
    </xf>
    <xf numFmtId="0" fontId="50" fillId="0" borderId="61" xfId="4" applyFont="1" applyBorder="1" applyAlignment="1">
      <alignment horizontal="center"/>
    </xf>
    <xf numFmtId="0" fontId="50" fillId="0" borderId="27" xfId="4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50" fillId="0" borderId="101" xfId="4" applyFont="1" applyBorder="1" applyAlignment="1">
      <alignment horizontal="right"/>
    </xf>
    <xf numFmtId="0" fontId="50" fillId="0" borderId="61" xfId="4" applyFont="1" applyBorder="1" applyAlignment="1">
      <alignment horizontal="right"/>
    </xf>
    <xf numFmtId="0" fontId="50" fillId="0" borderId="46" xfId="4" applyFont="1" applyBorder="1" applyAlignment="1">
      <alignment horizontal="right"/>
    </xf>
    <xf numFmtId="0" fontId="50" fillId="0" borderId="23" xfId="4" applyFont="1" applyBorder="1" applyAlignment="1">
      <alignment horizontal="right"/>
    </xf>
    <xf numFmtId="0" fontId="51" fillId="0" borderId="17" xfId="4" applyFont="1" applyBorder="1" applyAlignment="1">
      <alignment horizontal="center"/>
    </xf>
    <xf numFmtId="0" fontId="51" fillId="0" borderId="130" xfId="4" applyFont="1" applyBorder="1" applyAlignment="1">
      <alignment horizontal="center"/>
    </xf>
    <xf numFmtId="0" fontId="51" fillId="0" borderId="131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0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53" fillId="0" borderId="82" xfId="4" applyFont="1" applyBorder="1" applyAlignment="1">
      <alignment horizontal="center"/>
    </xf>
    <xf numFmtId="0" fontId="53" fillId="0" borderId="0" xfId="4" applyFont="1" applyBorder="1" applyAlignment="1">
      <alignment horizontal="center"/>
    </xf>
    <xf numFmtId="0" fontId="53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7" xfId="4" applyFont="1" applyBorder="1" applyAlignment="1">
      <alignment horizontal="center"/>
    </xf>
    <xf numFmtId="0" fontId="58" fillId="0" borderId="0" xfId="4" applyFont="1" applyAlignment="1">
      <alignment horizontal="center"/>
    </xf>
    <xf numFmtId="0" fontId="48" fillId="0" borderId="1" xfId="4" applyFont="1" applyBorder="1" applyAlignment="1">
      <alignment horizontal="right"/>
    </xf>
    <xf numFmtId="0" fontId="48" fillId="0" borderId="131" xfId="4" applyFont="1" applyBorder="1" applyAlignment="1">
      <alignment horizontal="center"/>
    </xf>
    <xf numFmtId="171" fontId="67" fillId="0" borderId="0" xfId="5" applyFont="1" applyBorder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102.4610838931364</c:v>
                </c:pt>
                <c:pt idx="2">
                  <c:v>220</c:v>
                </c:pt>
                <c:pt idx="3">
                  <c:v>130.56003483997017</c:v>
                </c:pt>
                <c:pt idx="4">
                  <c:v>103.76289714222565</c:v>
                </c:pt>
                <c:pt idx="5">
                  <c:v>91.448607484119805</c:v>
                </c:pt>
                <c:pt idx="6">
                  <c:v>83.711282990576976</c:v>
                </c:pt>
                <c:pt idx="7">
                  <c:v>80.089108238425339</c:v>
                </c:pt>
                <c:pt idx="8">
                  <c:v>77.98706222753124</c:v>
                </c:pt>
                <c:pt idx="9">
                  <c:v>76.686298036815217</c:v>
                </c:pt>
                <c:pt idx="10">
                  <c:v>75.893659599318482</c:v>
                </c:pt>
                <c:pt idx="11">
                  <c:v>75.41872925513357</c:v>
                </c:pt>
                <c:pt idx="12">
                  <c:v>75.147376295854428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13152"/>
        <c:axId val="190515072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0.23144093155860901</c:v>
                </c:pt>
                <c:pt idx="1">
                  <c:v>111.25931549072266</c:v>
                </c:pt>
                <c:pt idx="2">
                  <c:v>351.8187255859375</c:v>
                </c:pt>
                <c:pt idx="3">
                  <c:v>425.69918823242187</c:v>
                </c:pt>
                <c:pt idx="4">
                  <c:v>449.280517578125</c:v>
                </c:pt>
                <c:pt idx="5">
                  <c:v>461.92501831054687</c:v>
                </c:pt>
                <c:pt idx="6">
                  <c:v>478.90740966796875</c:v>
                </c:pt>
                <c:pt idx="7">
                  <c:v>491.82492065429687</c:v>
                </c:pt>
                <c:pt idx="8">
                  <c:v>502.3031005859375</c:v>
                </c:pt>
                <c:pt idx="9">
                  <c:v>510.51071166992187</c:v>
                </c:pt>
                <c:pt idx="10">
                  <c:v>517.11724853515625</c:v>
                </c:pt>
                <c:pt idx="11">
                  <c:v>522.281005859375</c:v>
                </c:pt>
                <c:pt idx="12">
                  <c:v>526.55633544921875</c:v>
                </c:pt>
                <c:pt idx="13">
                  <c:v>530.15875244140625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21344"/>
        <c:axId val="190522880"/>
      </c:scatterChart>
      <c:valAx>
        <c:axId val="19051315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0515072"/>
        <c:crossesAt val="0"/>
        <c:crossBetween val="midCat"/>
        <c:majorUnit val="0.2"/>
        <c:minorUnit val="0.2"/>
      </c:valAx>
      <c:valAx>
        <c:axId val="190515072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0513152"/>
        <c:crosses val="max"/>
        <c:crossBetween val="midCat"/>
        <c:majorUnit val="50"/>
        <c:minorUnit val="50"/>
      </c:valAx>
      <c:valAx>
        <c:axId val="190521344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90522880"/>
        <c:crosses val="autoZero"/>
        <c:crossBetween val="midCat"/>
      </c:valAx>
      <c:valAx>
        <c:axId val="19052288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0521344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102.4610838931364</c:v>
                </c:pt>
                <c:pt idx="2">
                  <c:v>220</c:v>
                </c:pt>
                <c:pt idx="3">
                  <c:v>130.56003483997017</c:v>
                </c:pt>
                <c:pt idx="4">
                  <c:v>103.76289714222565</c:v>
                </c:pt>
                <c:pt idx="5">
                  <c:v>91.448607484119805</c:v>
                </c:pt>
                <c:pt idx="6">
                  <c:v>83.711282990576976</c:v>
                </c:pt>
                <c:pt idx="7">
                  <c:v>80.089108238425339</c:v>
                </c:pt>
                <c:pt idx="8">
                  <c:v>77.98706222753124</c:v>
                </c:pt>
                <c:pt idx="9">
                  <c:v>76.686298036815217</c:v>
                </c:pt>
                <c:pt idx="10">
                  <c:v>75.893659599318482</c:v>
                </c:pt>
                <c:pt idx="11">
                  <c:v>75.41872925513357</c:v>
                </c:pt>
                <c:pt idx="12">
                  <c:v>75.147376295854428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35520"/>
        <c:axId val="178637440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0.23144093155860901</c:v>
                </c:pt>
                <c:pt idx="1">
                  <c:v>111.25931549072266</c:v>
                </c:pt>
                <c:pt idx="2">
                  <c:v>351.8187255859375</c:v>
                </c:pt>
                <c:pt idx="3">
                  <c:v>425.69918823242187</c:v>
                </c:pt>
                <c:pt idx="4">
                  <c:v>449.280517578125</c:v>
                </c:pt>
                <c:pt idx="5">
                  <c:v>461.92501831054687</c:v>
                </c:pt>
                <c:pt idx="6">
                  <c:v>478.90740966796875</c:v>
                </c:pt>
                <c:pt idx="7">
                  <c:v>491.82492065429687</c:v>
                </c:pt>
                <c:pt idx="8">
                  <c:v>502.3031005859375</c:v>
                </c:pt>
                <c:pt idx="9">
                  <c:v>510.51071166992187</c:v>
                </c:pt>
                <c:pt idx="10">
                  <c:v>517.11724853515625</c:v>
                </c:pt>
                <c:pt idx="11">
                  <c:v>522.281005859375</c:v>
                </c:pt>
                <c:pt idx="12">
                  <c:v>526.55633544921875</c:v>
                </c:pt>
                <c:pt idx="13">
                  <c:v>530.15875244140625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43712"/>
        <c:axId val="178645248"/>
      </c:scatterChart>
      <c:valAx>
        <c:axId val="178635520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637440"/>
        <c:crosses val="autoZero"/>
        <c:crossBetween val="midCat"/>
        <c:majorUnit val="20"/>
        <c:minorUnit val="20"/>
      </c:valAx>
      <c:valAx>
        <c:axId val="178637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635520"/>
        <c:crosses val="autoZero"/>
        <c:crossBetween val="midCat"/>
      </c:valAx>
      <c:valAx>
        <c:axId val="178643712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78645248"/>
        <c:crosses val="autoZero"/>
        <c:crossBetween val="midCat"/>
      </c:valAx>
      <c:valAx>
        <c:axId val="178645248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643712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530.15873015873012</c:v>
                </c:pt>
                <c:pt idx="1">
                  <c:v>466.11222539682535</c:v>
                </c:pt>
                <c:pt idx="2">
                  <c:v>402.04650476190477</c:v>
                </c:pt>
                <c:pt idx="3">
                  <c:v>338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45.279215232606219</c:v>
                </c:pt>
                <c:pt idx="2">
                  <c:v>60.859348274201629</c:v>
                </c:pt>
                <c:pt idx="3">
                  <c:v>86.108590129224325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530.15873015873012</c:v>
                </c:pt>
                <c:pt idx="1">
                  <c:v>466.11222539682535</c:v>
                </c:pt>
                <c:pt idx="2">
                  <c:v>402.04650476190477</c:v>
                </c:pt>
                <c:pt idx="3">
                  <c:v>338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19.405377956831238</c:v>
                </c:pt>
                <c:pt idx="2">
                  <c:v>26.082577831800698</c:v>
                </c:pt>
                <c:pt idx="3">
                  <c:v>36.903681483953278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238</c:v>
                </c:pt>
                <c:pt idx="1">
                  <c:v>138</c:v>
                </c:pt>
                <c:pt idx="2">
                  <c:v>220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87.107937757288411</c:v>
                </c:pt>
                <c:pt idx="3">
                  <c:v>130.12420331644319</c:v>
                </c:pt>
                <c:pt idx="4">
                  <c:v>200.52433709644509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530.15873015873012</c:v>
                </c:pt>
                <c:pt idx="1">
                  <c:v>528.33333333333337</c:v>
                </c:pt>
                <c:pt idx="2">
                  <c:v>524.44444444444446</c:v>
                </c:pt>
                <c:pt idx="3">
                  <c:v>519.68253968253964</c:v>
                </c:pt>
                <c:pt idx="4">
                  <c:v>513.80952380952385</c:v>
                </c:pt>
                <c:pt idx="5">
                  <c:v>506.42857142857144</c:v>
                </c:pt>
                <c:pt idx="6">
                  <c:v>497.06349206349199</c:v>
                </c:pt>
                <c:pt idx="7">
                  <c:v>485.39682539682542</c:v>
                </c:pt>
                <c:pt idx="8">
                  <c:v>470.39682539682548</c:v>
                </c:pt>
                <c:pt idx="9">
                  <c:v>455.63492063492066</c:v>
                </c:pt>
                <c:pt idx="10">
                  <c:v>437.46031746031753</c:v>
                </c:pt>
                <c:pt idx="11">
                  <c:v>388.73015873015873</c:v>
                </c:pt>
                <c:pt idx="12">
                  <c:v>231.50793650793651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1.8589999675750732</c:v>
                </c:pt>
                <c:pt idx="2">
                  <c:v>3.3899998664855957</c:v>
                </c:pt>
                <c:pt idx="3">
                  <c:v>4.8179998397827148</c:v>
                </c:pt>
                <c:pt idx="4">
                  <c:v>6.2439999580383301</c:v>
                </c:pt>
                <c:pt idx="5">
                  <c:v>7.750999927520752</c:v>
                </c:pt>
                <c:pt idx="6">
                  <c:v>9.4169998168945313</c:v>
                </c:pt>
                <c:pt idx="7">
                  <c:v>11.356999397277832</c:v>
                </c:pt>
                <c:pt idx="8">
                  <c:v>13.811999320983887</c:v>
                </c:pt>
                <c:pt idx="9">
                  <c:v>15.264999389648438</c:v>
                </c:pt>
                <c:pt idx="10">
                  <c:v>16.486000061035156</c:v>
                </c:pt>
                <c:pt idx="11">
                  <c:v>17.065999984741211</c:v>
                </c:pt>
                <c:pt idx="12">
                  <c:v>17.187000274658203</c:v>
                </c:pt>
                <c:pt idx="13">
                  <c:v>18.530000686645508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55424"/>
        <c:axId val="194469888"/>
      </c:scatterChart>
      <c:valAx>
        <c:axId val="194455424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469888"/>
        <c:crossesAt val="0.1"/>
        <c:crossBetween val="midCat"/>
        <c:majorUnit val="100"/>
      </c:valAx>
      <c:valAx>
        <c:axId val="194469888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455424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89.504241943359375</c:v>
                </c:pt>
                <c:pt idx="2">
                  <c:v>93.707366943359375</c:v>
                </c:pt>
                <c:pt idx="3">
                  <c:v>94.92718505859375</c:v>
                </c:pt>
                <c:pt idx="4">
                  <c:v>95.337081909179688</c:v>
                </c:pt>
                <c:pt idx="5">
                  <c:v>95.403312683105398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67.624916076660156</c:v>
                </c:pt>
                <c:pt idx="1">
                  <c:v>84.070976257324219</c:v>
                </c:pt>
                <c:pt idx="2">
                  <c:v>88.603591918945313</c:v>
                </c:pt>
                <c:pt idx="3">
                  <c:v>89.926551818847656</c:v>
                </c:pt>
                <c:pt idx="4">
                  <c:v>89.938148498535156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89.837950079710538</c:v>
                </c:pt>
                <c:pt idx="2">
                  <c:v>79.687823365949839</c:v>
                </c:pt>
                <c:pt idx="3">
                  <c:v>69.380316007310228</c:v>
                </c:pt>
                <c:pt idx="4">
                  <c:v>58.567583359950959</c:v>
                </c:pt>
                <c:pt idx="5">
                  <c:v>47.843932673023915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0.66134999999999999</c:v>
                </c:pt>
                <c:pt idx="1">
                  <c:v>10.424225685435445</c:v>
                </c:pt>
                <c:pt idx="2">
                  <c:v>19.913319441345433</c:v>
                </c:pt>
                <c:pt idx="3">
                  <c:v>29.486149046694148</c:v>
                </c:pt>
                <c:pt idx="4">
                  <c:v>39.145831513653853</c:v>
                </c:pt>
                <c:pt idx="5">
                  <c:v>48.898321359395723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03040"/>
        <c:axId val="195703936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29.693185365706203</c:v>
                </c:pt>
                <c:pt idx="1">
                  <c:v>44.499916076660156</c:v>
                </c:pt>
                <c:pt idx="2">
                  <c:v>68.378517150878906</c:v>
                </c:pt>
                <c:pt idx="3">
                  <c:v>96.070236206054688</c:v>
                </c:pt>
                <c:pt idx="4">
                  <c:v>125.66654968261719</c:v>
                </c:pt>
                <c:pt idx="5">
                  <c:v>156.95390319824219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05856"/>
        <c:axId val="195719936"/>
      </c:scatterChart>
      <c:valAx>
        <c:axId val="19490304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703936"/>
        <c:crossesAt val="0"/>
        <c:crossBetween val="midCat"/>
        <c:majorUnit val="25"/>
        <c:minorUnit val="12.5"/>
      </c:valAx>
      <c:valAx>
        <c:axId val="19570393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903040"/>
        <c:crosses val="autoZero"/>
        <c:crossBetween val="midCat"/>
        <c:majorUnit val="10"/>
        <c:minorUnit val="5"/>
      </c:valAx>
      <c:valAx>
        <c:axId val="19570585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95719936"/>
        <c:crosses val="autoZero"/>
        <c:crossBetween val="midCat"/>
      </c:valAx>
      <c:valAx>
        <c:axId val="195719936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705856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748665</xdr:colOff>
      <xdr:row>39</xdr:row>
      <xdr:rowOff>190500</xdr:rowOff>
    </xdr:from>
    <xdr:to>
      <xdr:col>4</xdr:col>
      <xdr:colOff>775438</xdr:colOff>
      <xdr:row>40</xdr:row>
      <xdr:rowOff>123825</xdr:rowOff>
    </xdr:to>
    <xdr:sp macro="" textlink="">
      <xdr:nvSpPr>
        <xdr:cNvPr id="96" name="Text 219"/>
        <xdr:cNvSpPr txBox="1">
          <a:spLocks noChangeArrowheads="1"/>
        </xdr:cNvSpPr>
      </xdr:nvSpPr>
      <xdr:spPr bwMode="auto">
        <a:xfrm>
          <a:off x="2482215" y="91725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051-TB31</a:t>
          </a:r>
        </a:p>
      </xdr:txBody>
    </xdr:sp>
    <xdr:clientData/>
  </xdr:twoCellAnchor>
  <xdr:twoCellAnchor>
    <xdr:from>
      <xdr:col>1</xdr:col>
      <xdr:colOff>247650</xdr:colOff>
      <xdr:row>39</xdr:row>
      <xdr:rowOff>180975</xdr:rowOff>
    </xdr:from>
    <xdr:to>
      <xdr:col>3</xdr:col>
      <xdr:colOff>851651</xdr:colOff>
      <xdr:row>43</xdr:row>
      <xdr:rowOff>28575</xdr:rowOff>
    </xdr:to>
    <xdr:grpSp>
      <xdr:nvGrpSpPr>
        <xdr:cNvPr id="97" name="Group 96"/>
        <xdr:cNvGrpSpPr/>
      </xdr:nvGrpSpPr>
      <xdr:grpSpPr>
        <a:xfrm>
          <a:off x="1057275" y="9163050"/>
          <a:ext cx="1527926" cy="762000"/>
          <a:chOff x="1085850" y="9144000"/>
          <a:chExt cx="1527926" cy="762000"/>
        </a:xfrm>
      </xdr:grpSpPr>
      <xdr:sp macro="" textlink="">
        <xdr:nvSpPr>
          <xdr:cNvPr id="98" name="Thickness"/>
          <xdr:cNvSpPr txBox="1">
            <a:spLocks noChangeArrowheads="1"/>
          </xdr:cNvSpPr>
        </xdr:nvSpPr>
        <xdr:spPr bwMode="auto">
          <a:xfrm>
            <a:off x="2028825" y="9344025"/>
            <a:ext cx="285750" cy="1047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adius"/>
          <xdr:cNvSpPr txBox="1">
            <a:spLocks noChangeArrowheads="1"/>
          </xdr:cNvSpPr>
        </xdr:nvSpPr>
        <xdr:spPr bwMode="auto">
          <a:xfrm>
            <a:off x="2284095" y="9782175"/>
            <a:ext cx="32968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460.8</a:t>
            </a:r>
          </a:p>
        </xdr:txBody>
      </xdr:sp>
      <xdr:sp macro="" textlink="">
        <xdr:nvSpPr>
          <xdr:cNvPr id="100" name="Clear"/>
          <xdr:cNvSpPr txBox="1">
            <a:spLocks noChangeArrowheads="1"/>
          </xdr:cNvSpPr>
        </xdr:nvSpPr>
        <xdr:spPr bwMode="auto">
          <a:xfrm>
            <a:off x="1400175" y="9525000"/>
            <a:ext cx="254934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101" name="Thickness"/>
          <xdr:cNvSpPr txBox="1">
            <a:spLocks noChangeArrowheads="1"/>
          </xdr:cNvSpPr>
        </xdr:nvSpPr>
        <xdr:spPr bwMode="auto">
          <a:xfrm>
            <a:off x="1617345" y="9667875"/>
            <a:ext cx="438150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30.0</a:t>
            </a:r>
          </a:p>
        </xdr:txBody>
      </xdr:sp>
      <xdr:sp macro="" textlink="">
        <xdr:nvSpPr>
          <xdr:cNvPr id="102" name="Line 116"/>
          <xdr:cNvSpPr>
            <a:spLocks noChangeShapeType="1"/>
          </xdr:cNvSpPr>
        </xdr:nvSpPr>
        <xdr:spPr bwMode="auto">
          <a:xfrm flipV="1">
            <a:off x="1666875" y="96012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17"/>
          <xdr:cNvSpPr>
            <a:spLocks noChangeShapeType="1"/>
          </xdr:cNvSpPr>
        </xdr:nvSpPr>
        <xdr:spPr bwMode="auto">
          <a:xfrm flipV="1">
            <a:off x="1981200" y="961072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18"/>
          <xdr:cNvSpPr>
            <a:spLocks noChangeShapeType="1"/>
          </xdr:cNvSpPr>
        </xdr:nvSpPr>
        <xdr:spPr bwMode="auto">
          <a:xfrm flipV="1">
            <a:off x="1685925" y="964882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1"/>
          <xdr:cNvSpPr>
            <a:spLocks noChangeShapeType="1"/>
          </xdr:cNvSpPr>
        </xdr:nvSpPr>
        <xdr:spPr bwMode="auto">
          <a:xfrm flipV="1">
            <a:off x="1085850" y="914400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122"/>
          <xdr:cNvSpPr>
            <a:spLocks noChangeShapeType="1"/>
          </xdr:cNvSpPr>
        </xdr:nvSpPr>
        <xdr:spPr bwMode="auto">
          <a:xfrm>
            <a:off x="1381125" y="9144000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123"/>
          <xdr:cNvSpPr>
            <a:spLocks noChangeShapeType="1"/>
          </xdr:cNvSpPr>
        </xdr:nvSpPr>
        <xdr:spPr bwMode="auto">
          <a:xfrm flipV="1">
            <a:off x="1390650" y="9496425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Rectangle 124"/>
          <xdr:cNvSpPr>
            <a:spLocks noChangeArrowheads="1"/>
          </xdr:cNvSpPr>
        </xdr:nvSpPr>
        <xdr:spPr bwMode="auto">
          <a:xfrm>
            <a:off x="1666875" y="9153525"/>
            <a:ext cx="314325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" name="Line 125"/>
          <xdr:cNvSpPr>
            <a:spLocks noChangeShapeType="1"/>
          </xdr:cNvSpPr>
        </xdr:nvSpPr>
        <xdr:spPr bwMode="auto">
          <a:xfrm>
            <a:off x="1381125" y="94297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6"/>
          <xdr:cNvSpPr>
            <a:spLocks noChangeShapeType="1"/>
          </xdr:cNvSpPr>
        </xdr:nvSpPr>
        <xdr:spPr bwMode="auto">
          <a:xfrm>
            <a:off x="1381125" y="917257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7"/>
          <xdr:cNvSpPr>
            <a:spLocks noChangeShapeType="1"/>
          </xdr:cNvSpPr>
        </xdr:nvSpPr>
        <xdr:spPr bwMode="auto">
          <a:xfrm>
            <a:off x="2028825" y="9582150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128"/>
          <xdr:cNvSpPr>
            <a:spLocks noChangeShapeType="1"/>
          </xdr:cNvSpPr>
        </xdr:nvSpPr>
        <xdr:spPr bwMode="auto">
          <a:xfrm flipV="1">
            <a:off x="2362200" y="9582150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29"/>
          <xdr:cNvSpPr>
            <a:spLocks noChangeShapeType="1"/>
          </xdr:cNvSpPr>
        </xdr:nvSpPr>
        <xdr:spPr bwMode="auto">
          <a:xfrm>
            <a:off x="2009775" y="9153525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Thickness"/>
          <xdr:cNvSpPr txBox="1">
            <a:spLocks noChangeArrowheads="1"/>
          </xdr:cNvSpPr>
        </xdr:nvSpPr>
        <xdr:spPr bwMode="auto">
          <a:xfrm>
            <a:off x="2026920" y="9344025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5" name="Line 131"/>
          <xdr:cNvSpPr>
            <a:spLocks noChangeShapeType="1"/>
          </xdr:cNvSpPr>
        </xdr:nvSpPr>
        <xdr:spPr bwMode="auto">
          <a:xfrm flipV="1">
            <a:off x="2162175" y="9153525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32"/>
          <xdr:cNvSpPr>
            <a:spLocks noChangeShapeType="1"/>
          </xdr:cNvSpPr>
        </xdr:nvSpPr>
        <xdr:spPr bwMode="auto">
          <a:xfrm>
            <a:off x="2171700" y="9458325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748665</xdr:colOff>
      <xdr:row>33</xdr:row>
      <xdr:rowOff>152400</xdr:rowOff>
    </xdr:from>
    <xdr:to>
      <xdr:col>4</xdr:col>
      <xdr:colOff>775438</xdr:colOff>
      <xdr:row>34</xdr:row>
      <xdr:rowOff>85725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482215" y="77628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411-TB31</a:t>
          </a:r>
        </a:p>
      </xdr:txBody>
    </xdr:sp>
    <xdr:clientData/>
  </xdr:twoCellAnchor>
  <xdr:twoCellAnchor>
    <xdr:from>
      <xdr:col>3</xdr:col>
      <xdr:colOff>739140</xdr:colOff>
      <xdr:row>27</xdr:row>
      <xdr:rowOff>190500</xdr:rowOff>
    </xdr:from>
    <xdr:to>
      <xdr:col>4</xdr:col>
      <xdr:colOff>765913</xdr:colOff>
      <xdr:row>28</xdr:row>
      <xdr:rowOff>123825</xdr:rowOff>
    </xdr:to>
    <xdr:sp macro="" textlink="">
      <xdr:nvSpPr>
        <xdr:cNvPr id="118" name="Text 219"/>
        <xdr:cNvSpPr txBox="1">
          <a:spLocks noChangeArrowheads="1"/>
        </xdr:cNvSpPr>
      </xdr:nvSpPr>
      <xdr:spPr bwMode="auto">
        <a:xfrm>
          <a:off x="2472690" y="64293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0.58506</cdr:x>
      <cdr:y>0.60957</cdr:y>
    </cdr:from>
    <cdr:to>
      <cdr:x>0.82091</cdr:x>
      <cdr:y>0.63026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21609" y="392495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0.56714</cdr:x>
      <cdr:y>0.51721</cdr:y>
    </cdr:from>
    <cdr:to>
      <cdr:x>0.84996</cdr:x>
      <cdr:y>0.54234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16834" y="333028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647700</xdr:colOff>
      <xdr:row>16</xdr:row>
      <xdr:rowOff>85724</xdr:rowOff>
    </xdr:from>
    <xdr:to>
      <xdr:col>1</xdr:col>
      <xdr:colOff>19050</xdr:colOff>
      <xdr:row>17</xdr:row>
      <xdr:rowOff>133350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47700" y="3981449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638175</xdr:colOff>
      <xdr:row>18</xdr:row>
      <xdr:rowOff>28574</xdr:rowOff>
    </xdr:from>
    <xdr:to>
      <xdr:col>1</xdr:col>
      <xdr:colOff>9525</xdr:colOff>
      <xdr:row>19</xdr:row>
      <xdr:rowOff>76200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38175" y="4400549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628650</xdr:colOff>
      <xdr:row>19</xdr:row>
      <xdr:rowOff>200024</xdr:rowOff>
    </xdr:from>
    <xdr:to>
      <xdr:col>1</xdr:col>
      <xdr:colOff>0</xdr:colOff>
      <xdr:row>21</xdr:row>
      <xdr:rowOff>9525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28650" y="4810124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628650</xdr:colOff>
      <xdr:row>21</xdr:row>
      <xdr:rowOff>133349</xdr:rowOff>
    </xdr:from>
    <xdr:to>
      <xdr:col>1</xdr:col>
      <xdr:colOff>0</xdr:colOff>
      <xdr:row>22</xdr:row>
      <xdr:rowOff>180975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28650" y="5219699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638175</xdr:colOff>
      <xdr:row>23</xdr:row>
      <xdr:rowOff>66674</xdr:rowOff>
    </xdr:from>
    <xdr:to>
      <xdr:col>1</xdr:col>
      <xdr:colOff>9525</xdr:colOff>
      <xdr:row>24</xdr:row>
      <xdr:rowOff>114300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38175" y="5629274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638175</xdr:colOff>
      <xdr:row>24</xdr:row>
      <xdr:rowOff>238124</xdr:rowOff>
    </xdr:from>
    <xdr:to>
      <xdr:col>1</xdr:col>
      <xdr:colOff>9525</xdr:colOff>
      <xdr:row>26</xdr:row>
      <xdr:rowOff>47625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38175" y="6038849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628650</xdr:colOff>
      <xdr:row>26</xdr:row>
      <xdr:rowOff>171449</xdr:rowOff>
    </xdr:from>
    <xdr:to>
      <xdr:col>1</xdr:col>
      <xdr:colOff>0</xdr:colOff>
      <xdr:row>27</xdr:row>
      <xdr:rowOff>219075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28650" y="6448424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619125</xdr:colOff>
      <xdr:row>28</xdr:row>
      <xdr:rowOff>104774</xdr:rowOff>
    </xdr:from>
    <xdr:to>
      <xdr:col>0</xdr:col>
      <xdr:colOff>1104900</xdr:colOff>
      <xdr:row>29</xdr:row>
      <xdr:rowOff>152400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19125" y="6857999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619125</xdr:colOff>
      <xdr:row>30</xdr:row>
      <xdr:rowOff>47624</xdr:rowOff>
    </xdr:from>
    <xdr:to>
      <xdr:col>0</xdr:col>
      <xdr:colOff>1104900</xdr:colOff>
      <xdr:row>31</xdr:row>
      <xdr:rowOff>95250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19125" y="7277099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619125</xdr:colOff>
      <xdr:row>31</xdr:row>
      <xdr:rowOff>219074</xdr:rowOff>
    </xdr:from>
    <xdr:to>
      <xdr:col>0</xdr:col>
      <xdr:colOff>1104900</xdr:colOff>
      <xdr:row>33</xdr:row>
      <xdr:rowOff>28575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19125" y="7686674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628650</xdr:colOff>
      <xdr:row>33</xdr:row>
      <xdr:rowOff>152399</xdr:rowOff>
    </xdr:from>
    <xdr:to>
      <xdr:col>1</xdr:col>
      <xdr:colOff>0</xdr:colOff>
      <xdr:row>34</xdr:row>
      <xdr:rowOff>200025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28650" y="8096249"/>
          <a:ext cx="485775" cy="285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323851</xdr:colOff>
      <xdr:row>16</xdr:row>
      <xdr:rowOff>85725</xdr:rowOff>
    </xdr:from>
    <xdr:to>
      <xdr:col>5</xdr:col>
      <xdr:colOff>809625</xdr:colOff>
      <xdr:row>17</xdr:row>
      <xdr:rowOff>76200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895976" y="3981450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348762</xdr:colOff>
      <xdr:row>24</xdr:row>
      <xdr:rowOff>238124</xdr:rowOff>
    </xdr:from>
    <xdr:to>
      <xdr:col>5</xdr:col>
      <xdr:colOff>896814</xdr:colOff>
      <xdr:row>26</xdr:row>
      <xdr:rowOff>1905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20887" y="6038849"/>
          <a:ext cx="548052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</a:t>
          </a:r>
        </a:p>
      </xdr:txBody>
    </xdr:sp>
    <xdr:clientData/>
  </xdr:twoCellAnchor>
  <xdr:twoCellAnchor>
    <xdr:from>
      <xdr:col>5</xdr:col>
      <xdr:colOff>342901</xdr:colOff>
      <xdr:row>26</xdr:row>
      <xdr:rowOff>180975</xdr:rowOff>
    </xdr:from>
    <xdr:to>
      <xdr:col>5</xdr:col>
      <xdr:colOff>828675</xdr:colOff>
      <xdr:row>27</xdr:row>
      <xdr:rowOff>171450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15026" y="6457950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352426</xdr:colOff>
      <xdr:row>28</xdr:row>
      <xdr:rowOff>114300</xdr:rowOff>
    </xdr:from>
    <xdr:to>
      <xdr:col>5</xdr:col>
      <xdr:colOff>838200</xdr:colOff>
      <xdr:row>29</xdr:row>
      <xdr:rowOff>104775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24551" y="6867525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342901</xdr:colOff>
      <xdr:row>30</xdr:row>
      <xdr:rowOff>38100</xdr:rowOff>
    </xdr:from>
    <xdr:to>
      <xdr:col>5</xdr:col>
      <xdr:colOff>828675</xdr:colOff>
      <xdr:row>31</xdr:row>
      <xdr:rowOff>28575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15026" y="7267575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342901</xdr:colOff>
      <xdr:row>31</xdr:row>
      <xdr:rowOff>219075</xdr:rowOff>
    </xdr:from>
    <xdr:to>
      <xdr:col>5</xdr:col>
      <xdr:colOff>828675</xdr:colOff>
      <xdr:row>32</xdr:row>
      <xdr:rowOff>209550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15026" y="7686675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</a:t>
          </a:r>
        </a:p>
      </xdr:txBody>
    </xdr:sp>
    <xdr:clientData/>
  </xdr:twoCellAnchor>
  <xdr:twoCellAnchor>
    <xdr:from>
      <xdr:col>5</xdr:col>
      <xdr:colOff>742950</xdr:colOff>
      <xdr:row>23</xdr:row>
      <xdr:rowOff>9525</xdr:rowOff>
    </xdr:from>
    <xdr:to>
      <xdr:col>5</xdr:col>
      <xdr:colOff>962025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315075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342901</xdr:colOff>
      <xdr:row>23</xdr:row>
      <xdr:rowOff>66675</xdr:rowOff>
    </xdr:from>
    <xdr:to>
      <xdr:col>5</xdr:col>
      <xdr:colOff>828675</xdr:colOff>
      <xdr:row>24</xdr:row>
      <xdr:rowOff>57150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15026" y="5629275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342901</xdr:colOff>
      <xdr:row>21</xdr:row>
      <xdr:rowOff>133350</xdr:rowOff>
    </xdr:from>
    <xdr:to>
      <xdr:col>5</xdr:col>
      <xdr:colOff>828675</xdr:colOff>
      <xdr:row>22</xdr:row>
      <xdr:rowOff>123825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15026" y="5219700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1400</a:t>
          </a:r>
        </a:p>
      </xdr:txBody>
    </xdr:sp>
    <xdr:clientData/>
  </xdr:twoCellAnchor>
  <xdr:twoCellAnchor>
    <xdr:from>
      <xdr:col>5</xdr:col>
      <xdr:colOff>333376</xdr:colOff>
      <xdr:row>19</xdr:row>
      <xdr:rowOff>200025</xdr:rowOff>
    </xdr:from>
    <xdr:to>
      <xdr:col>5</xdr:col>
      <xdr:colOff>819150</xdr:colOff>
      <xdr:row>20</xdr:row>
      <xdr:rowOff>190500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05501" y="4810125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333376</xdr:colOff>
      <xdr:row>18</xdr:row>
      <xdr:rowOff>28575</xdr:rowOff>
    </xdr:from>
    <xdr:to>
      <xdr:col>5</xdr:col>
      <xdr:colOff>819150</xdr:colOff>
      <xdr:row>19</xdr:row>
      <xdr:rowOff>19050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05501" y="4400550"/>
          <a:ext cx="485774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904875</xdr:colOff>
      <xdr:row>18</xdr:row>
      <xdr:rowOff>161925</xdr:rowOff>
    </xdr:from>
    <xdr:to>
      <xdr:col>4</xdr:col>
      <xdr:colOff>123825</xdr:colOff>
      <xdr:row>19</xdr:row>
      <xdr:rowOff>95250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48150" y="453390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114300</xdr:colOff>
      <xdr:row>22</xdr:row>
      <xdr:rowOff>57150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457575" y="53816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904875</xdr:colOff>
      <xdr:row>30</xdr:row>
      <xdr:rowOff>200025</xdr:rowOff>
    </xdr:from>
    <xdr:to>
      <xdr:col>3</xdr:col>
      <xdr:colOff>295275</xdr:colOff>
      <xdr:row>31</xdr:row>
      <xdr:rowOff>114300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133725" y="7429500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331910</xdr:colOff>
      <xdr:row>33</xdr:row>
      <xdr:rowOff>142874</xdr:rowOff>
    </xdr:from>
    <xdr:to>
      <xdr:col>5</xdr:col>
      <xdr:colOff>842595</xdr:colOff>
      <xdr:row>34</xdr:row>
      <xdr:rowOff>144780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04035" y="8086724"/>
          <a:ext cx="510685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opLeftCell="A7" zoomScale="95" zoomScaleNormal="95" workbookViewId="0">
      <selection activeCell="L1" sqref="L1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41992</v>
      </c>
      <c r="I3" s="51" t="s">
        <v>3</v>
      </c>
      <c r="J3" s="152">
        <v>0.55641203703703701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6</v>
      </c>
      <c r="B5" s="115">
        <v>1000</v>
      </c>
      <c r="C5" s="145">
        <v>1200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236</v>
      </c>
      <c r="I5" s="79" t="s">
        <v>241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24.652754861111109</v>
      </c>
      <c r="J7" s="108" t="s">
        <v>19</v>
      </c>
    </row>
    <row r="8" spans="1:10" ht="15" customHeight="1">
      <c r="A8" s="7" t="s">
        <v>20</v>
      </c>
      <c r="B8" s="71">
        <v>2.0999999046325684</v>
      </c>
      <c r="C8" s="54"/>
      <c r="D8" s="7"/>
      <c r="E8" s="53"/>
      <c r="F8" s="4"/>
      <c r="G8" s="17"/>
      <c r="H8" s="11" t="s">
        <v>21</v>
      </c>
      <c r="I8" s="70">
        <v>30.375925389641562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184</v>
      </c>
      <c r="F9" s="109" t="s">
        <v>25</v>
      </c>
      <c r="G9" s="31"/>
      <c r="H9" s="11" t="s">
        <v>26</v>
      </c>
      <c r="I9" s="71">
        <v>27.514340125376336</v>
      </c>
      <c r="J9" s="106">
        <v>704.24237881643421</v>
      </c>
    </row>
    <row r="10" spans="1:10" ht="15" customHeight="1">
      <c r="A10" s="7" t="s">
        <v>27</v>
      </c>
      <c r="B10" s="71">
        <v>714</v>
      </c>
      <c r="C10" s="75">
        <v>714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15.415946412936849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560.80000019073486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29.536694638980546</v>
      </c>
      <c r="J11" s="106">
        <v>29129.530186057553</v>
      </c>
    </row>
    <row r="12" spans="1:10" ht="15" customHeight="1">
      <c r="A12" s="7" t="s">
        <v>33</v>
      </c>
      <c r="B12" s="71">
        <v>565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1.2038173927124192</v>
      </c>
      <c r="J12" s="105" t="s">
        <v>36</v>
      </c>
    </row>
    <row r="13" spans="1:10" ht="15" customHeight="1" thickBot="1">
      <c r="A13" s="7" t="s">
        <v>37</v>
      </c>
      <c r="B13" s="71">
        <v>63</v>
      </c>
      <c r="C13" s="75">
        <v>93.850000858306885</v>
      </c>
      <c r="D13" s="7" t="s">
        <v>38</v>
      </c>
      <c r="E13" s="72">
        <v>20</v>
      </c>
      <c r="F13" s="126"/>
      <c r="G13" s="118" t="s">
        <v>191</v>
      </c>
      <c r="H13" s="11" t="s">
        <v>40</v>
      </c>
      <c r="I13" s="70">
        <v>1.0284131572919286</v>
      </c>
      <c r="J13" s="106">
        <v>123.41661071777344</v>
      </c>
    </row>
    <row r="14" spans="1:10" ht="15" customHeight="1" thickBot="1">
      <c r="A14" s="136" t="s">
        <v>41</v>
      </c>
      <c r="B14" s="137">
        <v>535.67999267578125</v>
      </c>
      <c r="C14" s="138">
        <v>535.67999267578125</v>
      </c>
      <c r="D14" s="7" t="s">
        <v>42</v>
      </c>
      <c r="E14" s="53" t="s">
        <v>185</v>
      </c>
      <c r="F14" s="53" t="s">
        <v>193</v>
      </c>
      <c r="G14" s="118" t="s">
        <v>192</v>
      </c>
      <c r="H14" s="51" t="s">
        <v>43</v>
      </c>
      <c r="I14" s="70">
        <v>1.2380216456423165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0.96589165240170005</v>
      </c>
      <c r="J15" s="106">
        <v>19.245572916666667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0.95749474318512517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0.92483617966102194</v>
      </c>
      <c r="J17" s="106">
        <v>500.61995672726613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1249</v>
      </c>
      <c r="F18" s="72">
        <v>845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62</v>
      </c>
      <c r="C19" s="75">
        <v>36.549999237060547</v>
      </c>
      <c r="D19" s="7" t="s">
        <v>59</v>
      </c>
      <c r="E19" s="72">
        <v>240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>
        <v>12.050000190734863</v>
      </c>
      <c r="D20" s="7" t="s">
        <v>166</v>
      </c>
      <c r="E20" s="69">
        <v>0.14186764035811142</v>
      </c>
      <c r="F20" s="53"/>
      <c r="G20" s="54"/>
      <c r="H20" s="11" t="s">
        <v>63</v>
      </c>
      <c r="I20" s="70">
        <v>19.990598678588867</v>
      </c>
      <c r="J20" s="74">
        <v>19.990598678588867</v>
      </c>
    </row>
    <row r="21" spans="1:10" ht="15" customHeight="1">
      <c r="A21" s="7" t="s">
        <v>64</v>
      </c>
      <c r="B21" s="71">
        <v>13.199999809265137</v>
      </c>
      <c r="C21" s="75">
        <v>3.5</v>
      </c>
      <c r="D21" s="11" t="s">
        <v>187</v>
      </c>
      <c r="E21" s="69">
        <v>0.18924975992761817</v>
      </c>
      <c r="F21" s="69">
        <v>0.12118992954492569</v>
      </c>
      <c r="G21" s="73">
        <v>2.1739555462509299E-2</v>
      </c>
      <c r="H21" s="11" t="s">
        <v>65</v>
      </c>
      <c r="I21" s="70">
        <v>13.686985969543457</v>
      </c>
      <c r="J21" s="74">
        <v>8.2394533157348633</v>
      </c>
    </row>
    <row r="22" spans="1:10" ht="15" customHeight="1">
      <c r="A22" s="7" t="s">
        <v>66</v>
      </c>
      <c r="B22" s="71">
        <v>2.8299999237060547</v>
      </c>
      <c r="C22" s="75">
        <v>1.5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6.9207906723022461</v>
      </c>
      <c r="J22" s="74">
        <v>5.3497710227966309</v>
      </c>
    </row>
    <row r="23" spans="1:10" ht="15" customHeight="1">
      <c r="A23" s="7" t="s">
        <v>69</v>
      </c>
      <c r="B23" s="71">
        <v>11.452754974365234</v>
      </c>
      <c r="C23" s="75">
        <v>14.371195793151855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7.9754282424844938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3.8615827479324647</v>
      </c>
      <c r="J24" s="74">
        <v>3.1777188231479565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0.33217924833297729</v>
      </c>
      <c r="J25" s="74">
        <v>0.63747769594192505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294.26268539578194</v>
      </c>
      <c r="F26" s="71">
        <v>189.49035731792449</v>
      </c>
      <c r="G26" s="75">
        <v>43.799240591961784</v>
      </c>
      <c r="H26" s="11" t="s">
        <v>80</v>
      </c>
      <c r="I26" s="70">
        <v>3.8052787780761719</v>
      </c>
      <c r="J26" s="74">
        <v>3.2323226928710937</v>
      </c>
    </row>
    <row r="27" spans="1:10" ht="15" customHeight="1" thickBot="1">
      <c r="A27" s="7" t="s">
        <v>81</v>
      </c>
      <c r="B27" s="53" t="s">
        <v>183</v>
      </c>
      <c r="C27" s="54" t="s">
        <v>183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3.8197498321533203</v>
      </c>
      <c r="J27" s="83">
        <v>3.2945845127105713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21.336632083333335</v>
      </c>
      <c r="F30" s="71">
        <v>674.95679077148441</v>
      </c>
      <c r="G30" s="71">
        <v>11.573263502150976</v>
      </c>
      <c r="H30" s="76">
        <v>125.652271270339</v>
      </c>
      <c r="I30" s="72">
        <v>79728.450162424022</v>
      </c>
      <c r="J30" s="76">
        <v>3584.0637241361901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6.2</v>
      </c>
      <c r="F31" s="71">
        <v>736.20140409425835</v>
      </c>
      <c r="G31" s="71">
        <v>10.610483420328341</v>
      </c>
      <c r="H31" s="76">
        <v>27.642895342820548</v>
      </c>
      <c r="I31" s="72">
        <v>27386.69223230641</v>
      </c>
      <c r="J31" s="76">
        <v>1069.5337565389316</v>
      </c>
    </row>
    <row r="32" spans="1:10" ht="15" customHeight="1">
      <c r="A32" s="7" t="s">
        <v>98</v>
      </c>
      <c r="B32" s="70" t="s">
        <v>243</v>
      </c>
      <c r="C32" s="112"/>
      <c r="D32" s="11" t="s">
        <v>99</v>
      </c>
      <c r="E32" s="71">
        <v>12.76794540327414</v>
      </c>
      <c r="F32" s="71">
        <v>1005.4713554479979</v>
      </c>
      <c r="G32" s="71">
        <v>7.7689461264504169</v>
      </c>
      <c r="H32" s="76">
        <v>28.776636972144377</v>
      </c>
      <c r="I32" s="10" t="s">
        <v>100</v>
      </c>
      <c r="J32" s="76">
        <v>4653.5974806751219</v>
      </c>
    </row>
    <row r="33" spans="1:10" ht="15" customHeight="1">
      <c r="A33" s="7" t="s">
        <v>101</v>
      </c>
      <c r="B33" s="70" t="s">
        <v>244</v>
      </c>
      <c r="C33" s="113" t="s">
        <v>102</v>
      </c>
      <c r="D33" s="11" t="s">
        <v>97</v>
      </c>
      <c r="E33" s="71">
        <v>3.6549999237060549</v>
      </c>
      <c r="F33" s="71">
        <v>744.1749988643877</v>
      </c>
      <c r="G33" s="71">
        <v>10.496795517297494</v>
      </c>
      <c r="H33" s="76">
        <v>15.887425791343102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245</v>
      </c>
      <c r="C34" s="114">
        <v>7.8114527921645731</v>
      </c>
      <c r="D34" s="12" t="s">
        <v>20</v>
      </c>
      <c r="E34" s="81">
        <v>0.20999999046325685</v>
      </c>
      <c r="F34" s="82">
        <v>1376.3882255192098</v>
      </c>
      <c r="G34" s="82">
        <v>5.675326660991951</v>
      </c>
      <c r="H34" s="85">
        <v>948.419864371367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225</v>
      </c>
      <c r="C37" s="71" t="s">
        <v>226</v>
      </c>
      <c r="D37" s="71" t="s">
        <v>227</v>
      </c>
      <c r="E37" s="71" t="s">
        <v>228</v>
      </c>
      <c r="F37" s="75" t="s">
        <v>229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219</v>
      </c>
      <c r="G38" s="18" t="s">
        <v>116</v>
      </c>
      <c r="H38" s="85" t="s">
        <v>207</v>
      </c>
      <c r="I38" s="141" t="s">
        <v>214</v>
      </c>
      <c r="J38" s="86">
        <v>10991.955078125</v>
      </c>
    </row>
    <row r="39" spans="1:10" ht="15" customHeight="1">
      <c r="A39" s="7" t="s">
        <v>117</v>
      </c>
      <c r="B39" s="70" t="s">
        <v>220</v>
      </c>
      <c r="C39" s="70" t="s">
        <v>221</v>
      </c>
      <c r="D39" s="70" t="s">
        <v>222</v>
      </c>
      <c r="E39" s="70" t="s">
        <v>223</v>
      </c>
      <c r="F39" s="74" t="s">
        <v>224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238</v>
      </c>
      <c r="C40" s="69" t="s">
        <v>239</v>
      </c>
      <c r="D40" s="69" t="s">
        <v>240</v>
      </c>
      <c r="E40" s="69" t="s">
        <v>241</v>
      </c>
      <c r="F40" s="73" t="s">
        <v>242</v>
      </c>
      <c r="G40" s="37" t="s">
        <v>121</v>
      </c>
      <c r="H40" s="93" t="s">
        <v>246</v>
      </c>
      <c r="I40" s="57"/>
      <c r="J40" s="58"/>
    </row>
    <row r="41" spans="1:10" ht="15" customHeight="1">
      <c r="A41" s="7" t="s">
        <v>5</v>
      </c>
      <c r="B41" s="72" t="s">
        <v>233</v>
      </c>
      <c r="C41" s="72" t="s">
        <v>234</v>
      </c>
      <c r="D41" s="72" t="s">
        <v>235</v>
      </c>
      <c r="E41" s="72" t="s">
        <v>236</v>
      </c>
      <c r="F41" s="76" t="s">
        <v>237</v>
      </c>
      <c r="G41" s="38" t="s">
        <v>122</v>
      </c>
      <c r="H41" s="94" t="s">
        <v>247</v>
      </c>
      <c r="I41" s="59"/>
      <c r="J41" s="60"/>
    </row>
    <row r="42" spans="1:10" ht="15" customHeight="1">
      <c r="A42" s="7" t="s">
        <v>123</v>
      </c>
      <c r="B42" s="70">
        <v>7.5006616332433564</v>
      </c>
      <c r="C42" s="70">
        <v>7.5006616332433564</v>
      </c>
      <c r="D42" s="70">
        <v>7.5006616332433564</v>
      </c>
      <c r="E42" s="70">
        <v>7.5006616332433564</v>
      </c>
      <c r="F42" s="74">
        <v>7.5006616332433564</v>
      </c>
      <c r="G42" s="37" t="s">
        <v>124</v>
      </c>
      <c r="H42" s="93" t="s">
        <v>248</v>
      </c>
      <c r="I42" s="57"/>
      <c r="J42" s="99">
        <v>0.19349835795193959</v>
      </c>
    </row>
    <row r="43" spans="1:10" ht="15" customHeight="1" thickBot="1">
      <c r="A43" s="18" t="s">
        <v>125</v>
      </c>
      <c r="B43" s="81">
        <v>7.5006616332433564</v>
      </c>
      <c r="C43" s="81"/>
      <c r="D43" s="81" t="s">
        <v>251</v>
      </c>
      <c r="E43" s="81"/>
      <c r="F43" s="83"/>
      <c r="G43" s="38" t="s">
        <v>122</v>
      </c>
      <c r="H43" s="94" t="s">
        <v>249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1905.637395133831</v>
      </c>
      <c r="I44" s="92">
        <v>3.7514479919500174E-2</v>
      </c>
      <c r="J44" s="99">
        <v>0.63278149387892246</v>
      </c>
    </row>
    <row r="45" spans="1:10" ht="15" customHeight="1">
      <c r="A45" s="7" t="s">
        <v>129</v>
      </c>
      <c r="B45" s="70">
        <v>0.25795397162437439</v>
      </c>
      <c r="C45" s="5" t="s">
        <v>130</v>
      </c>
      <c r="D45" s="74">
        <v>1.0095065459609032E-2</v>
      </c>
      <c r="E45" s="7" t="s">
        <v>131</v>
      </c>
      <c r="F45" s="76">
        <v>731.79765918651685</v>
      </c>
      <c r="G45" s="39" t="s">
        <v>122</v>
      </c>
      <c r="H45" s="88" t="s">
        <v>250</v>
      </c>
      <c r="I45" s="61"/>
      <c r="J45" s="62"/>
    </row>
    <row r="46" spans="1:10" ht="15" customHeight="1">
      <c r="A46" s="7" t="s">
        <v>132</v>
      </c>
      <c r="B46" s="70">
        <v>0.18606448173522949</v>
      </c>
      <c r="C46" s="5" t="s">
        <v>133</v>
      </c>
      <c r="D46" s="74">
        <v>6.9887395948171616E-3</v>
      </c>
      <c r="E46" s="7" t="s">
        <v>134</v>
      </c>
      <c r="F46" s="76">
        <v>1311.2687736423877</v>
      </c>
      <c r="G46" s="38" t="s">
        <v>135</v>
      </c>
      <c r="H46" s="96">
        <v>418.35730522833722</v>
      </c>
      <c r="I46" s="59"/>
      <c r="J46" s="60"/>
    </row>
    <row r="47" spans="1:10" ht="15" customHeight="1">
      <c r="A47" s="7" t="s">
        <v>136</v>
      </c>
      <c r="B47" s="70">
        <v>0.44401845335960388</v>
      </c>
      <c r="C47" s="5" t="s">
        <v>137</v>
      </c>
      <c r="D47" s="74">
        <v>1.3560322113335133E-2</v>
      </c>
      <c r="E47" s="7" t="s">
        <v>138</v>
      </c>
      <c r="F47" s="76">
        <v>1074.2755536261434</v>
      </c>
      <c r="G47" s="66" t="s">
        <v>139</v>
      </c>
      <c r="H47" s="95">
        <v>1835.5528338194342</v>
      </c>
      <c r="I47" s="92">
        <v>3.6068900287123756E-2</v>
      </c>
      <c r="J47" s="97">
        <v>0.64606897599586754</v>
      </c>
    </row>
    <row r="48" spans="1:10" ht="15" customHeight="1">
      <c r="A48" s="7" t="s">
        <v>140</v>
      </c>
      <c r="B48" s="70">
        <v>1.1116281151771545E-2</v>
      </c>
      <c r="C48" s="5" t="s">
        <v>100</v>
      </c>
      <c r="D48" s="74">
        <v>4.1760407388210297E-2</v>
      </c>
      <c r="E48" s="7" t="s">
        <v>141</v>
      </c>
      <c r="F48" s="76">
        <v>324.69970975347803</v>
      </c>
      <c r="G48" s="67" t="s">
        <v>122</v>
      </c>
      <c r="H48" s="88">
        <v>246.05265868893221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0.95823961496353149</v>
      </c>
      <c r="E49" s="18" t="s">
        <v>143</v>
      </c>
      <c r="F49" s="85">
        <v>703.7477395895595</v>
      </c>
      <c r="G49" s="68" t="s">
        <v>135</v>
      </c>
      <c r="H49" s="96">
        <v>410.06684601337048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6.2457812820576088E-2</v>
      </c>
      <c r="I51" s="46" t="s">
        <v>149</v>
      </c>
      <c r="J51" s="40"/>
    </row>
    <row r="52" spans="1:10" ht="15" customHeight="1">
      <c r="A52" s="11" t="s">
        <v>58</v>
      </c>
      <c r="B52" s="71">
        <v>36.549999237060547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181150.06476322268</v>
      </c>
      <c r="I52" s="100" t="s">
        <v>230</v>
      </c>
      <c r="J52" s="64"/>
    </row>
    <row r="53" spans="1:10" ht="15" customHeight="1">
      <c r="A53" s="11" t="s">
        <v>64</v>
      </c>
      <c r="B53" s="71">
        <v>3.5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205.0959068400623</v>
      </c>
      <c r="I53" s="45" t="s">
        <v>154</v>
      </c>
      <c r="J53" s="40"/>
    </row>
    <row r="54" spans="1:10" ht="15" customHeight="1">
      <c r="A54" s="11" t="s">
        <v>66</v>
      </c>
      <c r="B54" s="71">
        <v>1.5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382593.60000000003</v>
      </c>
      <c r="I54" s="101" t="s">
        <v>231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232</v>
      </c>
      <c r="J56" s="63" t="s">
        <v>195</v>
      </c>
    </row>
    <row r="57" spans="1:10" ht="15" customHeight="1">
      <c r="A57" s="24" t="s">
        <v>396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397</v>
      </c>
      <c r="D58" s="4" t="s">
        <v>119</v>
      </c>
      <c r="E58" s="4" t="s">
        <v>165</v>
      </c>
      <c r="F58" s="17" t="s">
        <v>398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0.23144093155860901</v>
      </c>
      <c r="D59" s="130">
        <v>0.68736839294433594</v>
      </c>
      <c r="E59" s="88">
        <v>75.893659599318482</v>
      </c>
      <c r="F59" s="89">
        <v>517.11724853515625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102.4610838931364</v>
      </c>
      <c r="C60" s="89">
        <v>111.25931549072266</v>
      </c>
      <c r="D60" s="130">
        <v>0.79157894849777222</v>
      </c>
      <c r="E60" s="88">
        <v>75.41872925513357</v>
      </c>
      <c r="F60" s="89">
        <v>522.281005859375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220</v>
      </c>
      <c r="C61" s="89">
        <v>351.8187255859375</v>
      </c>
      <c r="D61" s="130">
        <v>0.89578944444656372</v>
      </c>
      <c r="E61" s="88">
        <v>75.147376295854428</v>
      </c>
      <c r="F61" s="89">
        <v>526.55633544921875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130.56003483997017</v>
      </c>
      <c r="C62" s="89">
        <v>425.69918823242187</v>
      </c>
      <c r="D62" s="131">
        <v>1</v>
      </c>
      <c r="E62" s="88">
        <v>75</v>
      </c>
      <c r="F62" s="89">
        <v>530.15875244140625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103.76289714222565</v>
      </c>
      <c r="C63" s="89">
        <v>449.280517578125</v>
      </c>
      <c r="D63" s="390"/>
      <c r="E63" s="391"/>
      <c r="F63" s="392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91.448607484119805</v>
      </c>
      <c r="C64" s="89">
        <v>461.92501831054687</v>
      </c>
      <c r="D64" s="393" t="s">
        <v>431</v>
      </c>
      <c r="E64" s="394"/>
      <c r="F64" s="394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83.711282990576976</v>
      </c>
      <c r="C65" s="89">
        <v>478.90740966796875</v>
      </c>
      <c r="D65" s="395" t="s">
        <v>415</v>
      </c>
      <c r="E65" s="397" t="s">
        <v>429</v>
      </c>
      <c r="F65" s="398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80.089108238425339</v>
      </c>
      <c r="C66" s="89">
        <v>491.82492065429687</v>
      </c>
      <c r="D66" s="395" t="s">
        <v>412</v>
      </c>
      <c r="E66" s="397" t="s">
        <v>430</v>
      </c>
      <c r="F66" s="398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77.98706222753124</v>
      </c>
      <c r="C67" s="89">
        <v>502.3031005859375</v>
      </c>
      <c r="D67" s="395" t="s">
        <v>419</v>
      </c>
      <c r="E67" s="397" t="s">
        <v>432</v>
      </c>
      <c r="F67" s="398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76.686298036815217</v>
      </c>
      <c r="C68" s="91">
        <v>510.51071166992187</v>
      </c>
      <c r="D68" s="396" t="s">
        <v>420</v>
      </c>
      <c r="E68" s="399" t="s">
        <v>433</v>
      </c>
      <c r="F68" s="399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89" t="s">
        <v>428</v>
      </c>
      <c r="B99" s="389"/>
      <c r="C99" s="389"/>
      <c r="D99" s="389"/>
      <c r="E99" s="389"/>
      <c r="F99" s="389"/>
      <c r="G99" s="389"/>
      <c r="H99" s="389"/>
      <c r="I99" s="389"/>
    </row>
    <row r="100" spans="1:9">
      <c r="A100" s="389">
        <v>100</v>
      </c>
      <c r="B100" s="389"/>
      <c r="C100" s="389"/>
      <c r="D100" s="389"/>
      <c r="E100" s="389"/>
      <c r="F100" s="389"/>
      <c r="G100" s="389"/>
      <c r="H100" s="389"/>
      <c r="I100" s="389"/>
    </row>
    <row r="101" spans="1:9">
      <c r="A101" s="389">
        <v>99.599998474121094</v>
      </c>
      <c r="B101" s="389"/>
      <c r="C101" s="389"/>
      <c r="D101" s="389"/>
      <c r="E101" s="389"/>
      <c r="F101" s="389"/>
      <c r="G101" s="389"/>
      <c r="H101" s="389"/>
      <c r="I101" s="389"/>
    </row>
    <row r="102" spans="1:9">
      <c r="A102" s="389">
        <v>98</v>
      </c>
      <c r="B102" s="389"/>
      <c r="C102" s="389"/>
      <c r="D102" s="389"/>
      <c r="E102" s="389"/>
      <c r="F102" s="389"/>
      <c r="G102" s="389"/>
      <c r="H102" s="389"/>
      <c r="I102" s="389"/>
    </row>
    <row r="103" spans="1:9">
      <c r="A103" s="389">
        <v>83.852630615234375</v>
      </c>
      <c r="B103" s="389"/>
      <c r="C103" s="389"/>
      <c r="D103" s="389"/>
      <c r="E103" s="389"/>
      <c r="F103" s="389"/>
      <c r="G103" s="389"/>
      <c r="H103" s="389"/>
      <c r="I103" s="389"/>
    </row>
    <row r="104" spans="1:9">
      <c r="A104" s="389">
        <v>70.305259704589844</v>
      </c>
      <c r="B104" s="389"/>
      <c r="C104" s="389"/>
      <c r="D104" s="389"/>
      <c r="E104" s="389"/>
      <c r="F104" s="389"/>
      <c r="G104" s="389"/>
      <c r="H104" s="389"/>
      <c r="I104" s="389"/>
    </row>
    <row r="105" spans="1:9">
      <c r="A105" s="389">
        <v>57.410526275634766</v>
      </c>
      <c r="B105" s="389"/>
      <c r="C105" s="389"/>
      <c r="D105" s="389"/>
      <c r="E105" s="389"/>
      <c r="F105" s="389"/>
      <c r="G105" s="389"/>
      <c r="H105" s="389"/>
      <c r="I105" s="389"/>
    </row>
    <row r="106" spans="1:9">
      <c r="A106" s="389">
        <v>38.010524749755859</v>
      </c>
      <c r="B106" s="389"/>
      <c r="C106" s="389"/>
      <c r="D106" s="389"/>
      <c r="E106" s="389"/>
      <c r="F106" s="389"/>
      <c r="G106" s="389"/>
      <c r="H106" s="389"/>
      <c r="I106" s="389"/>
    </row>
    <row r="107" spans="1:9">
      <c r="A107" s="389">
        <v>24.778947830200195</v>
      </c>
      <c r="B107" s="389"/>
      <c r="C107" s="389"/>
      <c r="D107" s="389"/>
      <c r="E107" s="389"/>
      <c r="F107" s="389"/>
      <c r="G107" s="389"/>
      <c r="H107" s="389"/>
      <c r="I107" s="389"/>
    </row>
    <row r="108" spans="1:9">
      <c r="A108" s="389">
        <v>15.684209823608398</v>
      </c>
      <c r="B108" s="389"/>
      <c r="C108" s="389"/>
      <c r="D108" s="389"/>
      <c r="E108" s="389"/>
      <c r="F108" s="389"/>
      <c r="G108" s="389"/>
      <c r="H108" s="389"/>
      <c r="I108" s="389"/>
    </row>
    <row r="109" spans="1:9">
      <c r="A109" s="389">
        <v>9.0105257034301758</v>
      </c>
      <c r="B109" s="389"/>
      <c r="C109" s="389"/>
      <c r="D109" s="389"/>
      <c r="E109" s="389"/>
      <c r="F109" s="389"/>
      <c r="G109" s="389"/>
      <c r="H109" s="389"/>
      <c r="I109" s="389"/>
    </row>
    <row r="110" spans="1:9">
      <c r="A110" s="389">
        <v>6.2526321411132813</v>
      </c>
      <c r="B110" s="389"/>
      <c r="C110" s="389"/>
      <c r="D110" s="389"/>
      <c r="E110" s="389"/>
      <c r="F110" s="389"/>
      <c r="G110" s="389"/>
      <c r="H110" s="389"/>
      <c r="I110" s="389"/>
    </row>
    <row r="111" spans="1:9">
      <c r="A111" s="389">
        <v>7.8315787315368652</v>
      </c>
      <c r="B111" s="389"/>
      <c r="C111" s="389"/>
      <c r="D111" s="389"/>
      <c r="E111" s="389"/>
      <c r="F111" s="389"/>
      <c r="G111" s="389"/>
      <c r="H111" s="389"/>
      <c r="I111" s="389"/>
    </row>
    <row r="112" spans="1:9">
      <c r="A112" s="389">
        <v>14.70526123046875</v>
      </c>
      <c r="B112" s="389"/>
      <c r="C112" s="389"/>
      <c r="D112" s="389"/>
      <c r="E112" s="389"/>
      <c r="F112" s="389"/>
      <c r="G112" s="389"/>
      <c r="H112" s="389"/>
      <c r="I112" s="389"/>
    </row>
    <row r="113" spans="1:9">
      <c r="A113" s="389">
        <v>30</v>
      </c>
      <c r="B113" s="389"/>
      <c r="C113" s="389"/>
      <c r="D113" s="389"/>
      <c r="E113" s="389"/>
      <c r="F113" s="389"/>
      <c r="G113" s="389"/>
      <c r="H113" s="389"/>
      <c r="I113" s="389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topLeftCell="A19" workbookViewId="0">
      <selection activeCell="K36" sqref="K36"/>
    </sheetView>
  </sheetViews>
  <sheetFormatPr defaultRowHeight="15.75"/>
  <cols>
    <col min="1" max="1" width="12.140625" style="303" customWidth="1"/>
    <col min="2" max="2" width="6.140625" style="303" customWidth="1"/>
    <col min="3" max="3" width="7.7109375" style="303" customWidth="1"/>
    <col min="4" max="5" width="13.140625" style="303" customWidth="1"/>
    <col min="6" max="6" width="9.42578125" style="303" customWidth="1"/>
    <col min="7" max="7" width="5.7109375" style="303" customWidth="1"/>
    <col min="8" max="8" width="7.85546875" style="303" customWidth="1"/>
    <col min="9" max="9" width="6.5703125" style="303" customWidth="1"/>
    <col min="10" max="10" width="12" style="304" customWidth="1"/>
    <col min="11" max="11" width="12" style="303" customWidth="1"/>
    <col min="12" max="12" width="16" style="153" customWidth="1"/>
    <col min="13" max="26" width="9.140625" style="153"/>
    <col min="27" max="16384" width="9.140625" style="154"/>
  </cols>
  <sheetData>
    <row r="1" spans="1:26" ht="20.25" customHeight="1">
      <c r="A1" s="566" t="s">
        <v>252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</row>
    <row r="2" spans="1:26" ht="20.25" customHeight="1">
      <c r="A2" s="567" t="s">
        <v>253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</row>
    <row r="3" spans="1:26" ht="18.75" customHeight="1" thickBot="1">
      <c r="A3" s="155" t="s">
        <v>1</v>
      </c>
      <c r="B3" s="156" t="s">
        <v>756</v>
      </c>
      <c r="C3" s="157"/>
      <c r="D3" s="157"/>
      <c r="E3" s="157"/>
      <c r="F3" s="158"/>
      <c r="G3" s="157"/>
      <c r="H3" s="157"/>
      <c r="I3" s="155" t="s">
        <v>254</v>
      </c>
      <c r="J3" s="568" t="s">
        <v>757</v>
      </c>
      <c r="K3" s="568"/>
    </row>
    <row r="4" spans="1:26" s="167" customFormat="1" ht="18.399999999999999" customHeight="1" thickBot="1">
      <c r="A4" s="159" t="s">
        <v>752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255</v>
      </c>
      <c r="R4" s="165"/>
      <c r="S4" s="163"/>
      <c r="T4" s="164" t="s">
        <v>256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569" t="s">
        <v>257</v>
      </c>
      <c r="B5" s="570"/>
      <c r="C5" s="570"/>
      <c r="D5" s="168"/>
      <c r="E5" s="169"/>
      <c r="F5" s="170" t="s">
        <v>258</v>
      </c>
      <c r="G5" s="171"/>
      <c r="H5" s="171"/>
      <c r="I5" s="172"/>
      <c r="J5" s="173" t="s">
        <v>259</v>
      </c>
      <c r="K5" s="174" t="s">
        <v>260</v>
      </c>
      <c r="L5" s="163"/>
      <c r="M5" s="163"/>
      <c r="N5" s="163"/>
      <c r="O5" s="163"/>
      <c r="P5" s="163"/>
      <c r="Q5" s="175" t="s">
        <v>261</v>
      </c>
      <c r="R5" s="176"/>
      <c r="S5" s="163"/>
      <c r="T5" s="175" t="s">
        <v>262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571" t="s">
        <v>67</v>
      </c>
      <c r="B6" s="572"/>
      <c r="C6" s="572"/>
      <c r="D6" s="573" t="s">
        <v>266</v>
      </c>
      <c r="E6" s="574"/>
      <c r="F6" s="575" t="s">
        <v>264</v>
      </c>
      <c r="G6" s="576"/>
      <c r="H6" s="576"/>
      <c r="I6" s="576"/>
      <c r="J6" s="576"/>
      <c r="K6" s="577"/>
      <c r="L6" s="163"/>
      <c r="M6" s="163"/>
      <c r="N6" s="163"/>
      <c r="O6" s="163"/>
      <c r="P6" s="163"/>
      <c r="Q6" s="175" t="s">
        <v>265</v>
      </c>
      <c r="R6" s="176"/>
      <c r="S6" s="163"/>
      <c r="T6" s="175" t="s">
        <v>266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581" t="s">
        <v>20</v>
      </c>
      <c r="B7" s="582"/>
      <c r="C7" s="582"/>
      <c r="D7" s="583">
        <v>2.0999999046325701</v>
      </c>
      <c r="E7" s="584"/>
      <c r="F7" s="178" t="s">
        <v>267</v>
      </c>
      <c r="G7" s="179"/>
      <c r="H7" s="180"/>
      <c r="I7" s="181"/>
      <c r="J7" s="182">
        <v>26</v>
      </c>
      <c r="K7" s="183" t="s">
        <v>174</v>
      </c>
      <c r="L7" s="163"/>
      <c r="M7" s="163"/>
      <c r="N7" s="163"/>
      <c r="O7" s="163"/>
      <c r="P7" s="163"/>
      <c r="Q7" s="175" t="s">
        <v>268</v>
      </c>
      <c r="R7" s="176"/>
      <c r="S7" s="163"/>
      <c r="T7" s="175" t="s">
        <v>263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581" t="s">
        <v>269</v>
      </c>
      <c r="B8" s="582"/>
      <c r="C8" s="582"/>
      <c r="D8" s="585">
        <v>714</v>
      </c>
      <c r="E8" s="586"/>
      <c r="F8" s="184" t="s">
        <v>270</v>
      </c>
      <c r="G8" s="185"/>
      <c r="H8" s="186"/>
      <c r="I8" s="187"/>
      <c r="J8" s="188">
        <v>13227</v>
      </c>
      <c r="K8" s="189" t="s">
        <v>174</v>
      </c>
      <c r="L8" s="163"/>
      <c r="M8" s="163"/>
      <c r="N8" s="163"/>
      <c r="O8" s="163"/>
      <c r="P8" s="163"/>
      <c r="Q8" s="175" t="s">
        <v>271</v>
      </c>
      <c r="R8" s="176"/>
      <c r="S8" s="163"/>
      <c r="T8" s="175" t="s">
        <v>272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587" t="s">
        <v>273</v>
      </c>
      <c r="B9" s="588"/>
      <c r="C9" s="589"/>
      <c r="D9" s="585">
        <v>10</v>
      </c>
      <c r="E9" s="586"/>
      <c r="F9" s="178" t="s">
        <v>274</v>
      </c>
      <c r="G9" s="179"/>
      <c r="H9" s="190">
        <v>3</v>
      </c>
      <c r="I9" s="191" t="s">
        <v>275</v>
      </c>
      <c r="J9" s="192">
        <v>195</v>
      </c>
      <c r="K9" s="189" t="s">
        <v>174</v>
      </c>
      <c r="L9" s="163"/>
      <c r="M9" s="163"/>
      <c r="N9" s="163"/>
      <c r="O9" s="163"/>
      <c r="P9" s="163"/>
      <c r="Q9" s="175" t="s">
        <v>276</v>
      </c>
      <c r="R9" s="176"/>
      <c r="S9" s="163"/>
      <c r="T9" s="175" t="s">
        <v>277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587" t="s">
        <v>278</v>
      </c>
      <c r="B10" s="588"/>
      <c r="C10" s="589"/>
      <c r="D10" s="590" t="s">
        <v>185</v>
      </c>
      <c r="E10" s="591"/>
      <c r="F10" s="178" t="s">
        <v>279</v>
      </c>
      <c r="G10" s="179"/>
      <c r="H10" s="190">
        <v>3</v>
      </c>
      <c r="I10" s="191" t="s">
        <v>275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280</v>
      </c>
      <c r="R10" s="176"/>
      <c r="S10" s="163"/>
      <c r="T10" s="193" t="s">
        <v>281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587" t="s">
        <v>282</v>
      </c>
      <c r="B11" s="588"/>
      <c r="C11" s="589"/>
      <c r="D11" s="592" t="s">
        <v>174</v>
      </c>
      <c r="E11" s="593"/>
      <c r="F11" s="195" t="s">
        <v>283</v>
      </c>
      <c r="G11" s="196"/>
      <c r="H11" s="197">
        <v>3</v>
      </c>
      <c r="I11" s="191" t="s">
        <v>275</v>
      </c>
      <c r="J11" s="198">
        <v>60123</v>
      </c>
      <c r="K11" s="199" t="s">
        <v>174</v>
      </c>
      <c r="L11" s="163"/>
      <c r="M11" s="163"/>
      <c r="N11" s="163"/>
      <c r="O11" s="163"/>
      <c r="P11" s="163"/>
      <c r="Q11" s="193" t="s">
        <v>284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285</v>
      </c>
      <c r="C12" s="202"/>
      <c r="D12" s="594" t="s">
        <v>174</v>
      </c>
      <c r="E12" s="595"/>
      <c r="F12" s="578" t="s">
        <v>286</v>
      </c>
      <c r="G12" s="579"/>
      <c r="H12" s="579"/>
      <c r="I12" s="579"/>
      <c r="J12" s="579"/>
      <c r="K12" s="580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587" t="s">
        <v>53</v>
      </c>
      <c r="B13" s="588"/>
      <c r="C13" s="589"/>
      <c r="D13" s="596" t="s">
        <v>364</v>
      </c>
      <c r="E13" s="597"/>
      <c r="F13" s="203"/>
      <c r="G13" s="204" t="s">
        <v>287</v>
      </c>
      <c r="H13" s="205"/>
      <c r="I13" s="206" t="s">
        <v>288</v>
      </c>
      <c r="J13" s="207" t="s">
        <v>366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587" t="s">
        <v>56</v>
      </c>
      <c r="B14" s="588"/>
      <c r="C14" s="589"/>
      <c r="D14" s="594">
        <v>1249</v>
      </c>
      <c r="E14" s="595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598" t="s">
        <v>289</v>
      </c>
      <c r="B15" s="599"/>
      <c r="C15" s="600"/>
      <c r="D15" s="601">
        <v>14.022000312805176</v>
      </c>
      <c r="E15" s="602"/>
      <c r="F15" s="203"/>
      <c r="G15" s="209" t="s">
        <v>290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603" t="s">
        <v>291</v>
      </c>
      <c r="B16" s="604"/>
      <c r="C16" s="605"/>
      <c r="D16" s="601">
        <v>3.5543997287750244</v>
      </c>
      <c r="E16" s="602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292</v>
      </c>
      <c r="B17" s="215"/>
      <c r="C17" s="216"/>
      <c r="D17" s="592" t="s">
        <v>363</v>
      </c>
      <c r="E17" s="593"/>
      <c r="F17" s="578" t="s">
        <v>293</v>
      </c>
      <c r="G17" s="579"/>
      <c r="H17" s="579"/>
      <c r="I17" s="579"/>
      <c r="J17" s="579"/>
      <c r="K17" s="580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294</v>
      </c>
      <c r="B18" s="218"/>
      <c r="C18" s="216"/>
      <c r="D18" s="590" t="s">
        <v>174</v>
      </c>
      <c r="E18" s="591"/>
      <c r="F18" s="606"/>
      <c r="G18" s="607"/>
      <c r="H18" s="219" t="s">
        <v>295</v>
      </c>
      <c r="I18" s="220"/>
      <c r="J18" s="188">
        <v>126</v>
      </c>
      <c r="K18" s="189"/>
      <c r="L18" s="163"/>
      <c r="M18" s="163">
        <f>J18*6.5</f>
        <v>819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12" t="s">
        <v>296</v>
      </c>
      <c r="B19" s="613"/>
      <c r="C19" s="614"/>
      <c r="D19" s="615" t="s">
        <v>174</v>
      </c>
      <c r="E19" s="593"/>
      <c r="F19" s="608"/>
      <c r="G19" s="609"/>
      <c r="H19" s="219" t="s">
        <v>5</v>
      </c>
      <c r="I19" s="181"/>
      <c r="J19" s="188">
        <v>1192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297</v>
      </c>
      <c r="C20" s="222"/>
      <c r="D20" s="616" t="s">
        <v>184</v>
      </c>
      <c r="E20" s="586"/>
      <c r="F20" s="608"/>
      <c r="G20" s="609"/>
      <c r="H20" s="219" t="s">
        <v>298</v>
      </c>
      <c r="I20" s="181"/>
      <c r="J20" s="192" t="s">
        <v>339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598" t="s">
        <v>299</v>
      </c>
      <c r="B21" s="599"/>
      <c r="C21" s="600"/>
      <c r="D21" s="585" t="s">
        <v>174</v>
      </c>
      <c r="E21" s="586"/>
      <c r="F21" s="608"/>
      <c r="G21" s="609"/>
      <c r="H21" s="223" t="s">
        <v>300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301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302</v>
      </c>
      <c r="B22" s="224"/>
      <c r="C22" s="224"/>
      <c r="D22" s="617">
        <v>0.14074999999999999</v>
      </c>
      <c r="E22" s="618"/>
      <c r="F22" s="608"/>
      <c r="G22" s="609"/>
      <c r="H22" s="219" t="s">
        <v>259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304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305</v>
      </c>
      <c r="B23" s="226" t="s">
        <v>306</v>
      </c>
      <c r="C23" s="227"/>
      <c r="D23" s="596">
        <v>671</v>
      </c>
      <c r="E23" s="597"/>
      <c r="F23" s="608"/>
      <c r="G23" s="609"/>
      <c r="H23" s="228" t="s">
        <v>307</v>
      </c>
      <c r="I23" s="229"/>
      <c r="J23" s="230"/>
      <c r="K23" s="231"/>
      <c r="L23" s="163"/>
      <c r="Q23" s="175" t="s">
        <v>308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309</v>
      </c>
      <c r="B24" s="233" t="s">
        <v>310</v>
      </c>
      <c r="C24" s="234"/>
      <c r="D24" s="619" t="s">
        <v>174</v>
      </c>
      <c r="E24" s="620"/>
      <c r="F24" s="608"/>
      <c r="G24" s="609"/>
      <c r="H24" s="219" t="s">
        <v>311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312</v>
      </c>
      <c r="B25" s="240"/>
      <c r="C25" s="240"/>
      <c r="D25" s="241"/>
      <c r="E25" s="241" t="s">
        <v>313</v>
      </c>
      <c r="F25" s="608"/>
      <c r="G25" s="609"/>
      <c r="H25" s="219" t="s">
        <v>314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315</v>
      </c>
      <c r="B26" s="244"/>
      <c r="C26" s="245"/>
      <c r="D26" s="246" t="s">
        <v>367</v>
      </c>
      <c r="E26" s="246" t="s">
        <v>368</v>
      </c>
      <c r="F26" s="610"/>
      <c r="G26" s="611"/>
      <c r="H26" s="621"/>
      <c r="I26" s="622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631" t="s">
        <v>316</v>
      </c>
      <c r="B27" s="632"/>
      <c r="C27" s="632"/>
      <c r="D27" s="632"/>
      <c r="E27" s="632"/>
      <c r="F27" s="575" t="s">
        <v>317</v>
      </c>
      <c r="G27" s="576"/>
      <c r="H27" s="576"/>
      <c r="I27" s="576"/>
      <c r="J27" s="576"/>
      <c r="K27" s="577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625"/>
      <c r="B28" s="626"/>
      <c r="C28" s="626"/>
      <c r="D28" s="626"/>
      <c r="E28" s="627"/>
      <c r="F28" s="249"/>
      <c r="G28" s="250"/>
      <c r="H28" s="209" t="s">
        <v>318</v>
      </c>
      <c r="I28" s="251" t="s">
        <v>365</v>
      </c>
      <c r="J28" s="188">
        <v>668</v>
      </c>
      <c r="K28" s="252" t="s">
        <v>174</v>
      </c>
      <c r="M28" s="167">
        <f>(J28/J18)*100</f>
        <v>530.15873015873012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625"/>
      <c r="B29" s="626"/>
      <c r="C29" s="626"/>
      <c r="D29" s="626"/>
      <c r="E29" s="627"/>
      <c r="F29" s="254"/>
      <c r="G29" s="255"/>
      <c r="H29" s="209" t="s">
        <v>319</v>
      </c>
      <c r="I29" s="256">
        <v>60</v>
      </c>
      <c r="J29" s="188">
        <v>75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625"/>
      <c r="B30" s="626"/>
      <c r="C30" s="626"/>
      <c r="D30" s="626"/>
      <c r="E30" s="627"/>
      <c r="F30" s="254"/>
      <c r="G30" s="255"/>
      <c r="H30" s="209" t="s">
        <v>320</v>
      </c>
      <c r="I30" s="256">
        <v>175</v>
      </c>
      <c r="J30" s="188">
        <v>223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625"/>
      <c r="B31" s="626"/>
      <c r="C31" s="626"/>
      <c r="D31" s="626"/>
      <c r="E31" s="627"/>
      <c r="F31" s="254"/>
      <c r="G31" s="255"/>
      <c r="H31" s="209" t="s">
        <v>321</v>
      </c>
      <c r="I31" s="210"/>
      <c r="J31" s="259">
        <v>0.69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628"/>
      <c r="B32" s="629"/>
      <c r="C32" s="629"/>
      <c r="D32" s="629"/>
      <c r="E32" s="630"/>
      <c r="F32" s="254"/>
      <c r="G32" s="260" t="s">
        <v>322</v>
      </c>
      <c r="H32" s="209" t="s">
        <v>323</v>
      </c>
      <c r="I32" s="261"/>
      <c r="J32" s="182">
        <v>95.3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631" t="s">
        <v>324</v>
      </c>
      <c r="B33" s="632"/>
      <c r="C33" s="632"/>
      <c r="D33" s="632"/>
      <c r="E33" s="633"/>
      <c r="F33" s="263"/>
      <c r="G33" s="264"/>
      <c r="H33" s="265" t="s">
        <v>325</v>
      </c>
      <c r="I33" s="266"/>
      <c r="J33" s="267">
        <v>89.9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625"/>
      <c r="B34" s="626"/>
      <c r="C34" s="626"/>
      <c r="D34" s="626"/>
      <c r="E34" s="627"/>
      <c r="F34" s="184" t="s">
        <v>326</v>
      </c>
      <c r="G34" s="269"/>
      <c r="H34" s="270" t="s">
        <v>14</v>
      </c>
      <c r="I34" s="271"/>
      <c r="J34" s="272">
        <v>7832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625"/>
      <c r="B35" s="626"/>
      <c r="C35" s="626"/>
      <c r="D35" s="626"/>
      <c r="E35" s="627"/>
      <c r="F35" s="203"/>
      <c r="G35" s="276"/>
      <c r="H35" s="277" t="s">
        <v>15</v>
      </c>
      <c r="I35" s="278"/>
      <c r="J35" s="188">
        <v>5383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625"/>
      <c r="B36" s="626"/>
      <c r="C36" s="626"/>
      <c r="D36" s="626"/>
      <c r="E36" s="627"/>
      <c r="F36" s="203"/>
      <c r="G36" s="276"/>
      <c r="H36" s="277" t="s">
        <v>327</v>
      </c>
      <c r="I36" s="278"/>
      <c r="J36" s="188">
        <v>3599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625"/>
      <c r="B37" s="626"/>
      <c r="C37" s="626"/>
      <c r="D37" s="626"/>
      <c r="E37" s="627"/>
      <c r="F37" s="254"/>
      <c r="G37" s="276"/>
      <c r="H37" s="277" t="s">
        <v>758</v>
      </c>
      <c r="I37" s="278"/>
      <c r="J37" s="188">
        <v>8700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628"/>
      <c r="B38" s="629"/>
      <c r="C38" s="629"/>
      <c r="D38" s="629"/>
      <c r="E38" s="630"/>
      <c r="F38" s="211"/>
      <c r="G38" s="280"/>
      <c r="H38" s="281" t="s">
        <v>328</v>
      </c>
      <c r="I38" s="282"/>
      <c r="J38" s="283">
        <v>10992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631" t="s">
        <v>329</v>
      </c>
      <c r="B39" s="632"/>
      <c r="C39" s="632"/>
      <c r="D39" s="632"/>
      <c r="E39" s="632"/>
      <c r="F39" s="285" t="s">
        <v>330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625"/>
      <c r="B40" s="626"/>
      <c r="C40" s="626"/>
      <c r="D40" s="626"/>
      <c r="E40" s="627"/>
      <c r="F40" s="288"/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625"/>
      <c r="B41" s="626"/>
      <c r="C41" s="626"/>
      <c r="D41" s="626"/>
      <c r="E41" s="627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625"/>
      <c r="B42" s="626"/>
      <c r="C42" s="626"/>
      <c r="D42" s="626"/>
      <c r="E42" s="627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625"/>
      <c r="B43" s="626"/>
      <c r="C43" s="626"/>
      <c r="D43" s="626"/>
      <c r="E43" s="627"/>
      <c r="F43" s="288"/>
      <c r="G43" s="547" t="s">
        <v>747</v>
      </c>
      <c r="H43" s="547"/>
      <c r="I43" s="547"/>
      <c r="J43" s="547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634"/>
      <c r="B44" s="635"/>
      <c r="C44" s="635"/>
      <c r="D44" s="635"/>
      <c r="E44" s="636"/>
      <c r="F44" s="288"/>
      <c r="G44" s="547" t="s">
        <v>759</v>
      </c>
      <c r="H44" s="547"/>
      <c r="I44" s="547"/>
      <c r="J44" s="547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331</v>
      </c>
      <c r="B45" s="637" t="s">
        <v>754</v>
      </c>
      <c r="C45" s="638"/>
      <c r="D45" s="295" t="s">
        <v>332</v>
      </c>
      <c r="E45" s="296" t="s">
        <v>333</v>
      </c>
      <c r="F45" s="297"/>
      <c r="G45" s="547"/>
      <c r="H45" s="547"/>
      <c r="I45" s="547"/>
      <c r="J45" s="547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334</v>
      </c>
      <c r="B46" s="623">
        <v>42019</v>
      </c>
      <c r="C46" s="624"/>
      <c r="D46" s="299" t="s">
        <v>334</v>
      </c>
      <c r="E46" s="300">
        <v>41992</v>
      </c>
      <c r="F46" s="301"/>
      <c r="G46" s="548" t="s">
        <v>748</v>
      </c>
      <c r="H46" s="548"/>
      <c r="I46" s="548"/>
      <c r="J46" s="548"/>
      <c r="K46" s="302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/>
  </sheetViews>
  <sheetFormatPr defaultColWidth="9.140625" defaultRowHeight="12.75"/>
  <cols>
    <col min="1" max="1" width="9.140625" style="310" customWidth="1"/>
    <col min="2" max="2" width="18.140625" style="310" customWidth="1"/>
    <col min="3" max="3" width="21.5703125" style="310" customWidth="1"/>
    <col min="4" max="4" width="21.28515625" style="310" bestFit="1" customWidth="1"/>
    <col min="5" max="5" width="6.85546875" style="310" bestFit="1" customWidth="1"/>
    <col min="6" max="6" width="29.85546875" style="310" customWidth="1"/>
    <col min="7" max="7" width="43.7109375" style="310" customWidth="1"/>
    <col min="8" max="8" width="17.140625" style="310" customWidth="1"/>
    <col min="9" max="9" width="7.85546875" style="310" customWidth="1"/>
    <col min="10" max="10" width="2.28515625" style="310" bestFit="1" customWidth="1"/>
    <col min="11" max="12" width="2.28515625" style="310" customWidth="1"/>
    <col min="13" max="13" width="2.5703125" style="310" bestFit="1" customWidth="1"/>
    <col min="14" max="14" width="2.28515625" style="310" bestFit="1" customWidth="1"/>
    <col min="15" max="16384" width="9.140625" style="310"/>
  </cols>
  <sheetData>
    <row r="1" spans="2:14" ht="12.75" customHeight="1">
      <c r="B1" s="305"/>
      <c r="C1" s="306"/>
      <c r="D1" s="306"/>
      <c r="E1" s="306"/>
      <c r="F1" s="306"/>
      <c r="G1" s="306"/>
      <c r="H1" s="307"/>
      <c r="I1" s="308"/>
      <c r="J1" s="309" t="s">
        <v>335</v>
      </c>
      <c r="K1" s="309" t="s">
        <v>336</v>
      </c>
      <c r="L1" s="309" t="s">
        <v>337</v>
      </c>
      <c r="M1" s="309" t="s">
        <v>336</v>
      </c>
      <c r="N1" s="309"/>
    </row>
    <row r="2" spans="2:14" ht="12.75" customHeight="1">
      <c r="B2" s="647" t="s">
        <v>338</v>
      </c>
      <c r="C2" s="648"/>
      <c r="D2" s="648"/>
      <c r="E2" s="648"/>
      <c r="F2" s="648"/>
      <c r="G2" s="648"/>
      <c r="H2" s="311"/>
      <c r="I2" s="312"/>
      <c r="J2" s="313" t="s">
        <v>339</v>
      </c>
      <c r="K2" s="313" t="s">
        <v>340</v>
      </c>
      <c r="L2" s="313" t="s">
        <v>341</v>
      </c>
      <c r="M2" s="313" t="s">
        <v>342</v>
      </c>
      <c r="N2" s="313" t="s">
        <v>343</v>
      </c>
    </row>
    <row r="3" spans="2:14" ht="12.75" customHeight="1">
      <c r="B3" s="647"/>
      <c r="C3" s="648"/>
      <c r="D3" s="648"/>
      <c r="E3" s="648"/>
      <c r="F3" s="648"/>
      <c r="G3" s="648"/>
      <c r="H3" s="311"/>
      <c r="I3" s="312"/>
      <c r="J3" s="313" t="s">
        <v>344</v>
      </c>
      <c r="K3" s="313"/>
      <c r="L3" s="313" t="s">
        <v>345</v>
      </c>
      <c r="M3" s="313" t="s">
        <v>335</v>
      </c>
      <c r="N3" s="313"/>
    </row>
    <row r="4" spans="2:14" ht="12.75" customHeight="1">
      <c r="B4" s="647"/>
      <c r="C4" s="648"/>
      <c r="D4" s="648"/>
      <c r="E4" s="648"/>
      <c r="F4" s="648"/>
      <c r="G4" s="648"/>
      <c r="H4" s="311"/>
      <c r="I4" s="312"/>
      <c r="J4" s="313" t="s">
        <v>346</v>
      </c>
      <c r="K4" s="313"/>
      <c r="L4" s="313" t="s">
        <v>341</v>
      </c>
      <c r="M4" s="313" t="s">
        <v>339</v>
      </c>
      <c r="N4" s="313"/>
    </row>
    <row r="5" spans="2:14" ht="12.75" customHeight="1">
      <c r="B5" s="314"/>
      <c r="C5" s="315"/>
      <c r="D5" s="315"/>
      <c r="E5" s="315"/>
      <c r="F5" s="315"/>
      <c r="G5" s="315"/>
      <c r="H5" s="311"/>
      <c r="I5" s="312"/>
      <c r="J5" s="313"/>
      <c r="K5" s="313" t="s">
        <v>347</v>
      </c>
      <c r="L5" s="313" t="s">
        <v>336</v>
      </c>
      <c r="M5" s="313"/>
      <c r="N5" s="313" t="s">
        <v>341</v>
      </c>
    </row>
    <row r="6" spans="2:14" ht="12" customHeight="1">
      <c r="B6" s="316"/>
      <c r="C6" s="317"/>
      <c r="D6" s="317"/>
      <c r="F6" s="317"/>
      <c r="H6" s="318"/>
      <c r="I6" s="312"/>
      <c r="J6" s="313" t="s">
        <v>340</v>
      </c>
      <c r="K6" s="313" t="s">
        <v>348</v>
      </c>
      <c r="L6" s="313"/>
      <c r="M6" s="313" t="s">
        <v>336</v>
      </c>
      <c r="N6" s="313" t="s">
        <v>349</v>
      </c>
    </row>
    <row r="7" spans="2:14" ht="12.75" customHeight="1">
      <c r="B7" s="316"/>
      <c r="D7" s="319"/>
      <c r="H7" s="318"/>
      <c r="I7" s="312"/>
      <c r="J7" s="313" t="s">
        <v>350</v>
      </c>
      <c r="K7" s="313" t="s">
        <v>344</v>
      </c>
      <c r="L7" s="313" t="s">
        <v>344</v>
      </c>
      <c r="M7" s="313" t="s">
        <v>339</v>
      </c>
      <c r="N7" s="313" t="s">
        <v>351</v>
      </c>
    </row>
    <row r="8" spans="2:14" ht="12.75" customHeight="1">
      <c r="B8" s="316"/>
      <c r="G8" s="319"/>
      <c r="H8" s="320"/>
      <c r="I8" s="313" t="s">
        <v>351</v>
      </c>
      <c r="J8" s="313" t="s">
        <v>336</v>
      </c>
      <c r="K8" s="313" t="s">
        <v>352</v>
      </c>
      <c r="L8" s="313" t="s">
        <v>339</v>
      </c>
      <c r="M8" s="313" t="s">
        <v>351</v>
      </c>
      <c r="N8" s="313" t="s">
        <v>348</v>
      </c>
    </row>
    <row r="9" spans="2:14">
      <c r="B9" s="313" t="s">
        <v>353</v>
      </c>
      <c r="C9" s="320" t="s">
        <v>354</v>
      </c>
      <c r="D9" s="320" t="s">
        <v>355</v>
      </c>
      <c r="E9" s="320" t="s">
        <v>356</v>
      </c>
      <c r="F9" s="313" t="s">
        <v>357</v>
      </c>
      <c r="G9" s="313" t="s">
        <v>358</v>
      </c>
      <c r="H9" s="313" t="s">
        <v>359</v>
      </c>
      <c r="I9" s="313" t="s">
        <v>346</v>
      </c>
      <c r="J9" s="313" t="s">
        <v>350</v>
      </c>
      <c r="K9" s="313" t="s">
        <v>339</v>
      </c>
      <c r="L9" s="313" t="s">
        <v>352</v>
      </c>
      <c r="M9" s="313" t="s">
        <v>336</v>
      </c>
      <c r="N9" s="313" t="s">
        <v>337</v>
      </c>
    </row>
    <row r="10" spans="2:14" ht="15" customHeight="1">
      <c r="B10" s="321"/>
      <c r="C10" s="322"/>
      <c r="D10" s="322"/>
      <c r="E10" s="322"/>
      <c r="F10" s="323"/>
      <c r="G10" s="324"/>
      <c r="H10" s="324"/>
      <c r="I10" s="325"/>
      <c r="J10" s="326"/>
      <c r="K10" s="326"/>
      <c r="L10" s="326"/>
      <c r="M10" s="326"/>
      <c r="N10" s="327"/>
    </row>
    <row r="11" spans="2:14" ht="15" customHeight="1">
      <c r="B11" s="321"/>
      <c r="C11" s="323"/>
      <c r="D11" s="323"/>
      <c r="E11" s="323"/>
      <c r="F11" s="323"/>
      <c r="G11" s="323"/>
      <c r="H11" s="323"/>
      <c r="I11" s="328"/>
      <c r="J11" s="326"/>
      <c r="K11" s="326"/>
      <c r="L11" s="326"/>
      <c r="M11" s="326"/>
      <c r="N11" s="327"/>
    </row>
    <row r="12" spans="2:14" ht="15" customHeight="1">
      <c r="B12" s="321"/>
      <c r="C12" s="323"/>
      <c r="D12" s="323"/>
      <c r="E12" s="323"/>
      <c r="F12" s="323"/>
      <c r="G12" s="323"/>
      <c r="H12" s="323"/>
      <c r="I12" s="328"/>
      <c r="J12" s="329"/>
      <c r="K12" s="326"/>
      <c r="L12" s="326"/>
      <c r="M12" s="326"/>
      <c r="N12" s="327"/>
    </row>
    <row r="13" spans="2:14" ht="15" customHeight="1">
      <c r="B13" s="321"/>
      <c r="C13" s="323"/>
      <c r="D13" s="323"/>
      <c r="E13" s="323"/>
      <c r="F13" s="323"/>
      <c r="G13" s="323"/>
      <c r="H13" s="323"/>
      <c r="I13" s="328"/>
      <c r="J13" s="326"/>
      <c r="K13" s="326"/>
      <c r="L13" s="326"/>
      <c r="M13" s="326"/>
      <c r="N13" s="327"/>
    </row>
    <row r="14" spans="2:14" ht="15" customHeight="1">
      <c r="B14" s="321"/>
      <c r="C14" s="323"/>
      <c r="D14" s="323"/>
      <c r="E14" s="323"/>
      <c r="F14" s="323"/>
      <c r="G14" s="323"/>
      <c r="H14" s="323"/>
      <c r="I14" s="328"/>
      <c r="J14" s="326"/>
      <c r="K14" s="326"/>
      <c r="L14" s="326"/>
      <c r="M14" s="326"/>
      <c r="N14" s="327"/>
    </row>
    <row r="15" spans="2:14" ht="15" customHeight="1">
      <c r="B15" s="321"/>
      <c r="C15" s="323"/>
      <c r="D15" s="323"/>
      <c r="E15" s="323"/>
      <c r="F15" s="323"/>
      <c r="G15" s="323"/>
      <c r="H15" s="323"/>
      <c r="I15" s="328"/>
      <c r="J15" s="326"/>
      <c r="K15" s="326"/>
      <c r="L15" s="326"/>
      <c r="M15" s="326"/>
      <c r="N15" s="327"/>
    </row>
    <row r="16" spans="2:14" ht="15" customHeight="1">
      <c r="B16" s="321"/>
      <c r="C16" s="323"/>
      <c r="D16" s="323"/>
      <c r="E16" s="323"/>
      <c r="F16" s="323"/>
      <c r="G16" s="323"/>
      <c r="H16" s="323"/>
      <c r="I16" s="328"/>
      <c r="J16" s="326"/>
      <c r="K16" s="326"/>
      <c r="L16" s="326"/>
      <c r="M16" s="326"/>
      <c r="N16" s="327"/>
    </row>
    <row r="17" spans="2:14" ht="15" customHeight="1">
      <c r="B17" s="321"/>
      <c r="C17" s="323"/>
      <c r="D17" s="323"/>
      <c r="E17" s="323"/>
      <c r="F17" s="323"/>
      <c r="G17" s="323"/>
      <c r="H17" s="323"/>
      <c r="I17" s="328"/>
      <c r="J17" s="326"/>
      <c r="K17" s="326"/>
      <c r="L17" s="326"/>
      <c r="M17" s="326"/>
      <c r="N17" s="327"/>
    </row>
    <row r="18" spans="2:14" ht="15" customHeight="1">
      <c r="B18" s="321"/>
      <c r="C18" s="323"/>
      <c r="D18" s="323"/>
      <c r="E18" s="323"/>
      <c r="F18" s="323"/>
      <c r="G18" s="323"/>
      <c r="H18" s="323"/>
      <c r="I18" s="328"/>
      <c r="J18" s="326"/>
      <c r="K18" s="326"/>
      <c r="L18" s="326"/>
      <c r="M18" s="326"/>
      <c r="N18" s="327"/>
    </row>
    <row r="19" spans="2:14" ht="15" customHeight="1">
      <c r="B19" s="321"/>
      <c r="C19" s="323"/>
      <c r="D19" s="323"/>
      <c r="E19" s="323"/>
      <c r="F19" s="323"/>
      <c r="G19" s="323"/>
      <c r="H19" s="323"/>
      <c r="I19" s="328"/>
      <c r="J19" s="326"/>
      <c r="K19" s="326"/>
      <c r="L19" s="326"/>
      <c r="M19" s="326"/>
      <c r="N19" s="327"/>
    </row>
    <row r="20" spans="2:14" ht="15" customHeight="1">
      <c r="B20" s="321"/>
      <c r="C20" s="323"/>
      <c r="D20" s="323"/>
      <c r="E20" s="323"/>
      <c r="F20" s="323"/>
      <c r="G20" s="323"/>
      <c r="H20" s="323"/>
      <c r="I20" s="328"/>
      <c r="J20" s="326"/>
      <c r="K20" s="326"/>
      <c r="L20" s="326"/>
      <c r="M20" s="326"/>
      <c r="N20" s="327"/>
    </row>
    <row r="21" spans="2:14" ht="15" customHeight="1">
      <c r="B21" s="321"/>
      <c r="C21" s="323"/>
      <c r="D21" s="323"/>
      <c r="E21" s="323"/>
      <c r="F21" s="323"/>
      <c r="G21" s="323"/>
      <c r="H21" s="323"/>
      <c r="I21" s="328"/>
      <c r="J21" s="326"/>
      <c r="K21" s="326"/>
      <c r="L21" s="326"/>
      <c r="M21" s="326"/>
      <c r="N21" s="327"/>
    </row>
    <row r="22" spans="2:14" ht="15" customHeight="1">
      <c r="B22" s="321"/>
      <c r="C22" s="323"/>
      <c r="D22" s="323"/>
      <c r="E22" s="323"/>
      <c r="F22" s="323"/>
      <c r="G22" s="323"/>
      <c r="H22" s="323"/>
      <c r="I22" s="328"/>
      <c r="J22" s="326"/>
      <c r="K22" s="326"/>
      <c r="L22" s="326"/>
      <c r="M22" s="326"/>
      <c r="N22" s="327"/>
    </row>
    <row r="23" spans="2:14" ht="15" customHeight="1">
      <c r="B23" s="321"/>
      <c r="C23" s="323"/>
      <c r="D23" s="323"/>
      <c r="E23" s="323"/>
      <c r="F23" s="323"/>
      <c r="G23" s="323"/>
      <c r="H23" s="323"/>
      <c r="I23" s="328"/>
      <c r="J23" s="326"/>
      <c r="K23" s="326"/>
      <c r="L23" s="326"/>
      <c r="M23" s="326"/>
      <c r="N23" s="327"/>
    </row>
    <row r="24" spans="2:14" ht="15" customHeight="1">
      <c r="B24" s="321"/>
      <c r="C24" s="323"/>
      <c r="D24" s="323"/>
      <c r="E24" s="323"/>
      <c r="F24" s="323"/>
      <c r="G24" s="323"/>
      <c r="H24" s="323"/>
      <c r="I24" s="328"/>
      <c r="J24" s="326"/>
      <c r="K24" s="326"/>
      <c r="L24" s="326"/>
      <c r="M24" s="326"/>
      <c r="N24" s="327"/>
    </row>
    <row r="25" spans="2:14" ht="15" customHeight="1">
      <c r="B25" s="321"/>
      <c r="C25" s="323"/>
      <c r="D25" s="323"/>
      <c r="E25" s="323"/>
      <c r="F25" s="323"/>
      <c r="G25" s="323"/>
      <c r="H25" s="323"/>
      <c r="I25" s="328"/>
      <c r="J25" s="326"/>
      <c r="K25" s="326"/>
      <c r="L25" s="326"/>
      <c r="M25" s="326"/>
      <c r="N25" s="327"/>
    </row>
    <row r="26" spans="2:14" ht="15" customHeight="1">
      <c r="B26" s="321"/>
      <c r="C26" s="323"/>
      <c r="D26" s="323"/>
      <c r="E26" s="323"/>
      <c r="F26" s="323"/>
      <c r="G26" s="323"/>
      <c r="H26" s="323"/>
      <c r="I26" s="328"/>
      <c r="J26" s="326"/>
      <c r="K26" s="326"/>
      <c r="L26" s="326"/>
      <c r="M26" s="326"/>
      <c r="N26" s="327"/>
    </row>
    <row r="27" spans="2:14" ht="15" customHeight="1">
      <c r="B27" s="321"/>
      <c r="C27" s="323"/>
      <c r="D27" s="323"/>
      <c r="E27" s="323"/>
      <c r="F27" s="323"/>
      <c r="G27" s="323"/>
      <c r="H27" s="323"/>
      <c r="I27" s="328"/>
      <c r="J27" s="326"/>
      <c r="K27" s="326"/>
      <c r="L27" s="326"/>
      <c r="M27" s="326"/>
      <c r="N27" s="327"/>
    </row>
    <row r="28" spans="2:14" ht="15" customHeight="1">
      <c r="B28" s="321"/>
      <c r="C28" s="323"/>
      <c r="D28" s="323"/>
      <c r="E28" s="323"/>
      <c r="F28" s="323"/>
      <c r="G28" s="323"/>
      <c r="H28" s="323"/>
      <c r="I28" s="328"/>
      <c r="J28" s="326"/>
      <c r="K28" s="326"/>
      <c r="L28" s="326"/>
      <c r="M28" s="326"/>
      <c r="N28" s="327"/>
    </row>
    <row r="29" spans="2:14" ht="15" customHeight="1">
      <c r="B29" s="321"/>
      <c r="C29" s="323"/>
      <c r="D29" s="323"/>
      <c r="E29" s="323"/>
      <c r="F29" s="323"/>
      <c r="G29" s="323"/>
      <c r="H29" s="323"/>
      <c r="I29" s="328"/>
      <c r="J29" s="326"/>
      <c r="K29" s="326"/>
      <c r="L29" s="326"/>
      <c r="M29" s="326"/>
      <c r="N29" s="327"/>
    </row>
    <row r="30" spans="2:14" ht="15" customHeight="1">
      <c r="B30" s="321"/>
      <c r="C30" s="323"/>
      <c r="D30" s="323"/>
      <c r="E30" s="323"/>
      <c r="F30" s="323"/>
      <c r="G30" s="323"/>
      <c r="H30" s="323"/>
      <c r="I30" s="328"/>
      <c r="J30" s="326"/>
      <c r="K30" s="326"/>
      <c r="L30" s="326"/>
      <c r="M30" s="326"/>
      <c r="N30" s="327"/>
    </row>
    <row r="31" spans="2:14" ht="15" customHeight="1">
      <c r="B31" s="321"/>
      <c r="C31" s="323"/>
      <c r="D31" s="323"/>
      <c r="E31" s="323"/>
      <c r="F31" s="323"/>
      <c r="G31" s="323"/>
      <c r="H31" s="323"/>
      <c r="I31" s="328"/>
      <c r="J31" s="326"/>
      <c r="K31" s="326"/>
      <c r="L31" s="326"/>
      <c r="M31" s="326"/>
      <c r="N31" s="327"/>
    </row>
    <row r="32" spans="2:14" ht="15" customHeight="1">
      <c r="B32" s="321"/>
      <c r="C32" s="323"/>
      <c r="D32" s="323"/>
      <c r="E32" s="323"/>
      <c r="F32" s="323"/>
      <c r="G32" s="323"/>
      <c r="H32" s="323"/>
      <c r="I32" s="328"/>
      <c r="J32" s="326"/>
      <c r="K32" s="326"/>
      <c r="L32" s="326"/>
      <c r="M32" s="326"/>
      <c r="N32" s="327"/>
    </row>
    <row r="33" spans="2:14" ht="15" customHeight="1">
      <c r="B33" s="321"/>
      <c r="C33" s="323"/>
      <c r="D33" s="323"/>
      <c r="E33" s="323"/>
      <c r="F33" s="323"/>
      <c r="G33" s="323"/>
      <c r="H33" s="323"/>
      <c r="I33" s="328"/>
      <c r="J33" s="326"/>
      <c r="K33" s="326"/>
      <c r="L33" s="326"/>
      <c r="M33" s="326"/>
      <c r="N33" s="327"/>
    </row>
    <row r="34" spans="2:14" ht="15" customHeight="1">
      <c r="B34" s="321"/>
      <c r="C34" s="323"/>
      <c r="D34" s="323"/>
      <c r="E34" s="323"/>
      <c r="F34" s="323"/>
      <c r="G34" s="323"/>
      <c r="H34" s="323"/>
      <c r="I34" s="328"/>
      <c r="J34" s="326"/>
      <c r="K34" s="326"/>
      <c r="L34" s="326"/>
      <c r="M34" s="326"/>
      <c r="N34" s="327"/>
    </row>
    <row r="35" spans="2:14" ht="15" customHeight="1">
      <c r="B35" s="321"/>
      <c r="C35" s="323"/>
      <c r="D35" s="323"/>
      <c r="E35" s="323"/>
      <c r="F35" s="323"/>
      <c r="G35" s="323"/>
      <c r="H35" s="323"/>
      <c r="I35" s="328"/>
      <c r="J35" s="326"/>
      <c r="K35" s="326"/>
      <c r="L35" s="326"/>
      <c r="M35" s="326"/>
      <c r="N35" s="327"/>
    </row>
    <row r="36" spans="2:14" ht="15" customHeight="1">
      <c r="B36" s="321"/>
      <c r="C36" s="323"/>
      <c r="D36" s="323"/>
      <c r="E36" s="323"/>
      <c r="F36" s="323"/>
      <c r="G36" s="323"/>
      <c r="H36" s="323"/>
      <c r="I36" s="328"/>
      <c r="J36" s="326"/>
      <c r="K36" s="326"/>
      <c r="L36" s="326"/>
      <c r="M36" s="326"/>
      <c r="N36" s="327"/>
    </row>
    <row r="37" spans="2:14" ht="15" customHeight="1">
      <c r="B37" s="321"/>
      <c r="C37" s="323"/>
      <c r="D37" s="323"/>
      <c r="E37" s="323"/>
      <c r="F37" s="323"/>
      <c r="G37" s="323"/>
      <c r="H37" s="323"/>
      <c r="I37" s="328"/>
      <c r="J37" s="326"/>
      <c r="K37" s="326"/>
      <c r="L37" s="326"/>
      <c r="M37" s="326"/>
      <c r="N37" s="327"/>
    </row>
    <row r="38" spans="2:14" ht="15" customHeight="1">
      <c r="B38" s="321"/>
      <c r="C38" s="323"/>
      <c r="D38" s="323"/>
      <c r="E38" s="323"/>
      <c r="F38" s="323"/>
      <c r="G38" s="323"/>
      <c r="H38" s="323"/>
      <c r="I38" s="328"/>
      <c r="J38" s="326"/>
      <c r="K38" s="326"/>
      <c r="L38" s="326"/>
      <c r="M38" s="326"/>
      <c r="N38" s="327"/>
    </row>
    <row r="39" spans="2:14" ht="15" customHeight="1">
      <c r="B39" s="321"/>
      <c r="C39" s="323"/>
      <c r="D39" s="323"/>
      <c r="E39" s="323"/>
      <c r="F39" s="323"/>
      <c r="G39" s="323"/>
      <c r="H39" s="323"/>
      <c r="I39" s="328"/>
      <c r="J39" s="326"/>
      <c r="K39" s="326"/>
      <c r="L39" s="326"/>
      <c r="M39" s="326"/>
      <c r="N39" s="327"/>
    </row>
    <row r="40" spans="2:14" ht="15" customHeight="1">
      <c r="B40" s="321"/>
      <c r="C40" s="323"/>
      <c r="D40" s="323"/>
      <c r="E40" s="323"/>
      <c r="F40" s="323"/>
      <c r="G40" s="323"/>
      <c r="H40" s="323"/>
      <c r="I40" s="328"/>
      <c r="J40" s="326"/>
      <c r="K40" s="326"/>
      <c r="L40" s="326"/>
      <c r="M40" s="326"/>
      <c r="N40" s="327"/>
    </row>
    <row r="41" spans="2:14" ht="15" customHeight="1">
      <c r="B41" s="321"/>
      <c r="C41" s="323"/>
      <c r="D41" s="323"/>
      <c r="E41" s="323"/>
      <c r="F41" s="323"/>
      <c r="G41" s="323"/>
      <c r="H41" s="323"/>
      <c r="I41" s="328"/>
      <c r="J41" s="326"/>
      <c r="K41" s="326"/>
      <c r="L41" s="326"/>
      <c r="M41" s="326"/>
      <c r="N41" s="327"/>
    </row>
    <row r="42" spans="2:14" ht="15" customHeight="1">
      <c r="B42" s="321"/>
      <c r="C42" s="323"/>
      <c r="D42" s="323"/>
      <c r="E42" s="323"/>
      <c r="F42" s="323"/>
      <c r="G42" s="323"/>
      <c r="H42" s="323"/>
      <c r="I42" s="328"/>
      <c r="J42" s="326"/>
      <c r="K42" s="326"/>
      <c r="L42" s="326"/>
      <c r="M42" s="326"/>
      <c r="N42" s="327"/>
    </row>
    <row r="43" spans="2:14" ht="15" customHeight="1">
      <c r="B43" s="321"/>
      <c r="C43" s="323"/>
      <c r="D43" s="323"/>
      <c r="E43" s="323"/>
      <c r="F43" s="323"/>
      <c r="G43" s="323"/>
      <c r="H43" s="323"/>
      <c r="I43" s="328"/>
      <c r="J43" s="326"/>
      <c r="K43" s="326"/>
      <c r="L43" s="326"/>
      <c r="M43" s="326"/>
      <c r="N43" s="327"/>
    </row>
    <row r="44" spans="2:14" ht="15" customHeight="1">
      <c r="B44" s="321"/>
      <c r="C44" s="323"/>
      <c r="D44" s="323"/>
      <c r="E44" s="323"/>
      <c r="F44" s="323"/>
      <c r="G44" s="323"/>
      <c r="H44" s="323"/>
      <c r="I44" s="328"/>
      <c r="J44" s="326"/>
      <c r="K44" s="326"/>
      <c r="L44" s="326"/>
      <c r="M44" s="326"/>
      <c r="N44" s="327"/>
    </row>
    <row r="45" spans="2:14" ht="15" customHeight="1">
      <c r="B45" s="321"/>
      <c r="C45" s="323"/>
      <c r="D45" s="323"/>
      <c r="E45" s="323"/>
      <c r="F45" s="323"/>
      <c r="G45" s="323"/>
      <c r="H45" s="323"/>
      <c r="I45" s="328"/>
      <c r="J45" s="326"/>
      <c r="K45" s="326"/>
      <c r="L45" s="326"/>
      <c r="M45" s="326"/>
      <c r="N45" s="327"/>
    </row>
    <row r="46" spans="2:14" ht="15" customHeight="1">
      <c r="B46" s="321"/>
      <c r="C46" s="323"/>
      <c r="D46" s="323"/>
      <c r="E46" s="323"/>
      <c r="F46" s="323"/>
      <c r="G46" s="323"/>
      <c r="H46" s="323"/>
      <c r="I46" s="328"/>
      <c r="J46" s="326"/>
      <c r="K46" s="326"/>
      <c r="L46" s="326"/>
      <c r="M46" s="326"/>
      <c r="N46" s="327"/>
    </row>
    <row r="47" spans="2:14" ht="15" customHeight="1">
      <c r="B47" s="321"/>
      <c r="C47" s="323"/>
      <c r="D47" s="323"/>
      <c r="E47" s="323"/>
      <c r="F47" s="323"/>
      <c r="G47" s="323"/>
      <c r="H47" s="323"/>
      <c r="I47" s="328"/>
      <c r="J47" s="326"/>
      <c r="K47" s="326"/>
      <c r="L47" s="326"/>
      <c r="M47" s="326"/>
      <c r="N47" s="327"/>
    </row>
    <row r="48" spans="2:14" ht="15" customHeight="1">
      <c r="B48" s="321"/>
      <c r="C48" s="323"/>
      <c r="D48" s="323"/>
      <c r="E48" s="323"/>
      <c r="F48" s="323"/>
      <c r="G48" s="323"/>
      <c r="H48" s="323"/>
      <c r="I48" s="328"/>
      <c r="J48" s="326"/>
      <c r="K48" s="326"/>
      <c r="L48" s="326"/>
      <c r="M48" s="326"/>
      <c r="N48" s="327"/>
    </row>
    <row r="49" spans="2:14" ht="15" customHeight="1">
      <c r="B49" s="321"/>
      <c r="C49" s="323"/>
      <c r="D49" s="323"/>
      <c r="E49" s="323"/>
      <c r="F49" s="323"/>
      <c r="G49" s="323"/>
      <c r="H49" s="323"/>
      <c r="I49" s="328"/>
      <c r="J49" s="326"/>
      <c r="K49" s="326"/>
      <c r="L49" s="326"/>
      <c r="M49" s="326"/>
      <c r="N49" s="327"/>
    </row>
    <row r="50" spans="2:14" ht="15" customHeight="1">
      <c r="B50" s="321"/>
      <c r="C50" s="323"/>
      <c r="D50" s="323"/>
      <c r="E50" s="323"/>
      <c r="F50" s="323"/>
      <c r="G50" s="323"/>
      <c r="H50" s="323"/>
      <c r="I50" s="328"/>
      <c r="J50" s="326"/>
      <c r="K50" s="326"/>
      <c r="L50" s="326"/>
      <c r="M50" s="326"/>
      <c r="N50" s="327"/>
    </row>
    <row r="51" spans="2:14" ht="15" customHeight="1">
      <c r="B51" s="321"/>
      <c r="C51" s="323"/>
      <c r="D51" s="323"/>
      <c r="E51" s="323"/>
      <c r="F51" s="323"/>
      <c r="G51" s="323"/>
      <c r="H51" s="323"/>
      <c r="I51" s="328"/>
      <c r="J51" s="326"/>
      <c r="K51" s="326"/>
      <c r="L51" s="326"/>
      <c r="M51" s="326"/>
      <c r="N51" s="327"/>
    </row>
    <row r="52" spans="2:14" ht="15" customHeight="1" thickBot="1">
      <c r="B52" s="330"/>
      <c r="C52" s="331"/>
      <c r="D52" s="331"/>
      <c r="E52" s="331"/>
      <c r="F52" s="331"/>
      <c r="G52" s="331"/>
      <c r="H52" s="331"/>
      <c r="I52" s="332"/>
      <c r="J52" s="333"/>
      <c r="K52" s="333"/>
      <c r="L52" s="333"/>
      <c r="M52" s="333"/>
      <c r="N52" s="334"/>
    </row>
    <row r="53" spans="2:14" ht="20.25" customHeight="1" thickBot="1">
      <c r="B53" s="649" t="s">
        <v>360</v>
      </c>
      <c r="C53" s="649"/>
      <c r="D53" s="649"/>
      <c r="E53" s="649"/>
      <c r="F53" s="649"/>
      <c r="G53" s="649"/>
      <c r="H53" s="649"/>
      <c r="I53" s="649"/>
      <c r="J53" s="649"/>
      <c r="K53" s="649"/>
      <c r="L53" s="649"/>
      <c r="M53" s="649"/>
      <c r="N53" s="649"/>
    </row>
    <row r="54" spans="2:14" ht="15" customHeight="1" thickBot="1">
      <c r="B54" s="335" t="s">
        <v>361</v>
      </c>
      <c r="C54" s="650" t="s">
        <v>358</v>
      </c>
      <c r="D54" s="651"/>
      <c r="E54" s="651"/>
      <c r="F54" s="651"/>
      <c r="G54" s="651"/>
      <c r="H54" s="336"/>
      <c r="I54" s="650" t="s">
        <v>353</v>
      </c>
      <c r="J54" s="651"/>
      <c r="K54" s="652"/>
      <c r="L54" s="650" t="s">
        <v>362</v>
      </c>
      <c r="M54" s="651"/>
      <c r="N54" s="653"/>
    </row>
    <row r="55" spans="2:14" ht="15" customHeight="1">
      <c r="B55" s="337"/>
      <c r="C55" s="639"/>
      <c r="D55" s="640"/>
      <c r="E55" s="640"/>
      <c r="F55" s="640"/>
      <c r="G55" s="640"/>
      <c r="H55" s="338"/>
      <c r="I55" s="641"/>
      <c r="J55" s="642"/>
      <c r="K55" s="643"/>
      <c r="L55" s="644"/>
      <c r="M55" s="645"/>
      <c r="N55" s="646"/>
    </row>
    <row r="56" spans="2:14" ht="15" customHeight="1">
      <c r="B56" s="339"/>
      <c r="C56" s="654"/>
      <c r="D56" s="655"/>
      <c r="E56" s="655"/>
      <c r="F56" s="655"/>
      <c r="G56" s="655"/>
      <c r="H56" s="340"/>
      <c r="I56" s="656"/>
      <c r="J56" s="657"/>
      <c r="K56" s="658"/>
      <c r="L56" s="659"/>
      <c r="M56" s="660"/>
      <c r="N56" s="661"/>
    </row>
    <row r="57" spans="2:14" ht="15" customHeight="1">
      <c r="B57" s="339"/>
      <c r="C57" s="654"/>
      <c r="D57" s="655"/>
      <c r="E57" s="655"/>
      <c r="F57" s="655"/>
      <c r="G57" s="655"/>
      <c r="H57" s="340"/>
      <c r="I57" s="656"/>
      <c r="J57" s="657"/>
      <c r="K57" s="658"/>
      <c r="L57" s="659"/>
      <c r="M57" s="660"/>
      <c r="N57" s="661"/>
    </row>
    <row r="58" spans="2:14" ht="15" customHeight="1">
      <c r="B58" s="339"/>
      <c r="C58" s="654"/>
      <c r="D58" s="655"/>
      <c r="E58" s="655"/>
      <c r="F58" s="655"/>
      <c r="G58" s="655"/>
      <c r="H58" s="340"/>
      <c r="I58" s="656"/>
      <c r="J58" s="657"/>
      <c r="K58" s="658"/>
      <c r="L58" s="659"/>
      <c r="M58" s="660"/>
      <c r="N58" s="661"/>
    </row>
    <row r="59" spans="2:14" ht="15" customHeight="1">
      <c r="B59" s="339"/>
      <c r="C59" s="654"/>
      <c r="D59" s="655"/>
      <c r="E59" s="655"/>
      <c r="F59" s="655"/>
      <c r="G59" s="655"/>
      <c r="H59" s="340"/>
      <c r="I59" s="656"/>
      <c r="J59" s="657"/>
      <c r="K59" s="658"/>
      <c r="L59" s="659"/>
      <c r="M59" s="660"/>
      <c r="N59" s="661"/>
    </row>
    <row r="60" spans="2:14" ht="15" customHeight="1">
      <c r="B60" s="339"/>
      <c r="C60" s="654"/>
      <c r="D60" s="655"/>
      <c r="E60" s="655"/>
      <c r="F60" s="655"/>
      <c r="G60" s="655"/>
      <c r="H60" s="340"/>
      <c r="I60" s="656"/>
      <c r="J60" s="657"/>
      <c r="K60" s="658"/>
      <c r="L60" s="659"/>
      <c r="M60" s="660"/>
      <c r="N60" s="661"/>
    </row>
    <row r="61" spans="2:14" ht="15" customHeight="1">
      <c r="B61" s="339"/>
      <c r="C61" s="654"/>
      <c r="D61" s="655"/>
      <c r="E61" s="655"/>
      <c r="F61" s="655"/>
      <c r="G61" s="655"/>
      <c r="H61" s="340"/>
      <c r="I61" s="656"/>
      <c r="J61" s="657"/>
      <c r="K61" s="658"/>
      <c r="L61" s="659"/>
      <c r="M61" s="660"/>
      <c r="N61" s="661"/>
    </row>
    <row r="62" spans="2:14" ht="15" customHeight="1">
      <c r="B62" s="339"/>
      <c r="C62" s="654"/>
      <c r="D62" s="655"/>
      <c r="E62" s="655"/>
      <c r="F62" s="655"/>
      <c r="G62" s="655"/>
      <c r="H62" s="340"/>
      <c r="I62" s="656"/>
      <c r="J62" s="657"/>
      <c r="K62" s="658"/>
      <c r="L62" s="659"/>
      <c r="M62" s="660"/>
      <c r="N62" s="661"/>
    </row>
    <row r="63" spans="2:14" ht="15" customHeight="1">
      <c r="B63" s="339"/>
      <c r="C63" s="654"/>
      <c r="D63" s="655"/>
      <c r="E63" s="655"/>
      <c r="F63" s="655"/>
      <c r="G63" s="655"/>
      <c r="H63" s="340"/>
      <c r="I63" s="656"/>
      <c r="J63" s="657"/>
      <c r="K63" s="658"/>
      <c r="L63" s="659"/>
      <c r="M63" s="660"/>
      <c r="N63" s="661"/>
    </row>
    <row r="64" spans="2:14" ht="15" customHeight="1">
      <c r="B64" s="339"/>
      <c r="C64" s="654"/>
      <c r="D64" s="655"/>
      <c r="E64" s="655"/>
      <c r="F64" s="655"/>
      <c r="G64" s="655"/>
      <c r="H64" s="340"/>
      <c r="I64" s="656"/>
      <c r="J64" s="657"/>
      <c r="K64" s="658"/>
      <c r="L64" s="659"/>
      <c r="M64" s="660"/>
      <c r="N64" s="661"/>
    </row>
    <row r="65" spans="2:14" ht="15" customHeight="1">
      <c r="B65" s="339"/>
      <c r="C65" s="654"/>
      <c r="D65" s="655"/>
      <c r="E65" s="655"/>
      <c r="F65" s="655"/>
      <c r="G65" s="655"/>
      <c r="H65" s="340"/>
      <c r="I65" s="656"/>
      <c r="J65" s="657"/>
      <c r="K65" s="658"/>
      <c r="L65" s="659"/>
      <c r="M65" s="660"/>
      <c r="N65" s="661"/>
    </row>
    <row r="66" spans="2:14" ht="15" customHeight="1">
      <c r="B66" s="339"/>
      <c r="C66" s="654"/>
      <c r="D66" s="655"/>
      <c r="E66" s="655"/>
      <c r="F66" s="655"/>
      <c r="G66" s="655"/>
      <c r="H66" s="340"/>
      <c r="I66" s="656"/>
      <c r="J66" s="657"/>
      <c r="K66" s="658"/>
      <c r="L66" s="659"/>
      <c r="M66" s="660"/>
      <c r="N66" s="661"/>
    </row>
    <row r="67" spans="2:14" ht="15" customHeight="1">
      <c r="B67" s="339"/>
      <c r="C67" s="654"/>
      <c r="D67" s="655"/>
      <c r="E67" s="655"/>
      <c r="F67" s="655"/>
      <c r="G67" s="655"/>
      <c r="H67" s="340"/>
      <c r="I67" s="656"/>
      <c r="J67" s="657"/>
      <c r="K67" s="658"/>
      <c r="L67" s="659"/>
      <c r="M67" s="660"/>
      <c r="N67" s="661"/>
    </row>
    <row r="68" spans="2:14" ht="15" customHeight="1">
      <c r="B68" s="339"/>
      <c r="C68" s="654"/>
      <c r="D68" s="655"/>
      <c r="E68" s="655"/>
      <c r="F68" s="655"/>
      <c r="G68" s="655"/>
      <c r="H68" s="340"/>
      <c r="I68" s="656"/>
      <c r="J68" s="657"/>
      <c r="K68" s="658"/>
      <c r="L68" s="659"/>
      <c r="M68" s="660"/>
      <c r="N68" s="661"/>
    </row>
    <row r="69" spans="2:14" ht="15" customHeight="1">
      <c r="B69" s="339"/>
      <c r="C69" s="654"/>
      <c r="D69" s="655"/>
      <c r="E69" s="655"/>
      <c r="F69" s="655"/>
      <c r="G69" s="655"/>
      <c r="H69" s="340"/>
      <c r="I69" s="656"/>
      <c r="J69" s="657"/>
      <c r="K69" s="658"/>
      <c r="L69" s="659"/>
      <c r="M69" s="660"/>
      <c r="N69" s="661"/>
    </row>
    <row r="70" spans="2:14" ht="15" customHeight="1">
      <c r="B70" s="339"/>
      <c r="C70" s="654"/>
      <c r="D70" s="655"/>
      <c r="E70" s="655"/>
      <c r="F70" s="655"/>
      <c r="G70" s="655"/>
      <c r="H70" s="340"/>
      <c r="I70" s="656"/>
      <c r="J70" s="657"/>
      <c r="K70" s="658"/>
      <c r="L70" s="659"/>
      <c r="M70" s="660"/>
      <c r="N70" s="661"/>
    </row>
    <row r="71" spans="2:14" ht="15" customHeight="1">
      <c r="B71" s="339"/>
      <c r="C71" s="654"/>
      <c r="D71" s="655"/>
      <c r="E71" s="655"/>
      <c r="F71" s="655"/>
      <c r="G71" s="655"/>
      <c r="H71" s="340"/>
      <c r="I71" s="656"/>
      <c r="J71" s="657"/>
      <c r="K71" s="658"/>
      <c r="L71" s="659"/>
      <c r="M71" s="660"/>
      <c r="N71" s="661"/>
    </row>
    <row r="72" spans="2:14">
      <c r="B72" s="339"/>
      <c r="C72" s="654"/>
      <c r="D72" s="655"/>
      <c r="E72" s="655"/>
      <c r="F72" s="655"/>
      <c r="G72" s="655"/>
      <c r="H72" s="340"/>
      <c r="I72" s="656"/>
      <c r="J72" s="657"/>
      <c r="K72" s="658"/>
      <c r="L72" s="659"/>
      <c r="M72" s="660"/>
      <c r="N72" s="661"/>
    </row>
    <row r="73" spans="2:14">
      <c r="B73" s="339"/>
      <c r="C73" s="654"/>
      <c r="D73" s="655"/>
      <c r="E73" s="655"/>
      <c r="F73" s="655"/>
      <c r="G73" s="655"/>
      <c r="H73" s="340"/>
      <c r="I73" s="656"/>
      <c r="J73" s="657"/>
      <c r="K73" s="658"/>
      <c r="L73" s="659"/>
      <c r="M73" s="660"/>
      <c r="N73" s="661"/>
    </row>
    <row r="74" spans="2:14">
      <c r="B74" s="339"/>
      <c r="C74" s="654"/>
      <c r="D74" s="655"/>
      <c r="E74" s="655"/>
      <c r="F74" s="655"/>
      <c r="G74" s="655"/>
      <c r="H74" s="340"/>
      <c r="I74" s="656"/>
      <c r="J74" s="657"/>
      <c r="K74" s="658"/>
      <c r="L74" s="659"/>
      <c r="M74" s="660"/>
      <c r="N74" s="661"/>
    </row>
    <row r="75" spans="2:14">
      <c r="B75" s="339"/>
      <c r="C75" s="654"/>
      <c r="D75" s="655"/>
      <c r="E75" s="655"/>
      <c r="F75" s="655"/>
      <c r="G75" s="655"/>
      <c r="H75" s="340"/>
      <c r="I75" s="656"/>
      <c r="J75" s="657"/>
      <c r="K75" s="658"/>
      <c r="L75" s="659"/>
      <c r="M75" s="660"/>
      <c r="N75" s="661"/>
    </row>
    <row r="76" spans="2:14">
      <c r="B76" s="339"/>
      <c r="C76" s="654"/>
      <c r="D76" s="655"/>
      <c r="E76" s="655"/>
      <c r="F76" s="655"/>
      <c r="G76" s="655"/>
      <c r="H76" s="340"/>
      <c r="I76" s="656"/>
      <c r="J76" s="657"/>
      <c r="K76" s="658"/>
      <c r="L76" s="659"/>
      <c r="M76" s="660"/>
      <c r="N76" s="661"/>
    </row>
    <row r="77" spans="2:14">
      <c r="B77" s="339"/>
      <c r="C77" s="654"/>
      <c r="D77" s="655"/>
      <c r="E77" s="655"/>
      <c r="F77" s="655"/>
      <c r="G77" s="655"/>
      <c r="H77" s="340"/>
      <c r="I77" s="656"/>
      <c r="J77" s="657"/>
      <c r="K77" s="658"/>
      <c r="L77" s="659"/>
      <c r="M77" s="660"/>
      <c r="N77" s="661"/>
    </row>
    <row r="78" spans="2:14">
      <c r="B78" s="339"/>
      <c r="C78" s="654"/>
      <c r="D78" s="655"/>
      <c r="E78" s="655"/>
      <c r="F78" s="655"/>
      <c r="G78" s="655"/>
      <c r="H78" s="340"/>
      <c r="I78" s="656"/>
      <c r="J78" s="657"/>
      <c r="K78" s="658"/>
      <c r="L78" s="659"/>
      <c r="M78" s="660"/>
      <c r="N78" s="661"/>
    </row>
    <row r="79" spans="2:14" ht="13.5" thickBot="1">
      <c r="B79" s="341"/>
      <c r="C79" s="662"/>
      <c r="D79" s="663"/>
      <c r="E79" s="663"/>
      <c r="F79" s="663"/>
      <c r="G79" s="663"/>
      <c r="H79" s="342"/>
      <c r="I79" s="664"/>
      <c r="J79" s="665"/>
      <c r="K79" s="666"/>
      <c r="L79" s="667"/>
      <c r="M79" s="668"/>
      <c r="N79" s="669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sqref="A1:F1"/>
    </sheetView>
  </sheetViews>
  <sheetFormatPr defaultRowHeight="12.75"/>
  <cols>
    <col min="1" max="6" width="14.7109375" style="343" customWidth="1"/>
    <col min="7" max="16384" width="9.140625" style="343"/>
  </cols>
  <sheetData>
    <row r="1" spans="1:7" ht="20.25">
      <c r="A1" s="670" t="s">
        <v>369</v>
      </c>
      <c r="B1" s="670"/>
      <c r="C1" s="670"/>
      <c r="D1" s="670"/>
      <c r="E1" s="670"/>
      <c r="F1" s="670"/>
    </row>
    <row r="2" spans="1:7" ht="19.5" thickBot="1">
      <c r="A2" s="344"/>
      <c r="B2" s="344"/>
      <c r="C2" s="671" t="s">
        <v>381</v>
      </c>
      <c r="D2" s="671"/>
      <c r="E2" s="344"/>
      <c r="F2" s="344"/>
      <c r="G2" s="344"/>
    </row>
    <row r="3" spans="1:7" ht="19.5">
      <c r="A3" s="672" t="s">
        <v>370</v>
      </c>
      <c r="B3" s="673"/>
      <c r="C3" s="674"/>
      <c r="D3" s="672" t="s">
        <v>371</v>
      </c>
      <c r="E3" s="673"/>
      <c r="F3" s="674"/>
      <c r="G3" s="344"/>
    </row>
    <row r="4" spans="1:7" ht="15.75">
      <c r="A4" s="345" t="s">
        <v>382</v>
      </c>
      <c r="B4" s="675" t="s">
        <v>384</v>
      </c>
      <c r="C4" s="676"/>
      <c r="D4" s="677" t="s">
        <v>385</v>
      </c>
      <c r="E4" s="678"/>
      <c r="F4" s="679"/>
      <c r="G4" s="344"/>
    </row>
    <row r="5" spans="1:7" ht="16.5" thickBot="1">
      <c r="A5" s="346" t="s">
        <v>383</v>
      </c>
      <c r="B5" s="683" t="s">
        <v>383</v>
      </c>
      <c r="C5" s="684"/>
      <c r="D5" s="685" t="s">
        <v>386</v>
      </c>
      <c r="E5" s="686"/>
      <c r="F5" s="687"/>
      <c r="G5" s="344"/>
    </row>
    <row r="6" spans="1:7" ht="19.5">
      <c r="A6" s="672" t="s">
        <v>372</v>
      </c>
      <c r="B6" s="673"/>
      <c r="C6" s="673"/>
      <c r="D6" s="673"/>
      <c r="E6" s="673"/>
      <c r="F6" s="674"/>
      <c r="G6" s="344"/>
    </row>
    <row r="7" spans="1:7" ht="15.75">
      <c r="A7" s="347" t="s">
        <v>373</v>
      </c>
      <c r="B7" s="348" t="s">
        <v>387</v>
      </c>
      <c r="C7" s="349" t="s">
        <v>374</v>
      </c>
      <c r="D7" s="350" t="s">
        <v>388</v>
      </c>
      <c r="E7" s="688" t="s">
        <v>375</v>
      </c>
      <c r="F7" s="689"/>
      <c r="G7" s="344"/>
    </row>
    <row r="8" spans="1:7" ht="16.5" thickBot="1">
      <c r="A8" s="351"/>
      <c r="B8" s="352" t="s">
        <v>383</v>
      </c>
      <c r="C8" s="353"/>
      <c r="D8" s="354" t="s">
        <v>383</v>
      </c>
      <c r="E8" s="690" t="s">
        <v>389</v>
      </c>
      <c r="F8" s="687"/>
      <c r="G8" s="344"/>
    </row>
    <row r="9" spans="1:7" ht="19.5">
      <c r="A9" s="672" t="s">
        <v>376</v>
      </c>
      <c r="B9" s="673"/>
      <c r="C9" s="674"/>
      <c r="D9" s="672" t="s">
        <v>377</v>
      </c>
      <c r="E9" s="673"/>
      <c r="F9" s="674"/>
      <c r="G9" s="344"/>
    </row>
    <row r="10" spans="1:7" ht="15.75">
      <c r="A10" s="355" t="s">
        <v>378</v>
      </c>
      <c r="B10" s="691" t="s">
        <v>390</v>
      </c>
      <c r="C10" s="676"/>
      <c r="D10" s="692" t="s">
        <v>392</v>
      </c>
      <c r="E10" s="693"/>
      <c r="F10" s="356" t="s">
        <v>393</v>
      </c>
      <c r="G10" s="344"/>
    </row>
    <row r="11" spans="1:7" ht="16.5" thickBot="1">
      <c r="A11" s="357" t="s">
        <v>379</v>
      </c>
      <c r="B11" s="686" t="s">
        <v>391</v>
      </c>
      <c r="C11" s="687"/>
      <c r="D11" s="694"/>
      <c r="E11" s="695"/>
      <c r="F11" s="358" t="s">
        <v>383</v>
      </c>
      <c r="G11" s="344"/>
    </row>
    <row r="12" spans="1:7" ht="19.5">
      <c r="A12" s="672" t="s">
        <v>380</v>
      </c>
      <c r="B12" s="673"/>
      <c r="C12" s="673"/>
      <c r="D12" s="673"/>
      <c r="E12" s="673"/>
      <c r="F12" s="674"/>
      <c r="G12" s="344"/>
    </row>
    <row r="13" spans="1:7" ht="16.5" thickBot="1">
      <c r="A13" s="680" t="s">
        <v>394</v>
      </c>
      <c r="B13" s="681"/>
      <c r="C13" s="682" t="s">
        <v>395</v>
      </c>
      <c r="D13" s="682"/>
      <c r="E13" s="682"/>
      <c r="F13" s="359"/>
      <c r="G13" s="344"/>
    </row>
    <row r="14" spans="1:7" ht="18.95" customHeight="1">
      <c r="A14" s="360"/>
      <c r="B14" s="360"/>
      <c r="C14" s="360"/>
      <c r="D14" s="360"/>
      <c r="E14" s="360"/>
      <c r="F14" s="360"/>
      <c r="G14" s="344"/>
    </row>
    <row r="15" spans="1:7" ht="15.75">
      <c r="G15" s="344"/>
    </row>
    <row r="16" spans="1:7" ht="15.75">
      <c r="G16" s="344"/>
    </row>
    <row r="17" spans="7:7" ht="15.75">
      <c r="G17" s="344"/>
    </row>
    <row r="18" spans="7:7" ht="15.75">
      <c r="G18" s="344"/>
    </row>
    <row r="19" spans="7:7" ht="15.75">
      <c r="G19" s="344"/>
    </row>
    <row r="20" spans="7:7" ht="15.75">
      <c r="G20" s="344"/>
    </row>
    <row r="21" spans="7:7" ht="15.75">
      <c r="G21" s="344"/>
    </row>
    <row r="22" spans="7:7" ht="15.75">
      <c r="G22" s="344"/>
    </row>
    <row r="23" spans="7:7" ht="15.75">
      <c r="G23" s="344"/>
    </row>
    <row r="24" spans="7:7" ht="15.75">
      <c r="G24" s="344"/>
    </row>
    <row r="25" spans="7:7" ht="15.75">
      <c r="G25" s="344"/>
    </row>
    <row r="26" spans="7:7" ht="15.75">
      <c r="G26" s="344"/>
    </row>
    <row r="27" spans="7:7" ht="18.95" customHeight="1">
      <c r="G27" s="344"/>
    </row>
    <row r="28" spans="7:7" ht="15.75">
      <c r="G28" s="344"/>
    </row>
    <row r="29" spans="7:7" ht="15.75">
      <c r="G29" s="344"/>
    </row>
    <row r="30" spans="7:7" ht="15.75">
      <c r="G30" s="344"/>
    </row>
    <row r="31" spans="7:7" ht="15.75">
      <c r="G31" s="344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topLeftCell="A16" workbookViewId="0">
      <selection activeCell="I39" sqref="I39"/>
    </sheetView>
  </sheetViews>
  <sheetFormatPr defaultRowHeight="12.75"/>
  <cols>
    <col min="1" max="6" width="16.7109375" style="343" customWidth="1"/>
    <col min="7" max="16384" width="9.140625" style="343"/>
  </cols>
  <sheetData>
    <row r="1" spans="1:6" ht="18.95" customHeight="1">
      <c r="A1" s="362"/>
      <c r="B1" s="363"/>
      <c r="C1" s="363"/>
      <c r="D1" s="363"/>
      <c r="E1" s="363"/>
      <c r="F1" s="364"/>
    </row>
    <row r="2" spans="1:6" ht="26.1" customHeight="1">
      <c r="A2" s="365" t="s">
        <v>252</v>
      </c>
      <c r="B2" s="366"/>
      <c r="C2" s="366"/>
      <c r="D2" s="366"/>
      <c r="E2" s="366"/>
      <c r="F2" s="367"/>
    </row>
    <row r="3" spans="1:6" ht="18.95" customHeight="1">
      <c r="A3" s="368" t="s">
        <v>399</v>
      </c>
      <c r="B3" s="366"/>
      <c r="C3" s="366"/>
      <c r="D3" s="366"/>
      <c r="E3" s="366"/>
      <c r="F3" s="367"/>
    </row>
    <row r="4" spans="1:6" ht="18.95" customHeight="1">
      <c r="A4" s="369"/>
      <c r="B4" s="370"/>
      <c r="C4" s="370"/>
      <c r="D4" s="370"/>
      <c r="E4" s="370"/>
      <c r="F4" s="371"/>
    </row>
    <row r="5" spans="1:6" ht="18.95" customHeight="1">
      <c r="A5" s="369"/>
      <c r="B5" s="370"/>
      <c r="C5" s="370"/>
      <c r="D5" s="370"/>
      <c r="E5" s="370"/>
      <c r="F5" s="371"/>
    </row>
    <row r="6" spans="1:6" ht="18.95" customHeight="1">
      <c r="A6" s="552" t="s">
        <v>400</v>
      </c>
      <c r="B6" s="696" t="str">
        <f>'Performance Data Sheet'!C17</f>
        <v>M207TCAL11E-C</v>
      </c>
      <c r="C6" s="697"/>
      <c r="D6" s="698"/>
      <c r="E6" s="552" t="s">
        <v>401</v>
      </c>
      <c r="F6" s="553">
        <v>126</v>
      </c>
    </row>
    <row r="7" spans="1:6" ht="18.95" customHeight="1">
      <c r="A7" s="552" t="s">
        <v>402</v>
      </c>
      <c r="B7" s="553" t="str">
        <f>'Performance Data Sheet'!F14</f>
        <v>TEAAC</v>
      </c>
      <c r="C7" s="552" t="s">
        <v>403</v>
      </c>
      <c r="D7" s="553" t="s">
        <v>425</v>
      </c>
      <c r="E7" s="552" t="s">
        <v>404</v>
      </c>
      <c r="F7" s="553" t="str">
        <f>'Performance Data Sheet'!C14</f>
        <v>6810US</v>
      </c>
    </row>
    <row r="8" spans="1:6" ht="18.95" customHeight="1">
      <c r="A8" s="552" t="s">
        <v>405</v>
      </c>
      <c r="B8" s="553">
        <v>6</v>
      </c>
      <c r="C8" s="552" t="s">
        <v>406</v>
      </c>
      <c r="D8" s="553" t="s">
        <v>407</v>
      </c>
      <c r="E8" s="552" t="s">
        <v>408</v>
      </c>
      <c r="F8" s="553" t="str">
        <f>'Performance Data Sheet'!M15</f>
        <v>F</v>
      </c>
    </row>
    <row r="9" spans="1:6" ht="18.95" customHeight="1">
      <c r="A9" s="552" t="s">
        <v>409</v>
      </c>
      <c r="B9" s="553">
        <v>1000</v>
      </c>
      <c r="C9" s="552" t="s">
        <v>410</v>
      </c>
      <c r="D9" s="553" t="s">
        <v>426</v>
      </c>
      <c r="E9" s="552" t="s">
        <v>2</v>
      </c>
      <c r="F9" s="554">
        <f>'Performance Data Sheet'!K45</f>
        <v>41992</v>
      </c>
    </row>
    <row r="10" spans="1:6" ht="18.95" customHeight="1">
      <c r="A10" s="552" t="s">
        <v>411</v>
      </c>
      <c r="B10" s="553">
        <v>1192</v>
      </c>
      <c r="C10" s="552" t="s">
        <v>412</v>
      </c>
      <c r="D10" s="553" t="s">
        <v>413</v>
      </c>
      <c r="E10" s="552" t="s">
        <v>1</v>
      </c>
      <c r="F10" s="553" t="s">
        <v>756</v>
      </c>
    </row>
    <row r="11" spans="1:6" ht="18.95" customHeight="1">
      <c r="A11" s="369"/>
      <c r="B11" s="370"/>
      <c r="C11" s="370"/>
      <c r="D11" s="370"/>
      <c r="E11" s="370"/>
      <c r="F11" s="371"/>
    </row>
    <row r="12" spans="1:6" ht="18.95" customHeight="1">
      <c r="A12" s="369"/>
      <c r="B12" s="375" t="s">
        <v>414</v>
      </c>
      <c r="C12" s="376" t="s">
        <v>427</v>
      </c>
      <c r="D12" s="375" t="s">
        <v>415</v>
      </c>
      <c r="E12" s="376" t="s">
        <v>413</v>
      </c>
      <c r="F12" s="371"/>
    </row>
    <row r="13" spans="1:6" ht="18.95" customHeight="1">
      <c r="A13" s="369"/>
      <c r="B13" s="375" t="s">
        <v>416</v>
      </c>
      <c r="C13" s="377">
        <v>0.75</v>
      </c>
      <c r="D13" s="375" t="s">
        <v>417</v>
      </c>
      <c r="E13" s="376" t="s">
        <v>413</v>
      </c>
      <c r="F13" s="371"/>
    </row>
    <row r="14" spans="1:6" ht="18.95" customHeight="1">
      <c r="A14" s="369"/>
      <c r="B14" s="375" t="s">
        <v>418</v>
      </c>
      <c r="C14" s="377">
        <v>2.2000000000000002</v>
      </c>
      <c r="D14" s="375" t="s">
        <v>419</v>
      </c>
      <c r="E14" s="376" t="s">
        <v>413</v>
      </c>
      <c r="F14" s="371"/>
    </row>
    <row r="15" spans="1:6" ht="18.95" customHeight="1">
      <c r="A15" s="369"/>
      <c r="B15" s="375" t="s">
        <v>420</v>
      </c>
      <c r="C15" s="376" t="s">
        <v>751</v>
      </c>
      <c r="D15" s="370"/>
      <c r="E15" s="370"/>
      <c r="F15" s="371"/>
    </row>
    <row r="16" spans="1:6" ht="18.95" customHeight="1">
      <c r="A16" s="369"/>
      <c r="B16" s="370"/>
      <c r="C16" s="370"/>
      <c r="D16" s="370"/>
      <c r="E16" s="370"/>
      <c r="F16" s="371"/>
    </row>
    <row r="17" spans="1:6" ht="18.95" customHeight="1">
      <c r="A17" s="369"/>
      <c r="B17" s="370"/>
      <c r="C17" s="370"/>
      <c r="D17" s="370"/>
      <c r="E17" s="370"/>
      <c r="F17" s="371"/>
    </row>
    <row r="18" spans="1:6" ht="18.95" customHeight="1">
      <c r="A18" s="369"/>
      <c r="B18" s="370"/>
      <c r="C18" s="370"/>
      <c r="D18" s="370"/>
      <c r="E18" s="370"/>
      <c r="F18" s="371"/>
    </row>
    <row r="19" spans="1:6" ht="18.95" customHeight="1">
      <c r="A19" s="369"/>
      <c r="B19" s="370"/>
      <c r="C19" s="370"/>
      <c r="D19" s="370"/>
      <c r="E19" s="370"/>
      <c r="F19" s="371"/>
    </row>
    <row r="20" spans="1:6" ht="18.95" customHeight="1">
      <c r="A20" s="369"/>
      <c r="B20" s="370"/>
      <c r="C20" s="370"/>
      <c r="D20" s="370"/>
      <c r="E20" s="370"/>
      <c r="F20" s="371"/>
    </row>
    <row r="21" spans="1:6" ht="18.95" customHeight="1">
      <c r="A21" s="369"/>
      <c r="B21" s="370"/>
      <c r="C21" s="370"/>
      <c r="D21" s="370"/>
      <c r="E21" s="370"/>
      <c r="F21" s="371"/>
    </row>
    <row r="22" spans="1:6" ht="18.95" customHeight="1">
      <c r="A22" s="369"/>
      <c r="B22" s="370"/>
      <c r="C22" s="370"/>
      <c r="D22" s="370"/>
      <c r="E22" s="370"/>
      <c r="F22" s="371"/>
    </row>
    <row r="23" spans="1:6" ht="18.95" customHeight="1">
      <c r="A23" s="369"/>
      <c r="B23" s="370"/>
      <c r="C23" s="370"/>
      <c r="D23" s="370"/>
      <c r="E23" s="370"/>
      <c r="F23" s="371"/>
    </row>
    <row r="24" spans="1:6" ht="18.95" customHeight="1">
      <c r="A24" s="369"/>
      <c r="B24" s="370"/>
      <c r="C24" s="370"/>
      <c r="D24" s="370"/>
      <c r="E24" s="370"/>
      <c r="F24" s="371"/>
    </row>
    <row r="25" spans="1:6" ht="18.95" customHeight="1">
      <c r="A25" s="369"/>
      <c r="B25" s="370"/>
      <c r="C25" s="370"/>
      <c r="D25" s="370"/>
      <c r="E25" s="370"/>
      <c r="F25" s="371"/>
    </row>
    <row r="26" spans="1:6" ht="18.95" customHeight="1">
      <c r="A26" s="369"/>
      <c r="B26" s="370"/>
      <c r="C26" s="370"/>
      <c r="D26" s="370"/>
      <c r="E26" s="370"/>
      <c r="F26" s="371"/>
    </row>
    <row r="27" spans="1:6" ht="18.95" customHeight="1">
      <c r="A27" s="369"/>
      <c r="B27" s="370"/>
      <c r="C27" s="370"/>
      <c r="D27" s="370"/>
      <c r="E27" s="370"/>
      <c r="F27" s="371"/>
    </row>
    <row r="28" spans="1:6" ht="18.95" customHeight="1">
      <c r="A28" s="369"/>
      <c r="B28" s="370"/>
      <c r="C28" s="370"/>
      <c r="D28" s="370"/>
      <c r="E28" s="370"/>
      <c r="F28" s="371"/>
    </row>
    <row r="29" spans="1:6" ht="18.95" customHeight="1">
      <c r="A29" s="369"/>
      <c r="B29" s="370"/>
      <c r="C29" s="370"/>
      <c r="D29" s="370"/>
      <c r="E29" s="370"/>
      <c r="F29" s="371"/>
    </row>
    <row r="30" spans="1:6" ht="18.95" customHeight="1">
      <c r="A30" s="369"/>
      <c r="B30" s="370"/>
      <c r="C30" s="370"/>
      <c r="D30" s="370"/>
      <c r="E30" s="370"/>
      <c r="F30" s="371"/>
    </row>
    <row r="31" spans="1:6" ht="18.95" customHeight="1">
      <c r="A31" s="369"/>
      <c r="B31" s="370"/>
      <c r="C31" s="370"/>
      <c r="D31" s="370"/>
      <c r="E31" s="370"/>
      <c r="F31" s="371"/>
    </row>
    <row r="32" spans="1:6" ht="18.95" customHeight="1">
      <c r="A32" s="369"/>
      <c r="B32" s="370"/>
      <c r="C32" s="370"/>
      <c r="D32" s="370"/>
      <c r="E32" s="370"/>
      <c r="F32" s="371"/>
    </row>
    <row r="33" spans="1:6" ht="18.95" customHeight="1">
      <c r="A33" s="369"/>
      <c r="B33" s="370"/>
      <c r="C33" s="370"/>
      <c r="D33" s="370"/>
      <c r="E33" s="370"/>
      <c r="F33" s="371"/>
    </row>
    <row r="34" spans="1:6" ht="18.95" customHeight="1">
      <c r="A34" s="369"/>
      <c r="B34" s="370"/>
      <c r="C34" s="370"/>
      <c r="D34" s="370"/>
      <c r="E34" s="370"/>
      <c r="F34" s="371"/>
    </row>
    <row r="35" spans="1:6" ht="18.95" customHeight="1">
      <c r="A35" s="369"/>
      <c r="B35" s="370"/>
      <c r="C35" s="370"/>
      <c r="D35" s="370"/>
      <c r="E35" s="370"/>
      <c r="F35" s="371"/>
    </row>
    <row r="36" spans="1:6" ht="18.95" customHeight="1">
      <c r="A36" s="369"/>
      <c r="B36" s="370"/>
      <c r="C36" s="370"/>
      <c r="D36" s="370"/>
      <c r="E36" s="370"/>
      <c r="F36" s="371"/>
    </row>
    <row r="37" spans="1:6" ht="18.95" customHeight="1">
      <c r="A37" s="369"/>
      <c r="B37" s="370"/>
      <c r="C37" s="370"/>
      <c r="D37" s="370"/>
      <c r="E37" s="370"/>
      <c r="F37" s="371"/>
    </row>
    <row r="38" spans="1:6" ht="18.95" customHeight="1">
      <c r="A38" s="369"/>
      <c r="B38" s="370"/>
      <c r="C38" s="370"/>
      <c r="D38" s="370"/>
      <c r="E38" s="370"/>
      <c r="F38" s="371"/>
    </row>
    <row r="39" spans="1:6" ht="18.95" customHeight="1">
      <c r="A39" s="558" t="s">
        <v>421</v>
      </c>
      <c r="B39" s="559"/>
      <c r="C39" s="559"/>
      <c r="D39" s="550"/>
      <c r="E39" s="555" t="s">
        <v>422</v>
      </c>
      <c r="F39" s="560" t="s">
        <v>756</v>
      </c>
    </row>
    <row r="40" spans="1:6" ht="18.95" customHeight="1">
      <c r="A40" s="549"/>
      <c r="B40" s="559"/>
      <c r="C40" s="559"/>
      <c r="D40" s="550"/>
      <c r="E40" s="550"/>
      <c r="F40" s="551"/>
    </row>
    <row r="41" spans="1:6" ht="18.95" customHeight="1">
      <c r="A41" s="549"/>
      <c r="B41" s="559"/>
      <c r="C41" s="559"/>
      <c r="D41" s="550"/>
      <c r="E41" s="550"/>
      <c r="F41" s="551"/>
    </row>
    <row r="42" spans="1:6" ht="18.95" customHeight="1">
      <c r="A42" s="549"/>
      <c r="B42" s="550"/>
      <c r="C42" s="550"/>
      <c r="D42" s="550"/>
      <c r="E42" s="550"/>
      <c r="F42" s="551"/>
    </row>
    <row r="43" spans="1:6" ht="18.95" customHeight="1">
      <c r="A43" s="561"/>
      <c r="B43" s="559"/>
      <c r="C43" s="562" t="s">
        <v>423</v>
      </c>
      <c r="D43" s="563" t="str">
        <f>'Performance Data Sheet'!K43</f>
        <v>Mario L</v>
      </c>
      <c r="E43" s="562" t="s">
        <v>424</v>
      </c>
      <c r="F43" s="563" t="s">
        <v>755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7">
        <v>100</v>
      </c>
      <c r="B54" s="361">
        <v>0</v>
      </c>
      <c r="C54" s="361">
        <v>0.23144093155860901</v>
      </c>
    </row>
    <row r="55" spans="1:3" ht="15" customHeight="1">
      <c r="A55" s="387">
        <v>99.799999967217445</v>
      </c>
      <c r="B55" s="361">
        <v>102.4610838931364</v>
      </c>
      <c r="C55" s="361">
        <v>111.25931549072266</v>
      </c>
    </row>
    <row r="56" spans="1:3" ht="15" customHeight="1">
      <c r="A56" s="387">
        <v>98.999999836087227</v>
      </c>
      <c r="B56" s="361">
        <v>220</v>
      </c>
      <c r="C56" s="361">
        <v>351.8187255859375</v>
      </c>
    </row>
    <row r="57" spans="1:3">
      <c r="A57" s="387">
        <v>93.789473548531532</v>
      </c>
      <c r="B57" s="361">
        <v>130.56003483997017</v>
      </c>
      <c r="C57" s="361">
        <v>425.69918823242187</v>
      </c>
    </row>
    <row r="58" spans="1:3">
      <c r="A58" s="387">
        <v>88.578946888446808</v>
      </c>
      <c r="B58" s="361">
        <v>103.76289714222565</v>
      </c>
      <c r="C58" s="361">
        <v>449.280517578125</v>
      </c>
    </row>
    <row r="59" spans="1:3">
      <c r="A59" s="387">
        <v>83.368420600891113</v>
      </c>
      <c r="B59" s="361">
        <v>91.448607484119805</v>
      </c>
      <c r="C59" s="361">
        <v>461.92501831054687</v>
      </c>
    </row>
    <row r="60" spans="1:3">
      <c r="A60" s="387">
        <v>72.947368025779724</v>
      </c>
      <c r="B60" s="361">
        <v>83.711282990576976</v>
      </c>
      <c r="C60" s="361">
        <v>478.90740966796875</v>
      </c>
    </row>
    <row r="61" spans="1:3">
      <c r="A61" s="387">
        <v>62.526315450668335</v>
      </c>
      <c r="B61" s="361">
        <v>80.089108238425339</v>
      </c>
      <c r="C61" s="361">
        <v>491.82492065429687</v>
      </c>
    </row>
    <row r="62" spans="1:3">
      <c r="A62" s="387">
        <v>52.105262875556946</v>
      </c>
      <c r="B62" s="361">
        <v>77.98706222753124</v>
      </c>
      <c r="C62" s="361">
        <v>502.3031005859375</v>
      </c>
    </row>
    <row r="63" spans="1:3">
      <c r="A63" s="387">
        <v>41.684210300445557</v>
      </c>
      <c r="B63" s="361">
        <v>76.686298036815217</v>
      </c>
      <c r="C63" s="361">
        <v>510.51071166992187</v>
      </c>
    </row>
    <row r="64" spans="1:3">
      <c r="A64" s="387">
        <v>31.263160705566406</v>
      </c>
      <c r="B64" s="361">
        <v>75.893659599318482</v>
      </c>
      <c r="C64" s="361">
        <v>517.11724853515625</v>
      </c>
    </row>
    <row r="65" spans="1:3">
      <c r="A65" s="387">
        <v>20.842105150222778</v>
      </c>
      <c r="B65" s="361">
        <v>75.41872925513357</v>
      </c>
      <c r="C65" s="361">
        <v>522.281005859375</v>
      </c>
    </row>
    <row r="66" spans="1:3">
      <c r="A66" s="387">
        <v>10.421055555343628</v>
      </c>
      <c r="B66" s="361">
        <v>75.147376295854428</v>
      </c>
      <c r="C66" s="361">
        <v>526.55633544921875</v>
      </c>
    </row>
    <row r="67" spans="1:3">
      <c r="A67" s="388">
        <v>0</v>
      </c>
      <c r="B67" s="361">
        <v>75</v>
      </c>
      <c r="C67" s="361">
        <v>530.15875244140625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RowHeight="12.75"/>
  <cols>
    <col min="1" max="1" width="19.7109375" style="343" customWidth="1"/>
    <col min="2" max="7" width="10.7109375" style="343" customWidth="1"/>
    <col min="8" max="16384" width="9.140625" style="343"/>
  </cols>
  <sheetData>
    <row r="1" spans="1:12" ht="21" customHeight="1">
      <c r="A1" s="400" t="s">
        <v>434</v>
      </c>
      <c r="B1" s="700" t="s">
        <v>473</v>
      </c>
      <c r="C1" s="700"/>
      <c r="D1" s="700"/>
      <c r="E1" s="700"/>
      <c r="F1" s="700"/>
      <c r="G1" s="700"/>
    </row>
    <row r="2" spans="1:12" ht="15" customHeight="1"/>
    <row r="3" spans="1:12" ht="20.25">
      <c r="A3" s="401" t="s">
        <v>435</v>
      </c>
    </row>
    <row r="4" spans="1:12" ht="12" customHeight="1">
      <c r="A4" s="344"/>
      <c r="B4" s="344"/>
      <c r="C4" s="344"/>
      <c r="D4" s="344" t="s">
        <v>487</v>
      </c>
      <c r="E4" s="344"/>
      <c r="F4" s="344"/>
      <c r="G4" s="344"/>
      <c r="H4" s="344"/>
      <c r="I4" s="344"/>
      <c r="J4" s="344"/>
      <c r="K4" s="344"/>
      <c r="L4" s="344"/>
    </row>
    <row r="5" spans="1:12" ht="15.6" customHeight="1">
      <c r="A5" s="402" t="s">
        <v>5</v>
      </c>
      <c r="B5" s="402" t="s">
        <v>436</v>
      </c>
      <c r="C5" s="402" t="s">
        <v>437</v>
      </c>
      <c r="D5" s="402" t="s">
        <v>438</v>
      </c>
      <c r="E5" s="402" t="s">
        <v>439</v>
      </c>
      <c r="F5" s="402" t="s">
        <v>440</v>
      </c>
      <c r="G5" s="402" t="s">
        <v>441</v>
      </c>
      <c r="H5" s="344"/>
      <c r="I5" s="344"/>
      <c r="J5" s="344"/>
      <c r="K5" s="344"/>
      <c r="L5" s="344"/>
    </row>
    <row r="6" spans="1:12" ht="15.6" customHeight="1">
      <c r="A6" s="403" t="s">
        <v>442</v>
      </c>
      <c r="B6" s="403" t="s">
        <v>165</v>
      </c>
      <c r="C6" s="403" t="s">
        <v>165</v>
      </c>
      <c r="D6" s="403" t="s">
        <v>443</v>
      </c>
      <c r="E6" s="403" t="s">
        <v>135</v>
      </c>
      <c r="F6" s="403" t="s">
        <v>444</v>
      </c>
      <c r="G6" s="403" t="s">
        <v>444</v>
      </c>
      <c r="H6" s="344"/>
      <c r="I6" s="344"/>
      <c r="J6" s="344"/>
      <c r="K6" s="344"/>
      <c r="L6" s="344"/>
    </row>
    <row r="7" spans="1:12" ht="15.95" customHeight="1">
      <c r="A7" s="404" t="s">
        <v>474</v>
      </c>
      <c r="B7" s="404" t="s">
        <v>488</v>
      </c>
      <c r="C7" s="404" t="s">
        <v>501</v>
      </c>
      <c r="D7" s="404" t="s">
        <v>514</v>
      </c>
      <c r="E7" s="404" t="s">
        <v>527</v>
      </c>
      <c r="F7" s="404" t="s">
        <v>540</v>
      </c>
      <c r="G7" s="404" t="s">
        <v>553</v>
      </c>
      <c r="H7" s="344"/>
      <c r="I7" s="344"/>
      <c r="J7" s="344"/>
      <c r="K7" s="344"/>
      <c r="L7" s="344"/>
    </row>
    <row r="8" spans="1:12" ht="15.95" customHeight="1">
      <c r="A8" s="404" t="s">
        <v>475</v>
      </c>
      <c r="B8" s="404" t="s">
        <v>489</v>
      </c>
      <c r="C8" s="404" t="s">
        <v>502</v>
      </c>
      <c r="D8" s="404" t="s">
        <v>515</v>
      </c>
      <c r="E8" s="404" t="s">
        <v>528</v>
      </c>
      <c r="F8" s="404" t="s">
        <v>541</v>
      </c>
      <c r="G8" s="404" t="s">
        <v>554</v>
      </c>
      <c r="H8" s="344"/>
      <c r="I8" s="344"/>
      <c r="J8" s="344"/>
      <c r="K8" s="344"/>
      <c r="L8" s="344"/>
    </row>
    <row r="9" spans="1:12" ht="15.95" customHeight="1">
      <c r="A9" s="404" t="s">
        <v>476</v>
      </c>
      <c r="B9" s="404" t="s">
        <v>490</v>
      </c>
      <c r="C9" s="404" t="s">
        <v>503</v>
      </c>
      <c r="D9" s="404" t="s">
        <v>516</v>
      </c>
      <c r="E9" s="404" t="s">
        <v>529</v>
      </c>
      <c r="F9" s="404" t="s">
        <v>542</v>
      </c>
      <c r="G9" s="404" t="s">
        <v>555</v>
      </c>
      <c r="H9" s="344"/>
      <c r="I9" s="344"/>
      <c r="J9" s="344"/>
      <c r="K9" s="344"/>
      <c r="L9" s="344"/>
    </row>
    <row r="10" spans="1:12" ht="15.95" customHeight="1">
      <c r="A10" s="404" t="s">
        <v>477</v>
      </c>
      <c r="B10" s="404" t="s">
        <v>491</v>
      </c>
      <c r="C10" s="404" t="s">
        <v>504</v>
      </c>
      <c r="D10" s="404" t="s">
        <v>517</v>
      </c>
      <c r="E10" s="404" t="s">
        <v>530</v>
      </c>
      <c r="F10" s="404" t="s">
        <v>543</v>
      </c>
      <c r="G10" s="404" t="s">
        <v>556</v>
      </c>
      <c r="H10" s="344"/>
      <c r="I10" s="344"/>
      <c r="J10" s="344"/>
      <c r="K10" s="344"/>
      <c r="L10" s="344"/>
    </row>
    <row r="11" spans="1:12" ht="15.95" customHeight="1">
      <c r="A11" s="404" t="s">
        <v>478</v>
      </c>
      <c r="B11" s="404" t="s">
        <v>492</v>
      </c>
      <c r="C11" s="404" t="s">
        <v>505</v>
      </c>
      <c r="D11" s="404" t="s">
        <v>518</v>
      </c>
      <c r="E11" s="404" t="s">
        <v>531</v>
      </c>
      <c r="F11" s="404" t="s">
        <v>544</v>
      </c>
      <c r="G11" s="404" t="s">
        <v>557</v>
      </c>
      <c r="H11" s="344"/>
      <c r="I11" s="344"/>
      <c r="J11" s="344"/>
      <c r="K11" s="344"/>
      <c r="L11" s="344"/>
    </row>
    <row r="12" spans="1:12" ht="15.95" customHeight="1">
      <c r="A12" s="404" t="s">
        <v>479</v>
      </c>
      <c r="B12" s="404" t="s">
        <v>493</v>
      </c>
      <c r="C12" s="404" t="s">
        <v>506</v>
      </c>
      <c r="D12" s="404" t="s">
        <v>519</v>
      </c>
      <c r="E12" s="404" t="s">
        <v>532</v>
      </c>
      <c r="F12" s="404" t="s">
        <v>545</v>
      </c>
      <c r="G12" s="404" t="s">
        <v>558</v>
      </c>
      <c r="H12" s="344"/>
      <c r="I12" s="344"/>
      <c r="J12" s="344"/>
      <c r="K12" s="344"/>
      <c r="L12" s="344"/>
    </row>
    <row r="13" spans="1:12" ht="15.95" customHeight="1">
      <c r="A13" s="404" t="s">
        <v>480</v>
      </c>
      <c r="B13" s="404" t="s">
        <v>494</v>
      </c>
      <c r="C13" s="404" t="s">
        <v>507</v>
      </c>
      <c r="D13" s="404" t="s">
        <v>520</v>
      </c>
      <c r="E13" s="404" t="s">
        <v>533</v>
      </c>
      <c r="F13" s="404" t="s">
        <v>546</v>
      </c>
      <c r="G13" s="404" t="s">
        <v>559</v>
      </c>
      <c r="H13" s="344"/>
      <c r="I13" s="344"/>
      <c r="J13" s="344"/>
      <c r="K13" s="344"/>
      <c r="L13" s="344"/>
    </row>
    <row r="14" spans="1:12" ht="15.95" customHeight="1">
      <c r="A14" s="404" t="s">
        <v>481</v>
      </c>
      <c r="B14" s="404" t="s">
        <v>495</v>
      </c>
      <c r="C14" s="404" t="s">
        <v>508</v>
      </c>
      <c r="D14" s="404" t="s">
        <v>521</v>
      </c>
      <c r="E14" s="404" t="s">
        <v>534</v>
      </c>
      <c r="F14" s="404" t="s">
        <v>547</v>
      </c>
      <c r="G14" s="404" t="s">
        <v>560</v>
      </c>
      <c r="H14" s="344"/>
      <c r="I14" s="344"/>
      <c r="J14" s="344"/>
      <c r="K14" s="344"/>
      <c r="L14" s="344"/>
    </row>
    <row r="15" spans="1:12" ht="15.95" customHeight="1">
      <c r="A15" s="404" t="s">
        <v>482</v>
      </c>
      <c r="B15" s="404" t="s">
        <v>496</v>
      </c>
      <c r="C15" s="404" t="s">
        <v>509</v>
      </c>
      <c r="D15" s="404" t="s">
        <v>522</v>
      </c>
      <c r="E15" s="404" t="s">
        <v>535</v>
      </c>
      <c r="F15" s="404" t="s">
        <v>548</v>
      </c>
      <c r="G15" s="404" t="s">
        <v>561</v>
      </c>
      <c r="H15" s="344"/>
      <c r="I15" s="344"/>
      <c r="J15" s="344"/>
      <c r="K15" s="344"/>
      <c r="L15" s="344"/>
    </row>
    <row r="16" spans="1:12" ht="15.95" customHeight="1">
      <c r="A16" s="404" t="s">
        <v>483</v>
      </c>
      <c r="B16" s="404" t="s">
        <v>497</v>
      </c>
      <c r="C16" s="404" t="s">
        <v>510</v>
      </c>
      <c r="D16" s="404" t="s">
        <v>523</v>
      </c>
      <c r="E16" s="404" t="s">
        <v>536</v>
      </c>
      <c r="F16" s="404" t="s">
        <v>549</v>
      </c>
      <c r="G16" s="404" t="s">
        <v>562</v>
      </c>
      <c r="H16" s="344"/>
      <c r="I16" s="344"/>
      <c r="J16" s="344"/>
      <c r="K16" s="344"/>
      <c r="L16" s="344"/>
    </row>
    <row r="17" spans="1:12" ht="15.95" customHeight="1">
      <c r="A17" s="404" t="s">
        <v>484</v>
      </c>
      <c r="B17" s="404" t="s">
        <v>498</v>
      </c>
      <c r="C17" s="404" t="s">
        <v>511</v>
      </c>
      <c r="D17" s="404" t="s">
        <v>524</v>
      </c>
      <c r="E17" s="404" t="s">
        <v>537</v>
      </c>
      <c r="F17" s="404" t="s">
        <v>550</v>
      </c>
      <c r="G17" s="404" t="s">
        <v>563</v>
      </c>
      <c r="H17" s="344"/>
      <c r="I17" s="344"/>
      <c r="J17" s="344"/>
      <c r="K17" s="344"/>
      <c r="L17" s="344"/>
    </row>
    <row r="18" spans="1:12" ht="15.95" customHeight="1">
      <c r="A18" s="404" t="s">
        <v>485</v>
      </c>
      <c r="B18" s="404" t="s">
        <v>499</v>
      </c>
      <c r="C18" s="404" t="s">
        <v>512</v>
      </c>
      <c r="D18" s="404" t="s">
        <v>525</v>
      </c>
      <c r="E18" s="404" t="s">
        <v>538</v>
      </c>
      <c r="F18" s="404" t="s">
        <v>551</v>
      </c>
      <c r="G18" s="404" t="s">
        <v>564</v>
      </c>
      <c r="H18" s="344"/>
      <c r="I18" s="344"/>
      <c r="J18" s="344"/>
      <c r="K18" s="344"/>
      <c r="L18" s="344"/>
    </row>
    <row r="19" spans="1:12" ht="15.95" customHeight="1">
      <c r="A19" s="404" t="s">
        <v>486</v>
      </c>
      <c r="B19" s="404" t="s">
        <v>500</v>
      </c>
      <c r="C19" s="404" t="s">
        <v>513</v>
      </c>
      <c r="D19" s="404" t="s">
        <v>526</v>
      </c>
      <c r="E19" s="404" t="s">
        <v>539</v>
      </c>
      <c r="F19" s="404" t="s">
        <v>552</v>
      </c>
      <c r="G19" s="404" t="s">
        <v>565</v>
      </c>
      <c r="H19" s="344"/>
      <c r="I19" s="344"/>
      <c r="J19" s="344"/>
      <c r="K19" s="344"/>
      <c r="L19" s="344"/>
    </row>
    <row r="20" spans="1:12" ht="15.75">
      <c r="A20" s="344"/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344"/>
    </row>
    <row r="21" spans="1:12" ht="15.75">
      <c r="A21" s="344"/>
      <c r="B21" s="344"/>
      <c r="C21" s="344"/>
      <c r="D21" s="701" t="s">
        <v>575</v>
      </c>
      <c r="E21" s="702"/>
      <c r="F21" s="702"/>
      <c r="G21" s="703"/>
      <c r="H21" s="344"/>
      <c r="I21" s="344"/>
      <c r="J21" s="344"/>
      <c r="K21" s="344"/>
      <c r="L21" s="344"/>
    </row>
    <row r="22" spans="1:12" ht="17.25" customHeight="1">
      <c r="A22" s="344"/>
      <c r="B22" s="704" t="s">
        <v>445</v>
      </c>
      <c r="C22" s="704"/>
      <c r="D22" s="704" t="s">
        <v>446</v>
      </c>
      <c r="E22" s="704"/>
      <c r="F22" s="704" t="s">
        <v>447</v>
      </c>
      <c r="G22" s="704"/>
      <c r="H22" s="344"/>
      <c r="I22" s="344"/>
      <c r="J22" s="344"/>
      <c r="K22" s="344"/>
      <c r="L22" s="344"/>
    </row>
    <row r="23" spans="1:12" ht="15.75">
      <c r="A23" s="405" t="s">
        <v>448</v>
      </c>
      <c r="B23" s="699" t="s">
        <v>566</v>
      </c>
      <c r="C23" s="699"/>
      <c r="D23" s="699" t="s">
        <v>569</v>
      </c>
      <c r="E23" s="699"/>
      <c r="F23" s="699" t="s">
        <v>572</v>
      </c>
      <c r="G23" s="699"/>
      <c r="H23" s="344"/>
      <c r="I23" s="344"/>
      <c r="J23" s="344"/>
      <c r="K23" s="344"/>
      <c r="L23" s="344"/>
    </row>
    <row r="24" spans="1:12" ht="18" customHeight="1">
      <c r="A24" s="405" t="s">
        <v>449</v>
      </c>
      <c r="B24" s="699" t="s">
        <v>567</v>
      </c>
      <c r="C24" s="699"/>
      <c r="D24" s="699" t="s">
        <v>570</v>
      </c>
      <c r="E24" s="699"/>
      <c r="F24" s="699" t="s">
        <v>573</v>
      </c>
      <c r="G24" s="699"/>
      <c r="H24" s="344"/>
      <c r="I24" s="344"/>
      <c r="J24" s="344"/>
      <c r="K24" s="344"/>
      <c r="L24" s="344"/>
    </row>
    <row r="25" spans="1:12" ht="15.75">
      <c r="A25" s="405" t="s">
        <v>450</v>
      </c>
      <c r="B25" s="699" t="s">
        <v>568</v>
      </c>
      <c r="C25" s="699"/>
      <c r="D25" s="699" t="s">
        <v>571</v>
      </c>
      <c r="E25" s="699"/>
      <c r="F25" s="699" t="s">
        <v>574</v>
      </c>
      <c r="G25" s="699"/>
      <c r="H25" s="344"/>
      <c r="I25" s="344"/>
      <c r="J25" s="344"/>
      <c r="K25" s="344"/>
      <c r="L25" s="344"/>
    </row>
    <row r="26" spans="1:12" ht="15.75">
      <c r="A26" s="344"/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</row>
    <row r="27" spans="1:12" ht="20.25">
      <c r="A27" s="401" t="s">
        <v>451</v>
      </c>
      <c r="B27" s="344"/>
      <c r="C27" s="344"/>
      <c r="D27" s="344"/>
      <c r="E27" s="344"/>
      <c r="F27" s="344"/>
      <c r="G27" s="344"/>
      <c r="H27" s="344"/>
      <c r="I27" s="344"/>
      <c r="J27" s="344"/>
      <c r="K27" s="344"/>
      <c r="L27" s="344"/>
    </row>
    <row r="28" spans="1:12" ht="15.75">
      <c r="A28" s="344"/>
      <c r="B28" s="344"/>
      <c r="C28" s="344"/>
      <c r="D28" s="344"/>
      <c r="E28" s="705" t="s">
        <v>452</v>
      </c>
      <c r="F28" s="702"/>
      <c r="G28" s="703"/>
      <c r="H28" s="344"/>
      <c r="I28" s="344"/>
      <c r="J28" s="344"/>
      <c r="K28" s="344"/>
      <c r="L28" s="344"/>
    </row>
    <row r="29" spans="1:12" ht="15.75">
      <c r="A29" s="344"/>
      <c r="B29" s="704" t="s">
        <v>453</v>
      </c>
      <c r="C29" s="704"/>
      <c r="D29" s="406" t="s">
        <v>454</v>
      </c>
      <c r="E29" s="406" t="s">
        <v>455</v>
      </c>
      <c r="F29" s="704" t="s">
        <v>456</v>
      </c>
      <c r="G29" s="704"/>
      <c r="H29" s="344"/>
      <c r="I29" s="344"/>
      <c r="J29" s="344"/>
      <c r="K29" s="344"/>
      <c r="L29" s="344"/>
    </row>
    <row r="30" spans="1:12" ht="15.75">
      <c r="A30" s="405" t="s">
        <v>457</v>
      </c>
      <c r="B30" s="699" t="s">
        <v>576</v>
      </c>
      <c r="C30" s="699"/>
      <c r="D30" s="404" t="s">
        <v>579</v>
      </c>
      <c r="E30" s="404" t="s">
        <v>458</v>
      </c>
      <c r="F30" s="699" t="s">
        <v>582</v>
      </c>
      <c r="G30" s="699"/>
      <c r="H30" s="344"/>
      <c r="I30" s="344"/>
      <c r="J30" s="344"/>
      <c r="K30" s="344"/>
      <c r="L30" s="344"/>
    </row>
    <row r="31" spans="1:12" ht="15.75">
      <c r="A31" s="405" t="s">
        <v>459</v>
      </c>
      <c r="B31" s="699" t="s">
        <v>577</v>
      </c>
      <c r="C31" s="699"/>
      <c r="D31" s="404" t="s">
        <v>580</v>
      </c>
      <c r="E31" s="404" t="s">
        <v>460</v>
      </c>
      <c r="F31" s="699" t="s">
        <v>583</v>
      </c>
      <c r="G31" s="699"/>
      <c r="H31" s="344"/>
      <c r="I31" s="344"/>
      <c r="J31" s="344"/>
      <c r="K31" s="344"/>
      <c r="L31" s="344"/>
    </row>
    <row r="32" spans="1:12" ht="15.75">
      <c r="A32" s="405" t="s">
        <v>461</v>
      </c>
      <c r="B32" s="699" t="s">
        <v>578</v>
      </c>
      <c r="C32" s="699"/>
      <c r="D32" s="404" t="s">
        <v>581</v>
      </c>
      <c r="E32" s="404" t="s">
        <v>462</v>
      </c>
      <c r="F32" s="699" t="s">
        <v>584</v>
      </c>
      <c r="G32" s="699"/>
      <c r="H32" s="344"/>
      <c r="I32" s="344"/>
      <c r="J32" s="344"/>
      <c r="K32" s="344"/>
      <c r="L32" s="344"/>
    </row>
    <row r="33" spans="1:12" ht="15.75">
      <c r="A33" s="344"/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</row>
    <row r="34" spans="1:12" ht="15.75">
      <c r="A34" s="344"/>
      <c r="B34" s="344"/>
      <c r="C34" s="344"/>
      <c r="D34" s="344"/>
      <c r="E34" s="705" t="s">
        <v>463</v>
      </c>
      <c r="F34" s="702"/>
      <c r="G34" s="703"/>
      <c r="H34" s="344"/>
      <c r="I34" s="344"/>
      <c r="J34" s="344"/>
      <c r="K34" s="344"/>
      <c r="L34" s="344"/>
    </row>
    <row r="35" spans="1:12" ht="15.75">
      <c r="A35" s="344"/>
      <c r="B35" s="704" t="s">
        <v>464</v>
      </c>
      <c r="C35" s="704"/>
      <c r="D35" s="406" t="s">
        <v>455</v>
      </c>
      <c r="E35" s="406" t="s">
        <v>465</v>
      </c>
      <c r="F35" s="406" t="s">
        <v>100</v>
      </c>
      <c r="G35" s="406" t="s">
        <v>466</v>
      </c>
      <c r="H35" s="344"/>
      <c r="I35" s="344"/>
      <c r="J35" s="344"/>
      <c r="K35" s="344"/>
      <c r="L35" s="344"/>
    </row>
    <row r="36" spans="1:12" ht="15.75">
      <c r="A36" s="405" t="s">
        <v>457</v>
      </c>
      <c r="B36" s="706" t="s">
        <v>585</v>
      </c>
      <c r="C36" s="707"/>
      <c r="D36" s="407" t="s">
        <v>587</v>
      </c>
      <c r="E36" s="407" t="s">
        <v>467</v>
      </c>
      <c r="F36" s="408" t="s">
        <v>468</v>
      </c>
      <c r="G36" s="404" t="s">
        <v>590</v>
      </c>
      <c r="H36" s="344"/>
      <c r="I36" s="344"/>
      <c r="J36" s="344"/>
      <c r="K36" s="344"/>
      <c r="L36" s="344"/>
    </row>
    <row r="37" spans="1:12" ht="15.75">
      <c r="A37" s="405" t="s">
        <v>459</v>
      </c>
      <c r="B37" s="706" t="s">
        <v>586</v>
      </c>
      <c r="C37" s="707"/>
      <c r="D37" s="407" t="s">
        <v>588</v>
      </c>
      <c r="E37" s="407" t="s">
        <v>467</v>
      </c>
      <c r="F37" s="408" t="s">
        <v>469</v>
      </c>
      <c r="G37" s="409" t="s">
        <v>591</v>
      </c>
      <c r="H37" s="344"/>
      <c r="I37" s="344"/>
      <c r="J37" s="344"/>
      <c r="K37" s="344"/>
      <c r="L37" s="344"/>
    </row>
    <row r="38" spans="1:12" ht="15.75">
      <c r="A38" s="405" t="s">
        <v>461</v>
      </c>
      <c r="B38" s="706" t="s">
        <v>586</v>
      </c>
      <c r="C38" s="707"/>
      <c r="D38" s="407" t="s">
        <v>589</v>
      </c>
      <c r="E38" s="407" t="s">
        <v>467</v>
      </c>
      <c r="F38" s="408" t="s">
        <v>470</v>
      </c>
      <c r="G38" s="404" t="s">
        <v>592</v>
      </c>
      <c r="H38" s="344"/>
      <c r="I38" s="344"/>
      <c r="J38" s="344"/>
      <c r="K38" s="344"/>
      <c r="L38" s="344"/>
    </row>
    <row r="39" spans="1:12" ht="15.75">
      <c r="A39" s="344"/>
      <c r="B39" s="344"/>
      <c r="C39" s="344"/>
      <c r="D39" s="344"/>
      <c r="E39" s="344"/>
      <c r="F39" s="344"/>
      <c r="G39" s="344"/>
      <c r="H39" s="344"/>
      <c r="I39" s="344"/>
      <c r="J39" s="344"/>
      <c r="K39" s="344"/>
      <c r="L39" s="344"/>
    </row>
    <row r="40" spans="1:12" ht="15.75">
      <c r="A40" s="410" t="s">
        <v>471</v>
      </c>
      <c r="B40" s="708" t="s">
        <v>593</v>
      </c>
      <c r="C40" s="708"/>
      <c r="D40" s="709" t="s">
        <v>472</v>
      </c>
      <c r="E40" s="709"/>
      <c r="F40" s="708" t="s">
        <v>594</v>
      </c>
      <c r="G40" s="708"/>
      <c r="H40" s="344"/>
      <c r="I40" s="344"/>
      <c r="J40" s="344"/>
      <c r="K40" s="344"/>
      <c r="L40" s="344"/>
    </row>
    <row r="41" spans="1:12" ht="15.75">
      <c r="A41" s="344"/>
      <c r="B41" s="344"/>
      <c r="C41" s="344"/>
      <c r="D41" s="344"/>
      <c r="E41" s="344"/>
      <c r="F41" s="344"/>
      <c r="G41" s="344"/>
      <c r="H41" s="344"/>
      <c r="I41" s="344"/>
      <c r="J41" s="344"/>
      <c r="K41" s="344"/>
      <c r="L41" s="344"/>
    </row>
    <row r="42" spans="1:12" ht="15.75">
      <c r="A42" s="344"/>
      <c r="B42" s="344"/>
      <c r="C42" s="344"/>
      <c r="D42" s="344"/>
      <c r="E42" s="344"/>
      <c r="F42" s="344"/>
      <c r="G42" s="344"/>
      <c r="H42" s="344"/>
      <c r="I42" s="344"/>
      <c r="J42" s="344"/>
      <c r="K42" s="344"/>
      <c r="L42" s="344"/>
    </row>
    <row r="43" spans="1:12" ht="15.75">
      <c r="A43" s="344"/>
      <c r="B43" s="344"/>
      <c r="C43" s="344"/>
      <c r="D43" s="344"/>
      <c r="E43" s="344"/>
      <c r="F43" s="344"/>
      <c r="G43" s="344"/>
      <c r="H43" s="344"/>
      <c r="I43" s="344"/>
      <c r="J43" s="344"/>
      <c r="K43" s="344"/>
      <c r="L43" s="344"/>
    </row>
    <row r="44" spans="1:12" ht="15.75">
      <c r="A44" s="344"/>
      <c r="B44" s="344"/>
      <c r="C44" s="344"/>
      <c r="D44" s="344"/>
      <c r="E44" s="344"/>
      <c r="F44" s="344"/>
      <c r="G44" s="344"/>
      <c r="H44" s="344"/>
      <c r="I44" s="344"/>
      <c r="J44" s="344"/>
      <c r="K44" s="344"/>
      <c r="L44" s="344"/>
    </row>
    <row r="45" spans="1:12" ht="15.75">
      <c r="A45" s="344"/>
      <c r="B45" s="344"/>
      <c r="C45" s="344"/>
      <c r="D45" s="344"/>
      <c r="E45" s="344"/>
      <c r="F45" s="344"/>
      <c r="G45" s="344"/>
      <c r="H45" s="344"/>
      <c r="I45" s="344"/>
      <c r="J45" s="344"/>
      <c r="K45" s="344"/>
      <c r="L45" s="344"/>
    </row>
    <row r="46" spans="1:12" ht="15.75">
      <c r="A46" s="344"/>
      <c r="B46" s="344"/>
      <c r="C46" s="344"/>
      <c r="D46" s="344"/>
      <c r="E46" s="344"/>
      <c r="F46" s="344"/>
      <c r="G46" s="344"/>
      <c r="H46" s="344"/>
      <c r="I46" s="344"/>
      <c r="J46" s="344"/>
      <c r="K46" s="344"/>
      <c r="L46" s="344"/>
    </row>
    <row r="47" spans="1:12" ht="15.75">
      <c r="A47" s="344"/>
      <c r="B47" s="344"/>
      <c r="C47" s="344"/>
      <c r="D47" s="344"/>
      <c r="E47" s="344"/>
      <c r="F47" s="344"/>
      <c r="G47" s="344"/>
      <c r="H47" s="344"/>
      <c r="I47" s="344"/>
      <c r="J47" s="344"/>
      <c r="K47" s="344"/>
      <c r="L47" s="344"/>
    </row>
    <row r="48" spans="1:12" ht="15.75">
      <c r="A48" s="344"/>
      <c r="B48" s="344"/>
      <c r="C48" s="344"/>
      <c r="D48" s="344"/>
      <c r="E48" s="344"/>
      <c r="F48" s="344"/>
      <c r="G48" s="344"/>
      <c r="H48" s="344"/>
      <c r="I48" s="344"/>
      <c r="J48" s="344"/>
      <c r="K48" s="344"/>
      <c r="L48" s="344"/>
    </row>
    <row r="49" spans="1:12" ht="15.75">
      <c r="A49" s="344"/>
      <c r="B49" s="344"/>
      <c r="C49" s="344"/>
      <c r="D49" s="344"/>
      <c r="E49" s="344"/>
      <c r="F49" s="344"/>
      <c r="G49" s="344"/>
      <c r="H49" s="344"/>
      <c r="I49" s="344"/>
      <c r="J49" s="344"/>
      <c r="K49" s="344"/>
      <c r="L49" s="344"/>
    </row>
    <row r="50" spans="1:12" ht="15.75">
      <c r="A50" s="344"/>
      <c r="B50" s="344"/>
      <c r="C50" s="344"/>
      <c r="D50" s="344"/>
      <c r="E50" s="344"/>
      <c r="F50" s="344"/>
      <c r="G50" s="344"/>
      <c r="H50" s="344"/>
      <c r="I50" s="344"/>
      <c r="J50" s="344"/>
      <c r="K50" s="344"/>
      <c r="L50" s="344"/>
    </row>
    <row r="51" spans="1:12" ht="15.75">
      <c r="A51" s="344"/>
      <c r="B51" s="344"/>
      <c r="C51" s="344"/>
      <c r="D51" s="344"/>
      <c r="E51" s="344"/>
      <c r="F51" s="344"/>
      <c r="G51" s="344"/>
      <c r="H51" s="344"/>
      <c r="I51" s="344"/>
      <c r="J51" s="344"/>
      <c r="K51" s="344"/>
      <c r="L51" s="344"/>
    </row>
    <row r="52" spans="1:12" ht="15.75">
      <c r="A52" s="344"/>
      <c r="B52" s="344"/>
      <c r="C52" s="344"/>
      <c r="D52" s="344"/>
      <c r="E52" s="344"/>
      <c r="F52" s="344"/>
      <c r="G52" s="344"/>
      <c r="H52" s="344"/>
      <c r="I52" s="344"/>
      <c r="J52" s="344"/>
      <c r="K52" s="344"/>
      <c r="L52" s="344"/>
    </row>
    <row r="53" spans="1:12" ht="15.75">
      <c r="A53" s="344"/>
      <c r="B53" s="344"/>
      <c r="C53" s="344"/>
      <c r="D53" s="344"/>
      <c r="E53" s="344"/>
      <c r="F53" s="344"/>
      <c r="G53" s="344"/>
      <c r="H53" s="344"/>
      <c r="I53" s="344"/>
      <c r="J53" s="344"/>
      <c r="K53" s="344"/>
      <c r="L53" s="344"/>
    </row>
    <row r="54" spans="1:12" ht="15.75">
      <c r="A54" s="344"/>
      <c r="B54" s="344"/>
      <c r="C54" s="344"/>
      <c r="D54" s="344"/>
      <c r="E54" s="344"/>
      <c r="F54" s="344"/>
      <c r="G54" s="344"/>
      <c r="H54" s="344"/>
      <c r="I54" s="344"/>
      <c r="J54" s="344"/>
      <c r="K54" s="344"/>
      <c r="L54" s="344"/>
    </row>
    <row r="55" spans="1:12" ht="15.75">
      <c r="A55" s="344"/>
      <c r="B55" s="344"/>
      <c r="C55" s="344"/>
      <c r="D55" s="344"/>
      <c r="E55" s="344"/>
      <c r="F55" s="344"/>
      <c r="G55" s="344"/>
      <c r="H55" s="344"/>
      <c r="I55" s="344"/>
      <c r="J55" s="344"/>
      <c r="K55" s="344"/>
      <c r="L55" s="344"/>
    </row>
    <row r="56" spans="1:12" ht="15.75">
      <c r="A56" s="344"/>
      <c r="B56" s="344"/>
      <c r="C56" s="344"/>
      <c r="D56" s="344"/>
      <c r="E56" s="344"/>
      <c r="F56" s="344"/>
      <c r="G56" s="344"/>
      <c r="H56" s="344"/>
      <c r="I56" s="344"/>
      <c r="J56" s="344"/>
      <c r="K56" s="344"/>
      <c r="L56" s="344"/>
    </row>
    <row r="57" spans="1:12" ht="15.75">
      <c r="A57" s="344"/>
      <c r="B57" s="344"/>
      <c r="C57" s="344"/>
      <c r="D57" s="344"/>
      <c r="E57" s="344"/>
      <c r="F57" s="344"/>
      <c r="G57" s="344"/>
      <c r="H57" s="344"/>
      <c r="I57" s="344"/>
      <c r="J57" s="344"/>
      <c r="K57" s="344"/>
      <c r="L57" s="344"/>
    </row>
    <row r="58" spans="1:12" ht="15.75">
      <c r="A58" s="344"/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</row>
    <row r="59" spans="1:12" ht="15.75">
      <c r="A59" s="344"/>
      <c r="B59" s="344"/>
      <c r="C59" s="344"/>
      <c r="D59" s="344"/>
      <c r="E59" s="344"/>
      <c r="F59" s="344"/>
      <c r="G59" s="344"/>
      <c r="H59" s="344"/>
      <c r="I59" s="344"/>
      <c r="J59" s="344"/>
      <c r="K59" s="344"/>
      <c r="L59" s="344"/>
    </row>
    <row r="60" spans="1:12" ht="15.75">
      <c r="A60" s="344"/>
      <c r="B60" s="344"/>
      <c r="C60" s="344"/>
      <c r="D60" s="344"/>
      <c r="E60" s="344"/>
      <c r="F60" s="344"/>
      <c r="G60" s="344"/>
      <c r="H60" s="344"/>
      <c r="I60" s="344"/>
      <c r="J60" s="344"/>
      <c r="K60" s="344"/>
      <c r="L60" s="344"/>
    </row>
    <row r="61" spans="1:12" ht="15.75">
      <c r="A61" s="344"/>
      <c r="B61" s="344"/>
      <c r="C61" s="344"/>
      <c r="D61" s="344"/>
      <c r="E61" s="344"/>
      <c r="F61" s="344"/>
      <c r="G61" s="344"/>
      <c r="H61" s="344"/>
      <c r="I61" s="344"/>
      <c r="J61" s="344"/>
      <c r="K61" s="344"/>
      <c r="L61" s="344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4" workbookViewId="0">
      <selection activeCell="K42" sqref="K42"/>
    </sheetView>
  </sheetViews>
  <sheetFormatPr defaultRowHeight="12.75"/>
  <cols>
    <col min="1" max="6" width="16.7109375" style="343" customWidth="1"/>
    <col min="7" max="16384" width="9.140625" style="343"/>
  </cols>
  <sheetData>
    <row r="1" spans="1:6" ht="18.95" customHeight="1">
      <c r="A1" s="362"/>
      <c r="B1" s="363"/>
      <c r="C1" s="363"/>
      <c r="D1" s="363"/>
      <c r="E1" s="363"/>
      <c r="F1" s="364"/>
    </row>
    <row r="2" spans="1:6" ht="26.1" customHeight="1">
      <c r="A2" s="365" t="s">
        <v>252</v>
      </c>
      <c r="B2" s="366"/>
      <c r="C2" s="366"/>
      <c r="D2" s="366"/>
      <c r="E2" s="366"/>
      <c r="F2" s="367"/>
    </row>
    <row r="3" spans="1:6" ht="18.95" customHeight="1">
      <c r="A3" s="710" t="s">
        <v>595</v>
      </c>
      <c r="B3" s="711"/>
      <c r="C3" s="711"/>
      <c r="D3" s="711"/>
      <c r="E3" s="711"/>
      <c r="F3" s="712"/>
    </row>
    <row r="4" spans="1:6" ht="18.95" customHeight="1">
      <c r="A4" s="713" t="s">
        <v>596</v>
      </c>
      <c r="B4" s="714"/>
      <c r="C4" s="714"/>
      <c r="D4" s="714"/>
      <c r="E4" s="714"/>
      <c r="F4" s="715"/>
    </row>
    <row r="5" spans="1:6" ht="18.95" customHeight="1">
      <c r="A5" s="369"/>
      <c r="B5" s="370"/>
      <c r="C5" s="370"/>
      <c r="D5" s="370"/>
      <c r="E5" s="370"/>
      <c r="F5" s="371"/>
    </row>
    <row r="6" spans="1:6" ht="18.95" customHeight="1">
      <c r="A6" s="372" t="s">
        <v>400</v>
      </c>
      <c r="B6" s="696" t="str">
        <f>'Performance Data Sheet'!C17</f>
        <v>M207TCAL11E-C</v>
      </c>
      <c r="C6" s="697"/>
      <c r="D6" s="698"/>
      <c r="E6" s="372" t="s">
        <v>401</v>
      </c>
      <c r="F6" s="373">
        <v>126</v>
      </c>
    </row>
    <row r="7" spans="1:6" ht="18.95" customHeight="1">
      <c r="A7" s="372" t="s">
        <v>402</v>
      </c>
      <c r="B7" s="373" t="str">
        <f>'Performance Data Sheet'!F14</f>
        <v>TEAAC</v>
      </c>
      <c r="C7" s="372" t="s">
        <v>403</v>
      </c>
      <c r="D7" s="373" t="s">
        <v>425</v>
      </c>
      <c r="E7" s="372" t="s">
        <v>404</v>
      </c>
      <c r="F7" s="373" t="str">
        <f>'Performance Data Sheet'!C14</f>
        <v>6810US</v>
      </c>
    </row>
    <row r="8" spans="1:6" ht="18.95" customHeight="1">
      <c r="A8" s="372" t="s">
        <v>405</v>
      </c>
      <c r="B8" s="373">
        <v>6</v>
      </c>
      <c r="C8" s="372" t="s">
        <v>406</v>
      </c>
      <c r="D8" s="373" t="s">
        <v>407</v>
      </c>
      <c r="E8" s="372" t="s">
        <v>408</v>
      </c>
      <c r="F8" s="373" t="str">
        <f>'Performance Data Sheet'!M15</f>
        <v>F</v>
      </c>
    </row>
    <row r="9" spans="1:6" ht="18.95" customHeight="1">
      <c r="A9" s="372" t="s">
        <v>409</v>
      </c>
      <c r="B9" s="373">
        <v>1000</v>
      </c>
      <c r="C9" s="372" t="s">
        <v>410</v>
      </c>
      <c r="D9" s="373" t="s">
        <v>426</v>
      </c>
      <c r="E9" s="372" t="s">
        <v>2</v>
      </c>
      <c r="F9" s="374">
        <f>'Performance Data Sheet'!K45</f>
        <v>41992</v>
      </c>
    </row>
    <row r="10" spans="1:6" ht="18.95" customHeight="1">
      <c r="A10" s="372" t="s">
        <v>411</v>
      </c>
      <c r="B10" s="373">
        <v>1192</v>
      </c>
      <c r="C10" s="372" t="s">
        <v>412</v>
      </c>
      <c r="D10" s="373" t="s">
        <v>601</v>
      </c>
      <c r="E10" s="372" t="s">
        <v>1</v>
      </c>
      <c r="F10" s="373" t="s">
        <v>756</v>
      </c>
    </row>
    <row r="11" spans="1:6" ht="18.95" customHeight="1">
      <c r="A11" s="369"/>
      <c r="B11" s="370"/>
      <c r="C11" s="370"/>
      <c r="D11" s="370"/>
      <c r="E11" s="370"/>
      <c r="F11" s="371"/>
    </row>
    <row r="12" spans="1:6" ht="18.95" customHeight="1">
      <c r="A12" s="369"/>
      <c r="B12" s="375"/>
      <c r="C12" s="376"/>
      <c r="D12" s="375"/>
      <c r="E12" s="376"/>
      <c r="F12" s="371"/>
    </row>
    <row r="13" spans="1:6" ht="18.95" customHeight="1">
      <c r="A13" s="369"/>
      <c r="B13" s="375"/>
      <c r="C13" s="377"/>
      <c r="D13" s="375"/>
      <c r="E13" s="376"/>
      <c r="F13" s="371"/>
    </row>
    <row r="14" spans="1:6" ht="18.95" customHeight="1">
      <c r="A14" s="369"/>
      <c r="B14" s="375"/>
      <c r="C14" s="377"/>
      <c r="D14" s="375"/>
      <c r="E14" s="376"/>
      <c r="F14" s="371"/>
    </row>
    <row r="15" spans="1:6" ht="18.95" customHeight="1">
      <c r="A15" s="369"/>
      <c r="B15" s="375"/>
      <c r="C15" s="376"/>
      <c r="D15" s="370"/>
      <c r="E15" s="370"/>
      <c r="F15" s="371"/>
    </row>
    <row r="16" spans="1:6" ht="18.95" customHeight="1">
      <c r="A16" s="369"/>
      <c r="B16" s="370"/>
      <c r="C16" s="370"/>
      <c r="D16" s="370"/>
      <c r="E16" s="370"/>
      <c r="F16" s="371"/>
    </row>
    <row r="17" spans="1:6" ht="18.95" customHeight="1">
      <c r="A17" s="369"/>
      <c r="B17" s="370"/>
      <c r="C17" s="370"/>
      <c r="D17" s="370"/>
      <c r="E17" s="370"/>
      <c r="F17" s="371"/>
    </row>
    <row r="18" spans="1:6" ht="18.95" customHeight="1">
      <c r="A18" s="369"/>
      <c r="B18" s="370"/>
      <c r="C18" s="370"/>
      <c r="D18" s="370"/>
      <c r="E18" s="370"/>
      <c r="F18" s="371"/>
    </row>
    <row r="19" spans="1:6" ht="18.95" customHeight="1">
      <c r="A19" s="369"/>
      <c r="B19" s="370"/>
      <c r="C19" s="370"/>
      <c r="D19" s="370"/>
      <c r="E19" s="370"/>
      <c r="F19" s="371"/>
    </row>
    <row r="20" spans="1:6" ht="18.95" customHeight="1">
      <c r="A20" s="369"/>
      <c r="B20" s="370"/>
      <c r="C20" s="370"/>
      <c r="D20" s="370"/>
      <c r="E20" s="370"/>
      <c r="F20" s="371"/>
    </row>
    <row r="21" spans="1:6" ht="18.95" customHeight="1">
      <c r="A21" s="369"/>
      <c r="B21" s="370"/>
      <c r="C21" s="370"/>
      <c r="D21" s="370"/>
      <c r="E21" s="370"/>
      <c r="F21" s="371"/>
    </row>
    <row r="22" spans="1:6" ht="18.95" customHeight="1">
      <c r="A22" s="369"/>
      <c r="B22" s="370"/>
      <c r="C22" s="370"/>
      <c r="D22" s="370"/>
      <c r="E22" s="370"/>
      <c r="F22" s="371"/>
    </row>
    <row r="23" spans="1:6" ht="18.95" customHeight="1">
      <c r="A23" s="369"/>
      <c r="B23" s="370"/>
      <c r="C23" s="370"/>
      <c r="D23" s="370"/>
      <c r="E23" s="370"/>
      <c r="F23" s="371"/>
    </row>
    <row r="24" spans="1:6" ht="18.95" customHeight="1">
      <c r="A24" s="369"/>
      <c r="B24" s="370"/>
      <c r="C24" s="370"/>
      <c r="D24" s="370"/>
      <c r="E24" s="370"/>
      <c r="F24" s="371"/>
    </row>
    <row r="25" spans="1:6" ht="18.95" customHeight="1">
      <c r="A25" s="369"/>
      <c r="B25" s="370"/>
      <c r="C25" s="370"/>
      <c r="D25" s="370"/>
      <c r="E25" s="370"/>
      <c r="F25" s="371"/>
    </row>
    <row r="26" spans="1:6" ht="18.95" customHeight="1">
      <c r="A26" s="369"/>
      <c r="B26" s="370"/>
      <c r="C26" s="370"/>
      <c r="D26" s="370"/>
      <c r="E26" s="370"/>
      <c r="F26" s="371"/>
    </row>
    <row r="27" spans="1:6" ht="18.95" customHeight="1">
      <c r="A27" s="369"/>
      <c r="B27" s="370"/>
      <c r="C27" s="370"/>
      <c r="D27" s="370"/>
      <c r="E27" s="370"/>
      <c r="F27" s="371"/>
    </row>
    <row r="28" spans="1:6" ht="18.95" customHeight="1">
      <c r="A28" s="369"/>
      <c r="B28" s="370"/>
      <c r="C28" s="370"/>
      <c r="D28" s="370"/>
      <c r="E28" s="370"/>
      <c r="F28" s="371"/>
    </row>
    <row r="29" spans="1:6" ht="18.95" customHeight="1">
      <c r="A29" s="369"/>
      <c r="B29" s="370"/>
      <c r="C29" s="370"/>
      <c r="D29" s="370"/>
      <c r="E29" s="370"/>
      <c r="F29" s="371"/>
    </row>
    <row r="30" spans="1:6" ht="18.95" customHeight="1">
      <c r="A30" s="369"/>
      <c r="B30" s="370"/>
      <c r="C30" s="370"/>
      <c r="D30" s="370"/>
      <c r="E30" s="370"/>
      <c r="F30" s="371"/>
    </row>
    <row r="31" spans="1:6" ht="18.95" customHeight="1">
      <c r="A31" s="369"/>
      <c r="B31" s="370"/>
      <c r="C31" s="370"/>
      <c r="D31" s="370"/>
      <c r="E31" s="370"/>
      <c r="F31" s="371"/>
    </row>
    <row r="32" spans="1:6" ht="18.95" customHeight="1">
      <c r="A32" s="369"/>
      <c r="B32" s="370"/>
      <c r="C32" s="370"/>
      <c r="D32" s="370"/>
      <c r="E32" s="370"/>
      <c r="F32" s="371"/>
    </row>
    <row r="33" spans="1:6" ht="18.95" customHeight="1">
      <c r="A33" s="369"/>
      <c r="B33" s="370"/>
      <c r="C33" s="370"/>
      <c r="D33" s="370"/>
      <c r="E33" s="370"/>
      <c r="F33" s="371"/>
    </row>
    <row r="34" spans="1:6" ht="18.95" customHeight="1">
      <c r="A34" s="369"/>
      <c r="B34" s="370"/>
      <c r="C34" s="370"/>
      <c r="D34" s="370"/>
      <c r="E34" s="370"/>
      <c r="F34" s="371"/>
    </row>
    <row r="35" spans="1:6" ht="18.95" customHeight="1">
      <c r="A35" s="369"/>
      <c r="B35" s="370"/>
      <c r="C35" s="370"/>
      <c r="D35" s="370"/>
      <c r="E35" s="370"/>
      <c r="F35" s="371"/>
    </row>
    <row r="36" spans="1:6" ht="18.95" customHeight="1">
      <c r="A36" s="369"/>
      <c r="B36" s="370"/>
      <c r="C36" s="370"/>
      <c r="D36" s="370"/>
      <c r="E36" s="370"/>
      <c r="F36" s="371"/>
    </row>
    <row r="37" spans="1:6" ht="18.95" customHeight="1">
      <c r="A37" s="369"/>
      <c r="B37" s="370"/>
      <c r="C37" s="370"/>
      <c r="D37" s="370"/>
      <c r="E37" s="370"/>
      <c r="F37" s="371"/>
    </row>
    <row r="38" spans="1:6" ht="18.95" customHeight="1">
      <c r="A38" s="369"/>
      <c r="B38" s="370"/>
      <c r="C38" s="370"/>
      <c r="D38" s="370"/>
      <c r="E38" s="370"/>
      <c r="F38" s="371"/>
    </row>
    <row r="39" spans="1:6" ht="18.95" customHeight="1">
      <c r="A39" s="378" t="s">
        <v>421</v>
      </c>
      <c r="B39" s="379"/>
      <c r="C39" s="379"/>
      <c r="D39" s="370"/>
      <c r="E39" s="375" t="s">
        <v>422</v>
      </c>
      <c r="F39" s="380" t="s">
        <v>756</v>
      </c>
    </row>
    <row r="40" spans="1:6" ht="18.95" customHeight="1">
      <c r="A40" s="369"/>
      <c r="B40" s="379"/>
      <c r="C40" s="379"/>
      <c r="D40" s="370"/>
      <c r="E40" s="370"/>
      <c r="F40" s="371"/>
    </row>
    <row r="41" spans="1:6" ht="18.95" customHeight="1">
      <c r="A41" s="369"/>
      <c r="B41" s="379"/>
      <c r="C41" s="379"/>
      <c r="D41" s="370"/>
      <c r="E41" s="370"/>
      <c r="F41" s="371"/>
    </row>
    <row r="42" spans="1:6" ht="18.95" customHeight="1">
      <c r="A42" s="369"/>
      <c r="B42" s="370"/>
      <c r="C42" s="370"/>
      <c r="D42" s="370"/>
      <c r="E42" s="370"/>
      <c r="F42" s="371"/>
    </row>
    <row r="43" spans="1:6" ht="18.95" customHeight="1">
      <c r="A43" s="381"/>
      <c r="B43" s="379"/>
      <c r="C43" s="382" t="s">
        <v>423</v>
      </c>
      <c r="D43" s="383" t="str">
        <f>'Performance Data Sheet'!K43</f>
        <v>Mario L</v>
      </c>
      <c r="E43" s="382" t="s">
        <v>424</v>
      </c>
      <c r="F43" s="383" t="s">
        <v>755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1" t="e">
        <f>5252.1*B50/D53</f>
        <v>#DIV/0!</v>
      </c>
      <c r="G50" s="411"/>
    </row>
    <row r="51" spans="6:9" ht="15" customHeight="1">
      <c r="G51" s="412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3"/>
    </row>
    <row r="63" spans="6:9">
      <c r="I63" s="414" t="s">
        <v>39</v>
      </c>
    </row>
    <row r="64" spans="6:9">
      <c r="I64" s="414"/>
    </row>
    <row r="65" spans="1:9">
      <c r="I65" s="414"/>
    </row>
    <row r="66" spans="1:9">
      <c r="D66" s="411" t="e">
        <f>D65/D64</f>
        <v>#DIV/0!</v>
      </c>
    </row>
    <row r="67" spans="1:9">
      <c r="A67" s="415" t="s">
        <v>397</v>
      </c>
      <c r="B67" s="415" t="s">
        <v>597</v>
      </c>
      <c r="C67" s="415" t="s">
        <v>598</v>
      </c>
      <c r="E67" s="415" t="s">
        <v>599</v>
      </c>
      <c r="F67" s="415" t="s">
        <v>600</v>
      </c>
    </row>
    <row r="68" spans="1:9">
      <c r="A68" s="416">
        <v>530.15873015873012</v>
      </c>
      <c r="B68" s="417">
        <v>35</v>
      </c>
      <c r="C68" s="417">
        <v>15</v>
      </c>
      <c r="E68" s="416">
        <f>A68</f>
        <v>530.15873015873012</v>
      </c>
      <c r="F68" s="417">
        <v>1E-4</v>
      </c>
    </row>
    <row r="69" spans="1:9">
      <c r="A69" s="416">
        <v>466.11222539682535</v>
      </c>
      <c r="B69" s="417">
        <f>((A68/A69)^2)*B68</f>
        <v>45.279215232606219</v>
      </c>
      <c r="C69" s="417">
        <f>((A68/A69)^2)*C68</f>
        <v>19.405377956831238</v>
      </c>
      <c r="E69" s="416">
        <v>528.33333333333337</v>
      </c>
      <c r="F69" s="417">
        <v>1.8589999675750732</v>
      </c>
    </row>
    <row r="70" spans="1:9">
      <c r="A70" s="416">
        <v>402.04650476190477</v>
      </c>
      <c r="B70" s="417">
        <f>((A68/A70)^2)*B68</f>
        <v>60.859348274201629</v>
      </c>
      <c r="C70" s="417">
        <f>((A68/A70)^2)*C68</f>
        <v>26.082577831800698</v>
      </c>
      <c r="E70" s="416">
        <v>524.44444444444446</v>
      </c>
      <c r="F70" s="417">
        <v>3.3899998664855957</v>
      </c>
    </row>
    <row r="71" spans="1:9">
      <c r="A71" s="416">
        <v>338</v>
      </c>
      <c r="B71" s="417">
        <f>((A68/A71)^2)*B68</f>
        <v>86.108590129224325</v>
      </c>
      <c r="C71" s="417">
        <f>((A68/A71)^2)*C68</f>
        <v>36.903681483953278</v>
      </c>
      <c r="E71" s="416">
        <v>519.68253968253964</v>
      </c>
      <c r="F71" s="417">
        <v>4.8179998397827148</v>
      </c>
    </row>
    <row r="72" spans="1:9">
      <c r="A72" s="416">
        <f>A71-100</f>
        <v>238</v>
      </c>
      <c r="B72" s="417">
        <f>((A68/A72)^2)*B68</f>
        <v>173.67046413959292</v>
      </c>
      <c r="C72" s="417"/>
      <c r="E72" s="416">
        <v>513.80952380952385</v>
      </c>
      <c r="F72" s="417">
        <v>6.2439999580383301</v>
      </c>
    </row>
    <row r="73" spans="1:9">
      <c r="A73" s="416">
        <f>A72-100</f>
        <v>138</v>
      </c>
      <c r="B73" s="417">
        <f>((A68/A73)^2)*B68</f>
        <v>516.56110957378201</v>
      </c>
      <c r="C73" s="417"/>
      <c r="E73" s="416">
        <v>506.42857142857144</v>
      </c>
      <c r="F73" s="417">
        <v>7.750999927520752</v>
      </c>
    </row>
    <row r="74" spans="1:9">
      <c r="A74" s="416">
        <v>220</v>
      </c>
      <c r="B74" s="417">
        <f>((A68/A74)^2)*B68</f>
        <v>203.25185476700631</v>
      </c>
      <c r="C74" s="417">
        <f>((A68/A74)^2)*C68</f>
        <v>87.107937757288411</v>
      </c>
      <c r="E74" s="416">
        <v>497.06349206349199</v>
      </c>
      <c r="F74" s="417">
        <v>9.4169998168945313</v>
      </c>
    </row>
    <row r="75" spans="1:9">
      <c r="A75" s="418">
        <v>180</v>
      </c>
      <c r="B75" s="417">
        <f>((A68/A75)^2)*B69</f>
        <v>392.79478726244287</v>
      </c>
      <c r="C75" s="417">
        <f>((A68/A75)^2)*C68</f>
        <v>130.12420331644319</v>
      </c>
      <c r="E75" s="416">
        <v>485.39682539682542</v>
      </c>
      <c r="F75" s="417">
        <v>11.356999397277832</v>
      </c>
    </row>
    <row r="76" spans="1:9">
      <c r="A76" s="418">
        <v>145</v>
      </c>
      <c r="B76" s="417">
        <f>((A68/A76)^2)*B68</f>
        <v>467.89011989170524</v>
      </c>
      <c r="C76" s="417">
        <f>((A68/A76)^2)*C68</f>
        <v>200.52433709644509</v>
      </c>
      <c r="E76" s="416">
        <v>470.39682539682548</v>
      </c>
      <c r="F76" s="417">
        <v>13.811999320983887</v>
      </c>
    </row>
    <row r="77" spans="1:9">
      <c r="A77" s="418">
        <v>125</v>
      </c>
      <c r="B77" s="417"/>
      <c r="C77" s="416">
        <f>CEILING(C76*2,100)</f>
        <v>500</v>
      </c>
      <c r="E77" s="416">
        <v>455.63492063492066</v>
      </c>
      <c r="F77" s="417">
        <v>15.264999389648438</v>
      </c>
    </row>
    <row r="78" spans="1:9">
      <c r="A78" s="418">
        <v>125</v>
      </c>
      <c r="B78" s="417"/>
      <c r="C78" s="416">
        <f>2*C77</f>
        <v>1000</v>
      </c>
      <c r="E78" s="416">
        <v>437.46031746031753</v>
      </c>
      <c r="F78" s="417">
        <v>16.486000061035156</v>
      </c>
    </row>
    <row r="79" spans="1:9">
      <c r="A79" s="418">
        <v>125</v>
      </c>
      <c r="B79" s="418"/>
      <c r="C79" s="418">
        <v>10000</v>
      </c>
      <c r="E79" s="416">
        <v>388.73015873015873</v>
      </c>
      <c r="F79" s="417">
        <v>17.065999984741211</v>
      </c>
    </row>
    <row r="80" spans="1:9">
      <c r="E80" s="416">
        <v>231.50793650793651</v>
      </c>
      <c r="F80" s="417">
        <v>17.187000274658203</v>
      </c>
    </row>
    <row r="81" spans="5:6">
      <c r="E81" s="416">
        <v>0</v>
      </c>
      <c r="F81" s="417">
        <v>18.530000686645508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RowHeight="12.75"/>
  <cols>
    <col min="1" max="1" width="9.5703125" style="343" customWidth="1"/>
    <col min="2" max="11" width="7.7109375" style="343" customWidth="1"/>
    <col min="12" max="16384" width="9.140625" style="343"/>
  </cols>
  <sheetData>
    <row r="1" spans="1:12" ht="20.25">
      <c r="A1" s="716" t="s">
        <v>602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344"/>
    </row>
    <row r="2" spans="1:12" ht="30" customHeight="1">
      <c r="A2" s="344"/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</row>
    <row r="3" spans="1:12" ht="19.5">
      <c r="A3" s="419" t="s">
        <v>434</v>
      </c>
      <c r="B3" s="420" t="s">
        <v>473</v>
      </c>
      <c r="C3" s="344"/>
      <c r="D3" s="344"/>
      <c r="E3" s="344"/>
      <c r="F3" s="344"/>
      <c r="G3" s="344"/>
      <c r="H3" s="344"/>
      <c r="I3" s="344"/>
      <c r="J3" s="344"/>
      <c r="K3" s="344"/>
      <c r="L3" s="344"/>
    </row>
    <row r="4" spans="1:12" ht="12" customHeight="1">
      <c r="A4" s="344"/>
      <c r="B4" s="344"/>
      <c r="C4" s="344"/>
      <c r="D4" s="344"/>
      <c r="E4" s="344"/>
      <c r="F4" s="344"/>
      <c r="G4" s="344"/>
      <c r="H4" s="344"/>
      <c r="I4" s="344"/>
      <c r="J4" s="344"/>
      <c r="K4" s="344"/>
      <c r="L4" s="344"/>
    </row>
    <row r="5" spans="1:12" ht="19.5">
      <c r="A5" s="421" t="s">
        <v>603</v>
      </c>
      <c r="B5" s="422"/>
      <c r="C5" s="422"/>
      <c r="D5" s="422"/>
      <c r="E5" s="422"/>
      <c r="F5" s="344"/>
      <c r="G5" s="344"/>
      <c r="H5" s="344"/>
      <c r="I5" s="344"/>
      <c r="J5" s="344"/>
      <c r="K5" s="344"/>
      <c r="L5" s="344"/>
    </row>
    <row r="6" spans="1:12" ht="17.25" customHeight="1">
      <c r="A6" s="344"/>
      <c r="B6" s="344"/>
      <c r="C6" s="344"/>
      <c r="D6" s="344"/>
      <c r="E6" s="344"/>
      <c r="F6" s="344"/>
      <c r="G6" s="344"/>
      <c r="H6" s="344"/>
      <c r="I6" s="344"/>
      <c r="J6" s="344"/>
      <c r="K6" s="344"/>
      <c r="L6" s="344"/>
    </row>
    <row r="7" spans="1:12" ht="15.75">
      <c r="A7" s="344"/>
      <c r="B7" s="423" t="s">
        <v>604</v>
      </c>
      <c r="C7" s="424">
        <v>0</v>
      </c>
      <c r="D7" s="423" t="s">
        <v>604</v>
      </c>
      <c r="E7" s="425" t="s">
        <v>605</v>
      </c>
      <c r="F7" s="423" t="s">
        <v>604</v>
      </c>
      <c r="G7" s="425" t="s">
        <v>606</v>
      </c>
      <c r="H7" s="423" t="s">
        <v>607</v>
      </c>
      <c r="I7" s="425">
        <v>0</v>
      </c>
      <c r="J7" s="423" t="s">
        <v>607</v>
      </c>
      <c r="K7" s="425">
        <v>7.0000000000000001E-3</v>
      </c>
      <c r="L7" s="344"/>
    </row>
    <row r="8" spans="1:12" ht="15.75">
      <c r="A8" s="404" t="s">
        <v>608</v>
      </c>
      <c r="B8" s="699">
        <v>8</v>
      </c>
      <c r="C8" s="699"/>
      <c r="D8" s="699">
        <v>26</v>
      </c>
      <c r="E8" s="699"/>
      <c r="F8" s="699">
        <v>10</v>
      </c>
      <c r="G8" s="699"/>
      <c r="H8" s="699" t="s">
        <v>623</v>
      </c>
      <c r="I8" s="699"/>
      <c r="J8" s="699" t="s">
        <v>624</v>
      </c>
      <c r="K8" s="699"/>
      <c r="L8" s="344"/>
    </row>
    <row r="9" spans="1:12" ht="15.75">
      <c r="A9" s="404" t="s">
        <v>609</v>
      </c>
      <c r="B9" s="699">
        <v>20</v>
      </c>
      <c r="C9" s="699"/>
      <c r="D9" s="699">
        <v>38</v>
      </c>
      <c r="E9" s="699"/>
      <c r="F9" s="699">
        <v>2</v>
      </c>
      <c r="G9" s="699"/>
      <c r="H9" s="699" t="s">
        <v>625</v>
      </c>
      <c r="I9" s="699"/>
      <c r="J9" s="699" t="s">
        <v>626</v>
      </c>
      <c r="K9" s="699"/>
      <c r="L9" s="344"/>
    </row>
    <row r="10" spans="1:12" ht="15.75">
      <c r="A10" s="404" t="s">
        <v>610</v>
      </c>
      <c r="B10" s="699">
        <v>14</v>
      </c>
      <c r="C10" s="699"/>
      <c r="D10" s="699">
        <v>32</v>
      </c>
      <c r="E10" s="699"/>
      <c r="F10" s="699">
        <v>4</v>
      </c>
      <c r="G10" s="699"/>
      <c r="H10" s="699" t="s">
        <v>627</v>
      </c>
      <c r="I10" s="699"/>
      <c r="J10" s="699" t="s">
        <v>628</v>
      </c>
      <c r="K10" s="699"/>
      <c r="L10" s="344"/>
    </row>
    <row r="11" spans="1:12" ht="26.25" customHeight="1">
      <c r="A11" s="344"/>
      <c r="B11" s="344"/>
      <c r="C11" s="344"/>
      <c r="D11" s="344"/>
      <c r="E11" s="344"/>
      <c r="F11" s="344"/>
      <c r="G11" s="344"/>
      <c r="H11" s="344"/>
      <c r="I11" s="344"/>
      <c r="J11" s="344"/>
      <c r="K11" s="344"/>
      <c r="L11" s="344"/>
    </row>
    <row r="12" spans="1:12" ht="19.5">
      <c r="A12" s="421" t="s">
        <v>611</v>
      </c>
      <c r="B12" s="344"/>
      <c r="C12" s="344"/>
      <c r="D12" s="344"/>
      <c r="E12" s="344"/>
      <c r="F12" s="344"/>
      <c r="G12" s="344"/>
      <c r="H12" s="344"/>
      <c r="I12" s="344"/>
      <c r="J12" s="344"/>
      <c r="K12" s="344"/>
      <c r="L12" s="344"/>
    </row>
    <row r="13" spans="1:12" ht="15.75">
      <c r="A13" s="344"/>
      <c r="B13" s="344"/>
      <c r="C13" s="344"/>
      <c r="D13" s="344"/>
      <c r="E13" s="344"/>
      <c r="F13" s="344"/>
      <c r="G13" s="344"/>
      <c r="H13" s="344"/>
      <c r="I13" s="344"/>
      <c r="J13" s="344"/>
      <c r="K13" s="344"/>
      <c r="L13" s="344"/>
    </row>
    <row r="14" spans="1:12" ht="15.75">
      <c r="A14" s="344"/>
      <c r="B14" s="717" t="s">
        <v>612</v>
      </c>
      <c r="C14" s="706"/>
      <c r="D14" s="718" t="s">
        <v>629</v>
      </c>
      <c r="E14" s="699"/>
      <c r="F14" s="717" t="s">
        <v>613</v>
      </c>
      <c r="G14" s="706"/>
      <c r="H14" s="718" t="s">
        <v>634</v>
      </c>
      <c r="I14" s="699"/>
      <c r="J14" s="344"/>
      <c r="K14" s="344"/>
      <c r="L14" s="344"/>
    </row>
    <row r="15" spans="1:12" ht="15.75">
      <c r="A15" s="344"/>
      <c r="B15" s="717" t="s">
        <v>614</v>
      </c>
      <c r="C15" s="706"/>
      <c r="D15" s="718" t="s">
        <v>630</v>
      </c>
      <c r="E15" s="699"/>
      <c r="F15" s="717" t="s">
        <v>615</v>
      </c>
      <c r="G15" s="706"/>
      <c r="H15" s="718" t="s">
        <v>635</v>
      </c>
      <c r="I15" s="699"/>
      <c r="J15" s="344"/>
      <c r="K15" s="344"/>
      <c r="L15" s="344"/>
    </row>
    <row r="16" spans="1:12" ht="15.75">
      <c r="A16" s="344"/>
      <c r="B16" s="717" t="s">
        <v>616</v>
      </c>
      <c r="C16" s="706"/>
      <c r="D16" s="718" t="s">
        <v>631</v>
      </c>
      <c r="E16" s="699"/>
      <c r="F16" s="717" t="s">
        <v>617</v>
      </c>
      <c r="G16" s="706"/>
      <c r="H16" s="718" t="s">
        <v>636</v>
      </c>
      <c r="I16" s="699"/>
      <c r="J16" s="344"/>
      <c r="K16" s="344"/>
      <c r="L16" s="344"/>
    </row>
    <row r="17" spans="1:12" ht="15.75">
      <c r="A17" s="344"/>
      <c r="B17" s="717" t="s">
        <v>618</v>
      </c>
      <c r="C17" s="706"/>
      <c r="D17" s="718" t="s">
        <v>632</v>
      </c>
      <c r="E17" s="699"/>
      <c r="F17" s="717" t="s">
        <v>619</v>
      </c>
      <c r="G17" s="706"/>
      <c r="H17" s="718" t="s">
        <v>637</v>
      </c>
      <c r="I17" s="699"/>
      <c r="J17" s="344"/>
      <c r="K17" s="344"/>
      <c r="L17" s="344"/>
    </row>
    <row r="18" spans="1:12" ht="15.75">
      <c r="A18" s="344"/>
      <c r="B18" s="717" t="s">
        <v>620</v>
      </c>
      <c r="C18" s="706"/>
      <c r="D18" s="718" t="s">
        <v>633</v>
      </c>
      <c r="E18" s="699"/>
      <c r="F18" s="717" t="s">
        <v>621</v>
      </c>
      <c r="G18" s="706"/>
      <c r="H18" s="718" t="s">
        <v>638</v>
      </c>
      <c r="I18" s="699"/>
      <c r="J18" s="344"/>
      <c r="K18" s="344"/>
      <c r="L18" s="344"/>
    </row>
    <row r="19" spans="1:12" ht="27" customHeight="1">
      <c r="A19" s="344"/>
      <c r="B19" s="344"/>
      <c r="C19" s="344"/>
      <c r="D19" s="344"/>
      <c r="E19" s="344"/>
      <c r="F19" s="344"/>
      <c r="G19" s="344"/>
      <c r="H19" s="344"/>
      <c r="I19" s="344"/>
      <c r="J19" s="344"/>
      <c r="K19" s="344"/>
      <c r="L19" s="344"/>
    </row>
    <row r="20" spans="1:12" ht="19.5">
      <c r="A20" s="421" t="s">
        <v>622</v>
      </c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344"/>
    </row>
    <row r="21" spans="1:12" ht="15.75">
      <c r="A21" s="344"/>
      <c r="B21" s="344"/>
      <c r="C21" s="344"/>
      <c r="D21" s="344"/>
      <c r="E21" s="344"/>
      <c r="F21" s="344"/>
      <c r="G21" s="344"/>
      <c r="H21" s="344"/>
      <c r="I21" s="344"/>
      <c r="J21" s="344"/>
      <c r="K21" s="344"/>
      <c r="L21" s="344"/>
    </row>
    <row r="22" spans="1:12" ht="19.5">
      <c r="A22" s="344"/>
      <c r="B22" s="421" t="s">
        <v>639</v>
      </c>
      <c r="C22" s="344"/>
      <c r="D22" s="344"/>
      <c r="E22" s="344"/>
      <c r="F22" s="344"/>
      <c r="G22" s="344"/>
      <c r="H22" s="344"/>
      <c r="I22" s="344"/>
      <c r="J22" s="344"/>
      <c r="K22" s="344"/>
      <c r="L22" s="344"/>
    </row>
    <row r="23" spans="1:12" ht="15.75">
      <c r="A23" s="344"/>
      <c r="B23" s="344" t="s">
        <v>640</v>
      </c>
      <c r="C23" s="344"/>
      <c r="D23" s="344"/>
      <c r="E23" s="344"/>
      <c r="F23" s="344"/>
      <c r="G23" s="344"/>
      <c r="H23" s="344"/>
      <c r="I23" s="344"/>
      <c r="J23" s="344"/>
      <c r="K23" s="344"/>
      <c r="L23" s="344"/>
    </row>
    <row r="24" spans="1:12" ht="15.75">
      <c r="A24" s="344"/>
      <c r="B24" s="344"/>
      <c r="C24" s="344"/>
      <c r="D24" s="344"/>
      <c r="E24" s="344"/>
      <c r="F24" s="344"/>
      <c r="G24" s="344"/>
      <c r="H24" s="344"/>
      <c r="I24" s="344"/>
      <c r="J24" s="344"/>
      <c r="K24" s="344"/>
      <c r="L24" s="344"/>
    </row>
    <row r="25" spans="1:12" ht="15.75">
      <c r="A25" s="344"/>
      <c r="B25" s="344"/>
      <c r="C25" s="344"/>
      <c r="D25" s="344"/>
      <c r="E25" s="344"/>
      <c r="F25" s="344"/>
      <c r="G25" s="344"/>
      <c r="H25" s="344"/>
      <c r="I25" s="344"/>
      <c r="J25" s="344"/>
      <c r="K25" s="344"/>
      <c r="L25" s="344"/>
    </row>
    <row r="26" spans="1:12" ht="15.75">
      <c r="A26" s="344"/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</row>
    <row r="27" spans="1:12" ht="15.75">
      <c r="A27" s="344"/>
      <c r="B27" s="344"/>
      <c r="C27" s="344"/>
      <c r="D27" s="344"/>
      <c r="E27" s="344"/>
      <c r="F27" s="344"/>
      <c r="G27" s="344"/>
      <c r="H27" s="344"/>
      <c r="I27" s="344"/>
      <c r="J27" s="344"/>
      <c r="K27" s="344"/>
      <c r="L27" s="344"/>
    </row>
    <row r="28" spans="1:12" ht="15.75">
      <c r="A28" s="344"/>
      <c r="B28" s="344"/>
      <c r="C28" s="344"/>
      <c r="D28" s="344"/>
      <c r="E28" s="344"/>
      <c r="F28" s="344"/>
      <c r="G28" s="344"/>
      <c r="H28" s="344"/>
      <c r="I28" s="344"/>
      <c r="J28" s="344"/>
      <c r="K28" s="344"/>
      <c r="L28" s="344"/>
    </row>
    <row r="29" spans="1:12" ht="15.75">
      <c r="A29" s="344"/>
      <c r="B29" s="344"/>
      <c r="C29" s="344"/>
      <c r="D29" s="344"/>
      <c r="E29" s="344"/>
      <c r="F29" s="344"/>
      <c r="G29" s="344"/>
      <c r="H29" s="344"/>
      <c r="I29" s="344"/>
      <c r="J29" s="344"/>
      <c r="K29" s="344"/>
      <c r="L29" s="344"/>
    </row>
    <row r="30" spans="1:12" ht="15.75">
      <c r="A30" s="344"/>
      <c r="B30" s="344"/>
      <c r="C30" s="344"/>
      <c r="D30" s="344"/>
      <c r="E30" s="344"/>
      <c r="F30" s="344"/>
      <c r="G30" s="344"/>
      <c r="H30" s="344"/>
      <c r="I30" s="344"/>
      <c r="J30" s="344"/>
      <c r="K30" s="344"/>
      <c r="L30" s="344"/>
    </row>
    <row r="31" spans="1:12" ht="15.75">
      <c r="A31" s="344"/>
      <c r="B31" s="344"/>
      <c r="C31" s="344"/>
      <c r="D31" s="344"/>
      <c r="E31" s="344"/>
      <c r="F31" s="344"/>
      <c r="G31" s="344"/>
      <c r="H31" s="344"/>
      <c r="I31" s="344"/>
      <c r="J31" s="344"/>
      <c r="K31" s="344"/>
      <c r="L31" s="344"/>
    </row>
    <row r="32" spans="1:12" ht="15.75">
      <c r="A32" s="344"/>
      <c r="B32" s="344"/>
      <c r="C32" s="344"/>
      <c r="D32" s="344"/>
      <c r="E32" s="344"/>
      <c r="F32" s="344"/>
      <c r="G32" s="344"/>
      <c r="H32" s="344"/>
      <c r="I32" s="344"/>
      <c r="J32" s="344"/>
      <c r="K32" s="344"/>
      <c r="L32" s="344"/>
    </row>
    <row r="33" spans="1:12" ht="15.75">
      <c r="A33" s="344"/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37" workbookViewId="0">
      <selection activeCell="B68" sqref="B68"/>
    </sheetView>
  </sheetViews>
  <sheetFormatPr defaultRowHeight="12.75"/>
  <cols>
    <col min="1" max="6" width="16.7109375" style="343" customWidth="1"/>
    <col min="7" max="16384" width="9.140625" style="343"/>
  </cols>
  <sheetData>
    <row r="1" spans="1:6" ht="18.95" customHeight="1">
      <c r="A1" s="362"/>
      <c r="B1" s="363"/>
      <c r="C1" s="363"/>
      <c r="D1" s="363"/>
      <c r="E1" s="363"/>
      <c r="F1" s="364"/>
    </row>
    <row r="2" spans="1:6" ht="26.1" customHeight="1">
      <c r="A2" s="365" t="s">
        <v>252</v>
      </c>
      <c r="B2" s="366"/>
      <c r="C2" s="366"/>
      <c r="D2" s="366"/>
      <c r="E2" s="366"/>
      <c r="F2" s="367"/>
    </row>
    <row r="3" spans="1:6" ht="18.95" customHeight="1">
      <c r="A3" s="368" t="s">
        <v>641</v>
      </c>
      <c r="B3" s="366"/>
      <c r="C3" s="366"/>
      <c r="D3" s="366"/>
      <c r="E3" s="366"/>
      <c r="F3" s="367"/>
    </row>
    <row r="4" spans="1:6" ht="18.95" customHeight="1">
      <c r="A4" s="713" t="s">
        <v>596</v>
      </c>
      <c r="B4" s="714"/>
      <c r="C4" s="714"/>
      <c r="D4" s="714"/>
      <c r="E4" s="714"/>
      <c r="F4" s="715"/>
    </row>
    <row r="5" spans="1:6" ht="18.95" customHeight="1">
      <c r="A5" s="369"/>
      <c r="B5" s="370"/>
      <c r="C5" s="370"/>
      <c r="D5" s="370"/>
      <c r="E5" s="370"/>
      <c r="F5" s="371"/>
    </row>
    <row r="6" spans="1:6" ht="18.95" customHeight="1">
      <c r="A6" s="552" t="s">
        <v>400</v>
      </c>
      <c r="B6" s="696" t="str">
        <f>'Performance Data Sheet'!C17</f>
        <v>M207TCAL11E-C</v>
      </c>
      <c r="C6" s="697"/>
      <c r="D6" s="698"/>
      <c r="E6" s="552" t="s">
        <v>401</v>
      </c>
      <c r="F6" s="553">
        <v>126</v>
      </c>
    </row>
    <row r="7" spans="1:6" ht="18.95" customHeight="1">
      <c r="A7" s="552" t="s">
        <v>402</v>
      </c>
      <c r="B7" s="553" t="str">
        <f>'Performance Data Sheet'!F14</f>
        <v>TEAAC</v>
      </c>
      <c r="C7" s="552" t="s">
        <v>403</v>
      </c>
      <c r="D7" s="553" t="s">
        <v>425</v>
      </c>
      <c r="E7" s="552" t="s">
        <v>404</v>
      </c>
      <c r="F7" s="553" t="str">
        <f>'Performance Data Sheet'!C14</f>
        <v>6810US</v>
      </c>
    </row>
    <row r="8" spans="1:6" ht="18.95" customHeight="1">
      <c r="A8" s="552" t="s">
        <v>405</v>
      </c>
      <c r="B8" s="553">
        <v>6</v>
      </c>
      <c r="C8" s="552" t="s">
        <v>406</v>
      </c>
      <c r="D8" s="553" t="s">
        <v>407</v>
      </c>
      <c r="E8" s="552" t="s">
        <v>408</v>
      </c>
      <c r="F8" s="553" t="str">
        <f>'Performance Data Sheet'!M15</f>
        <v>F</v>
      </c>
    </row>
    <row r="9" spans="1:6" ht="18.95" customHeight="1">
      <c r="A9" s="552" t="s">
        <v>409</v>
      </c>
      <c r="B9" s="553">
        <v>1000</v>
      </c>
      <c r="C9" s="552" t="s">
        <v>410</v>
      </c>
      <c r="D9" s="553" t="s">
        <v>426</v>
      </c>
      <c r="E9" s="552" t="s">
        <v>2</v>
      </c>
      <c r="F9" s="554">
        <f>'Performance Data Sheet'!K45</f>
        <v>41992</v>
      </c>
    </row>
    <row r="10" spans="1:6" ht="18.95" customHeight="1">
      <c r="A10" s="552" t="s">
        <v>411</v>
      </c>
      <c r="B10" s="553">
        <v>1192</v>
      </c>
      <c r="C10" s="552" t="s">
        <v>412</v>
      </c>
      <c r="D10" s="553" t="s">
        <v>413</v>
      </c>
      <c r="E10" s="552" t="s">
        <v>1</v>
      </c>
      <c r="F10" s="553" t="s">
        <v>756</v>
      </c>
    </row>
    <row r="11" spans="1:6" ht="18.95" customHeight="1">
      <c r="A11" s="369"/>
      <c r="B11" s="370"/>
      <c r="C11" s="370"/>
      <c r="D11" s="370"/>
      <c r="E11" s="370"/>
      <c r="F11" s="371"/>
    </row>
    <row r="12" spans="1:6" ht="18.95" customHeight="1">
      <c r="A12" s="549"/>
      <c r="B12" s="555" t="s">
        <v>414</v>
      </c>
      <c r="C12" s="556" t="s">
        <v>427</v>
      </c>
      <c r="D12" s="555" t="s">
        <v>415</v>
      </c>
      <c r="E12" s="556" t="s">
        <v>413</v>
      </c>
      <c r="F12" s="371"/>
    </row>
    <row r="13" spans="1:6" ht="18.95" customHeight="1">
      <c r="A13" s="549"/>
      <c r="B13" s="555" t="s">
        <v>416</v>
      </c>
      <c r="C13" s="557">
        <v>0.75</v>
      </c>
      <c r="D13" s="555" t="s">
        <v>417</v>
      </c>
      <c r="E13" s="556" t="s">
        <v>413</v>
      </c>
      <c r="F13" s="371"/>
    </row>
    <row r="14" spans="1:6" ht="18.95" customHeight="1">
      <c r="A14" s="549"/>
      <c r="B14" s="555" t="s">
        <v>418</v>
      </c>
      <c r="C14" s="557">
        <v>2.2000000000000002</v>
      </c>
      <c r="D14" s="555" t="s">
        <v>419</v>
      </c>
      <c r="E14" s="556" t="s">
        <v>413</v>
      </c>
      <c r="F14" s="371"/>
    </row>
    <row r="15" spans="1:6" ht="18.95" customHeight="1">
      <c r="A15" s="549"/>
      <c r="B15" s="555" t="s">
        <v>420</v>
      </c>
      <c r="C15" s="556" t="s">
        <v>751</v>
      </c>
      <c r="D15" s="550"/>
      <c r="E15" s="550"/>
      <c r="F15" s="371"/>
    </row>
    <row r="16" spans="1:6" ht="18.95" customHeight="1">
      <c r="A16" s="369"/>
      <c r="B16" s="370"/>
      <c r="C16" s="370"/>
      <c r="D16" s="370"/>
      <c r="E16" s="370"/>
      <c r="F16" s="371"/>
    </row>
    <row r="17" spans="1:8" ht="18.95" customHeight="1">
      <c r="A17" s="369"/>
      <c r="B17" s="370"/>
      <c r="C17" s="370"/>
      <c r="D17" s="370"/>
      <c r="E17" s="370"/>
      <c r="F17" s="371"/>
    </row>
    <row r="18" spans="1:8" ht="18.95" customHeight="1">
      <c r="A18" s="369"/>
      <c r="B18" s="370"/>
      <c r="C18" s="370"/>
      <c r="D18" s="370"/>
      <c r="E18" s="370"/>
      <c r="F18" s="371"/>
    </row>
    <row r="19" spans="1:8" ht="18.95" customHeight="1">
      <c r="A19" s="369"/>
      <c r="B19" s="370"/>
      <c r="C19" s="370"/>
      <c r="D19" s="370"/>
      <c r="E19" s="370"/>
      <c r="F19" s="371"/>
    </row>
    <row r="20" spans="1:8" ht="18.95" customHeight="1">
      <c r="A20" s="369"/>
      <c r="B20" s="370"/>
      <c r="C20" s="370"/>
      <c r="D20" s="370"/>
      <c r="E20" s="370"/>
      <c r="F20" s="371"/>
    </row>
    <row r="21" spans="1:8" ht="18.95" customHeight="1">
      <c r="A21" s="369"/>
      <c r="B21" s="370"/>
      <c r="C21" s="370"/>
      <c r="D21" s="370"/>
      <c r="E21" s="370"/>
      <c r="F21" s="371"/>
    </row>
    <row r="22" spans="1:8" ht="18.95" customHeight="1">
      <c r="A22" s="369"/>
      <c r="B22" s="370"/>
      <c r="C22" s="370"/>
      <c r="D22" s="370"/>
      <c r="E22" s="370"/>
      <c r="F22" s="371"/>
    </row>
    <row r="23" spans="1:8" ht="18.95" customHeight="1">
      <c r="A23" s="369"/>
      <c r="B23" s="370"/>
      <c r="C23" s="370"/>
      <c r="D23" s="370"/>
      <c r="E23" s="370"/>
      <c r="F23" s="371"/>
    </row>
    <row r="24" spans="1:8" ht="18.95" customHeight="1">
      <c r="A24" s="369"/>
      <c r="B24" s="370"/>
      <c r="C24" s="370"/>
      <c r="D24" s="370"/>
      <c r="E24" s="370"/>
      <c r="F24" s="371"/>
      <c r="H24" s="426"/>
    </row>
    <row r="25" spans="1:8" ht="18.95" customHeight="1">
      <c r="A25" s="369"/>
      <c r="B25" s="370"/>
      <c r="C25" s="370"/>
      <c r="D25" s="370"/>
      <c r="E25" s="370"/>
      <c r="F25" s="371"/>
    </row>
    <row r="26" spans="1:8" ht="18.95" customHeight="1">
      <c r="A26" s="369"/>
      <c r="B26" s="370"/>
      <c r="C26" s="370"/>
      <c r="D26" s="370"/>
      <c r="E26" s="370"/>
      <c r="F26" s="371"/>
    </row>
    <row r="27" spans="1:8" ht="18.95" customHeight="1">
      <c r="A27" s="369"/>
      <c r="B27" s="370"/>
      <c r="C27" s="370"/>
      <c r="D27" s="370"/>
      <c r="E27" s="370"/>
      <c r="F27" s="371"/>
    </row>
    <row r="28" spans="1:8" ht="18.95" customHeight="1">
      <c r="A28" s="369"/>
      <c r="B28" s="370"/>
      <c r="C28" s="370"/>
      <c r="D28" s="370"/>
      <c r="E28" s="370"/>
      <c r="F28" s="371"/>
    </row>
    <row r="29" spans="1:8" ht="18.95" customHeight="1">
      <c r="A29" s="369"/>
      <c r="B29" s="370"/>
      <c r="C29" s="370"/>
      <c r="D29" s="370"/>
      <c r="E29" s="370"/>
      <c r="F29" s="371"/>
    </row>
    <row r="30" spans="1:8" ht="18.95" customHeight="1">
      <c r="A30" s="369"/>
      <c r="B30" s="370"/>
      <c r="C30" s="370"/>
      <c r="D30" s="370"/>
      <c r="E30" s="370"/>
      <c r="F30" s="371"/>
    </row>
    <row r="31" spans="1:8" ht="18.95" customHeight="1">
      <c r="A31" s="369"/>
      <c r="B31" s="370"/>
      <c r="C31" s="370"/>
      <c r="D31" s="370"/>
      <c r="E31" s="370"/>
      <c r="F31" s="371"/>
    </row>
    <row r="32" spans="1:8" ht="18.95" customHeight="1">
      <c r="A32" s="369"/>
      <c r="B32" s="370"/>
      <c r="C32" s="370"/>
      <c r="D32" s="370"/>
      <c r="E32" s="370"/>
      <c r="F32" s="371"/>
    </row>
    <row r="33" spans="1:6" ht="18.95" customHeight="1">
      <c r="A33" s="369"/>
      <c r="B33" s="370"/>
      <c r="C33" s="370"/>
      <c r="D33" s="370"/>
      <c r="E33" s="370"/>
      <c r="F33" s="371"/>
    </row>
    <row r="34" spans="1:6" ht="18.95" customHeight="1">
      <c r="A34" s="369"/>
      <c r="B34" s="370"/>
      <c r="C34" s="370"/>
      <c r="D34" s="370"/>
      <c r="E34" s="370"/>
      <c r="F34" s="371"/>
    </row>
    <row r="35" spans="1:6" ht="18.95" customHeight="1">
      <c r="A35" s="369"/>
      <c r="B35" s="370"/>
      <c r="C35" s="370"/>
      <c r="D35" s="370"/>
      <c r="E35" s="370"/>
      <c r="F35" s="371"/>
    </row>
    <row r="36" spans="1:6" ht="18.95" customHeight="1">
      <c r="A36" s="369"/>
      <c r="B36" s="370"/>
      <c r="C36" s="370"/>
      <c r="D36" s="370"/>
      <c r="E36" s="370"/>
      <c r="F36" s="371"/>
    </row>
    <row r="37" spans="1:6" ht="18.95" customHeight="1">
      <c r="A37" s="369"/>
      <c r="B37" s="370"/>
      <c r="C37" s="370"/>
      <c r="D37" s="370"/>
      <c r="E37" s="370"/>
      <c r="F37" s="371"/>
    </row>
    <row r="38" spans="1:6" ht="18.95" customHeight="1">
      <c r="A38" s="369"/>
      <c r="B38" s="370"/>
      <c r="C38" s="370"/>
      <c r="D38" s="370"/>
      <c r="E38" s="370"/>
      <c r="F38" s="371"/>
    </row>
    <row r="39" spans="1:6" ht="18.95" customHeight="1">
      <c r="A39" s="558" t="s">
        <v>421</v>
      </c>
      <c r="B39" s="559"/>
      <c r="C39" s="559"/>
      <c r="D39" s="550"/>
      <c r="E39" s="555" t="s">
        <v>422</v>
      </c>
      <c r="F39" s="560" t="s">
        <v>756</v>
      </c>
    </row>
    <row r="40" spans="1:6" ht="18.95" customHeight="1">
      <c r="A40" s="549"/>
      <c r="B40" s="559"/>
      <c r="C40" s="559"/>
      <c r="D40" s="550"/>
      <c r="E40" s="550"/>
      <c r="F40" s="551"/>
    </row>
    <row r="41" spans="1:6" ht="18.95" customHeight="1">
      <c r="A41" s="549"/>
      <c r="B41" s="559"/>
      <c r="C41" s="559"/>
      <c r="D41" s="550"/>
      <c r="E41" s="550"/>
      <c r="F41" s="551"/>
    </row>
    <row r="42" spans="1:6" ht="18.95" customHeight="1">
      <c r="A42" s="549"/>
      <c r="B42" s="550"/>
      <c r="C42" s="550"/>
      <c r="D42" s="550"/>
      <c r="E42" s="550"/>
      <c r="F42" s="551"/>
    </row>
    <row r="43" spans="1:6" ht="18.95" customHeight="1">
      <c r="A43" s="561"/>
      <c r="B43" s="559"/>
      <c r="C43" s="562" t="s">
        <v>423</v>
      </c>
      <c r="D43" s="563" t="str">
        <f>'Performance Data Sheet'!K43</f>
        <v>Mario L</v>
      </c>
      <c r="E43" s="562" t="s">
        <v>424</v>
      </c>
      <c r="F43" s="563" t="s">
        <v>755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7" t="s">
        <v>428</v>
      </c>
      <c r="B53" s="427" t="s">
        <v>142</v>
      </c>
      <c r="C53" s="427" t="s">
        <v>120</v>
      </c>
      <c r="D53" s="427" t="s">
        <v>135</v>
      </c>
      <c r="E53" s="427" t="s">
        <v>5</v>
      </c>
      <c r="F53" s="428" t="s">
        <v>642</v>
      </c>
    </row>
    <row r="54" spans="1:6" ht="15" customHeight="1">
      <c r="A54" s="429">
        <v>0</v>
      </c>
      <c r="B54" s="430"/>
      <c r="C54" s="431"/>
      <c r="D54" s="431">
        <v>29.693185365706203</v>
      </c>
      <c r="E54" s="431">
        <v>100</v>
      </c>
      <c r="F54" s="432">
        <v>0.66134999999999999</v>
      </c>
    </row>
    <row r="55" spans="1:6" ht="15" customHeight="1">
      <c r="A55" s="433">
        <v>25</v>
      </c>
      <c r="B55" s="434">
        <v>89.504241943359375</v>
      </c>
      <c r="C55" s="435">
        <v>67.624916076660156</v>
      </c>
      <c r="D55" s="435">
        <v>44.499916076660156</v>
      </c>
      <c r="E55" s="435">
        <v>89.837950079710538</v>
      </c>
      <c r="F55" s="436">
        <v>10.424225685435445</v>
      </c>
    </row>
    <row r="56" spans="1:6" ht="15" customHeight="1">
      <c r="A56" s="433">
        <v>50</v>
      </c>
      <c r="B56" s="434">
        <v>93.707366943359375</v>
      </c>
      <c r="C56" s="435">
        <v>84.070976257324219</v>
      </c>
      <c r="D56" s="435">
        <v>68.378517150878906</v>
      </c>
      <c r="E56" s="435">
        <v>79.687823365949839</v>
      </c>
      <c r="F56" s="436">
        <v>19.913319441345433</v>
      </c>
    </row>
    <row r="57" spans="1:6">
      <c r="A57" s="433">
        <v>75</v>
      </c>
      <c r="B57" s="434">
        <v>94.92718505859375</v>
      </c>
      <c r="C57" s="435">
        <v>88.603591918945313</v>
      </c>
      <c r="D57" s="435">
        <v>96.070236206054688</v>
      </c>
      <c r="E57" s="435">
        <v>69.380316007310228</v>
      </c>
      <c r="F57" s="436">
        <v>29.486149046694148</v>
      </c>
    </row>
    <row r="58" spans="1:6">
      <c r="A58" s="433">
        <v>100</v>
      </c>
      <c r="B58" s="434">
        <v>95.337081909179688</v>
      </c>
      <c r="C58" s="435">
        <v>89.926551818847656</v>
      </c>
      <c r="D58" s="435">
        <v>125.66654968261719</v>
      </c>
      <c r="E58" s="435">
        <v>58.567583359950959</v>
      </c>
      <c r="F58" s="436">
        <v>39.145831513653853</v>
      </c>
    </row>
    <row r="59" spans="1:6" ht="13.5" thickBot="1">
      <c r="A59" s="437">
        <v>125</v>
      </c>
      <c r="B59" s="438">
        <v>95.403312683105398</v>
      </c>
      <c r="C59" s="439">
        <v>89.938148498535156</v>
      </c>
      <c r="D59" s="439">
        <v>156.95390319824219</v>
      </c>
      <c r="E59" s="439">
        <v>47.843932673023915</v>
      </c>
      <c r="F59" s="440">
        <v>48.898321359395723</v>
      </c>
    </row>
    <row r="60" spans="1:6">
      <c r="A60" s="384"/>
      <c r="B60" s="385"/>
      <c r="C60" s="385"/>
    </row>
    <row r="61" spans="1:6">
      <c r="A61" s="384"/>
      <c r="B61" s="385"/>
      <c r="C61" s="385"/>
    </row>
    <row r="62" spans="1:6">
      <c r="A62" s="384"/>
      <c r="B62" s="385"/>
      <c r="C62" s="385"/>
    </row>
    <row r="63" spans="1:6">
      <c r="A63" s="384"/>
      <c r="B63" s="385"/>
      <c r="C63" s="385"/>
    </row>
    <row r="64" spans="1:6">
      <c r="A64" s="384"/>
      <c r="B64" s="385"/>
      <c r="C64" s="385"/>
    </row>
    <row r="65" spans="1:3">
      <c r="A65" s="384"/>
      <c r="B65" s="385"/>
      <c r="C65" s="385"/>
    </row>
    <row r="66" spans="1:3">
      <c r="A66" s="384"/>
      <c r="B66" s="385"/>
      <c r="C66" s="385"/>
    </row>
    <row r="67" spans="1:3">
      <c r="A67" s="386"/>
      <c r="B67" s="385"/>
      <c r="C67" s="385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U123"/>
  <sheetViews>
    <sheetView showGridLines="0" zoomScale="90" workbookViewId="0">
      <selection activeCell="E32" sqref="E32"/>
    </sheetView>
  </sheetViews>
  <sheetFormatPr defaultColWidth="12.5703125" defaultRowHeight="15.75"/>
  <cols>
    <col min="1" max="13" width="7" style="448" customWidth="1"/>
    <col min="14" max="14" width="7.140625" style="448" customWidth="1"/>
    <col min="15" max="16384" width="12.5703125" style="448"/>
  </cols>
  <sheetData>
    <row r="1" spans="1:14" ht="17.100000000000001" customHeight="1">
      <c r="A1" s="441" t="s">
        <v>252</v>
      </c>
      <c r="B1" s="442"/>
      <c r="C1" s="442"/>
      <c r="D1" s="442"/>
      <c r="E1" s="442"/>
      <c r="F1" s="442"/>
      <c r="G1" s="442"/>
      <c r="H1" s="442"/>
      <c r="I1" s="442"/>
      <c r="J1" s="443" t="s">
        <v>643</v>
      </c>
      <c r="K1" s="444"/>
      <c r="L1" s="445" t="s">
        <v>644</v>
      </c>
      <c r="M1" s="446"/>
      <c r="N1" s="447"/>
    </row>
    <row r="2" spans="1:14" ht="17.100000000000001" customHeight="1">
      <c r="A2" s="449" t="s">
        <v>645</v>
      </c>
      <c r="B2" s="450"/>
      <c r="C2" s="450"/>
      <c r="D2" s="450"/>
      <c r="E2" s="450"/>
      <c r="F2" s="450"/>
      <c r="G2" s="450"/>
      <c r="H2" s="450"/>
      <c r="I2" s="450"/>
      <c r="J2" s="451" t="s">
        <v>646</v>
      </c>
      <c r="K2" s="452"/>
      <c r="L2" s="453" t="s">
        <v>647</v>
      </c>
      <c r="M2" s="454"/>
      <c r="N2" s="447"/>
    </row>
    <row r="3" spans="1:14" ht="15.95" customHeight="1">
      <c r="A3" s="455"/>
      <c r="B3" s="456"/>
      <c r="C3" s="456"/>
      <c r="D3" s="456"/>
      <c r="E3" s="456"/>
      <c r="F3" s="456"/>
      <c r="G3" s="456"/>
      <c r="H3" s="456"/>
      <c r="I3" s="456"/>
      <c r="J3" s="451" t="s">
        <v>648</v>
      </c>
      <c r="K3" s="452"/>
      <c r="L3" s="457" t="s">
        <v>649</v>
      </c>
      <c r="M3" s="454"/>
      <c r="N3" s="447"/>
    </row>
    <row r="4" spans="1:14" ht="15.95" customHeight="1">
      <c r="A4" s="458"/>
      <c r="B4" s="456"/>
      <c r="C4" s="456"/>
      <c r="D4" s="456"/>
      <c r="E4" s="456"/>
      <c r="F4" s="456"/>
      <c r="G4" s="456"/>
      <c r="H4" s="456"/>
      <c r="I4" s="456"/>
      <c r="J4" s="451" t="s">
        <v>650</v>
      </c>
      <c r="K4" s="452"/>
      <c r="L4" s="459" t="s">
        <v>651</v>
      </c>
      <c r="M4" s="454"/>
      <c r="N4" s="447"/>
    </row>
    <row r="5" spans="1:14" ht="15.95" customHeight="1">
      <c r="A5" s="455"/>
      <c r="B5" s="456"/>
      <c r="C5" s="456"/>
      <c r="D5" s="456"/>
      <c r="E5" s="456"/>
      <c r="F5" s="456"/>
      <c r="G5" s="456"/>
      <c r="H5" s="456"/>
      <c r="I5" s="456"/>
      <c r="J5" s="451" t="s">
        <v>652</v>
      </c>
      <c r="K5" s="452"/>
      <c r="L5" s="453">
        <v>1</v>
      </c>
      <c r="M5" s="454"/>
      <c r="N5" s="447"/>
    </row>
    <row r="6" spans="1:14" ht="15.95" customHeight="1">
      <c r="A6" s="460" t="s">
        <v>653</v>
      </c>
      <c r="B6" s="456"/>
      <c r="C6" s="456"/>
      <c r="D6" s="456"/>
      <c r="E6" s="456"/>
      <c r="F6" s="456"/>
      <c r="G6" s="456"/>
      <c r="H6" s="456"/>
      <c r="I6" s="456"/>
      <c r="J6" s="451" t="s">
        <v>654</v>
      </c>
      <c r="K6" s="452"/>
      <c r="L6" s="461" t="s">
        <v>655</v>
      </c>
      <c r="M6" s="454"/>
      <c r="N6" s="447"/>
    </row>
    <row r="7" spans="1:14" ht="15.95" customHeight="1" thickBot="1">
      <c r="A7" s="462" t="s">
        <v>656</v>
      </c>
      <c r="B7" s="463"/>
      <c r="C7" s="463"/>
      <c r="D7" s="463"/>
      <c r="E7" s="463"/>
      <c r="F7" s="463"/>
      <c r="G7" s="463"/>
      <c r="H7" s="463"/>
      <c r="I7" s="463"/>
      <c r="J7" s="464" t="s">
        <v>657</v>
      </c>
      <c r="K7" s="465"/>
      <c r="L7" s="466" t="s">
        <v>658</v>
      </c>
      <c r="M7" s="467"/>
      <c r="N7" s="447"/>
    </row>
    <row r="8" spans="1:14" ht="15.95" customHeight="1">
      <c r="A8" s="468"/>
      <c r="B8" s="456"/>
      <c r="C8" s="456"/>
      <c r="D8" s="456"/>
      <c r="E8" s="456"/>
      <c r="F8" s="456"/>
      <c r="G8" s="456"/>
      <c r="H8" s="456"/>
      <c r="I8" s="456"/>
      <c r="J8" s="456"/>
      <c r="K8" s="469"/>
      <c r="L8" s="470"/>
      <c r="M8" s="471"/>
      <c r="N8" s="456"/>
    </row>
    <row r="9" spans="1:14" ht="12" customHeight="1">
      <c r="A9" s="472"/>
      <c r="B9" s="473" t="s">
        <v>659</v>
      </c>
      <c r="C9" s="474"/>
      <c r="D9" s="475"/>
      <c r="E9" s="475"/>
      <c r="F9" s="475"/>
      <c r="G9" s="475"/>
      <c r="H9" s="475"/>
      <c r="I9" s="475"/>
      <c r="J9" s="475"/>
      <c r="K9" s="476"/>
      <c r="L9" s="477"/>
      <c r="M9" s="475"/>
      <c r="N9" s="456"/>
    </row>
    <row r="10" spans="1:14" ht="12" customHeight="1">
      <c r="A10" s="472"/>
      <c r="B10" s="473" t="s">
        <v>660</v>
      </c>
      <c r="C10" s="478"/>
      <c r="D10" s="477"/>
      <c r="E10" s="477"/>
      <c r="F10" s="477"/>
      <c r="G10" s="477"/>
      <c r="H10" s="477"/>
      <c r="I10" s="477"/>
      <c r="J10" s="477"/>
      <c r="K10" s="477"/>
      <c r="L10" s="477"/>
      <c r="M10" s="477"/>
      <c r="N10" s="470"/>
    </row>
    <row r="11" spans="1:14" ht="16.5" thickBot="1">
      <c r="A11" s="479"/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  <c r="M11" s="479"/>
      <c r="N11" s="479"/>
    </row>
    <row r="12" spans="1:14" ht="20.100000000000001" customHeight="1" thickBot="1">
      <c r="A12" s="480" t="s">
        <v>661</v>
      </c>
      <c r="B12" s="481"/>
      <c r="C12" s="481"/>
      <c r="D12" s="481"/>
      <c r="E12" s="481"/>
      <c r="F12" s="481"/>
      <c r="G12" s="481"/>
      <c r="H12" s="481"/>
      <c r="I12" s="481"/>
      <c r="J12" s="481"/>
      <c r="K12" s="481"/>
      <c r="L12" s="481"/>
      <c r="M12" s="482"/>
      <c r="N12" s="447"/>
    </row>
    <row r="13" spans="1:14" ht="12.95" customHeight="1" thickTop="1">
      <c r="A13" s="483"/>
      <c r="B13" s="484" t="s">
        <v>662</v>
      </c>
      <c r="C13" s="485">
        <v>1000</v>
      </c>
      <c r="D13" s="477"/>
      <c r="E13" s="484" t="s">
        <v>663</v>
      </c>
      <c r="F13" s="485">
        <v>4000</v>
      </c>
      <c r="G13" s="477"/>
      <c r="H13" s="484" t="s">
        <v>664</v>
      </c>
      <c r="I13" s="485" t="s">
        <v>746</v>
      </c>
      <c r="J13" s="477"/>
      <c r="K13" s="477"/>
      <c r="L13" s="484" t="s">
        <v>665</v>
      </c>
      <c r="M13" s="486">
        <v>1200</v>
      </c>
      <c r="N13" s="447"/>
    </row>
    <row r="14" spans="1:14" ht="12.95" customHeight="1">
      <c r="A14" s="483"/>
      <c r="B14" s="484" t="s">
        <v>666</v>
      </c>
      <c r="C14" s="485" t="s">
        <v>177</v>
      </c>
      <c r="D14" s="477"/>
      <c r="E14" s="484" t="s">
        <v>667</v>
      </c>
      <c r="F14" s="485" t="s">
        <v>749</v>
      </c>
      <c r="G14" s="477"/>
      <c r="H14" s="484" t="s">
        <v>668</v>
      </c>
      <c r="I14" s="485">
        <v>126</v>
      </c>
      <c r="J14" s="477"/>
      <c r="K14" s="477"/>
      <c r="L14" s="484" t="s">
        <v>411</v>
      </c>
      <c r="M14" s="486">
        <v>1192</v>
      </c>
      <c r="N14" s="447"/>
    </row>
    <row r="15" spans="1:14" ht="12.95" customHeight="1">
      <c r="A15" s="483"/>
      <c r="B15" s="484" t="s">
        <v>669</v>
      </c>
      <c r="C15" s="485" t="s">
        <v>753</v>
      </c>
      <c r="D15" s="477"/>
      <c r="E15" s="484" t="s">
        <v>670</v>
      </c>
      <c r="F15" s="485">
        <v>1.1499999999999999</v>
      </c>
      <c r="G15" s="477"/>
      <c r="H15" s="487" t="s">
        <v>671</v>
      </c>
      <c r="I15" s="485" t="s">
        <v>174</v>
      </c>
      <c r="J15" s="477"/>
      <c r="K15" s="477"/>
      <c r="L15" s="484" t="s">
        <v>672</v>
      </c>
      <c r="M15" s="486" t="s">
        <v>346</v>
      </c>
      <c r="N15" s="447"/>
    </row>
    <row r="16" spans="1:14" ht="12.95" customHeight="1">
      <c r="A16" s="483"/>
      <c r="B16" s="484" t="s">
        <v>673</v>
      </c>
      <c r="C16" s="485" t="s">
        <v>745</v>
      </c>
      <c r="D16" s="477"/>
      <c r="E16" s="484" t="s">
        <v>674</v>
      </c>
      <c r="F16" s="485" t="s">
        <v>467</v>
      </c>
      <c r="G16" s="477"/>
      <c r="H16" s="488" t="s">
        <v>675</v>
      </c>
      <c r="I16" s="489" t="s">
        <v>339</v>
      </c>
      <c r="J16" s="477"/>
      <c r="K16" s="477"/>
      <c r="L16" s="484" t="s">
        <v>676</v>
      </c>
      <c r="M16" s="486" t="s">
        <v>677</v>
      </c>
      <c r="N16" s="447"/>
    </row>
    <row r="17" spans="1:21" ht="12.95" customHeight="1">
      <c r="A17" s="483"/>
      <c r="B17" s="484" t="s">
        <v>678</v>
      </c>
      <c r="C17" s="490" t="s">
        <v>757</v>
      </c>
      <c r="D17" s="477"/>
      <c r="E17" s="484"/>
      <c r="F17" s="491"/>
      <c r="G17" s="477"/>
      <c r="H17" s="484" t="s">
        <v>679</v>
      </c>
      <c r="I17" s="489"/>
      <c r="J17" s="477"/>
      <c r="K17" s="477"/>
      <c r="L17" s="484"/>
      <c r="M17" s="492"/>
      <c r="N17" s="447"/>
    </row>
    <row r="18" spans="1:21" ht="12.95" customHeight="1" thickBot="1">
      <c r="A18" s="493"/>
      <c r="B18" s="494" t="s">
        <v>680</v>
      </c>
      <c r="C18" s="495" t="s">
        <v>174</v>
      </c>
      <c r="D18" s="496"/>
      <c r="E18" s="497" t="s">
        <v>681</v>
      </c>
      <c r="F18" s="495" t="s">
        <v>174</v>
      </c>
      <c r="G18" s="498"/>
      <c r="H18" s="497" t="s">
        <v>682</v>
      </c>
      <c r="I18" s="495" t="s">
        <v>174</v>
      </c>
      <c r="J18" s="496"/>
      <c r="K18" s="496"/>
      <c r="L18" s="496"/>
      <c r="M18" s="499"/>
      <c r="N18" s="447"/>
    </row>
    <row r="19" spans="1:21" ht="16.5" thickBot="1">
      <c r="A19" s="447"/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  <c r="N19" s="447"/>
    </row>
    <row r="20" spans="1:21" ht="20.100000000000001" customHeight="1" thickBot="1">
      <c r="A20" s="480"/>
      <c r="B20" s="481"/>
      <c r="C20" s="481"/>
      <c r="D20" s="481"/>
      <c r="E20" s="481"/>
      <c r="F20" s="481"/>
      <c r="G20" s="481"/>
      <c r="H20" s="481"/>
      <c r="I20" s="481"/>
      <c r="J20" s="481"/>
      <c r="K20" s="481"/>
      <c r="L20" s="481"/>
      <c r="M20" s="482"/>
    </row>
    <row r="21" spans="1:21" ht="15.95" customHeight="1" thickTop="1">
      <c r="A21" s="500" t="s">
        <v>683</v>
      </c>
      <c r="B21" s="501"/>
      <c r="C21" s="470"/>
      <c r="D21" s="502"/>
      <c r="E21" s="503" t="s">
        <v>684</v>
      </c>
      <c r="F21" s="504"/>
      <c r="G21" s="504"/>
      <c r="H21" s="505"/>
      <c r="I21" s="506" t="s">
        <v>685</v>
      </c>
      <c r="J21" s="507"/>
      <c r="K21" s="507"/>
      <c r="L21" s="470"/>
      <c r="M21" s="508"/>
    </row>
    <row r="22" spans="1:21" ht="15.95" customHeight="1">
      <c r="A22" s="509"/>
      <c r="B22" s="477"/>
      <c r="C22" s="510" t="s">
        <v>686</v>
      </c>
      <c r="D22" s="511">
        <v>668</v>
      </c>
      <c r="E22" s="484"/>
      <c r="G22" s="488" t="s">
        <v>687</v>
      </c>
      <c r="H22" s="512">
        <v>4406</v>
      </c>
      <c r="I22" s="510"/>
      <c r="J22" s="477"/>
      <c r="K22" s="510" t="s">
        <v>688</v>
      </c>
      <c r="L22" s="719" t="s">
        <v>760</v>
      </c>
      <c r="M22" s="720"/>
    </row>
    <row r="23" spans="1:21" ht="15.95" customHeight="1">
      <c r="A23" s="509"/>
      <c r="B23" s="510"/>
      <c r="C23" s="513"/>
      <c r="D23" s="514"/>
      <c r="E23" s="484"/>
      <c r="G23" s="484" t="s">
        <v>689</v>
      </c>
      <c r="H23" s="511">
        <v>75</v>
      </c>
      <c r="I23" s="477"/>
      <c r="J23" s="477"/>
      <c r="K23" s="484" t="s">
        <v>690</v>
      </c>
      <c r="L23" s="719" t="s">
        <v>761</v>
      </c>
      <c r="M23" s="720"/>
    </row>
    <row r="24" spans="1:21" ht="15.95" customHeight="1">
      <c r="A24" s="483"/>
      <c r="B24" s="484"/>
      <c r="C24" s="477"/>
      <c r="D24" s="514"/>
      <c r="E24" s="484"/>
      <c r="G24" s="488" t="s">
        <v>691</v>
      </c>
      <c r="H24" s="511">
        <v>220</v>
      </c>
      <c r="I24" s="477"/>
      <c r="J24" s="484"/>
      <c r="K24" s="477"/>
      <c r="L24" s="477"/>
      <c r="M24" s="492"/>
      <c r="O24" s="565"/>
      <c r="P24" s="565"/>
      <c r="Q24" s="565"/>
      <c r="R24" s="565"/>
      <c r="S24" s="565"/>
      <c r="T24" s="565"/>
      <c r="U24" s="565"/>
    </row>
    <row r="25" spans="1:21" ht="15.95" customHeight="1" thickBot="1">
      <c r="A25" s="493"/>
      <c r="B25" s="494"/>
      <c r="C25" s="496"/>
      <c r="D25" s="515"/>
      <c r="E25" s="497"/>
      <c r="F25" s="497"/>
      <c r="G25" s="497"/>
      <c r="H25" s="516"/>
      <c r="I25" s="496"/>
      <c r="J25" s="497"/>
      <c r="K25" s="496"/>
      <c r="L25" s="496"/>
      <c r="M25" s="499"/>
      <c r="O25" s="565"/>
      <c r="P25" s="565"/>
      <c r="Q25" s="565"/>
      <c r="R25" s="565"/>
      <c r="S25" s="565"/>
      <c r="T25" s="565"/>
      <c r="U25" s="565"/>
    </row>
    <row r="26" spans="1:21" ht="18.95" customHeight="1" thickBot="1">
      <c r="A26" s="517"/>
      <c r="B26" s="517"/>
      <c r="C26" s="517"/>
      <c r="D26" s="518"/>
      <c r="E26" s="518"/>
      <c r="F26" s="518"/>
      <c r="G26" s="518"/>
      <c r="H26" s="518"/>
      <c r="I26" s="518"/>
      <c r="J26" s="518"/>
      <c r="K26" s="518"/>
      <c r="L26" s="518"/>
      <c r="M26" s="447"/>
      <c r="N26" s="447"/>
      <c r="O26" s="565"/>
      <c r="P26" s="565"/>
      <c r="Q26" s="565"/>
      <c r="R26" s="565"/>
      <c r="S26" s="565"/>
      <c r="T26" s="565"/>
      <c r="U26" s="565"/>
    </row>
    <row r="27" spans="1:21" ht="20.100000000000001" customHeight="1" thickBot="1">
      <c r="A27" s="519"/>
      <c r="B27" s="520"/>
      <c r="C27" s="520"/>
      <c r="D27" s="520"/>
      <c r="E27" s="520"/>
      <c r="F27" s="520"/>
      <c r="G27" s="521"/>
      <c r="H27" s="520"/>
      <c r="I27" s="520"/>
      <c r="J27" s="520"/>
      <c r="K27" s="520"/>
      <c r="L27" s="520"/>
      <c r="M27" s="522"/>
      <c r="O27" s="565"/>
      <c r="P27" s="546"/>
      <c r="Q27" s="113"/>
      <c r="R27" s="113"/>
      <c r="S27" s="113"/>
      <c r="T27" s="113"/>
      <c r="U27" s="565"/>
    </row>
    <row r="28" spans="1:21" ht="15.95" customHeight="1" thickTop="1">
      <c r="A28" s="523" t="s">
        <v>692</v>
      </c>
      <c r="B28" s="501"/>
      <c r="C28" s="470"/>
      <c r="D28" s="470"/>
      <c r="E28" s="504"/>
      <c r="F28" s="504"/>
      <c r="G28" s="524"/>
      <c r="H28" s="503" t="s">
        <v>693</v>
      </c>
      <c r="I28" s="504"/>
      <c r="J28" s="507"/>
      <c r="K28" s="503"/>
      <c r="L28" s="507"/>
      <c r="M28" s="508"/>
      <c r="O28" s="565"/>
      <c r="P28" s="546"/>
      <c r="Q28" s="545"/>
      <c r="R28" s="545"/>
      <c r="S28" s="545"/>
      <c r="T28" s="545"/>
      <c r="U28" s="565"/>
    </row>
    <row r="29" spans="1:21" ht="15.95" customHeight="1">
      <c r="A29" s="483"/>
      <c r="B29" s="510"/>
      <c r="C29" s="510" t="s">
        <v>694</v>
      </c>
      <c r="D29" s="525">
        <v>95.3</v>
      </c>
      <c r="E29" s="484"/>
      <c r="F29" s="484"/>
      <c r="G29" s="524"/>
      <c r="H29" s="488"/>
      <c r="I29" s="510"/>
      <c r="J29" s="510" t="s">
        <v>694</v>
      </c>
      <c r="K29" s="525">
        <v>89.9</v>
      </c>
      <c r="L29" s="477"/>
      <c r="M29" s="492"/>
      <c r="O29" s="565"/>
      <c r="P29" s="546"/>
      <c r="Q29" s="114"/>
      <c r="R29" s="114"/>
      <c r="S29" s="114"/>
      <c r="T29" s="114"/>
      <c r="U29" s="565"/>
    </row>
    <row r="30" spans="1:21" ht="15.95" customHeight="1">
      <c r="A30" s="526"/>
      <c r="B30" s="477"/>
      <c r="C30" s="510" t="s">
        <v>695</v>
      </c>
      <c r="D30" s="525">
        <v>94.8</v>
      </c>
      <c r="E30" s="484"/>
      <c r="F30" s="484"/>
      <c r="G30" s="524"/>
      <c r="H30" s="484"/>
      <c r="I30" s="477"/>
      <c r="J30" s="510" t="s">
        <v>695</v>
      </c>
      <c r="K30" s="525">
        <v>88.6</v>
      </c>
      <c r="L30" s="477"/>
      <c r="M30" s="492"/>
      <c r="O30" s="565"/>
      <c r="P30" s="546"/>
      <c r="Q30" s="114"/>
      <c r="R30" s="114"/>
      <c r="S30" s="114"/>
      <c r="T30" s="114"/>
      <c r="U30" s="565"/>
    </row>
    <row r="31" spans="1:21" ht="15.95" customHeight="1">
      <c r="A31" s="483"/>
      <c r="B31" s="484"/>
      <c r="C31" s="510" t="s">
        <v>696</v>
      </c>
      <c r="D31" s="525">
        <v>93.6</v>
      </c>
      <c r="E31" s="484"/>
      <c r="F31" s="484"/>
      <c r="G31" s="524"/>
      <c r="H31" s="484"/>
      <c r="I31" s="477"/>
      <c r="J31" s="510" t="s">
        <v>696</v>
      </c>
      <c r="K31" s="525">
        <v>84.1</v>
      </c>
      <c r="L31" s="484"/>
      <c r="M31" s="492"/>
      <c r="O31" s="565"/>
      <c r="P31" s="565"/>
      <c r="Q31" s="565"/>
      <c r="R31" s="565"/>
      <c r="S31" s="565"/>
      <c r="T31" s="565"/>
      <c r="U31" s="565"/>
    </row>
    <row r="32" spans="1:21" ht="15.95" customHeight="1" thickBot="1">
      <c r="A32" s="493"/>
      <c r="B32" s="494"/>
      <c r="C32" s="496"/>
      <c r="D32" s="496"/>
      <c r="E32" s="497"/>
      <c r="F32" s="497"/>
      <c r="G32" s="527"/>
      <c r="H32" s="497"/>
      <c r="I32" s="496"/>
      <c r="J32" s="497"/>
      <c r="K32" s="496"/>
      <c r="L32" s="497"/>
      <c r="M32" s="499"/>
      <c r="O32" s="565"/>
      <c r="P32" s="565"/>
      <c r="Q32" s="565"/>
      <c r="R32" s="565"/>
      <c r="S32" s="565"/>
      <c r="T32" s="565"/>
      <c r="U32" s="565"/>
    </row>
    <row r="33" spans="1:21" ht="20.100000000000001" customHeight="1" thickBot="1">
      <c r="A33" s="528"/>
      <c r="B33" s="528"/>
      <c r="C33" s="528"/>
      <c r="D33" s="528"/>
      <c r="E33" s="528"/>
      <c r="F33" s="528"/>
      <c r="G33" s="528"/>
      <c r="H33" s="528"/>
      <c r="I33" s="528"/>
      <c r="J33" s="528"/>
      <c r="K33" s="528"/>
      <c r="L33" s="528"/>
      <c r="M33" s="529"/>
      <c r="N33" s="529"/>
      <c r="O33" s="565"/>
      <c r="P33" s="565"/>
      <c r="Q33" s="565"/>
      <c r="R33" s="565"/>
      <c r="S33" s="565"/>
      <c r="T33" s="565"/>
      <c r="U33" s="565"/>
    </row>
    <row r="34" spans="1:21" ht="20.100000000000001" customHeight="1" thickBot="1">
      <c r="A34" s="530"/>
      <c r="B34" s="531"/>
      <c r="C34" s="531"/>
      <c r="D34" s="531"/>
      <c r="E34" s="531"/>
      <c r="F34" s="531"/>
      <c r="G34" s="531"/>
      <c r="H34" s="531"/>
      <c r="I34" s="531"/>
      <c r="J34" s="531"/>
      <c r="K34" s="531"/>
      <c r="L34" s="531"/>
      <c r="M34" s="532"/>
    </row>
    <row r="35" spans="1:21" ht="15.95" customHeight="1" thickTop="1">
      <c r="A35" s="533" t="s">
        <v>697</v>
      </c>
      <c r="B35" s="513"/>
      <c r="C35" s="513"/>
      <c r="D35" s="513"/>
      <c r="E35" s="513"/>
      <c r="F35" s="513"/>
      <c r="G35" s="513"/>
      <c r="H35" s="513"/>
      <c r="I35" s="513"/>
      <c r="J35" s="513"/>
      <c r="K35" s="513"/>
      <c r="L35" s="513"/>
      <c r="M35" s="534"/>
    </row>
    <row r="36" spans="1:21" ht="15.95" customHeight="1">
      <c r="A36" s="526" t="s">
        <v>698</v>
      </c>
      <c r="B36" s="513"/>
      <c r="C36" s="513"/>
      <c r="D36" s="513"/>
      <c r="E36" s="513"/>
      <c r="F36" s="513"/>
      <c r="G36" s="513"/>
      <c r="H36" s="513"/>
      <c r="I36" s="513"/>
      <c r="J36" s="513"/>
      <c r="K36" s="513"/>
      <c r="L36" s="513"/>
      <c r="M36" s="534"/>
    </row>
    <row r="37" spans="1:21" ht="15.95" customHeight="1">
      <c r="A37" s="535" t="s">
        <v>699</v>
      </c>
      <c r="B37" s="513"/>
      <c r="C37" s="513"/>
      <c r="D37" s="513"/>
      <c r="E37" s="536"/>
      <c r="F37" s="513"/>
      <c r="G37" s="513"/>
      <c r="H37" s="513"/>
      <c r="I37" s="513"/>
      <c r="J37" s="513"/>
      <c r="K37" s="513"/>
      <c r="L37" s="513"/>
      <c r="M37" s="534"/>
    </row>
    <row r="38" spans="1:21" ht="15.95" customHeight="1">
      <c r="A38" s="537" t="s">
        <v>700</v>
      </c>
      <c r="B38" s="513"/>
      <c r="C38" s="513"/>
      <c r="D38" s="513"/>
      <c r="E38" s="513"/>
      <c r="F38" s="513"/>
      <c r="G38" s="513"/>
      <c r="H38" s="513"/>
      <c r="I38" s="513"/>
      <c r="J38" s="513"/>
      <c r="K38" s="513"/>
      <c r="L38" s="513"/>
      <c r="M38" s="534"/>
    </row>
    <row r="39" spans="1:21" ht="15.95" customHeight="1">
      <c r="A39" s="538" t="s">
        <v>701</v>
      </c>
      <c r="B39" s="513"/>
      <c r="C39" s="513"/>
      <c r="D39" s="513"/>
      <c r="E39" s="513"/>
      <c r="F39" s="513"/>
      <c r="G39" s="513"/>
      <c r="H39" s="513"/>
      <c r="I39" s="513"/>
      <c r="J39" s="513"/>
      <c r="K39" s="513"/>
      <c r="L39" s="513"/>
      <c r="M39" s="534"/>
    </row>
    <row r="40" spans="1:21" ht="15.95" customHeight="1" thickBot="1">
      <c r="A40" s="539" t="s">
        <v>702</v>
      </c>
      <c r="B40" s="540"/>
      <c r="C40" s="540"/>
      <c r="D40" s="540"/>
      <c r="E40" s="540"/>
      <c r="F40" s="540"/>
      <c r="G40" s="540"/>
      <c r="H40" s="540"/>
      <c r="I40" s="540"/>
      <c r="J40" s="540"/>
      <c r="K40" s="540"/>
      <c r="L40" s="540"/>
      <c r="M40" s="541"/>
    </row>
    <row r="41" spans="1:21" ht="15.95" customHeight="1">
      <c r="A41" s="513"/>
      <c r="B41" s="513"/>
      <c r="C41" s="513"/>
      <c r="D41" s="513"/>
      <c r="E41" s="513"/>
      <c r="F41" s="513"/>
      <c r="G41" s="513"/>
      <c r="H41" s="513"/>
      <c r="I41" s="513"/>
      <c r="J41" s="513"/>
      <c r="K41" s="513"/>
      <c r="L41" s="513"/>
      <c r="M41" s="513"/>
    </row>
    <row r="42" spans="1:21" ht="15.95" customHeight="1"/>
    <row r="43" spans="1:21" ht="18">
      <c r="A43" s="542"/>
      <c r="B43" s="542"/>
      <c r="C43" s="542"/>
      <c r="D43" s="542"/>
      <c r="E43" s="542"/>
      <c r="F43" s="542"/>
      <c r="G43" s="542"/>
      <c r="H43" s="447"/>
      <c r="I43" s="447"/>
      <c r="J43" s="543" t="s">
        <v>703</v>
      </c>
      <c r="K43" s="721" t="s">
        <v>333</v>
      </c>
      <c r="L43" s="721"/>
      <c r="M43" s="721"/>
      <c r="N43" s="542"/>
    </row>
    <row r="44" spans="1:21" ht="7.5" customHeight="1">
      <c r="H44" s="447"/>
      <c r="I44" s="447"/>
      <c r="J44" s="447"/>
      <c r="K44" s="447"/>
      <c r="L44" s="447"/>
      <c r="M44" s="447"/>
    </row>
    <row r="45" spans="1:21" ht="16.5">
      <c r="H45" s="447"/>
      <c r="I45" s="447"/>
      <c r="J45" s="543" t="s">
        <v>704</v>
      </c>
      <c r="K45" s="722">
        <v>41992</v>
      </c>
      <c r="L45" s="722"/>
      <c r="M45" s="722"/>
    </row>
    <row r="60" spans="1:5">
      <c r="A60" s="448" t="s">
        <v>174</v>
      </c>
      <c r="B60" s="564" t="s">
        <v>750</v>
      </c>
      <c r="D60" s="448">
        <v>1</v>
      </c>
      <c r="E60" s="544" t="s">
        <v>174</v>
      </c>
    </row>
    <row r="61" spans="1:5">
      <c r="A61" s="448" t="s">
        <v>705</v>
      </c>
      <c r="B61" s="448" t="s">
        <v>706</v>
      </c>
      <c r="D61" s="448">
        <v>1.1499999999999999</v>
      </c>
      <c r="E61" s="544" t="s">
        <v>350</v>
      </c>
    </row>
    <row r="62" spans="1:5">
      <c r="A62" s="448" t="s">
        <v>707</v>
      </c>
      <c r="B62" s="448" t="s">
        <v>708</v>
      </c>
      <c r="E62" s="544" t="s">
        <v>303</v>
      </c>
    </row>
    <row r="63" spans="1:5">
      <c r="B63" s="448" t="s">
        <v>709</v>
      </c>
    </row>
    <row r="64" spans="1:5">
      <c r="B64" s="448" t="s">
        <v>710</v>
      </c>
    </row>
    <row r="65" spans="2:2">
      <c r="B65" s="448" t="s">
        <v>711</v>
      </c>
    </row>
    <row r="66" spans="2:2">
      <c r="B66" s="448" t="s">
        <v>712</v>
      </c>
    </row>
    <row r="67" spans="2:2">
      <c r="B67" s="448" t="s">
        <v>713</v>
      </c>
    </row>
    <row r="68" spans="2:2">
      <c r="B68" s="448" t="s">
        <v>714</v>
      </c>
    </row>
    <row r="69" spans="2:2">
      <c r="B69" s="448" t="s">
        <v>715</v>
      </c>
    </row>
    <row r="70" spans="2:2">
      <c r="B70" s="448" t="s">
        <v>716</v>
      </c>
    </row>
    <row r="71" spans="2:2">
      <c r="B71" s="448" t="s">
        <v>717</v>
      </c>
    </row>
    <row r="72" spans="2:2">
      <c r="B72" s="448" t="s">
        <v>718</v>
      </c>
    </row>
    <row r="73" spans="2:2">
      <c r="B73" s="448" t="s">
        <v>719</v>
      </c>
    </row>
    <row r="74" spans="2:2">
      <c r="B74" s="448" t="s">
        <v>720</v>
      </c>
    </row>
    <row r="75" spans="2:2">
      <c r="B75" s="448" t="s">
        <v>721</v>
      </c>
    </row>
    <row r="76" spans="2:2">
      <c r="B76" s="448" t="s">
        <v>722</v>
      </c>
    </row>
    <row r="77" spans="2:2">
      <c r="B77" s="448" t="s">
        <v>723</v>
      </c>
    </row>
    <row r="78" spans="2:2">
      <c r="B78" s="448" t="s">
        <v>724</v>
      </c>
    </row>
    <row r="79" spans="2:2">
      <c r="B79" s="448" t="s">
        <v>725</v>
      </c>
    </row>
    <row r="80" spans="2:2">
      <c r="B80" s="448" t="s">
        <v>726</v>
      </c>
    </row>
    <row r="81" spans="2:2">
      <c r="B81" s="448">
        <v>6312</v>
      </c>
    </row>
    <row r="82" spans="2:2">
      <c r="B82" s="448" t="s">
        <v>727</v>
      </c>
    </row>
    <row r="83" spans="2:2">
      <c r="B83" s="448" t="s">
        <v>728</v>
      </c>
    </row>
    <row r="84" spans="2:2">
      <c r="B84" s="448" t="s">
        <v>729</v>
      </c>
    </row>
    <row r="85" spans="2:2">
      <c r="B85" s="448" t="s">
        <v>730</v>
      </c>
    </row>
    <row r="86" spans="2:2">
      <c r="B86" s="448">
        <v>6313</v>
      </c>
    </row>
    <row r="87" spans="2:2">
      <c r="B87" s="448" t="s">
        <v>731</v>
      </c>
    </row>
    <row r="88" spans="2:2">
      <c r="B88" s="448" t="s">
        <v>732</v>
      </c>
    </row>
    <row r="89" spans="2:2">
      <c r="B89" s="448" t="s">
        <v>733</v>
      </c>
    </row>
    <row r="90" spans="2:2">
      <c r="B90" s="448">
        <v>6314</v>
      </c>
    </row>
    <row r="91" spans="2:2">
      <c r="B91" s="448" t="s">
        <v>734</v>
      </c>
    </row>
    <row r="92" spans="2:2">
      <c r="B92" s="448">
        <v>6317</v>
      </c>
    </row>
    <row r="93" spans="2:2">
      <c r="B93" s="448" t="s">
        <v>735</v>
      </c>
    </row>
    <row r="94" spans="2:2">
      <c r="B94" s="448">
        <v>6318</v>
      </c>
    </row>
    <row r="95" spans="2:2" s="564" customFormat="1">
      <c r="B95" s="564" t="s">
        <v>760</v>
      </c>
    </row>
    <row r="96" spans="2:2" s="564" customFormat="1">
      <c r="B96" s="564" t="s">
        <v>761</v>
      </c>
    </row>
    <row r="97" spans="2:2">
      <c r="B97" s="448" t="s">
        <v>736</v>
      </c>
    </row>
    <row r="98" spans="2:2">
      <c r="B98" s="448" t="s">
        <v>737</v>
      </c>
    </row>
    <row r="99" spans="2:2">
      <c r="B99" s="448" t="s">
        <v>738</v>
      </c>
    </row>
    <row r="100" spans="2:2">
      <c r="B100" s="448">
        <v>6320</v>
      </c>
    </row>
    <row r="101" spans="2:2">
      <c r="B101" s="448" t="s">
        <v>739</v>
      </c>
    </row>
    <row r="102" spans="2:2">
      <c r="B102" s="448" t="s">
        <v>740</v>
      </c>
    </row>
    <row r="103" spans="2:2">
      <c r="B103" s="448" t="s">
        <v>741</v>
      </c>
    </row>
    <row r="104" spans="2:2">
      <c r="B104" s="448" t="s">
        <v>742</v>
      </c>
    </row>
    <row r="105" spans="2:2">
      <c r="B105" s="448" t="s">
        <v>742</v>
      </c>
    </row>
    <row r="121" spans="2:2">
      <c r="B121" s="448" t="s">
        <v>743</v>
      </c>
    </row>
    <row r="123" spans="2:2">
      <c r="B123" s="448" t="s">
        <v>744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$B$60:$B$105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1200" verticalDpi="1200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dell</cp:lastModifiedBy>
  <cp:lastPrinted>2015-01-14T20:38:12Z</cp:lastPrinted>
  <dcterms:created xsi:type="dcterms:W3CDTF">1997-10-03T20:37:30Z</dcterms:created>
  <dcterms:modified xsi:type="dcterms:W3CDTF">2015-06-24T18:47:03Z</dcterms:modified>
</cp:coreProperties>
</file>