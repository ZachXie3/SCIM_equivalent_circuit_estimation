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\Electrical Design\TEAAC\2P\Series\"/>
    </mc:Choice>
  </mc:AlternateContent>
  <bookViews>
    <workbookView xWindow="3165" yWindow="1080" windowWidth="4800" windowHeight="5190" tabRatio="747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StallTime (2)" sheetId="12" r:id="rId7"/>
    <sheet name="Thermdam" sheetId="8" r:id="rId8"/>
    <sheet name="MagNoise" sheetId="9" r:id="rId9"/>
    <sheet name="Performance" sheetId="10" r:id="rId10"/>
    <sheet name="Performance Data Sheet" sheetId="11" r:id="rId11"/>
  </sheets>
  <definedNames>
    <definedName name="_Regression_Int" localSheetId="10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9">Performance!$A$1:$F$43</definedName>
    <definedName name="_xlnm.Print_Area" localSheetId="10">'Performance Data Sheet'!$A$1:$M$45</definedName>
    <definedName name="_xlnm.Print_Area" localSheetId="5">StallTime!$A$1:$G$40</definedName>
    <definedName name="_xlnm.Print_Area" localSheetId="6">'StallTime (2)'!$A$1:$G$40</definedName>
    <definedName name="_xlnm.Print_Area" localSheetId="4">STCurve!$A$1:$F$43</definedName>
    <definedName name="_xlnm.Print_Area" localSheetId="7">Thermdam!$A$1:$F$43</definedName>
    <definedName name="Print_Area_MI">'Performance Data Sheet'!$A$10:$N$43</definedName>
    <definedName name="Z_852987ED_B4F5_11D1_ABEC_0000832EB49E_.wvu.PrintArea" localSheetId="9" hidden="1">Performance!$A$1:$F$43</definedName>
    <definedName name="Z_852987ED_B4F5_11D1_ABEC_0000832EB49E_.wvu.PrintArea" localSheetId="4" hidden="1">STCurve!$A$1:$F$43</definedName>
  </definedNames>
  <calcPr calcId="162913"/>
</workbook>
</file>

<file path=xl/calcChain.xml><?xml version="1.0" encoding="utf-8"?>
<calcChain xmlns="http://schemas.openxmlformats.org/spreadsheetml/2006/main">
  <c r="Y41" i="3" l="1"/>
  <c r="Y35" i="3"/>
  <c r="V41" i="3"/>
  <c r="V40" i="3"/>
  <c r="X40" i="3"/>
  <c r="W40" i="3"/>
  <c r="V35" i="3"/>
  <c r="W34" i="3"/>
  <c r="X34" i="3"/>
  <c r="V34" i="3"/>
  <c r="M53" i="2" l="1"/>
  <c r="M52" i="2"/>
  <c r="M50" i="2"/>
  <c r="M49" i="2"/>
  <c r="M48" i="2"/>
  <c r="M47" i="2"/>
  <c r="M46" i="2"/>
  <c r="M41" i="2"/>
  <c r="N41" i="2" s="1"/>
  <c r="L41" i="2"/>
  <c r="M40" i="2"/>
  <c r="N40" i="2" s="1"/>
  <c r="L40" i="2"/>
  <c r="M39" i="2"/>
  <c r="L39" i="2"/>
  <c r="N39" i="2" s="1"/>
  <c r="M38" i="2"/>
  <c r="N38" i="2" s="1"/>
  <c r="L38" i="2"/>
  <c r="M33" i="2"/>
  <c r="M32" i="2"/>
  <c r="M31" i="2"/>
  <c r="M30" i="2"/>
  <c r="M29" i="2"/>
  <c r="F9" i="10" l="1"/>
  <c r="F8" i="10"/>
  <c r="F7" i="10"/>
  <c r="B7" i="10"/>
  <c r="B6" i="10"/>
  <c r="F9" i="8"/>
  <c r="F8" i="8"/>
  <c r="F7" i="8"/>
  <c r="B7" i="8"/>
  <c r="B6" i="8"/>
  <c r="D43" i="10"/>
  <c r="D43" i="8"/>
  <c r="D43" i="6"/>
  <c r="F9" i="6"/>
  <c r="F8" i="6"/>
  <c r="F7" i="6"/>
  <c r="B7" i="6"/>
  <c r="B6" i="6"/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<sst xmlns="http://schemas.openxmlformats.org/spreadsheetml/2006/main" count="1111" uniqueCount="802">
  <si>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</si>
  <si>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</si>
  <si>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</si>
  <si>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</si>
  <si>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</si>
  <si>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</si>
  <si>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</si>
  <si>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</si>
  <si>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</si>
  <si>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</si>
  <si>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</si>
  <si>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</si>
  <si>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</si>
  <si>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</si>
  <si>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</si>
  <si>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</si>
  <si>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</si>
  <si>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</si>
  <si>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</si>
  <si>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</si>
  <si>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</si>
  <si>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</si>
  <si>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</si>
  <si>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</si>
  <si>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</si>
  <si>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</si>
  <si>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</si>
  <si>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</si>
  <si>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</si>
  <si>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</si>
  <si>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</si>
  <si>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</si>
  <si>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</si>
  <si>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</si>
  <si>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</si>
  <si>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</si>
  <si>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</si>
  <si>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</si>
  <si>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</si>
  <si>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</si>
  <si>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</si>
  <si>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</si>
  <si>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</si>
  <si>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</si>
  <si>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</si>
  <si>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</si>
  <si>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</si>
  <si>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</si>
  <si>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</si>
  <si>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</si>
  <si>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</si>
  <si>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</si>
  <si>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</si>
  <si>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</si>
  <si>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</si>
  <si>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</si>
  <si>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</si>
  <si>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</si>
  <si>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</si>
  <si>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</si>
  <si>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</si>
  <si>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</si>
  <si>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</si>
  <si>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</si>
  <si>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</si>
  <si>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</si>
  <si>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</si>
  <si>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</si>
  <si>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</si>
  <si>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</si>
  <si>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</si>
  <si>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</si>
  <si>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</si>
  <si>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</si>
  <si>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</si>
  <si>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</si>
  <si>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</si>
  <si>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</si>
  <si>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</si>
  <si>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</si>
  <si>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</si>
  <si>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</si>
  <si>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</si>
  <si>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</si>
  <si>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</si>
  <si>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</si>
  <si>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</si>
  <si>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</si>
  <si>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</si>
  <si>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</si>
  <si>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</si>
  <si>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</si>
  <si>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</si>
  <si>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</si>
  <si>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</si>
  <si>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</si>
  <si>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</si>
  <si>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</si>
  <si>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</si>
  <si>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</si>
  <si>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</si>
  <si>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</si>
  <si>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</si>
  <si>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</si>
  <si>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</si>
  <si>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</si>
  <si>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</si>
  <si>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</si>
  <si>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</si>
  <si>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</si>
  <si>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</si>
  <si>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</si>
  <si>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</si>
  <si>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</si>
  <si>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</si>
  <si>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</si>
  <si>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</si>
  <si>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</si>
  <si>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</si>
  <si>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</si>
  <si>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</si>
  <si>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</si>
  <si>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</si>
  <si>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</si>
  <si>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</si>
  <si>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</si>
  <si>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</si>
  <si>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</si>
  <si>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</si>
  <si>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</si>
  <si>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</si>
  <si>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</si>
  <si>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</si>
  <si>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</si>
  <si>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</si>
  <si>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</si>
  <si>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</si>
  <si>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</si>
  <si>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</si>
  <si>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</si>
  <si>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</si>
  <si>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</si>
  <si>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</si>
  <si>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</si>
  <si>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</si>
  <si>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</si>
  <si>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</si>
  <si>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</si>
  <si>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</si>
  <si>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</si>
  <si>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</si>
  <si>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</si>
  <si>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</si>
  <si>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</si>
  <si>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</si>
  <si>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</si>
  <si>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</si>
  <si>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</si>
  <si>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</si>
  <si>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</si>
  <si>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</si>
  <si>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</si>
  <si>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</si>
  <si>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</si>
  <si>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</si>
  <si>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</si>
  <si>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</si>
  <si>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</si>
  <si>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</si>
  <si>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</si>
  <si>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</si>
  <si>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</si>
  <si>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</si>
  <si>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</si>
  <si>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</si>
  <si>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</si>
  <si>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</si>
  <si>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6810USS</t>
  </si>
  <si>
    <t>Open</t>
  </si>
  <si>
    <t>Trapeze</t>
  </si>
  <si>
    <t>17.30 - 17.30</t>
  </si>
  <si>
    <t>0.80 - 2.40</t>
  </si>
  <si>
    <t>Normal</t>
  </si>
  <si>
    <t>18 x 6</t>
  </si>
  <si>
    <t>8 x 6</t>
  </si>
  <si>
    <t>1 ~ 18</t>
  </si>
  <si>
    <t>(.102"x.258")x2</t>
  </si>
  <si>
    <t>Wye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</si>
  <si>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</si>
  <si>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</si>
  <si>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</si>
  <si>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</si>
  <si>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</si>
  <si>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</si>
  <si>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</si>
  <si>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</si>
  <si>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</si>
  <si>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</si>
  <si>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</si>
  <si>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0.0227)</t>
  </si>
  <si>
    <t>Skew R.: 0.00</t>
  </si>
  <si>
    <t>Z:\Motor R&amp;D\Active Projects\6810 Development\Electrical Design\TEAAC\2P\Series\BS2M35U.rat</t>
  </si>
  <si>
    <t>2-2-2-0-1-2</t>
  </si>
  <si>
    <t>B.L.-1  P.F.-1</t>
  </si>
  <si>
    <t>9457.7 / 9552.4</t>
  </si>
  <si>
    <t>7053.4 / 6692.2</t>
  </si>
  <si>
    <t>30537.3 / 45369.9</t>
  </si>
  <si>
    <t>20804.7 / 8473.7</t>
  </si>
  <si>
    <t>5368.3 / 2186.5</t>
  </si>
  <si>
    <t>15436.4 / 6287.2</t>
  </si>
  <si>
    <t>1.75 / 0.71</t>
  </si>
  <si>
    <t>73 / 72</t>
  </si>
  <si>
    <t>Temp. Rise @ 100%:</t>
  </si>
  <si>
    <t>Stray Loss</t>
  </si>
  <si>
    <t>0.911 / 0.896</t>
  </si>
  <si>
    <t>0.961 / 0.945</t>
  </si>
  <si>
    <t>0.967 / 0.951</t>
  </si>
  <si>
    <t>0.726 / 0.714</t>
  </si>
  <si>
    <t>0.882 / 0.868</t>
  </si>
  <si>
    <t>0.923 / 0.908</t>
  </si>
  <si>
    <t>0.936 / 0.921</t>
  </si>
  <si>
    <t>0.939 / 0.924</t>
  </si>
  <si>
    <t>71.22 / 73.66</t>
  </si>
  <si>
    <t>112.47 / 116.32</t>
  </si>
  <si>
    <t>159.24 / 164.69</t>
  </si>
  <si>
    <t>208.35 / 215.49</t>
  </si>
  <si>
    <t>259.26 / 268.13</t>
  </si>
  <si>
    <t>3.12 / 3.23</t>
  </si>
  <si>
    <t>UB: 4.50 / 4.65</t>
  </si>
  <si>
    <t>UER: 2.82 / 2.91</t>
  </si>
  <si>
    <t>3595.2 / 3595.5</t>
  </si>
  <si>
    <t>3590.5 / 3590.8</t>
  </si>
  <si>
    <t>3585.8 / 3586.1</t>
  </si>
  <si>
    <t>3581.0 / 3581.3</t>
  </si>
  <si>
    <t>3576.2 / 3576.5</t>
  </si>
  <si>
    <t>0.0013 / 0.0013</t>
  </si>
  <si>
    <t>0.0026 / 0.0026</t>
  </si>
  <si>
    <t>0.0039 / 0.0039</t>
  </si>
  <si>
    <t>0.0053 / 0.0052</t>
  </si>
  <si>
    <t>0.0066 / 0.0065</t>
  </si>
  <si>
    <t>44.615 / 44.684</t>
  </si>
  <si>
    <t>3.000 / 3.004</t>
  </si>
  <si>
    <t>44.72 / 44.78</t>
  </si>
  <si>
    <t>1418.7 / 1377.5</t>
  </si>
  <si>
    <t>680.9 / 661.1</t>
  </si>
  <si>
    <t>430.8 / 351.9</t>
  </si>
  <si>
    <t>121.3 / 99.1</t>
  </si>
  <si>
    <t>337.8 / 255.8</t>
  </si>
  <si>
    <t>Correlated to: P148450_TEAAC_CStubes_Lab1317.dat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</si>
  <si>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</si>
  <si>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</si>
  <si>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</si>
  <si>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</si>
  <si>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</si>
  <si>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</si>
  <si>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</si>
  <si>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</si>
  <si>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</si>
  <si>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</si>
  <si>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</si>
  <si>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</si>
  <si>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</si>
  <si>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</si>
  <si>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</si>
  <si>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</si>
  <si>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</si>
  <si>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</si>
  <si>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</si>
  <si>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</si>
  <si>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</si>
  <si>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</si>
  <si>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</si>
  <si>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</si>
  <si>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</si>
  <si>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</si>
  <si>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</si>
  <si>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</si>
  <si>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</si>
  <si>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</si>
  <si>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</si>
  <si>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</si>
  <si>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</si>
  <si>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</si>
  <si>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</si>
  <si>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</si>
  <si>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</si>
  <si>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</si>
  <si>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</si>
  <si>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</si>
  <si>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</si>
  <si>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</si>
  <si>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</si>
  <si>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</si>
  <si>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</si>
  <si>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</si>
  <si>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</si>
  <si>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</si>
  <si>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</si>
  <si>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</si>
  <si>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</si>
  <si>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</si>
  <si>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</si>
  <si>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</si>
  <si>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</si>
  <si>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</si>
  <si>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</si>
  <si>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</si>
  <si>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</si>
  <si>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</si>
  <si>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</si>
  <si>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</si>
  <si>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</si>
  <si>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</si>
  <si>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</si>
  <si>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</si>
  <si>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</si>
  <si>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</si>
  <si>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</si>
  <si>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</si>
  <si>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</si>
  <si>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</si>
  <si>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</si>
  <si>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</si>
  <si>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</si>
  <si>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</si>
  <si>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</si>
  <si>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</si>
  <si>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</si>
  <si>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</si>
  <si>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</si>
  <si>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</si>
  <si>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</si>
  <si>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</si>
  <si>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</si>
  <si>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</si>
  <si>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</si>
  <si>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</si>
  <si>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</si>
  <si>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</si>
  <si>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</si>
  <si>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</si>
  <si>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</si>
  <si>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</si>
  <si>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</si>
  <si>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</si>
  <si>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</si>
  <si>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</si>
  <si>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</si>
  <si>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</si>
  <si>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</si>
  <si>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</si>
  <si>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</si>
  <si>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</si>
  <si>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</si>
  <si>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</si>
  <si>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</si>
  <si>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</si>
  <si>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</si>
  <si>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</si>
  <si>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</si>
  <si>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</si>
  <si>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BS2M35U</t>
  </si>
  <si>
    <t>Type: TIKE - Form: FCW4 - 2 Pole - 1750 HP - 4000 V - 60 Hz - 6810USS - Class F</t>
  </si>
  <si>
    <t>16 x 2</t>
  </si>
  <si>
    <t>2 x Wye</t>
  </si>
  <si>
    <t xml:space="preserve"> - </t>
  </si>
  <si>
    <t>323 / 2070</t>
  </si>
  <si>
    <t>465 / 291</t>
  </si>
  <si>
    <t>72 / 96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</si>
  <si>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</si>
  <si>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</si>
  <si>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</si>
  <si>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</si>
  <si>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</si>
  <si>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</si>
  <si>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</si>
  <si>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</si>
  <si>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</si>
  <si>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</si>
  <si>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</si>
  <si>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</si>
  <si>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1447.0</t>
  </si>
  <si>
    <t xml:space="preserve">8T: </t>
  </si>
  <si>
    <t/>
  </si>
  <si>
    <t>0.0124 ~ 0.0119</t>
  </si>
  <si>
    <t>0.00104</t>
  </si>
  <si>
    <t>8T: 22.33</t>
  </si>
  <si>
    <t>8T: 13.51</t>
  </si>
  <si>
    <t>17.40 ~ 17.00</t>
  </si>
  <si>
    <t>15.20</t>
  </si>
  <si>
    <t>3.79</t>
  </si>
  <si>
    <t xml:space="preserve"> (.102"x.258")x 2: </t>
  </si>
  <si>
    <t>832 lbs.</t>
  </si>
  <si>
    <t xml:space="preserve">1-2, 2-3, 3-1: </t>
  </si>
  <si>
    <t>0.115 ~ 0.108</t>
  </si>
  <si>
    <t>AWG. (02 x 2) x 3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</si>
  <si>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</si>
  <si>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</si>
  <si>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</si>
  <si>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</si>
  <si>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</si>
  <si>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</si>
  <si>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</si>
  <si>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</si>
  <si>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</si>
  <si>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</si>
  <si>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</si>
  <si>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</si>
  <si>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</si>
  <si>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</si>
  <si>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</si>
  <si>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</si>
  <si>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</si>
  <si>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</si>
  <si>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</si>
  <si>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</si>
  <si>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</si>
  <si>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</si>
  <si>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</si>
  <si>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</si>
  <si>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</si>
  <si>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</si>
  <si>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</si>
  <si>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</si>
  <si>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</si>
  <si>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</si>
  <si>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486.2 lb-ft²</t>
  </si>
  <si>
    <t>2567 lb-ft</t>
  </si>
  <si>
    <t>1378 A</t>
  </si>
  <si>
    <t>Load</t>
  </si>
  <si>
    <t>Fan / Pump</t>
  </si>
  <si>
    <t>Acceleration Data (FV V)</t>
  </si>
  <si>
    <t>355.1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</si>
  <si>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</si>
  <si>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</si>
  <si>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</si>
  <si>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</si>
  <si>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</si>
  <si>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</si>
  <si>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</si>
  <si>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</si>
  <si>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</si>
  <si>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</si>
  <si>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</si>
  <si>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</si>
  <si>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</si>
  <si>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</si>
  <si>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</si>
  <si>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</si>
  <si>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</si>
  <si>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</si>
  <si>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</si>
  <si>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</si>
  <si>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</si>
  <si>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</si>
  <si>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</si>
  <si>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</si>
  <si>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</si>
  <si>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</si>
  <si>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</si>
  <si>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</si>
  <si>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</si>
  <si>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</si>
  <si>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</si>
  <si>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</si>
  <si>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</si>
  <si>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</si>
  <si>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</si>
  <si>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</si>
  <si>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</si>
  <si>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</si>
  <si>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</si>
  <si>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- 1750.0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</si>
  <si>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</si>
  <si>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</si>
  <si>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</si>
  <si>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</si>
  <si>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</si>
  <si>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</si>
  <si>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</si>
  <si>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</si>
  <si>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</si>
  <si>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</si>
  <si>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</si>
  <si>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3564~3593</t>
  </si>
  <si>
    <t>3593~3600</t>
  </si>
  <si>
    <t>95.1</t>
  </si>
  <si>
    <t>95.3</t>
  </si>
  <si>
    <t>95.6</t>
  </si>
  <si>
    <t>96.3</t>
  </si>
  <si>
    <t>97.3</t>
  </si>
  <si>
    <t>99.1</t>
  </si>
  <si>
    <t>101.9</t>
  </si>
  <si>
    <t>107.5</t>
  </si>
  <si>
    <t>117.3</t>
  </si>
  <si>
    <t>137.6</t>
  </si>
  <si>
    <t>203.3</t>
  </si>
  <si>
    <t>193.5</t>
  </si>
  <si>
    <t>116.0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</si>
  <si>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</si>
  <si>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</si>
  <si>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</si>
  <si>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</si>
  <si>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</si>
  <si>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</si>
  <si>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</si>
  <si>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</si>
  <si>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</si>
  <si>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</si>
  <si>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</si>
  <si>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</si>
  <si>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</si>
  <si>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1375.5</t>
  </si>
  <si>
    <t>1370.1</t>
  </si>
  <si>
    <t>1363.8</t>
  </si>
  <si>
    <t>1356.3</t>
  </si>
  <si>
    <t>1347.4</t>
  </si>
  <si>
    <t>1336.9</t>
  </si>
  <si>
    <t>1324.4</t>
  </si>
  <si>
    <t>1307.4</t>
  </si>
  <si>
    <t>1287.1</t>
  </si>
  <si>
    <t>1252.9</t>
  </si>
  <si>
    <t>1138.5</t>
  </si>
  <si>
    <t>698.0</t>
  </si>
  <si>
    <t>222.0</t>
  </si>
  <si>
    <t>3.4°C / s</t>
  </si>
  <si>
    <t>22.7°C / s</t>
  </si>
  <si>
    <t>8.6°C / s</t>
  </si>
  <si>
    <t>488.6 kW</t>
  </si>
  <si>
    <t>961.9 kW</t>
  </si>
  <si>
    <t>278.3 kW</t>
  </si>
  <si>
    <t>46.7 s</t>
  </si>
  <si>
    <t>11.5 s</t>
  </si>
  <si>
    <t>21.0 s</t>
  </si>
  <si>
    <t>72°C    +</t>
  </si>
  <si>
    <t>97°C    +</t>
  </si>
  <si>
    <t>88°C    +</t>
  </si>
  <si>
    <t>163°C   +</t>
  </si>
  <si>
    <t>83°C   +</t>
  </si>
  <si>
    <t>25.7 s</t>
  </si>
  <si>
    <t>7.2 s</t>
  </si>
  <si>
    <t>9.7 s</t>
  </si>
  <si>
    <t>22.6 s</t>
  </si>
  <si>
    <t>10.5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</si>
  <si>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</si>
  <si>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</si>
  <si>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</si>
  <si>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</si>
  <si>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</si>
  <si>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</si>
  <si>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</si>
  <si>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</si>
  <si>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</si>
  <si>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</si>
  <si>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</si>
  <si>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</si>
  <si>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</si>
  <si>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</si>
  <si>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</si>
  <si>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</si>
  <si>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</si>
  <si>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</si>
  <si>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</si>
  <si>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</si>
  <si>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</si>
  <si>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</si>
  <si>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</si>
  <si>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</si>
  <si>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</si>
  <si>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</si>
  <si>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</si>
  <si>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</si>
  <si>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2865.5 Hz</t>
  </si>
  <si>
    <t>2640.0 Hz</t>
  </si>
  <si>
    <t>2625.5 Hz</t>
  </si>
  <si>
    <t>2760.0 Hz</t>
  </si>
  <si>
    <t>2745.5 Hz</t>
  </si>
  <si>
    <t>1483.0 Hz</t>
  </si>
  <si>
    <t>354.0 Hz</t>
  </si>
  <si>
    <t>1001.2 Hz</t>
  </si>
  <si>
    <t>1919.7 Hz</t>
  </si>
  <si>
    <t>3104.5 Hz</t>
  </si>
  <si>
    <t>4554.3 Hz</t>
  </si>
  <si>
    <t>6268.4 Hz</t>
  </si>
  <si>
    <t>8246.6 Hz</t>
  </si>
  <si>
    <t>10488.8 Hz</t>
  </si>
  <si>
    <t>12995.0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</si>
  <si>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</si>
  <si>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</si>
  <si>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</si>
  <si>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</si>
  <si>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</si>
  <si>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</si>
  <si>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</si>
  <si>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</si>
  <si>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</si>
  <si>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</si>
  <si>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</si>
  <si>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</si>
  <si>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</si>
  <si>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</si>
  <si>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</si>
  <si>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</si>
  <si>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</si>
  <si>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</si>
  <si>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</si>
  <si>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</si>
  <si>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</si>
  <si>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</si>
  <si>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</si>
  <si>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</si>
  <si>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</si>
  <si>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</si>
  <si>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</si>
  <si>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</si>
  <si>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</si>
  <si>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</si>
  <si>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</si>
  <si>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</si>
  <si>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</si>
  <si>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</si>
  <si>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</si>
  <si>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</si>
  <si>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</si>
  <si>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</si>
  <si>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</si>
  <si>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</si>
  <si>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</si>
  <si>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</si>
  <si>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</si>
  <si>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</si>
  <si>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</si>
  <si>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</si>
  <si>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</si>
  <si>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</si>
  <si>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</si>
  <si>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</si>
  <si>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</si>
  <si>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</si>
  <si>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</si>
  <si>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</si>
  <si>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</si>
  <si>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</si>
  <si>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</si>
  <si>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</si>
  <si>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</si>
  <si>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</si>
  <si>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</si>
  <si>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</si>
  <si>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</si>
  <si>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</si>
  <si>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</si>
  <si>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</si>
  <si>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</si>
  <si>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</si>
  <si>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</si>
  <si>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</si>
  <si>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</si>
  <si>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</si>
  <si>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</si>
  <si>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</si>
  <si>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</si>
  <si>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</si>
  <si>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</si>
  <si>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</si>
  <si>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</si>
  <si>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</si>
  <si>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</si>
  <si>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</si>
  <si>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</si>
  <si>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</si>
  <si>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</si>
  <si>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</si>
  <si>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</si>
  <si>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</si>
  <si>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</si>
  <si>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</si>
  <si>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</si>
  <si>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</si>
  <si>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</si>
  <si>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</si>
  <si>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</si>
  <si>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</si>
  <si>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</si>
  <si>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</si>
  <si>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</si>
  <si>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</si>
  <si>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</si>
  <si>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</si>
  <si>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</si>
  <si>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</si>
  <si>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</si>
  <si>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</si>
  <si>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</si>
  <si>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M353TCQL11F-C</t>
  </si>
  <si>
    <t>Outer Fan: DT360</t>
  </si>
  <si>
    <t>Rev 0: First Issue</t>
  </si>
  <si>
    <t>Limits: BS2M35U</t>
  </si>
  <si>
    <t>TEAAC</t>
  </si>
  <si>
    <t>9407.5 / 29347</t>
  </si>
  <si>
    <t>0.966 / 0.950</t>
  </si>
  <si>
    <t>0.950 / 0.934</t>
  </si>
  <si>
    <t>M9-90 INS</t>
  </si>
  <si>
    <t>84.6 kg.m²</t>
  </si>
  <si>
    <t>6.0 (s)</t>
  </si>
  <si>
    <t>Load Type: Fan / Pump - 502.0 lb-ft²</t>
  </si>
  <si>
    <t>0.646</t>
  </si>
  <si>
    <t>267.1</t>
  </si>
  <si>
    <t>976.5</t>
  </si>
  <si>
    <t>0.559</t>
  </si>
  <si>
    <t>229.5</t>
  </si>
  <si>
    <t>758.2</t>
  </si>
  <si>
    <t>0.530</t>
  </si>
  <si>
    <t>215.7</t>
  </si>
  <si>
    <t>637.0</t>
  </si>
  <si>
    <t>213.6</t>
  </si>
  <si>
    <t>555.8</t>
  </si>
  <si>
    <t>0.552</t>
  </si>
  <si>
    <t>220.0</t>
  </si>
  <si>
    <t>495.7</t>
  </si>
  <si>
    <t>0.596</t>
  </si>
  <si>
    <t>233.9</t>
  </si>
  <si>
    <t>445.1</t>
  </si>
  <si>
    <t>0.666</t>
  </si>
  <si>
    <t>257.0</t>
  </si>
  <si>
    <t>397.8</t>
  </si>
  <si>
    <t>0.785</t>
  </si>
  <si>
    <t>296.8</t>
  </si>
  <si>
    <t>350.6</t>
  </si>
  <si>
    <t>0.439</t>
  </si>
  <si>
    <t>160.8</t>
  </si>
  <si>
    <t>258.4</t>
  </si>
  <si>
    <t>0.388</t>
  </si>
  <si>
    <t>137.8</t>
  </si>
  <si>
    <t>174.2</t>
  </si>
  <si>
    <t>0.209</t>
  </si>
  <si>
    <t>68.7</t>
  </si>
  <si>
    <t>62.6</t>
  </si>
  <si>
    <t>0.038</t>
  </si>
  <si>
    <t>9.1</t>
  </si>
  <si>
    <t>20.1</t>
  </si>
  <si>
    <t>0.056</t>
  </si>
  <si>
    <t>0.6</t>
  </si>
  <si>
    <t>32.1</t>
  </si>
  <si>
    <t>Acceleration Time:  6.0 s</t>
  </si>
  <si>
    <t>2311 kW / s</t>
  </si>
  <si>
    <t>16°C</t>
  </si>
  <si>
    <t>32°C</t>
  </si>
  <si>
    <t>4005 kW / s</t>
  </si>
  <si>
    <t>94°C</t>
  </si>
  <si>
    <t>189°C</t>
  </si>
  <si>
    <t>1159 kW / s</t>
  </si>
  <si>
    <t>36°C</t>
  </si>
  <si>
    <t>71°C</t>
  </si>
  <si>
    <t>502.0 lb-ft²</t>
  </si>
  <si>
    <t>LINK:</t>
  </si>
  <si>
    <t>P148450.rat with P148450_TEAAC_CStubes_Lab1317.dat</t>
  </si>
  <si>
    <t xml:space="preserve">Run BS2M35U.rat </t>
  </si>
  <si>
    <t>125RPM</t>
  </si>
  <si>
    <t>100RPM</t>
  </si>
  <si>
    <t>75RPM</t>
  </si>
  <si>
    <t>50RPM</t>
  </si>
  <si>
    <t>25RPM</t>
  </si>
  <si>
    <t>Eff.</t>
  </si>
  <si>
    <t>PF.</t>
  </si>
  <si>
    <t>Current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</si>
  <si>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</si>
  <si>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</si>
  <si>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</si>
  <si>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</si>
  <si>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k</t>
  </si>
  <si>
    <t>Hz</t>
  </si>
  <si>
    <t>Load Inertia</t>
  </si>
  <si>
    <t>Load Type: Fan / Pump - 335.0 lb-ft²</t>
  </si>
  <si>
    <t>KJoule</t>
  </si>
  <si>
    <t>Acceleration Time: 5 s</t>
  </si>
  <si>
    <t>1930 KJoule</t>
  </si>
  <si>
    <t>3551 KJoule</t>
  </si>
  <si>
    <t>1028 KJoule</t>
  </si>
  <si>
    <t>14°C</t>
  </si>
  <si>
    <t>84°C</t>
  </si>
  <si>
    <t>28°C</t>
  </si>
  <si>
    <t>168°C</t>
  </si>
  <si>
    <t>64°C</t>
  </si>
  <si>
    <t>3.5°C / s</t>
  </si>
  <si>
    <t>8.5°C / s</t>
  </si>
  <si>
    <t>492.5 kW</t>
  </si>
  <si>
    <t>961.5 kW</t>
  </si>
  <si>
    <t>278.2 kW</t>
  </si>
  <si>
    <t>46.4 s</t>
  </si>
  <si>
    <t>21.1 s</t>
  </si>
  <si>
    <t>73°C    +</t>
  </si>
  <si>
    <t>98°C    +</t>
  </si>
  <si>
    <t>87°C    +</t>
  </si>
  <si>
    <t>162°C    +</t>
  </si>
  <si>
    <t>82°C    +</t>
  </si>
  <si>
    <t>25.2 s</t>
  </si>
  <si>
    <t>7.1 s</t>
  </si>
  <si>
    <t>9.6 s</t>
  </si>
  <si>
    <t>10.3 s</t>
  </si>
  <si>
    <t>RTD</t>
  </si>
  <si>
    <t>79.6 / 110.1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</si>
</sst>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b/>
      <sz val="10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7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2" fillId="0" borderId="0"/>
    <xf numFmtId="0" fontId="1" fillId="0" borderId="0"/>
  </cellStyleXfs>
  <cellXfs count="73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Fill="1" applyAlignment="1">
      <alignment horizontal="left"/>
    </xf>
    <xf numFmtId="0" fontId="26" fillId="0" borderId="0" xfId="2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 applyFill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3" xfId="1" applyFont="1" applyFill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2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0" fontId="55" fillId="0" borderId="0" xfId="4"/>
    <xf numFmtId="0" fontId="49" fillId="0" borderId="0" xfId="4" applyFont="1"/>
    <xf numFmtId="0" fontId="49" fillId="0" borderId="1" xfId="4" applyFont="1" applyBorder="1" applyAlignment="1">
      <alignment horizontal="center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0" fontId="50" fillId="0" borderId="0" xfId="4" applyFont="1" applyBorder="1" applyAlignment="1">
      <alignment horizontal="right"/>
    </xf>
    <xf numFmtId="0" fontId="52" fillId="0" borderId="0" xfId="4" applyFont="1" applyBorder="1" applyAlignment="1">
      <alignment horizontal="center"/>
    </xf>
    <xf numFmtId="9" fontId="52" fillId="0" borderId="0" xfId="4" applyNumberFormat="1" applyFont="1" applyBorder="1" applyAlignment="1">
      <alignment horizontal="center"/>
    </xf>
    <xf numFmtId="0" fontId="58" fillId="0" borderId="0" xfId="4" applyFont="1"/>
    <xf numFmtId="0" fontId="55" fillId="0" borderId="0" xfId="4" applyBorder="1"/>
    <xf numFmtId="0" fontId="59" fillId="0" borderId="0" xfId="4" applyFont="1" applyFill="1" applyBorder="1"/>
    <xf numFmtId="0" fontId="55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0" fontId="54" fillId="0" borderId="82" xfId="4" applyFont="1" applyBorder="1" applyAlignment="1">
      <alignment horizontal="centerContinuous"/>
    </xf>
    <xf numFmtId="0" fontId="61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34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5" xfId="4" applyNumberFormat="1" applyFont="1" applyBorder="1" applyAlignment="1">
      <alignment horizontal="center"/>
    </xf>
    <xf numFmtId="166" fontId="7" fillId="0" borderId="136" xfId="4" quotePrefix="1" applyNumberFormat="1" applyFont="1" applyBorder="1" applyAlignment="1">
      <alignment horizontal="center"/>
    </xf>
    <xf numFmtId="166" fontId="2" fillId="0" borderId="129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66" fontId="7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7" fillId="0" borderId="0" xfId="4" applyNumberFormat="1" applyFont="1" applyBorder="1" applyAlignment="1">
      <alignment horizontal="center"/>
    </xf>
    <xf numFmtId="171" fontId="63" fillId="0" borderId="6" xfId="5" applyFont="1" applyBorder="1" applyAlignment="1" applyProtection="1">
      <alignment horizontal="centerContinuous"/>
    </xf>
    <xf numFmtId="171" fontId="63" fillId="0" borderId="7" xfId="5" applyFont="1" applyBorder="1" applyAlignment="1">
      <alignment horizontal="centerContinuous"/>
    </xf>
    <xf numFmtId="171" fontId="64" fillId="0" borderId="12" xfId="5" applyFont="1" applyBorder="1" applyAlignment="1" applyProtection="1">
      <alignment horizontal="left"/>
    </xf>
    <xf numFmtId="171" fontId="65" fillId="0" borderId="54" xfId="5" applyFont="1" applyBorder="1"/>
    <xf numFmtId="171" fontId="64" fillId="0" borderId="13" xfId="5" applyFont="1" applyBorder="1" applyAlignment="1">
      <alignment horizontal="centerContinuous"/>
    </xf>
    <xf numFmtId="171" fontId="65" fillId="0" borderId="14" xfId="5" applyFont="1" applyBorder="1" applyAlignment="1">
      <alignment horizontal="centerContinuous"/>
    </xf>
    <xf numFmtId="171" fontId="66" fillId="0" borderId="0" xfId="5" applyFont="1"/>
    <xf numFmtId="171" fontId="62" fillId="0" borderId="0" xfId="5"/>
    <xf numFmtId="171" fontId="63" fillId="0" borderId="45" xfId="5" applyFont="1" applyBorder="1" applyAlignment="1" applyProtection="1">
      <alignment horizontal="centerContinuous"/>
    </xf>
    <xf numFmtId="171" fontId="63" fillId="0" borderId="0" xfId="5" applyFont="1" applyBorder="1" applyAlignment="1">
      <alignment horizontal="centerContinuous"/>
    </xf>
    <xf numFmtId="171" fontId="64" fillId="0" borderId="109" xfId="5" applyFont="1" applyBorder="1" applyAlignment="1" applyProtection="1">
      <alignment horizontal="left"/>
    </xf>
    <xf numFmtId="171" fontId="65" fillId="0" borderId="39" xfId="5" applyFont="1" applyBorder="1"/>
    <xf numFmtId="171" fontId="64" fillId="0" borderId="40" xfId="5" applyFont="1" applyBorder="1" applyAlignment="1" applyProtection="1">
      <alignment horizontal="centerContinuous"/>
    </xf>
    <xf numFmtId="171" fontId="65" fillId="0" borderId="29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0" xfId="5" applyFont="1" applyBorder="1" applyAlignment="1">
      <alignment horizontal="centerContinuous"/>
    </xf>
    <xf numFmtId="171" fontId="64" fillId="0" borderId="40" xfId="5" quotePrefix="1" applyFont="1" applyBorder="1" applyAlignment="1">
      <alignment horizontal="centerContinuous"/>
    </xf>
    <xf numFmtId="171" fontId="67" fillId="0" borderId="45" xfId="5" applyFont="1" applyBorder="1" applyAlignment="1" applyProtection="1">
      <alignment horizontal="centerContinuous"/>
    </xf>
    <xf numFmtId="171" fontId="64" fillId="0" borderId="40" xfId="5" quotePrefix="1" applyFont="1" applyBorder="1" applyAlignment="1" applyProtection="1">
      <alignment horizontal="centerContinuous"/>
    </xf>
    <xf numFmtId="171" fontId="66" fillId="0" borderId="45" xfId="5" applyFont="1" applyBorder="1" applyAlignment="1">
      <alignment horizontal="centerContinuous"/>
    </xf>
    <xf numFmtId="171" fontId="64" fillId="0" borderId="40" xfId="5" applyFont="1" applyBorder="1" applyAlignment="1">
      <alignment horizontal="centerContinuous"/>
    </xf>
    <xf numFmtId="171" fontId="66" fillId="0" borderId="46" xfId="5" applyFont="1" applyBorder="1" applyAlignment="1" applyProtection="1">
      <alignment horizontal="centerContinuous"/>
    </xf>
    <xf numFmtId="171" fontId="65" fillId="0" borderId="23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left"/>
    </xf>
    <xf numFmtId="171" fontId="65" fillId="0" borderId="48" xfId="5" applyFont="1" applyBorder="1"/>
    <xf numFmtId="171" fontId="68" fillId="0" borderId="23" xfId="5" applyFont="1" applyBorder="1" applyAlignment="1">
      <alignment horizontal="centerContinuous"/>
    </xf>
    <xf numFmtId="171" fontId="65" fillId="0" borderId="24" xfId="5" applyFont="1" applyBorder="1" applyAlignment="1">
      <alignment horizontal="centerContinuous"/>
    </xf>
    <xf numFmtId="171" fontId="66" fillId="0" borderId="0" xfId="5" applyFont="1" applyBorder="1" applyAlignment="1" applyProtection="1">
      <alignment horizontal="centerContinuous"/>
    </xf>
    <xf numFmtId="171" fontId="64" fillId="0" borderId="0" xfId="5" applyFont="1" applyBorder="1" applyAlignment="1" applyProtection="1">
      <alignment horizontal="left"/>
    </xf>
    <xf numFmtId="171" fontId="65" fillId="0" borderId="0" xfId="5" applyFont="1" applyBorder="1"/>
    <xf numFmtId="171" fontId="64" fillId="0" borderId="0" xfId="5" applyFont="1" applyBorder="1" applyAlignment="1">
      <alignment horizontal="centerContinuous"/>
    </xf>
    <xf numFmtId="171" fontId="69" fillId="0" borderId="0" xfId="5" applyFont="1"/>
    <xf numFmtId="171" fontId="69" fillId="0" borderId="0" xfId="5" applyFont="1" applyAlignment="1" applyProtection="1">
      <alignment horizontal="right"/>
    </xf>
    <xf numFmtId="171" fontId="69" fillId="0" borderId="0" xfId="5" applyFont="1" applyAlignment="1" applyProtection="1">
      <alignment horizontal="left"/>
      <protection locked="0"/>
    </xf>
    <xf numFmtId="171" fontId="69" fillId="0" borderId="0" xfId="5" applyFont="1" applyBorder="1" applyAlignment="1">
      <alignment horizontal="centerContinuous"/>
    </xf>
    <xf numFmtId="171" fontId="69" fillId="0" borderId="0" xfId="5" applyFont="1" applyBorder="1" applyAlignment="1" applyProtection="1">
      <alignment horizontal="left"/>
    </xf>
    <xf numFmtId="171" fontId="69" fillId="0" borderId="0" xfId="5" applyFont="1" applyBorder="1"/>
    <xf numFmtId="171" fontId="69" fillId="0" borderId="0" xfId="5" quotePrefix="1" applyFont="1" applyAlignment="1" applyProtection="1">
      <alignment horizontal="left"/>
      <protection locked="0"/>
    </xf>
    <xf numFmtId="171" fontId="65" fillId="0" borderId="0" xfId="5" applyFont="1"/>
    <xf numFmtId="171" fontId="70" fillId="0" borderId="137" xfId="5" applyFont="1" applyBorder="1" applyAlignment="1" applyProtection="1">
      <alignment horizontal="centerContinuous"/>
    </xf>
    <xf numFmtId="171" fontId="66" fillId="0" borderId="138" xfId="5" applyFont="1" applyBorder="1" applyAlignment="1">
      <alignment horizontal="centerContinuous"/>
    </xf>
    <xf numFmtId="171" fontId="66" fillId="0" borderId="139" xfId="5" applyFont="1" applyBorder="1" applyAlignment="1">
      <alignment horizontal="centerContinuous"/>
    </xf>
    <xf numFmtId="171" fontId="69" fillId="0" borderId="45" xfId="5" applyFont="1" applyBorder="1"/>
    <xf numFmtId="171" fontId="69" fillId="0" borderId="0" xfId="5" applyFont="1" applyBorder="1" applyAlignment="1" applyProtection="1">
      <alignment horizontal="right"/>
    </xf>
    <xf numFmtId="171" fontId="69" fillId="0" borderId="0" xfId="5" applyFont="1" applyBorder="1" applyAlignment="1" applyProtection="1">
      <alignment horizontal="center"/>
      <protection locked="0"/>
    </xf>
    <xf numFmtId="171" fontId="69" fillId="0" borderId="21" xfId="5" applyFont="1" applyBorder="1" applyAlignment="1" applyProtection="1">
      <alignment horizontal="center"/>
      <protection locked="0"/>
    </xf>
    <xf numFmtId="171" fontId="64" fillId="0" borderId="0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center"/>
      <protection locked="0"/>
    </xf>
    <xf numFmtId="171" fontId="69" fillId="0" borderId="0" xfId="5" applyFont="1" applyBorder="1" applyAlignment="1">
      <alignment horizontal="center"/>
    </xf>
    <xf numFmtId="171" fontId="69" fillId="0" borderId="21" xfId="5" applyFont="1" applyBorder="1"/>
    <xf numFmtId="171" fontId="69" fillId="0" borderId="46" xfId="5" applyFont="1" applyBorder="1"/>
    <xf numFmtId="171" fontId="69" fillId="0" borderId="23" xfId="5" applyFont="1" applyBorder="1" applyAlignment="1" applyProtection="1">
      <alignment horizontal="right"/>
    </xf>
    <xf numFmtId="166" fontId="69" fillId="0" borderId="23" xfId="5" quotePrefix="1" applyNumberFormat="1" applyFont="1" applyBorder="1" applyAlignment="1" applyProtection="1">
      <alignment horizontal="center"/>
      <protection locked="0"/>
    </xf>
    <xf numFmtId="171" fontId="69" fillId="0" borderId="23" xfId="5" applyFont="1" applyBorder="1"/>
    <xf numFmtId="171" fontId="69" fillId="0" borderId="23" xfId="5" applyFont="1" applyBorder="1" applyAlignment="1">
      <alignment horizontal="right"/>
    </xf>
    <xf numFmtId="166" fontId="69" fillId="0" borderId="23" xfId="5" applyNumberFormat="1" applyFont="1" applyBorder="1" applyProtection="1"/>
    <xf numFmtId="171" fontId="69" fillId="0" borderId="24" xfId="5" applyFont="1" applyBorder="1"/>
    <xf numFmtId="171" fontId="71" fillId="0" borderId="45" xfId="5" quotePrefix="1" applyFont="1" applyBorder="1" applyAlignment="1">
      <alignment horizontal="left"/>
    </xf>
    <xf numFmtId="171" fontId="65" fillId="0" borderId="0" xfId="5" quotePrefix="1" applyFont="1" applyBorder="1" applyAlignment="1" applyProtection="1">
      <alignment horizontal="right"/>
    </xf>
    <xf numFmtId="171" fontId="65" fillId="0" borderId="107" xfId="5" applyFont="1" applyBorder="1"/>
    <xf numFmtId="171" fontId="71" fillId="0" borderId="0" xfId="5" applyFont="1" applyBorder="1" applyAlignment="1" applyProtection="1">
      <alignment horizontal="left"/>
    </xf>
    <xf numFmtId="171" fontId="65" fillId="0" borderId="0" xfId="5" applyFont="1" applyBorder="1" applyAlignment="1" applyProtection="1">
      <alignment horizontal="right"/>
    </xf>
    <xf numFmtId="171" fontId="65" fillId="0" borderId="107" xfId="5" applyFont="1" applyBorder="1" applyAlignment="1" applyProtection="1">
      <alignment horizontal="right"/>
    </xf>
    <xf numFmtId="171" fontId="71" fillId="0" borderId="0" xfId="5" quotePrefix="1" applyFont="1" applyBorder="1" applyAlignment="1" applyProtection="1">
      <alignment horizontal="left"/>
    </xf>
    <xf numFmtId="171" fontId="65" fillId="0" borderId="0" xfId="5" applyFont="1" applyBorder="1" applyAlignment="1">
      <alignment horizontal="right"/>
    </xf>
    <xf numFmtId="171" fontId="65" fillId="0" borderId="21" xfId="5" applyFont="1" applyBorder="1"/>
    <xf numFmtId="171" fontId="62" fillId="0" borderId="45" xfId="5" applyBorder="1"/>
    <xf numFmtId="171" fontId="69" fillId="0" borderId="0" xfId="5" applyFont="1" applyBorder="1" applyAlignment="1">
      <alignment horizontal="right"/>
    </xf>
    <xf numFmtId="171" fontId="69" fillId="0" borderId="107" xfId="5" applyFont="1" applyBorder="1" applyAlignment="1" applyProtection="1">
      <alignment horizontal="center"/>
      <protection locked="0"/>
    </xf>
    <xf numFmtId="1" fontId="69" fillId="0" borderId="107" xfId="5" applyNumberFormat="1" applyFont="1" applyBorder="1" applyAlignment="1">
      <alignment horizontal="center"/>
    </xf>
    <xf numFmtId="171" fontId="69" fillId="0" borderId="0" xfId="5" applyFont="1" applyBorder="1" applyAlignment="1">
      <alignment horizontal="left"/>
    </xf>
    <xf numFmtId="171" fontId="69" fillId="0" borderId="107" xfId="5" applyFont="1" applyBorder="1"/>
    <xf numFmtId="171" fontId="69" fillId="0" borderId="48" xfId="5" applyFont="1" applyBorder="1"/>
    <xf numFmtId="171" fontId="69" fillId="0" borderId="48" xfId="5" applyFont="1" applyBorder="1" applyAlignment="1">
      <alignment horizontal="left"/>
    </xf>
    <xf numFmtId="171" fontId="66" fillId="0" borderId="0" xfId="5" applyFont="1" applyBorder="1" applyAlignment="1">
      <alignment horizontal="centerContinuous"/>
    </xf>
    <xf numFmtId="171" fontId="66" fillId="0" borderId="0" xfId="5" applyFont="1" applyBorder="1"/>
    <xf numFmtId="171" fontId="70" fillId="0" borderId="140" xfId="5" applyFont="1" applyBorder="1" applyAlignment="1" applyProtection="1">
      <alignment horizontal="centerContinuous"/>
    </xf>
    <xf numFmtId="171" fontId="66" fillId="0" borderId="141" xfId="5" applyFont="1" applyBorder="1" applyAlignment="1">
      <alignment horizontal="centerContinuous"/>
    </xf>
    <xf numFmtId="171" fontId="62" fillId="0" borderId="142" xfId="5" applyBorder="1"/>
    <xf numFmtId="171" fontId="66" fillId="0" borderId="143" xfId="5" applyFont="1" applyBorder="1" applyAlignment="1">
      <alignment horizontal="centerContinuous"/>
    </xf>
    <xf numFmtId="171" fontId="71" fillId="0" borderId="45" xfId="5" applyFont="1" applyBorder="1" applyAlignment="1">
      <alignment horizontal="left"/>
    </xf>
    <xf numFmtId="171" fontId="62" fillId="0" borderId="107" xfId="5" applyBorder="1"/>
    <xf numFmtId="166" fontId="69" fillId="0" borderId="0" xfId="5" applyNumberFormat="1" applyFont="1" applyBorder="1" applyAlignment="1" applyProtection="1">
      <alignment horizontal="center"/>
      <protection locked="0"/>
    </xf>
    <xf numFmtId="171" fontId="69" fillId="0" borderId="45" xfId="5" applyFont="1" applyBorder="1" applyAlignment="1">
      <alignment horizontal="left"/>
    </xf>
    <xf numFmtId="171" fontId="62" fillId="0" borderId="48" xfId="5" applyBorder="1"/>
    <xf numFmtId="171" fontId="66" fillId="0" borderId="0" xfId="5" applyFont="1" applyBorder="1" applyAlignment="1">
      <alignment horizontal="left"/>
    </xf>
    <xf numFmtId="171" fontId="66" fillId="0" borderId="0" xfId="5" applyFont="1" applyAlignment="1">
      <alignment horizontal="left"/>
    </xf>
    <xf numFmtId="171" fontId="66" fillId="0" borderId="140" xfId="5" applyFont="1" applyBorder="1"/>
    <xf numFmtId="171" fontId="65" fillId="0" borderId="141" xfId="5" applyFont="1" applyBorder="1" applyAlignment="1">
      <alignment horizontal="left"/>
    </xf>
    <xf numFmtId="171" fontId="65" fillId="0" borderId="143" xfId="5" applyFont="1" applyBorder="1" applyAlignment="1">
      <alignment horizontal="left"/>
    </xf>
    <xf numFmtId="171" fontId="69" fillId="0" borderId="45" xfId="5" quotePrefix="1" applyFont="1" applyBorder="1" applyAlignment="1">
      <alignment horizontal="left"/>
    </xf>
    <xf numFmtId="171" fontId="69" fillId="0" borderId="21" xfId="5" applyFont="1" applyBorder="1" applyAlignment="1">
      <alignment horizontal="left"/>
    </xf>
    <xf numFmtId="171" fontId="72" fillId="0" borderId="144" xfId="5" applyFont="1" applyBorder="1"/>
    <xf numFmtId="171" fontId="69" fillId="0" borderId="0" xfId="5" quotePrefix="1" applyFont="1" applyBorder="1" applyAlignment="1" applyProtection="1">
      <alignment horizontal="left"/>
    </xf>
    <xf numFmtId="171" fontId="69" fillId="0" borderId="145" xfId="5" quotePrefix="1" applyFont="1" applyBorder="1" applyAlignment="1" applyProtection="1">
      <alignment horizontal="left"/>
    </xf>
    <xf numFmtId="171" fontId="69" fillId="0" borderId="146" xfId="5" quotePrefix="1" applyFont="1" applyBorder="1" applyAlignment="1">
      <alignment horizontal="left"/>
    </xf>
    <xf numFmtId="171" fontId="69" fillId="0" borderId="46" xfId="5" applyFont="1" applyBorder="1" applyAlignment="1">
      <alignment horizontal="left"/>
    </xf>
    <xf numFmtId="171" fontId="69" fillId="0" borderId="23" xfId="5" applyFont="1" applyBorder="1" applyAlignment="1">
      <alignment horizontal="left"/>
    </xf>
    <xf numFmtId="171" fontId="69" fillId="0" borderId="24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73" fillId="0" borderId="0" xfId="5" applyFont="1" applyAlignment="1" applyProtection="1">
      <alignment horizontal="right"/>
    </xf>
    <xf numFmtId="171" fontId="62" fillId="0" borderId="0" xfId="5" applyAlignment="1">
      <alignment horizontal="right"/>
    </xf>
    <xf numFmtId="0" fontId="22" fillId="2" borderId="67" xfId="1" applyFont="1" applyFill="1" applyBorder="1" applyAlignment="1">
      <alignment horizontal="left"/>
    </xf>
    <xf numFmtId="0" fontId="22" fillId="2" borderId="122" xfId="1" applyFont="1" applyFill="1" applyBorder="1" applyAlignment="1">
      <alignment horizontal="left"/>
    </xf>
    <xf numFmtId="171" fontId="69" fillId="0" borderId="0" xfId="5" applyFont="1" applyBorder="1" applyAlignment="1" applyProtection="1">
      <alignment horizontal="left"/>
      <protection locked="0"/>
    </xf>
    <xf numFmtId="2" fontId="3" fillId="0" borderId="0" xfId="0" applyNumberFormat="1" applyFont="1" applyFill="1" applyBorder="1" applyAlignment="1">
      <alignment horizontal="right"/>
    </xf>
    <xf numFmtId="2" fontId="3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0" fillId="0" borderId="0" xfId="0"/>
    <xf numFmtId="0" fontId="6" fillId="0" borderId="0" xfId="6" applyFont="1" applyAlignment="1">
      <alignment horizontal="right"/>
    </xf>
    <xf numFmtId="0" fontId="16" fillId="0" borderId="0" xfId="6" applyFont="1"/>
    <xf numFmtId="0" fontId="49" fillId="0" borderId="0" xfId="6" applyFont="1"/>
    <xf numFmtId="0" fontId="56" fillId="0" borderId="26" xfId="6" applyFont="1" applyBorder="1" applyAlignment="1">
      <alignment horizontal="center"/>
    </xf>
    <xf numFmtId="0" fontId="56" fillId="0" borderId="28" xfId="6" applyFont="1" applyBorder="1" applyAlignment="1">
      <alignment horizontal="center"/>
    </xf>
    <xf numFmtId="0" fontId="49" fillId="0" borderId="1" xfId="6" applyFont="1" applyBorder="1" applyAlignment="1">
      <alignment horizontal="center"/>
    </xf>
    <xf numFmtId="0" fontId="56" fillId="0" borderId="1" xfId="6" applyFont="1" applyBorder="1" applyAlignment="1">
      <alignment horizontal="center"/>
    </xf>
    <xf numFmtId="0" fontId="56" fillId="0" borderId="1" xfId="6" applyFont="1" applyBorder="1" applyAlignment="1">
      <alignment horizontal="right"/>
    </xf>
    <xf numFmtId="0" fontId="49" fillId="0" borderId="128" xfId="6" applyFont="1" applyBorder="1" applyAlignment="1">
      <alignment horizontal="center"/>
    </xf>
    <xf numFmtId="0" fontId="49" fillId="0" borderId="129" xfId="6" quotePrefix="1" applyFont="1" applyBorder="1" applyAlignment="1">
      <alignment horizontal="center"/>
    </xf>
    <xf numFmtId="0" fontId="49" fillId="0" borderId="129" xfId="6" applyFont="1" applyBorder="1" applyAlignment="1">
      <alignment horizontal="center"/>
    </xf>
    <xf numFmtId="0" fontId="56" fillId="0" borderId="0" xfId="6" applyFont="1" applyAlignment="1">
      <alignment horizontal="right"/>
    </xf>
    <xf numFmtId="2" fontId="2" fillId="2" borderId="1" xfId="6" applyNumberFormat="1" applyFont="1" applyFill="1" applyBorder="1" applyAlignment="1">
      <alignment horizontal="center"/>
    </xf>
    <xf numFmtId="0" fontId="52" fillId="0" borderId="1" xfId="6" applyFont="1" applyBorder="1" applyAlignment="1">
      <alignment horizontal="center"/>
    </xf>
    <xf numFmtId="0" fontId="56" fillId="0" borderId="0" xfId="6" applyFont="1" applyAlignment="1">
      <alignment horizontal="right"/>
    </xf>
    <xf numFmtId="0" fontId="49" fillId="0" borderId="1" xfId="6" applyFont="1" applyBorder="1" applyAlignment="1">
      <alignment horizontal="center"/>
    </xf>
    <xf numFmtId="0" fontId="56" fillId="0" borderId="1" xfId="6" applyFont="1" applyBorder="1" applyAlignment="1">
      <alignment horizontal="center"/>
    </xf>
    <xf numFmtId="0" fontId="26" fillId="2" borderId="67" xfId="1" applyFont="1" applyFill="1" applyBorder="1" applyAlignment="1">
      <alignment horizontal="left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9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6" xfId="1" applyFont="1" applyFill="1" applyBorder="1" applyAlignment="1">
      <alignment horizontal="center"/>
    </xf>
    <xf numFmtId="0" fontId="26" fillId="0" borderId="23" xfId="1" applyFont="1" applyFill="1" applyBorder="1" applyAlignment="1">
      <alignment horizontal="center"/>
    </xf>
    <xf numFmtId="0" fontId="26" fillId="0" borderId="48" xfId="1" applyFont="1" applyFill="1" applyBorder="1" applyAlignment="1">
      <alignment horizontal="center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49" fillId="0" borderId="1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51" fillId="0" borderId="17" xfId="6" applyFont="1" applyBorder="1" applyAlignment="1">
      <alignment horizontal="center"/>
    </xf>
    <xf numFmtId="0" fontId="23" fillId="0" borderId="128" xfId="6" applyFont="1" applyBorder="1" applyAlignment="1">
      <alignment horizontal="center"/>
    </xf>
    <xf numFmtId="0" fontId="23" fillId="0" borderId="129" xfId="6" applyFont="1" applyBorder="1" applyAlignment="1">
      <alignment horizontal="center"/>
    </xf>
    <xf numFmtId="0" fontId="56" fillId="0" borderId="1" xfId="6" applyFont="1" applyBorder="1" applyAlignment="1">
      <alignment horizontal="center"/>
    </xf>
    <xf numFmtId="0" fontId="23" fillId="0" borderId="17" xfId="6" applyFont="1" applyBorder="1" applyAlignment="1">
      <alignment horizontal="center"/>
    </xf>
    <xf numFmtId="0" fontId="49" fillId="0" borderId="17" xfId="6" applyFont="1" applyBorder="1" applyAlignment="1">
      <alignment horizontal="right"/>
    </xf>
    <xf numFmtId="0" fontId="49" fillId="0" borderId="128" xfId="6" applyFont="1" applyBorder="1" applyAlignment="1">
      <alignment horizontal="right"/>
    </xf>
    <xf numFmtId="0" fontId="23" fillId="0" borderId="0" xfId="6" applyFont="1" applyAlignment="1">
      <alignment horizontal="center"/>
    </xf>
    <xf numFmtId="0" fontId="56" fillId="0" borderId="0" xfId="6" applyFont="1" applyAlignment="1">
      <alignment horizontal="right"/>
    </xf>
    <xf numFmtId="0" fontId="54" fillId="0" borderId="82" xfId="4" applyFont="1" applyBorder="1" applyAlignment="1">
      <alignment horizontal="center"/>
    </xf>
    <xf numFmtId="0" fontId="54" fillId="0" borderId="0" xfId="4" applyFont="1" applyBorder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Border="1" applyAlignment="1">
      <alignment horizontal="center"/>
    </xf>
    <xf numFmtId="0" fontId="57" fillId="0" borderId="107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7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60" fillId="0" borderId="0" xfId="4" applyFont="1" applyAlignment="1">
      <alignment horizontal="center"/>
    </xf>
    <xf numFmtId="171" fontId="69" fillId="0" borderId="0" xfId="5" applyFont="1" applyBorder="1" applyAlignment="1">
      <alignment horizontal="center"/>
    </xf>
    <xf numFmtId="171" fontId="69" fillId="0" borderId="21" xfId="5" applyFont="1" applyBorder="1" applyAlignment="1">
      <alignment horizontal="center"/>
    </xf>
    <xf numFmtId="171" fontId="74" fillId="0" borderId="147" xfId="5" applyFont="1" applyBorder="1" applyAlignment="1" applyProtection="1">
      <alignment horizontal="center"/>
      <protection locked="0"/>
    </xf>
    <xf numFmtId="14" fontId="15" fillId="0" borderId="147" xfId="5" quotePrefix="1" applyNumberFormat="1" applyFont="1" applyBorder="1" applyAlignment="1" applyProtection="1">
      <alignment horizontal="center"/>
      <protection locked="0"/>
    </xf>
    <xf numFmtId="166" fontId="0" fillId="0" borderId="0" xfId="0" applyNumberFormat="1"/>
    <xf numFmtId="0" fontId="75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6" fontId="49" fillId="0" borderId="1" xfId="6" applyNumberFormat="1" applyFont="1" applyBorder="1" applyAlignment="1">
      <alignment horizontal="center"/>
    </xf>
    <xf numFmtId="165" fontId="49" fillId="0" borderId="1" xfId="6" applyNumberFormat="1" applyFont="1" applyBorder="1" applyAlignment="1">
      <alignment horizontal="center"/>
    </xf>
  </cellXfs>
  <cellStyles count="7">
    <cellStyle name="Normal" xfId="0" builtinId="0"/>
    <cellStyle name="Normal 2" xfId="1"/>
    <cellStyle name="Normal 3" xfId="4"/>
    <cellStyle name="Normal 3 2" xfId="6"/>
    <cellStyle name="Normal 4" xfId="5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131.92267512894662</c:v>
                </c:pt>
                <c:pt idx="2">
                  <c:v>255</c:v>
                </c:pt>
                <c:pt idx="3">
                  <c:v>151.68889669416984</c:v>
                </c:pt>
                <c:pt idx="4">
                  <c:v>123.46738635108773</c:v>
                </c:pt>
                <c:pt idx="5">
                  <c:v>111.21421787029871</c:v>
                </c:pt>
                <c:pt idx="6">
                  <c:v>103.72421093235505</c:v>
                </c:pt>
                <c:pt idx="7">
                  <c:v>100.14098328683241</c:v>
                </c:pt>
                <c:pt idx="8">
                  <c:v>98.000322965471412</c:v>
                </c:pt>
                <c:pt idx="9">
                  <c:v>96.678291407095216</c:v>
                </c:pt>
                <c:pt idx="10">
                  <c:v>95.877672927916137</c:v>
                </c:pt>
                <c:pt idx="11">
                  <c:v>95.407743949152646</c:v>
                </c:pt>
                <c:pt idx="12">
                  <c:v>95.142270625454586</c:v>
                </c:pt>
                <c:pt idx="13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E5-40C8-9A64-995B7EE00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82784"/>
        <c:axId val="4458905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0.20798191428184509</c:v>
                </c:pt>
                <c:pt idx="1">
                  <c:v>161.77812194824219</c:v>
                </c:pt>
                <c:pt idx="2">
                  <c:v>487.48928833007813</c:v>
                </c:pt>
                <c:pt idx="3">
                  <c:v>571.5870361328125</c:v>
                </c:pt>
                <c:pt idx="4">
                  <c:v>593.9281005859375</c:v>
                </c:pt>
                <c:pt idx="5">
                  <c:v>603.34381103515625</c:v>
                </c:pt>
                <c:pt idx="6">
                  <c:v>612.8306884765625</c:v>
                </c:pt>
                <c:pt idx="7">
                  <c:v>619.19537353515625</c:v>
                </c:pt>
                <c:pt idx="8">
                  <c:v>624.4774169921875</c:v>
                </c:pt>
                <c:pt idx="9">
                  <c:v>628.9512939453125</c:v>
                </c:pt>
                <c:pt idx="10">
                  <c:v>632.72186279296875</c:v>
                </c:pt>
                <c:pt idx="11">
                  <c:v>635.9022216796875</c:v>
                </c:pt>
                <c:pt idx="12">
                  <c:v>638.6055908203125</c:v>
                </c:pt>
                <c:pt idx="13">
                  <c:v>640.93023681640625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E5-40C8-9A64-995B7EE00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90976"/>
        <c:axId val="44592512"/>
      </c:scatterChart>
      <c:valAx>
        <c:axId val="4458278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89056"/>
        <c:crossesAt val="0"/>
        <c:crossBetween val="midCat"/>
        <c:majorUnit val="0.2"/>
        <c:minorUnit val="0.2"/>
      </c:valAx>
      <c:valAx>
        <c:axId val="4458905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82784"/>
        <c:crosses val="max"/>
        <c:crossBetween val="midCat"/>
        <c:majorUnit val="50"/>
        <c:minorUnit val="50"/>
      </c:valAx>
      <c:valAx>
        <c:axId val="4459097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4592512"/>
        <c:crosses val="autoZero"/>
        <c:crossBetween val="midCat"/>
      </c:valAx>
      <c:valAx>
        <c:axId val="445925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9097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131.92267512894662</c:v>
                </c:pt>
                <c:pt idx="2">
                  <c:v>255</c:v>
                </c:pt>
                <c:pt idx="3">
                  <c:v>151.68889669416984</c:v>
                </c:pt>
                <c:pt idx="4">
                  <c:v>123.46738635108773</c:v>
                </c:pt>
                <c:pt idx="5">
                  <c:v>111.21421787029871</c:v>
                </c:pt>
                <c:pt idx="6">
                  <c:v>103.72421093235505</c:v>
                </c:pt>
                <c:pt idx="7">
                  <c:v>100.14098328683241</c:v>
                </c:pt>
                <c:pt idx="8">
                  <c:v>98.000322965471412</c:v>
                </c:pt>
                <c:pt idx="9">
                  <c:v>96.678291407095216</c:v>
                </c:pt>
                <c:pt idx="10">
                  <c:v>95.877672927916137</c:v>
                </c:pt>
                <c:pt idx="11">
                  <c:v>95.407743949152646</c:v>
                </c:pt>
                <c:pt idx="12">
                  <c:v>95.142270625454586</c:v>
                </c:pt>
                <c:pt idx="13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A7-4C57-80C4-A2CA9FBBC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1936"/>
        <c:axId val="4464230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0.20798191428184509</c:v>
                </c:pt>
                <c:pt idx="1">
                  <c:v>161.77812194824219</c:v>
                </c:pt>
                <c:pt idx="2">
                  <c:v>487.48928833007813</c:v>
                </c:pt>
                <c:pt idx="3">
                  <c:v>571.5870361328125</c:v>
                </c:pt>
                <c:pt idx="4">
                  <c:v>593.9281005859375</c:v>
                </c:pt>
                <c:pt idx="5">
                  <c:v>603.34381103515625</c:v>
                </c:pt>
                <c:pt idx="6">
                  <c:v>612.8306884765625</c:v>
                </c:pt>
                <c:pt idx="7">
                  <c:v>619.19537353515625</c:v>
                </c:pt>
                <c:pt idx="8">
                  <c:v>624.4774169921875</c:v>
                </c:pt>
                <c:pt idx="9">
                  <c:v>628.9512939453125</c:v>
                </c:pt>
                <c:pt idx="10">
                  <c:v>632.72186279296875</c:v>
                </c:pt>
                <c:pt idx="11">
                  <c:v>635.9022216796875</c:v>
                </c:pt>
                <c:pt idx="12">
                  <c:v>638.6055908203125</c:v>
                </c:pt>
                <c:pt idx="13">
                  <c:v>640.93023681640625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A7-4C57-80C4-A2CA9FBBC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224"/>
        <c:axId val="44645760"/>
      </c:scatterChart>
      <c:valAx>
        <c:axId val="446319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642304"/>
        <c:crosses val="autoZero"/>
        <c:crossBetween val="midCat"/>
        <c:majorUnit val="20"/>
        <c:minorUnit val="20"/>
      </c:valAx>
      <c:valAx>
        <c:axId val="44642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631936"/>
        <c:crosses val="autoZero"/>
        <c:crossBetween val="midCat"/>
      </c:valAx>
      <c:valAx>
        <c:axId val="446442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4645760"/>
        <c:crosses val="autoZero"/>
        <c:crossBetween val="midCat"/>
      </c:valAx>
      <c:valAx>
        <c:axId val="44645760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6442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640.93023255813955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32.342248644147602</c:v>
                </c:pt>
                <c:pt idx="1">
                  <c:v>36.905341310253938</c:v>
                </c:pt>
                <c:pt idx="2">
                  <c:v>53.143691486765661</c:v>
                </c:pt>
                <c:pt idx="3">
                  <c:v>83.037017948071366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79-46A5-87F4-22B00C698C50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640.93023255813955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14.947023391723635</c:v>
                </c:pt>
                <c:pt idx="1">
                  <c:v>17.055864170524451</c:v>
                </c:pt>
                <c:pt idx="2">
                  <c:v>24.560444405555209</c:v>
                </c:pt>
                <c:pt idx="3">
                  <c:v>38.375694383680027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79-46A5-87F4-22B00C698C50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94.426929663803207</c:v>
                </c:pt>
                <c:pt idx="3">
                  <c:v>189.50960189471613</c:v>
                </c:pt>
                <c:pt idx="4">
                  <c:v>292.03857794952688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79-46A5-87F4-22B00C698C50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640.93023255813955</c:v>
                </c:pt>
                <c:pt idx="1">
                  <c:v>639.76744186046517</c:v>
                </c:pt>
                <c:pt idx="2">
                  <c:v>637.25581395348843</c:v>
                </c:pt>
                <c:pt idx="3">
                  <c:v>634.32558139534888</c:v>
                </c:pt>
                <c:pt idx="4">
                  <c:v>630.83720930232562</c:v>
                </c:pt>
                <c:pt idx="5">
                  <c:v>626.69767441860461</c:v>
                </c:pt>
                <c:pt idx="6">
                  <c:v>621.81395348837214</c:v>
                </c:pt>
                <c:pt idx="7">
                  <c:v>616</c:v>
                </c:pt>
                <c:pt idx="8">
                  <c:v>608.09302325581405</c:v>
                </c:pt>
                <c:pt idx="9">
                  <c:v>598.65116279069764</c:v>
                </c:pt>
                <c:pt idx="10">
                  <c:v>582.74418604651169</c:v>
                </c:pt>
                <c:pt idx="11">
                  <c:v>529.53488372093022</c:v>
                </c:pt>
                <c:pt idx="12">
                  <c:v>324.6511627906977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0.64600002765655518</c:v>
                </c:pt>
                <c:pt idx="2">
                  <c:v>1.2050000429153442</c:v>
                </c:pt>
                <c:pt idx="3">
                  <c:v>1.7350000143051147</c:v>
                </c:pt>
                <c:pt idx="4">
                  <c:v>2.2650001049041748</c:v>
                </c:pt>
                <c:pt idx="5">
                  <c:v>2.817000150680542</c:v>
                </c:pt>
                <c:pt idx="6">
                  <c:v>3.4130001068115234</c:v>
                </c:pt>
                <c:pt idx="7">
                  <c:v>4.0789999961853027</c:v>
                </c:pt>
                <c:pt idx="8">
                  <c:v>4.8639998435974121</c:v>
                </c:pt>
                <c:pt idx="9">
                  <c:v>5.3029999732971191</c:v>
                </c:pt>
                <c:pt idx="10">
                  <c:v>5.6909999847412109</c:v>
                </c:pt>
                <c:pt idx="11">
                  <c:v>5.9000000953674316</c:v>
                </c:pt>
                <c:pt idx="12">
                  <c:v>5.9380002021789551</c:v>
                </c:pt>
                <c:pt idx="13">
                  <c:v>5.9940004348754883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79-46A5-87F4-22B00C698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31232"/>
        <c:axId val="46441600"/>
      </c:scatterChart>
      <c:valAx>
        <c:axId val="4643123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441600"/>
        <c:crossesAt val="0.1"/>
        <c:crossBetween val="midCat"/>
        <c:majorUnit val="100"/>
      </c:valAx>
      <c:valAx>
        <c:axId val="4644160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43123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89.628541564941401</c:v>
                </c:pt>
                <c:pt idx="2">
                  <c:v>94.287803649902301</c:v>
                </c:pt>
                <c:pt idx="3">
                  <c:v>94.524644470214795</c:v>
                </c:pt>
                <c:pt idx="4">
                  <c:v>95</c:v>
                </c:pt>
                <c:pt idx="5">
                  <c:v>95.117356872558503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4D-4085-9F84-2E4068AAFDD3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71.410858154296875</c:v>
                </c:pt>
                <c:pt idx="1">
                  <c:v>86.803482055664063</c:v>
                </c:pt>
                <c:pt idx="2">
                  <c:v>90.851425170898438</c:v>
                </c:pt>
                <c:pt idx="3">
                  <c:v>92.147735595703125</c:v>
                </c:pt>
                <c:pt idx="4">
                  <c:v>92.425125122070313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4D-4085-9F84-2E4068AAFDD3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84.999473505603405</c:v>
                </c:pt>
                <c:pt idx="2">
                  <c:v>69.459090896265806</c:v>
                </c:pt>
                <c:pt idx="3">
                  <c:v>53.795412732318717</c:v>
                </c:pt>
                <c:pt idx="4">
                  <c:v>37.782646546161615</c:v>
                </c:pt>
                <c:pt idx="5">
                  <c:v>21.730795064248596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4D-4085-9F84-2E4068AAFDD3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0.96277299999999999</c:v>
                </c:pt>
                <c:pt idx="1">
                  <c:v>9.1111247127248518</c:v>
                </c:pt>
                <c:pt idx="2">
                  <c:v>17.487938095613803</c:v>
                </c:pt>
                <c:pt idx="3">
                  <c:v>25.916083800651887</c:v>
                </c:pt>
                <c:pt idx="4">
                  <c:v>34.392712403328929</c:v>
                </c:pt>
                <c:pt idx="5">
                  <c:v>42.924038770095855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4D-4085-9F84-2E4068AA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66272"/>
        <c:axId val="4696819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46.24849709361925</c:v>
                </c:pt>
                <c:pt idx="1">
                  <c:v>73.664772033691406</c:v>
                </c:pt>
                <c:pt idx="2">
                  <c:v>116.31977844238281</c:v>
                </c:pt>
                <c:pt idx="3">
                  <c:v>164.69853210449219</c:v>
                </c:pt>
                <c:pt idx="4">
                  <c:v>215.49336242675781</c:v>
                </c:pt>
                <c:pt idx="5">
                  <c:v>268.140625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4D-4085-9F84-2E4068AA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0368"/>
        <c:axId val="46971520"/>
      </c:scatterChart>
      <c:valAx>
        <c:axId val="4696627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968192"/>
        <c:crossesAt val="0"/>
        <c:crossBetween val="midCat"/>
        <c:majorUnit val="25"/>
        <c:minorUnit val="12.5"/>
      </c:valAx>
      <c:valAx>
        <c:axId val="4696819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966272"/>
        <c:crosses val="autoZero"/>
        <c:crossBetween val="midCat"/>
        <c:majorUnit val="10"/>
        <c:minorUnit val="5"/>
      </c:valAx>
      <c:valAx>
        <c:axId val="469703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6971520"/>
        <c:crosses val="autoZero"/>
        <c:crossBetween val="midCat"/>
      </c:valAx>
      <c:valAx>
        <c:axId val="46971520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970368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03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762000</xdr:colOff>
      <xdr:row>33</xdr:row>
      <xdr:rowOff>133350</xdr:rowOff>
    </xdr:from>
    <xdr:to>
      <xdr:col>4</xdr:col>
      <xdr:colOff>733425</xdr:colOff>
      <xdr:row>34</xdr:row>
      <xdr:rowOff>59315</xdr:rowOff>
    </xdr:to>
    <xdr:sp macro="" textlink="">
      <xdr:nvSpPr>
        <xdr:cNvPr id="104" name="Text 219"/>
        <xdr:cNvSpPr txBox="1">
          <a:spLocks noChangeArrowheads="1"/>
        </xdr:cNvSpPr>
      </xdr:nvSpPr>
      <xdr:spPr bwMode="auto">
        <a:xfrm>
          <a:off x="2457450" y="7743825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411-TA13</a:t>
          </a:r>
        </a:p>
      </xdr:txBody>
    </xdr:sp>
    <xdr:clientData/>
  </xdr:twoCellAnchor>
  <xdr:twoCellAnchor>
    <xdr:from>
      <xdr:col>3</xdr:col>
      <xdr:colOff>733425</xdr:colOff>
      <xdr:row>27</xdr:row>
      <xdr:rowOff>123825</xdr:rowOff>
    </xdr:from>
    <xdr:to>
      <xdr:col>4</xdr:col>
      <xdr:colOff>704850</xdr:colOff>
      <xdr:row>28</xdr:row>
      <xdr:rowOff>49790</xdr:rowOff>
    </xdr:to>
    <xdr:sp macro="" textlink="">
      <xdr:nvSpPr>
        <xdr:cNvPr id="105" name="Text 219"/>
        <xdr:cNvSpPr txBox="1">
          <a:spLocks noChangeArrowheads="1"/>
        </xdr:cNvSpPr>
      </xdr:nvSpPr>
      <xdr:spPr bwMode="auto">
        <a:xfrm>
          <a:off x="2428875" y="6362700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311-TA13</a:t>
          </a:r>
        </a:p>
      </xdr:txBody>
    </xdr:sp>
    <xdr:clientData/>
  </xdr:twoCellAnchor>
  <xdr:twoCellAnchor>
    <xdr:from>
      <xdr:col>1</xdr:col>
      <xdr:colOff>19050</xdr:colOff>
      <xdr:row>39</xdr:row>
      <xdr:rowOff>85725</xdr:rowOff>
    </xdr:from>
    <xdr:to>
      <xdr:col>3</xdr:col>
      <xdr:colOff>691630</xdr:colOff>
      <xdr:row>43</xdr:row>
      <xdr:rowOff>114300</xdr:rowOff>
    </xdr:to>
    <xdr:grpSp>
      <xdr:nvGrpSpPr>
        <xdr:cNvPr id="106" name="Group 105"/>
        <xdr:cNvGrpSpPr/>
      </xdr:nvGrpSpPr>
      <xdr:grpSpPr>
        <a:xfrm>
          <a:off x="809625" y="9067800"/>
          <a:ext cx="1577455" cy="942975"/>
          <a:chOff x="800100" y="9067800"/>
          <a:chExt cx="1577455" cy="942975"/>
        </a:xfrm>
      </xdr:grpSpPr>
      <xdr:grpSp>
        <xdr:nvGrpSpPr>
          <xdr:cNvPr id="107" name="Group 106"/>
          <xdr:cNvGrpSpPr/>
        </xdr:nvGrpSpPr>
        <xdr:grpSpPr>
          <a:xfrm>
            <a:off x="1362075" y="9115425"/>
            <a:ext cx="752475" cy="571500"/>
            <a:chOff x="1295400" y="9115425"/>
            <a:chExt cx="752475" cy="571500"/>
          </a:xfrm>
        </xdr:grpSpPr>
        <xdr:sp macro="" textlink="">
          <xdr:nvSpPr>
            <xdr:cNvPr id="136" name="Line 138"/>
            <xdr:cNvSpPr>
              <a:spLocks noChangeShapeType="1"/>
            </xdr:cNvSpPr>
          </xdr:nvSpPr>
          <xdr:spPr bwMode="auto">
            <a:xfrm flipV="1">
              <a:off x="2047875" y="9286875"/>
              <a:ext cx="0" cy="952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7" name="Line 146"/>
            <xdr:cNvSpPr>
              <a:spLocks noChangeShapeType="1"/>
            </xdr:cNvSpPr>
          </xdr:nvSpPr>
          <xdr:spPr bwMode="auto">
            <a:xfrm>
              <a:off x="1771650" y="9382125"/>
              <a:ext cx="2190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137"/>
            <xdr:cNvSpPr>
              <a:spLocks noChangeShapeType="1"/>
            </xdr:cNvSpPr>
          </xdr:nvSpPr>
          <xdr:spPr bwMode="auto">
            <a:xfrm flipH="1">
              <a:off x="1295400" y="9686925"/>
              <a:ext cx="4095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9" name="Line 148"/>
            <xdr:cNvSpPr>
              <a:spLocks noChangeShapeType="1"/>
            </xdr:cNvSpPr>
          </xdr:nvSpPr>
          <xdr:spPr bwMode="auto">
            <a:xfrm flipH="1">
              <a:off x="1724025" y="9115425"/>
              <a:ext cx="762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8" name="Group 107"/>
          <xdr:cNvGrpSpPr/>
        </xdr:nvGrpSpPr>
        <xdr:grpSpPr>
          <a:xfrm>
            <a:off x="1093470" y="9067800"/>
            <a:ext cx="1284085" cy="781050"/>
            <a:chOff x="1026795" y="9067800"/>
            <a:chExt cx="1284085" cy="781050"/>
          </a:xfrm>
        </xdr:grpSpPr>
        <xdr:sp macro="" textlink="">
          <xdr:nvSpPr>
            <xdr:cNvPr id="122" name="Radius"/>
            <xdr:cNvSpPr txBox="1">
              <a:spLocks noChangeArrowheads="1"/>
            </xdr:cNvSpPr>
          </xdr:nvSpPr>
          <xdr:spPr bwMode="auto">
            <a:xfrm>
              <a:off x="2036445" y="9686925"/>
              <a:ext cx="274435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328.0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23" name="Clear"/>
            <xdr:cNvSpPr txBox="1">
              <a:spLocks noChangeArrowheads="1"/>
            </xdr:cNvSpPr>
          </xdr:nvSpPr>
          <xdr:spPr bwMode="auto">
            <a:xfrm>
              <a:off x="1026795" y="9734550"/>
              <a:ext cx="266700" cy="11430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62.5</a:t>
              </a:r>
            </a:p>
          </xdr:txBody>
        </xdr:sp>
        <xdr:sp macro="" textlink="">
          <xdr:nvSpPr>
            <xdr:cNvPr id="124" name="Thickness"/>
            <xdr:cNvSpPr txBox="1">
              <a:spLocks noChangeArrowheads="1"/>
            </xdr:cNvSpPr>
          </xdr:nvSpPr>
          <xdr:spPr bwMode="auto">
            <a:xfrm>
              <a:off x="1322070" y="9744075"/>
              <a:ext cx="411562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85.0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25" name="Line 127"/>
            <xdr:cNvSpPr>
              <a:spLocks noChangeShapeType="1"/>
            </xdr:cNvSpPr>
          </xdr:nvSpPr>
          <xdr:spPr bwMode="auto">
            <a:xfrm flipV="1">
              <a:off x="1028700" y="9686925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130"/>
            <xdr:cNvSpPr>
              <a:spLocks noChangeShapeType="1"/>
            </xdr:cNvSpPr>
          </xdr:nvSpPr>
          <xdr:spPr bwMode="auto">
            <a:xfrm flipV="1">
              <a:off x="1971675" y="9601200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Thickness"/>
            <xdr:cNvSpPr txBox="1">
              <a:spLocks noChangeArrowheads="1"/>
            </xdr:cNvSpPr>
          </xdr:nvSpPr>
          <xdr:spPr bwMode="auto">
            <a:xfrm>
              <a:off x="1912620" y="9382125"/>
              <a:ext cx="284006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57.5</a:t>
              </a:r>
            </a:p>
          </xdr:txBody>
        </xdr:sp>
        <xdr:sp macro="" textlink="">
          <xdr:nvSpPr>
            <xdr:cNvPr id="128" name="Line 143"/>
            <xdr:cNvSpPr>
              <a:spLocks noChangeShapeType="1"/>
            </xdr:cNvSpPr>
          </xdr:nvSpPr>
          <xdr:spPr bwMode="auto">
            <a:xfrm flipV="1">
              <a:off x="1828800" y="9420225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144"/>
            <xdr:cNvSpPr>
              <a:spLocks noChangeShapeType="1"/>
            </xdr:cNvSpPr>
          </xdr:nvSpPr>
          <xdr:spPr bwMode="auto">
            <a:xfrm>
              <a:off x="1819275" y="9144000"/>
              <a:ext cx="0" cy="1238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Height"/>
            <xdr:cNvSpPr txBox="1">
              <a:spLocks noChangeArrowheads="1"/>
            </xdr:cNvSpPr>
          </xdr:nvSpPr>
          <xdr:spPr bwMode="auto">
            <a:xfrm>
              <a:off x="1474470" y="9067800"/>
              <a:ext cx="268681" cy="9525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55</a:t>
              </a:r>
            </a:p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.0</a:t>
              </a:r>
            </a:p>
          </xdr:txBody>
        </xdr:sp>
        <xdr:sp macro="" textlink="">
          <xdr:nvSpPr>
            <xdr:cNvPr id="131" name="Line 149"/>
            <xdr:cNvSpPr>
              <a:spLocks noChangeShapeType="1"/>
            </xdr:cNvSpPr>
          </xdr:nvSpPr>
          <xdr:spPr bwMode="auto">
            <a:xfrm>
              <a:off x="1390650" y="9115425"/>
              <a:ext cx="857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150"/>
            <xdr:cNvSpPr>
              <a:spLocks noChangeShapeType="1"/>
            </xdr:cNvSpPr>
          </xdr:nvSpPr>
          <xdr:spPr bwMode="auto">
            <a:xfrm flipV="1">
              <a:off x="1495425" y="9086850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Thickness"/>
            <xdr:cNvSpPr txBox="1">
              <a:spLocks noChangeArrowheads="1"/>
            </xdr:cNvSpPr>
          </xdr:nvSpPr>
          <xdr:spPr bwMode="auto">
            <a:xfrm>
              <a:off x="1685925" y="9296400"/>
              <a:ext cx="320423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18.50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34" name="Line 136"/>
            <xdr:cNvSpPr>
              <a:spLocks noChangeShapeType="1"/>
            </xdr:cNvSpPr>
          </xdr:nvSpPr>
          <xdr:spPr bwMode="auto">
            <a:xfrm>
              <a:off x="1314450" y="9686925"/>
              <a:ext cx="4191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139"/>
            <xdr:cNvSpPr>
              <a:spLocks noChangeShapeType="1"/>
            </xdr:cNvSpPr>
          </xdr:nvSpPr>
          <xdr:spPr bwMode="auto">
            <a:xfrm>
              <a:off x="2028825" y="9505950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9" name="Group 108"/>
          <xdr:cNvGrpSpPr/>
        </xdr:nvGrpSpPr>
        <xdr:grpSpPr>
          <a:xfrm>
            <a:off x="800100" y="9096375"/>
            <a:ext cx="1419225" cy="914400"/>
            <a:chOff x="733425" y="9096375"/>
            <a:chExt cx="1419225" cy="914400"/>
          </a:xfrm>
        </xdr:grpSpPr>
        <xdr:sp macro="" textlink="">
          <xdr:nvSpPr>
            <xdr:cNvPr id="110" name="Line 125"/>
            <xdr:cNvSpPr>
              <a:spLocks noChangeShapeType="1"/>
            </xdr:cNvSpPr>
          </xdr:nvSpPr>
          <xdr:spPr bwMode="auto">
            <a:xfrm flipV="1">
              <a:off x="733425" y="9277350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126"/>
            <xdr:cNvSpPr>
              <a:spLocks noChangeShapeType="1"/>
            </xdr:cNvSpPr>
          </xdr:nvSpPr>
          <xdr:spPr bwMode="auto">
            <a:xfrm>
              <a:off x="1000125" y="9277350"/>
              <a:ext cx="0" cy="7334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128"/>
            <xdr:cNvSpPr>
              <a:spLocks noChangeShapeType="1"/>
            </xdr:cNvSpPr>
          </xdr:nvSpPr>
          <xdr:spPr bwMode="auto">
            <a:xfrm>
              <a:off x="1028700" y="9563100"/>
              <a:ext cx="2952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129"/>
            <xdr:cNvSpPr>
              <a:spLocks noChangeShapeType="1"/>
            </xdr:cNvSpPr>
          </xdr:nvSpPr>
          <xdr:spPr bwMode="auto">
            <a:xfrm>
              <a:off x="1000125" y="9305925"/>
              <a:ext cx="3048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Rectangle 132"/>
            <xdr:cNvSpPr>
              <a:spLocks noChangeArrowheads="1"/>
            </xdr:cNvSpPr>
          </xdr:nvSpPr>
          <xdr:spPr bwMode="auto">
            <a:xfrm>
              <a:off x="1304925" y="9277350"/>
              <a:ext cx="419100" cy="3333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5" name="Rectangle 133"/>
            <xdr:cNvSpPr>
              <a:spLocks noChangeArrowheads="1"/>
            </xdr:cNvSpPr>
          </xdr:nvSpPr>
          <xdr:spPr bwMode="auto">
            <a:xfrm>
              <a:off x="1495425" y="9277350"/>
              <a:ext cx="228600" cy="1047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6" name="Line 140"/>
            <xdr:cNvSpPr>
              <a:spLocks noChangeShapeType="1"/>
            </xdr:cNvSpPr>
          </xdr:nvSpPr>
          <xdr:spPr bwMode="auto">
            <a:xfrm>
              <a:off x="1762125" y="9601200"/>
              <a:ext cx="3905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134"/>
            <xdr:cNvSpPr>
              <a:spLocks noChangeShapeType="1"/>
            </xdr:cNvSpPr>
          </xdr:nvSpPr>
          <xdr:spPr bwMode="auto">
            <a:xfrm>
              <a:off x="1304925" y="9658350"/>
              <a:ext cx="0" cy="1905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135"/>
            <xdr:cNvSpPr>
              <a:spLocks noChangeShapeType="1"/>
            </xdr:cNvSpPr>
          </xdr:nvSpPr>
          <xdr:spPr bwMode="auto">
            <a:xfrm>
              <a:off x="1724025" y="9648825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151"/>
            <xdr:cNvSpPr>
              <a:spLocks noChangeShapeType="1"/>
            </xdr:cNvSpPr>
          </xdr:nvSpPr>
          <xdr:spPr bwMode="auto">
            <a:xfrm flipV="1">
              <a:off x="1724025" y="9096375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142"/>
            <xdr:cNvSpPr>
              <a:spLocks noChangeShapeType="1"/>
            </xdr:cNvSpPr>
          </xdr:nvSpPr>
          <xdr:spPr bwMode="auto">
            <a:xfrm>
              <a:off x="1743075" y="92773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142"/>
            <xdr:cNvSpPr>
              <a:spLocks noChangeShapeType="1"/>
            </xdr:cNvSpPr>
          </xdr:nvSpPr>
          <xdr:spPr bwMode="auto">
            <a:xfrm>
              <a:off x="1743075" y="93916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628651</xdr:colOff>
      <xdr:row>16</xdr:row>
      <xdr:rowOff>85724</xdr:rowOff>
    </xdr:from>
    <xdr:to>
      <xdr:col>0</xdr:col>
      <xdr:colOff>1104901</xdr:colOff>
      <xdr:row>17</xdr:row>
      <xdr:rowOff>66674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1" y="398144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619126</xdr:colOff>
      <xdr:row>18</xdr:row>
      <xdr:rowOff>28574</xdr:rowOff>
    </xdr:from>
    <xdr:to>
      <xdr:col>0</xdr:col>
      <xdr:colOff>1095376</xdr:colOff>
      <xdr:row>19</xdr:row>
      <xdr:rowOff>9524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6" y="440054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609601</xdr:colOff>
      <xdr:row>19</xdr:row>
      <xdr:rowOff>200024</xdr:rowOff>
    </xdr:from>
    <xdr:to>
      <xdr:col>0</xdr:col>
      <xdr:colOff>1085851</xdr:colOff>
      <xdr:row>20</xdr:row>
      <xdr:rowOff>180974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1" y="4810124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609601</xdr:colOff>
      <xdr:row>21</xdr:row>
      <xdr:rowOff>133349</xdr:rowOff>
    </xdr:from>
    <xdr:to>
      <xdr:col>0</xdr:col>
      <xdr:colOff>1085851</xdr:colOff>
      <xdr:row>22</xdr:row>
      <xdr:rowOff>114299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1" y="521969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619126</xdr:colOff>
      <xdr:row>23</xdr:row>
      <xdr:rowOff>66674</xdr:rowOff>
    </xdr:from>
    <xdr:to>
      <xdr:col>0</xdr:col>
      <xdr:colOff>1095376</xdr:colOff>
      <xdr:row>24</xdr:row>
      <xdr:rowOff>47624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6" y="5629274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619126</xdr:colOff>
      <xdr:row>24</xdr:row>
      <xdr:rowOff>238124</xdr:rowOff>
    </xdr:from>
    <xdr:to>
      <xdr:col>0</xdr:col>
      <xdr:colOff>1095376</xdr:colOff>
      <xdr:row>25</xdr:row>
      <xdr:rowOff>219074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6" y="603884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609601</xdr:colOff>
      <xdr:row>26</xdr:row>
      <xdr:rowOff>171449</xdr:rowOff>
    </xdr:from>
    <xdr:to>
      <xdr:col>0</xdr:col>
      <xdr:colOff>1085851</xdr:colOff>
      <xdr:row>27</xdr:row>
      <xdr:rowOff>152399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1" y="6448424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600076</xdr:colOff>
      <xdr:row>28</xdr:row>
      <xdr:rowOff>104774</xdr:rowOff>
    </xdr:from>
    <xdr:to>
      <xdr:col>0</xdr:col>
      <xdr:colOff>1076326</xdr:colOff>
      <xdr:row>29</xdr:row>
      <xdr:rowOff>85724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6" y="685799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600076</xdr:colOff>
      <xdr:row>30</xdr:row>
      <xdr:rowOff>47624</xdr:rowOff>
    </xdr:from>
    <xdr:to>
      <xdr:col>0</xdr:col>
      <xdr:colOff>1076326</xdr:colOff>
      <xdr:row>31</xdr:row>
      <xdr:rowOff>28574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6" y="727709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600076</xdr:colOff>
      <xdr:row>31</xdr:row>
      <xdr:rowOff>219074</xdr:rowOff>
    </xdr:from>
    <xdr:to>
      <xdr:col>0</xdr:col>
      <xdr:colOff>1076326</xdr:colOff>
      <xdr:row>32</xdr:row>
      <xdr:rowOff>200024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6" y="7686674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609601</xdr:colOff>
      <xdr:row>33</xdr:row>
      <xdr:rowOff>152399</xdr:rowOff>
    </xdr:from>
    <xdr:to>
      <xdr:col>0</xdr:col>
      <xdr:colOff>1085851</xdr:colOff>
      <xdr:row>34</xdr:row>
      <xdr:rowOff>133349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1" y="8096249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314325</xdr:colOff>
      <xdr:row>16</xdr:row>
      <xdr:rowOff>57150</xdr:rowOff>
    </xdr:from>
    <xdr:to>
      <xdr:col>5</xdr:col>
      <xdr:colOff>828675</xdr:colOff>
      <xdr:row>17</xdr:row>
      <xdr:rowOff>66675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86450" y="3952875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338014</xdr:colOff>
      <xdr:row>24</xdr:row>
      <xdr:rowOff>208120</xdr:rowOff>
    </xdr:from>
    <xdr:to>
      <xdr:col>5</xdr:col>
      <xdr:colOff>918307</xdr:colOff>
      <xdr:row>25</xdr:row>
      <xdr:rowOff>230028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10139" y="6008845"/>
          <a:ext cx="580293" cy="2600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333375</xdr:colOff>
      <xdr:row>26</xdr:row>
      <xdr:rowOff>152400</xdr:rowOff>
    </xdr:from>
    <xdr:to>
      <xdr:col>5</xdr:col>
      <xdr:colOff>847725</xdr:colOff>
      <xdr:row>27</xdr:row>
      <xdr:rowOff>161925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05500" y="6429375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342900</xdr:colOff>
      <xdr:row>28</xdr:row>
      <xdr:rowOff>85725</xdr:rowOff>
    </xdr:from>
    <xdr:to>
      <xdr:col>5</xdr:col>
      <xdr:colOff>857250</xdr:colOff>
      <xdr:row>29</xdr:row>
      <xdr:rowOff>95250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15025" y="6838950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333375</xdr:colOff>
      <xdr:row>30</xdr:row>
      <xdr:rowOff>9525</xdr:rowOff>
    </xdr:from>
    <xdr:to>
      <xdr:col>5</xdr:col>
      <xdr:colOff>847725</xdr:colOff>
      <xdr:row>31</xdr:row>
      <xdr:rowOff>19050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05500" y="7239000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333375</xdr:colOff>
      <xdr:row>31</xdr:row>
      <xdr:rowOff>190500</xdr:rowOff>
    </xdr:from>
    <xdr:to>
      <xdr:col>5</xdr:col>
      <xdr:colOff>847725</xdr:colOff>
      <xdr:row>32</xdr:row>
      <xdr:rowOff>200025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05500" y="7658100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723900</xdr:colOff>
      <xdr:row>23</xdr:row>
      <xdr:rowOff>19050</xdr:rowOff>
    </xdr:from>
    <xdr:to>
      <xdr:col>5</xdr:col>
      <xdr:colOff>942975</xdr:colOff>
      <xdr:row>28</xdr:row>
      <xdr:rowOff>152400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96025" y="5581650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333375</xdr:colOff>
      <xdr:row>23</xdr:row>
      <xdr:rowOff>38100</xdr:rowOff>
    </xdr:from>
    <xdr:to>
      <xdr:col>5</xdr:col>
      <xdr:colOff>847725</xdr:colOff>
      <xdr:row>24</xdr:row>
      <xdr:rowOff>47625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05500" y="5600700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333375</xdr:colOff>
      <xdr:row>21</xdr:row>
      <xdr:rowOff>104775</xdr:rowOff>
    </xdr:from>
    <xdr:to>
      <xdr:col>5</xdr:col>
      <xdr:colOff>847725</xdr:colOff>
      <xdr:row>22</xdr:row>
      <xdr:rowOff>114300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05500" y="5191125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323850</xdr:colOff>
      <xdr:row>19</xdr:row>
      <xdr:rowOff>171450</xdr:rowOff>
    </xdr:from>
    <xdr:to>
      <xdr:col>5</xdr:col>
      <xdr:colOff>838200</xdr:colOff>
      <xdr:row>20</xdr:row>
      <xdr:rowOff>180975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95975" y="4781550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323850</xdr:colOff>
      <xdr:row>18</xdr:row>
      <xdr:rowOff>0</xdr:rowOff>
    </xdr:from>
    <xdr:to>
      <xdr:col>5</xdr:col>
      <xdr:colOff>838200</xdr:colOff>
      <xdr:row>19</xdr:row>
      <xdr:rowOff>9525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95975" y="4371975"/>
          <a:ext cx="5143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142875</xdr:colOff>
      <xdr:row>18</xdr:row>
      <xdr:rowOff>152400</xdr:rowOff>
    </xdr:from>
    <xdr:to>
      <xdr:col>3</xdr:col>
      <xdr:colOff>476250</xdr:colOff>
      <xdr:row>19</xdr:row>
      <xdr:rowOff>85725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486150" y="452437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904875</xdr:colOff>
      <xdr:row>22</xdr:row>
      <xdr:rowOff>9525</xdr:rowOff>
    </xdr:from>
    <xdr:to>
      <xdr:col>3</xdr:col>
      <xdr:colOff>133350</xdr:colOff>
      <xdr:row>22</xdr:row>
      <xdr:rowOff>152400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133725" y="53340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28575</xdr:colOff>
      <xdr:row>28</xdr:row>
      <xdr:rowOff>57150</xdr:rowOff>
    </xdr:from>
    <xdr:to>
      <xdr:col>2</xdr:col>
      <xdr:colOff>466725</xdr:colOff>
      <xdr:row>28</xdr:row>
      <xdr:rowOff>209550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257425" y="68103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3</xdr:col>
      <xdr:colOff>161925</xdr:colOff>
      <xdr:row>30</xdr:row>
      <xdr:rowOff>200025</xdr:rowOff>
    </xdr:from>
    <xdr:to>
      <xdr:col>3</xdr:col>
      <xdr:colOff>666750</xdr:colOff>
      <xdr:row>31</xdr:row>
      <xdr:rowOff>114300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505200" y="74295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321895</xdr:colOff>
      <xdr:row>33</xdr:row>
      <xdr:rowOff>112870</xdr:rowOff>
    </xdr:from>
    <xdr:to>
      <xdr:col>5</xdr:col>
      <xdr:colOff>862622</xdr:colOff>
      <xdr:row>34</xdr:row>
      <xdr:rowOff>134778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94020" y="8056720"/>
          <a:ext cx="540727" cy="2600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topLeftCell="A49" zoomScale="95" zoomScaleNormal="95" workbookViewId="0">
      <selection activeCell="M41" sqref="M4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41939</v>
      </c>
      <c r="I3" s="51" t="s">
        <v>3</v>
      </c>
      <c r="J3" s="152">
        <v>0.6138541666666667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2</v>
      </c>
      <c r="B5" s="115">
        <v>1750</v>
      </c>
      <c r="C5" s="145">
        <v>3600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233</v>
      </c>
      <c r="I5" s="79" t="s">
        <v>238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26.179916666666667</v>
      </c>
      <c r="J7" s="108" t="s">
        <v>19</v>
      </c>
    </row>
    <row r="8" spans="1:10" ht="15" customHeight="1">
      <c r="A8" s="7" t="s">
        <v>20</v>
      </c>
      <c r="B8" s="71">
        <v>3.5</v>
      </c>
      <c r="C8" s="54"/>
      <c r="D8" s="7"/>
      <c r="E8" s="53"/>
      <c r="F8" s="4"/>
      <c r="G8" s="17"/>
      <c r="H8" s="11" t="s">
        <v>21</v>
      </c>
      <c r="I8" s="70">
        <v>30.254877608695651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185</v>
      </c>
      <c r="F9" s="109" t="s">
        <v>25</v>
      </c>
      <c r="G9" s="31"/>
      <c r="H9" s="11" t="s">
        <v>26</v>
      </c>
      <c r="I9" s="71">
        <v>28.217397137681161</v>
      </c>
      <c r="J9" s="106">
        <v>587.46691040189057</v>
      </c>
    </row>
    <row r="10" spans="1:10" ht="15" customHeight="1">
      <c r="A10" s="7" t="s">
        <v>27</v>
      </c>
      <c r="B10" s="71">
        <v>580</v>
      </c>
      <c r="C10" s="75">
        <v>580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17.127578248316492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443</v>
      </c>
      <c r="D11" s="7" t="s">
        <v>31</v>
      </c>
      <c r="E11" s="70">
        <v>0.62956666666666661</v>
      </c>
      <c r="F11" s="120"/>
      <c r="G11" s="116"/>
      <c r="H11" s="11" t="s">
        <v>32</v>
      </c>
      <c r="I11" s="70">
        <v>29.859305480929297</v>
      </c>
      <c r="J11" s="106">
        <v>43734.998400888988</v>
      </c>
    </row>
    <row r="12" spans="1:10" ht="15" customHeight="1">
      <c r="A12" s="7" t="s">
        <v>33</v>
      </c>
      <c r="B12" s="71">
        <v>450</v>
      </c>
      <c r="C12" s="75">
        <v>170</v>
      </c>
      <c r="D12" s="7" t="s">
        <v>34</v>
      </c>
      <c r="E12" s="140" t="s">
        <v>174</v>
      </c>
      <c r="F12" s="126" t="s">
        <v>191</v>
      </c>
      <c r="G12" s="118" t="s">
        <v>190</v>
      </c>
      <c r="H12" s="11" t="s">
        <v>35</v>
      </c>
      <c r="I12" s="70">
        <v>1.5285241314976885</v>
      </c>
      <c r="J12" s="105" t="s">
        <v>36</v>
      </c>
    </row>
    <row r="13" spans="1:10" ht="15" customHeight="1" thickBot="1">
      <c r="A13" s="7" t="s">
        <v>37</v>
      </c>
      <c r="B13" s="71">
        <v>109.5</v>
      </c>
      <c r="C13" s="75">
        <v>98.090000152587891</v>
      </c>
      <c r="D13" s="7" t="s">
        <v>38</v>
      </c>
      <c r="E13" s="72">
        <v>16</v>
      </c>
      <c r="F13" s="126"/>
      <c r="G13" s="118" t="s">
        <v>192</v>
      </c>
      <c r="H13" s="11" t="s">
        <v>40</v>
      </c>
      <c r="I13" s="70">
        <v>1.0132478676712358</v>
      </c>
      <c r="J13" s="106">
        <v>208.35325622558594</v>
      </c>
    </row>
    <row r="14" spans="1:10" ht="15" customHeight="1" thickBot="1">
      <c r="A14" s="136" t="s">
        <v>41</v>
      </c>
      <c r="B14" s="137">
        <v>438.95999145507813</v>
      </c>
      <c r="C14" s="138">
        <v>494.760009765625</v>
      </c>
      <c r="D14" s="7" t="s">
        <v>42</v>
      </c>
      <c r="E14" s="53" t="s">
        <v>186</v>
      </c>
      <c r="F14" s="53"/>
      <c r="G14" s="118" t="s">
        <v>193</v>
      </c>
      <c r="H14" s="51" t="s">
        <v>43</v>
      </c>
      <c r="I14" s="70">
        <v>1.5487738169240604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0.83543300071747506</v>
      </c>
      <c r="J15" s="106">
        <v>32.075954861111114</v>
      </c>
    </row>
    <row r="16" spans="1:10" ht="15" customHeight="1">
      <c r="A16" s="7" t="s">
        <v>48</v>
      </c>
      <c r="B16" s="53">
        <v>54</v>
      </c>
      <c r="C16" s="54">
        <v>46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0.95529270900034158</v>
      </c>
      <c r="J16" s="107" t="s">
        <v>51</v>
      </c>
    </row>
    <row r="17" spans="1:15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187</v>
      </c>
      <c r="F17" s="53"/>
      <c r="G17" s="118"/>
      <c r="H17" s="11" t="s">
        <v>54</v>
      </c>
      <c r="I17" s="70">
        <v>0.79808305444368111</v>
      </c>
      <c r="J17" s="106">
        <v>636.68119002340381</v>
      </c>
    </row>
    <row r="18" spans="1:15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1447</v>
      </c>
      <c r="F18" s="72">
        <v>770.53700256347656</v>
      </c>
      <c r="G18" s="76"/>
      <c r="H18" s="14" t="s">
        <v>57</v>
      </c>
      <c r="I18" s="134" t="s">
        <v>199</v>
      </c>
      <c r="J18" s="135"/>
    </row>
    <row r="19" spans="1:15" ht="15" customHeight="1">
      <c r="A19" s="7" t="s">
        <v>58</v>
      </c>
      <c r="B19" s="71">
        <v>73</v>
      </c>
      <c r="C19" s="75">
        <v>38.409999847412109</v>
      </c>
      <c r="D19" s="7" t="s">
        <v>59</v>
      </c>
      <c r="E19" s="72">
        <v>144</v>
      </c>
      <c r="F19" s="53"/>
      <c r="G19" s="54"/>
      <c r="H19" s="148"/>
      <c r="I19" s="4" t="s">
        <v>60</v>
      </c>
      <c r="J19" s="32" t="s">
        <v>61</v>
      </c>
    </row>
    <row r="20" spans="1:15" ht="15" customHeight="1">
      <c r="A20" s="7" t="s">
        <v>62</v>
      </c>
      <c r="B20" s="71" t="s">
        <v>180</v>
      </c>
      <c r="C20" s="75"/>
      <c r="D20" s="7" t="s">
        <v>166</v>
      </c>
      <c r="E20" s="69">
        <v>5.4438927813630841E-2</v>
      </c>
      <c r="F20" s="53"/>
      <c r="G20" s="54"/>
      <c r="H20" s="11" t="s">
        <v>63</v>
      </c>
      <c r="I20" s="70">
        <v>14.993256568908691</v>
      </c>
      <c r="J20" s="74">
        <v>14.993256568908691</v>
      </c>
    </row>
    <row r="21" spans="1:15" ht="15" customHeight="1">
      <c r="A21" s="7" t="s">
        <v>64</v>
      </c>
      <c r="B21" s="71">
        <v>17.299999237060547</v>
      </c>
      <c r="C21" s="75">
        <v>3</v>
      </c>
      <c r="D21" s="11" t="s">
        <v>188</v>
      </c>
      <c r="E21" s="69">
        <v>7.2620887987142113E-2</v>
      </c>
      <c r="F21" s="69">
        <v>4.8831075429916382E-2</v>
      </c>
      <c r="G21" s="73">
        <v>1.4128500472618995E-2</v>
      </c>
      <c r="H21" s="11" t="s">
        <v>65</v>
      </c>
      <c r="I21" s="70">
        <v>16.318153381347656</v>
      </c>
      <c r="J21" s="74">
        <v>13.79779052734375</v>
      </c>
    </row>
    <row r="22" spans="1:15" ht="15" customHeight="1">
      <c r="A22" s="7" t="s">
        <v>66</v>
      </c>
      <c r="B22" s="71">
        <v>13.149999618530273</v>
      </c>
      <c r="C22" s="75">
        <v>3</v>
      </c>
      <c r="D22" s="7" t="s">
        <v>67</v>
      </c>
      <c r="E22" s="53" t="s">
        <v>189</v>
      </c>
      <c r="F22" s="53" t="s">
        <v>189</v>
      </c>
      <c r="G22" s="54" t="s">
        <v>189</v>
      </c>
      <c r="H22" s="11" t="s">
        <v>68</v>
      </c>
      <c r="I22" s="70">
        <v>4.6907854080200195</v>
      </c>
      <c r="J22" s="74">
        <v>4.2877483367919922</v>
      </c>
    </row>
    <row r="23" spans="1:15" ht="15" customHeight="1">
      <c r="A23" s="7" t="s">
        <v>69</v>
      </c>
      <c r="B23" s="71">
        <v>8.8799171447753906</v>
      </c>
      <c r="C23" s="75">
        <v>10.888422012329102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31.036745791338785</v>
      </c>
      <c r="J23" s="17" t="s">
        <v>200</v>
      </c>
    </row>
    <row r="24" spans="1:15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6.7857612215462551</v>
      </c>
      <c r="J24" s="74">
        <v>6.20272196321356</v>
      </c>
    </row>
    <row r="25" spans="1:15" ht="15" customHeight="1">
      <c r="A25" s="7" t="s">
        <v>75</v>
      </c>
      <c r="B25" s="53" t="s">
        <v>174</v>
      </c>
      <c r="C25" s="75">
        <v>5.7199997901916504</v>
      </c>
      <c r="D25" s="111" t="s">
        <v>76</v>
      </c>
      <c r="E25" s="55"/>
      <c r="F25" s="55"/>
      <c r="G25" s="62"/>
      <c r="H25" s="11" t="s">
        <v>77</v>
      </c>
      <c r="I25" s="70">
        <v>0.13558046519756317</v>
      </c>
      <c r="J25" s="74">
        <v>0.33582055568695068</v>
      </c>
    </row>
    <row r="26" spans="1:15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370.53024400091158</v>
      </c>
      <c r="F26" s="71">
        <v>110.14099721383631</v>
      </c>
      <c r="G26" s="75">
        <v>84.531503356144583</v>
      </c>
      <c r="H26" s="11" t="s">
        <v>80</v>
      </c>
      <c r="I26" s="70">
        <v>1.6723449230194092</v>
      </c>
      <c r="J26" s="74">
        <v>1.5929138660430908</v>
      </c>
    </row>
    <row r="27" spans="1:15" ht="15" customHeight="1" thickBot="1">
      <c r="A27" s="7" t="s">
        <v>81</v>
      </c>
      <c r="B27" s="53" t="s">
        <v>183</v>
      </c>
      <c r="C27" s="54" t="s">
        <v>184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1.6778318881988525</v>
      </c>
      <c r="J27" s="83">
        <v>1.6279281377792358</v>
      </c>
    </row>
    <row r="28" spans="1:15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  <c r="L28" s="548"/>
      <c r="M28" s="548"/>
      <c r="N28" s="548"/>
      <c r="O28" s="548"/>
    </row>
    <row r="29" spans="1:15" ht="15" customHeight="1">
      <c r="A29" s="8"/>
      <c r="B29" s="36" t="s">
        <v>87</v>
      </c>
      <c r="C29" s="77">
        <v>35.359193128881586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  <c r="L29" s="548"/>
      <c r="M29" s="726" t="str">
        <f>RIGHT(F$41,SEARCH("/",F$41,1)-1)</f>
        <v xml:space="preserve"> 3576.5</v>
      </c>
      <c r="N29" s="548" t="s">
        <v>758</v>
      </c>
      <c r="O29" s="548"/>
    </row>
    <row r="30" spans="1:15" ht="15" customHeight="1" thickBot="1">
      <c r="A30" s="9"/>
      <c r="B30" s="65" t="s">
        <v>94</v>
      </c>
      <c r="C30" s="78">
        <v>35.395463326989393</v>
      </c>
      <c r="D30" s="11" t="s">
        <v>95</v>
      </c>
      <c r="E30" s="71">
        <v>64.009896249999997</v>
      </c>
      <c r="F30" s="71">
        <v>961.32238128662107</v>
      </c>
      <c r="G30" s="71">
        <v>15.693804200985761</v>
      </c>
      <c r="H30" s="76">
        <v>703.1011324446863</v>
      </c>
      <c r="I30" s="72">
        <v>106533.34950837048</v>
      </c>
      <c r="J30" s="76">
        <v>7843.8494997843882</v>
      </c>
      <c r="L30" s="548"/>
      <c r="M30" s="726" t="str">
        <f>RIGHT(E$41,SEARCH("/",E$41,1)-1)</f>
        <v xml:space="preserve"> 3581.3</v>
      </c>
      <c r="N30" s="548" t="s">
        <v>759</v>
      </c>
      <c r="O30" s="548"/>
    </row>
    <row r="31" spans="1:15" ht="15" customHeight="1">
      <c r="A31" s="24" t="s">
        <v>96</v>
      </c>
      <c r="B31" s="149"/>
      <c r="C31" s="28"/>
      <c r="D31" s="11" t="s">
        <v>97</v>
      </c>
      <c r="E31" s="71">
        <v>7.3000000000000007</v>
      </c>
      <c r="F31" s="71">
        <v>1052.4406555779499</v>
      </c>
      <c r="G31" s="71">
        <v>14.335065018609209</v>
      </c>
      <c r="H31" s="76">
        <v>54.674366683333709</v>
      </c>
      <c r="I31" s="72">
        <v>15365.633571438069</v>
      </c>
      <c r="J31" s="76">
        <v>976.97144602665321</v>
      </c>
      <c r="L31" s="548"/>
      <c r="M31" s="726" t="str">
        <f>RIGHT(D$41,SEARCH("/",D$41,1)-1)</f>
        <v xml:space="preserve"> 3586.1</v>
      </c>
      <c r="N31" s="548" t="s">
        <v>760</v>
      </c>
      <c r="O31" s="548"/>
    </row>
    <row r="32" spans="1:15" ht="15" customHeight="1">
      <c r="A32" s="7" t="s">
        <v>98</v>
      </c>
      <c r="B32" s="70" t="s">
        <v>240</v>
      </c>
      <c r="C32" s="112"/>
      <c r="D32" s="11" t="s">
        <v>99</v>
      </c>
      <c r="E32" s="71">
        <v>28.759685678968431</v>
      </c>
      <c r="F32" s="71">
        <v>1250.984194201945</v>
      </c>
      <c r="G32" s="71">
        <v>12.059948715468874</v>
      </c>
      <c r="H32" s="76">
        <v>119.22776031016495</v>
      </c>
      <c r="I32" s="10" t="s">
        <v>100</v>
      </c>
      <c r="J32" s="76">
        <v>8820.8209458110414</v>
      </c>
      <c r="L32" s="548"/>
      <c r="M32" s="726" t="str">
        <f>RIGHT(C$41,SEARCH("/",C$41,1)-1)</f>
        <v xml:space="preserve"> 3590.8</v>
      </c>
      <c r="N32" s="548" t="s">
        <v>761</v>
      </c>
      <c r="O32" s="548"/>
    </row>
    <row r="33" spans="1:15" ht="15" customHeight="1">
      <c r="A33" s="7" t="s">
        <v>101</v>
      </c>
      <c r="B33" s="70" t="s">
        <v>241</v>
      </c>
      <c r="C33" s="113" t="s">
        <v>102</v>
      </c>
      <c r="D33" s="11" t="s">
        <v>97</v>
      </c>
      <c r="E33" s="71">
        <v>3.8409999847412113</v>
      </c>
      <c r="F33" s="71">
        <v>1239.0458296650042</v>
      </c>
      <c r="G33" s="71">
        <v>12.176147858886356</v>
      </c>
      <c r="H33" s="76">
        <v>16.287219358920986</v>
      </c>
      <c r="I33" s="10" t="s">
        <v>103</v>
      </c>
      <c r="J33" s="75" t="s">
        <v>210</v>
      </c>
      <c r="L33" s="548"/>
      <c r="M33" s="726" t="str">
        <f>RIGHT(B$41,SEARCH("/",B$41,1)-1)</f>
        <v xml:space="preserve"> 3595.5</v>
      </c>
      <c r="N33" s="548" t="s">
        <v>762</v>
      </c>
      <c r="O33" s="548"/>
    </row>
    <row r="34" spans="1:15" ht="15" customHeight="1" thickBot="1">
      <c r="A34" s="18" t="s">
        <v>104</v>
      </c>
      <c r="B34" s="81" t="s">
        <v>242</v>
      </c>
      <c r="C34" s="114">
        <v>15.08680522593761</v>
      </c>
      <c r="D34" s="12" t="s">
        <v>20</v>
      </c>
      <c r="E34" s="81">
        <v>0.35000000000000003</v>
      </c>
      <c r="F34" s="82">
        <v>2291.1195077195616</v>
      </c>
      <c r="G34" s="82">
        <v>6.5849054032777552</v>
      </c>
      <c r="H34" s="85">
        <v>1834.0369774120863</v>
      </c>
      <c r="I34" s="10" t="s">
        <v>105</v>
      </c>
      <c r="J34" s="75">
        <v>6.0500001907348633</v>
      </c>
      <c r="L34" s="548"/>
      <c r="M34" s="548"/>
      <c r="N34" s="548"/>
      <c r="O34" s="548"/>
    </row>
    <row r="35" spans="1:15" ht="15" customHeight="1">
      <c r="A35" s="14" t="s">
        <v>106</v>
      </c>
      <c r="B35" s="15"/>
      <c r="C35" s="15"/>
      <c r="D35" s="139" t="s">
        <v>212</v>
      </c>
      <c r="E35" s="150" t="s">
        <v>211</v>
      </c>
      <c r="F35" s="16"/>
      <c r="G35" s="27" t="s">
        <v>107</v>
      </c>
      <c r="H35" s="87" t="s">
        <v>206</v>
      </c>
      <c r="I35" s="11" t="s">
        <v>108</v>
      </c>
      <c r="J35" s="76" t="s">
        <v>209</v>
      </c>
      <c r="L35" s="548"/>
      <c r="M35" s="548"/>
      <c r="N35" s="548"/>
      <c r="O35" s="548"/>
    </row>
    <row r="36" spans="1:15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208</v>
      </c>
      <c r="L36" s="548"/>
      <c r="M36" s="548"/>
      <c r="N36" s="548"/>
      <c r="O36" s="548"/>
    </row>
    <row r="37" spans="1:15" ht="15" customHeight="1" thickBot="1">
      <c r="A37" s="7" t="s">
        <v>112</v>
      </c>
      <c r="B37" s="71" t="s">
        <v>222</v>
      </c>
      <c r="C37" s="71" t="s">
        <v>223</v>
      </c>
      <c r="D37" s="71" t="s">
        <v>224</v>
      </c>
      <c r="E37" s="71" t="s">
        <v>225</v>
      </c>
      <c r="F37" s="75" t="s">
        <v>226</v>
      </c>
      <c r="G37" s="11" t="s">
        <v>113</v>
      </c>
      <c r="H37" s="76" t="s">
        <v>205</v>
      </c>
      <c r="I37" s="12" t="s">
        <v>114</v>
      </c>
      <c r="J37" s="85" t="s">
        <v>207</v>
      </c>
      <c r="L37" s="548"/>
      <c r="M37" s="548"/>
      <c r="N37" s="548"/>
      <c r="O37" s="727"/>
    </row>
    <row r="38" spans="1:15" ht="15" customHeight="1" thickBot="1">
      <c r="A38" s="7" t="s">
        <v>115</v>
      </c>
      <c r="B38" s="70" t="s">
        <v>214</v>
      </c>
      <c r="C38" s="70" t="s">
        <v>701</v>
      </c>
      <c r="D38" s="70" t="s">
        <v>215</v>
      </c>
      <c r="E38" s="70" t="s">
        <v>700</v>
      </c>
      <c r="F38" s="74" t="s">
        <v>216</v>
      </c>
      <c r="G38" s="18" t="s">
        <v>116</v>
      </c>
      <c r="H38" s="85" t="s">
        <v>699</v>
      </c>
      <c r="I38" s="141" t="s">
        <v>213</v>
      </c>
      <c r="J38" s="86">
        <v>15363.76171875</v>
      </c>
      <c r="L38" s="548" t="str">
        <f>LEFT(E38,SEARCH("/",E38,1)-1)</f>
        <v xml:space="preserve">0.966 </v>
      </c>
      <c r="M38" s="548" t="str">
        <f>RIGHT(E38,SEARCH("/",E38,1)-1)</f>
        <v xml:space="preserve"> 0.950</v>
      </c>
      <c r="N38" s="728">
        <f>M38/L38</f>
        <v>0.9834368530020704</v>
      </c>
      <c r="O38" s="727" t="s">
        <v>763</v>
      </c>
    </row>
    <row r="39" spans="1:15" ht="15" customHeight="1">
      <c r="A39" s="7" t="s">
        <v>117</v>
      </c>
      <c r="B39" s="70" t="s">
        <v>217</v>
      </c>
      <c r="C39" s="70" t="s">
        <v>218</v>
      </c>
      <c r="D39" s="70" t="s">
        <v>219</v>
      </c>
      <c r="E39" s="70" t="s">
        <v>220</v>
      </c>
      <c r="F39" s="74" t="s">
        <v>221</v>
      </c>
      <c r="G39" s="14" t="s">
        <v>118</v>
      </c>
      <c r="H39" s="15"/>
      <c r="I39" s="41" t="s">
        <v>119</v>
      </c>
      <c r="J39" s="42" t="s">
        <v>120</v>
      </c>
      <c r="L39" s="548" t="str">
        <f>LEFT(E39,SEARCH("/",E39,1)-1)</f>
        <v xml:space="preserve">0.936 </v>
      </c>
      <c r="M39" s="548" t="str">
        <f>RIGHT(E39,SEARCH("/",E39,1)-1)</f>
        <v xml:space="preserve"> 0.921</v>
      </c>
      <c r="N39" s="728">
        <f>M39/L39</f>
        <v>0.98397435897435892</v>
      </c>
      <c r="O39" s="727" t="s">
        <v>764</v>
      </c>
    </row>
    <row r="40" spans="1:15" ht="15" customHeight="1">
      <c r="A40" s="7" t="s">
        <v>119</v>
      </c>
      <c r="B40" s="69" t="s">
        <v>235</v>
      </c>
      <c r="C40" s="69" t="s">
        <v>236</v>
      </c>
      <c r="D40" s="69" t="s">
        <v>237</v>
      </c>
      <c r="E40" s="69" t="s">
        <v>238</v>
      </c>
      <c r="F40" s="73" t="s">
        <v>239</v>
      </c>
      <c r="G40" s="37" t="s">
        <v>121</v>
      </c>
      <c r="H40" s="93" t="s">
        <v>243</v>
      </c>
      <c r="I40" s="57"/>
      <c r="J40" s="58"/>
      <c r="L40" s="548" t="str">
        <f>LEFT(E37,SEARCH("/",E37,1)-1)</f>
        <v xml:space="preserve">208.35 </v>
      </c>
      <c r="M40" s="548" t="str">
        <f>RIGHT(E37,SEARCH("/",E37,1)-1)</f>
        <v xml:space="preserve"> 215.49</v>
      </c>
      <c r="N40" s="728">
        <f>M40/L40</f>
        <v>1.0342692584593234</v>
      </c>
      <c r="O40" s="727" t="s">
        <v>765</v>
      </c>
    </row>
    <row r="41" spans="1:15" ht="15" customHeight="1">
      <c r="A41" s="7" t="s">
        <v>5</v>
      </c>
      <c r="B41" s="72" t="s">
        <v>230</v>
      </c>
      <c r="C41" s="72" t="s">
        <v>231</v>
      </c>
      <c r="D41" s="72" t="s">
        <v>232</v>
      </c>
      <c r="E41" s="72" t="s">
        <v>233</v>
      </c>
      <c r="F41" s="76" t="s">
        <v>234</v>
      </c>
      <c r="G41" s="38" t="s">
        <v>122</v>
      </c>
      <c r="H41" s="94" t="s">
        <v>244</v>
      </c>
      <c r="I41" s="59"/>
      <c r="J41" s="60"/>
      <c r="L41" s="548" t="str">
        <f>LEFT(E41,SEARCH("/",E41,1)-1)</f>
        <v xml:space="preserve">3581.0 </v>
      </c>
      <c r="M41" s="548" t="str">
        <f>RIGHT(E41,SEARCH("/",E41,1)-1)</f>
        <v xml:space="preserve"> 3581.3</v>
      </c>
      <c r="N41" s="728">
        <f>M41/L41</f>
        <v>1.0000837754817091</v>
      </c>
      <c r="O41" s="727" t="s">
        <v>5</v>
      </c>
    </row>
    <row r="42" spans="1:15" ht="15" customHeight="1">
      <c r="A42" s="7" t="s">
        <v>123</v>
      </c>
      <c r="B42" s="70">
        <v>3.765871137927542</v>
      </c>
      <c r="C42" s="70">
        <v>3.765871137927542</v>
      </c>
      <c r="D42" s="70">
        <v>3.765871137927542</v>
      </c>
      <c r="E42" s="70">
        <v>3.765871137927542</v>
      </c>
      <c r="F42" s="74">
        <v>3.765871137927542</v>
      </c>
      <c r="G42" s="37" t="s">
        <v>124</v>
      </c>
      <c r="H42" s="93" t="s">
        <v>245</v>
      </c>
      <c r="I42" s="57"/>
      <c r="J42" s="99">
        <v>0.20629323595074028</v>
      </c>
      <c r="L42" s="548"/>
      <c r="M42" s="548"/>
      <c r="N42" s="548"/>
      <c r="O42" s="548"/>
    </row>
    <row r="43" spans="1:15" ht="15" customHeight="1" thickBot="1">
      <c r="A43" s="18" t="s">
        <v>125</v>
      </c>
      <c r="B43" s="81">
        <v>3.765871137927542</v>
      </c>
      <c r="C43" s="81"/>
      <c r="D43" s="81" t="s">
        <v>248</v>
      </c>
      <c r="E43" s="81"/>
      <c r="F43" s="83"/>
      <c r="G43" s="38" t="s">
        <v>122</v>
      </c>
      <c r="H43" s="94" t="s">
        <v>246</v>
      </c>
      <c r="I43" s="59"/>
      <c r="J43" s="60"/>
      <c r="L43" s="548"/>
      <c r="M43" s="548"/>
      <c r="N43" s="548"/>
      <c r="O43" s="548"/>
    </row>
    <row r="44" spans="1:15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4433.9528348288904</v>
      </c>
      <c r="I44" s="92">
        <v>3.7612035253987104E-2</v>
      </c>
      <c r="J44" s="99">
        <v>0.64486349965997436</v>
      </c>
      <c r="L44" s="548"/>
      <c r="M44" s="548"/>
      <c r="N44" s="548"/>
      <c r="O44" s="548"/>
    </row>
    <row r="45" spans="1:15" ht="15" customHeight="1">
      <c r="A45" s="7" t="s">
        <v>129</v>
      </c>
      <c r="B45" s="70">
        <v>0.2308749258518219</v>
      </c>
      <c r="C45" s="5" t="s">
        <v>130</v>
      </c>
      <c r="D45" s="74">
        <v>6.5153585746884346E-3</v>
      </c>
      <c r="E45" s="7" t="s">
        <v>131</v>
      </c>
      <c r="F45" s="76">
        <v>642.97183664975114</v>
      </c>
      <c r="G45" s="39" t="s">
        <v>122</v>
      </c>
      <c r="H45" s="88" t="s">
        <v>247</v>
      </c>
      <c r="I45" s="61"/>
      <c r="J45" s="62"/>
      <c r="L45" s="548"/>
      <c r="M45" s="548"/>
      <c r="N45" s="548"/>
      <c r="O45" s="548"/>
    </row>
    <row r="46" spans="1:15" ht="15" customHeight="1">
      <c r="A46" s="7" t="s">
        <v>132</v>
      </c>
      <c r="B46" s="70">
        <v>0.13993345201015472</v>
      </c>
      <c r="C46" s="5" t="s">
        <v>133</v>
      </c>
      <c r="D46" s="74">
        <v>5.2681420929729939E-3</v>
      </c>
      <c r="E46" s="7" t="s">
        <v>134</v>
      </c>
      <c r="F46" s="76">
        <v>920.94330191770587</v>
      </c>
      <c r="G46" s="38" t="s">
        <v>135</v>
      </c>
      <c r="H46" s="96">
        <v>955.0807937799176</v>
      </c>
      <c r="I46" s="59"/>
      <c r="J46" s="60"/>
      <c r="L46" s="729" t="s">
        <v>766</v>
      </c>
      <c r="M46" s="730">
        <f>B5^0.95</f>
        <v>1204.7200720339658</v>
      </c>
      <c r="N46" s="548"/>
      <c r="O46" s="548"/>
    </row>
    <row r="47" spans="1:15" ht="15" customHeight="1">
      <c r="A47" s="7" t="s">
        <v>136</v>
      </c>
      <c r="B47" s="70">
        <v>0.37080836296081543</v>
      </c>
      <c r="C47" s="5" t="s">
        <v>137</v>
      </c>
      <c r="D47" s="74">
        <v>7.20607815310359E-3</v>
      </c>
      <c r="E47" s="7" t="s">
        <v>138</v>
      </c>
      <c r="F47" s="76">
        <v>320.72205820143569</v>
      </c>
      <c r="G47" s="66" t="s">
        <v>139</v>
      </c>
      <c r="H47" s="95">
        <v>4270.4487076368459</v>
      </c>
      <c r="I47" s="92">
        <v>3.6167213385338098E-2</v>
      </c>
      <c r="J47" s="97">
        <v>0.65836324062339779</v>
      </c>
      <c r="L47" s="729" t="s">
        <v>767</v>
      </c>
      <c r="M47" s="730">
        <f>B5^1.5</f>
        <v>73207.752321731648</v>
      </c>
      <c r="N47" s="548"/>
      <c r="O47" s="548"/>
    </row>
    <row r="48" spans="1:15" ht="15" customHeight="1">
      <c r="A48" s="7" t="s">
        <v>140</v>
      </c>
      <c r="B48" s="70">
        <v>1.4477883465588093E-2</v>
      </c>
      <c r="C48" s="5" t="s">
        <v>100</v>
      </c>
      <c r="D48" s="74">
        <v>3.346746414899826E-2</v>
      </c>
      <c r="E48" s="7" t="s">
        <v>141</v>
      </c>
      <c r="F48" s="76">
        <v>229.9106195719863</v>
      </c>
      <c r="G48" s="67" t="s">
        <v>122</v>
      </c>
      <c r="H48" s="88">
        <v>327.1121185474413</v>
      </c>
      <c r="I48" s="61"/>
      <c r="J48" s="62"/>
      <c r="L48" s="729" t="s">
        <v>768</v>
      </c>
      <c r="M48" s="731">
        <f>IF(A5="",0,(7200/(1000*A5))^2.4)</f>
        <v>21.633460842025631</v>
      </c>
      <c r="N48" s="548"/>
      <c r="O48" s="548"/>
    </row>
    <row r="49" spans="1:15" ht="15" customHeight="1" thickBot="1">
      <c r="A49" s="9"/>
      <c r="B49" s="56"/>
      <c r="C49" s="34" t="s">
        <v>142</v>
      </c>
      <c r="D49" s="83">
        <v>0.96653252840042114</v>
      </c>
      <c r="E49" s="18" t="s">
        <v>143</v>
      </c>
      <c r="F49" s="85">
        <v>587.03058825011419</v>
      </c>
      <c r="G49" s="68" t="s">
        <v>135</v>
      </c>
      <c r="H49" s="96">
        <v>936.21283515179562</v>
      </c>
      <c r="I49" s="59"/>
      <c r="J49" s="63"/>
      <c r="L49" s="729" t="s">
        <v>769</v>
      </c>
      <c r="M49" s="731">
        <f>IF(A5="",0,(7200/(1000*A5))^1.8)</f>
        <v>10.031006258647469</v>
      </c>
      <c r="N49" s="548"/>
      <c r="O49" s="548"/>
    </row>
    <row r="50" spans="1:15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  <c r="L50" s="729" t="s">
        <v>348</v>
      </c>
      <c r="M50" s="732">
        <f>IF(A5=2,27,24)</f>
        <v>27</v>
      </c>
      <c r="N50" s="548"/>
      <c r="O50" s="548"/>
    </row>
    <row r="51" spans="1:15" ht="15" customHeight="1">
      <c r="A51" s="11" t="s">
        <v>145</v>
      </c>
      <c r="B51" s="53">
        <v>46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6.5468000862406242E-2</v>
      </c>
      <c r="I51" s="46" t="s">
        <v>149</v>
      </c>
      <c r="J51" s="40"/>
      <c r="L51" s="729" t="s">
        <v>770</v>
      </c>
      <c r="M51" s="732">
        <v>6.8500000000000005E-2</v>
      </c>
      <c r="N51" s="548"/>
      <c r="O51" s="548"/>
    </row>
    <row r="52" spans="1:15" ht="15" customHeight="1">
      <c r="A52" s="11" t="s">
        <v>58</v>
      </c>
      <c r="B52" s="71">
        <v>38.409999847412109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104404.46800000001</v>
      </c>
      <c r="I52" s="100" t="s">
        <v>227</v>
      </c>
      <c r="J52" s="64"/>
      <c r="L52" s="729" t="s">
        <v>771</v>
      </c>
      <c r="M52" s="733">
        <f>F5</f>
        <v>60</v>
      </c>
      <c r="N52" s="548"/>
      <c r="O52" s="548"/>
    </row>
    <row r="53" spans="1:15" ht="15" customHeight="1">
      <c r="A53" s="11" t="s">
        <v>64</v>
      </c>
      <c r="B53" s="71">
        <v>3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81.957089762127993</v>
      </c>
      <c r="I53" s="45" t="s">
        <v>154</v>
      </c>
      <c r="J53" s="40"/>
      <c r="L53" s="729" t="s">
        <v>772</v>
      </c>
      <c r="M53" s="726">
        <f>IF(F5=60,M50*M46/M48-M51*M47/M49,IF(F5&lt;&gt;60,(60/M52)^2*(M50*M46/M48-M51*M47/M49),0))</f>
        <v>1003.6478596176014</v>
      </c>
      <c r="N53" s="548"/>
      <c r="O53" s="548"/>
    </row>
    <row r="54" spans="1:15" ht="15" customHeight="1">
      <c r="A54" s="11" t="s">
        <v>66</v>
      </c>
      <c r="B54" s="71">
        <v>3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313514.2</v>
      </c>
      <c r="I54" s="101" t="s">
        <v>228</v>
      </c>
      <c r="J54" s="102" t="s">
        <v>194</v>
      </c>
      <c r="L54" s="548"/>
      <c r="M54" s="548"/>
      <c r="N54" s="548"/>
      <c r="O54" s="548"/>
    </row>
    <row r="55" spans="1:15" ht="15" customHeight="1">
      <c r="A55" s="11" t="s">
        <v>156</v>
      </c>
      <c r="B55" s="71">
        <v>14.119999885559082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  <c r="L55" s="548"/>
      <c r="M55" s="548"/>
      <c r="N55" s="548"/>
      <c r="O55" s="548"/>
    </row>
    <row r="56" spans="1:15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0.69434999999999991</v>
      </c>
      <c r="I56" s="103" t="s">
        <v>229</v>
      </c>
      <c r="J56" s="63" t="s">
        <v>195</v>
      </c>
      <c r="L56" s="548"/>
      <c r="M56" s="548"/>
      <c r="N56" s="548"/>
      <c r="O56" s="548"/>
    </row>
    <row r="57" spans="1:15" ht="15" customHeight="1">
      <c r="A57" s="24" t="s">
        <v>396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5" ht="15" customHeight="1">
      <c r="A58" s="104" t="s">
        <v>119</v>
      </c>
      <c r="B58" s="4" t="s">
        <v>165</v>
      </c>
      <c r="C58" s="17" t="s">
        <v>397</v>
      </c>
      <c r="D58" s="4" t="s">
        <v>119</v>
      </c>
      <c r="E58" s="4" t="s">
        <v>165</v>
      </c>
      <c r="F58" s="17" t="s">
        <v>398</v>
      </c>
      <c r="G58" s="124"/>
      <c r="H58" s="47"/>
      <c r="I58" s="47"/>
      <c r="J58" s="48"/>
    </row>
    <row r="59" spans="1:15" ht="15" customHeight="1">
      <c r="A59" s="128">
        <v>0</v>
      </c>
      <c r="B59" s="88">
        <v>0</v>
      </c>
      <c r="C59" s="89">
        <v>0.20798191428184509</v>
      </c>
      <c r="D59" s="130">
        <v>0.68736839294433594</v>
      </c>
      <c r="E59" s="88">
        <v>95.877672927916137</v>
      </c>
      <c r="F59" s="89">
        <v>632.72186279296875</v>
      </c>
      <c r="G59" s="124"/>
      <c r="H59" s="47"/>
      <c r="I59" s="47"/>
      <c r="J59" s="48"/>
    </row>
    <row r="60" spans="1:15" ht="15" customHeight="1">
      <c r="A60" s="132">
        <v>2.0000003278255463E-3</v>
      </c>
      <c r="B60" s="88">
        <v>131.92267512894662</v>
      </c>
      <c r="C60" s="89">
        <v>161.77812194824219</v>
      </c>
      <c r="D60" s="130">
        <v>0.79157894849777222</v>
      </c>
      <c r="E60" s="88">
        <v>95.407743949152646</v>
      </c>
      <c r="F60" s="89">
        <v>635.9022216796875</v>
      </c>
      <c r="G60" s="124"/>
      <c r="H60" s="47"/>
      <c r="I60" s="47"/>
      <c r="J60" s="48"/>
    </row>
    <row r="61" spans="1:15" ht="15" customHeight="1">
      <c r="A61" s="132">
        <v>1.0000001639127731E-2</v>
      </c>
      <c r="B61" s="88">
        <v>255</v>
      </c>
      <c r="C61" s="89">
        <v>487.48928833007813</v>
      </c>
      <c r="D61" s="130">
        <v>0.89578944444656372</v>
      </c>
      <c r="E61" s="88">
        <v>95.142270625454586</v>
      </c>
      <c r="F61" s="89">
        <v>638.6055908203125</v>
      </c>
      <c r="G61" s="124"/>
      <c r="H61" s="47"/>
      <c r="I61" s="47"/>
      <c r="J61" s="48"/>
    </row>
    <row r="62" spans="1:15" ht="15" customHeight="1">
      <c r="A62" s="128">
        <v>6.2105264514684677E-2</v>
      </c>
      <c r="B62" s="88">
        <v>151.68889669416984</v>
      </c>
      <c r="C62" s="89">
        <v>571.5870361328125</v>
      </c>
      <c r="D62" s="131">
        <v>1</v>
      </c>
      <c r="E62" s="88">
        <v>95</v>
      </c>
      <c r="F62" s="89">
        <v>640.93023681640625</v>
      </c>
      <c r="G62" s="124"/>
      <c r="H62" s="47"/>
      <c r="I62" s="47"/>
      <c r="J62" s="48"/>
    </row>
    <row r="63" spans="1:15" ht="15" customHeight="1" thickBot="1">
      <c r="A63" s="128">
        <v>0.11421053111553192</v>
      </c>
      <c r="B63" s="88">
        <v>123.46738635108773</v>
      </c>
      <c r="C63" s="89">
        <v>593.9281005859375</v>
      </c>
      <c r="D63" s="383"/>
      <c r="E63" s="384"/>
      <c r="F63" s="385"/>
      <c r="G63" s="124"/>
      <c r="H63" s="47"/>
      <c r="I63" s="47"/>
      <c r="J63" s="48"/>
    </row>
    <row r="64" spans="1:15" ht="15" customHeight="1">
      <c r="A64" s="128">
        <v>0.16631579399108887</v>
      </c>
      <c r="B64" s="88">
        <v>111.21421787029871</v>
      </c>
      <c r="C64" s="89">
        <v>603.34381103515625</v>
      </c>
      <c r="D64" s="386" t="s">
        <v>431</v>
      </c>
      <c r="E64" s="387"/>
      <c r="F64" s="387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103.72421093235505</v>
      </c>
      <c r="C65" s="89">
        <v>612.8306884765625</v>
      </c>
      <c r="D65" s="543" t="s">
        <v>415</v>
      </c>
      <c r="E65" s="545" t="s">
        <v>430</v>
      </c>
      <c r="F65" s="546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100.14098328683241</v>
      </c>
      <c r="C66" s="89">
        <v>619.19537353515625</v>
      </c>
      <c r="D66" s="543" t="s">
        <v>412</v>
      </c>
      <c r="E66" s="545" t="s">
        <v>703</v>
      </c>
      <c r="F66" s="546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98.000322965471412</v>
      </c>
      <c r="C67" s="89">
        <v>624.4774169921875</v>
      </c>
      <c r="D67" s="543" t="s">
        <v>419</v>
      </c>
      <c r="E67" s="545" t="s">
        <v>704</v>
      </c>
      <c r="F67" s="546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96.678291407095216</v>
      </c>
      <c r="C68" s="91">
        <v>628.9512939453125</v>
      </c>
      <c r="D68" s="544" t="s">
        <v>420</v>
      </c>
      <c r="E68" s="547" t="s">
        <v>432</v>
      </c>
      <c r="F68" s="547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2" t="s">
        <v>429</v>
      </c>
      <c r="B99" s="382"/>
      <c r="C99" s="382"/>
      <c r="D99" s="382"/>
      <c r="E99" s="382"/>
      <c r="F99" s="382"/>
      <c r="G99" s="382"/>
      <c r="H99" s="382"/>
      <c r="I99" s="382"/>
    </row>
    <row r="100" spans="1:9">
      <c r="A100" s="382">
        <v>100</v>
      </c>
      <c r="B100" s="382"/>
      <c r="C100" s="382"/>
      <c r="D100" s="382"/>
      <c r="E100" s="382"/>
      <c r="F100" s="382"/>
      <c r="G100" s="382"/>
      <c r="H100" s="382"/>
      <c r="I100" s="382"/>
    </row>
    <row r="101" spans="1:9">
      <c r="A101" s="382">
        <v>99.599998474121094</v>
      </c>
      <c r="B101" s="382"/>
      <c r="C101" s="382"/>
      <c r="D101" s="382"/>
      <c r="E101" s="382"/>
      <c r="F101" s="382"/>
      <c r="G101" s="382"/>
      <c r="H101" s="382"/>
      <c r="I101" s="382"/>
    </row>
    <row r="102" spans="1:9">
      <c r="A102" s="382">
        <v>98</v>
      </c>
      <c r="B102" s="382"/>
      <c r="C102" s="382"/>
      <c r="D102" s="382"/>
      <c r="E102" s="382"/>
      <c r="F102" s="382"/>
      <c r="G102" s="382"/>
      <c r="H102" s="382"/>
      <c r="I102" s="382"/>
    </row>
    <row r="103" spans="1:9">
      <c r="A103" s="382">
        <v>83.852630615234375</v>
      </c>
      <c r="B103" s="382"/>
      <c r="C103" s="382"/>
      <c r="D103" s="382"/>
      <c r="E103" s="382"/>
      <c r="F103" s="382"/>
      <c r="G103" s="382"/>
      <c r="H103" s="382"/>
      <c r="I103" s="382"/>
    </row>
    <row r="104" spans="1:9">
      <c r="A104" s="382">
        <v>70.305259704589844</v>
      </c>
      <c r="B104" s="382"/>
      <c r="C104" s="382"/>
      <c r="D104" s="382"/>
      <c r="E104" s="382"/>
      <c r="F104" s="382"/>
      <c r="G104" s="382"/>
      <c r="H104" s="382"/>
      <c r="I104" s="382"/>
    </row>
    <row r="105" spans="1:9">
      <c r="A105" s="382">
        <v>57.410526275634766</v>
      </c>
      <c r="B105" s="382"/>
      <c r="C105" s="382"/>
      <c r="D105" s="382"/>
      <c r="E105" s="382"/>
      <c r="F105" s="382"/>
      <c r="G105" s="382"/>
      <c r="H105" s="382"/>
      <c r="I105" s="382"/>
    </row>
    <row r="106" spans="1:9">
      <c r="A106" s="382">
        <v>38.010524749755859</v>
      </c>
      <c r="B106" s="382"/>
      <c r="C106" s="382"/>
      <c r="D106" s="382"/>
      <c r="E106" s="382"/>
      <c r="F106" s="382"/>
      <c r="G106" s="382"/>
      <c r="H106" s="382"/>
      <c r="I106" s="382"/>
    </row>
    <row r="107" spans="1:9">
      <c r="A107" s="382">
        <v>24.778947830200195</v>
      </c>
      <c r="B107" s="382"/>
      <c r="C107" s="382"/>
      <c r="D107" s="382"/>
      <c r="E107" s="382"/>
      <c r="F107" s="382"/>
      <c r="G107" s="382"/>
      <c r="H107" s="382"/>
      <c r="I107" s="382"/>
    </row>
    <row r="108" spans="1:9">
      <c r="A108" s="382">
        <v>15.684209823608398</v>
      </c>
      <c r="B108" s="382"/>
      <c r="C108" s="382"/>
      <c r="D108" s="382"/>
      <c r="E108" s="382"/>
      <c r="F108" s="382"/>
      <c r="G108" s="382"/>
      <c r="H108" s="382"/>
      <c r="I108" s="382"/>
    </row>
    <row r="109" spans="1:9">
      <c r="A109" s="382">
        <v>9.0105257034301758</v>
      </c>
      <c r="B109" s="382"/>
      <c r="C109" s="382"/>
      <c r="D109" s="382"/>
      <c r="E109" s="382"/>
      <c r="F109" s="382"/>
      <c r="G109" s="382"/>
      <c r="H109" s="382"/>
      <c r="I109" s="382"/>
    </row>
    <row r="110" spans="1:9">
      <c r="A110" s="382">
        <v>6.2526321411132813</v>
      </c>
      <c r="B110" s="382"/>
      <c r="C110" s="382"/>
      <c r="D110" s="382"/>
      <c r="E110" s="382"/>
      <c r="F110" s="382"/>
      <c r="G110" s="382"/>
      <c r="H110" s="382"/>
      <c r="I110" s="382"/>
    </row>
    <row r="111" spans="1:9">
      <c r="A111" s="382">
        <v>7.8315787315368652</v>
      </c>
      <c r="B111" s="382"/>
      <c r="C111" s="382"/>
      <c r="D111" s="382"/>
      <c r="E111" s="382"/>
      <c r="F111" s="382"/>
      <c r="G111" s="382"/>
      <c r="H111" s="382"/>
      <c r="I111" s="382"/>
    </row>
    <row r="112" spans="1:9">
      <c r="A112" s="382">
        <v>14.70526123046875</v>
      </c>
      <c r="B112" s="382"/>
      <c r="C112" s="382"/>
      <c r="D112" s="382"/>
      <c r="E112" s="382"/>
      <c r="F112" s="382"/>
      <c r="G112" s="382"/>
      <c r="H112" s="382"/>
      <c r="I112" s="382"/>
    </row>
    <row r="113" spans="1:9">
      <c r="A113" s="382">
        <v>30</v>
      </c>
      <c r="B113" s="382"/>
      <c r="C113" s="382"/>
      <c r="D113" s="382"/>
      <c r="E113" s="382"/>
      <c r="F113" s="382"/>
      <c r="G113" s="382"/>
      <c r="H113" s="382"/>
      <c r="I113" s="382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X19" sqref="X19"/>
    </sheetView>
  </sheetViews>
  <sheetFormatPr defaultRowHeight="15.75"/>
  <cols>
    <col min="1" max="1" width="11.85546875" style="300" customWidth="1"/>
    <col min="2" max="2" width="6.140625" style="300" customWidth="1"/>
    <col min="3" max="3" width="7.42578125" style="300" customWidth="1"/>
    <col min="4" max="5" width="12.5703125" style="300" customWidth="1"/>
    <col min="6" max="6" width="9.42578125" style="300" customWidth="1"/>
    <col min="7" max="7" width="5.7109375" style="300" customWidth="1"/>
    <col min="8" max="8" width="7.85546875" style="300" customWidth="1"/>
    <col min="9" max="9" width="6.5703125" style="300" customWidth="1"/>
    <col min="10" max="10" width="12" style="301" customWidth="1"/>
    <col min="11" max="11" width="12" style="300" customWidth="1"/>
    <col min="12" max="26" width="9.140625" style="153"/>
    <col min="27" max="16384" width="9.140625" style="154"/>
  </cols>
  <sheetData>
    <row r="1" spans="1:26" ht="20.25" customHeight="1">
      <c r="A1" s="631" t="s">
        <v>249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</row>
    <row r="2" spans="1:26" ht="20.25" customHeight="1">
      <c r="A2" s="632" t="s">
        <v>250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</row>
    <row r="3" spans="1:26" ht="18.75" customHeight="1" thickBot="1">
      <c r="A3" s="155" t="s">
        <v>1</v>
      </c>
      <c r="B3" s="156" t="s">
        <v>361</v>
      </c>
      <c r="C3" s="157"/>
      <c r="D3" s="157"/>
      <c r="E3" s="157"/>
      <c r="F3" s="158"/>
      <c r="G3" s="157"/>
      <c r="H3" s="157"/>
      <c r="I3" s="155" t="s">
        <v>251</v>
      </c>
      <c r="J3" s="633" t="s">
        <v>694</v>
      </c>
      <c r="K3" s="633"/>
    </row>
    <row r="4" spans="1:26" s="167" customFormat="1" ht="18.399999999999999" customHeight="1" thickBot="1">
      <c r="A4" s="159" t="s">
        <v>362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252</v>
      </c>
      <c r="R4" s="165"/>
      <c r="S4" s="163"/>
      <c r="T4" s="164" t="s">
        <v>253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4" t="s">
        <v>254</v>
      </c>
      <c r="B5" s="635"/>
      <c r="C5" s="635"/>
      <c r="D5" s="168"/>
      <c r="E5" s="169"/>
      <c r="F5" s="170" t="s">
        <v>255</v>
      </c>
      <c r="G5" s="171"/>
      <c r="H5" s="171"/>
      <c r="I5" s="172"/>
      <c r="J5" s="173" t="s">
        <v>256</v>
      </c>
      <c r="K5" s="174" t="s">
        <v>257</v>
      </c>
      <c r="L5" s="163"/>
      <c r="M5" s="163"/>
      <c r="N5" s="163"/>
      <c r="O5" s="163"/>
      <c r="P5" s="163"/>
      <c r="Q5" s="175" t="s">
        <v>258</v>
      </c>
      <c r="R5" s="176"/>
      <c r="S5" s="163"/>
      <c r="T5" s="175" t="s">
        <v>259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6" t="s">
        <v>67</v>
      </c>
      <c r="B6" s="637"/>
      <c r="C6" s="637"/>
      <c r="D6" s="638" t="s">
        <v>263</v>
      </c>
      <c r="E6" s="639"/>
      <c r="F6" s="569" t="s">
        <v>261</v>
      </c>
      <c r="G6" s="570"/>
      <c r="H6" s="570"/>
      <c r="I6" s="570"/>
      <c r="J6" s="570"/>
      <c r="K6" s="571"/>
      <c r="L6" s="163"/>
      <c r="M6" s="163"/>
      <c r="N6" s="163"/>
      <c r="O6" s="163"/>
      <c r="P6" s="163"/>
      <c r="Q6" s="175" t="s">
        <v>262</v>
      </c>
      <c r="R6" s="176"/>
      <c r="S6" s="163"/>
      <c r="T6" s="175" t="s">
        <v>263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7" t="s">
        <v>20</v>
      </c>
      <c r="B7" s="628"/>
      <c r="C7" s="628"/>
      <c r="D7" s="629">
        <v>3.5</v>
      </c>
      <c r="E7" s="630"/>
      <c r="F7" s="178" t="s">
        <v>264</v>
      </c>
      <c r="G7" s="179"/>
      <c r="H7" s="180"/>
      <c r="I7" s="181"/>
      <c r="J7" s="182">
        <v>45</v>
      </c>
      <c r="K7" s="183" t="s">
        <v>174</v>
      </c>
      <c r="L7" s="163"/>
      <c r="M7" s="163"/>
      <c r="N7" s="163"/>
      <c r="O7" s="163"/>
      <c r="P7" s="163"/>
      <c r="Q7" s="175" t="s">
        <v>265</v>
      </c>
      <c r="R7" s="176"/>
      <c r="S7" s="163"/>
      <c r="T7" s="175" t="s">
        <v>260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7" t="s">
        <v>266</v>
      </c>
      <c r="B8" s="628"/>
      <c r="C8" s="628"/>
      <c r="D8" s="613">
        <v>580</v>
      </c>
      <c r="E8" s="609"/>
      <c r="F8" s="184" t="s">
        <v>267</v>
      </c>
      <c r="G8" s="185"/>
      <c r="H8" s="186"/>
      <c r="I8" s="187"/>
      <c r="J8" s="188">
        <v>38160</v>
      </c>
      <c r="K8" s="189" t="s">
        <v>174</v>
      </c>
      <c r="L8" s="163"/>
      <c r="M8" s="163"/>
      <c r="N8" s="163"/>
      <c r="O8" s="163"/>
      <c r="P8" s="163"/>
      <c r="Q8" s="175" t="s">
        <v>268</v>
      </c>
      <c r="R8" s="176"/>
      <c r="S8" s="163"/>
      <c r="T8" s="175" t="s">
        <v>269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2" t="s">
        <v>270</v>
      </c>
      <c r="B9" s="623"/>
      <c r="C9" s="624"/>
      <c r="D9" s="613">
        <v>8</v>
      </c>
      <c r="E9" s="609"/>
      <c r="F9" s="178" t="s">
        <v>271</v>
      </c>
      <c r="G9" s="179"/>
      <c r="H9" s="190">
        <v>3</v>
      </c>
      <c r="I9" s="191" t="s">
        <v>272</v>
      </c>
      <c r="J9" s="192">
        <v>398</v>
      </c>
      <c r="K9" s="189" t="s">
        <v>174</v>
      </c>
      <c r="L9" s="163"/>
      <c r="M9" s="163"/>
      <c r="N9" s="163"/>
      <c r="O9" s="163"/>
      <c r="P9" s="163"/>
      <c r="Q9" s="175" t="s">
        <v>273</v>
      </c>
      <c r="R9" s="176"/>
      <c r="S9" s="163"/>
      <c r="T9" s="175" t="s">
        <v>274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2" t="s">
        <v>275</v>
      </c>
      <c r="B10" s="623"/>
      <c r="C10" s="624"/>
      <c r="D10" s="596" t="s">
        <v>186</v>
      </c>
      <c r="E10" s="597"/>
      <c r="F10" s="178" t="s">
        <v>276</v>
      </c>
      <c r="G10" s="179"/>
      <c r="H10" s="190">
        <v>3</v>
      </c>
      <c r="I10" s="191" t="s">
        <v>272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277</v>
      </c>
      <c r="R10" s="176"/>
      <c r="S10" s="163"/>
      <c r="T10" s="193" t="s">
        <v>278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2" t="s">
        <v>279</v>
      </c>
      <c r="B11" s="623"/>
      <c r="C11" s="624"/>
      <c r="D11" s="591" t="s">
        <v>174</v>
      </c>
      <c r="E11" s="592"/>
      <c r="F11" s="195" t="s">
        <v>280</v>
      </c>
      <c r="G11" s="196"/>
      <c r="H11" s="197">
        <v>3</v>
      </c>
      <c r="I11" s="191" t="s">
        <v>272</v>
      </c>
      <c r="J11" s="198">
        <v>120588</v>
      </c>
      <c r="K11" s="199" t="s">
        <v>174</v>
      </c>
      <c r="L11" s="163"/>
      <c r="M11" s="163"/>
      <c r="N11" s="163"/>
      <c r="O11" s="163"/>
      <c r="P11" s="163"/>
      <c r="Q11" s="193" t="s">
        <v>281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282</v>
      </c>
      <c r="C12" s="202"/>
      <c r="D12" s="625" t="s">
        <v>174</v>
      </c>
      <c r="E12" s="626"/>
      <c r="F12" s="593" t="s">
        <v>283</v>
      </c>
      <c r="G12" s="594"/>
      <c r="H12" s="594"/>
      <c r="I12" s="594"/>
      <c r="J12" s="594"/>
      <c r="K12" s="595"/>
      <c r="L12" s="163" t="s">
        <v>800</v>
      </c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2" t="s">
        <v>53</v>
      </c>
      <c r="B13" s="623"/>
      <c r="C13" s="624"/>
      <c r="D13" s="616" t="s">
        <v>364</v>
      </c>
      <c r="E13" s="617"/>
      <c r="F13" s="203"/>
      <c r="G13" s="204" t="s">
        <v>284</v>
      </c>
      <c r="H13" s="205"/>
      <c r="I13" s="206" t="s">
        <v>285</v>
      </c>
      <c r="J13" s="207" t="s">
        <v>368</v>
      </c>
      <c r="K13" s="208" t="s">
        <v>174</v>
      </c>
      <c r="L13" s="163" t="s">
        <v>801</v>
      </c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2" t="s">
        <v>56</v>
      </c>
      <c r="B14" s="623"/>
      <c r="C14" s="624"/>
      <c r="D14" s="625">
        <v>1447</v>
      </c>
      <c r="E14" s="626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10" t="s">
        <v>286</v>
      </c>
      <c r="B15" s="611"/>
      <c r="C15" s="612"/>
      <c r="D15" s="589">
        <v>15.197200775146484</v>
      </c>
      <c r="E15" s="590"/>
      <c r="F15" s="203"/>
      <c r="G15" s="209" t="s">
        <v>287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6" t="s">
        <v>288</v>
      </c>
      <c r="B16" s="587"/>
      <c r="C16" s="588"/>
      <c r="D16" s="589">
        <v>3.7935991287231445</v>
      </c>
      <c r="E16" s="590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289</v>
      </c>
      <c r="B17" s="215"/>
      <c r="C17" s="216"/>
      <c r="D17" s="591" t="s">
        <v>363</v>
      </c>
      <c r="E17" s="592"/>
      <c r="F17" s="593" t="s">
        <v>290</v>
      </c>
      <c r="G17" s="594"/>
      <c r="H17" s="594"/>
      <c r="I17" s="594"/>
      <c r="J17" s="594"/>
      <c r="K17" s="595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291</v>
      </c>
      <c r="B18" s="218"/>
      <c r="C18" s="216"/>
      <c r="D18" s="596" t="s">
        <v>174</v>
      </c>
      <c r="E18" s="597"/>
      <c r="F18" s="598"/>
      <c r="G18" s="599"/>
      <c r="H18" s="219" t="s">
        <v>292</v>
      </c>
      <c r="I18" s="220"/>
      <c r="J18" s="188">
        <v>215</v>
      </c>
      <c r="K18" s="189"/>
      <c r="L18" s="163"/>
      <c r="M18" s="163">
        <f>J18*6.5</f>
        <v>1397.5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4" t="s">
        <v>293</v>
      </c>
      <c r="B19" s="605"/>
      <c r="C19" s="606"/>
      <c r="D19" s="607" t="s">
        <v>174</v>
      </c>
      <c r="E19" s="592"/>
      <c r="F19" s="600"/>
      <c r="G19" s="601"/>
      <c r="H19" s="219" t="s">
        <v>5</v>
      </c>
      <c r="I19" s="181"/>
      <c r="J19" s="188">
        <v>3581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294</v>
      </c>
      <c r="C20" s="222"/>
      <c r="D20" s="608" t="s">
        <v>185</v>
      </c>
      <c r="E20" s="609"/>
      <c r="F20" s="600"/>
      <c r="G20" s="601"/>
      <c r="H20" s="219" t="s">
        <v>295</v>
      </c>
      <c r="I20" s="181"/>
      <c r="J20" s="192" t="s">
        <v>344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10" t="s">
        <v>296</v>
      </c>
      <c r="B21" s="611"/>
      <c r="C21" s="612"/>
      <c r="D21" s="613" t="s">
        <v>174</v>
      </c>
      <c r="E21" s="609"/>
      <c r="F21" s="600"/>
      <c r="G21" s="601"/>
      <c r="H21" s="223" t="s">
        <v>297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298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299</v>
      </c>
      <c r="B22" s="224"/>
      <c r="C22" s="224"/>
      <c r="D22" s="614">
        <v>5.5750000000000001E-2</v>
      </c>
      <c r="E22" s="615"/>
      <c r="F22" s="600"/>
      <c r="G22" s="601"/>
      <c r="H22" s="219" t="s">
        <v>256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301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302</v>
      </c>
      <c r="B23" s="226" t="s">
        <v>303</v>
      </c>
      <c r="C23" s="227"/>
      <c r="D23" s="616">
        <v>832</v>
      </c>
      <c r="E23" s="617"/>
      <c r="F23" s="600"/>
      <c r="G23" s="601"/>
      <c r="H23" s="228" t="s">
        <v>304</v>
      </c>
      <c r="I23" s="229"/>
      <c r="J23" s="230"/>
      <c r="K23" s="231"/>
      <c r="L23" s="163"/>
      <c r="Q23" s="175" t="s">
        <v>305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306</v>
      </c>
      <c r="B24" s="233" t="s">
        <v>307</v>
      </c>
      <c r="C24" s="234"/>
      <c r="D24" s="618" t="s">
        <v>174</v>
      </c>
      <c r="E24" s="619"/>
      <c r="F24" s="600"/>
      <c r="G24" s="601"/>
      <c r="H24" s="219" t="s">
        <v>308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309</v>
      </c>
      <c r="B25" s="240"/>
      <c r="C25" s="240"/>
      <c r="D25" s="241"/>
      <c r="E25" s="241" t="s">
        <v>310</v>
      </c>
      <c r="F25" s="600"/>
      <c r="G25" s="601"/>
      <c r="H25" s="219" t="s">
        <v>311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312</v>
      </c>
      <c r="B26" s="244"/>
      <c r="C26" s="245"/>
      <c r="D26" s="246" t="s">
        <v>366</v>
      </c>
      <c r="E26" s="246" t="s">
        <v>367</v>
      </c>
      <c r="F26" s="602"/>
      <c r="G26" s="603"/>
      <c r="H26" s="620"/>
      <c r="I26" s="621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67" t="s">
        <v>313</v>
      </c>
      <c r="B27" s="568"/>
      <c r="C27" s="568"/>
      <c r="D27" s="568"/>
      <c r="E27" s="568"/>
      <c r="F27" s="569" t="s">
        <v>314</v>
      </c>
      <c r="G27" s="570"/>
      <c r="H27" s="570"/>
      <c r="I27" s="570"/>
      <c r="J27" s="570"/>
      <c r="K27" s="571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4"/>
      <c r="B28" s="575"/>
      <c r="C28" s="575"/>
      <c r="D28" s="575"/>
      <c r="E28" s="576"/>
      <c r="F28" s="249"/>
      <c r="G28" s="250"/>
      <c r="H28" s="209" t="s">
        <v>315</v>
      </c>
      <c r="I28" s="251" t="s">
        <v>365</v>
      </c>
      <c r="J28" s="188">
        <v>1378</v>
      </c>
      <c r="K28" s="252" t="s">
        <v>174</v>
      </c>
      <c r="M28" s="167">
        <f>(J28/J18)*100</f>
        <v>640.93023255813955</v>
      </c>
      <c r="N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4"/>
      <c r="B29" s="575"/>
      <c r="C29" s="575"/>
      <c r="D29" s="575"/>
      <c r="E29" s="576"/>
      <c r="F29" s="254"/>
      <c r="G29" s="255"/>
      <c r="H29" s="209" t="s">
        <v>316</v>
      </c>
      <c r="I29" s="256">
        <v>60</v>
      </c>
      <c r="J29" s="188">
        <v>99</v>
      </c>
      <c r="K29" s="183" t="s">
        <v>174</v>
      </c>
      <c r="Q29" s="163"/>
      <c r="R29" s="163"/>
      <c r="S29" s="163"/>
      <c r="T29" s="163"/>
      <c r="V29" s="163"/>
      <c r="W29" s="163"/>
      <c r="X29" s="163"/>
      <c r="Y29" s="163"/>
      <c r="Z29" s="163"/>
    </row>
    <row r="30" spans="1:26" s="167" customFormat="1" ht="18.399999999999999" customHeight="1">
      <c r="A30" s="574"/>
      <c r="B30" s="575"/>
      <c r="C30" s="575"/>
      <c r="D30" s="575"/>
      <c r="E30" s="576"/>
      <c r="F30" s="254"/>
      <c r="G30" s="255"/>
      <c r="H30" s="209" t="s">
        <v>317</v>
      </c>
      <c r="I30" s="256">
        <v>175</v>
      </c>
      <c r="J30" s="188">
        <v>255</v>
      </c>
      <c r="K30" s="183" t="s">
        <v>174</v>
      </c>
      <c r="L30" s="163"/>
      <c r="R30" s="163"/>
      <c r="S30" s="163"/>
      <c r="T30" s="163"/>
      <c r="V30" s="163"/>
      <c r="W30" s="163"/>
      <c r="X30" s="163"/>
      <c r="Y30" s="163"/>
      <c r="Z30" s="163"/>
    </row>
    <row r="31" spans="1:26" s="167" customFormat="1" ht="18.399999999999999" customHeight="1">
      <c r="A31" s="574"/>
      <c r="B31" s="575"/>
      <c r="C31" s="575"/>
      <c r="D31" s="575"/>
      <c r="E31" s="576"/>
      <c r="F31" s="254"/>
      <c r="G31" s="255"/>
      <c r="H31" s="209" t="s">
        <v>318</v>
      </c>
      <c r="I31" s="210"/>
      <c r="J31" s="257">
        <v>0.52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7"/>
      <c r="B32" s="578"/>
      <c r="C32" s="578"/>
      <c r="D32" s="578"/>
      <c r="E32" s="579"/>
      <c r="F32" s="254"/>
      <c r="G32" s="258" t="s">
        <v>319</v>
      </c>
      <c r="H32" s="209" t="s">
        <v>320</v>
      </c>
      <c r="I32" s="259"/>
      <c r="J32" s="182">
        <v>95</v>
      </c>
      <c r="K32" s="183" t="s">
        <v>174</v>
      </c>
      <c r="L32" s="163"/>
      <c r="N32" s="260"/>
      <c r="R32" s="163"/>
      <c r="S32" s="163"/>
      <c r="T32" s="163"/>
      <c r="U32" s="163"/>
      <c r="V32" s="163">
        <v>78.900000000000006</v>
      </c>
      <c r="W32" s="167">
        <v>58</v>
      </c>
      <c r="X32" s="163">
        <v>53.2</v>
      </c>
      <c r="Y32" s="163"/>
      <c r="Z32" s="163"/>
    </row>
    <row r="33" spans="1:26" s="167" customFormat="1" ht="18.399999999999999" customHeight="1">
      <c r="A33" s="567" t="s">
        <v>321</v>
      </c>
      <c r="B33" s="568"/>
      <c r="C33" s="568"/>
      <c r="D33" s="568"/>
      <c r="E33" s="580"/>
      <c r="F33" s="261"/>
      <c r="G33" s="262"/>
      <c r="H33" s="263" t="s">
        <v>322</v>
      </c>
      <c r="I33" s="264"/>
      <c r="J33" s="265">
        <v>92.1</v>
      </c>
      <c r="K33" s="252" t="s">
        <v>174</v>
      </c>
      <c r="L33" s="163"/>
      <c r="R33" s="163"/>
      <c r="S33" s="163"/>
      <c r="T33" s="163"/>
      <c r="U33" s="163"/>
      <c r="V33" s="163">
        <v>25.3</v>
      </c>
      <c r="W33" s="167">
        <v>24.3</v>
      </c>
      <c r="X33" s="163">
        <v>24.3</v>
      </c>
      <c r="Y33" s="163"/>
      <c r="Z33" s="163"/>
    </row>
    <row r="34" spans="1:26" s="167" customFormat="1" ht="18.399999999999999" customHeight="1">
      <c r="A34" s="574"/>
      <c r="B34" s="575"/>
      <c r="C34" s="575"/>
      <c r="D34" s="575"/>
      <c r="E34" s="576"/>
      <c r="F34" s="184" t="s">
        <v>323</v>
      </c>
      <c r="G34" s="266"/>
      <c r="H34" s="267" t="s">
        <v>14</v>
      </c>
      <c r="I34" s="268"/>
      <c r="J34" s="269">
        <v>9552</v>
      </c>
      <c r="K34" s="252" t="s">
        <v>174</v>
      </c>
      <c r="L34" s="270"/>
      <c r="M34" s="271"/>
      <c r="R34" s="163"/>
      <c r="S34" s="163"/>
      <c r="T34" s="163"/>
      <c r="U34" s="163"/>
      <c r="V34" s="163">
        <f>V32-V33</f>
        <v>53.600000000000009</v>
      </c>
      <c r="W34" s="163">
        <f t="shared" ref="W34:X34" si="0">W32-W33</f>
        <v>33.700000000000003</v>
      </c>
      <c r="X34" s="163">
        <f t="shared" si="0"/>
        <v>28.900000000000002</v>
      </c>
      <c r="Y34" s="163"/>
      <c r="Z34" s="163"/>
    </row>
    <row r="35" spans="1:26" s="167" customFormat="1" ht="18.399999999999999" customHeight="1">
      <c r="A35" s="574"/>
      <c r="B35" s="575"/>
      <c r="C35" s="575"/>
      <c r="D35" s="575"/>
      <c r="E35" s="576"/>
      <c r="F35" s="203"/>
      <c r="G35" s="272"/>
      <c r="H35" s="273" t="s">
        <v>15</v>
      </c>
      <c r="I35" s="274"/>
      <c r="J35" s="188">
        <v>6692</v>
      </c>
      <c r="K35" s="252" t="s">
        <v>174</v>
      </c>
      <c r="M35" s="271"/>
      <c r="R35" s="163"/>
      <c r="S35" s="163"/>
      <c r="T35" s="163"/>
      <c r="U35" s="163">
        <v>52.8</v>
      </c>
      <c r="V35" s="163">
        <f>V34+W34-X34</f>
        <v>58.400000000000006</v>
      </c>
      <c r="W35" s="163"/>
      <c r="X35" s="163"/>
      <c r="Y35" s="163">
        <f>V35/U35*72</f>
        <v>79.63636363636364</v>
      </c>
      <c r="Z35" s="163"/>
    </row>
    <row r="36" spans="1:26" s="167" customFormat="1" ht="18.399999999999999" customHeight="1">
      <c r="A36" s="574"/>
      <c r="B36" s="575"/>
      <c r="C36" s="575"/>
      <c r="D36" s="575"/>
      <c r="E36" s="576"/>
      <c r="F36" s="203"/>
      <c r="G36" s="272"/>
      <c r="H36" s="273" t="s">
        <v>324</v>
      </c>
      <c r="I36" s="274"/>
      <c r="J36" s="188">
        <v>8474</v>
      </c>
      <c r="K36" s="252" t="s">
        <v>174</v>
      </c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4"/>
      <c r="B37" s="575"/>
      <c r="C37" s="575"/>
      <c r="D37" s="575"/>
      <c r="E37" s="576"/>
      <c r="F37" s="254"/>
      <c r="G37" s="272"/>
      <c r="H37" s="273" t="s">
        <v>325</v>
      </c>
      <c r="I37" s="274"/>
      <c r="J37" s="188">
        <v>29347</v>
      </c>
      <c r="K37" s="275" t="s">
        <v>174</v>
      </c>
      <c r="M37" s="276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7"/>
      <c r="B38" s="578"/>
      <c r="C38" s="578"/>
      <c r="D38" s="578"/>
      <c r="E38" s="579"/>
      <c r="F38" s="211"/>
      <c r="G38" s="277"/>
      <c r="H38" s="278" t="s">
        <v>326</v>
      </c>
      <c r="I38" s="279"/>
      <c r="J38" s="280">
        <v>15364</v>
      </c>
      <c r="K38" s="252" t="s">
        <v>174</v>
      </c>
      <c r="R38" s="163"/>
      <c r="S38" s="163"/>
      <c r="T38" s="163"/>
      <c r="U38" s="163"/>
      <c r="V38" s="163">
        <v>90.8</v>
      </c>
      <c r="W38" s="167">
        <v>58</v>
      </c>
      <c r="X38" s="163">
        <v>53.2</v>
      </c>
      <c r="Y38" s="163"/>
      <c r="Z38" s="163"/>
    </row>
    <row r="39" spans="1:26" s="167" customFormat="1" ht="18.399999999999999" customHeight="1">
      <c r="A39" s="567" t="s">
        <v>327</v>
      </c>
      <c r="B39" s="568"/>
      <c r="C39" s="568"/>
      <c r="D39" s="568"/>
      <c r="E39" s="568"/>
      <c r="F39" s="281" t="s">
        <v>328</v>
      </c>
      <c r="G39" s="282"/>
      <c r="H39" s="282"/>
      <c r="I39" s="282"/>
      <c r="J39" s="282"/>
      <c r="K39" s="283"/>
      <c r="R39" s="163"/>
      <c r="S39" s="163"/>
      <c r="T39" s="163"/>
      <c r="U39" s="163"/>
      <c r="V39" s="163">
        <v>26.8</v>
      </c>
      <c r="W39" s="167">
        <v>24.3</v>
      </c>
      <c r="X39" s="163">
        <v>24.3</v>
      </c>
      <c r="Y39" s="163"/>
      <c r="Z39" s="163"/>
    </row>
    <row r="40" spans="1:26" s="167" customFormat="1" ht="18.399999999999999" customHeight="1">
      <c r="A40" s="574"/>
      <c r="B40" s="575"/>
      <c r="C40" s="575"/>
      <c r="D40" s="575"/>
      <c r="E40" s="576"/>
      <c r="F40" s="284" t="s">
        <v>755</v>
      </c>
      <c r="G40" s="285" t="s">
        <v>756</v>
      </c>
      <c r="H40" s="285"/>
      <c r="I40" s="285"/>
      <c r="J40" s="285"/>
      <c r="K40" s="286"/>
      <c r="R40" s="163"/>
      <c r="S40" s="163"/>
      <c r="T40" s="163"/>
      <c r="U40" s="163"/>
      <c r="V40" s="163">
        <f>V38-V39</f>
        <v>64</v>
      </c>
      <c r="W40" s="163">
        <f t="shared" ref="W40" si="1">W38-W39</f>
        <v>33.700000000000003</v>
      </c>
      <c r="X40" s="163">
        <f t="shared" ref="X40" si="2">X38-X39</f>
        <v>28.900000000000002</v>
      </c>
      <c r="Y40" s="163"/>
      <c r="Z40" s="163"/>
    </row>
    <row r="41" spans="1:26" s="167" customFormat="1" ht="18.399999999999999" customHeight="1">
      <c r="A41" s="574"/>
      <c r="B41" s="575"/>
      <c r="C41" s="575"/>
      <c r="D41" s="575"/>
      <c r="E41" s="576"/>
      <c r="F41" s="284"/>
      <c r="G41" s="566" t="s">
        <v>757</v>
      </c>
      <c r="H41" s="566"/>
      <c r="I41" s="287"/>
      <c r="J41" s="287"/>
      <c r="K41" s="288"/>
      <c r="L41" s="289"/>
      <c r="R41" s="163"/>
      <c r="S41" s="163"/>
      <c r="T41" s="163"/>
      <c r="U41" s="163">
        <v>59.99</v>
      </c>
      <c r="V41" s="163">
        <f>V40+W40-X40</f>
        <v>68.8</v>
      </c>
      <c r="W41" s="163"/>
      <c r="X41" s="163"/>
      <c r="Y41" s="163">
        <f>V41/U41*96</f>
        <v>110.09834972495415</v>
      </c>
      <c r="Z41" s="163"/>
    </row>
    <row r="42" spans="1:26" s="167" customFormat="1" ht="18.399999999999999" customHeight="1">
      <c r="A42" s="574"/>
      <c r="B42" s="575"/>
      <c r="C42" s="575"/>
      <c r="D42" s="575"/>
      <c r="E42" s="576"/>
      <c r="F42" s="284"/>
      <c r="G42" s="287"/>
      <c r="H42" s="287"/>
      <c r="I42" s="287"/>
      <c r="J42" s="287"/>
      <c r="K42" s="288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4"/>
      <c r="B43" s="575"/>
      <c r="C43" s="575"/>
      <c r="D43" s="575"/>
      <c r="E43" s="576"/>
      <c r="F43" s="284"/>
      <c r="G43" s="540" t="s">
        <v>695</v>
      </c>
      <c r="H43" s="540"/>
      <c r="I43" s="540"/>
      <c r="J43" s="287"/>
      <c r="K43" s="288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81"/>
      <c r="B44" s="582"/>
      <c r="C44" s="582"/>
      <c r="D44" s="582"/>
      <c r="E44" s="583"/>
      <c r="F44" s="284"/>
      <c r="G44" s="540" t="s">
        <v>697</v>
      </c>
      <c r="H44" s="540"/>
      <c r="I44" s="540"/>
      <c r="J44" s="287"/>
      <c r="K44" s="288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0" t="s">
        <v>329</v>
      </c>
      <c r="B45" s="584"/>
      <c r="C45" s="585"/>
      <c r="D45" s="291" t="s">
        <v>330</v>
      </c>
      <c r="E45" s="292" t="s">
        <v>331</v>
      </c>
      <c r="F45" s="293"/>
      <c r="G45" s="540"/>
      <c r="H45" s="540"/>
      <c r="I45" s="540"/>
      <c r="J45" s="287"/>
      <c r="K45" s="288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4" t="s">
        <v>332</v>
      </c>
      <c r="B46" s="572"/>
      <c r="C46" s="573"/>
      <c r="D46" s="295" t="s">
        <v>332</v>
      </c>
      <c r="E46" s="296">
        <v>41939</v>
      </c>
      <c r="F46" s="297"/>
      <c r="G46" s="541" t="s">
        <v>696</v>
      </c>
      <c r="H46" s="541"/>
      <c r="I46" s="541"/>
      <c r="J46" s="298"/>
      <c r="K46" s="299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0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10"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333</v>
      </c>
      <c r="K1" s="306" t="s">
        <v>334</v>
      </c>
      <c r="L1" s="306" t="s">
        <v>335</v>
      </c>
      <c r="M1" s="306" t="s">
        <v>334</v>
      </c>
      <c r="N1" s="306"/>
    </row>
    <row r="2" spans="2:14" ht="12.75" customHeight="1">
      <c r="B2" s="664" t="s">
        <v>336</v>
      </c>
      <c r="C2" s="665"/>
      <c r="D2" s="665"/>
      <c r="E2" s="665"/>
      <c r="F2" s="665"/>
      <c r="G2" s="665"/>
      <c r="H2" s="308"/>
      <c r="I2" s="309"/>
      <c r="J2" s="310" t="s">
        <v>337</v>
      </c>
      <c r="K2" s="310" t="s">
        <v>338</v>
      </c>
      <c r="L2" s="310" t="s">
        <v>339</v>
      </c>
      <c r="M2" s="310" t="s">
        <v>340</v>
      </c>
      <c r="N2" s="310" t="s">
        <v>341</v>
      </c>
    </row>
    <row r="3" spans="2:14" ht="12.75" customHeight="1">
      <c r="B3" s="664"/>
      <c r="C3" s="665"/>
      <c r="D3" s="665"/>
      <c r="E3" s="665"/>
      <c r="F3" s="665"/>
      <c r="G3" s="665"/>
      <c r="H3" s="308"/>
      <c r="I3" s="309"/>
      <c r="J3" s="310" t="s">
        <v>342</v>
      </c>
      <c r="K3" s="310"/>
      <c r="L3" s="310" t="s">
        <v>343</v>
      </c>
      <c r="M3" s="310" t="s">
        <v>333</v>
      </c>
      <c r="N3" s="310"/>
    </row>
    <row r="4" spans="2:14" ht="12.75" customHeight="1">
      <c r="B4" s="664"/>
      <c r="C4" s="665"/>
      <c r="D4" s="665"/>
      <c r="E4" s="665"/>
      <c r="F4" s="665"/>
      <c r="G4" s="665"/>
      <c r="H4" s="308"/>
      <c r="I4" s="309"/>
      <c r="J4" s="310" t="s">
        <v>344</v>
      </c>
      <c r="K4" s="310"/>
      <c r="L4" s="310" t="s">
        <v>339</v>
      </c>
      <c r="M4" s="310" t="s">
        <v>337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345</v>
      </c>
      <c r="L5" s="310" t="s">
        <v>334</v>
      </c>
      <c r="M5" s="310"/>
      <c r="N5" s="310" t="s">
        <v>339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338</v>
      </c>
      <c r="K6" s="310" t="s">
        <v>346</v>
      </c>
      <c r="L6" s="310"/>
      <c r="M6" s="310" t="s">
        <v>334</v>
      </c>
      <c r="N6" s="310" t="s">
        <v>347</v>
      </c>
    </row>
    <row r="7" spans="2:14" ht="12.75" customHeight="1">
      <c r="B7" s="313"/>
      <c r="D7" s="316"/>
      <c r="H7" s="315"/>
      <c r="I7" s="309"/>
      <c r="J7" s="310" t="s">
        <v>348</v>
      </c>
      <c r="K7" s="310" t="s">
        <v>342</v>
      </c>
      <c r="L7" s="310" t="s">
        <v>342</v>
      </c>
      <c r="M7" s="310" t="s">
        <v>337</v>
      </c>
      <c r="N7" s="310" t="s">
        <v>349</v>
      </c>
    </row>
    <row r="8" spans="2:14" ht="12.75" customHeight="1">
      <c r="B8" s="313"/>
      <c r="G8" s="316"/>
      <c r="H8" s="317"/>
      <c r="I8" s="310" t="s">
        <v>349</v>
      </c>
      <c r="J8" s="310" t="s">
        <v>334</v>
      </c>
      <c r="K8" s="310" t="s">
        <v>350</v>
      </c>
      <c r="L8" s="310" t="s">
        <v>337</v>
      </c>
      <c r="M8" s="310" t="s">
        <v>349</v>
      </c>
      <c r="N8" s="310" t="s">
        <v>346</v>
      </c>
    </row>
    <row r="9" spans="2:14">
      <c r="B9" s="310" t="s">
        <v>351</v>
      </c>
      <c r="C9" s="317" t="s">
        <v>352</v>
      </c>
      <c r="D9" s="317" t="s">
        <v>353</v>
      </c>
      <c r="E9" s="317" t="s">
        <v>354</v>
      </c>
      <c r="F9" s="310" t="s">
        <v>355</v>
      </c>
      <c r="G9" s="310" t="s">
        <v>356</v>
      </c>
      <c r="H9" s="310" t="s">
        <v>357</v>
      </c>
      <c r="I9" s="310" t="s">
        <v>344</v>
      </c>
      <c r="J9" s="310" t="s">
        <v>348</v>
      </c>
      <c r="K9" s="310" t="s">
        <v>337</v>
      </c>
      <c r="L9" s="310" t="s">
        <v>350</v>
      </c>
      <c r="M9" s="310" t="s">
        <v>334</v>
      </c>
      <c r="N9" s="310" t="s">
        <v>335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66" t="s">
        <v>358</v>
      </c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</row>
    <row r="54" spans="2:14" ht="15" customHeight="1" thickBot="1">
      <c r="B54" s="332" t="s">
        <v>359</v>
      </c>
      <c r="C54" s="667" t="s">
        <v>356</v>
      </c>
      <c r="D54" s="668"/>
      <c r="E54" s="668"/>
      <c r="F54" s="668"/>
      <c r="G54" s="668"/>
      <c r="H54" s="333"/>
      <c r="I54" s="667" t="s">
        <v>351</v>
      </c>
      <c r="J54" s="668"/>
      <c r="K54" s="669"/>
      <c r="L54" s="667" t="s">
        <v>360</v>
      </c>
      <c r="M54" s="668"/>
      <c r="N54" s="670"/>
    </row>
    <row r="55" spans="2:14" ht="15" customHeight="1">
      <c r="B55" s="334"/>
      <c r="C55" s="656"/>
      <c r="D55" s="657"/>
      <c r="E55" s="657"/>
      <c r="F55" s="657"/>
      <c r="G55" s="657"/>
      <c r="H55" s="335"/>
      <c r="I55" s="658"/>
      <c r="J55" s="659"/>
      <c r="K55" s="660"/>
      <c r="L55" s="661"/>
      <c r="M55" s="662"/>
      <c r="N55" s="663"/>
    </row>
    <row r="56" spans="2:14" ht="15" customHeight="1">
      <c r="B56" s="336"/>
      <c r="C56" s="640"/>
      <c r="D56" s="641"/>
      <c r="E56" s="641"/>
      <c r="F56" s="641"/>
      <c r="G56" s="641"/>
      <c r="H56" s="337"/>
      <c r="I56" s="642"/>
      <c r="J56" s="643"/>
      <c r="K56" s="644"/>
      <c r="L56" s="645"/>
      <c r="M56" s="646"/>
      <c r="N56" s="647"/>
    </row>
    <row r="57" spans="2:14" ht="15" customHeight="1">
      <c r="B57" s="336"/>
      <c r="C57" s="640"/>
      <c r="D57" s="641"/>
      <c r="E57" s="641"/>
      <c r="F57" s="641"/>
      <c r="G57" s="641"/>
      <c r="H57" s="337"/>
      <c r="I57" s="642"/>
      <c r="J57" s="643"/>
      <c r="K57" s="644"/>
      <c r="L57" s="645"/>
      <c r="M57" s="646"/>
      <c r="N57" s="647"/>
    </row>
    <row r="58" spans="2:14" ht="15" customHeight="1">
      <c r="B58" s="336"/>
      <c r="C58" s="640"/>
      <c r="D58" s="641"/>
      <c r="E58" s="641"/>
      <c r="F58" s="641"/>
      <c r="G58" s="641"/>
      <c r="H58" s="337"/>
      <c r="I58" s="642"/>
      <c r="J58" s="643"/>
      <c r="K58" s="644"/>
      <c r="L58" s="645"/>
      <c r="M58" s="646"/>
      <c r="N58" s="647"/>
    </row>
    <row r="59" spans="2:14" ht="15" customHeight="1">
      <c r="B59" s="336"/>
      <c r="C59" s="640"/>
      <c r="D59" s="641"/>
      <c r="E59" s="641"/>
      <c r="F59" s="641"/>
      <c r="G59" s="641"/>
      <c r="H59" s="337"/>
      <c r="I59" s="642"/>
      <c r="J59" s="643"/>
      <c r="K59" s="644"/>
      <c r="L59" s="645"/>
      <c r="M59" s="646"/>
      <c r="N59" s="647"/>
    </row>
    <row r="60" spans="2:14" ht="15" customHeight="1">
      <c r="B60" s="336"/>
      <c r="C60" s="640"/>
      <c r="D60" s="641"/>
      <c r="E60" s="641"/>
      <c r="F60" s="641"/>
      <c r="G60" s="641"/>
      <c r="H60" s="337"/>
      <c r="I60" s="642"/>
      <c r="J60" s="643"/>
      <c r="K60" s="644"/>
      <c r="L60" s="645"/>
      <c r="M60" s="646"/>
      <c r="N60" s="647"/>
    </row>
    <row r="61" spans="2:14" ht="15" customHeight="1">
      <c r="B61" s="336"/>
      <c r="C61" s="640"/>
      <c r="D61" s="641"/>
      <c r="E61" s="641"/>
      <c r="F61" s="641"/>
      <c r="G61" s="641"/>
      <c r="H61" s="337"/>
      <c r="I61" s="642"/>
      <c r="J61" s="643"/>
      <c r="K61" s="644"/>
      <c r="L61" s="645"/>
      <c r="M61" s="646"/>
      <c r="N61" s="647"/>
    </row>
    <row r="62" spans="2:14" ht="15" customHeight="1">
      <c r="B62" s="336"/>
      <c r="C62" s="640"/>
      <c r="D62" s="641"/>
      <c r="E62" s="641"/>
      <c r="F62" s="641"/>
      <c r="G62" s="641"/>
      <c r="H62" s="337"/>
      <c r="I62" s="642"/>
      <c r="J62" s="643"/>
      <c r="K62" s="644"/>
      <c r="L62" s="645"/>
      <c r="M62" s="646"/>
      <c r="N62" s="647"/>
    </row>
    <row r="63" spans="2:14" ht="15" customHeight="1">
      <c r="B63" s="336"/>
      <c r="C63" s="640"/>
      <c r="D63" s="641"/>
      <c r="E63" s="641"/>
      <c r="F63" s="641"/>
      <c r="G63" s="641"/>
      <c r="H63" s="337"/>
      <c r="I63" s="642"/>
      <c r="J63" s="643"/>
      <c r="K63" s="644"/>
      <c r="L63" s="645"/>
      <c r="M63" s="646"/>
      <c r="N63" s="647"/>
    </row>
    <row r="64" spans="2:14" ht="15" customHeight="1">
      <c r="B64" s="336"/>
      <c r="C64" s="640"/>
      <c r="D64" s="641"/>
      <c r="E64" s="641"/>
      <c r="F64" s="641"/>
      <c r="G64" s="641"/>
      <c r="H64" s="337"/>
      <c r="I64" s="642"/>
      <c r="J64" s="643"/>
      <c r="K64" s="644"/>
      <c r="L64" s="645"/>
      <c r="M64" s="646"/>
      <c r="N64" s="647"/>
    </row>
    <row r="65" spans="2:14" ht="15" customHeight="1">
      <c r="B65" s="336"/>
      <c r="C65" s="640"/>
      <c r="D65" s="641"/>
      <c r="E65" s="641"/>
      <c r="F65" s="641"/>
      <c r="G65" s="641"/>
      <c r="H65" s="337"/>
      <c r="I65" s="642"/>
      <c r="J65" s="643"/>
      <c r="K65" s="644"/>
      <c r="L65" s="645"/>
      <c r="M65" s="646"/>
      <c r="N65" s="647"/>
    </row>
    <row r="66" spans="2:14" ht="15" customHeight="1">
      <c r="B66" s="336"/>
      <c r="C66" s="640"/>
      <c r="D66" s="641"/>
      <c r="E66" s="641"/>
      <c r="F66" s="641"/>
      <c r="G66" s="641"/>
      <c r="H66" s="337"/>
      <c r="I66" s="642"/>
      <c r="J66" s="643"/>
      <c r="K66" s="644"/>
      <c r="L66" s="645"/>
      <c r="M66" s="646"/>
      <c r="N66" s="647"/>
    </row>
    <row r="67" spans="2:14" ht="15" customHeight="1">
      <c r="B67" s="336"/>
      <c r="C67" s="640"/>
      <c r="D67" s="641"/>
      <c r="E67" s="641"/>
      <c r="F67" s="641"/>
      <c r="G67" s="641"/>
      <c r="H67" s="337"/>
      <c r="I67" s="642"/>
      <c r="J67" s="643"/>
      <c r="K67" s="644"/>
      <c r="L67" s="645"/>
      <c r="M67" s="646"/>
      <c r="N67" s="647"/>
    </row>
    <row r="68" spans="2:14" ht="15" customHeight="1">
      <c r="B68" s="336"/>
      <c r="C68" s="640"/>
      <c r="D68" s="641"/>
      <c r="E68" s="641"/>
      <c r="F68" s="641"/>
      <c r="G68" s="641"/>
      <c r="H68" s="337"/>
      <c r="I68" s="642"/>
      <c r="J68" s="643"/>
      <c r="K68" s="644"/>
      <c r="L68" s="645"/>
      <c r="M68" s="646"/>
      <c r="N68" s="647"/>
    </row>
    <row r="69" spans="2:14" ht="15" customHeight="1">
      <c r="B69" s="336"/>
      <c r="C69" s="640"/>
      <c r="D69" s="641"/>
      <c r="E69" s="641"/>
      <c r="F69" s="641"/>
      <c r="G69" s="641"/>
      <c r="H69" s="337"/>
      <c r="I69" s="642"/>
      <c r="J69" s="643"/>
      <c r="K69" s="644"/>
      <c r="L69" s="645"/>
      <c r="M69" s="646"/>
      <c r="N69" s="647"/>
    </row>
    <row r="70" spans="2:14" ht="15" customHeight="1">
      <c r="B70" s="336"/>
      <c r="C70" s="640"/>
      <c r="D70" s="641"/>
      <c r="E70" s="641"/>
      <c r="F70" s="641"/>
      <c r="G70" s="641"/>
      <c r="H70" s="337"/>
      <c r="I70" s="642"/>
      <c r="J70" s="643"/>
      <c r="K70" s="644"/>
      <c r="L70" s="645"/>
      <c r="M70" s="646"/>
      <c r="N70" s="647"/>
    </row>
    <row r="71" spans="2:14" ht="15" customHeight="1">
      <c r="B71" s="336"/>
      <c r="C71" s="640"/>
      <c r="D71" s="641"/>
      <c r="E71" s="641"/>
      <c r="F71" s="641"/>
      <c r="G71" s="641"/>
      <c r="H71" s="337"/>
      <c r="I71" s="642"/>
      <c r="J71" s="643"/>
      <c r="K71" s="644"/>
      <c r="L71" s="645"/>
      <c r="M71" s="646"/>
      <c r="N71" s="647"/>
    </row>
    <row r="72" spans="2:14">
      <c r="B72" s="336"/>
      <c r="C72" s="640"/>
      <c r="D72" s="641"/>
      <c r="E72" s="641"/>
      <c r="F72" s="641"/>
      <c r="G72" s="641"/>
      <c r="H72" s="337"/>
      <c r="I72" s="642"/>
      <c r="J72" s="643"/>
      <c r="K72" s="644"/>
      <c r="L72" s="645"/>
      <c r="M72" s="646"/>
      <c r="N72" s="647"/>
    </row>
    <row r="73" spans="2:14">
      <c r="B73" s="336"/>
      <c r="C73" s="640"/>
      <c r="D73" s="641"/>
      <c r="E73" s="641"/>
      <c r="F73" s="641"/>
      <c r="G73" s="641"/>
      <c r="H73" s="337"/>
      <c r="I73" s="642"/>
      <c r="J73" s="643"/>
      <c r="K73" s="644"/>
      <c r="L73" s="645"/>
      <c r="M73" s="646"/>
      <c r="N73" s="647"/>
    </row>
    <row r="74" spans="2:14">
      <c r="B74" s="336"/>
      <c r="C74" s="640"/>
      <c r="D74" s="641"/>
      <c r="E74" s="641"/>
      <c r="F74" s="641"/>
      <c r="G74" s="641"/>
      <c r="H74" s="337"/>
      <c r="I74" s="642"/>
      <c r="J74" s="643"/>
      <c r="K74" s="644"/>
      <c r="L74" s="645"/>
      <c r="M74" s="646"/>
      <c r="N74" s="647"/>
    </row>
    <row r="75" spans="2:14">
      <c r="B75" s="336"/>
      <c r="C75" s="640"/>
      <c r="D75" s="641"/>
      <c r="E75" s="641"/>
      <c r="F75" s="641"/>
      <c r="G75" s="641"/>
      <c r="H75" s="337"/>
      <c r="I75" s="642"/>
      <c r="J75" s="643"/>
      <c r="K75" s="644"/>
      <c r="L75" s="645"/>
      <c r="M75" s="646"/>
      <c r="N75" s="647"/>
    </row>
    <row r="76" spans="2:14">
      <c r="B76" s="336"/>
      <c r="C76" s="640"/>
      <c r="D76" s="641"/>
      <c r="E76" s="641"/>
      <c r="F76" s="641"/>
      <c r="G76" s="641"/>
      <c r="H76" s="337"/>
      <c r="I76" s="642"/>
      <c r="J76" s="643"/>
      <c r="K76" s="644"/>
      <c r="L76" s="645"/>
      <c r="M76" s="646"/>
      <c r="N76" s="647"/>
    </row>
    <row r="77" spans="2:14">
      <c r="B77" s="336"/>
      <c r="C77" s="640"/>
      <c r="D77" s="641"/>
      <c r="E77" s="641"/>
      <c r="F77" s="641"/>
      <c r="G77" s="641"/>
      <c r="H77" s="337"/>
      <c r="I77" s="642"/>
      <c r="J77" s="643"/>
      <c r="K77" s="644"/>
      <c r="L77" s="645"/>
      <c r="M77" s="646"/>
      <c r="N77" s="647"/>
    </row>
    <row r="78" spans="2:14">
      <c r="B78" s="336"/>
      <c r="C78" s="640"/>
      <c r="D78" s="641"/>
      <c r="E78" s="641"/>
      <c r="F78" s="641"/>
      <c r="G78" s="641"/>
      <c r="H78" s="337"/>
      <c r="I78" s="642"/>
      <c r="J78" s="643"/>
      <c r="K78" s="644"/>
      <c r="L78" s="645"/>
      <c r="M78" s="646"/>
      <c r="N78" s="647"/>
    </row>
    <row r="79" spans="2:14" ht="13.5" thickBot="1">
      <c r="B79" s="338"/>
      <c r="C79" s="648"/>
      <c r="D79" s="649"/>
      <c r="E79" s="649"/>
      <c r="F79" s="649"/>
      <c r="G79" s="649"/>
      <c r="H79" s="339"/>
      <c r="I79" s="650"/>
      <c r="J79" s="651"/>
      <c r="K79" s="652"/>
      <c r="L79" s="653"/>
      <c r="M79" s="654"/>
      <c r="N79" s="655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H24" sqref="H24"/>
    </sheetView>
  </sheetViews>
  <sheetFormatPr defaultRowHeight="12.75"/>
  <cols>
    <col min="1" max="6" width="14.7109375" customWidth="1"/>
  </cols>
  <sheetData>
    <row r="1" spans="1:7" ht="20.25">
      <c r="A1" s="691" t="s">
        <v>369</v>
      </c>
      <c r="B1" s="691"/>
      <c r="C1" s="691"/>
      <c r="D1" s="691"/>
      <c r="E1" s="691"/>
      <c r="F1" s="691"/>
    </row>
    <row r="2" spans="1:7" ht="19.5" thickBot="1">
      <c r="A2" s="340"/>
      <c r="B2" s="340"/>
      <c r="C2" s="692" t="s">
        <v>381</v>
      </c>
      <c r="D2" s="692"/>
      <c r="E2" s="340"/>
      <c r="F2" s="340"/>
      <c r="G2" s="340"/>
    </row>
    <row r="3" spans="1:7" ht="19.5">
      <c r="A3" s="679" t="s">
        <v>370</v>
      </c>
      <c r="B3" s="680"/>
      <c r="C3" s="681"/>
      <c r="D3" s="679" t="s">
        <v>371</v>
      </c>
      <c r="E3" s="680"/>
      <c r="F3" s="681"/>
      <c r="G3" s="340"/>
    </row>
    <row r="4" spans="1:7" ht="15.75">
      <c r="A4" s="341" t="s">
        <v>382</v>
      </c>
      <c r="B4" s="693" t="s">
        <v>384</v>
      </c>
      <c r="C4" s="686"/>
      <c r="D4" s="694" t="s">
        <v>395</v>
      </c>
      <c r="E4" s="695"/>
      <c r="F4" s="696"/>
      <c r="G4" s="340"/>
    </row>
    <row r="5" spans="1:7" ht="16.5" thickBot="1">
      <c r="A5" s="342" t="s">
        <v>383</v>
      </c>
      <c r="B5" s="674" t="s">
        <v>383</v>
      </c>
      <c r="C5" s="675"/>
      <c r="D5" s="676" t="s">
        <v>385</v>
      </c>
      <c r="E5" s="677"/>
      <c r="F5" s="678"/>
      <c r="G5" s="340"/>
    </row>
    <row r="6" spans="1:7" ht="19.5">
      <c r="A6" s="679" t="s">
        <v>372</v>
      </c>
      <c r="B6" s="680"/>
      <c r="C6" s="680"/>
      <c r="D6" s="680"/>
      <c r="E6" s="680"/>
      <c r="F6" s="681"/>
      <c r="G6" s="340"/>
    </row>
    <row r="7" spans="1:7" ht="15.75">
      <c r="A7" s="343" t="s">
        <v>373</v>
      </c>
      <c r="B7" s="344" t="s">
        <v>386</v>
      </c>
      <c r="C7" s="345" t="s">
        <v>374</v>
      </c>
      <c r="D7" s="346" t="s">
        <v>387</v>
      </c>
      <c r="E7" s="682" t="s">
        <v>375</v>
      </c>
      <c r="F7" s="683"/>
      <c r="G7" s="340"/>
    </row>
    <row r="8" spans="1:7" ht="16.5" thickBot="1">
      <c r="A8" s="347"/>
      <c r="B8" s="348" t="s">
        <v>383</v>
      </c>
      <c r="C8" s="349"/>
      <c r="D8" s="350" t="s">
        <v>383</v>
      </c>
      <c r="E8" s="684" t="s">
        <v>388</v>
      </c>
      <c r="F8" s="678"/>
      <c r="G8" s="340"/>
    </row>
    <row r="9" spans="1:7" ht="19.5">
      <c r="A9" s="679" t="s">
        <v>376</v>
      </c>
      <c r="B9" s="680"/>
      <c r="C9" s="681"/>
      <c r="D9" s="679" t="s">
        <v>377</v>
      </c>
      <c r="E9" s="680"/>
      <c r="F9" s="681"/>
      <c r="G9" s="340"/>
    </row>
    <row r="10" spans="1:7" ht="15.75">
      <c r="A10" s="351" t="s">
        <v>378</v>
      </c>
      <c r="B10" s="685" t="s">
        <v>389</v>
      </c>
      <c r="C10" s="686"/>
      <c r="D10" s="687" t="s">
        <v>391</v>
      </c>
      <c r="E10" s="688"/>
      <c r="F10" s="352" t="s">
        <v>392</v>
      </c>
      <c r="G10" s="340"/>
    </row>
    <row r="11" spans="1:7" ht="16.5" thickBot="1">
      <c r="A11" s="353" t="s">
        <v>379</v>
      </c>
      <c r="B11" s="677" t="s">
        <v>390</v>
      </c>
      <c r="C11" s="678"/>
      <c r="D11" s="689"/>
      <c r="E11" s="690"/>
      <c r="F11" s="354" t="s">
        <v>383</v>
      </c>
      <c r="G11" s="340"/>
    </row>
    <row r="12" spans="1:7" ht="19.5">
      <c r="A12" s="679" t="s">
        <v>380</v>
      </c>
      <c r="B12" s="680"/>
      <c r="C12" s="680"/>
      <c r="D12" s="680"/>
      <c r="E12" s="680"/>
      <c r="F12" s="681"/>
      <c r="G12" s="340"/>
    </row>
    <row r="13" spans="1:7" ht="16.5" thickBot="1">
      <c r="A13" s="671" t="s">
        <v>393</v>
      </c>
      <c r="B13" s="672"/>
      <c r="C13" s="673" t="s">
        <v>394</v>
      </c>
      <c r="D13" s="673"/>
      <c r="E13" s="673"/>
      <c r="F13" s="355"/>
      <c r="G13" s="340"/>
    </row>
    <row r="14" spans="1:7" ht="18.95" customHeight="1">
      <c r="A14" s="356"/>
      <c r="B14" s="356"/>
      <c r="C14" s="356"/>
      <c r="D14" s="356"/>
      <c r="E14" s="356"/>
      <c r="F14" s="356"/>
      <c r="G14" s="340"/>
    </row>
    <row r="15" spans="1:7" ht="15.75">
      <c r="G15" s="340"/>
    </row>
    <row r="16" spans="1:7" ht="15.75">
      <c r="G16" s="340"/>
    </row>
    <row r="17" spans="7:7" ht="15.75">
      <c r="G17" s="340"/>
    </row>
    <row r="18" spans="7:7" ht="15.75">
      <c r="G18" s="340"/>
    </row>
    <row r="19" spans="7:7" ht="15.75">
      <c r="G19" s="340"/>
    </row>
    <row r="20" spans="7:7" ht="15.75">
      <c r="G20" s="340"/>
    </row>
    <row r="21" spans="7:7" ht="15.75">
      <c r="G21" s="340"/>
    </row>
    <row r="22" spans="7:7" ht="15.75">
      <c r="G22" s="340"/>
    </row>
    <row r="23" spans="7:7" ht="15.75">
      <c r="G23" s="340"/>
    </row>
    <row r="24" spans="7:7" ht="15.75">
      <c r="G24" s="340"/>
    </row>
    <row r="25" spans="7:7" ht="15.75">
      <c r="G25" s="340"/>
    </row>
    <row r="26" spans="7:7" ht="15.75">
      <c r="G26" s="340"/>
    </row>
    <row r="27" spans="7:7" ht="18.95" customHeight="1">
      <c r="G27" s="340"/>
    </row>
    <row r="28" spans="7:7" ht="15.75">
      <c r="G28" s="340"/>
    </row>
    <row r="29" spans="7:7" ht="15.75">
      <c r="G29" s="340"/>
    </row>
    <row r="30" spans="7:7" ht="15.75">
      <c r="G30" s="340"/>
    </row>
    <row r="31" spans="7:7" ht="15.75">
      <c r="G31" s="340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4" workbookViewId="0">
      <selection activeCell="H19" sqref="H19"/>
    </sheetView>
  </sheetViews>
  <sheetFormatPr defaultRowHeight="12.75"/>
  <cols>
    <col min="1" max="6" width="16.7109375" customWidth="1"/>
  </cols>
  <sheetData>
    <row r="1" spans="1:6" ht="18.95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249</v>
      </c>
      <c r="B2" s="362"/>
      <c r="C2" s="362"/>
      <c r="D2" s="362"/>
      <c r="E2" s="362"/>
      <c r="F2" s="363"/>
    </row>
    <row r="3" spans="1:6" ht="18.95" customHeight="1">
      <c r="A3" s="364" t="s">
        <v>399</v>
      </c>
      <c r="B3" s="362"/>
      <c r="C3" s="362"/>
      <c r="D3" s="362"/>
      <c r="E3" s="362"/>
      <c r="F3" s="363"/>
    </row>
    <row r="4" spans="1:6" ht="18.95" customHeight="1">
      <c r="A4" s="365"/>
      <c r="B4" s="366"/>
      <c r="C4" s="366"/>
      <c r="D4" s="366"/>
      <c r="E4" s="366"/>
      <c r="F4" s="367"/>
    </row>
    <row r="5" spans="1:6" ht="18.95" customHeight="1">
      <c r="A5" s="365"/>
      <c r="B5" s="366"/>
      <c r="C5" s="366"/>
      <c r="D5" s="366"/>
      <c r="E5" s="366"/>
      <c r="F5" s="367"/>
    </row>
    <row r="6" spans="1:6" ht="18.95" customHeight="1">
      <c r="A6" s="368" t="s">
        <v>400</v>
      </c>
      <c r="B6" s="697" t="str">
        <f>'Performance Data Sheet'!C17</f>
        <v>M353TCQL11F-C</v>
      </c>
      <c r="C6" s="698"/>
      <c r="D6" s="699"/>
      <c r="E6" s="368" t="s">
        <v>401</v>
      </c>
      <c r="F6" s="369">
        <v>215</v>
      </c>
    </row>
    <row r="7" spans="1:6" ht="18.95" customHeight="1">
      <c r="A7" s="368" t="s">
        <v>402</v>
      </c>
      <c r="B7" s="369" t="str">
        <f>'Performance Data Sheet'!F14</f>
        <v>TEAAC</v>
      </c>
      <c r="C7" s="368" t="s">
        <v>403</v>
      </c>
      <c r="D7" s="369" t="s">
        <v>425</v>
      </c>
      <c r="E7" s="368" t="s">
        <v>404</v>
      </c>
      <c r="F7" s="369" t="str">
        <f>'Performance Data Sheet'!C14</f>
        <v>6810USS</v>
      </c>
    </row>
    <row r="8" spans="1:6" ht="18.95" customHeight="1">
      <c r="A8" s="368" t="s">
        <v>405</v>
      </c>
      <c r="B8" s="369">
        <v>2</v>
      </c>
      <c r="C8" s="368" t="s">
        <v>406</v>
      </c>
      <c r="D8" s="369" t="s">
        <v>407</v>
      </c>
      <c r="E8" s="368" t="s">
        <v>408</v>
      </c>
      <c r="F8" s="369" t="str">
        <f>'Performance Data Sheet'!M15</f>
        <v>F</v>
      </c>
    </row>
    <row r="9" spans="1:6" ht="18.95" customHeight="1">
      <c r="A9" s="368" t="s">
        <v>409</v>
      </c>
      <c r="B9" s="369">
        <v>1750</v>
      </c>
      <c r="C9" s="368" t="s">
        <v>410</v>
      </c>
      <c r="D9" s="369" t="s">
        <v>426</v>
      </c>
      <c r="E9" s="368" t="s">
        <v>2</v>
      </c>
      <c r="F9" s="370">
        <f>'Performance Data Sheet'!K45</f>
        <v>41939</v>
      </c>
    </row>
    <row r="10" spans="1:6" ht="18.95" customHeight="1">
      <c r="A10" s="368" t="s">
        <v>411</v>
      </c>
      <c r="B10" s="369">
        <v>3581</v>
      </c>
      <c r="C10" s="368" t="s">
        <v>412</v>
      </c>
      <c r="D10" s="369" t="s">
        <v>413</v>
      </c>
      <c r="E10" s="368" t="s">
        <v>1</v>
      </c>
      <c r="F10" s="369" t="s">
        <v>361</v>
      </c>
    </row>
    <row r="11" spans="1:6" ht="18.95" customHeight="1">
      <c r="A11" s="365"/>
      <c r="B11" s="366"/>
      <c r="C11" s="366"/>
      <c r="D11" s="366"/>
      <c r="E11" s="366"/>
      <c r="F11" s="367"/>
    </row>
    <row r="12" spans="1:6" ht="18.95" customHeight="1">
      <c r="A12" s="365"/>
      <c r="B12" s="371" t="s">
        <v>414</v>
      </c>
      <c r="C12" s="372" t="s">
        <v>428</v>
      </c>
      <c r="D12" s="371" t="s">
        <v>415</v>
      </c>
      <c r="E12" s="372" t="s">
        <v>413</v>
      </c>
      <c r="F12" s="367"/>
    </row>
    <row r="13" spans="1:6" ht="18.95" customHeight="1">
      <c r="A13" s="365"/>
      <c r="B13" s="371" t="s">
        <v>416</v>
      </c>
      <c r="C13" s="373">
        <v>0.95</v>
      </c>
      <c r="D13" s="371" t="s">
        <v>417</v>
      </c>
      <c r="E13" s="372" t="s">
        <v>413</v>
      </c>
      <c r="F13" s="367"/>
    </row>
    <row r="14" spans="1:6" ht="18.95" customHeight="1">
      <c r="A14" s="365"/>
      <c r="B14" s="371" t="s">
        <v>418</v>
      </c>
      <c r="C14" s="373">
        <v>2.5499999999999998</v>
      </c>
      <c r="D14" s="371" t="s">
        <v>419</v>
      </c>
      <c r="E14" s="372" t="s">
        <v>413</v>
      </c>
      <c r="F14" s="367"/>
    </row>
    <row r="15" spans="1:6" ht="18.95" customHeight="1">
      <c r="A15" s="365"/>
      <c r="B15" s="371" t="s">
        <v>420</v>
      </c>
      <c r="C15" s="372" t="s">
        <v>427</v>
      </c>
      <c r="D15" s="366"/>
      <c r="E15" s="366"/>
      <c r="F15" s="367"/>
    </row>
    <row r="16" spans="1:6" ht="18.95" customHeight="1">
      <c r="A16" s="365"/>
      <c r="B16" s="366"/>
      <c r="C16" s="366"/>
      <c r="D16" s="366"/>
      <c r="E16" s="366"/>
      <c r="F16" s="367"/>
    </row>
    <row r="17" spans="1:6" ht="18.95" customHeight="1">
      <c r="A17" s="365"/>
      <c r="B17" s="366"/>
      <c r="C17" s="366"/>
      <c r="D17" s="366"/>
      <c r="E17" s="366"/>
      <c r="F17" s="367"/>
    </row>
    <row r="18" spans="1:6" ht="18.95" customHeight="1">
      <c r="A18" s="365"/>
      <c r="B18" s="366"/>
      <c r="C18" s="366"/>
      <c r="D18" s="366"/>
      <c r="E18" s="366"/>
      <c r="F18" s="367"/>
    </row>
    <row r="19" spans="1:6" ht="18.95" customHeight="1">
      <c r="A19" s="365"/>
      <c r="B19" s="366"/>
      <c r="C19" s="366"/>
      <c r="D19" s="366"/>
      <c r="E19" s="366"/>
      <c r="F19" s="367"/>
    </row>
    <row r="20" spans="1:6" ht="18.95" customHeight="1">
      <c r="A20" s="365"/>
      <c r="B20" s="366"/>
      <c r="C20" s="366"/>
      <c r="D20" s="366"/>
      <c r="E20" s="366"/>
      <c r="F20" s="367"/>
    </row>
    <row r="21" spans="1:6" ht="18.95" customHeight="1">
      <c r="A21" s="365"/>
      <c r="B21" s="366"/>
      <c r="C21" s="366"/>
      <c r="D21" s="366"/>
      <c r="E21" s="366"/>
      <c r="F21" s="367"/>
    </row>
    <row r="22" spans="1:6" ht="18.95" customHeight="1">
      <c r="A22" s="365"/>
      <c r="B22" s="366"/>
      <c r="C22" s="366"/>
      <c r="D22" s="366"/>
      <c r="E22" s="366"/>
      <c r="F22" s="367"/>
    </row>
    <row r="23" spans="1:6" ht="18.95" customHeight="1">
      <c r="A23" s="365"/>
      <c r="B23" s="366"/>
      <c r="C23" s="366"/>
      <c r="D23" s="366"/>
      <c r="E23" s="366"/>
      <c r="F23" s="367"/>
    </row>
    <row r="24" spans="1:6" ht="18.95" customHeight="1">
      <c r="A24" s="365"/>
      <c r="B24" s="366"/>
      <c r="C24" s="366"/>
      <c r="D24" s="366"/>
      <c r="E24" s="366"/>
      <c r="F24" s="367"/>
    </row>
    <row r="25" spans="1:6" ht="18.95" customHeight="1">
      <c r="A25" s="365"/>
      <c r="B25" s="366"/>
      <c r="C25" s="366"/>
      <c r="D25" s="366"/>
      <c r="E25" s="366"/>
      <c r="F25" s="367"/>
    </row>
    <row r="26" spans="1:6" ht="18.95" customHeight="1">
      <c r="A26" s="365"/>
      <c r="B26" s="366"/>
      <c r="C26" s="366"/>
      <c r="D26" s="366"/>
      <c r="E26" s="366"/>
      <c r="F26" s="367"/>
    </row>
    <row r="27" spans="1:6" ht="18.95" customHeight="1">
      <c r="A27" s="365"/>
      <c r="B27" s="366"/>
      <c r="C27" s="366"/>
      <c r="D27" s="366"/>
      <c r="E27" s="366"/>
      <c r="F27" s="367"/>
    </row>
    <row r="28" spans="1:6" ht="18.95" customHeight="1">
      <c r="A28" s="365"/>
      <c r="B28" s="366"/>
      <c r="C28" s="366"/>
      <c r="D28" s="366"/>
      <c r="E28" s="366"/>
      <c r="F28" s="367"/>
    </row>
    <row r="29" spans="1:6" ht="18.95" customHeight="1">
      <c r="A29" s="365"/>
      <c r="B29" s="366"/>
      <c r="C29" s="366"/>
      <c r="D29" s="366"/>
      <c r="E29" s="366"/>
      <c r="F29" s="367"/>
    </row>
    <row r="30" spans="1:6" ht="18.95" customHeight="1">
      <c r="A30" s="365"/>
      <c r="B30" s="366"/>
      <c r="C30" s="366"/>
      <c r="D30" s="366"/>
      <c r="E30" s="366"/>
      <c r="F30" s="367"/>
    </row>
    <row r="31" spans="1:6" ht="18.95" customHeight="1">
      <c r="A31" s="365"/>
      <c r="B31" s="366"/>
      <c r="C31" s="366"/>
      <c r="D31" s="366"/>
      <c r="E31" s="366"/>
      <c r="F31" s="367"/>
    </row>
    <row r="32" spans="1:6" ht="18.95" customHeight="1">
      <c r="A32" s="365"/>
      <c r="B32" s="366"/>
      <c r="C32" s="366"/>
      <c r="D32" s="366"/>
      <c r="E32" s="366"/>
      <c r="F32" s="367"/>
    </row>
    <row r="33" spans="1:6" ht="18.95" customHeight="1">
      <c r="A33" s="365"/>
      <c r="B33" s="366"/>
      <c r="C33" s="366"/>
      <c r="D33" s="366"/>
      <c r="E33" s="366"/>
      <c r="F33" s="367"/>
    </row>
    <row r="34" spans="1:6" ht="18.95" customHeight="1">
      <c r="A34" s="365"/>
      <c r="B34" s="366"/>
      <c r="C34" s="366"/>
      <c r="D34" s="366"/>
      <c r="E34" s="366"/>
      <c r="F34" s="367"/>
    </row>
    <row r="35" spans="1:6" ht="18.95" customHeight="1">
      <c r="A35" s="365"/>
      <c r="B35" s="366"/>
      <c r="C35" s="366"/>
      <c r="D35" s="366"/>
      <c r="E35" s="366"/>
      <c r="F35" s="367"/>
    </row>
    <row r="36" spans="1:6" ht="18.95" customHeight="1">
      <c r="A36" s="365"/>
      <c r="B36" s="366"/>
      <c r="C36" s="366"/>
      <c r="D36" s="366"/>
      <c r="E36" s="366"/>
      <c r="F36" s="367"/>
    </row>
    <row r="37" spans="1:6" ht="18.95" customHeight="1">
      <c r="A37" s="365"/>
      <c r="B37" s="366"/>
      <c r="C37" s="366"/>
      <c r="D37" s="366"/>
      <c r="E37" s="366"/>
      <c r="F37" s="367"/>
    </row>
    <row r="38" spans="1:6" ht="18.95" customHeight="1">
      <c r="A38" s="365"/>
      <c r="B38" s="366"/>
      <c r="C38" s="366"/>
      <c r="D38" s="366"/>
      <c r="E38" s="366"/>
      <c r="F38" s="367"/>
    </row>
    <row r="39" spans="1:6" ht="18.95" customHeight="1">
      <c r="A39" s="374" t="s">
        <v>421</v>
      </c>
      <c r="B39" s="375"/>
      <c r="C39" s="375"/>
      <c r="D39" s="366"/>
      <c r="E39" s="371" t="s">
        <v>422</v>
      </c>
      <c r="F39" s="376" t="s">
        <v>361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423</v>
      </c>
      <c r="D43" s="379" t="str">
        <f>'Performance Data Sheet'!K43</f>
        <v>Mario L</v>
      </c>
      <c r="E43" s="378" t="s">
        <v>424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0">
        <v>100</v>
      </c>
      <c r="B54" s="357">
        <v>0</v>
      </c>
      <c r="C54" s="357">
        <v>0.20798191428184509</v>
      </c>
    </row>
    <row r="55" spans="1:3" ht="15" customHeight="1">
      <c r="A55" s="380">
        <v>99.799999967217445</v>
      </c>
      <c r="B55" s="357">
        <v>131.92267512894662</v>
      </c>
      <c r="C55" s="357">
        <v>161.77812194824219</v>
      </c>
    </row>
    <row r="56" spans="1:3" ht="15" customHeight="1">
      <c r="A56" s="380">
        <v>98.999999836087227</v>
      </c>
      <c r="B56" s="357">
        <v>255</v>
      </c>
      <c r="C56" s="357">
        <v>487.48928833007813</v>
      </c>
    </row>
    <row r="57" spans="1:3">
      <c r="A57" s="380">
        <v>93.789473548531532</v>
      </c>
      <c r="B57" s="357">
        <v>151.68889669416984</v>
      </c>
      <c r="C57" s="357">
        <v>571.5870361328125</v>
      </c>
    </row>
    <row r="58" spans="1:3">
      <c r="A58" s="380">
        <v>88.578946888446808</v>
      </c>
      <c r="B58" s="357">
        <v>123.46738635108773</v>
      </c>
      <c r="C58" s="357">
        <v>593.9281005859375</v>
      </c>
    </row>
    <row r="59" spans="1:3">
      <c r="A59" s="380">
        <v>83.368420600891113</v>
      </c>
      <c r="B59" s="357">
        <v>111.21421787029871</v>
      </c>
      <c r="C59" s="357">
        <v>603.34381103515625</v>
      </c>
    </row>
    <row r="60" spans="1:3">
      <c r="A60" s="380">
        <v>72.947368025779724</v>
      </c>
      <c r="B60" s="357">
        <v>103.72421093235505</v>
      </c>
      <c r="C60" s="357">
        <v>612.8306884765625</v>
      </c>
    </row>
    <row r="61" spans="1:3">
      <c r="A61" s="380">
        <v>62.526315450668335</v>
      </c>
      <c r="B61" s="357">
        <v>100.14098328683241</v>
      </c>
      <c r="C61" s="357">
        <v>619.19537353515625</v>
      </c>
    </row>
    <row r="62" spans="1:3">
      <c r="A62" s="380">
        <v>52.105262875556946</v>
      </c>
      <c r="B62" s="357">
        <v>98.000322965471412</v>
      </c>
      <c r="C62" s="357">
        <v>624.4774169921875</v>
      </c>
    </row>
    <row r="63" spans="1:3">
      <c r="A63" s="380">
        <v>41.684210300445557</v>
      </c>
      <c r="B63" s="357">
        <v>96.678291407095216</v>
      </c>
      <c r="C63" s="357">
        <v>628.9512939453125</v>
      </c>
    </row>
    <row r="64" spans="1:3">
      <c r="A64" s="380">
        <v>31.263160705566406</v>
      </c>
      <c r="B64" s="357">
        <v>95.877672927916137</v>
      </c>
      <c r="C64" s="357">
        <v>632.72186279296875</v>
      </c>
    </row>
    <row r="65" spans="1:3">
      <c r="A65" s="380">
        <v>20.842105150222778</v>
      </c>
      <c r="B65" s="357">
        <v>95.407743949152646</v>
      </c>
      <c r="C65" s="357">
        <v>635.9022216796875</v>
      </c>
    </row>
    <row r="66" spans="1:3">
      <c r="A66" s="380">
        <v>10.421055555343628</v>
      </c>
      <c r="B66" s="357">
        <v>95.142270625454586</v>
      </c>
      <c r="C66" s="357">
        <v>638.6055908203125</v>
      </c>
    </row>
    <row r="67" spans="1:3">
      <c r="A67" s="381">
        <v>0</v>
      </c>
      <c r="B67" s="357">
        <v>95</v>
      </c>
      <c r="C67" s="357">
        <v>640.93023681640625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7" workbookViewId="0">
      <selection activeCell="K35" sqref="K35"/>
    </sheetView>
  </sheetViews>
  <sheetFormatPr defaultRowHeight="12.75"/>
  <cols>
    <col min="1" max="1" width="19.7109375" style="388" customWidth="1"/>
    <col min="2" max="7" width="10.7109375" style="388" customWidth="1"/>
    <col min="8" max="16384" width="9.140625" style="388"/>
  </cols>
  <sheetData>
    <row r="1" spans="1:12" ht="21" customHeight="1">
      <c r="A1" s="549" t="s">
        <v>433</v>
      </c>
      <c r="B1" s="701" t="s">
        <v>472</v>
      </c>
      <c r="C1" s="701"/>
      <c r="D1" s="701"/>
      <c r="E1" s="701"/>
      <c r="F1" s="701"/>
      <c r="G1" s="701"/>
    </row>
    <row r="2" spans="1:12" ht="15" customHeight="1">
      <c r="A2" s="548"/>
      <c r="B2" s="548"/>
      <c r="C2" s="548"/>
      <c r="D2" s="548"/>
      <c r="E2" s="548"/>
      <c r="F2" s="548"/>
      <c r="G2" s="548"/>
    </row>
    <row r="3" spans="1:12" ht="20.25">
      <c r="A3" s="550" t="s">
        <v>434</v>
      </c>
      <c r="B3" s="548"/>
      <c r="C3" s="548"/>
      <c r="D3" s="548"/>
      <c r="E3" s="548"/>
      <c r="F3" s="548"/>
      <c r="G3" s="548"/>
    </row>
    <row r="4" spans="1:12" ht="12" customHeight="1">
      <c r="A4" s="551"/>
      <c r="B4" s="551"/>
      <c r="C4" s="551"/>
      <c r="D4" s="551" t="s">
        <v>705</v>
      </c>
      <c r="E4" s="551"/>
      <c r="F4" s="551"/>
      <c r="G4" s="551"/>
      <c r="H4" s="389"/>
      <c r="I4" s="389"/>
      <c r="J4" s="389"/>
      <c r="K4" s="389"/>
      <c r="L4" s="389"/>
    </row>
    <row r="5" spans="1:12" ht="15.6" customHeight="1">
      <c r="A5" s="552" t="s">
        <v>5</v>
      </c>
      <c r="B5" s="552" t="s">
        <v>435</v>
      </c>
      <c r="C5" s="552" t="s">
        <v>436</v>
      </c>
      <c r="D5" s="552" t="s">
        <v>437</v>
      </c>
      <c r="E5" s="552" t="s">
        <v>438</v>
      </c>
      <c r="F5" s="552" t="s">
        <v>439</v>
      </c>
      <c r="G5" s="552" t="s">
        <v>440</v>
      </c>
      <c r="H5" s="389"/>
      <c r="I5" s="389"/>
      <c r="J5" s="389"/>
      <c r="K5" s="389"/>
      <c r="L5" s="389"/>
    </row>
    <row r="6" spans="1:12" ht="15.6" customHeight="1">
      <c r="A6" s="553" t="s">
        <v>441</v>
      </c>
      <c r="B6" s="553" t="s">
        <v>165</v>
      </c>
      <c r="C6" s="553" t="s">
        <v>165</v>
      </c>
      <c r="D6" s="553" t="s">
        <v>442</v>
      </c>
      <c r="E6" s="553" t="s">
        <v>135</v>
      </c>
      <c r="F6" s="553" t="s">
        <v>443</v>
      </c>
      <c r="G6" s="553" t="s">
        <v>443</v>
      </c>
      <c r="H6" s="389"/>
      <c r="I6" s="389"/>
      <c r="J6" s="389"/>
      <c r="K6" s="389"/>
      <c r="L6" s="389"/>
    </row>
    <row r="7" spans="1:12" ht="15.95" customHeight="1">
      <c r="A7" s="554" t="s">
        <v>473</v>
      </c>
      <c r="B7" s="554" t="s">
        <v>486</v>
      </c>
      <c r="C7" s="554" t="s">
        <v>499</v>
      </c>
      <c r="D7" s="554" t="s">
        <v>706</v>
      </c>
      <c r="E7" s="554" t="s">
        <v>512</v>
      </c>
      <c r="F7" s="554" t="s">
        <v>707</v>
      </c>
      <c r="G7" s="554" t="s">
        <v>708</v>
      </c>
      <c r="H7" s="389"/>
      <c r="I7" s="389"/>
      <c r="J7" s="389"/>
      <c r="K7" s="389"/>
      <c r="L7" s="389"/>
    </row>
    <row r="8" spans="1:12" ht="15.95" customHeight="1">
      <c r="A8" s="554" t="s">
        <v>474</v>
      </c>
      <c r="B8" s="554" t="s">
        <v>487</v>
      </c>
      <c r="C8" s="554" t="s">
        <v>500</v>
      </c>
      <c r="D8" s="554" t="s">
        <v>709</v>
      </c>
      <c r="E8" s="554" t="s">
        <v>513</v>
      </c>
      <c r="F8" s="554" t="s">
        <v>710</v>
      </c>
      <c r="G8" s="554" t="s">
        <v>711</v>
      </c>
      <c r="H8" s="389"/>
      <c r="I8" s="389"/>
      <c r="J8" s="389"/>
      <c r="K8" s="389"/>
      <c r="L8" s="389"/>
    </row>
    <row r="9" spans="1:12" ht="15.95" customHeight="1">
      <c r="A9" s="554" t="s">
        <v>475</v>
      </c>
      <c r="B9" s="554" t="s">
        <v>488</v>
      </c>
      <c r="C9" s="554" t="s">
        <v>501</v>
      </c>
      <c r="D9" s="554" t="s">
        <v>712</v>
      </c>
      <c r="E9" s="554" t="s">
        <v>514</v>
      </c>
      <c r="F9" s="554" t="s">
        <v>713</v>
      </c>
      <c r="G9" s="554" t="s">
        <v>714</v>
      </c>
      <c r="H9" s="389"/>
      <c r="I9" s="389"/>
      <c r="J9" s="389"/>
      <c r="K9" s="389"/>
      <c r="L9" s="389"/>
    </row>
    <row r="10" spans="1:12" ht="15.95" customHeight="1">
      <c r="A10" s="554" t="s">
        <v>476</v>
      </c>
      <c r="B10" s="554" t="s">
        <v>489</v>
      </c>
      <c r="C10" s="554" t="s">
        <v>502</v>
      </c>
      <c r="D10" s="554" t="s">
        <v>712</v>
      </c>
      <c r="E10" s="554" t="s">
        <v>515</v>
      </c>
      <c r="F10" s="554" t="s">
        <v>715</v>
      </c>
      <c r="G10" s="554" t="s">
        <v>716</v>
      </c>
      <c r="H10" s="389"/>
      <c r="I10" s="389"/>
      <c r="J10" s="389"/>
      <c r="K10" s="389"/>
      <c r="L10" s="389"/>
    </row>
    <row r="11" spans="1:12" ht="15.95" customHeight="1">
      <c r="A11" s="554" t="s">
        <v>477</v>
      </c>
      <c r="B11" s="554" t="s">
        <v>490</v>
      </c>
      <c r="C11" s="554" t="s">
        <v>503</v>
      </c>
      <c r="D11" s="554" t="s">
        <v>717</v>
      </c>
      <c r="E11" s="554" t="s">
        <v>516</v>
      </c>
      <c r="F11" s="554" t="s">
        <v>718</v>
      </c>
      <c r="G11" s="554" t="s">
        <v>719</v>
      </c>
      <c r="H11" s="389"/>
      <c r="I11" s="389"/>
      <c r="J11" s="389"/>
      <c r="K11" s="389"/>
      <c r="L11" s="389"/>
    </row>
    <row r="12" spans="1:12" ht="15.95" customHeight="1">
      <c r="A12" s="554" t="s">
        <v>478</v>
      </c>
      <c r="B12" s="554" t="s">
        <v>491</v>
      </c>
      <c r="C12" s="554" t="s">
        <v>504</v>
      </c>
      <c r="D12" s="554" t="s">
        <v>720</v>
      </c>
      <c r="E12" s="554" t="s">
        <v>517</v>
      </c>
      <c r="F12" s="554" t="s">
        <v>721</v>
      </c>
      <c r="G12" s="554" t="s">
        <v>722</v>
      </c>
      <c r="H12" s="389"/>
      <c r="I12" s="389"/>
      <c r="J12" s="389"/>
      <c r="K12" s="389"/>
      <c r="L12" s="389"/>
    </row>
    <row r="13" spans="1:12" ht="15.95" customHeight="1">
      <c r="A13" s="554" t="s">
        <v>479</v>
      </c>
      <c r="B13" s="554" t="s">
        <v>492</v>
      </c>
      <c r="C13" s="554" t="s">
        <v>505</v>
      </c>
      <c r="D13" s="554" t="s">
        <v>723</v>
      </c>
      <c r="E13" s="554" t="s">
        <v>518</v>
      </c>
      <c r="F13" s="554" t="s">
        <v>724</v>
      </c>
      <c r="G13" s="554" t="s">
        <v>725</v>
      </c>
      <c r="H13" s="389"/>
      <c r="I13" s="389"/>
      <c r="J13" s="389"/>
      <c r="K13" s="389"/>
      <c r="L13" s="389"/>
    </row>
    <row r="14" spans="1:12" ht="15.95" customHeight="1">
      <c r="A14" s="554" t="s">
        <v>480</v>
      </c>
      <c r="B14" s="554" t="s">
        <v>493</v>
      </c>
      <c r="C14" s="554" t="s">
        <v>506</v>
      </c>
      <c r="D14" s="554" t="s">
        <v>726</v>
      </c>
      <c r="E14" s="554" t="s">
        <v>519</v>
      </c>
      <c r="F14" s="554" t="s">
        <v>727</v>
      </c>
      <c r="G14" s="554" t="s">
        <v>728</v>
      </c>
      <c r="H14" s="389"/>
      <c r="I14" s="389"/>
      <c r="J14" s="389"/>
      <c r="K14" s="389"/>
      <c r="L14" s="389"/>
    </row>
    <row r="15" spans="1:12" ht="15.95" customHeight="1">
      <c r="A15" s="554" t="s">
        <v>481</v>
      </c>
      <c r="B15" s="554" t="s">
        <v>494</v>
      </c>
      <c r="C15" s="554" t="s">
        <v>507</v>
      </c>
      <c r="D15" s="554" t="s">
        <v>729</v>
      </c>
      <c r="E15" s="554" t="s">
        <v>520</v>
      </c>
      <c r="F15" s="554" t="s">
        <v>730</v>
      </c>
      <c r="G15" s="554" t="s">
        <v>731</v>
      </c>
      <c r="H15" s="389"/>
      <c r="I15" s="389"/>
      <c r="J15" s="389"/>
      <c r="K15" s="389"/>
      <c r="L15" s="389"/>
    </row>
    <row r="16" spans="1:12" ht="15.95" customHeight="1">
      <c r="A16" s="554" t="s">
        <v>482</v>
      </c>
      <c r="B16" s="554" t="s">
        <v>495</v>
      </c>
      <c r="C16" s="554" t="s">
        <v>508</v>
      </c>
      <c r="D16" s="554" t="s">
        <v>732</v>
      </c>
      <c r="E16" s="554" t="s">
        <v>521</v>
      </c>
      <c r="F16" s="554" t="s">
        <v>733</v>
      </c>
      <c r="G16" s="554" t="s">
        <v>734</v>
      </c>
      <c r="H16" s="389"/>
      <c r="I16" s="389"/>
      <c r="J16" s="389"/>
      <c r="K16" s="389"/>
      <c r="L16" s="389"/>
    </row>
    <row r="17" spans="1:12" ht="15.95" customHeight="1">
      <c r="A17" s="554" t="s">
        <v>483</v>
      </c>
      <c r="B17" s="554" t="s">
        <v>496</v>
      </c>
      <c r="C17" s="554" t="s">
        <v>509</v>
      </c>
      <c r="D17" s="554" t="s">
        <v>735</v>
      </c>
      <c r="E17" s="554" t="s">
        <v>522</v>
      </c>
      <c r="F17" s="554" t="s">
        <v>736</v>
      </c>
      <c r="G17" s="554" t="s">
        <v>737</v>
      </c>
      <c r="H17" s="389"/>
      <c r="I17" s="389"/>
      <c r="J17" s="389"/>
      <c r="K17" s="389"/>
      <c r="L17" s="389"/>
    </row>
    <row r="18" spans="1:12" ht="15.95" customHeight="1">
      <c r="A18" s="554" t="s">
        <v>484</v>
      </c>
      <c r="B18" s="554" t="s">
        <v>497</v>
      </c>
      <c r="C18" s="554" t="s">
        <v>510</v>
      </c>
      <c r="D18" s="554" t="s">
        <v>738</v>
      </c>
      <c r="E18" s="554" t="s">
        <v>523</v>
      </c>
      <c r="F18" s="554" t="s">
        <v>739</v>
      </c>
      <c r="G18" s="554" t="s">
        <v>740</v>
      </c>
      <c r="H18" s="389"/>
      <c r="I18" s="389"/>
      <c r="J18" s="389"/>
      <c r="K18" s="389"/>
      <c r="L18" s="389"/>
    </row>
    <row r="19" spans="1:12" ht="15.95" customHeight="1">
      <c r="A19" s="554" t="s">
        <v>485</v>
      </c>
      <c r="B19" s="554" t="s">
        <v>498</v>
      </c>
      <c r="C19" s="554" t="s">
        <v>511</v>
      </c>
      <c r="D19" s="554" t="s">
        <v>741</v>
      </c>
      <c r="E19" s="554" t="s">
        <v>524</v>
      </c>
      <c r="F19" s="554" t="s">
        <v>742</v>
      </c>
      <c r="G19" s="554" t="s">
        <v>743</v>
      </c>
      <c r="H19" s="389"/>
      <c r="I19" s="389"/>
      <c r="J19" s="389"/>
      <c r="K19" s="389"/>
      <c r="L19" s="389"/>
    </row>
    <row r="20" spans="1:12" ht="15.75">
      <c r="A20" s="551"/>
      <c r="B20" s="551"/>
      <c r="C20" s="551"/>
      <c r="D20" s="551"/>
      <c r="E20" s="551"/>
      <c r="F20" s="551"/>
      <c r="G20" s="551"/>
      <c r="H20" s="389"/>
      <c r="I20" s="389"/>
      <c r="J20" s="389"/>
      <c r="K20" s="389"/>
      <c r="L20" s="389"/>
    </row>
    <row r="21" spans="1:12" ht="15.75">
      <c r="A21" s="551"/>
      <c r="B21" s="551"/>
      <c r="C21" s="551"/>
      <c r="D21" s="702" t="s">
        <v>744</v>
      </c>
      <c r="E21" s="703"/>
      <c r="F21" s="703"/>
      <c r="G21" s="704"/>
      <c r="H21" s="389"/>
      <c r="I21" s="389"/>
      <c r="J21" s="389"/>
      <c r="K21" s="389"/>
      <c r="L21" s="389"/>
    </row>
    <row r="22" spans="1:12" ht="17.25" customHeight="1">
      <c r="A22" s="551"/>
      <c r="B22" s="705" t="s">
        <v>444</v>
      </c>
      <c r="C22" s="705"/>
      <c r="D22" s="705" t="s">
        <v>445</v>
      </c>
      <c r="E22" s="705"/>
      <c r="F22" s="705" t="s">
        <v>446</v>
      </c>
      <c r="G22" s="705"/>
      <c r="H22" s="389"/>
      <c r="I22" s="389"/>
      <c r="J22" s="389"/>
      <c r="K22" s="389"/>
      <c r="L22" s="389"/>
    </row>
    <row r="23" spans="1:12" ht="15.75">
      <c r="A23" s="556" t="s">
        <v>447</v>
      </c>
      <c r="B23" s="700" t="s">
        <v>745</v>
      </c>
      <c r="C23" s="700"/>
      <c r="D23" s="700" t="s">
        <v>746</v>
      </c>
      <c r="E23" s="700"/>
      <c r="F23" s="700" t="s">
        <v>747</v>
      </c>
      <c r="G23" s="700"/>
      <c r="H23" s="389"/>
      <c r="I23" s="389"/>
      <c r="J23" s="389"/>
      <c r="K23" s="389"/>
      <c r="L23" s="389"/>
    </row>
    <row r="24" spans="1:12" ht="18" customHeight="1">
      <c r="A24" s="556" t="s">
        <v>448</v>
      </c>
      <c r="B24" s="700" t="s">
        <v>748</v>
      </c>
      <c r="C24" s="700"/>
      <c r="D24" s="700" t="s">
        <v>749</v>
      </c>
      <c r="E24" s="700"/>
      <c r="F24" s="700" t="s">
        <v>750</v>
      </c>
      <c r="G24" s="700"/>
      <c r="H24" s="389"/>
      <c r="I24" s="389"/>
      <c r="J24" s="389"/>
      <c r="K24" s="389"/>
      <c r="L24" s="389"/>
    </row>
    <row r="25" spans="1:12" ht="15.75">
      <c r="A25" s="556" t="s">
        <v>449</v>
      </c>
      <c r="B25" s="700" t="s">
        <v>751</v>
      </c>
      <c r="C25" s="700"/>
      <c r="D25" s="700" t="s">
        <v>752</v>
      </c>
      <c r="E25" s="700"/>
      <c r="F25" s="700" t="s">
        <v>753</v>
      </c>
      <c r="G25" s="700"/>
      <c r="H25" s="389"/>
      <c r="I25" s="389"/>
      <c r="J25" s="389"/>
      <c r="K25" s="389"/>
      <c r="L25" s="389"/>
    </row>
    <row r="26" spans="1:12" ht="15.75">
      <c r="A26" s="551"/>
      <c r="B26" s="551"/>
      <c r="C26" s="551"/>
      <c r="D26" s="551"/>
      <c r="E26" s="551"/>
      <c r="F26" s="551"/>
      <c r="G26" s="551"/>
      <c r="H26" s="389"/>
      <c r="I26" s="389"/>
      <c r="J26" s="389"/>
      <c r="K26" s="389"/>
      <c r="L26" s="389"/>
    </row>
    <row r="27" spans="1:12" ht="20.25">
      <c r="A27" s="550" t="s">
        <v>450</v>
      </c>
      <c r="B27" s="551"/>
      <c r="C27" s="551"/>
      <c r="D27" s="551"/>
      <c r="E27" s="551"/>
      <c r="F27" s="551"/>
      <c r="G27" s="551"/>
      <c r="H27" s="389"/>
      <c r="I27" s="389"/>
      <c r="J27" s="389"/>
      <c r="K27" s="389"/>
      <c r="L27" s="389"/>
    </row>
    <row r="28" spans="1:12" ht="15.75">
      <c r="A28" s="551"/>
      <c r="B28" s="551"/>
      <c r="C28" s="551"/>
      <c r="D28" s="551"/>
      <c r="E28" s="706" t="s">
        <v>451</v>
      </c>
      <c r="F28" s="703"/>
      <c r="G28" s="704"/>
      <c r="H28" s="389"/>
      <c r="I28" s="389"/>
      <c r="J28" s="389"/>
      <c r="K28" s="389"/>
      <c r="L28" s="389"/>
    </row>
    <row r="29" spans="1:12" ht="15.75">
      <c r="A29" s="551"/>
      <c r="B29" s="705" t="s">
        <v>452</v>
      </c>
      <c r="C29" s="705"/>
      <c r="D29" s="555" t="s">
        <v>453</v>
      </c>
      <c r="E29" s="555" t="s">
        <v>454</v>
      </c>
      <c r="F29" s="705" t="s">
        <v>455</v>
      </c>
      <c r="G29" s="705"/>
      <c r="H29" s="389"/>
      <c r="I29" s="389"/>
      <c r="J29" s="389"/>
      <c r="K29" s="389"/>
      <c r="L29" s="389"/>
    </row>
    <row r="30" spans="1:12" ht="15.75">
      <c r="A30" s="556" t="s">
        <v>456</v>
      </c>
      <c r="B30" s="700" t="s">
        <v>525</v>
      </c>
      <c r="C30" s="700"/>
      <c r="D30" s="554" t="s">
        <v>528</v>
      </c>
      <c r="E30" s="554" t="s">
        <v>457</v>
      </c>
      <c r="F30" s="700" t="s">
        <v>531</v>
      </c>
      <c r="G30" s="700"/>
      <c r="H30" s="389"/>
      <c r="I30" s="389"/>
      <c r="J30" s="389"/>
      <c r="K30" s="389"/>
      <c r="L30" s="389"/>
    </row>
    <row r="31" spans="1:12" ht="15.75">
      <c r="A31" s="556" t="s">
        <v>458</v>
      </c>
      <c r="B31" s="700" t="s">
        <v>526</v>
      </c>
      <c r="C31" s="700"/>
      <c r="D31" s="554" t="s">
        <v>529</v>
      </c>
      <c r="E31" s="554" t="s">
        <v>459</v>
      </c>
      <c r="F31" s="700" t="s">
        <v>532</v>
      </c>
      <c r="G31" s="700"/>
      <c r="H31" s="389"/>
      <c r="I31" s="389"/>
      <c r="J31" s="389"/>
      <c r="K31" s="389"/>
      <c r="L31" s="389"/>
    </row>
    <row r="32" spans="1:12" ht="15.75">
      <c r="A32" s="556" t="s">
        <v>460</v>
      </c>
      <c r="B32" s="700" t="s">
        <v>527</v>
      </c>
      <c r="C32" s="700"/>
      <c r="D32" s="554" t="s">
        <v>530</v>
      </c>
      <c r="E32" s="554" t="s">
        <v>461</v>
      </c>
      <c r="F32" s="700" t="s">
        <v>533</v>
      </c>
      <c r="G32" s="700"/>
      <c r="H32" s="389"/>
      <c r="I32" s="389"/>
      <c r="J32" s="389"/>
      <c r="K32" s="389"/>
      <c r="L32" s="389"/>
    </row>
    <row r="33" spans="1:12" ht="15.75">
      <c r="A33" s="551"/>
      <c r="B33" s="551"/>
      <c r="C33" s="551"/>
      <c r="D33" s="551"/>
      <c r="E33" s="551"/>
      <c r="F33" s="551"/>
      <c r="G33" s="551"/>
      <c r="H33" s="389"/>
      <c r="I33" s="389"/>
      <c r="J33" s="389"/>
      <c r="K33" s="389"/>
      <c r="L33" s="389"/>
    </row>
    <row r="34" spans="1:12" ht="15.75">
      <c r="A34" s="551"/>
      <c r="B34" s="551"/>
      <c r="C34" s="551"/>
      <c r="D34" s="551"/>
      <c r="E34" s="706" t="s">
        <v>462</v>
      </c>
      <c r="F34" s="703"/>
      <c r="G34" s="704"/>
      <c r="H34" s="389"/>
      <c r="I34" s="389"/>
      <c r="J34" s="389"/>
      <c r="K34" s="389"/>
      <c r="L34" s="389"/>
    </row>
    <row r="35" spans="1:12" ht="15.75">
      <c r="A35" s="551"/>
      <c r="B35" s="705" t="s">
        <v>463</v>
      </c>
      <c r="C35" s="705"/>
      <c r="D35" s="555" t="s">
        <v>454</v>
      </c>
      <c r="E35" s="555" t="s">
        <v>464</v>
      </c>
      <c r="F35" s="555" t="s">
        <v>100</v>
      </c>
      <c r="G35" s="555" t="s">
        <v>465</v>
      </c>
      <c r="H35" s="389"/>
      <c r="I35" s="389"/>
      <c r="J35" s="389"/>
      <c r="K35" s="389"/>
      <c r="L35" s="389"/>
    </row>
    <row r="36" spans="1:12" ht="15.75">
      <c r="A36" s="556" t="s">
        <v>456</v>
      </c>
      <c r="B36" s="707" t="s">
        <v>534</v>
      </c>
      <c r="C36" s="708"/>
      <c r="D36" s="557" t="s">
        <v>536</v>
      </c>
      <c r="E36" s="557" t="s">
        <v>466</v>
      </c>
      <c r="F36" s="558" t="s">
        <v>467</v>
      </c>
      <c r="G36" s="554" t="s">
        <v>539</v>
      </c>
      <c r="H36" s="389"/>
      <c r="I36" s="389"/>
      <c r="J36" s="389"/>
      <c r="K36" s="389"/>
      <c r="L36" s="389"/>
    </row>
    <row r="37" spans="1:12" ht="15.75">
      <c r="A37" s="556" t="s">
        <v>458</v>
      </c>
      <c r="B37" s="707" t="s">
        <v>535</v>
      </c>
      <c r="C37" s="708"/>
      <c r="D37" s="557" t="s">
        <v>537</v>
      </c>
      <c r="E37" s="557" t="s">
        <v>466</v>
      </c>
      <c r="F37" s="558" t="s">
        <v>468</v>
      </c>
      <c r="G37" s="559" t="s">
        <v>540</v>
      </c>
      <c r="H37" s="389"/>
      <c r="I37" s="389"/>
      <c r="J37" s="389"/>
      <c r="K37" s="389"/>
      <c r="L37" s="389"/>
    </row>
    <row r="38" spans="1:12" ht="15.75">
      <c r="A38" s="556" t="s">
        <v>460</v>
      </c>
      <c r="B38" s="707" t="s">
        <v>535</v>
      </c>
      <c r="C38" s="708"/>
      <c r="D38" s="557" t="s">
        <v>538</v>
      </c>
      <c r="E38" s="557" t="s">
        <v>466</v>
      </c>
      <c r="F38" s="558" t="s">
        <v>469</v>
      </c>
      <c r="G38" s="554" t="s">
        <v>541</v>
      </c>
      <c r="H38" s="389"/>
      <c r="I38" s="389"/>
      <c r="J38" s="389"/>
      <c r="K38" s="389"/>
      <c r="L38" s="389"/>
    </row>
    <row r="39" spans="1:12" ht="15.75">
      <c r="A39" s="551"/>
      <c r="B39" s="551"/>
      <c r="C39" s="551"/>
      <c r="D39" s="551"/>
      <c r="E39" s="551"/>
      <c r="F39" s="551"/>
      <c r="G39" s="551"/>
      <c r="H39" s="389"/>
      <c r="I39" s="389"/>
      <c r="J39" s="389"/>
      <c r="K39" s="389"/>
      <c r="L39" s="389"/>
    </row>
    <row r="40" spans="1:12" ht="15.75">
      <c r="A40" s="560" t="s">
        <v>470</v>
      </c>
      <c r="B40" s="709" t="s">
        <v>542</v>
      </c>
      <c r="C40" s="709"/>
      <c r="D40" s="710" t="s">
        <v>471</v>
      </c>
      <c r="E40" s="710"/>
      <c r="F40" s="709" t="s">
        <v>543</v>
      </c>
      <c r="G40" s="709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5:C25"/>
    <mergeCell ref="D25:E25"/>
    <mergeCell ref="F25:G25"/>
    <mergeCell ref="E28:G28"/>
    <mergeCell ref="B29:C29"/>
    <mergeCell ref="F29:G29"/>
    <mergeCell ref="B30:C30"/>
    <mergeCell ref="F30:G30"/>
    <mergeCell ref="B1:G1"/>
    <mergeCell ref="D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K35" sqref="K35"/>
    </sheetView>
  </sheetViews>
  <sheetFormatPr defaultRowHeight="12.75"/>
  <cols>
    <col min="1" max="1" width="19.7109375" style="388" customWidth="1"/>
    <col min="2" max="7" width="10.7109375" style="388" customWidth="1"/>
    <col min="8" max="16384" width="9.140625" style="388"/>
  </cols>
  <sheetData>
    <row r="1" spans="1:12" ht="21" customHeight="1">
      <c r="A1" s="549" t="s">
        <v>433</v>
      </c>
      <c r="B1" s="701" t="s">
        <v>472</v>
      </c>
      <c r="C1" s="701"/>
      <c r="D1" s="701"/>
      <c r="E1" s="701"/>
      <c r="F1" s="701"/>
      <c r="G1" s="701"/>
    </row>
    <row r="2" spans="1:12" ht="15" customHeight="1">
      <c r="A2" s="548"/>
      <c r="B2" s="548"/>
      <c r="C2" s="548"/>
      <c r="D2" s="548"/>
      <c r="E2" s="548"/>
      <c r="F2" s="548"/>
      <c r="G2" s="548"/>
    </row>
    <row r="3" spans="1:12" ht="20.25">
      <c r="A3" s="550" t="s">
        <v>434</v>
      </c>
      <c r="B3" s="548"/>
      <c r="C3" s="548"/>
      <c r="D3" s="548"/>
      <c r="E3" s="548"/>
      <c r="F3" s="548"/>
      <c r="G3" s="548"/>
    </row>
    <row r="4" spans="1:12" ht="12" customHeight="1">
      <c r="A4" s="551"/>
      <c r="B4" s="551"/>
      <c r="C4" s="551"/>
      <c r="D4" s="551" t="s">
        <v>773</v>
      </c>
      <c r="E4" s="551"/>
      <c r="F4" s="551"/>
      <c r="G4" s="551"/>
      <c r="H4" s="389"/>
      <c r="I4" s="389"/>
      <c r="J4" s="389"/>
      <c r="K4" s="389"/>
      <c r="L4" s="389"/>
    </row>
    <row r="5" spans="1:12" ht="15.6" customHeight="1">
      <c r="A5" s="552" t="s">
        <v>5</v>
      </c>
      <c r="B5" s="552" t="s">
        <v>435</v>
      </c>
      <c r="C5" s="552" t="s">
        <v>436</v>
      </c>
      <c r="D5" s="552" t="s">
        <v>437</v>
      </c>
      <c r="E5" s="552" t="s">
        <v>438</v>
      </c>
      <c r="F5" s="552" t="s">
        <v>439</v>
      </c>
      <c r="G5" s="552" t="s">
        <v>440</v>
      </c>
      <c r="H5" s="389"/>
      <c r="I5" s="389"/>
      <c r="J5" s="389"/>
      <c r="K5" s="389"/>
      <c r="L5" s="389"/>
    </row>
    <row r="6" spans="1:12" ht="15.6" customHeight="1">
      <c r="A6" s="553" t="s">
        <v>441</v>
      </c>
      <c r="B6" s="553" t="s">
        <v>165</v>
      </c>
      <c r="C6" s="553" t="s">
        <v>165</v>
      </c>
      <c r="D6" s="553" t="s">
        <v>442</v>
      </c>
      <c r="E6" s="553" t="s">
        <v>135</v>
      </c>
      <c r="F6" s="553" t="s">
        <v>774</v>
      </c>
      <c r="G6" s="553" t="s">
        <v>774</v>
      </c>
      <c r="H6" s="389"/>
      <c r="I6" s="389"/>
      <c r="J6" s="389"/>
      <c r="K6" s="389"/>
      <c r="L6" s="389"/>
    </row>
    <row r="7" spans="1:12" ht="15.95" customHeight="1">
      <c r="A7" s="564" t="s">
        <v>473</v>
      </c>
      <c r="B7" s="734">
        <v>95.099998474121094</v>
      </c>
      <c r="C7" s="734">
        <v>22.399999618530273</v>
      </c>
      <c r="D7" s="735">
        <v>0.53600001335144043</v>
      </c>
      <c r="E7" s="734">
        <v>1378.5999755859375</v>
      </c>
      <c r="F7" s="734">
        <v>222.89999389648438</v>
      </c>
      <c r="G7" s="734">
        <v>865.9000244140625</v>
      </c>
      <c r="H7" s="389"/>
      <c r="I7" s="389"/>
      <c r="J7" s="389"/>
      <c r="K7" s="389"/>
      <c r="L7" s="389"/>
    </row>
    <row r="8" spans="1:12" ht="15.95" customHeight="1">
      <c r="A8" s="564" t="s">
        <v>474</v>
      </c>
      <c r="B8" s="734">
        <v>95.300003051757813</v>
      </c>
      <c r="C8" s="734">
        <v>11.300000190734863</v>
      </c>
      <c r="D8" s="735">
        <v>0.46399998664855957</v>
      </c>
      <c r="E8" s="734">
        <v>1373.199951171875</v>
      </c>
      <c r="F8" s="734">
        <v>191.60000610351563</v>
      </c>
      <c r="G8" s="734">
        <v>672.29998779296875</v>
      </c>
      <c r="H8" s="389"/>
      <c r="I8" s="389"/>
      <c r="J8" s="389"/>
      <c r="K8" s="389"/>
      <c r="L8" s="389"/>
    </row>
    <row r="9" spans="1:12" ht="15.95" customHeight="1">
      <c r="A9" s="564" t="s">
        <v>475</v>
      </c>
      <c r="B9" s="734">
        <v>95.599998474121094</v>
      </c>
      <c r="C9" s="734">
        <v>7.0999999046325684</v>
      </c>
      <c r="D9" s="735">
        <v>0.43999999761581421</v>
      </c>
      <c r="E9" s="734">
        <v>1366.9000244140625</v>
      </c>
      <c r="F9" s="734">
        <v>180.10000610351563</v>
      </c>
      <c r="G9" s="734">
        <v>564.79998779296875</v>
      </c>
      <c r="H9" s="389"/>
      <c r="I9" s="389"/>
      <c r="J9" s="389"/>
      <c r="K9" s="389"/>
      <c r="L9" s="389"/>
    </row>
    <row r="10" spans="1:12" ht="15.95" customHeight="1">
      <c r="A10" s="564" t="s">
        <v>476</v>
      </c>
      <c r="B10" s="734">
        <v>96.300003051757813</v>
      </c>
      <c r="C10" s="734">
        <v>7.6999998092651367</v>
      </c>
      <c r="D10" s="735">
        <v>0.44100001454353333</v>
      </c>
      <c r="E10" s="734">
        <v>1359.4000244140625</v>
      </c>
      <c r="F10" s="734">
        <v>178.80000305175781</v>
      </c>
      <c r="G10" s="734">
        <v>492.89999389648438</v>
      </c>
      <c r="H10" s="389"/>
      <c r="I10" s="389"/>
      <c r="J10" s="389"/>
      <c r="K10" s="389"/>
      <c r="L10" s="389"/>
    </row>
    <row r="11" spans="1:12" ht="15.95" customHeight="1">
      <c r="A11" s="564" t="s">
        <v>477</v>
      </c>
      <c r="B11" s="734">
        <v>97.300003051757813</v>
      </c>
      <c r="C11" s="734">
        <v>12.399999618530273</v>
      </c>
      <c r="D11" s="735">
        <v>0.45899999141693115</v>
      </c>
      <c r="E11" s="734">
        <v>1350.5</v>
      </c>
      <c r="F11" s="734">
        <v>183.60000610351563</v>
      </c>
      <c r="G11" s="734">
        <v>439.5</v>
      </c>
      <c r="H11" s="389"/>
      <c r="I11" s="389"/>
      <c r="J11" s="389"/>
      <c r="K11" s="389"/>
      <c r="L11" s="389"/>
    </row>
    <row r="12" spans="1:12" ht="15.95" customHeight="1">
      <c r="A12" s="564" t="s">
        <v>478</v>
      </c>
      <c r="B12" s="734">
        <v>99.099998474121094</v>
      </c>
      <c r="C12" s="734">
        <v>20.299999237060547</v>
      </c>
      <c r="D12" s="735">
        <v>0.49500000476837158</v>
      </c>
      <c r="E12" s="734">
        <v>1340</v>
      </c>
      <c r="F12" s="734">
        <v>195.30000305175781</v>
      </c>
      <c r="G12" s="734">
        <v>394.70001220703125</v>
      </c>
      <c r="H12" s="389"/>
      <c r="I12" s="389"/>
      <c r="J12" s="389"/>
      <c r="K12" s="389"/>
      <c r="L12" s="389"/>
    </row>
    <row r="13" spans="1:12" ht="15.95" customHeight="1">
      <c r="A13" s="564" t="s">
        <v>479</v>
      </c>
      <c r="B13" s="734">
        <v>101.90000152587891</v>
      </c>
      <c r="C13" s="734">
        <v>31.399999618530273</v>
      </c>
      <c r="D13" s="735">
        <v>0.55299997329711914</v>
      </c>
      <c r="E13" s="734">
        <v>1327.4000244140625</v>
      </c>
      <c r="F13" s="734">
        <v>214.60000610351563</v>
      </c>
      <c r="G13" s="734">
        <v>352.70001220703125</v>
      </c>
      <c r="H13" s="389"/>
      <c r="I13" s="389"/>
      <c r="J13" s="389"/>
      <c r="K13" s="389"/>
      <c r="L13" s="389"/>
    </row>
    <row r="14" spans="1:12" ht="15.95" customHeight="1">
      <c r="A14" s="564" t="s">
        <v>480</v>
      </c>
      <c r="B14" s="734">
        <v>107.5</v>
      </c>
      <c r="C14" s="734">
        <v>47.700000762939453</v>
      </c>
      <c r="D14" s="735">
        <v>0.65200001001358032</v>
      </c>
      <c r="E14" s="734">
        <v>1310.4000244140625</v>
      </c>
      <c r="F14" s="734">
        <v>247.80000305175781</v>
      </c>
      <c r="G14" s="734">
        <v>310.89999389648438</v>
      </c>
      <c r="H14" s="389"/>
      <c r="I14" s="389"/>
      <c r="J14" s="389"/>
      <c r="K14" s="389"/>
      <c r="L14" s="389"/>
    </row>
    <row r="15" spans="1:12" ht="15.95" customHeight="1">
      <c r="A15" s="564" t="s">
        <v>481</v>
      </c>
      <c r="B15" s="734">
        <v>117.30000305175781</v>
      </c>
      <c r="C15" s="734">
        <v>63.900001525878906</v>
      </c>
      <c r="D15" s="735">
        <v>0.36500000953674316</v>
      </c>
      <c r="E15" s="734">
        <v>1290</v>
      </c>
      <c r="F15" s="734">
        <v>134.60000610351563</v>
      </c>
      <c r="G15" s="734">
        <v>229.10000610351563</v>
      </c>
      <c r="H15" s="389"/>
      <c r="I15" s="389"/>
      <c r="J15" s="389"/>
      <c r="K15" s="389"/>
      <c r="L15" s="389"/>
    </row>
    <row r="16" spans="1:12" ht="15.95" customHeight="1">
      <c r="A16" s="564" t="s">
        <v>482</v>
      </c>
      <c r="B16" s="734">
        <v>137.60000610351563</v>
      </c>
      <c r="C16" s="734">
        <v>77.099998474121094</v>
      </c>
      <c r="D16" s="735">
        <v>0.32100000977516174</v>
      </c>
      <c r="E16" s="734">
        <v>1255.800048828125</v>
      </c>
      <c r="F16" s="734">
        <v>114.69999694824219</v>
      </c>
      <c r="G16" s="734">
        <v>154.39999389648438</v>
      </c>
      <c r="H16" s="389"/>
      <c r="I16" s="389"/>
      <c r="J16" s="389"/>
      <c r="K16" s="389"/>
      <c r="L16" s="389"/>
    </row>
    <row r="17" spans="1:12" ht="15.95" customHeight="1">
      <c r="A17" s="564" t="s">
        <v>483</v>
      </c>
      <c r="B17" s="734">
        <v>203.30000305175781</v>
      </c>
      <c r="C17" s="734">
        <v>91</v>
      </c>
      <c r="D17" s="735">
        <v>0.17399999499320984</v>
      </c>
      <c r="E17" s="734">
        <v>1141.0999755859375</v>
      </c>
      <c r="F17" s="734">
        <v>57.5</v>
      </c>
      <c r="G17" s="734">
        <v>55.5</v>
      </c>
      <c r="H17" s="389"/>
      <c r="I17" s="389"/>
      <c r="J17" s="389"/>
      <c r="K17" s="389"/>
      <c r="L17" s="389"/>
    </row>
    <row r="18" spans="1:12" ht="15.95" customHeight="1">
      <c r="A18" s="564" t="s">
        <v>484</v>
      </c>
      <c r="B18" s="734">
        <v>193.5</v>
      </c>
      <c r="C18" s="734">
        <v>98.800003051757813</v>
      </c>
      <c r="D18" s="735">
        <v>3.2000001519918442E-2</v>
      </c>
      <c r="E18" s="734">
        <v>699.5999755859375</v>
      </c>
      <c r="F18" s="734">
        <v>7.6999998092651367</v>
      </c>
      <c r="G18" s="734">
        <v>17.799999237060547</v>
      </c>
      <c r="H18" s="389"/>
      <c r="I18" s="389"/>
      <c r="J18" s="389"/>
      <c r="K18" s="389"/>
      <c r="L18" s="389"/>
    </row>
    <row r="19" spans="1:12" ht="15.95" customHeight="1">
      <c r="A19" s="564" t="s">
        <v>485</v>
      </c>
      <c r="B19" s="734">
        <v>116</v>
      </c>
      <c r="C19" s="734">
        <v>99.800003051757813</v>
      </c>
      <c r="D19" s="735">
        <v>4.5000001788139343E-2</v>
      </c>
      <c r="E19" s="734">
        <v>174.5</v>
      </c>
      <c r="F19" s="734">
        <v>0.5</v>
      </c>
      <c r="G19" s="734">
        <v>28.5</v>
      </c>
      <c r="H19" s="389"/>
      <c r="I19" s="389"/>
      <c r="J19" s="389"/>
      <c r="K19" s="389"/>
      <c r="L19" s="389"/>
    </row>
    <row r="20" spans="1:12" ht="15.75">
      <c r="A20" s="551"/>
      <c r="B20" s="551"/>
      <c r="C20" s="551"/>
      <c r="D20" s="551"/>
      <c r="E20" s="551"/>
      <c r="F20" s="551"/>
      <c r="G20" s="551"/>
      <c r="H20" s="389"/>
      <c r="I20" s="389"/>
      <c r="J20" s="389"/>
      <c r="K20" s="389"/>
      <c r="L20" s="389"/>
    </row>
    <row r="21" spans="1:12" ht="15.75">
      <c r="A21" s="551"/>
      <c r="B21" s="551"/>
      <c r="C21" s="551"/>
      <c r="D21" s="702" t="s">
        <v>775</v>
      </c>
      <c r="E21" s="703"/>
      <c r="F21" s="703"/>
      <c r="G21" s="704"/>
      <c r="H21" s="389"/>
      <c r="I21" s="389"/>
      <c r="J21" s="389"/>
      <c r="K21" s="389"/>
      <c r="L21" s="389"/>
    </row>
    <row r="22" spans="1:12" ht="17.25" customHeight="1">
      <c r="A22" s="551"/>
      <c r="B22" s="705" t="s">
        <v>444</v>
      </c>
      <c r="C22" s="705"/>
      <c r="D22" s="705" t="s">
        <v>445</v>
      </c>
      <c r="E22" s="705"/>
      <c r="F22" s="705" t="s">
        <v>446</v>
      </c>
      <c r="G22" s="705"/>
      <c r="H22" s="389"/>
      <c r="I22" s="389"/>
      <c r="J22" s="389"/>
      <c r="K22" s="389"/>
      <c r="L22" s="389"/>
    </row>
    <row r="23" spans="1:12" ht="15.75">
      <c r="A23" s="556" t="s">
        <v>447</v>
      </c>
      <c r="B23" s="700" t="s">
        <v>776</v>
      </c>
      <c r="C23" s="700"/>
      <c r="D23" s="700" t="s">
        <v>779</v>
      </c>
      <c r="E23" s="700"/>
      <c r="F23" s="700" t="s">
        <v>781</v>
      </c>
      <c r="G23" s="700"/>
      <c r="H23" s="389"/>
      <c r="I23" s="389"/>
      <c r="J23" s="389"/>
      <c r="K23" s="389"/>
      <c r="L23" s="389"/>
    </row>
    <row r="24" spans="1:12" ht="18" customHeight="1">
      <c r="A24" s="556" t="s">
        <v>448</v>
      </c>
      <c r="B24" s="700" t="s">
        <v>777</v>
      </c>
      <c r="C24" s="700"/>
      <c r="D24" s="700" t="s">
        <v>780</v>
      </c>
      <c r="E24" s="700"/>
      <c r="F24" s="700" t="s">
        <v>782</v>
      </c>
      <c r="G24" s="700"/>
      <c r="H24" s="389"/>
      <c r="I24" s="389"/>
      <c r="J24" s="389"/>
      <c r="K24" s="389"/>
      <c r="L24" s="389"/>
    </row>
    <row r="25" spans="1:12" ht="15.75">
      <c r="A25" s="556" t="s">
        <v>449</v>
      </c>
      <c r="B25" s="700" t="s">
        <v>778</v>
      </c>
      <c r="C25" s="700"/>
      <c r="D25" s="700" t="s">
        <v>747</v>
      </c>
      <c r="E25" s="700"/>
      <c r="F25" s="700" t="s">
        <v>783</v>
      </c>
      <c r="G25" s="700"/>
      <c r="H25" s="389"/>
      <c r="I25" s="389"/>
      <c r="J25" s="389"/>
      <c r="K25" s="389"/>
      <c r="L25" s="389"/>
    </row>
    <row r="26" spans="1:12" ht="15.75">
      <c r="A26" s="551"/>
      <c r="B26" s="551"/>
      <c r="C26" s="551"/>
      <c r="D26" s="551"/>
      <c r="E26" s="551"/>
      <c r="F26" s="551"/>
      <c r="G26" s="551"/>
      <c r="H26" s="389"/>
      <c r="I26" s="389"/>
      <c r="J26" s="389"/>
      <c r="K26" s="389"/>
      <c r="L26" s="389"/>
    </row>
    <row r="27" spans="1:12" ht="20.25">
      <c r="A27" s="550" t="s">
        <v>450</v>
      </c>
      <c r="B27" s="551"/>
      <c r="C27" s="551"/>
      <c r="D27" s="551"/>
      <c r="E27" s="551"/>
      <c r="F27" s="551"/>
      <c r="G27" s="551"/>
      <c r="H27" s="389"/>
      <c r="I27" s="389"/>
      <c r="J27" s="389"/>
      <c r="K27" s="389"/>
      <c r="L27" s="389"/>
    </row>
    <row r="28" spans="1:12" ht="15.75">
      <c r="A28" s="551"/>
      <c r="B28" s="551"/>
      <c r="C28" s="551"/>
      <c r="D28" s="551"/>
      <c r="E28" s="706" t="s">
        <v>451</v>
      </c>
      <c r="F28" s="703"/>
      <c r="G28" s="704"/>
      <c r="H28" s="389"/>
      <c r="I28" s="389"/>
      <c r="J28" s="389"/>
      <c r="K28" s="389"/>
      <c r="L28" s="389"/>
    </row>
    <row r="29" spans="1:12" ht="15.75">
      <c r="A29" s="551"/>
      <c r="B29" s="705" t="s">
        <v>452</v>
      </c>
      <c r="C29" s="705"/>
      <c r="D29" s="565" t="s">
        <v>453</v>
      </c>
      <c r="E29" s="565" t="s">
        <v>454</v>
      </c>
      <c r="F29" s="705" t="s">
        <v>455</v>
      </c>
      <c r="G29" s="705"/>
      <c r="H29" s="389"/>
      <c r="I29" s="389"/>
      <c r="J29" s="389"/>
      <c r="K29" s="389"/>
      <c r="L29" s="389"/>
    </row>
    <row r="30" spans="1:12" ht="15.75">
      <c r="A30" s="556" t="s">
        <v>456</v>
      </c>
      <c r="B30" s="700" t="s">
        <v>784</v>
      </c>
      <c r="C30" s="700"/>
      <c r="D30" s="564" t="s">
        <v>786</v>
      </c>
      <c r="E30" s="564" t="s">
        <v>457</v>
      </c>
      <c r="F30" s="700" t="s">
        <v>789</v>
      </c>
      <c r="G30" s="700"/>
      <c r="H30" s="389"/>
      <c r="I30" s="389"/>
      <c r="J30" s="389"/>
      <c r="K30" s="389"/>
      <c r="L30" s="389"/>
    </row>
    <row r="31" spans="1:12" ht="15.75">
      <c r="A31" s="556" t="s">
        <v>458</v>
      </c>
      <c r="B31" s="700" t="s">
        <v>526</v>
      </c>
      <c r="C31" s="700"/>
      <c r="D31" s="564" t="s">
        <v>787</v>
      </c>
      <c r="E31" s="564" t="s">
        <v>459</v>
      </c>
      <c r="F31" s="700" t="s">
        <v>532</v>
      </c>
      <c r="G31" s="700"/>
      <c r="H31" s="389"/>
      <c r="I31" s="389"/>
      <c r="J31" s="389"/>
      <c r="K31" s="389"/>
      <c r="L31" s="389"/>
    </row>
    <row r="32" spans="1:12" ht="15.75">
      <c r="A32" s="556" t="s">
        <v>460</v>
      </c>
      <c r="B32" s="700" t="s">
        <v>785</v>
      </c>
      <c r="C32" s="700"/>
      <c r="D32" s="564" t="s">
        <v>788</v>
      </c>
      <c r="E32" s="564" t="s">
        <v>461</v>
      </c>
      <c r="F32" s="700" t="s">
        <v>790</v>
      </c>
      <c r="G32" s="700"/>
      <c r="H32" s="389"/>
      <c r="I32" s="389"/>
      <c r="J32" s="389"/>
      <c r="K32" s="389"/>
      <c r="L32" s="389"/>
    </row>
    <row r="33" spans="1:12" ht="15.75">
      <c r="A33" s="551"/>
      <c r="B33" s="551"/>
      <c r="C33" s="551"/>
      <c r="D33" s="551"/>
      <c r="E33" s="551"/>
      <c r="F33" s="551"/>
      <c r="G33" s="551"/>
      <c r="H33" s="389"/>
      <c r="I33" s="389"/>
      <c r="J33" s="389"/>
      <c r="K33" s="389"/>
      <c r="L33" s="389"/>
    </row>
    <row r="34" spans="1:12" ht="15.75">
      <c r="A34" s="551"/>
      <c r="B34" s="551"/>
      <c r="C34" s="551"/>
      <c r="D34" s="551"/>
      <c r="E34" s="706" t="s">
        <v>462</v>
      </c>
      <c r="F34" s="703"/>
      <c r="G34" s="704"/>
      <c r="H34" s="389"/>
      <c r="I34" s="389"/>
      <c r="J34" s="389"/>
      <c r="K34" s="389"/>
      <c r="L34" s="389"/>
    </row>
    <row r="35" spans="1:12" ht="15.75">
      <c r="A35" s="551"/>
      <c r="B35" s="705" t="s">
        <v>463</v>
      </c>
      <c r="C35" s="705"/>
      <c r="D35" s="565" t="s">
        <v>454</v>
      </c>
      <c r="E35" s="565" t="s">
        <v>464</v>
      </c>
      <c r="F35" s="565" t="s">
        <v>100</v>
      </c>
      <c r="G35" s="565" t="s">
        <v>465</v>
      </c>
      <c r="H35" s="389"/>
      <c r="I35" s="389"/>
      <c r="J35" s="389"/>
      <c r="K35" s="389"/>
      <c r="L35" s="389"/>
    </row>
    <row r="36" spans="1:12" ht="15.75">
      <c r="A36" s="556" t="s">
        <v>456</v>
      </c>
      <c r="B36" s="707" t="s">
        <v>791</v>
      </c>
      <c r="C36" s="708"/>
      <c r="D36" s="557" t="s">
        <v>793</v>
      </c>
      <c r="E36" s="557" t="s">
        <v>466</v>
      </c>
      <c r="F36" s="558" t="s">
        <v>467</v>
      </c>
      <c r="G36" s="564" t="s">
        <v>796</v>
      </c>
      <c r="H36" s="389"/>
      <c r="I36" s="389"/>
      <c r="J36" s="389"/>
      <c r="K36" s="389"/>
      <c r="L36" s="389"/>
    </row>
    <row r="37" spans="1:12" ht="15.75">
      <c r="A37" s="556" t="s">
        <v>458</v>
      </c>
      <c r="B37" s="707" t="s">
        <v>792</v>
      </c>
      <c r="C37" s="708"/>
      <c r="D37" s="557" t="s">
        <v>794</v>
      </c>
      <c r="E37" s="557" t="s">
        <v>466</v>
      </c>
      <c r="F37" s="558" t="s">
        <v>468</v>
      </c>
      <c r="G37" s="559" t="s">
        <v>797</v>
      </c>
      <c r="H37" s="389"/>
      <c r="I37" s="389"/>
      <c r="J37" s="389"/>
      <c r="K37" s="389"/>
      <c r="L37" s="389"/>
    </row>
    <row r="38" spans="1:12" ht="15.75">
      <c r="A38" s="556" t="s">
        <v>460</v>
      </c>
      <c r="B38" s="707" t="s">
        <v>792</v>
      </c>
      <c r="C38" s="708"/>
      <c r="D38" s="557" t="s">
        <v>795</v>
      </c>
      <c r="E38" s="557" t="s">
        <v>466</v>
      </c>
      <c r="F38" s="558" t="s">
        <v>469</v>
      </c>
      <c r="G38" s="564" t="s">
        <v>798</v>
      </c>
      <c r="H38" s="389"/>
      <c r="I38" s="389"/>
      <c r="J38" s="389"/>
      <c r="K38" s="389"/>
      <c r="L38" s="389"/>
    </row>
    <row r="39" spans="1:12" ht="15.75">
      <c r="A39" s="551"/>
      <c r="B39" s="551"/>
      <c r="C39" s="551"/>
      <c r="D39" s="551"/>
      <c r="E39" s="551"/>
      <c r="F39" s="551"/>
      <c r="G39" s="551"/>
      <c r="H39" s="389"/>
      <c r="I39" s="389"/>
      <c r="J39" s="389"/>
      <c r="K39" s="389"/>
      <c r="L39" s="389"/>
    </row>
    <row r="40" spans="1:12" ht="15.75">
      <c r="A40" s="563" t="s">
        <v>470</v>
      </c>
      <c r="B40" s="709" t="s">
        <v>542</v>
      </c>
      <c r="C40" s="709"/>
      <c r="D40" s="710" t="s">
        <v>471</v>
      </c>
      <c r="E40" s="710"/>
      <c r="F40" s="709" t="s">
        <v>799</v>
      </c>
      <c r="G40" s="709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H12" sqref="H12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391"/>
      <c r="B1" s="392"/>
      <c r="C1" s="392"/>
      <c r="D1" s="392"/>
      <c r="E1" s="392"/>
      <c r="F1" s="393"/>
    </row>
    <row r="2" spans="1:6" ht="26.1" customHeight="1">
      <c r="A2" s="394" t="s">
        <v>249</v>
      </c>
      <c r="B2" s="395"/>
      <c r="C2" s="395"/>
      <c r="D2" s="395"/>
      <c r="E2" s="395"/>
      <c r="F2" s="396"/>
    </row>
    <row r="3" spans="1:6" ht="18.95" customHeight="1">
      <c r="A3" s="711" t="s">
        <v>544</v>
      </c>
      <c r="B3" s="712"/>
      <c r="C3" s="712"/>
      <c r="D3" s="712"/>
      <c r="E3" s="712"/>
      <c r="F3" s="713"/>
    </row>
    <row r="4" spans="1:6" ht="18.95" customHeight="1">
      <c r="A4" s="714" t="s">
        <v>545</v>
      </c>
      <c r="B4" s="715"/>
      <c r="C4" s="715"/>
      <c r="D4" s="715"/>
      <c r="E4" s="715"/>
      <c r="F4" s="716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368" t="s">
        <v>400</v>
      </c>
      <c r="B6" s="697" t="str">
        <f>'Performance Data Sheet'!C17</f>
        <v>M353TCQL11F-C</v>
      </c>
      <c r="C6" s="698"/>
      <c r="D6" s="699"/>
      <c r="E6" s="368" t="s">
        <v>401</v>
      </c>
      <c r="F6" s="369">
        <v>215</v>
      </c>
    </row>
    <row r="7" spans="1:6" ht="18.95" customHeight="1">
      <c r="A7" s="368" t="s">
        <v>402</v>
      </c>
      <c r="B7" s="369" t="str">
        <f>'Performance Data Sheet'!F14</f>
        <v>TEAAC</v>
      </c>
      <c r="C7" s="368" t="s">
        <v>403</v>
      </c>
      <c r="D7" s="369" t="s">
        <v>425</v>
      </c>
      <c r="E7" s="368" t="s">
        <v>404</v>
      </c>
      <c r="F7" s="369" t="str">
        <f>'Performance Data Sheet'!C14</f>
        <v>6810USS</v>
      </c>
    </row>
    <row r="8" spans="1:6" ht="18.95" customHeight="1">
      <c r="A8" s="368" t="s">
        <v>405</v>
      </c>
      <c r="B8" s="369">
        <v>2</v>
      </c>
      <c r="C8" s="368" t="s">
        <v>406</v>
      </c>
      <c r="D8" s="369" t="s">
        <v>407</v>
      </c>
      <c r="E8" s="368" t="s">
        <v>408</v>
      </c>
      <c r="F8" s="369" t="str">
        <f>'Performance Data Sheet'!M15</f>
        <v>F</v>
      </c>
    </row>
    <row r="9" spans="1:6" ht="18.95" customHeight="1">
      <c r="A9" s="368" t="s">
        <v>409</v>
      </c>
      <c r="B9" s="369">
        <v>1750</v>
      </c>
      <c r="C9" s="368" t="s">
        <v>410</v>
      </c>
      <c r="D9" s="369" t="s">
        <v>426</v>
      </c>
      <c r="E9" s="368" t="s">
        <v>2</v>
      </c>
      <c r="F9" s="370">
        <f>'Performance Data Sheet'!K45</f>
        <v>41939</v>
      </c>
    </row>
    <row r="10" spans="1:6" ht="18.95" customHeight="1">
      <c r="A10" s="368" t="s">
        <v>411</v>
      </c>
      <c r="B10" s="369">
        <v>3581</v>
      </c>
      <c r="C10" s="368" t="s">
        <v>412</v>
      </c>
      <c r="D10" s="562" t="s">
        <v>754</v>
      </c>
      <c r="E10" s="368" t="s">
        <v>1</v>
      </c>
      <c r="F10" s="369" t="s">
        <v>361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97"/>
      <c r="B12" s="400"/>
      <c r="C12" s="401"/>
      <c r="D12" s="400"/>
      <c r="E12" s="401"/>
      <c r="F12" s="399"/>
    </row>
    <row r="13" spans="1:6" ht="18.95" customHeight="1">
      <c r="A13" s="397"/>
      <c r="B13" s="400"/>
      <c r="C13" s="402"/>
      <c r="D13" s="400"/>
      <c r="E13" s="401"/>
      <c r="F13" s="399"/>
    </row>
    <row r="14" spans="1:6" ht="18.95" customHeight="1">
      <c r="A14" s="397"/>
      <c r="B14" s="400"/>
      <c r="C14" s="402"/>
      <c r="D14" s="400"/>
      <c r="E14" s="401"/>
      <c r="F14" s="399"/>
    </row>
    <row r="15" spans="1:6" ht="18.95" customHeight="1">
      <c r="A15" s="397"/>
      <c r="B15" s="400"/>
      <c r="C15" s="401"/>
      <c r="D15" s="398"/>
      <c r="E15" s="398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6" ht="18.95" customHeight="1">
      <c r="A17" s="397"/>
      <c r="B17" s="398"/>
      <c r="C17" s="398"/>
      <c r="D17" s="398"/>
      <c r="E17" s="398"/>
      <c r="F17" s="399"/>
    </row>
    <row r="18" spans="1:6" ht="18.95" customHeight="1">
      <c r="A18" s="397"/>
      <c r="B18" s="398"/>
      <c r="C18" s="398"/>
      <c r="D18" s="398"/>
      <c r="E18" s="398"/>
      <c r="F18" s="399"/>
    </row>
    <row r="19" spans="1:6" ht="18.95" customHeight="1">
      <c r="A19" s="397"/>
      <c r="B19" s="398"/>
      <c r="C19" s="398"/>
      <c r="D19" s="398"/>
      <c r="E19" s="398"/>
      <c r="F19" s="399"/>
    </row>
    <row r="20" spans="1:6" ht="18.95" customHeight="1">
      <c r="A20" s="397"/>
      <c r="B20" s="398"/>
      <c r="C20" s="398"/>
      <c r="D20" s="398"/>
      <c r="E20" s="398"/>
      <c r="F20" s="399"/>
    </row>
    <row r="21" spans="1:6" ht="18.95" customHeight="1">
      <c r="A21" s="397"/>
      <c r="B21" s="398"/>
      <c r="C21" s="398"/>
      <c r="D21" s="398"/>
      <c r="E21" s="398"/>
      <c r="F21" s="399"/>
    </row>
    <row r="22" spans="1:6" ht="18.95" customHeight="1">
      <c r="A22" s="397"/>
      <c r="B22" s="398"/>
      <c r="C22" s="398"/>
      <c r="D22" s="398"/>
      <c r="E22" s="398"/>
      <c r="F22" s="399"/>
    </row>
    <row r="23" spans="1:6" ht="18.95" customHeight="1">
      <c r="A23" s="397"/>
      <c r="B23" s="398"/>
      <c r="C23" s="398"/>
      <c r="D23" s="398"/>
      <c r="E23" s="398"/>
      <c r="F23" s="399"/>
    </row>
    <row r="24" spans="1:6" ht="18.95" customHeight="1">
      <c r="A24" s="397"/>
      <c r="B24" s="398"/>
      <c r="C24" s="398"/>
      <c r="D24" s="398"/>
      <c r="E24" s="398"/>
      <c r="F24" s="399"/>
    </row>
    <row r="25" spans="1:6" ht="18.95" customHeight="1">
      <c r="A25" s="397"/>
      <c r="B25" s="398"/>
      <c r="C25" s="398"/>
      <c r="D25" s="398"/>
      <c r="E25" s="398"/>
      <c r="F25" s="399"/>
    </row>
    <row r="26" spans="1:6" ht="18.95" customHeight="1">
      <c r="A26" s="397"/>
      <c r="B26" s="398"/>
      <c r="C26" s="398"/>
      <c r="D26" s="398"/>
      <c r="E26" s="398"/>
      <c r="F26" s="399"/>
    </row>
    <row r="27" spans="1:6" ht="18.95" customHeight="1">
      <c r="A27" s="397"/>
      <c r="B27" s="398"/>
      <c r="C27" s="398"/>
      <c r="D27" s="398"/>
      <c r="E27" s="398"/>
      <c r="F27" s="399"/>
    </row>
    <row r="28" spans="1:6" ht="18.95" customHeight="1">
      <c r="A28" s="397"/>
      <c r="B28" s="398"/>
      <c r="C28" s="398"/>
      <c r="D28" s="398"/>
      <c r="E28" s="398"/>
      <c r="F28" s="399"/>
    </row>
    <row r="29" spans="1:6" ht="18.95" customHeight="1">
      <c r="A29" s="397"/>
      <c r="B29" s="398"/>
      <c r="C29" s="398"/>
      <c r="D29" s="398"/>
      <c r="E29" s="398"/>
      <c r="F29" s="399"/>
    </row>
    <row r="30" spans="1:6" ht="18.95" customHeight="1">
      <c r="A30" s="397"/>
      <c r="B30" s="398"/>
      <c r="C30" s="398"/>
      <c r="D30" s="398"/>
      <c r="E30" s="398"/>
      <c r="F30" s="399"/>
    </row>
    <row r="31" spans="1:6" ht="18.95" customHeight="1">
      <c r="A31" s="397"/>
      <c r="B31" s="398"/>
      <c r="C31" s="398"/>
      <c r="D31" s="398"/>
      <c r="E31" s="398"/>
      <c r="F31" s="399"/>
    </row>
    <row r="32" spans="1:6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374" t="s">
        <v>421</v>
      </c>
      <c r="B39" s="375"/>
      <c r="C39" s="375"/>
      <c r="D39" s="366"/>
      <c r="E39" s="371" t="s">
        <v>422</v>
      </c>
      <c r="F39" s="376" t="s">
        <v>361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423</v>
      </c>
      <c r="D43" s="379" t="str">
        <f>'Performance Data Sheet'!K43</f>
        <v>Mario L</v>
      </c>
      <c r="E43" s="378" t="s">
        <v>424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3" t="e">
        <f>5252.1*B50/D53</f>
        <v>#DIV/0!</v>
      </c>
      <c r="G50" s="403"/>
    </row>
    <row r="51" spans="6:9" ht="15" customHeight="1">
      <c r="G51" s="40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5"/>
    </row>
    <row r="63" spans="6:9">
      <c r="I63" s="406" t="s">
        <v>39</v>
      </c>
    </row>
    <row r="64" spans="6:9">
      <c r="I64" s="406"/>
    </row>
    <row r="65" spans="1:9">
      <c r="I65" s="406"/>
    </row>
    <row r="66" spans="1:9">
      <c r="D66" s="403" t="e">
        <f>D65/D64</f>
        <v>#DIV/0!</v>
      </c>
    </row>
    <row r="67" spans="1:9">
      <c r="A67" s="407" t="s">
        <v>397</v>
      </c>
      <c r="B67" s="407" t="s">
        <v>546</v>
      </c>
      <c r="C67" s="407" t="s">
        <v>547</v>
      </c>
      <c r="E67" s="407" t="s">
        <v>548</v>
      </c>
      <c r="F67" s="407" t="s">
        <v>549</v>
      </c>
    </row>
    <row r="68" spans="1:9">
      <c r="A68" s="408">
        <v>640.93023255813955</v>
      </c>
      <c r="B68" s="409">
        <v>32.342248644147602</v>
      </c>
      <c r="C68" s="409">
        <v>14.947023391723635</v>
      </c>
      <c r="E68" s="408">
        <f>A68</f>
        <v>640.93023255813955</v>
      </c>
      <c r="F68" s="561">
        <v>1E-4</v>
      </c>
    </row>
    <row r="69" spans="1:9">
      <c r="A69" s="408">
        <f>FLOOR(A68,100)</f>
        <v>600</v>
      </c>
      <c r="B69" s="409">
        <f>((A68/A69)^2)*B68</f>
        <v>36.905341310253938</v>
      </c>
      <c r="C69" s="409">
        <f>((A68/A69)^2)*C68</f>
        <v>17.055864170524451</v>
      </c>
      <c r="E69" s="408">
        <v>639.76744186046517</v>
      </c>
      <c r="F69" s="561">
        <v>0.64600002765655518</v>
      </c>
    </row>
    <row r="70" spans="1:9">
      <c r="A70" s="408">
        <f>A69-100</f>
        <v>500</v>
      </c>
      <c r="B70" s="409">
        <f>((A68/A70)^2)*B68</f>
        <v>53.143691486765661</v>
      </c>
      <c r="C70" s="409">
        <f>((A68/A70)^2)*C68</f>
        <v>24.560444405555209</v>
      </c>
      <c r="E70" s="408">
        <v>637.25581395348843</v>
      </c>
      <c r="F70" s="561">
        <v>1.2050000429153442</v>
      </c>
    </row>
    <row r="71" spans="1:9">
      <c r="A71" s="408">
        <f>A70-100</f>
        <v>400</v>
      </c>
      <c r="B71" s="409">
        <f>((A68/A71)^2)*B68</f>
        <v>83.037017948071366</v>
      </c>
      <c r="C71" s="409">
        <f>((A68/A71)^2)*C68</f>
        <v>38.375694383680027</v>
      </c>
      <c r="E71" s="408">
        <v>634.32558139534888</v>
      </c>
      <c r="F71" s="561">
        <v>1.7350000143051147</v>
      </c>
    </row>
    <row r="72" spans="1:9">
      <c r="A72" s="408">
        <f>A71-100</f>
        <v>300</v>
      </c>
      <c r="B72" s="409">
        <f>((A68/A72)^2)*B68</f>
        <v>147.62136524101575</v>
      </c>
      <c r="C72" s="409"/>
      <c r="E72" s="408">
        <v>630.83720930232562</v>
      </c>
      <c r="F72" s="561">
        <v>2.2650001049041748</v>
      </c>
    </row>
    <row r="73" spans="1:9">
      <c r="A73" s="408">
        <f>A72-100</f>
        <v>200</v>
      </c>
      <c r="B73" s="409">
        <f>((A68/A73)^2)*B68</f>
        <v>332.14807179228546</v>
      </c>
      <c r="C73" s="409"/>
      <c r="E73" s="408">
        <v>626.69767441860461</v>
      </c>
      <c r="F73" s="561">
        <v>2.817000150680542</v>
      </c>
    </row>
    <row r="74" spans="1:9">
      <c r="A74" s="408">
        <v>255</v>
      </c>
      <c r="B74" s="409">
        <f>((A68/A74)^2)*B68</f>
        <v>204.32022870728824</v>
      </c>
      <c r="C74" s="409">
        <f>((A68/A74)^2)*C68</f>
        <v>94.426929663803207</v>
      </c>
      <c r="E74" s="408">
        <v>621.81395348837214</v>
      </c>
      <c r="F74" s="561">
        <v>3.4130001068115234</v>
      </c>
    </row>
    <row r="75" spans="1:9">
      <c r="A75" s="410">
        <v>180</v>
      </c>
      <c r="B75" s="409">
        <f>((A68/A75)^2)*B69</f>
        <v>467.91366790577644</v>
      </c>
      <c r="C75" s="409">
        <f>((A68/A75)^2)*C68</f>
        <v>189.50960189471613</v>
      </c>
      <c r="E75" s="408">
        <v>616</v>
      </c>
      <c r="F75" s="561">
        <v>4.0789999961853027</v>
      </c>
    </row>
    <row r="76" spans="1:9">
      <c r="A76" s="410">
        <v>145</v>
      </c>
      <c r="B76" s="409">
        <f>((A68/A76)^2)*B68</f>
        <v>631.91071922432423</v>
      </c>
      <c r="C76" s="409">
        <f>((A68/A76)^2)*C68</f>
        <v>292.03857794952688</v>
      </c>
      <c r="E76" s="408">
        <v>608.09302325581405</v>
      </c>
      <c r="F76" s="561">
        <v>4.8639998435974121</v>
      </c>
    </row>
    <row r="77" spans="1:9">
      <c r="A77" s="410">
        <v>125</v>
      </c>
      <c r="B77" s="409"/>
      <c r="C77" s="408">
        <f>CEILING(C76*2,100)</f>
        <v>600</v>
      </c>
      <c r="E77" s="408">
        <v>598.65116279069764</v>
      </c>
      <c r="F77" s="561">
        <v>5.3029999732971191</v>
      </c>
    </row>
    <row r="78" spans="1:9">
      <c r="A78" s="410">
        <v>125</v>
      </c>
      <c r="B78" s="409"/>
      <c r="C78" s="408">
        <f>2*C77</f>
        <v>1200</v>
      </c>
      <c r="E78" s="408">
        <v>582.74418604651169</v>
      </c>
      <c r="F78" s="561">
        <v>5.6909999847412109</v>
      </c>
    </row>
    <row r="79" spans="1:9">
      <c r="A79" s="410">
        <v>125</v>
      </c>
      <c r="B79" s="410"/>
      <c r="C79" s="410">
        <v>10000</v>
      </c>
      <c r="E79" s="408">
        <v>529.53488372093022</v>
      </c>
      <c r="F79" s="561">
        <v>5.9000000953674316</v>
      </c>
    </row>
    <row r="80" spans="1:9">
      <c r="E80" s="408">
        <v>324.6511627906977</v>
      </c>
      <c r="F80" s="561">
        <v>5.9380002021789551</v>
      </c>
    </row>
    <row r="81" spans="5:6">
      <c r="E81" s="408">
        <v>0</v>
      </c>
      <c r="F81" s="561">
        <v>5.9940004348754883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88" customWidth="1"/>
    <col min="2" max="11" width="7.7109375" style="388" customWidth="1"/>
    <col min="12" max="16384" width="9.140625" style="388"/>
  </cols>
  <sheetData>
    <row r="1" spans="1:12" ht="20.25">
      <c r="A1" s="721" t="s">
        <v>550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389"/>
    </row>
    <row r="2" spans="1:12" ht="30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2" ht="19.5">
      <c r="A3" s="411" t="s">
        <v>433</v>
      </c>
      <c r="B3" s="412" t="s">
        <v>472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</row>
    <row r="4" spans="1:12" ht="12" customHeigh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</row>
    <row r="5" spans="1:12" ht="19.5">
      <c r="A5" s="413" t="s">
        <v>551</v>
      </c>
      <c r="B5" s="414"/>
      <c r="C5" s="414"/>
      <c r="D5" s="414"/>
      <c r="E5" s="414"/>
      <c r="F5" s="389"/>
      <c r="G5" s="389"/>
      <c r="H5" s="389"/>
      <c r="I5" s="389"/>
      <c r="J5" s="389"/>
      <c r="K5" s="389"/>
      <c r="L5" s="389"/>
    </row>
    <row r="6" spans="1:12" ht="17.25" customHeight="1">
      <c r="A6" s="389"/>
      <c r="B6" s="389"/>
      <c r="C6" s="389"/>
      <c r="D6" s="389"/>
      <c r="E6" s="389"/>
      <c r="F6" s="389"/>
      <c r="G6" s="389"/>
      <c r="H6" s="389"/>
      <c r="I6" s="389"/>
      <c r="J6" s="389"/>
      <c r="K6" s="389"/>
      <c r="L6" s="389"/>
    </row>
    <row r="7" spans="1:12" ht="15.75">
      <c r="A7" s="389"/>
      <c r="B7" s="415" t="s">
        <v>552</v>
      </c>
      <c r="C7" s="416">
        <v>0</v>
      </c>
      <c r="D7" s="415" t="s">
        <v>552</v>
      </c>
      <c r="E7" s="417" t="s">
        <v>553</v>
      </c>
      <c r="F7" s="415" t="s">
        <v>552</v>
      </c>
      <c r="G7" s="417" t="s">
        <v>554</v>
      </c>
      <c r="H7" s="415" t="s">
        <v>555</v>
      </c>
      <c r="I7" s="417">
        <v>0</v>
      </c>
      <c r="J7" s="415" t="s">
        <v>555</v>
      </c>
      <c r="K7" s="417">
        <v>5.0000000000000001E-3</v>
      </c>
      <c r="L7" s="389"/>
    </row>
    <row r="8" spans="1:12" ht="15.75">
      <c r="A8" s="390" t="s">
        <v>556</v>
      </c>
      <c r="B8" s="720">
        <v>6</v>
      </c>
      <c r="C8" s="720"/>
      <c r="D8" s="720">
        <v>12</v>
      </c>
      <c r="E8" s="720"/>
      <c r="F8" s="720">
        <v>0</v>
      </c>
      <c r="G8" s="720"/>
      <c r="H8" s="720" t="s">
        <v>571</v>
      </c>
      <c r="I8" s="720"/>
      <c r="J8" s="720" t="s">
        <v>572</v>
      </c>
      <c r="K8" s="720"/>
      <c r="L8" s="389"/>
    </row>
    <row r="9" spans="1:12" ht="15.75">
      <c r="A9" s="390" t="s">
        <v>557</v>
      </c>
      <c r="B9" s="720">
        <v>10</v>
      </c>
      <c r="C9" s="720"/>
      <c r="D9" s="720">
        <v>16</v>
      </c>
      <c r="E9" s="720"/>
      <c r="F9" s="720">
        <v>4</v>
      </c>
      <c r="G9" s="720"/>
      <c r="H9" s="720" t="s">
        <v>573</v>
      </c>
      <c r="I9" s="720"/>
      <c r="J9" s="720" t="s">
        <v>574</v>
      </c>
      <c r="K9" s="720"/>
      <c r="L9" s="389"/>
    </row>
    <row r="10" spans="1:12" ht="15.75">
      <c r="A10" s="390" t="s">
        <v>558</v>
      </c>
      <c r="B10" s="720">
        <v>8</v>
      </c>
      <c r="C10" s="720"/>
      <c r="D10" s="720">
        <v>14</v>
      </c>
      <c r="E10" s="720"/>
      <c r="F10" s="720">
        <v>2</v>
      </c>
      <c r="G10" s="720"/>
      <c r="H10" s="720" t="s">
        <v>575</v>
      </c>
      <c r="I10" s="720"/>
      <c r="J10" s="720" t="s">
        <v>576</v>
      </c>
      <c r="K10" s="720"/>
      <c r="L10" s="389"/>
    </row>
    <row r="11" spans="1:12" ht="26.25" customHeight="1">
      <c r="A11" s="389"/>
      <c r="B11" s="389"/>
      <c r="C11" s="389"/>
      <c r="D11" s="389"/>
      <c r="E11" s="389"/>
      <c r="F11" s="389"/>
      <c r="G11" s="389"/>
      <c r="H11" s="389"/>
      <c r="I11" s="389"/>
      <c r="J11" s="389"/>
      <c r="K11" s="389"/>
      <c r="L11" s="389"/>
    </row>
    <row r="12" spans="1:12" ht="19.5">
      <c r="A12" s="413" t="s">
        <v>559</v>
      </c>
      <c r="B12" s="389"/>
      <c r="C12" s="389"/>
      <c r="D12" s="389"/>
      <c r="E12" s="389"/>
      <c r="F12" s="389"/>
      <c r="G12" s="389"/>
      <c r="H12" s="389"/>
      <c r="I12" s="389"/>
      <c r="J12" s="389"/>
      <c r="K12" s="389"/>
      <c r="L12" s="389"/>
    </row>
    <row r="13" spans="1:12" ht="15.75">
      <c r="A13" s="389"/>
      <c r="B13" s="389"/>
      <c r="C13" s="389"/>
      <c r="D13" s="389"/>
      <c r="E13" s="389"/>
      <c r="F13" s="389"/>
      <c r="G13" s="389"/>
      <c r="H13" s="389"/>
      <c r="I13" s="389"/>
      <c r="J13" s="389"/>
      <c r="K13" s="389"/>
      <c r="L13" s="389"/>
    </row>
    <row r="14" spans="1:12" ht="15.75">
      <c r="A14" s="389"/>
      <c r="B14" s="717" t="s">
        <v>560</v>
      </c>
      <c r="C14" s="718"/>
      <c r="D14" s="719" t="s">
        <v>577</v>
      </c>
      <c r="E14" s="720"/>
      <c r="F14" s="717" t="s">
        <v>561</v>
      </c>
      <c r="G14" s="718"/>
      <c r="H14" s="719" t="s">
        <v>582</v>
      </c>
      <c r="I14" s="720"/>
      <c r="J14" s="389"/>
      <c r="K14" s="389"/>
      <c r="L14" s="389"/>
    </row>
    <row r="15" spans="1:12" ht="15.75">
      <c r="A15" s="389"/>
      <c r="B15" s="717" t="s">
        <v>562</v>
      </c>
      <c r="C15" s="718"/>
      <c r="D15" s="719" t="s">
        <v>578</v>
      </c>
      <c r="E15" s="720"/>
      <c r="F15" s="717" t="s">
        <v>563</v>
      </c>
      <c r="G15" s="718"/>
      <c r="H15" s="719" t="s">
        <v>583</v>
      </c>
      <c r="I15" s="720"/>
      <c r="J15" s="389"/>
      <c r="K15" s="389"/>
      <c r="L15" s="389"/>
    </row>
    <row r="16" spans="1:12" ht="15.75">
      <c r="A16" s="389"/>
      <c r="B16" s="717" t="s">
        <v>564</v>
      </c>
      <c r="C16" s="718"/>
      <c r="D16" s="719" t="s">
        <v>579</v>
      </c>
      <c r="E16" s="720"/>
      <c r="F16" s="717" t="s">
        <v>565</v>
      </c>
      <c r="G16" s="718"/>
      <c r="H16" s="719" t="s">
        <v>584</v>
      </c>
      <c r="I16" s="720"/>
      <c r="J16" s="389"/>
      <c r="K16" s="389"/>
      <c r="L16" s="389"/>
    </row>
    <row r="17" spans="1:12" ht="15.75">
      <c r="A17" s="389"/>
      <c r="B17" s="717" t="s">
        <v>566</v>
      </c>
      <c r="C17" s="718"/>
      <c r="D17" s="719" t="s">
        <v>580</v>
      </c>
      <c r="E17" s="720"/>
      <c r="F17" s="717" t="s">
        <v>567</v>
      </c>
      <c r="G17" s="718"/>
      <c r="H17" s="719" t="s">
        <v>585</v>
      </c>
      <c r="I17" s="720"/>
      <c r="J17" s="389"/>
      <c r="K17" s="389"/>
      <c r="L17" s="389"/>
    </row>
    <row r="18" spans="1:12" ht="15.75">
      <c r="A18" s="389"/>
      <c r="B18" s="717" t="s">
        <v>568</v>
      </c>
      <c r="C18" s="718"/>
      <c r="D18" s="719" t="s">
        <v>581</v>
      </c>
      <c r="E18" s="720"/>
      <c r="F18" s="717" t="s">
        <v>569</v>
      </c>
      <c r="G18" s="718"/>
      <c r="H18" s="719" t="s">
        <v>586</v>
      </c>
      <c r="I18" s="720"/>
      <c r="J18" s="389"/>
      <c r="K18" s="389"/>
      <c r="L18" s="389"/>
    </row>
    <row r="19" spans="1:12" ht="27" customHeight="1">
      <c r="A19" s="389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</row>
    <row r="20" spans="1:12" ht="19.5">
      <c r="A20" s="413" t="s">
        <v>570</v>
      </c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</row>
    <row r="22" spans="1:12" ht="19.5">
      <c r="A22" s="389"/>
      <c r="B22" s="413" t="s">
        <v>587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89"/>
    </row>
    <row r="23" spans="1:12" ht="15.75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</row>
    <row r="24" spans="1:12" ht="15.75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</row>
    <row r="25" spans="1:12" ht="15.75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15.75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1:12" ht="15.75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2" ht="15.75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2" ht="15.75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</row>
    <row r="32" spans="1:12" ht="15.75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3" workbookViewId="0">
      <selection activeCell="H43" sqref="H43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391"/>
      <c r="B1" s="392"/>
      <c r="C1" s="392"/>
      <c r="D1" s="392"/>
      <c r="E1" s="392"/>
      <c r="F1" s="393"/>
    </row>
    <row r="2" spans="1:6" ht="26.1" customHeight="1">
      <c r="A2" s="394" t="s">
        <v>249</v>
      </c>
      <c r="B2" s="395"/>
      <c r="C2" s="395"/>
      <c r="D2" s="395"/>
      <c r="E2" s="395"/>
      <c r="F2" s="396"/>
    </row>
    <row r="3" spans="1:6" ht="18.95" customHeight="1">
      <c r="A3" s="418" t="s">
        <v>588</v>
      </c>
      <c r="B3" s="395"/>
      <c r="C3" s="395"/>
      <c r="D3" s="395"/>
      <c r="E3" s="395"/>
      <c r="F3" s="396"/>
    </row>
    <row r="4" spans="1:6" ht="18.95" customHeight="1">
      <c r="A4" s="714" t="s">
        <v>545</v>
      </c>
      <c r="B4" s="715"/>
      <c r="C4" s="715"/>
      <c r="D4" s="715"/>
      <c r="E4" s="715"/>
      <c r="F4" s="716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368" t="s">
        <v>400</v>
      </c>
      <c r="B6" s="697" t="str">
        <f>'Performance Data Sheet'!C17</f>
        <v>M353TCQL11F-C</v>
      </c>
      <c r="C6" s="698"/>
      <c r="D6" s="699"/>
      <c r="E6" s="368" t="s">
        <v>401</v>
      </c>
      <c r="F6" s="369">
        <v>215</v>
      </c>
    </row>
    <row r="7" spans="1:6" ht="18.95" customHeight="1">
      <c r="A7" s="368" t="s">
        <v>402</v>
      </c>
      <c r="B7" s="369" t="str">
        <f>'Performance Data Sheet'!F14</f>
        <v>TEAAC</v>
      </c>
      <c r="C7" s="368" t="s">
        <v>403</v>
      </c>
      <c r="D7" s="369" t="s">
        <v>425</v>
      </c>
      <c r="E7" s="368" t="s">
        <v>404</v>
      </c>
      <c r="F7" s="369" t="str">
        <f>'Performance Data Sheet'!C14</f>
        <v>6810USS</v>
      </c>
    </row>
    <row r="8" spans="1:6" ht="18.95" customHeight="1">
      <c r="A8" s="368" t="s">
        <v>405</v>
      </c>
      <c r="B8" s="369">
        <v>2</v>
      </c>
      <c r="C8" s="368" t="s">
        <v>406</v>
      </c>
      <c r="D8" s="369" t="s">
        <v>407</v>
      </c>
      <c r="E8" s="368" t="s">
        <v>408</v>
      </c>
      <c r="F8" s="369" t="str">
        <f>'Performance Data Sheet'!M15</f>
        <v>F</v>
      </c>
    </row>
    <row r="9" spans="1:6" ht="18.95" customHeight="1">
      <c r="A9" s="368" t="s">
        <v>409</v>
      </c>
      <c r="B9" s="369">
        <v>1750</v>
      </c>
      <c r="C9" s="368" t="s">
        <v>410</v>
      </c>
      <c r="D9" s="369" t="s">
        <v>426</v>
      </c>
      <c r="E9" s="368" t="s">
        <v>2</v>
      </c>
      <c r="F9" s="370">
        <f>'Performance Data Sheet'!K45</f>
        <v>41939</v>
      </c>
    </row>
    <row r="10" spans="1:6" ht="18.95" customHeight="1">
      <c r="A10" s="368" t="s">
        <v>411</v>
      </c>
      <c r="B10" s="369">
        <v>3581</v>
      </c>
      <c r="C10" s="368" t="s">
        <v>412</v>
      </c>
      <c r="D10" s="369" t="s">
        <v>413</v>
      </c>
      <c r="E10" s="368" t="s">
        <v>1</v>
      </c>
      <c r="F10" s="369" t="s">
        <v>361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65"/>
      <c r="B12" s="371" t="s">
        <v>414</v>
      </c>
      <c r="C12" s="372" t="s">
        <v>428</v>
      </c>
      <c r="D12" s="371" t="s">
        <v>415</v>
      </c>
      <c r="E12" s="372" t="s">
        <v>413</v>
      </c>
      <c r="F12" s="399"/>
    </row>
    <row r="13" spans="1:6" ht="18.95" customHeight="1">
      <c r="A13" s="365"/>
      <c r="B13" s="371" t="s">
        <v>416</v>
      </c>
      <c r="C13" s="373">
        <v>0.95</v>
      </c>
      <c r="D13" s="371" t="s">
        <v>417</v>
      </c>
      <c r="E13" s="372" t="s">
        <v>413</v>
      </c>
      <c r="F13" s="399"/>
    </row>
    <row r="14" spans="1:6" ht="18.95" customHeight="1">
      <c r="A14" s="365"/>
      <c r="B14" s="371" t="s">
        <v>418</v>
      </c>
      <c r="C14" s="373">
        <v>2.5499999999999998</v>
      </c>
      <c r="D14" s="371" t="s">
        <v>419</v>
      </c>
      <c r="E14" s="372" t="s">
        <v>413</v>
      </c>
      <c r="F14" s="399"/>
    </row>
    <row r="15" spans="1:6" ht="18.95" customHeight="1">
      <c r="A15" s="365"/>
      <c r="B15" s="371" t="s">
        <v>420</v>
      </c>
      <c r="C15" s="372" t="s">
        <v>427</v>
      </c>
      <c r="D15" s="366"/>
      <c r="E15" s="366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8" ht="18.95" customHeight="1">
      <c r="A17" s="397"/>
      <c r="B17" s="398"/>
      <c r="C17" s="398"/>
      <c r="D17" s="398"/>
      <c r="E17" s="398"/>
      <c r="F17" s="399"/>
    </row>
    <row r="18" spans="1:8" ht="18.95" customHeight="1">
      <c r="A18" s="397"/>
      <c r="B18" s="398"/>
      <c r="C18" s="398"/>
      <c r="D18" s="398"/>
      <c r="E18" s="398"/>
      <c r="F18" s="399"/>
    </row>
    <row r="19" spans="1:8" ht="18.95" customHeight="1">
      <c r="A19" s="397"/>
      <c r="B19" s="398"/>
      <c r="C19" s="398"/>
      <c r="D19" s="398"/>
      <c r="E19" s="398"/>
      <c r="F19" s="399"/>
    </row>
    <row r="20" spans="1:8" ht="18.95" customHeight="1">
      <c r="A20" s="397"/>
      <c r="B20" s="398"/>
      <c r="C20" s="398"/>
      <c r="D20" s="398"/>
      <c r="E20" s="398"/>
      <c r="F20" s="399"/>
    </row>
    <row r="21" spans="1:8" ht="18.95" customHeight="1">
      <c r="A21" s="397"/>
      <c r="B21" s="398"/>
      <c r="C21" s="398"/>
      <c r="D21" s="398"/>
      <c r="E21" s="398"/>
      <c r="F21" s="399"/>
    </row>
    <row r="22" spans="1:8" ht="18.95" customHeight="1">
      <c r="A22" s="397"/>
      <c r="B22" s="398"/>
      <c r="C22" s="398"/>
      <c r="D22" s="398"/>
      <c r="E22" s="398"/>
      <c r="F22" s="399"/>
    </row>
    <row r="23" spans="1:8" ht="18.95" customHeight="1">
      <c r="A23" s="397"/>
      <c r="B23" s="398"/>
      <c r="C23" s="398"/>
      <c r="D23" s="398"/>
      <c r="E23" s="398"/>
      <c r="F23" s="399"/>
    </row>
    <row r="24" spans="1:8" ht="18.95" customHeight="1">
      <c r="A24" s="397"/>
      <c r="B24" s="398"/>
      <c r="C24" s="398"/>
      <c r="D24" s="398"/>
      <c r="E24" s="398"/>
      <c r="F24" s="399"/>
      <c r="H24" s="419"/>
    </row>
    <row r="25" spans="1:8" ht="18.95" customHeight="1">
      <c r="A25" s="397"/>
      <c r="B25" s="398"/>
      <c r="C25" s="398"/>
      <c r="D25" s="398"/>
      <c r="E25" s="398"/>
      <c r="F25" s="399"/>
    </row>
    <row r="26" spans="1:8" ht="18.95" customHeight="1">
      <c r="A26" s="397"/>
      <c r="B26" s="398"/>
      <c r="C26" s="398"/>
      <c r="D26" s="398"/>
      <c r="E26" s="398"/>
      <c r="F26" s="399"/>
    </row>
    <row r="27" spans="1:8" ht="18.95" customHeight="1">
      <c r="A27" s="397"/>
      <c r="B27" s="398"/>
      <c r="C27" s="398"/>
      <c r="D27" s="398"/>
      <c r="E27" s="398"/>
      <c r="F27" s="399"/>
    </row>
    <row r="28" spans="1:8" ht="18.95" customHeight="1">
      <c r="A28" s="397"/>
      <c r="B28" s="398"/>
      <c r="C28" s="398"/>
      <c r="D28" s="398"/>
      <c r="E28" s="398"/>
      <c r="F28" s="399"/>
    </row>
    <row r="29" spans="1:8" ht="18.95" customHeight="1">
      <c r="A29" s="397"/>
      <c r="B29" s="398"/>
      <c r="C29" s="398"/>
      <c r="D29" s="398"/>
      <c r="E29" s="398"/>
      <c r="F29" s="399"/>
    </row>
    <row r="30" spans="1:8" ht="18.95" customHeight="1">
      <c r="A30" s="397"/>
      <c r="B30" s="398"/>
      <c r="C30" s="398"/>
      <c r="D30" s="398"/>
      <c r="E30" s="398"/>
      <c r="F30" s="399"/>
    </row>
    <row r="31" spans="1:8" ht="18.95" customHeight="1">
      <c r="A31" s="397"/>
      <c r="B31" s="398"/>
      <c r="C31" s="398"/>
      <c r="D31" s="398"/>
      <c r="E31" s="398"/>
      <c r="F31" s="399"/>
    </row>
    <row r="32" spans="1:8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374" t="s">
        <v>421</v>
      </c>
      <c r="B39" s="375"/>
      <c r="C39" s="375"/>
      <c r="D39" s="366"/>
      <c r="E39" s="371" t="s">
        <v>422</v>
      </c>
      <c r="F39" s="376" t="s">
        <v>361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423</v>
      </c>
      <c r="D43" s="379" t="str">
        <f>'Performance Data Sheet'!K43</f>
        <v>Mario L</v>
      </c>
      <c r="E43" s="378" t="s">
        <v>424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0" t="s">
        <v>429</v>
      </c>
      <c r="B53" s="420" t="s">
        <v>142</v>
      </c>
      <c r="C53" s="420" t="s">
        <v>120</v>
      </c>
      <c r="D53" s="420" t="s">
        <v>135</v>
      </c>
      <c r="E53" s="420" t="s">
        <v>5</v>
      </c>
      <c r="F53" s="421" t="s">
        <v>589</v>
      </c>
    </row>
    <row r="54" spans="1:6" ht="15" customHeight="1">
      <c r="A54" s="422">
        <v>0</v>
      </c>
      <c r="B54" s="423"/>
      <c r="C54" s="424"/>
      <c r="D54" s="424">
        <v>46.24849709361925</v>
      </c>
      <c r="E54" s="424">
        <v>100</v>
      </c>
      <c r="F54" s="425">
        <v>0.96277299999999999</v>
      </c>
    </row>
    <row r="55" spans="1:6" ht="15" customHeight="1">
      <c r="A55" s="426">
        <v>25</v>
      </c>
      <c r="B55" s="427">
        <v>89.628541564941401</v>
      </c>
      <c r="C55" s="428">
        <v>71.410858154296875</v>
      </c>
      <c r="D55" s="428">
        <v>73.664772033691406</v>
      </c>
      <c r="E55" s="428">
        <v>84.999473505603405</v>
      </c>
      <c r="F55" s="429">
        <v>9.1111247127248518</v>
      </c>
    </row>
    <row r="56" spans="1:6" ht="15" customHeight="1">
      <c r="A56" s="426">
        <v>50</v>
      </c>
      <c r="B56" s="427">
        <v>94.287803649902301</v>
      </c>
      <c r="C56" s="428">
        <v>86.803482055664063</v>
      </c>
      <c r="D56" s="428">
        <v>116.31977844238281</v>
      </c>
      <c r="E56" s="428">
        <v>69.459090896265806</v>
      </c>
      <c r="F56" s="429">
        <v>17.487938095613803</v>
      </c>
    </row>
    <row r="57" spans="1:6">
      <c r="A57" s="426">
        <v>75</v>
      </c>
      <c r="B57" s="427">
        <v>94.524644470214795</v>
      </c>
      <c r="C57" s="428">
        <v>90.851425170898438</v>
      </c>
      <c r="D57" s="428">
        <v>164.69853210449219</v>
      </c>
      <c r="E57" s="428">
        <v>53.795412732318717</v>
      </c>
      <c r="F57" s="429">
        <v>25.916083800651887</v>
      </c>
    </row>
    <row r="58" spans="1:6">
      <c r="A58" s="426">
        <v>100</v>
      </c>
      <c r="B58" s="427">
        <v>95</v>
      </c>
      <c r="C58" s="428">
        <v>92.147735595703125</v>
      </c>
      <c r="D58" s="428">
        <v>215.49336242675781</v>
      </c>
      <c r="E58" s="428">
        <v>37.782646546161615</v>
      </c>
      <c r="F58" s="429">
        <v>34.392712403328929</v>
      </c>
    </row>
    <row r="59" spans="1:6" ht="13.5" thickBot="1">
      <c r="A59" s="430">
        <v>125</v>
      </c>
      <c r="B59" s="431">
        <v>95.117356872558503</v>
      </c>
      <c r="C59" s="432">
        <v>92.425125122070313</v>
      </c>
      <c r="D59" s="432">
        <v>268.140625</v>
      </c>
      <c r="E59" s="432">
        <v>21.730795064248596</v>
      </c>
      <c r="F59" s="433">
        <v>42.924038770095855</v>
      </c>
    </row>
    <row r="60" spans="1:6">
      <c r="A60" s="434"/>
      <c r="B60" s="435"/>
      <c r="C60" s="435"/>
    </row>
    <row r="61" spans="1:6">
      <c r="A61" s="434"/>
      <c r="B61" s="435"/>
      <c r="C61" s="435"/>
    </row>
    <row r="62" spans="1:6">
      <c r="A62" s="434"/>
      <c r="B62" s="435"/>
      <c r="C62" s="435"/>
    </row>
    <row r="63" spans="1:6">
      <c r="A63" s="434"/>
      <c r="B63" s="435"/>
      <c r="C63" s="435"/>
    </row>
    <row r="64" spans="1:6">
      <c r="A64" s="434"/>
      <c r="B64" s="435"/>
      <c r="C64" s="435"/>
    </row>
    <row r="65" spans="1:3">
      <c r="A65" s="434"/>
      <c r="B65" s="435"/>
      <c r="C65" s="435"/>
    </row>
    <row r="66" spans="1:3">
      <c r="A66" s="434"/>
      <c r="B66" s="435"/>
      <c r="C66" s="435"/>
    </row>
    <row r="67" spans="1:3">
      <c r="A67" s="436"/>
      <c r="B67" s="435"/>
      <c r="C67" s="43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1"/>
  <sheetViews>
    <sheetView showGridLines="0" zoomScale="90" workbookViewId="0">
      <selection activeCell="N24" sqref="N24"/>
    </sheetView>
  </sheetViews>
  <sheetFormatPr defaultColWidth="12.5703125" defaultRowHeight="15.75"/>
  <cols>
    <col min="1" max="13" width="7" style="444" customWidth="1"/>
    <col min="14" max="14" width="7.140625" style="444" customWidth="1"/>
    <col min="15" max="16384" width="12.5703125" style="444"/>
  </cols>
  <sheetData>
    <row r="1" spans="1:14" ht="17.100000000000001" customHeight="1">
      <c r="A1" s="437" t="s">
        <v>249</v>
      </c>
      <c r="B1" s="438"/>
      <c r="C1" s="438"/>
      <c r="D1" s="438"/>
      <c r="E1" s="438"/>
      <c r="F1" s="438"/>
      <c r="G1" s="438"/>
      <c r="H1" s="438"/>
      <c r="I1" s="438"/>
      <c r="J1" s="439" t="s">
        <v>590</v>
      </c>
      <c r="K1" s="440"/>
      <c r="L1" s="441" t="s">
        <v>591</v>
      </c>
      <c r="M1" s="442"/>
      <c r="N1" s="443"/>
    </row>
    <row r="2" spans="1:14" ht="17.100000000000001" customHeight="1">
      <c r="A2" s="445" t="s">
        <v>592</v>
      </c>
      <c r="B2" s="446"/>
      <c r="C2" s="446"/>
      <c r="D2" s="446"/>
      <c r="E2" s="446"/>
      <c r="F2" s="446"/>
      <c r="G2" s="446"/>
      <c r="H2" s="446"/>
      <c r="I2" s="446"/>
      <c r="J2" s="447" t="s">
        <v>593</v>
      </c>
      <c r="K2" s="448"/>
      <c r="L2" s="449" t="s">
        <v>594</v>
      </c>
      <c r="M2" s="450"/>
      <c r="N2" s="443"/>
    </row>
    <row r="3" spans="1:14" ht="15.95" customHeight="1">
      <c r="A3" s="451"/>
      <c r="B3" s="452"/>
      <c r="C3" s="452"/>
      <c r="D3" s="452"/>
      <c r="E3" s="452"/>
      <c r="F3" s="452"/>
      <c r="G3" s="452"/>
      <c r="H3" s="452"/>
      <c r="I3" s="452"/>
      <c r="J3" s="447" t="s">
        <v>595</v>
      </c>
      <c r="K3" s="448"/>
      <c r="L3" s="453" t="s">
        <v>596</v>
      </c>
      <c r="M3" s="450"/>
      <c r="N3" s="443"/>
    </row>
    <row r="4" spans="1:14" ht="15.95" customHeight="1">
      <c r="A4" s="454"/>
      <c r="B4" s="452"/>
      <c r="C4" s="452"/>
      <c r="D4" s="452"/>
      <c r="E4" s="452"/>
      <c r="F4" s="452"/>
      <c r="G4" s="452"/>
      <c r="H4" s="452"/>
      <c r="I4" s="452"/>
      <c r="J4" s="447" t="s">
        <v>597</v>
      </c>
      <c r="K4" s="448"/>
      <c r="L4" s="455" t="s">
        <v>598</v>
      </c>
      <c r="M4" s="450"/>
      <c r="N4" s="443"/>
    </row>
    <row r="5" spans="1:14" ht="15.95" customHeight="1">
      <c r="A5" s="451"/>
      <c r="B5" s="452"/>
      <c r="C5" s="452"/>
      <c r="D5" s="452"/>
      <c r="E5" s="452"/>
      <c r="F5" s="452"/>
      <c r="G5" s="452"/>
      <c r="H5" s="452"/>
      <c r="I5" s="452"/>
      <c r="J5" s="447" t="s">
        <v>599</v>
      </c>
      <c r="K5" s="448"/>
      <c r="L5" s="449">
        <v>1</v>
      </c>
      <c r="M5" s="450"/>
      <c r="N5" s="443"/>
    </row>
    <row r="6" spans="1:14" ht="15.95" customHeight="1">
      <c r="A6" s="456" t="s">
        <v>600</v>
      </c>
      <c r="B6" s="452"/>
      <c r="C6" s="452"/>
      <c r="D6" s="452"/>
      <c r="E6" s="452"/>
      <c r="F6" s="452"/>
      <c r="G6" s="452"/>
      <c r="H6" s="452"/>
      <c r="I6" s="452"/>
      <c r="J6" s="447" t="s">
        <v>601</v>
      </c>
      <c r="K6" s="448"/>
      <c r="L6" s="457" t="s">
        <v>602</v>
      </c>
      <c r="M6" s="450"/>
      <c r="N6" s="443"/>
    </row>
    <row r="7" spans="1:14" ht="15.95" customHeight="1" thickBot="1">
      <c r="A7" s="458" t="s">
        <v>603</v>
      </c>
      <c r="B7" s="459"/>
      <c r="C7" s="459"/>
      <c r="D7" s="459"/>
      <c r="E7" s="459"/>
      <c r="F7" s="459"/>
      <c r="G7" s="459"/>
      <c r="H7" s="459"/>
      <c r="I7" s="459"/>
      <c r="J7" s="460" t="s">
        <v>604</v>
      </c>
      <c r="K7" s="461"/>
      <c r="L7" s="462" t="s">
        <v>605</v>
      </c>
      <c r="M7" s="463"/>
      <c r="N7" s="443"/>
    </row>
    <row r="8" spans="1:14" ht="15.95" customHeight="1">
      <c r="A8" s="464"/>
      <c r="B8" s="452"/>
      <c r="C8" s="452"/>
      <c r="D8" s="452"/>
      <c r="E8" s="452"/>
      <c r="F8" s="452"/>
      <c r="G8" s="452"/>
      <c r="H8" s="452"/>
      <c r="I8" s="452"/>
      <c r="J8" s="452"/>
      <c r="K8" s="465"/>
      <c r="L8" s="466"/>
      <c r="M8" s="467"/>
      <c r="N8" s="452"/>
    </row>
    <row r="9" spans="1:14" ht="12" customHeight="1">
      <c r="A9" s="468"/>
      <c r="B9" s="469" t="s">
        <v>606</v>
      </c>
      <c r="C9" s="470"/>
      <c r="D9" s="471"/>
      <c r="E9" s="471"/>
      <c r="F9" s="471"/>
      <c r="G9" s="471"/>
      <c r="H9" s="471"/>
      <c r="I9" s="471"/>
      <c r="J9" s="471"/>
      <c r="K9" s="472"/>
      <c r="L9" s="473"/>
      <c r="M9" s="471"/>
      <c r="N9" s="452"/>
    </row>
    <row r="10" spans="1:14" ht="12" customHeight="1">
      <c r="A10" s="468"/>
      <c r="B10" s="469" t="s">
        <v>607</v>
      </c>
      <c r="C10" s="474"/>
      <c r="D10" s="473"/>
      <c r="E10" s="473"/>
      <c r="F10" s="473"/>
      <c r="G10" s="473"/>
      <c r="H10" s="473"/>
      <c r="I10" s="473"/>
      <c r="J10" s="473"/>
      <c r="K10" s="473"/>
      <c r="L10" s="473"/>
      <c r="M10" s="473"/>
      <c r="N10" s="466"/>
    </row>
    <row r="11" spans="1:14" ht="16.5" thickBot="1">
      <c r="A11" s="475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</row>
    <row r="12" spans="1:14" ht="20.100000000000001" customHeight="1" thickBot="1">
      <c r="A12" s="476" t="s">
        <v>608</v>
      </c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43"/>
    </row>
    <row r="13" spans="1:14" ht="12.95" customHeight="1" thickTop="1">
      <c r="A13" s="479"/>
      <c r="B13" s="480" t="s">
        <v>609</v>
      </c>
      <c r="C13" s="481">
        <v>1750</v>
      </c>
      <c r="D13" s="473"/>
      <c r="E13" s="480" t="s">
        <v>610</v>
      </c>
      <c r="F13" s="481">
        <v>4000</v>
      </c>
      <c r="G13" s="473"/>
      <c r="H13" s="480" t="s">
        <v>611</v>
      </c>
      <c r="I13" s="481" t="s">
        <v>693</v>
      </c>
      <c r="J13" s="473"/>
      <c r="K13" s="473"/>
      <c r="L13" s="480" t="s">
        <v>612</v>
      </c>
      <c r="M13" s="482">
        <v>3600</v>
      </c>
      <c r="N13" s="443"/>
    </row>
    <row r="14" spans="1:14" ht="12.95" customHeight="1">
      <c r="A14" s="479"/>
      <c r="B14" s="480" t="s">
        <v>613</v>
      </c>
      <c r="C14" s="481" t="s">
        <v>177</v>
      </c>
      <c r="D14" s="473"/>
      <c r="E14" s="480" t="s">
        <v>614</v>
      </c>
      <c r="F14" s="481" t="s">
        <v>698</v>
      </c>
      <c r="G14" s="473"/>
      <c r="H14" s="480" t="s">
        <v>615</v>
      </c>
      <c r="I14" s="481">
        <v>215</v>
      </c>
      <c r="J14" s="473"/>
      <c r="K14" s="473"/>
      <c r="L14" s="480" t="s">
        <v>411</v>
      </c>
      <c r="M14" s="482">
        <v>3581</v>
      </c>
      <c r="N14" s="443"/>
    </row>
    <row r="15" spans="1:14" ht="12.95" customHeight="1">
      <c r="A15" s="479"/>
      <c r="B15" s="480" t="s">
        <v>616</v>
      </c>
      <c r="C15" s="481" t="s">
        <v>176</v>
      </c>
      <c r="D15" s="473"/>
      <c r="E15" s="480" t="s">
        <v>617</v>
      </c>
      <c r="F15" s="481">
        <v>1.1499999999999999</v>
      </c>
      <c r="G15" s="473"/>
      <c r="H15" s="483" t="s">
        <v>618</v>
      </c>
      <c r="I15" s="481" t="s">
        <v>174</v>
      </c>
      <c r="J15" s="473"/>
      <c r="K15" s="473"/>
      <c r="L15" s="480" t="s">
        <v>619</v>
      </c>
      <c r="M15" s="482" t="s">
        <v>344</v>
      </c>
      <c r="N15" s="443"/>
    </row>
    <row r="16" spans="1:14" ht="12.95" customHeight="1">
      <c r="A16" s="479"/>
      <c r="B16" s="480" t="s">
        <v>620</v>
      </c>
      <c r="C16" s="481" t="s">
        <v>692</v>
      </c>
      <c r="D16" s="473"/>
      <c r="E16" s="480" t="s">
        <v>621</v>
      </c>
      <c r="F16" s="481" t="s">
        <v>466</v>
      </c>
      <c r="G16" s="473"/>
      <c r="H16" s="484" t="s">
        <v>622</v>
      </c>
      <c r="I16" s="485" t="s">
        <v>344</v>
      </c>
      <c r="J16" s="473"/>
      <c r="K16" s="473"/>
      <c r="L16" s="480" t="s">
        <v>623</v>
      </c>
      <c r="M16" s="482" t="s">
        <v>624</v>
      </c>
      <c r="N16" s="443"/>
    </row>
    <row r="17" spans="1:14" ht="12.95" customHeight="1">
      <c r="A17" s="479"/>
      <c r="B17" s="480" t="s">
        <v>625</v>
      </c>
      <c r="C17" s="542" t="s">
        <v>694</v>
      </c>
      <c r="D17" s="473"/>
      <c r="E17" s="480"/>
      <c r="F17" s="486"/>
      <c r="G17" s="473"/>
      <c r="H17" s="480" t="s">
        <v>626</v>
      </c>
      <c r="I17" s="485"/>
      <c r="J17" s="473"/>
      <c r="K17" s="473"/>
      <c r="L17" s="480"/>
      <c r="M17" s="487"/>
      <c r="N17" s="443"/>
    </row>
    <row r="18" spans="1:14" ht="12.95" customHeight="1" thickBot="1">
      <c r="A18" s="488"/>
      <c r="B18" s="489" t="s">
        <v>627</v>
      </c>
      <c r="C18" s="490" t="s">
        <v>174</v>
      </c>
      <c r="D18" s="491"/>
      <c r="E18" s="492" t="s">
        <v>628</v>
      </c>
      <c r="F18" s="490" t="s">
        <v>174</v>
      </c>
      <c r="G18" s="493"/>
      <c r="H18" s="492" t="s">
        <v>629</v>
      </c>
      <c r="I18" s="490" t="s">
        <v>174</v>
      </c>
      <c r="J18" s="491"/>
      <c r="K18" s="491"/>
      <c r="L18" s="491"/>
      <c r="M18" s="494"/>
      <c r="N18" s="443"/>
    </row>
    <row r="19" spans="1:14" ht="16.5" thickBot="1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  <c r="M19" s="443"/>
      <c r="N19" s="443"/>
    </row>
    <row r="20" spans="1:14" ht="20.100000000000001" customHeight="1" thickBot="1">
      <c r="A20" s="476"/>
      <c r="B20" s="477"/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8"/>
    </row>
    <row r="21" spans="1:14" ht="15.95" customHeight="1" thickTop="1">
      <c r="A21" s="495" t="s">
        <v>630</v>
      </c>
      <c r="B21" s="496"/>
      <c r="C21" s="466"/>
      <c r="D21" s="497"/>
      <c r="E21" s="498" t="s">
        <v>631</v>
      </c>
      <c r="F21" s="499"/>
      <c r="G21" s="499"/>
      <c r="H21" s="500"/>
      <c r="I21" s="501" t="s">
        <v>632</v>
      </c>
      <c r="J21" s="502"/>
      <c r="K21" s="502"/>
      <c r="L21" s="466"/>
      <c r="M21" s="503"/>
    </row>
    <row r="22" spans="1:14" ht="15.95" customHeight="1">
      <c r="A22" s="504"/>
      <c r="B22" s="473"/>
      <c r="C22" s="505" t="s">
        <v>633</v>
      </c>
      <c r="D22" s="506">
        <v>1378</v>
      </c>
      <c r="E22" s="480"/>
      <c r="G22" s="484" t="s">
        <v>634</v>
      </c>
      <c r="H22" s="507">
        <v>2567</v>
      </c>
      <c r="I22" s="505"/>
      <c r="J22" s="473"/>
      <c r="K22" s="505" t="s">
        <v>635</v>
      </c>
      <c r="L22" s="722" t="s">
        <v>702</v>
      </c>
      <c r="M22" s="723"/>
    </row>
    <row r="23" spans="1:14" ht="15.95" customHeight="1">
      <c r="A23" s="504"/>
      <c r="B23" s="505"/>
      <c r="C23" s="508"/>
      <c r="D23" s="509"/>
      <c r="E23" s="480"/>
      <c r="G23" s="480" t="s">
        <v>636</v>
      </c>
      <c r="H23" s="506">
        <v>95</v>
      </c>
      <c r="I23" s="473"/>
      <c r="J23" s="473"/>
      <c r="K23" s="480" t="s">
        <v>637</v>
      </c>
      <c r="L23" s="722" t="s">
        <v>702</v>
      </c>
      <c r="M23" s="723"/>
    </row>
    <row r="24" spans="1:14" ht="15.95" customHeight="1">
      <c r="A24" s="479"/>
      <c r="B24" s="480"/>
      <c r="C24" s="473"/>
      <c r="D24" s="509"/>
      <c r="E24" s="480"/>
      <c r="G24" s="484" t="s">
        <v>638</v>
      </c>
      <c r="H24" s="506">
        <v>255</v>
      </c>
      <c r="I24" s="473"/>
      <c r="J24" s="480"/>
      <c r="K24" s="473"/>
      <c r="L24" s="473"/>
      <c r="M24" s="487"/>
    </row>
    <row r="25" spans="1:14" ht="15.95" customHeight="1" thickBot="1">
      <c r="A25" s="488"/>
      <c r="B25" s="489"/>
      <c r="C25" s="491"/>
      <c r="D25" s="510"/>
      <c r="E25" s="492"/>
      <c r="F25" s="492"/>
      <c r="G25" s="492"/>
      <c r="H25" s="511"/>
      <c r="I25" s="491"/>
      <c r="J25" s="492"/>
      <c r="K25" s="491"/>
      <c r="L25" s="491"/>
      <c r="M25" s="494"/>
    </row>
    <row r="26" spans="1:14" ht="18.95" customHeight="1" thickBot="1">
      <c r="A26" s="512"/>
      <c r="B26" s="512"/>
      <c r="C26" s="512"/>
      <c r="D26" s="513"/>
      <c r="E26" s="513"/>
      <c r="F26" s="513"/>
      <c r="G26" s="513"/>
      <c r="H26" s="513"/>
      <c r="I26" s="513"/>
      <c r="J26" s="513"/>
      <c r="K26" s="513"/>
      <c r="L26" s="513"/>
      <c r="M26" s="443"/>
      <c r="N26" s="443"/>
    </row>
    <row r="27" spans="1:14" ht="20.100000000000001" customHeight="1" thickBot="1">
      <c r="A27" s="514"/>
      <c r="B27" s="515"/>
      <c r="C27" s="515"/>
      <c r="D27" s="515"/>
      <c r="E27" s="515"/>
      <c r="F27" s="515"/>
      <c r="G27" s="516"/>
      <c r="H27" s="515"/>
      <c r="I27" s="515"/>
      <c r="J27" s="515"/>
      <c r="K27" s="515"/>
      <c r="L27" s="515"/>
      <c r="M27" s="517"/>
    </row>
    <row r="28" spans="1:14" ht="15.95" customHeight="1" thickTop="1">
      <c r="A28" s="518" t="s">
        <v>639</v>
      </c>
      <c r="B28" s="496"/>
      <c r="C28" s="466"/>
      <c r="D28" s="466"/>
      <c r="E28" s="499"/>
      <c r="F28" s="499"/>
      <c r="G28" s="519"/>
      <c r="H28" s="498" t="s">
        <v>640</v>
      </c>
      <c r="I28" s="499"/>
      <c r="J28" s="502"/>
      <c r="K28" s="498"/>
      <c r="L28" s="502"/>
      <c r="M28" s="503"/>
    </row>
    <row r="29" spans="1:14" ht="15.95" customHeight="1">
      <c r="A29" s="479"/>
      <c r="B29" s="505"/>
      <c r="C29" s="505" t="s">
        <v>641</v>
      </c>
      <c r="D29" s="520">
        <v>95</v>
      </c>
      <c r="E29" s="480"/>
      <c r="F29" s="480"/>
      <c r="G29" s="519"/>
      <c r="H29" s="484"/>
      <c r="I29" s="505"/>
      <c r="J29" s="505" t="s">
        <v>641</v>
      </c>
      <c r="K29" s="520">
        <v>92.1</v>
      </c>
      <c r="L29" s="473"/>
      <c r="M29" s="487"/>
    </row>
    <row r="30" spans="1:14" ht="15.95" customHeight="1">
      <c r="A30" s="521"/>
      <c r="B30" s="473"/>
      <c r="C30" s="505" t="s">
        <v>642</v>
      </c>
      <c r="D30" s="520">
        <v>94.5</v>
      </c>
      <c r="E30" s="480"/>
      <c r="F30" s="480"/>
      <c r="G30" s="519"/>
      <c r="H30" s="480"/>
      <c r="I30" s="473"/>
      <c r="J30" s="505" t="s">
        <v>642</v>
      </c>
      <c r="K30" s="520">
        <v>90.9</v>
      </c>
      <c r="L30" s="473"/>
      <c r="M30" s="487"/>
    </row>
    <row r="31" spans="1:14" ht="15.95" customHeight="1">
      <c r="A31" s="479"/>
      <c r="B31" s="480"/>
      <c r="C31" s="505" t="s">
        <v>643</v>
      </c>
      <c r="D31" s="520">
        <v>93.4</v>
      </c>
      <c r="E31" s="480"/>
      <c r="F31" s="480"/>
      <c r="G31" s="519"/>
      <c r="H31" s="480"/>
      <c r="I31" s="473"/>
      <c r="J31" s="505" t="s">
        <v>643</v>
      </c>
      <c r="K31" s="520">
        <v>86.8</v>
      </c>
      <c r="L31" s="480"/>
      <c r="M31" s="487"/>
    </row>
    <row r="32" spans="1:14" ht="15.95" customHeight="1" thickBot="1">
      <c r="A32" s="488"/>
      <c r="B32" s="489"/>
      <c r="C32" s="491"/>
      <c r="D32" s="491"/>
      <c r="E32" s="492"/>
      <c r="F32" s="492"/>
      <c r="G32" s="522"/>
      <c r="H32" s="492"/>
      <c r="I32" s="491"/>
      <c r="J32" s="492"/>
      <c r="K32" s="491"/>
      <c r="L32" s="492"/>
      <c r="M32" s="494"/>
    </row>
    <row r="33" spans="1:14" ht="20.100000000000001" customHeight="1" thickBot="1">
      <c r="A33" s="523"/>
      <c r="B33" s="523"/>
      <c r="C33" s="523"/>
      <c r="D33" s="523"/>
      <c r="E33" s="523"/>
      <c r="F33" s="523"/>
      <c r="G33" s="523"/>
      <c r="H33" s="523"/>
      <c r="I33" s="523"/>
      <c r="J33" s="523"/>
      <c r="K33" s="523"/>
      <c r="L33" s="523"/>
      <c r="M33" s="524"/>
      <c r="N33" s="524"/>
    </row>
    <row r="34" spans="1:14" ht="20.100000000000001" customHeight="1" thickBot="1">
      <c r="A34" s="525"/>
      <c r="B34" s="526"/>
      <c r="C34" s="526"/>
      <c r="D34" s="526"/>
      <c r="E34" s="526"/>
      <c r="F34" s="526"/>
      <c r="G34" s="526"/>
      <c r="H34" s="526"/>
      <c r="I34" s="526"/>
      <c r="J34" s="526"/>
      <c r="K34" s="526"/>
      <c r="L34" s="526"/>
      <c r="M34" s="527"/>
    </row>
    <row r="35" spans="1:14" ht="15.95" customHeight="1" thickTop="1">
      <c r="A35" s="528" t="s">
        <v>644</v>
      </c>
      <c r="B35" s="508"/>
      <c r="C35" s="508"/>
      <c r="D35" s="508"/>
      <c r="E35" s="508"/>
      <c r="F35" s="508"/>
      <c r="G35" s="508"/>
      <c r="H35" s="508"/>
      <c r="I35" s="508"/>
      <c r="J35" s="508"/>
      <c r="K35" s="508"/>
      <c r="L35" s="508"/>
      <c r="M35" s="529"/>
    </row>
    <row r="36" spans="1:14" ht="15.95" customHeight="1">
      <c r="A36" s="521" t="s">
        <v>645</v>
      </c>
      <c r="B36" s="508"/>
      <c r="C36" s="508"/>
      <c r="D36" s="508"/>
      <c r="E36" s="508"/>
      <c r="F36" s="508"/>
      <c r="G36" s="508"/>
      <c r="H36" s="508"/>
      <c r="I36" s="508"/>
      <c r="J36" s="508"/>
      <c r="K36" s="508"/>
      <c r="L36" s="508"/>
      <c r="M36" s="529"/>
    </row>
    <row r="37" spans="1:14" ht="15.95" customHeight="1">
      <c r="A37" s="530" t="s">
        <v>646</v>
      </c>
      <c r="B37" s="508"/>
      <c r="C37" s="508"/>
      <c r="D37" s="508"/>
      <c r="E37" s="531"/>
      <c r="F37" s="508"/>
      <c r="G37" s="508"/>
      <c r="H37" s="508"/>
      <c r="I37" s="508"/>
      <c r="J37" s="508"/>
      <c r="K37" s="508"/>
      <c r="L37" s="508"/>
      <c r="M37" s="529"/>
    </row>
    <row r="38" spans="1:14" ht="15.95" customHeight="1">
      <c r="A38" s="532" t="s">
        <v>647</v>
      </c>
      <c r="B38" s="508"/>
      <c r="C38" s="508"/>
      <c r="D38" s="508"/>
      <c r="E38" s="508"/>
      <c r="F38" s="508"/>
      <c r="G38" s="508"/>
      <c r="H38" s="508"/>
      <c r="I38" s="508"/>
      <c r="J38" s="508"/>
      <c r="K38" s="508"/>
      <c r="L38" s="508"/>
      <c r="M38" s="529"/>
    </row>
    <row r="39" spans="1:14" ht="15.95" customHeight="1">
      <c r="A39" s="533" t="s">
        <v>648</v>
      </c>
      <c r="B39" s="508"/>
      <c r="C39" s="508"/>
      <c r="D39" s="508"/>
      <c r="E39" s="508"/>
      <c r="F39" s="508"/>
      <c r="G39" s="508"/>
      <c r="H39" s="508"/>
      <c r="I39" s="508"/>
      <c r="J39" s="508"/>
      <c r="K39" s="508"/>
      <c r="L39" s="508"/>
      <c r="M39" s="529"/>
    </row>
    <row r="40" spans="1:14" ht="15.95" customHeight="1" thickBot="1">
      <c r="A40" s="534" t="s">
        <v>649</v>
      </c>
      <c r="B40" s="535"/>
      <c r="C40" s="535"/>
      <c r="D40" s="535"/>
      <c r="E40" s="535"/>
      <c r="F40" s="535"/>
      <c r="G40" s="535"/>
      <c r="H40" s="535"/>
      <c r="I40" s="535"/>
      <c r="J40" s="535"/>
      <c r="K40" s="535"/>
      <c r="L40" s="535"/>
      <c r="M40" s="536"/>
    </row>
    <row r="41" spans="1:14" ht="15.95" customHeight="1">
      <c r="A41" s="508"/>
      <c r="B41" s="508"/>
      <c r="C41" s="508"/>
      <c r="D41" s="508"/>
      <c r="E41" s="508"/>
      <c r="F41" s="508"/>
      <c r="G41" s="508"/>
      <c r="H41" s="508"/>
      <c r="I41" s="508"/>
      <c r="J41" s="508"/>
      <c r="K41" s="508"/>
      <c r="L41" s="508"/>
      <c r="M41" s="508"/>
    </row>
    <row r="42" spans="1:14" ht="15.95" customHeight="1"/>
    <row r="43" spans="1:14" ht="18">
      <c r="A43" s="537"/>
      <c r="B43" s="537"/>
      <c r="C43" s="537"/>
      <c r="D43" s="537"/>
      <c r="E43" s="537"/>
      <c r="F43" s="537"/>
      <c r="G43" s="537"/>
      <c r="H43" s="443"/>
      <c r="I43" s="443"/>
      <c r="J43" s="538" t="s">
        <v>650</v>
      </c>
      <c r="K43" s="724" t="s">
        <v>331</v>
      </c>
      <c r="L43" s="724"/>
      <c r="M43" s="724"/>
      <c r="N43" s="537"/>
    </row>
    <row r="44" spans="1:14" ht="7.5" customHeight="1">
      <c r="H44" s="443"/>
      <c r="I44" s="443"/>
      <c r="J44" s="443"/>
      <c r="K44" s="443"/>
      <c r="L44" s="443"/>
      <c r="M44" s="443"/>
    </row>
    <row r="45" spans="1:14" ht="16.5">
      <c r="H45" s="443"/>
      <c r="I45" s="443"/>
      <c r="J45" s="538" t="s">
        <v>651</v>
      </c>
      <c r="K45" s="725">
        <v>41939</v>
      </c>
      <c r="L45" s="725"/>
      <c r="M45" s="725"/>
    </row>
    <row r="60" spans="1:5">
      <c r="A60" s="444" t="s">
        <v>174</v>
      </c>
      <c r="B60" s="444" t="s">
        <v>702</v>
      </c>
      <c r="D60" s="444">
        <v>1</v>
      </c>
      <c r="E60" s="539" t="s">
        <v>174</v>
      </c>
    </row>
    <row r="61" spans="1:5">
      <c r="A61" s="444" t="s">
        <v>652</v>
      </c>
      <c r="B61" s="444" t="s">
        <v>653</v>
      </c>
      <c r="D61" s="444">
        <v>1.1499999999999999</v>
      </c>
      <c r="E61" s="539" t="s">
        <v>348</v>
      </c>
    </row>
    <row r="62" spans="1:5">
      <c r="A62" s="444" t="s">
        <v>654</v>
      </c>
      <c r="B62" s="444" t="s">
        <v>655</v>
      </c>
      <c r="E62" s="539" t="s">
        <v>300</v>
      </c>
    </row>
    <row r="63" spans="1:5">
      <c r="B63" s="444" t="s">
        <v>656</v>
      </c>
    </row>
    <row r="64" spans="1:5">
      <c r="B64" s="444" t="s">
        <v>657</v>
      </c>
    </row>
    <row r="65" spans="2:2">
      <c r="B65" s="444" t="s">
        <v>658</v>
      </c>
    </row>
    <row r="66" spans="2:2">
      <c r="B66" s="444" t="s">
        <v>659</v>
      </c>
    </row>
    <row r="67" spans="2:2">
      <c r="B67" s="444" t="s">
        <v>660</v>
      </c>
    </row>
    <row r="68" spans="2:2">
      <c r="B68" s="444" t="s">
        <v>661</v>
      </c>
    </row>
    <row r="69" spans="2:2">
      <c r="B69" s="444" t="s">
        <v>662</v>
      </c>
    </row>
    <row r="70" spans="2:2">
      <c r="B70" s="444" t="s">
        <v>663</v>
      </c>
    </row>
    <row r="71" spans="2:2">
      <c r="B71" s="444" t="s">
        <v>664</v>
      </c>
    </row>
    <row r="72" spans="2:2">
      <c r="B72" s="444" t="s">
        <v>665</v>
      </c>
    </row>
    <row r="73" spans="2:2">
      <c r="B73" s="444" t="s">
        <v>666</v>
      </c>
    </row>
    <row r="74" spans="2:2">
      <c r="B74" s="444" t="s">
        <v>667</v>
      </c>
    </row>
    <row r="75" spans="2:2">
      <c r="B75" s="444" t="s">
        <v>668</v>
      </c>
    </row>
    <row r="76" spans="2:2">
      <c r="B76" s="444" t="s">
        <v>669</v>
      </c>
    </row>
    <row r="77" spans="2:2">
      <c r="B77" s="444" t="s">
        <v>670</v>
      </c>
    </row>
    <row r="78" spans="2:2">
      <c r="B78" s="444" t="s">
        <v>671</v>
      </c>
    </row>
    <row r="79" spans="2:2">
      <c r="B79" s="444" t="s">
        <v>672</v>
      </c>
    </row>
    <row r="80" spans="2:2">
      <c r="B80" s="444" t="s">
        <v>673</v>
      </c>
    </row>
    <row r="81" spans="2:2">
      <c r="B81" s="444">
        <v>6312</v>
      </c>
    </row>
    <row r="82" spans="2:2">
      <c r="B82" s="444" t="s">
        <v>674</v>
      </c>
    </row>
    <row r="83" spans="2:2">
      <c r="B83" s="444" t="s">
        <v>675</v>
      </c>
    </row>
    <row r="84" spans="2:2">
      <c r="B84" s="444" t="s">
        <v>676</v>
      </c>
    </row>
    <row r="85" spans="2:2">
      <c r="B85" s="444" t="s">
        <v>677</v>
      </c>
    </row>
    <row r="86" spans="2:2">
      <c r="B86" s="444">
        <v>6313</v>
      </c>
    </row>
    <row r="87" spans="2:2">
      <c r="B87" s="444" t="s">
        <v>678</v>
      </c>
    </row>
    <row r="88" spans="2:2">
      <c r="B88" s="444" t="s">
        <v>679</v>
      </c>
    </row>
    <row r="89" spans="2:2">
      <c r="B89" s="444" t="s">
        <v>680</v>
      </c>
    </row>
    <row r="90" spans="2:2">
      <c r="B90" s="444">
        <v>6314</v>
      </c>
    </row>
    <row r="91" spans="2:2">
      <c r="B91" s="444" t="s">
        <v>681</v>
      </c>
    </row>
    <row r="92" spans="2:2">
      <c r="B92" s="444">
        <v>6317</v>
      </c>
    </row>
    <row r="93" spans="2:2">
      <c r="B93" s="444" t="s">
        <v>682</v>
      </c>
    </row>
    <row r="94" spans="2:2">
      <c r="B94" s="444">
        <v>6318</v>
      </c>
    </row>
    <row r="95" spans="2:2">
      <c r="B95" s="444" t="s">
        <v>683</v>
      </c>
    </row>
    <row r="96" spans="2:2">
      <c r="B96" s="444" t="s">
        <v>684</v>
      </c>
    </row>
    <row r="97" spans="2:2">
      <c r="B97" s="444" t="s">
        <v>685</v>
      </c>
    </row>
    <row r="98" spans="2:2">
      <c r="B98" s="444">
        <v>6320</v>
      </c>
    </row>
    <row r="99" spans="2:2">
      <c r="B99" s="444" t="s">
        <v>686</v>
      </c>
    </row>
    <row r="100" spans="2:2">
      <c r="B100" s="444" t="s">
        <v>687</v>
      </c>
    </row>
    <row r="101" spans="2:2">
      <c r="B101" s="444" t="s">
        <v>688</v>
      </c>
    </row>
    <row r="102" spans="2:2">
      <c r="B102" s="444" t="s">
        <v>689</v>
      </c>
    </row>
    <row r="103" spans="2:2">
      <c r="B103" s="444" t="s">
        <v>689</v>
      </c>
    </row>
    <row r="119" spans="2:2">
      <c r="B119" s="444" t="s">
        <v>690</v>
      </c>
    </row>
    <row r="121" spans="2:2">
      <c r="B121" s="444" t="s">
        <v>691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DesignSheet</vt:lpstr>
      <vt:lpstr>Data Sheet</vt:lpstr>
      <vt:lpstr>LoginSheet</vt:lpstr>
      <vt:lpstr>Form</vt:lpstr>
      <vt:lpstr>STCurve</vt:lpstr>
      <vt:lpstr>StallTime</vt:lpstr>
      <vt:lpstr>StallTime (2)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'StallTime (2)'!Print_Area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2014-11-12T16:07:22Z</cp:lastPrinted>
  <dcterms:created xsi:type="dcterms:W3CDTF">1997-10-03T20:37:30Z</dcterms:created>
  <dcterms:modified xsi:type="dcterms:W3CDTF">2021-02-05T15:55:31Z</dcterms:modified>
</cp:coreProperties>
</file>