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N:\DESPRO\BASE MV DESIGNS\TEAAC\"/>
    </mc:Choice>
  </mc:AlternateContent>
  <xr:revisionPtr revIDLastSave="0" documentId="13_ncr:1_{E62C67C9-7173-4B7B-966B-90A47165A7FD}" xr6:coauthVersionLast="47" xr6:coauthVersionMax="47" xr10:uidLastSave="{00000000-0000-0000-0000-000000000000}"/>
  <bookViews>
    <workbookView xWindow="-24120" yWindow="1905" windowWidth="24240" windowHeight="13020" activeTab="2" xr2:uid="{2F0978DA-78E1-4C2F-9861-01295F5E1480}"/>
  </bookViews>
  <sheets>
    <sheet name="DesignSheet 80%V" sheetId="10" r:id="rId1"/>
    <sheet name="DesignSheet" sheetId="3" r:id="rId2"/>
    <sheet name="Data Sheet" sheetId="4" r:id="rId3"/>
    <sheet name="Performance Data Sheet" sheetId="5" r:id="rId4"/>
    <sheet name="STCurve" sheetId="6" r:id="rId5"/>
    <sheet name="Thermdam" sheetId="7" r:id="rId6"/>
    <sheet name="Performance" sheetId="8" r:id="rId7"/>
    <sheet name="StallTime" sheetId="9" r:id="rId8"/>
    <sheet name="Circuit Param" sheetId="1" r:id="rId9"/>
    <sheet name="Performance API" sheetId="2" r:id="rId10"/>
  </sheets>
  <definedNames>
    <definedName name="_Regression_Int" localSheetId="8" hidden="1">1</definedName>
    <definedName name="_Regression_Int" localSheetId="9" hidden="1">1</definedName>
    <definedName name="_Regression_Int" localSheetId="3" hidden="1">1</definedName>
    <definedName name="_xlnm.Print_Area" localSheetId="8">'Circuit Param'!$A$1:$M$42</definedName>
    <definedName name="_xlnm.Print_Area" localSheetId="2">'Data Sheet'!$A$1:$K$46</definedName>
    <definedName name="_xlnm.Print_Area" localSheetId="1">DesignSheet!$A$1:$J$69</definedName>
    <definedName name="_xlnm.Print_Area" localSheetId="0">'DesignSheet 80%V'!$A$1:$J$69</definedName>
    <definedName name="_xlnm.Print_Area" localSheetId="6">Performance!$A$1:$F$43</definedName>
    <definedName name="_xlnm.Print_Area" localSheetId="9">'Performance API'!$A$1:$M$54</definedName>
    <definedName name="_xlnm.Print_Area" localSheetId="3">'Performance Data Sheet'!$A$1:$M$44</definedName>
    <definedName name="_xlnm.Print_Area" localSheetId="7">StallTime!$A$1:$G$40</definedName>
    <definedName name="_xlnm.Print_Area" localSheetId="4">STCurve!$A$1:$F$43</definedName>
    <definedName name="_xlnm.Print_Area" localSheetId="5">Thermdam!$A$1:$F$43</definedName>
    <definedName name="Print_Area_MI" localSheetId="8">'Circuit Param'!$A$8:$N$43</definedName>
    <definedName name="Print_Area_MI" localSheetId="9">'Performance API'!$A$10:$N$18</definedName>
    <definedName name="Print_Area_MI">'Performance Data Sheet'!$A$10:$N$42</definedName>
    <definedName name="thermal">#REF!</definedName>
    <definedName name="transfer">#REF!</definedName>
    <definedName name="unit_sht">"unit_sht"</definedName>
    <definedName name="vassvelo">#REF!</definedName>
    <definedName name="velcoity">#REF!</definedName>
    <definedName name="viscosity">#REF!</definedName>
    <definedName name="vollheatre">#REF!</definedName>
    <definedName name="volumetri">#REF!</definedName>
    <definedName name="weight">#REF!</definedName>
    <definedName name="weights">#REF!</definedName>
    <definedName name="Z_852987ED_B4F5_11D1_ABEC_0000832EB49E_.wvu.PrintArea" localSheetId="6" hidden="1">Performance!$A$1:$F$43</definedName>
    <definedName name="Z_852987ED_B4F5_11D1_ABEC_0000832EB49E_.wvu.PrintArea" localSheetId="4" hidden="1">STCurve!$A$1:$F$43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0" l="1"/>
  <c r="M50" i="10"/>
  <c r="M53" i="10" s="1"/>
  <c r="M49" i="10"/>
  <c r="M48" i="10"/>
  <c r="M47" i="10"/>
  <c r="M46" i="10"/>
  <c r="M41" i="10"/>
  <c r="N41" i="10" s="1"/>
  <c r="L41" i="10"/>
  <c r="M40" i="10"/>
  <c r="N40" i="10" s="1"/>
  <c r="L40" i="10"/>
  <c r="M39" i="10"/>
  <c r="N39" i="10" s="1"/>
  <c r="L39" i="10"/>
  <c r="M38" i="10"/>
  <c r="N38" i="10" s="1"/>
  <c r="L38" i="10"/>
  <c r="P34" i="10"/>
  <c r="P33" i="10"/>
  <c r="M33" i="10"/>
  <c r="P32" i="10"/>
  <c r="M32" i="10"/>
  <c r="P31" i="10"/>
  <c r="M31" i="10"/>
  <c r="P30" i="10"/>
  <c r="M30" i="10"/>
  <c r="M29" i="10"/>
  <c r="D43" i="8" l="1"/>
  <c r="F39" i="8"/>
  <c r="C39" i="8"/>
  <c r="C12" i="8"/>
  <c r="F9" i="8"/>
  <c r="F7" i="8"/>
  <c r="D7" i="8"/>
  <c r="B7" i="8"/>
  <c r="F6" i="8"/>
  <c r="B6" i="8"/>
  <c r="H81" i="7"/>
  <c r="H80" i="7"/>
  <c r="G80" i="7"/>
  <c r="H79" i="7"/>
  <c r="G79" i="7"/>
  <c r="H78" i="7"/>
  <c r="G78" i="7"/>
  <c r="H77" i="7"/>
  <c r="G77" i="7"/>
  <c r="H76" i="7"/>
  <c r="G76" i="7"/>
  <c r="C76" i="7"/>
  <c r="C77" i="7" s="1"/>
  <c r="C78" i="7" s="1"/>
  <c r="B76" i="7"/>
  <c r="H75" i="7"/>
  <c r="G75" i="7"/>
  <c r="C75" i="7"/>
  <c r="H74" i="7"/>
  <c r="G74" i="7"/>
  <c r="C74" i="7"/>
  <c r="B74" i="7"/>
  <c r="H73" i="7"/>
  <c r="G73" i="7"/>
  <c r="H72" i="7"/>
  <c r="G72" i="7"/>
  <c r="H71" i="7"/>
  <c r="G71" i="7"/>
  <c r="H70" i="7"/>
  <c r="G70" i="7"/>
  <c r="H69" i="7"/>
  <c r="G69" i="7"/>
  <c r="A69" i="7"/>
  <c r="A70" i="7" s="1"/>
  <c r="H68" i="7"/>
  <c r="G68" i="7"/>
  <c r="E68" i="7"/>
  <c r="D66" i="7"/>
  <c r="F50" i="7"/>
  <c r="D43" i="7"/>
  <c r="F39" i="7"/>
  <c r="C39" i="7"/>
  <c r="F9" i="7"/>
  <c r="F7" i="7"/>
  <c r="D7" i="7"/>
  <c r="B7" i="7"/>
  <c r="F6" i="7"/>
  <c r="B6" i="7"/>
  <c r="D43" i="6"/>
  <c r="F39" i="6"/>
  <c r="C39" i="6"/>
  <c r="C12" i="6"/>
  <c r="F9" i="6"/>
  <c r="F7" i="6"/>
  <c r="D7" i="6"/>
  <c r="B7" i="6"/>
  <c r="F6" i="6"/>
  <c r="B6" i="6"/>
  <c r="M28" i="4"/>
  <c r="M18" i="4"/>
  <c r="M52" i="3"/>
  <c r="M50" i="3"/>
  <c r="M53" i="3" s="1"/>
  <c r="M49" i="3"/>
  <c r="M48" i="3"/>
  <c r="M47" i="3"/>
  <c r="M46" i="3"/>
  <c r="L41" i="3"/>
  <c r="N41" i="3" s="1"/>
  <c r="L40" i="3"/>
  <c r="N40" i="3" s="1"/>
  <c r="M39" i="3"/>
  <c r="N39" i="3" s="1"/>
  <c r="L39" i="3"/>
  <c r="M38" i="3"/>
  <c r="N38" i="3" s="1"/>
  <c r="L38" i="3"/>
  <c r="P34" i="3"/>
  <c r="P33" i="3"/>
  <c r="M33" i="3"/>
  <c r="P32" i="3"/>
  <c r="M32" i="3"/>
  <c r="P31" i="3"/>
  <c r="M31" i="3"/>
  <c r="P30" i="3"/>
  <c r="M30" i="3"/>
  <c r="M29" i="3"/>
  <c r="R19" i="3"/>
  <c r="C70" i="7" l="1"/>
  <c r="B70" i="7"/>
  <c r="A71" i="7"/>
  <c r="B69" i="7"/>
  <c r="B75" i="7" s="1"/>
  <c r="C69" i="7"/>
  <c r="A72" i="7" l="1"/>
  <c r="C71" i="7"/>
  <c r="B71" i="7"/>
  <c r="A73" i="7" l="1"/>
  <c r="B73" i="7" s="1"/>
  <c r="B7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141CA558-484C-457C-A99A-64E59838B179}">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C2FFEBB0-2683-4783-8AA4-A3893555B822}">
      <text>
        <r>
          <rPr>
            <b/>
            <sz val="8"/>
            <color indexed="81"/>
            <rFont val="Tahoma"/>
            <family val="2"/>
          </rPr>
          <t>Choose Steel Type
from list or input name</t>
        </r>
      </text>
    </comment>
    <comment ref="D21" authorId="0" shapeId="0" xr:uid="{2E5877B6-6586-4C2C-BED7-46D1C2279AA5}">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<sst xmlns="http://schemas.openxmlformats.org/spreadsheetml/2006/main" count="1402" uniqueCount="806">
  <si>
    <t>DATE:</t>
  </si>
  <si>
    <t>CERTIFIED BY:</t>
  </si>
  <si>
    <t>Open Circuit Time Constant :</t>
  </si>
  <si>
    <t>Sub Transient Time Constant :</t>
  </si>
  <si>
    <t>Short Circuit Time Constant :</t>
  </si>
  <si>
    <t>Sub Transient Reactance :</t>
  </si>
  <si>
    <t>Transient Reactance :</t>
  </si>
  <si>
    <t>Magnetizing Reactance (Xm) :</t>
  </si>
  <si>
    <t>Starting Reactance (X3) :</t>
  </si>
  <si>
    <t>Secondary Reactance (X2) :</t>
  </si>
  <si>
    <t>Primary Reactance (X1) :</t>
  </si>
  <si>
    <t>Starting Resistance (R3) :</t>
  </si>
  <si>
    <t>Secondary Resistance (R2) :</t>
  </si>
  <si>
    <t>Primary Resistance (R1) :</t>
  </si>
  <si>
    <t>-</t>
  </si>
  <si>
    <t>P.F.:</t>
  </si>
  <si>
    <t>MIN. EFF.:</t>
  </si>
  <si>
    <t>NOM. EFF.:</t>
  </si>
  <si>
    <t>kW:</t>
  </si>
  <si>
    <t>MODEL No.:</t>
  </si>
  <si>
    <t>Cont.</t>
  </si>
  <si>
    <t>DUTY:</t>
  </si>
  <si>
    <t>F</t>
  </si>
  <si>
    <t>CODE:</t>
  </si>
  <si>
    <t>40°C</t>
  </si>
  <si>
    <t>AMB.:</t>
  </si>
  <si>
    <t>TIKE</t>
  </si>
  <si>
    <t>TYPE:</t>
  </si>
  <si>
    <t>INSUL CLASS:</t>
  </si>
  <si>
    <t>NEMA DESIGN:</t>
  </si>
  <si>
    <t>1.0</t>
  </si>
  <si>
    <t>S.F.:</t>
  </si>
  <si>
    <t>FORM:</t>
  </si>
  <si>
    <t>FLRPM:</t>
  </si>
  <si>
    <t>FLAMPS:</t>
  </si>
  <si>
    <t>ENCL:</t>
  </si>
  <si>
    <t>5812USS</t>
  </si>
  <si>
    <t>FRAME:</t>
  </si>
  <si>
    <t>S. RPM:</t>
  </si>
  <si>
    <t>60 Hz</t>
  </si>
  <si>
    <t>3 PH /</t>
  </si>
  <si>
    <t>VOLTS:</t>
  </si>
  <si>
    <t>H.P.:</t>
  </si>
  <si>
    <t>MOTOR NAMEPLATE DATA</t>
  </si>
  <si>
    <t>TIC SR No.:</t>
  </si>
  <si>
    <t>CUSTOMER:</t>
  </si>
  <si>
    <t>Paul Anderson</t>
  </si>
  <si>
    <t>APPROVED BY</t>
  </si>
  <si>
    <t xml:space="preserve">All Values are Presented in Ohms/Phase, Equivalent Wye Connection. </t>
  </si>
  <si>
    <t>MDC</t>
  </si>
  <si>
    <t>WRITTEN BY</t>
  </si>
  <si>
    <t>REV. 0</t>
  </si>
  <si>
    <t>REVISION</t>
  </si>
  <si>
    <t>NEW</t>
  </si>
  <si>
    <t>SUPERSEDES</t>
  </si>
  <si>
    <t>EQUIVALENT CIRCUIT DATA</t>
  </si>
  <si>
    <t>ISSUED</t>
  </si>
  <si>
    <t>1 of 1</t>
  </si>
  <si>
    <t>SHEET NO.</t>
  </si>
  <si>
    <t>Industrial Division / Houston Motor Plant</t>
  </si>
  <si>
    <t>MPCF-1109</t>
  </si>
  <si>
    <t>INDEX</t>
  </si>
  <si>
    <t>TOSHIBA INTERNATIONAL CORPORATION</t>
  </si>
  <si>
    <t>ALL CHARACTERISTICS ARE AVERAGE EXPECTED VALUES BASED UPON RATED VOLTAGE, FREQUENCY AND SINEWAVE POWER INPUT.</t>
  </si>
  <si>
    <t>EFFICIENCY TO BE DETERMINED BY IEEE 112, METHOD B</t>
  </si>
  <si>
    <t>GUARENTEED EFFICIENCY (%)</t>
  </si>
  <si>
    <t>POWER FACTOR (%)</t>
  </si>
  <si>
    <t>EFFICIENCY (%)</t>
  </si>
  <si>
    <t>AMPS (A)</t>
  </si>
  <si>
    <t>SF</t>
  </si>
  <si>
    <t>FULL</t>
  </si>
  <si>
    <t>3/4</t>
  </si>
  <si>
    <t>1/2</t>
  </si>
  <si>
    <t>LOAD</t>
  </si>
  <si>
    <t>LOAD CHARACTERISTICS</t>
  </si>
  <si>
    <t>ACCELERATION TIME:</t>
  </si>
  <si>
    <t>3.3 mm</t>
  </si>
  <si>
    <t>AIR GAP:</t>
  </si>
  <si>
    <t>NO LOAD CURRENT:</t>
  </si>
  <si>
    <t>192.3</t>
  </si>
  <si>
    <r>
      <t>MOTOR ROTOR wk</t>
    </r>
    <r>
      <rPr>
        <vertAlign val="superscript"/>
        <sz val="8"/>
        <rFont val="Univers"/>
        <family val="2"/>
      </rPr>
      <t xml:space="preserve">2 </t>
    </r>
    <r>
      <rPr>
        <sz val="8"/>
        <rFont val="Univers"/>
        <family val="2"/>
      </rPr>
      <t>(LB.FT</t>
    </r>
    <r>
      <rPr>
        <vertAlign val="superscript"/>
        <sz val="8"/>
        <rFont val="Univers"/>
        <family val="2"/>
      </rPr>
      <t>2</t>
    </r>
    <r>
      <rPr>
        <sz val="8"/>
        <rFont val="Univers"/>
        <family val="2"/>
      </rPr>
      <t>):</t>
    </r>
  </si>
  <si>
    <t>DESIGN DATA</t>
  </si>
  <si>
    <t>70% VOLTAGE:</t>
  </si>
  <si>
    <t>62 (s)</t>
  </si>
  <si>
    <t>19 (s)</t>
  </si>
  <si>
    <t>80% VOLTAGE:</t>
  </si>
  <si>
    <t>47 (s)</t>
  </si>
  <si>
    <t>15 (s)</t>
  </si>
  <si>
    <t>90% VOLTAGE:</t>
  </si>
  <si>
    <t>37 (s)</t>
  </si>
  <si>
    <t>100% VOLTAGE:</t>
  </si>
  <si>
    <t>30 (s)</t>
  </si>
  <si>
    <t>HOT CONDITION</t>
  </si>
  <si>
    <t>COLD CONDITION</t>
  </si>
  <si>
    <t>LOCKED ROTOR WITHSTAND TIMES</t>
  </si>
  <si>
    <t>BREAKDOWN TORQUE (% OF FLT):</t>
  </si>
  <si>
    <t>BS2M20U</t>
  </si>
  <si>
    <t>ACCELERATION CURVE:</t>
  </si>
  <si>
    <t>PULL UP TORQUE (% OF FLT):</t>
  </si>
  <si>
    <t>SPEED-CURRENT CURVE:</t>
  </si>
  <si>
    <t>LOCKED ROTOR TORQUE (% OF FLT):</t>
  </si>
  <si>
    <t>SPEED-TORQUE CURVE:</t>
  </si>
  <si>
    <t>FULL LOAD (LB.FT):</t>
  </si>
  <si>
    <t>CURVE NUMBERS</t>
  </si>
  <si>
    <t>TORQUE VALUES</t>
  </si>
  <si>
    <t>AMPS AT 80% VOLTAGE:</t>
  </si>
  <si>
    <t>POWER FACTOR:</t>
  </si>
  <si>
    <t>AMPS AT RATED VOLTAGE:</t>
  </si>
  <si>
    <t>LOCKED ROTOR DATA</t>
  </si>
  <si>
    <t>P.A.A</t>
  </si>
  <si>
    <t>API 541 PERFORMANCE SPECIFICATIONS</t>
  </si>
  <si>
    <t>M. CAMPBELL</t>
  </si>
  <si>
    <t>SQUIRREL CAGE INDUCTION MOTOR</t>
  </si>
  <si>
    <t>2/14/02</t>
  </si>
  <si>
    <t>MPCF-1082</t>
  </si>
  <si>
    <t xml:space="preserve">                              TOSHIBA INTERNATIONAL CORPORATION</t>
  </si>
  <si>
    <t>Calc. Code:</t>
  </si>
  <si>
    <t>2-2-2-0-1-2</t>
  </si>
  <si>
    <t xml:space="preserve">             3-PHASE SQUIRREL CAGE INDUCTION MOTOR DESIGN SHEET</t>
  </si>
  <si>
    <t>B.L.-1  P.F.-1</t>
  </si>
  <si>
    <t>File:</t>
  </si>
  <si>
    <t>N:\DESPRO\RAT FILES\BS2M20U.rat</t>
  </si>
  <si>
    <t>Date:</t>
  </si>
  <si>
    <t>Time:</t>
  </si>
  <si>
    <t>Pole</t>
  </si>
  <si>
    <t>HP</t>
  </si>
  <si>
    <t>RPM</t>
  </si>
  <si>
    <t>Form</t>
  </si>
  <si>
    <t>Voltage</t>
  </si>
  <si>
    <t>Frequency</t>
  </si>
  <si>
    <t>Temperature</t>
  </si>
  <si>
    <t>FLSpeed</t>
  </si>
  <si>
    <t>FLSlip</t>
  </si>
  <si>
    <t xml:space="preserve">Frame </t>
  </si>
  <si>
    <t>FCKNW</t>
  </si>
  <si>
    <t>3581.0 / 3580.3</t>
  </si>
  <si>
    <t>0.0053 / 0.0055</t>
  </si>
  <si>
    <t>5811/12UDZ</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</si>
  <si>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</si>
  <si>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</si>
  <si>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</si>
  <si>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</si>
  <si>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</si>
  <si>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</si>
  <si>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</si>
  <si>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</si>
  <si>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</si>
  <si>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</si>
  <si>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</si>
  <si>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</si>
  <si>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</si>
  <si>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</si>
  <si>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16</t>
  </si>
  <si>
    <t>Cross Section Area</t>
  </si>
  <si>
    <t>Mean Value</t>
  </si>
  <si>
    <t>Core Length</t>
  </si>
  <si>
    <t>UB: 304.0</t>
  </si>
  <si>
    <t>UER: 1750.0</t>
  </si>
  <si>
    <t>Eff.T.W.St.</t>
  </si>
  <si>
    <t>WS</t>
  </si>
  <si>
    <t>OD</t>
  </si>
  <si>
    <t>Coil Pitch</t>
  </si>
  <si>
    <t>Eff.T.W.Rt.</t>
  </si>
  <si>
    <t>ID</t>
  </si>
  <si>
    <t>Slot Fill</t>
  </si>
  <si>
    <t>EBL: 50.0</t>
  </si>
  <si>
    <t>ERD1: 281.0</t>
  </si>
  <si>
    <t xml:space="preserve">St.Carter Fac. </t>
  </si>
  <si>
    <t>IS</t>
  </si>
  <si>
    <t>Core Depth</t>
  </si>
  <si>
    <t>Con./Slot</t>
  </si>
  <si>
    <t>ERT: 70.00</t>
  </si>
  <si>
    <t>Rt.Carter Fac.</t>
  </si>
  <si>
    <t>Eff.Core L.</t>
  </si>
  <si>
    <t>Wire Size 1</t>
  </si>
  <si>
    <t>(.072"x.204")x2</t>
  </si>
  <si>
    <t>ERH: 25.00</t>
  </si>
  <si>
    <t>Carter Factor</t>
  </si>
  <si>
    <t>Volts / Turn</t>
  </si>
  <si>
    <t>Slot Data</t>
  </si>
  <si>
    <t>Wire Size 2</t>
  </si>
  <si>
    <t>Short. Factor</t>
  </si>
  <si>
    <t>Number</t>
  </si>
  <si>
    <t>// Circuits</t>
  </si>
  <si>
    <t>Distrib. Factor</t>
  </si>
  <si>
    <t>AC</t>
  </si>
  <si>
    <t>Kind</t>
  </si>
  <si>
    <t>Open</t>
  </si>
  <si>
    <t>Trapeze</t>
  </si>
  <si>
    <t>Connection</t>
  </si>
  <si>
    <t>Wye</t>
  </si>
  <si>
    <t>Wind. Factor</t>
  </si>
  <si>
    <t>Skew</t>
  </si>
  <si>
    <t>MCL</t>
  </si>
  <si>
    <t>Reactance</t>
  </si>
  <si>
    <t>(Coeff.: 0.0418)</t>
  </si>
  <si>
    <t>Depth</t>
  </si>
  <si>
    <t>No.Cond./Ph.</t>
  </si>
  <si>
    <t>Running</t>
  </si>
  <si>
    <t>Start</t>
  </si>
  <si>
    <t>Width</t>
  </si>
  <si>
    <t>10.20 - 10.20</t>
  </si>
  <si>
    <t>Res.     (20°C)</t>
  </si>
  <si>
    <t>Stator Slot</t>
  </si>
  <si>
    <t>Opening</t>
  </si>
  <si>
    <t>(105°C)</t>
  </si>
  <si>
    <t>Rotor Slot</t>
  </si>
  <si>
    <t>Tip Depth</t>
  </si>
  <si>
    <t>Material</t>
  </si>
  <si>
    <t>CU</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</si>
  <si>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</si>
  <si>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</si>
  <si>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</si>
  <si>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</si>
  <si>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</si>
  <si>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</si>
  <si>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</si>
  <si>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</si>
  <si>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</si>
  <si>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</si>
  <si>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</si>
  <si>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</si>
  <si>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</si>
  <si>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</si>
  <si>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</si>
  <si>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</si>
  <si>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</si>
  <si>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7 x 10</t>
  </si>
  <si>
    <t>Wire 2</t>
  </si>
  <si>
    <t>Impedance</t>
  </si>
  <si>
    <t>Effective Depth (S=1)</t>
  </si>
  <si>
    <t>Magnetic Circuit Data</t>
  </si>
  <si>
    <t>Core Loss Data</t>
  </si>
  <si>
    <t>Res.=</t>
  </si>
  <si>
    <t>Length</t>
  </si>
  <si>
    <t>Section</t>
  </si>
  <si>
    <t>Density</t>
  </si>
  <si>
    <t>AT</t>
  </si>
  <si>
    <t>Volume</t>
  </si>
  <si>
    <t>Loss</t>
  </si>
  <si>
    <t>125RPM</t>
  </si>
  <si>
    <r>
      <t>Kline/in</t>
    </r>
    <r>
      <rPr>
        <i/>
        <vertAlign val="superscript"/>
        <sz val="10"/>
        <rFont val="Times New Roman"/>
        <family val="1"/>
      </rPr>
      <t>2</t>
    </r>
  </si>
  <si>
    <t>Reac.=</t>
  </si>
  <si>
    <t>Primary Core</t>
  </si>
  <si>
    <t>100RPM</t>
  </si>
  <si>
    <t>Excitation Data</t>
  </si>
  <si>
    <t>Tooth</t>
  </si>
  <si>
    <t>75RPM</t>
  </si>
  <si>
    <t>Excit.Amps</t>
  </si>
  <si>
    <t>29.566 / 24.684</t>
  </si>
  <si>
    <t>Second.Core</t>
  </si>
  <si>
    <t>Total</t>
  </si>
  <si>
    <t>50RPM</t>
  </si>
  <si>
    <t>Core Loss</t>
  </si>
  <si>
    <t>1.563 / 1.305</t>
  </si>
  <si>
    <t>Flux / Pole</t>
  </si>
  <si>
    <t>C.L.C.</t>
  </si>
  <si>
    <t>1.75 / 0.85</t>
  </si>
  <si>
    <t>25RPM</t>
  </si>
  <si>
    <t>NoLoad</t>
  </si>
  <si>
    <t>29.61 / 24.72</t>
  </si>
  <si>
    <t>S.F.C.</t>
  </si>
  <si>
    <t>Load Characteristics</t>
  </si>
  <si>
    <t>Temp. Rise @ 100%:</t>
  </si>
  <si>
    <t>67 / 61</t>
  </si>
  <si>
    <t>No Load Loss</t>
  </si>
  <si>
    <t>24635.6 / 21650.4</t>
  </si>
  <si>
    <t>W.Loss</t>
  </si>
  <si>
    <t>9758.0 / 4713.1</t>
  </si>
  <si>
    <t>Load (%)</t>
  </si>
  <si>
    <t>Primary Loss</t>
  </si>
  <si>
    <t>6646.9 / 6449.1</t>
  </si>
  <si>
    <t>S.Loss</t>
  </si>
  <si>
    <t>1084.7 / 523.9</t>
  </si>
  <si>
    <t>Current (A)</t>
  </si>
  <si>
    <t>44.41 / 44.82</t>
  </si>
  <si>
    <t>67.36 / 67.98</t>
  </si>
  <si>
    <t>93.83 / 94.70</t>
  </si>
  <si>
    <t>121.92 / 123.06</t>
  </si>
  <si>
    <t>151.14 / 152.55</t>
  </si>
  <si>
    <t>Second. Loss</t>
  </si>
  <si>
    <t>4085.3 / 4243.7</t>
  </si>
  <si>
    <t>Total C.Loss</t>
  </si>
  <si>
    <t>10842.6 / 5237.0</t>
  </si>
  <si>
    <t xml:space="preserve">Efficiency </t>
  </si>
  <si>
    <t>0.880 / 0.878</t>
  </si>
  <si>
    <t>0.932 / 0.929</t>
  </si>
  <si>
    <t>0.948 / 0.946</t>
  </si>
  <si>
    <t>0.955 / 0.953</t>
  </si>
  <si>
    <t>0.958 / 0.956</t>
  </si>
  <si>
    <t>Frict.&amp; Wind.</t>
  </si>
  <si>
    <t>13500.0 / 17822.6</t>
  </si>
  <si>
    <t>Stray Loss</t>
  </si>
  <si>
    <t>Eff.</t>
  </si>
  <si>
    <t>P.F.</t>
  </si>
  <si>
    <t>0.689 / 0.684</t>
  </si>
  <si>
    <t>0.858 / 0.852</t>
  </si>
  <si>
    <t>0.907 / 0.901</t>
  </si>
  <si>
    <t>0.924 / 0.918</t>
  </si>
  <si>
    <t>0.929 / 0.923</t>
  </si>
  <si>
    <t>Starting Data</t>
  </si>
  <si>
    <t>Slip</t>
  </si>
  <si>
    <t>PF</t>
  </si>
  <si>
    <t>PF.</t>
  </si>
  <si>
    <t>0.0014 / 0.0016</t>
  </si>
  <si>
    <t>0.0027 / 0.0029</t>
  </si>
  <si>
    <t>0.0040 / 0.0042</t>
  </si>
  <si>
    <t>0.0066 / 0.0068</t>
  </si>
  <si>
    <t xml:space="preserve">LRA </t>
  </si>
  <si>
    <t>788.3 / 761.8</t>
  </si>
  <si>
    <t>Current</t>
  </si>
  <si>
    <t>3595.0 / 3594.3</t>
  </si>
  <si>
    <t>3590.4 / 3589.7</t>
  </si>
  <si>
    <t>3585.7 / 3585.0</t>
  </si>
  <si>
    <t>3576.1 / 3575.4</t>
  </si>
  <si>
    <t>%</t>
  </si>
  <si>
    <t>646.6 / 624.8</t>
  </si>
  <si>
    <t>L (Inv., MH)</t>
  </si>
  <si>
    <t>LRT (kg.m)</t>
  </si>
  <si>
    <t>260.0 / 183.9</t>
  </si>
  <si>
    <t>(No Load)</t>
  </si>
  <si>
    <t>Correlated to: lab 1125 1126.dat</t>
  </si>
  <si>
    <t>128.2 / 90.6</t>
  </si>
  <si>
    <t>Design Parameters (Full Load)</t>
  </si>
  <si>
    <t>Magnetic Pull  &amp; Thrust</t>
  </si>
  <si>
    <t>BDT (kW)</t>
  </si>
  <si>
    <t>IM/IW</t>
  </si>
  <si>
    <t>I*R1/E</t>
  </si>
  <si>
    <t>Rosenberg</t>
  </si>
  <si>
    <t>328.8 / 219.7</t>
  </si>
  <si>
    <t>IW*X/E</t>
  </si>
  <si>
    <t>I*R2/E</t>
  </si>
  <si>
    <t>Schwisky</t>
  </si>
  <si>
    <t>Amps</t>
  </si>
  <si>
    <r>
      <t>HP</t>
    </r>
    <r>
      <rPr>
        <vertAlign val="superscript"/>
        <sz val="10"/>
        <rFont val="Arial"/>
        <family val="2"/>
      </rPr>
      <t>0.95</t>
    </r>
  </si>
  <si>
    <t>SUM</t>
  </si>
  <si>
    <t>Friction/OP.</t>
  </si>
  <si>
    <t>Tsurumi</t>
  </si>
  <si>
    <t>Max. Output</t>
  </si>
  <si>
    <r>
      <t>HP</t>
    </r>
    <r>
      <rPr>
        <vertAlign val="superscript"/>
        <sz val="10"/>
        <rFont val="Arial"/>
        <family val="2"/>
      </rPr>
      <t>1.5</t>
    </r>
  </si>
  <si>
    <t>IH/I</t>
  </si>
  <si>
    <t>Thrust (1mm)</t>
  </si>
  <si>
    <r>
      <t>(RPM/1000)</t>
    </r>
    <r>
      <rPr>
        <vertAlign val="superscript"/>
        <sz val="10"/>
        <rFont val="Arial"/>
        <family val="2"/>
      </rPr>
      <t>2.4</t>
    </r>
  </si>
  <si>
    <t>Efficiency</t>
  </si>
  <si>
    <t>Thrust (3 mm)</t>
  </si>
  <si>
    <r>
      <t>(RPM/1000)</t>
    </r>
    <r>
      <rPr>
        <vertAlign val="superscript"/>
        <sz val="10"/>
        <rFont val="Arial"/>
        <family val="2"/>
      </rPr>
      <t>1.8</t>
    </r>
  </si>
  <si>
    <t>Single Cage Data</t>
  </si>
  <si>
    <t>Miscellaneous Data</t>
  </si>
  <si>
    <t>A</t>
  </si>
  <si>
    <t>Slot Number</t>
  </si>
  <si>
    <t>Slit Width</t>
  </si>
  <si>
    <t>T.M.Wid.Low.</t>
  </si>
  <si>
    <t>Watt Rad.</t>
  </si>
  <si>
    <t>Coil Cur. Density</t>
  </si>
  <si>
    <t>k</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</si>
  <si>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</si>
  <si>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</si>
  <si>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</si>
  <si>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3.32 / 3.36</t>
  </si>
  <si>
    <t>Hz</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</si>
  <si>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</si>
  <si>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</si>
  <si>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</si>
  <si>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</si>
  <si>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Load Inertia</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</si>
  <si>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</si>
  <si>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</si>
  <si>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4.42 / 4.46</t>
  </si>
  <si>
    <t>LB:  -</t>
  </si>
  <si>
    <t>Up. Sl. Wid.</t>
  </si>
  <si>
    <t>L.S.Depth</t>
  </si>
  <si>
    <t>X2S</t>
  </si>
  <si>
    <t>IMC</t>
  </si>
  <si>
    <t>ER Cur. Den.</t>
  </si>
  <si>
    <t>Up. Sl. Dep.</t>
  </si>
  <si>
    <t>T.M.Wid.Up.</t>
  </si>
  <si>
    <t>X3S</t>
  </si>
  <si>
    <t>Coil Pitch Ct.</t>
  </si>
  <si>
    <t>UER: 4.65 / 4.69</t>
  </si>
  <si>
    <t>LER:  -</t>
  </si>
  <si>
    <t>S-T Curve Data (Custom Values)</t>
  </si>
  <si>
    <t>Torque (%)</t>
  </si>
  <si>
    <t>Current (%)</t>
  </si>
  <si>
    <t>Current(%)</t>
  </si>
  <si>
    <t>Acceleration Data (FV / 0.80 V)</t>
  </si>
  <si>
    <t>Load Type:</t>
  </si>
  <si>
    <t>Fan / Pump</t>
  </si>
  <si>
    <t>Load Inertia:</t>
  </si>
  <si>
    <t>37.4 kg.m²</t>
  </si>
  <si>
    <t>Accel. Time:</t>
  </si>
  <si>
    <t>4.8 / 11.4 (s)</t>
  </si>
  <si>
    <t>Rated Torque:</t>
  </si>
  <si>
    <t>202.9 kg.m</t>
  </si>
  <si>
    <t>Load</t>
  </si>
  <si>
    <t>Torque 80%</t>
  </si>
  <si>
    <t>LRA 80%</t>
  </si>
  <si>
    <t>INDUCTION MOTOR DATA SHEET</t>
  </si>
  <si>
    <t>HRW / Model Number:</t>
  </si>
  <si>
    <t>M203TCQL11F-C</t>
  </si>
  <si>
    <t>Type: TIKE - Form: FCKNW - 2 Pole - 1000 HP - 4000 V - 60 Hz - 5811/12UDZ - Class F</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</si>
  <si>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</si>
  <si>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</si>
  <si>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</si>
  <si>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</si>
  <si>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</si>
  <si>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</si>
  <si>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</si>
  <si>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</si>
  <si>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</si>
  <si>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</si>
  <si>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</si>
  <si>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</si>
  <si>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</si>
  <si>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</si>
  <si>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</si>
  <si>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</si>
  <si>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</si>
  <si>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</si>
  <si>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</si>
  <si>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</si>
  <si>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</si>
  <si>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</si>
  <si>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</si>
  <si>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</si>
  <si>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</si>
  <si>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Standard Eff.</t>
  </si>
  <si>
    <t>M54 - 26Ga.</t>
  </si>
  <si>
    <t>Wire 2 (size &amp; number)</t>
  </si>
  <si>
    <t>Impedance watts</t>
  </si>
  <si>
    <t>OWP</t>
  </si>
  <si>
    <t>TIPA Lam</t>
  </si>
  <si>
    <r>
      <t xml:space="preserve">Slot fill - </t>
    </r>
    <r>
      <rPr>
        <i/>
        <sz val="9"/>
        <color indexed="8"/>
        <rFont val="Times New Roman"/>
        <family val="1"/>
      </rPr>
      <t>circle/square method (%)</t>
    </r>
  </si>
  <si>
    <t>Temperature Rise (°C)</t>
  </si>
  <si>
    <t>Dry Kiln</t>
  </si>
  <si>
    <t>2 x Wye</t>
  </si>
  <si>
    <t>Winding</t>
  </si>
  <si>
    <t>80/115</t>
  </si>
  <si>
    <t>67 / 88</t>
  </si>
  <si>
    <t>Allowance for ins. depth</t>
  </si>
  <si>
    <t xml:space="preserve">Bearing  PS/OS </t>
  </si>
  <si>
    <t>Allowance for ins. width</t>
  </si>
  <si>
    <t>Slot/Wire arrangement</t>
  </si>
  <si>
    <t>24 x 2</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</si>
  <si>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</si>
  <si>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</si>
  <si>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</si>
  <si>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</si>
  <si>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</si>
  <si>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</si>
  <si>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</si>
  <si>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</si>
  <si>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</si>
  <si>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</si>
  <si>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</si>
  <si>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</si>
  <si>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</si>
  <si>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</si>
  <si>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</si>
  <si>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</si>
  <si>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</si>
  <si>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</si>
  <si>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</si>
  <si>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</si>
  <si>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</si>
  <si>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</si>
  <si>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336 / 2082</t>
  </si>
  <si>
    <t>446 / 469</t>
  </si>
  <si>
    <t>Stator Slot Shape                                      (Reference)</t>
  </si>
  <si>
    <t>Performance</t>
  </si>
  <si>
    <t>LRC (A)</t>
  </si>
  <si>
    <t xml:space="preserve"> - </t>
  </si>
  <si>
    <t>LRT (%)</t>
  </si>
  <si>
    <t>BDT (%)</t>
  </si>
  <si>
    <t>SLIP (%)</t>
  </si>
  <si>
    <t>IEEE-B</t>
  </si>
  <si>
    <t>Eff. (%)</t>
  </si>
  <si>
    <t>Rotor Slot Shape                                       (Reference)</t>
  </si>
  <si>
    <t>PF (%)</t>
  </si>
  <si>
    <t>Losses (Watts)</t>
  </si>
  <si>
    <t>Core</t>
  </si>
  <si>
    <t>F &amp; W</t>
  </si>
  <si>
    <t xml:space="preserve">Stray </t>
  </si>
  <si>
    <t>End Ring                                                   (Reference)</t>
  </si>
  <si>
    <t>Note</t>
  </si>
  <si>
    <t>LINK:</t>
  </si>
  <si>
    <t>BS2800U.rat &amp; LAB 8292.dat</t>
  </si>
  <si>
    <t>H040052.rat with lab 1125 1126.dat</t>
  </si>
  <si>
    <t>Run BS2M20U.rat --&gt; update wire size</t>
  </si>
  <si>
    <t>RSO2: 400-N158-03 REF ONLY</t>
  </si>
  <si>
    <t>Approved</t>
  </si>
  <si>
    <t>Design</t>
  </si>
  <si>
    <t>Z. XIE</t>
  </si>
  <si>
    <t>Date</t>
  </si>
  <si>
    <t>REV0. FIRST ISSUE</t>
  </si>
  <si>
    <t>REV1. RECORRELATE WITH H040052.rat with lab 1125 1126.dat</t>
  </si>
  <si>
    <t>JROD 08/08/2024</t>
  </si>
  <si>
    <t>MPCF-1033</t>
  </si>
  <si>
    <t>7/31/13</t>
  </si>
  <si>
    <t>11/8/96</t>
  </si>
  <si>
    <t>PERFORMANCE SPECIFICATIONS</t>
  </si>
  <si>
    <t>PAA</t>
  </si>
  <si>
    <t>ILLINOIS ELECTRIC WORKS</t>
  </si>
  <si>
    <t>2338072.1</t>
  </si>
  <si>
    <t>TEFC</t>
  </si>
  <si>
    <t>A1-10138469</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</si>
  <si>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</si>
  <si>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</si>
  <si>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</si>
  <si>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</si>
  <si>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</si>
  <si>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</si>
  <si>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</si>
  <si>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</si>
  <si>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</si>
  <si>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</si>
  <si>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</si>
  <si>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</si>
  <si>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</si>
  <si>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</si>
  <si>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</si>
  <si>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</si>
  <si>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</si>
  <si>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</si>
  <si>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</si>
  <si>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</si>
  <si>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Jerry R</t>
  </si>
  <si>
    <t>6205ZZ</t>
  </si>
  <si>
    <t>6206UU</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</si>
  <si>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</si>
  <si>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</si>
  <si>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</si>
  <si>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</si>
  <si>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</si>
  <si>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</si>
  <si>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</si>
  <si>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</si>
  <si>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</si>
  <si>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</si>
  <si>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</si>
  <si>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</si>
  <si>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</si>
  <si>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</si>
  <si>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</si>
  <si>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</si>
  <si>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</si>
  <si>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</si>
  <si>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</si>
  <si>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</si>
  <si>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</si>
  <si>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</si>
  <si>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</si>
  <si>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</si>
  <si>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</si>
  <si>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</si>
  <si>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</si>
  <si>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</si>
  <si>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</si>
  <si>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</si>
  <si>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</si>
  <si>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</si>
  <si>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</si>
  <si>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</si>
  <si>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</si>
  <si>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</si>
  <si>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</si>
  <si>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</si>
  <si>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</si>
  <si>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</si>
  <si>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</si>
  <si>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</si>
  <si>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</si>
  <si>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</si>
  <si>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</si>
  <si>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</si>
  <si>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</si>
  <si>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</si>
  <si>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</si>
  <si>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</si>
  <si>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</si>
  <si>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192.3 lb-ft²</t>
  </si>
  <si>
    <t>222.0 lb-ft²</t>
  </si>
  <si>
    <t>Locked Rotor Amps:</t>
  </si>
  <si>
    <t>Locked Rotor Torque:</t>
  </si>
  <si>
    <t>Starting at:</t>
  </si>
  <si>
    <t>FV / 0.80 (V)</t>
  </si>
  <si>
    <t>Breakdown Torque:</t>
  </si>
  <si>
    <t>5 / 12 (s)</t>
  </si>
  <si>
    <t>1467 lb-ft</t>
  </si>
  <si>
    <t>Comments:</t>
  </si>
  <si>
    <t>PROJECT</t>
  </si>
  <si>
    <t>D.E.Curve #:</t>
  </si>
  <si>
    <t>Prepared by:</t>
  </si>
  <si>
    <t>Checked by:</t>
  </si>
  <si>
    <t>Thermal Limit &amp; Acceleration Curves</t>
  </si>
  <si>
    <t>Design Values (For Reference Only)</t>
  </si>
  <si>
    <t xml:space="preserve"> </t>
  </si>
  <si>
    <t>Cold</t>
  </si>
  <si>
    <t>Hot</t>
  </si>
  <si>
    <t>CURRENT (%)</t>
  </si>
  <si>
    <t>Accel. Time</t>
  </si>
  <si>
    <t>Performance Curve</t>
  </si>
  <si>
    <t>Input Watts</t>
  </si>
  <si>
    <t>Rating:</t>
  </si>
  <si>
    <t>2 Pole - 1000.0 HP - 3600 RPM - 4000 V - 60 Hz</t>
  </si>
  <si>
    <t>Starting Performance</t>
  </si>
  <si>
    <t>Load Type: Fan / Pump - 222.0 lb-ft²</t>
  </si>
  <si>
    <t>Motor</t>
  </si>
  <si>
    <t xml:space="preserve">Load </t>
  </si>
  <si>
    <t>Accel.</t>
  </si>
  <si>
    <t xml:space="preserve"> Line</t>
  </si>
  <si>
    <t>Stator</t>
  </si>
  <si>
    <t>Rotor</t>
  </si>
  <si>
    <t>Speed Increment</t>
  </si>
  <si>
    <t>Time (s)</t>
  </si>
  <si>
    <t>kW / s</t>
  </si>
  <si>
    <t>0~360</t>
  </si>
  <si>
    <t>90.0</t>
  </si>
  <si>
    <t>22.5</t>
  </si>
  <si>
    <t>0.490</t>
  </si>
  <si>
    <t>760.6</t>
  </si>
  <si>
    <t>127.1</t>
  </si>
  <si>
    <t>409.9</t>
  </si>
  <si>
    <t>360~720</t>
  </si>
  <si>
    <t>90.1</t>
  </si>
  <si>
    <t>11.5</t>
  </si>
  <si>
    <t>0.420</t>
  </si>
  <si>
    <t>757.7</t>
  </si>
  <si>
    <t>108.4</t>
  </si>
  <si>
    <t>317.1</t>
  </si>
  <si>
    <t>720~1080</t>
  </si>
  <si>
    <t>7.0</t>
  </si>
  <si>
    <t>0.398</t>
  </si>
  <si>
    <t>754.3</t>
  </si>
  <si>
    <t>101.8</t>
  </si>
  <si>
    <t>266.9</t>
  </si>
  <si>
    <t>1080~1440</t>
  </si>
  <si>
    <t>750.5</t>
  </si>
  <si>
    <t>100.8</t>
  </si>
  <si>
    <t>233.5</t>
  </si>
  <si>
    <t>1440~1800</t>
  </si>
  <si>
    <t>11.0</t>
  </si>
  <si>
    <t>0.418</t>
  </si>
  <si>
    <t>746.2</t>
  </si>
  <si>
    <t>104.8</t>
  </si>
  <si>
    <t>210.2</t>
  </si>
  <si>
    <t>1800~2160</t>
  </si>
  <si>
    <t>18.0</t>
  </si>
  <si>
    <t>0.459</t>
  </si>
  <si>
    <t>741.4</t>
  </si>
  <si>
    <t>113.6</t>
  </si>
  <si>
    <t>192.2</t>
  </si>
  <si>
    <t>2160~2530</t>
  </si>
  <si>
    <t>91.4</t>
  </si>
  <si>
    <t>27.7</t>
  </si>
  <si>
    <t>0.534</t>
  </si>
  <si>
    <t>736.1</t>
  </si>
  <si>
    <t>130.3</t>
  </si>
  <si>
    <t>173.8</t>
  </si>
  <si>
    <t>2530~2901</t>
  </si>
  <si>
    <t>96.4</t>
  </si>
  <si>
    <t>42.4</t>
  </si>
  <si>
    <t>0.629</t>
  </si>
  <si>
    <t>728.6</t>
  </si>
  <si>
    <t>151.3</t>
  </si>
  <si>
    <t>157.1</t>
  </si>
  <si>
    <t>2901~3086</t>
  </si>
  <si>
    <t>106.0</t>
  </si>
  <si>
    <t>57.1</t>
  </si>
  <si>
    <t>0.348</t>
  </si>
  <si>
    <t>718.8</t>
  </si>
  <si>
    <t>81.4</t>
  </si>
  <si>
    <t>122.2</t>
  </si>
  <si>
    <t>3086~3271</t>
  </si>
  <si>
    <t>127.2</t>
  </si>
  <si>
    <t>69.5</t>
  </si>
  <si>
    <t>0.295</t>
  </si>
  <si>
    <t>700.9</t>
  </si>
  <si>
    <t>67.2</t>
  </si>
  <si>
    <t>85.4</t>
  </si>
  <si>
    <t>3271~3456</t>
  </si>
  <si>
    <t>178.7</t>
  </si>
  <si>
    <t>83.0</t>
  </si>
  <si>
    <t>0.178</t>
  </si>
  <si>
    <t>638.9</t>
  </si>
  <si>
    <t>37.6</t>
  </si>
  <si>
    <t>41.8</t>
  </si>
  <si>
    <t>3456~3571</t>
  </si>
  <si>
    <t>164.8</t>
  </si>
  <si>
    <t>94.1</t>
  </si>
  <si>
    <t>0.150</t>
  </si>
  <si>
    <t>394.2</t>
  </si>
  <si>
    <t>23.3</t>
  </si>
  <si>
    <t>37.4</t>
  </si>
  <si>
    <t>3571~3581</t>
  </si>
  <si>
    <t>107.3</t>
  </si>
  <si>
    <t>99.2</t>
  </si>
  <si>
    <t>0.111</t>
  </si>
  <si>
    <t>117.6</t>
  </si>
  <si>
    <t>0.7</t>
  </si>
  <si>
    <t>23.0</t>
  </si>
  <si>
    <t>Acceleration Time:  4.8 s</t>
  </si>
  <si>
    <t>Energy</t>
  </si>
  <si>
    <t>First Start</t>
  </si>
  <si>
    <t>Second Start</t>
  </si>
  <si>
    <t>Stator Winding Rise</t>
  </si>
  <si>
    <t>1148 kW / s</t>
  </si>
  <si>
    <t>13°C</t>
  </si>
  <si>
    <t>26°C</t>
  </si>
  <si>
    <t>Rotor Bar Rise</t>
  </si>
  <si>
    <t>2018 kW / s</t>
  </si>
  <si>
    <t>68°C</t>
  </si>
  <si>
    <t>136°C</t>
  </si>
  <si>
    <t>End Ring Rise</t>
  </si>
  <si>
    <t>252 kW / s</t>
  </si>
  <si>
    <t>25°C</t>
  </si>
  <si>
    <t>50°C</t>
  </si>
  <si>
    <t>Locked Rotor Thermal Capability</t>
  </si>
  <si>
    <t>Cold Condition</t>
  </si>
  <si>
    <t>Rate of Rise</t>
  </si>
  <si>
    <t>Power</t>
  </si>
  <si>
    <t>Rise Limit</t>
  </si>
  <si>
    <t>Max Time</t>
  </si>
  <si>
    <t>Stator Copper</t>
  </si>
  <si>
    <t>3.4°C / s</t>
  </si>
  <si>
    <t>301.7 kW</t>
  </si>
  <si>
    <t>160°C</t>
  </si>
  <si>
    <t>47.0 s</t>
  </si>
  <si>
    <t>Rotor Bar</t>
  </si>
  <si>
    <t>20.1°C / s</t>
  </si>
  <si>
    <t>596.8 kW</t>
  </si>
  <si>
    <t>260°C</t>
  </si>
  <si>
    <t>12.9 s</t>
  </si>
  <si>
    <t>Rotor ER</t>
  </si>
  <si>
    <t>7.3°C / s</t>
  </si>
  <si>
    <t>74.6 kW</t>
  </si>
  <si>
    <t>180°C</t>
  </si>
  <si>
    <t>24.6 s</t>
  </si>
  <si>
    <t>Hot Condition</t>
  </si>
  <si>
    <t>Hot Temp.</t>
  </si>
  <si>
    <t>Ambient</t>
  </si>
  <si>
    <t>Max.Time</t>
  </si>
  <si>
    <t>67°C    +</t>
  </si>
  <si>
    <t>93°C    +</t>
  </si>
  <si>
    <t>=    200°C</t>
  </si>
  <si>
    <t>27.3 s</t>
  </si>
  <si>
    <t>89°C    +</t>
  </si>
  <si>
    <t>171°C   +</t>
  </si>
  <si>
    <t>=    300°C</t>
  </si>
  <si>
    <t>8.5 s</t>
  </si>
  <si>
    <t>91°C   +</t>
  </si>
  <si>
    <t>=    220°C</t>
  </si>
  <si>
    <t>12.4 s</t>
  </si>
  <si>
    <t>Cold Stall Time:</t>
  </si>
  <si>
    <t>20.6 s</t>
  </si>
  <si>
    <t>Hot Stall Time:</t>
  </si>
  <si>
    <t>10.4 s</t>
  </si>
  <si>
    <t>23 (s)</t>
  </si>
  <si>
    <t>31 (s)</t>
  </si>
  <si>
    <t>762 A</t>
  </si>
  <si>
    <t>25 A</t>
  </si>
  <si>
    <t>JERRY R</t>
  </si>
  <si>
    <t>3569.1 / 3568.5</t>
  </si>
  <si>
    <t>0.0086 / 0.0088</t>
  </si>
  <si>
    <t>18.717 / 15.626</t>
  </si>
  <si>
    <t>1.342 / 1.121</t>
  </si>
  <si>
    <t>18.77 / 15.67</t>
  </si>
  <si>
    <t>107 / 83</t>
  </si>
  <si>
    <t>21064.4 / 18511.9</t>
  </si>
  <si>
    <t>6797.7 / 3283.3</t>
  </si>
  <si>
    <t>10170.5 / 9867.8</t>
  </si>
  <si>
    <t>649.2 / 313.6</t>
  </si>
  <si>
    <t>43.42 / 44.06</t>
  </si>
  <si>
    <t>76.87 / 78.00</t>
  </si>
  <si>
    <t>112.78 / 114.43</t>
  </si>
  <si>
    <t>150.81 / 153.03</t>
  </si>
  <si>
    <t>191.25 / 194.05</t>
  </si>
  <si>
    <t>6875.4 / 7142.0</t>
  </si>
  <si>
    <t>7447.0 / 3596.9</t>
  </si>
  <si>
    <t>0.894 / 0.887</t>
  </si>
  <si>
    <t>0.937 / 0.929</t>
  </si>
  <si>
    <t>0.949 / 0.942</t>
  </si>
  <si>
    <t>0.952 / 0.945</t>
  </si>
  <si>
    <t>0.867 / 0.861</t>
  </si>
  <si>
    <t>0.934 / 0.928</t>
  </si>
  <si>
    <t>0.943 / 0.937</t>
  </si>
  <si>
    <t>0.937 / 0.931</t>
  </si>
  <si>
    <t>0.0022 / 0.0023</t>
  </si>
  <si>
    <t>0.0042 / 0.0044</t>
  </si>
  <si>
    <t>0.0063 / 0.0065</t>
  </si>
  <si>
    <t>0.0108 / 0.0110</t>
  </si>
  <si>
    <t>626.4 / 605.4</t>
  </si>
  <si>
    <t>3592.3 / 3591.6</t>
  </si>
  <si>
    <t>3584.9 / 3584.3</t>
  </si>
  <si>
    <t>3577.3 / 3576.6</t>
  </si>
  <si>
    <t>3561.2 / 3560.5</t>
  </si>
  <si>
    <t>415.4 / 401.4</t>
  </si>
  <si>
    <t>164.2 / 116.1</t>
  </si>
  <si>
    <t>80.7 / 57.1</t>
  </si>
  <si>
    <t>211.4 / 141.3</t>
  </si>
  <si>
    <t>4.11 / 4.17</t>
  </si>
  <si>
    <t>UB: 5.73 / 5.82</t>
  </si>
  <si>
    <t>UER: 6.03 / 6.12</t>
  </si>
  <si>
    <t>S-T Curve Data</t>
  </si>
  <si>
    <t>605 A</t>
  </si>
  <si>
    <t>TOP HAT: 135-N201-121USS GREATER THAN 85dBA BUT LESS THAN 90dBA</t>
  </si>
  <si>
    <t>TOP- HAT 135-N213-112316 FOR 85dBA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</si>
</sst>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General_)"/>
    <numFmt numFmtId="165" formatCode=".0"/>
    <numFmt numFmtId="166" formatCode="0.000"/>
    <numFmt numFmtId="167" formatCode="0.0000"/>
    <numFmt numFmtId="168" formatCode="0.00\ &quot;Ohms&quot;"/>
    <numFmt numFmtId="169" formatCode="0.00\ &quot;Ohms/Phase&quot;"/>
    <numFmt numFmtId="170" formatCode="0.0000\ &quot;Ohms&quot;"/>
    <numFmt numFmtId="171" formatCode="0.0\ &quot;Ohms/Phase&quot;"/>
    <numFmt numFmtId="172" formatCode="&quot;#,##0.00&quot;\ @\ &quot;ohm&quot;"/>
    <numFmt numFmtId="173" formatCode="0.0000\ &quot;Ohm&quot;"/>
    <numFmt numFmtId="174" formatCode="0.0"/>
    <numFmt numFmtId="175" formatCode="@\ &quot;ohm&quot;"/>
    <numFmt numFmtId="176" formatCode="0.00000\ &quot;Ohm&quot;"/>
    <numFmt numFmtId="177" formatCode="0.000\ &quot;Ohms/Phase&quot;"/>
    <numFmt numFmtId="178" formatCode="m/d/yy"/>
    <numFmt numFmtId="179" formatCode="0.0%"/>
    <numFmt numFmtId="180" formatCode="0.00000"/>
    <numFmt numFmtId="181" formatCode=".0000"/>
    <numFmt numFmtId="182" formatCode="General&quot;°C&quot;"/>
  </numFmts>
  <fonts count="91">
    <font>
      <sz val="14"/>
      <color theme="1"/>
      <name val="Aptos Narrow"/>
      <family val="2"/>
      <scheme val="minor"/>
    </font>
    <font>
      <sz val="10"/>
      <name val="Helv"/>
    </font>
    <font>
      <sz val="12"/>
      <name val="Univers (W1)"/>
      <family val="2"/>
    </font>
    <font>
      <b/>
      <sz val="13"/>
      <name val="Univers (W1)"/>
      <family val="2"/>
    </font>
    <font>
      <sz val="10"/>
      <name val="Univers (W1)"/>
      <family val="2"/>
    </font>
    <font>
      <sz val="12"/>
      <name val="Lucida Calligraphy"/>
      <family val="4"/>
    </font>
    <font>
      <sz val="12"/>
      <name val="Helv"/>
    </font>
    <font>
      <sz val="11"/>
      <name val="Univers (W1)"/>
    </font>
    <font>
      <sz val="11"/>
      <name val="Univers (W1)"/>
      <family val="2"/>
    </font>
    <font>
      <sz val="9"/>
      <name val="Univers (W1)"/>
      <family val="2"/>
    </font>
    <font>
      <sz val="9"/>
      <name val="Univers (W1)"/>
    </font>
    <font>
      <sz val="12"/>
      <name val="Univers (W1)"/>
    </font>
    <font>
      <sz val="13"/>
      <name val="Univers (W1)"/>
      <family val="2"/>
    </font>
    <font>
      <sz val="12"/>
      <name val="Univers"/>
      <family val="2"/>
    </font>
    <font>
      <sz val="9"/>
      <name val="Helv"/>
    </font>
    <font>
      <sz val="9"/>
      <name val="Univers"/>
      <family val="2"/>
    </font>
    <font>
      <sz val="11"/>
      <color theme="1"/>
      <name val="Aptos Narrow"/>
      <family val="2"/>
      <scheme val="minor"/>
    </font>
    <font>
      <sz val="8"/>
      <name val="Univers (W1)"/>
      <family val="2"/>
    </font>
    <font>
      <i/>
      <sz val="10"/>
      <name val="Script"/>
      <family val="4"/>
      <charset val="255"/>
    </font>
    <font>
      <sz val="10"/>
      <name val="Univers (W1)"/>
    </font>
    <font>
      <b/>
      <sz val="12"/>
      <name val="Univers (W1)"/>
    </font>
    <font>
      <sz val="14"/>
      <name val="Univers (W1)"/>
      <family val="2"/>
    </font>
    <font>
      <sz val="7"/>
      <name val="Univers (W1)"/>
    </font>
    <font>
      <sz val="10"/>
      <name val="Arial"/>
      <family val="2"/>
    </font>
    <font>
      <sz val="8"/>
      <name val="Times New Roman"/>
      <family val="1"/>
    </font>
    <font>
      <b/>
      <sz val="12"/>
      <name val="Helv"/>
    </font>
    <font>
      <sz val="12"/>
      <name val="Lucida Handwriting"/>
      <family val="4"/>
    </font>
    <font>
      <sz val="8"/>
      <name val="Helv"/>
    </font>
    <font>
      <sz val="8"/>
      <name val="Univers"/>
      <family val="2"/>
    </font>
    <font>
      <sz val="10"/>
      <name val="Univers"/>
      <family val="2"/>
    </font>
    <font>
      <vertAlign val="superscript"/>
      <sz val="8"/>
      <name val="Univers"/>
      <family val="2"/>
    </font>
    <font>
      <sz val="11"/>
      <name val="Univers"/>
      <family val="2"/>
    </font>
    <font>
      <sz val="15"/>
      <name val="Univers (W1)"/>
      <family val="2"/>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12"/>
      <name val="Arial"/>
      <family val="2"/>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20"/>
      <color indexed="8"/>
      <name val="WP Greek Century"/>
      <charset val="2"/>
    </font>
    <font>
      <strike/>
      <sz val="10"/>
      <color rgb="FFFF0000"/>
      <name val="Univers (W1)"/>
    </font>
    <font>
      <sz val="10"/>
      <color rgb="FFFF0000"/>
      <name val="Univers (W1)"/>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sz val="12"/>
      <name val="Script"/>
      <family val="4"/>
      <charset val="255"/>
    </font>
    <font>
      <b/>
      <sz val="10"/>
      <name val="Univers (W1)"/>
      <family val="2"/>
    </font>
    <font>
      <sz val="14"/>
      <name val="Times New Roman"/>
      <family val="1"/>
    </font>
    <font>
      <b/>
      <u/>
      <sz val="22"/>
      <name val="Times New Roman"/>
      <family val="1"/>
    </font>
    <font>
      <b/>
      <u/>
      <sz val="16"/>
      <name val="Times New Roman"/>
      <family val="1"/>
    </font>
    <font>
      <b/>
      <i/>
      <sz val="14"/>
      <name val="Times New Roman"/>
      <family val="1"/>
    </font>
    <font>
      <b/>
      <i/>
      <u/>
      <sz val="14"/>
      <name val="Times New Roman"/>
      <family val="1"/>
    </font>
    <font>
      <sz val="10"/>
      <color indexed="9"/>
      <name val="Arial"/>
      <family val="2"/>
    </font>
    <font>
      <sz val="10"/>
      <color indexed="8"/>
      <name val="Arial"/>
      <family val="2"/>
    </font>
    <font>
      <sz val="10"/>
      <color indexed="10"/>
      <name val="Arial"/>
      <family val="2"/>
    </font>
    <font>
      <sz val="12"/>
      <name val="Times New Roman"/>
      <family val="1"/>
    </font>
    <font>
      <i/>
      <sz val="12"/>
      <name val="Times New Roman"/>
      <family val="1"/>
    </font>
    <font>
      <b/>
      <i/>
      <sz val="12"/>
      <name val="Times New Roman"/>
      <family val="1"/>
    </font>
    <font>
      <b/>
      <sz val="16"/>
      <color rgb="FFFF0000"/>
      <name val="Times New Roman"/>
      <family val="1"/>
    </font>
  </fonts>
  <fills count="6">
    <fill>
      <patternFill patternType="none"/>
    </fill>
    <fill>
      <patternFill patternType="gray125"/>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
      <patternFill patternType="solid">
        <fgColor indexed="9"/>
        <bgColor indexed="64"/>
      </patternFill>
    </fill>
  </fills>
  <borders count="155">
    <border>
      <left/>
      <right/>
      <top/>
      <bottom/>
      <diagonal/>
    </border>
    <border>
      <left/>
      <right/>
      <top/>
      <bottom style="thin">
        <color indexed="8"/>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double">
        <color indexed="8"/>
      </bottom>
      <diagonal/>
    </border>
    <border>
      <left/>
      <right/>
      <top style="medium">
        <color indexed="64"/>
      </top>
      <bottom style="double">
        <color indexed="8"/>
      </bottom>
      <diagonal/>
    </border>
    <border>
      <left style="medium">
        <color indexed="64"/>
      </left>
      <right/>
      <top style="medium">
        <color indexed="64"/>
      </top>
      <bottom style="double">
        <color indexed="8"/>
      </bottom>
      <diagonal/>
    </border>
    <border>
      <left/>
      <right style="thin">
        <color indexed="64"/>
      </right>
      <top/>
      <bottom style="medium">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style="thin">
        <color indexed="64"/>
      </left>
      <right style="thin">
        <color indexed="64"/>
      </right>
      <top/>
      <bottom/>
      <diagonal/>
    </border>
    <border>
      <left/>
      <right style="thin">
        <color indexed="64"/>
      </right>
      <top/>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hair">
        <color indexed="23"/>
      </left>
      <right style="medium">
        <color indexed="64"/>
      </right>
      <top style="hair">
        <color indexed="23"/>
      </top>
      <bottom style="hair">
        <color indexed="55"/>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right style="thin">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13">
    <xf numFmtId="0" fontId="0" fillId="0" borderId="0"/>
    <xf numFmtId="0" fontId="1" fillId="0" borderId="0"/>
    <xf numFmtId="0" fontId="6" fillId="0" borderId="0"/>
    <xf numFmtId="164" fontId="6" fillId="0" borderId="0"/>
    <xf numFmtId="0" fontId="16" fillId="0" borderId="0"/>
    <xf numFmtId="164" fontId="6" fillId="0" borderId="0"/>
    <xf numFmtId="0" fontId="11" fillId="0" borderId="0"/>
    <xf numFmtId="0" fontId="6" fillId="0" borderId="0"/>
    <xf numFmtId="0" fontId="23" fillId="0" borderId="0"/>
    <xf numFmtId="0" fontId="23" fillId="0" borderId="0"/>
    <xf numFmtId="0" fontId="23" fillId="0" borderId="0"/>
    <xf numFmtId="0" fontId="11" fillId="0" borderId="0"/>
    <xf numFmtId="0" fontId="11" fillId="0" borderId="0"/>
  </cellStyleXfs>
  <cellXfs count="814">
    <xf numFmtId="0" fontId="0" fillId="0" borderId="0" xfId="0"/>
    <xf numFmtId="164" fontId="1" fillId="0" borderId="0" xfId="1" applyNumberFormat="1"/>
    <xf numFmtId="14" fontId="2" fillId="0" borderId="1" xfId="1" quotePrefix="1" applyNumberFormat="1" applyFont="1" applyBorder="1" applyAlignment="1">
      <alignment horizontal="centerContinuous"/>
    </xf>
    <xf numFmtId="164" fontId="3" fillId="0" borderId="0" xfId="1" applyNumberFormat="1" applyFont="1" applyAlignment="1">
      <alignment horizontal="right"/>
    </xf>
    <xf numFmtId="164" fontId="4" fillId="0" borderId="0" xfId="1" applyNumberFormat="1" applyFont="1" applyAlignment="1">
      <alignment horizontal="centerContinuous"/>
    </xf>
    <xf numFmtId="164" fontId="4" fillId="0" borderId="0" xfId="1" applyNumberFormat="1" applyFont="1"/>
    <xf numFmtId="164" fontId="2" fillId="0" borderId="1" xfId="1" applyNumberFormat="1" applyFont="1" applyBorder="1" applyAlignment="1">
      <alignment horizontal="centerContinuous"/>
    </xf>
    <xf numFmtId="164" fontId="5" fillId="0" borderId="1" xfId="1" applyNumberFormat="1" applyFont="1" applyBorder="1" applyAlignment="1">
      <alignment horizontal="centerContinuous"/>
    </xf>
    <xf numFmtId="1" fontId="2" fillId="0" borderId="0" xfId="1" applyNumberFormat="1" applyFont="1" applyAlignment="1">
      <alignment horizontal="center"/>
    </xf>
    <xf numFmtId="1" fontId="1" fillId="0" borderId="0" xfId="1" applyNumberFormat="1" applyAlignment="1">
      <alignment horizontal="center"/>
    </xf>
    <xf numFmtId="164" fontId="3" fillId="0" borderId="0" xfId="1" applyNumberFormat="1" applyFont="1" applyAlignment="1">
      <alignment horizontal="left"/>
    </xf>
    <xf numFmtId="164" fontId="2" fillId="0" borderId="0" xfId="2" applyNumberFormat="1" applyFont="1" applyAlignment="1">
      <alignment horizontal="center"/>
    </xf>
    <xf numFmtId="164" fontId="8" fillId="0" borderId="0" xfId="2" applyNumberFormat="1" applyFont="1" applyAlignment="1">
      <alignment horizontal="center"/>
    </xf>
    <xf numFmtId="164" fontId="9" fillId="0" borderId="0" xfId="1" applyNumberFormat="1" applyFont="1"/>
    <xf numFmtId="1" fontId="9" fillId="0" borderId="0" xfId="1" applyNumberFormat="1" applyFont="1" applyAlignment="1">
      <alignment horizontal="center"/>
    </xf>
    <xf numFmtId="1" fontId="10" fillId="0" borderId="0" xfId="1" applyNumberFormat="1" applyFont="1" applyAlignment="1">
      <alignment horizontal="center"/>
    </xf>
    <xf numFmtId="164" fontId="10" fillId="0" borderId="0" xfId="1" applyNumberFormat="1" applyFont="1"/>
    <xf numFmtId="164" fontId="9" fillId="0" borderId="0" xfId="1" applyNumberFormat="1" applyFont="1" applyAlignment="1">
      <alignment horizontal="left"/>
    </xf>
    <xf numFmtId="164" fontId="2" fillId="0" borderId="0" xfId="2" applyNumberFormat="1" applyFont="1" applyAlignment="1">
      <alignment horizontal="centerContinuous"/>
    </xf>
    <xf numFmtId="164" fontId="9" fillId="0" borderId="0" xfId="2" applyNumberFormat="1" applyFont="1" applyAlignment="1">
      <alignment horizontal="centerContinuous"/>
    </xf>
    <xf numFmtId="164" fontId="9" fillId="0" borderId="0" xfId="1" applyNumberFormat="1" applyFont="1" applyAlignment="1">
      <alignment horizontal="center"/>
    </xf>
    <xf numFmtId="164" fontId="10" fillId="0" borderId="0" xfId="1" applyNumberFormat="1" applyFont="1" applyAlignment="1">
      <alignment horizontal="center"/>
    </xf>
    <xf numFmtId="165" fontId="9" fillId="0" borderId="0" xfId="2" quotePrefix="1" applyNumberFormat="1" applyFont="1" applyAlignment="1">
      <alignment horizontal="centerContinuous"/>
    </xf>
    <xf numFmtId="164" fontId="9" fillId="0" borderId="0" xfId="2" quotePrefix="1" applyNumberFormat="1" applyFont="1" applyAlignment="1">
      <alignment horizontal="center"/>
    </xf>
    <xf numFmtId="164" fontId="12" fillId="0" borderId="0" xfId="2" applyNumberFormat="1" applyFont="1" applyAlignment="1">
      <alignment horizontal="centerContinuous"/>
    </xf>
    <xf numFmtId="164" fontId="13" fillId="0" borderId="6" xfId="1" applyNumberFormat="1" applyFont="1" applyBorder="1" applyAlignment="1">
      <alignment horizontal="right"/>
    </xf>
    <xf numFmtId="168" fontId="1" fillId="0" borderId="0" xfId="1" applyNumberFormat="1"/>
    <xf numFmtId="164" fontId="14" fillId="0" borderId="0" xfId="1" applyNumberFormat="1" applyFont="1" applyAlignment="1">
      <alignment horizontal="center"/>
    </xf>
    <xf numFmtId="0" fontId="14" fillId="0" borderId="5" xfId="1" applyFont="1" applyBorder="1" applyAlignment="1">
      <alignment horizontal="center"/>
    </xf>
    <xf numFmtId="0" fontId="11" fillId="0" borderId="6" xfId="1" applyFont="1" applyBorder="1" applyAlignment="1">
      <alignment horizontal="center"/>
    </xf>
    <xf numFmtId="0" fontId="11" fillId="0" borderId="6" xfId="1" applyFont="1" applyBorder="1" applyAlignment="1">
      <alignment horizontal="left"/>
    </xf>
    <xf numFmtId="164" fontId="15" fillId="0" borderId="7" xfId="1" applyNumberFormat="1" applyFont="1" applyBorder="1" applyAlignment="1">
      <alignment horizontal="right"/>
    </xf>
    <xf numFmtId="170" fontId="1" fillId="0" borderId="0" xfId="1" applyNumberFormat="1"/>
    <xf numFmtId="0" fontId="9" fillId="0" borderId="5" xfId="1" applyFont="1" applyBorder="1"/>
    <xf numFmtId="1" fontId="13" fillId="0" borderId="6" xfId="1" applyNumberFormat="1" applyFont="1" applyBorder="1" applyAlignment="1">
      <alignment horizontal="right"/>
    </xf>
    <xf numFmtId="39" fontId="9" fillId="0" borderId="0" xfId="1" applyNumberFormat="1" applyFont="1" applyAlignment="1">
      <alignment horizontal="center"/>
    </xf>
    <xf numFmtId="172" fontId="1" fillId="0" borderId="0" xfId="1" applyNumberFormat="1"/>
    <xf numFmtId="173" fontId="1" fillId="0" borderId="0" xfId="1" applyNumberFormat="1"/>
    <xf numFmtId="175" fontId="1" fillId="0" borderId="0" xfId="1" applyNumberFormat="1"/>
    <xf numFmtId="164" fontId="9" fillId="0" borderId="0" xfId="1" applyNumberFormat="1" applyFont="1" applyAlignment="1">
      <alignment horizontal="centerContinuous"/>
    </xf>
    <xf numFmtId="174" fontId="13" fillId="0" borderId="6" xfId="1" applyNumberFormat="1" applyFont="1" applyBorder="1" applyAlignment="1">
      <alignment horizontal="right"/>
    </xf>
    <xf numFmtId="176" fontId="1" fillId="0" borderId="0" xfId="1" applyNumberFormat="1"/>
    <xf numFmtId="1" fontId="9" fillId="0" borderId="0" xfId="1" quotePrefix="1" applyNumberFormat="1" applyFont="1" applyAlignment="1">
      <alignment horizontal="center"/>
    </xf>
    <xf numFmtId="174" fontId="9" fillId="0" borderId="0" xfId="1" quotePrefix="1" applyNumberFormat="1" applyFont="1" applyAlignment="1">
      <alignment horizontal="center"/>
    </xf>
    <xf numFmtId="174" fontId="9" fillId="0" borderId="0" xfId="1" applyNumberFormat="1" applyFont="1" applyAlignment="1">
      <alignment horizontal="center"/>
    </xf>
    <xf numFmtId="164" fontId="12" fillId="0" borderId="0" xfId="1" applyNumberFormat="1" applyFont="1" applyAlignment="1">
      <alignment horizontal="center"/>
    </xf>
    <xf numFmtId="164" fontId="9" fillId="0" borderId="12" xfId="3" applyFont="1" applyBorder="1"/>
    <xf numFmtId="164" fontId="9" fillId="0" borderId="13" xfId="3" applyFont="1" applyBorder="1"/>
    <xf numFmtId="174" fontId="9" fillId="0" borderId="13" xfId="3" quotePrefix="1" applyNumberFormat="1" applyFont="1" applyBorder="1" applyAlignment="1" applyProtection="1">
      <alignment horizontal="center"/>
      <protection locked="0"/>
    </xf>
    <xf numFmtId="164" fontId="9" fillId="0" borderId="13" xfId="3" applyFont="1" applyBorder="1" applyAlignment="1">
      <alignment horizontal="right"/>
    </xf>
    <xf numFmtId="174" fontId="9" fillId="0" borderId="13" xfId="3" applyNumberFormat="1" applyFont="1" applyBorder="1"/>
    <xf numFmtId="164" fontId="9" fillId="0" borderId="14" xfId="3" applyFont="1" applyBorder="1"/>
    <xf numFmtId="164" fontId="9" fillId="0" borderId="15" xfId="3" applyFont="1" applyBorder="1"/>
    <xf numFmtId="164" fontId="9" fillId="0" borderId="0" xfId="3" applyFont="1" applyAlignment="1">
      <alignment horizontal="right"/>
    </xf>
    <xf numFmtId="164" fontId="9" fillId="0" borderId="0" xfId="3" applyFont="1"/>
    <xf numFmtId="164" fontId="9" fillId="0" borderId="0" xfId="3" quotePrefix="1" applyFont="1" applyAlignment="1" applyProtection="1">
      <alignment horizontal="center"/>
      <protection locked="0"/>
    </xf>
    <xf numFmtId="164" fontId="9" fillId="0" borderId="0" xfId="3" applyFont="1" applyAlignment="1">
      <alignment horizontal="center"/>
    </xf>
    <xf numFmtId="164" fontId="9" fillId="0" borderId="0" xfId="3" applyFont="1" applyAlignment="1" applyProtection="1">
      <alignment horizontal="left"/>
      <protection locked="0"/>
    </xf>
    <xf numFmtId="164" fontId="9" fillId="0" borderId="16" xfId="3" applyFont="1" applyBorder="1"/>
    <xf numFmtId="164" fontId="9" fillId="0" borderId="15" xfId="3" applyFont="1" applyBorder="1" applyAlignment="1" applyProtection="1">
      <alignment horizontal="center"/>
      <protection locked="0"/>
    </xf>
    <xf numFmtId="164" fontId="9" fillId="0" borderId="0" xfId="3" quotePrefix="1" applyFont="1" applyAlignment="1">
      <alignment horizontal="right"/>
    </xf>
    <xf numFmtId="164" fontId="9" fillId="0" borderId="0" xfId="3" applyFont="1" applyAlignment="1" applyProtection="1">
      <alignment horizontal="center"/>
      <protection locked="0"/>
    </xf>
    <xf numFmtId="0" fontId="16" fillId="0" borderId="0" xfId="4"/>
    <xf numFmtId="49" fontId="9" fillId="0" borderId="0" xfId="3" applyNumberFormat="1" applyFont="1" applyAlignment="1">
      <alignment horizontal="center"/>
    </xf>
    <xf numFmtId="164" fontId="4" fillId="0" borderId="12" xfId="1" applyNumberFormat="1" applyFont="1" applyBorder="1" applyAlignment="1">
      <alignment horizontal="centerContinuous"/>
    </xf>
    <xf numFmtId="164" fontId="18" fillId="0" borderId="13" xfId="1" applyNumberFormat="1" applyFont="1" applyBorder="1" applyAlignment="1">
      <alignment horizontal="centerContinuous"/>
    </xf>
    <xf numFmtId="164" fontId="4" fillId="0" borderId="20" xfId="1" applyNumberFormat="1" applyFont="1" applyBorder="1"/>
    <xf numFmtId="164" fontId="17" fillId="0" borderId="14" xfId="1" applyNumberFormat="1" applyFont="1" applyBorder="1" applyAlignment="1">
      <alignment horizontal="left"/>
    </xf>
    <xf numFmtId="164" fontId="4" fillId="0" borderId="13" xfId="1" applyNumberFormat="1" applyFont="1" applyBorder="1" applyAlignment="1">
      <alignment horizontal="centerContinuous"/>
    </xf>
    <xf numFmtId="164" fontId="19" fillId="0" borderId="14" xfId="1" applyNumberFormat="1" applyFont="1" applyBorder="1" applyAlignment="1">
      <alignment horizontal="centerContinuous"/>
    </xf>
    <xf numFmtId="164" fontId="4" fillId="0" borderId="21" xfId="1" applyNumberFormat="1" applyFont="1" applyBorder="1" applyAlignment="1">
      <alignment horizontal="centerContinuous"/>
    </xf>
    <xf numFmtId="164" fontId="17" fillId="0" borderId="22" xfId="1" applyNumberFormat="1" applyFont="1" applyBorder="1" applyAlignment="1">
      <alignment horizontal="centerContinuous"/>
    </xf>
    <xf numFmtId="164" fontId="4" fillId="0" borderId="23" xfId="1" applyNumberFormat="1" applyFont="1" applyBorder="1"/>
    <xf numFmtId="164" fontId="17" fillId="0" borderId="24" xfId="1" applyNumberFormat="1" applyFont="1" applyBorder="1" applyAlignment="1">
      <alignment horizontal="left"/>
    </xf>
    <xf numFmtId="164" fontId="2" fillId="0" borderId="16" xfId="1" applyNumberFormat="1" applyFont="1" applyBorder="1" applyAlignment="1">
      <alignment horizontal="centerContinuous"/>
    </xf>
    <xf numFmtId="164" fontId="4" fillId="0" borderId="16" xfId="1" applyNumberFormat="1" applyFont="1" applyBorder="1" applyAlignment="1">
      <alignment horizontal="centerContinuous"/>
    </xf>
    <xf numFmtId="164" fontId="21" fillId="0" borderId="0" xfId="1" applyNumberFormat="1" applyFont="1" applyAlignment="1">
      <alignment horizontal="centerContinuous"/>
    </xf>
    <xf numFmtId="164" fontId="21" fillId="0" borderId="16" xfId="1" applyNumberFormat="1" applyFont="1" applyBorder="1" applyAlignment="1">
      <alignment horizontal="centerContinuous"/>
    </xf>
    <xf numFmtId="164" fontId="4" fillId="0" borderId="26" xfId="1" applyNumberFormat="1" applyFont="1" applyBorder="1" applyAlignment="1">
      <alignment horizontal="centerContinuous"/>
    </xf>
    <xf numFmtId="164" fontId="17" fillId="0" borderId="10" xfId="1" applyNumberFormat="1" applyFont="1" applyBorder="1" applyAlignment="1">
      <alignment horizontal="centerContinuous"/>
    </xf>
    <xf numFmtId="164" fontId="4" fillId="0" borderId="27" xfId="1" applyNumberFormat="1" applyFont="1" applyBorder="1"/>
    <xf numFmtId="164" fontId="17" fillId="0" borderId="11" xfId="1" applyNumberFormat="1" applyFont="1" applyBorder="1" applyAlignment="1">
      <alignment horizontal="left"/>
    </xf>
    <xf numFmtId="164" fontId="21" fillId="0" borderId="9" xfId="1" applyNumberFormat="1" applyFont="1" applyBorder="1" applyAlignment="1">
      <alignment horizontal="centerContinuous"/>
    </xf>
    <xf numFmtId="164" fontId="21" fillId="0" borderId="28" xfId="1" applyNumberFormat="1" applyFont="1" applyBorder="1" applyAlignment="1">
      <alignment horizontal="centerContinuous"/>
    </xf>
    <xf numFmtId="164" fontId="6" fillId="0" borderId="0" xfId="7" applyNumberFormat="1"/>
    <xf numFmtId="164" fontId="9" fillId="0" borderId="0" xfId="7" applyNumberFormat="1" applyFont="1" applyAlignment="1">
      <alignment horizontal="left"/>
    </xf>
    <xf numFmtId="164" fontId="22" fillId="0" borderId="0" xfId="7" applyNumberFormat="1" applyFont="1" applyAlignment="1">
      <alignment horizontal="left"/>
    </xf>
    <xf numFmtId="0" fontId="24" fillId="0" borderId="0" xfId="8" applyFont="1"/>
    <xf numFmtId="164" fontId="25" fillId="0" borderId="0" xfId="7" applyNumberFormat="1" applyFont="1" applyAlignment="1">
      <alignment horizontal="right"/>
    </xf>
    <xf numFmtId="0" fontId="2" fillId="0" borderId="0" xfId="6" applyFont="1"/>
    <xf numFmtId="0" fontId="23" fillId="0" borderId="0" xfId="9"/>
    <xf numFmtId="174" fontId="15" fillId="0" borderId="29" xfId="7" quotePrefix="1" applyNumberFormat="1" applyFont="1" applyBorder="1" applyAlignment="1">
      <alignment horizontal="center"/>
    </xf>
    <xf numFmtId="174" fontId="15" fillId="0" borderId="30" xfId="7" quotePrefix="1" applyNumberFormat="1" applyFont="1" applyBorder="1" applyAlignment="1">
      <alignment horizontal="center"/>
    </xf>
    <xf numFmtId="174" fontId="15" fillId="0" borderId="31" xfId="7" quotePrefix="1" applyNumberFormat="1" applyFont="1" applyBorder="1" applyAlignment="1">
      <alignment horizontal="center"/>
    </xf>
    <xf numFmtId="0" fontId="23" fillId="0" borderId="0" xfId="10"/>
    <xf numFmtId="174" fontId="15" fillId="0" borderId="32" xfId="7" applyNumberFormat="1" applyFont="1" applyBorder="1" applyAlignment="1">
      <alignment horizontal="center"/>
    </xf>
    <xf numFmtId="174" fontId="15" fillId="0" borderId="33" xfId="7" applyNumberFormat="1" applyFont="1" applyBorder="1" applyAlignment="1">
      <alignment horizontal="center"/>
    </xf>
    <xf numFmtId="174" fontId="15" fillId="0" borderId="34" xfId="7" applyNumberFormat="1" applyFont="1" applyBorder="1" applyAlignment="1">
      <alignment horizontal="center"/>
    </xf>
    <xf numFmtId="164" fontId="6" fillId="0" borderId="35" xfId="7" applyNumberFormat="1" applyBorder="1" applyAlignment="1">
      <alignment horizontal="center"/>
    </xf>
    <xf numFmtId="164" fontId="6" fillId="0" borderId="36" xfId="7" applyNumberFormat="1" applyBorder="1" applyAlignment="1">
      <alignment horizontal="center"/>
    </xf>
    <xf numFmtId="164" fontId="6" fillId="0" borderId="36" xfId="7" quotePrefix="1" applyNumberFormat="1" applyBorder="1" applyAlignment="1">
      <alignment horizontal="center"/>
    </xf>
    <xf numFmtId="164" fontId="6" fillId="0" borderId="37" xfId="7" quotePrefix="1" applyNumberFormat="1" applyBorder="1" applyAlignment="1">
      <alignment horizontal="center"/>
    </xf>
    <xf numFmtId="164" fontId="6" fillId="0" borderId="0" xfId="7" applyNumberFormat="1" applyAlignment="1">
      <alignment horizontal="center"/>
    </xf>
    <xf numFmtId="164" fontId="15" fillId="0" borderId="13" xfId="7" applyNumberFormat="1" applyFont="1" applyBorder="1" applyAlignment="1">
      <alignment horizontal="right"/>
    </xf>
    <xf numFmtId="164" fontId="6" fillId="0" borderId="13" xfId="7" applyNumberFormat="1" applyBorder="1"/>
    <xf numFmtId="164" fontId="29" fillId="0" borderId="13" xfId="7" applyNumberFormat="1" applyFont="1" applyBorder="1" applyAlignment="1">
      <alignment horizontal="right"/>
    </xf>
    <xf numFmtId="164" fontId="6" fillId="0" borderId="14" xfId="7" applyNumberFormat="1" applyBorder="1"/>
    <xf numFmtId="164" fontId="15" fillId="0" borderId="39" xfId="7" applyNumberFormat="1" applyFont="1" applyBorder="1" applyAlignment="1">
      <alignment horizontal="right"/>
    </xf>
    <xf numFmtId="164" fontId="6" fillId="0" borderId="39" xfId="7" applyNumberFormat="1" applyBorder="1"/>
    <xf numFmtId="164" fontId="28" fillId="0" borderId="39" xfId="7" applyNumberFormat="1" applyFont="1" applyBorder="1" applyAlignment="1">
      <alignment horizontal="right"/>
    </xf>
    <xf numFmtId="164" fontId="29" fillId="0" borderId="39" xfId="7" applyNumberFormat="1" applyFont="1" applyBorder="1" applyAlignment="1">
      <alignment horizontal="right"/>
    </xf>
    <xf numFmtId="164" fontId="6" fillId="0" borderId="40" xfId="7" applyNumberFormat="1" applyBorder="1"/>
    <xf numFmtId="164" fontId="6" fillId="0" borderId="44" xfId="7" applyNumberFormat="1" applyBorder="1"/>
    <xf numFmtId="164" fontId="6" fillId="0" borderId="13" xfId="7" applyNumberFormat="1" applyBorder="1" applyAlignment="1">
      <alignment horizontal="right"/>
    </xf>
    <xf numFmtId="164" fontId="15" fillId="0" borderId="0" xfId="7" applyNumberFormat="1" applyFont="1" applyAlignment="1">
      <alignment horizontal="right"/>
    </xf>
    <xf numFmtId="164" fontId="6" fillId="0" borderId="0" xfId="7" applyNumberFormat="1" applyAlignment="1">
      <alignment horizontal="right"/>
    </xf>
    <xf numFmtId="164" fontId="6" fillId="0" borderId="16" xfId="7" applyNumberFormat="1" applyBorder="1"/>
    <xf numFmtId="164" fontId="6" fillId="0" borderId="52" xfId="7" applyNumberFormat="1" applyBorder="1"/>
    <xf numFmtId="164" fontId="28" fillId="0" borderId="13" xfId="7" applyNumberFormat="1" applyFont="1" applyBorder="1" applyAlignment="1">
      <alignment horizontal="right"/>
    </xf>
    <xf numFmtId="164" fontId="6" fillId="0" borderId="55" xfId="7" applyNumberFormat="1" applyBorder="1"/>
    <xf numFmtId="164" fontId="28" fillId="0" borderId="0" xfId="7" applyNumberFormat="1" applyFont="1" applyAlignment="1">
      <alignment horizontal="right"/>
    </xf>
    <xf numFmtId="164" fontId="29" fillId="0" borderId="0" xfId="7" applyNumberFormat="1" applyFont="1" applyAlignment="1">
      <alignment horizontal="right"/>
    </xf>
    <xf numFmtId="164" fontId="15" fillId="0" borderId="55" xfId="7" applyNumberFormat="1" applyFont="1" applyBorder="1" applyAlignment="1">
      <alignment horizontal="right"/>
    </xf>
    <xf numFmtId="164" fontId="13" fillId="0" borderId="55" xfId="7" applyNumberFormat="1" applyFont="1" applyBorder="1" applyAlignment="1">
      <alignment horizontal="center"/>
    </xf>
    <xf numFmtId="164" fontId="6" fillId="0" borderId="12" xfId="7" applyNumberFormat="1" applyBorder="1"/>
    <xf numFmtId="164" fontId="15" fillId="0" borderId="13" xfId="7" applyNumberFormat="1" applyFont="1" applyBorder="1"/>
    <xf numFmtId="0" fontId="15" fillId="0" borderId="13" xfId="7" applyFont="1" applyBorder="1"/>
    <xf numFmtId="164" fontId="6" fillId="0" borderId="38" xfId="7" applyNumberFormat="1" applyBorder="1"/>
    <xf numFmtId="164" fontId="15" fillId="0" borderId="39" xfId="7" applyNumberFormat="1" applyFont="1" applyBorder="1"/>
    <xf numFmtId="179" fontId="15" fillId="0" borderId="39" xfId="7" quotePrefix="1" applyNumberFormat="1" applyFont="1" applyBorder="1" applyAlignment="1">
      <alignment horizontal="center"/>
    </xf>
    <xf numFmtId="0" fontId="15" fillId="0" borderId="39" xfId="7" applyFont="1" applyBorder="1"/>
    <xf numFmtId="164" fontId="14" fillId="0" borderId="39" xfId="7" applyNumberFormat="1" applyFont="1" applyBorder="1"/>
    <xf numFmtId="164" fontId="14" fillId="0" borderId="40" xfId="7" applyNumberFormat="1" applyFont="1" applyBorder="1"/>
    <xf numFmtId="164" fontId="2" fillId="0" borderId="0" xfId="7" applyNumberFormat="1" applyFont="1"/>
    <xf numFmtId="164" fontId="4" fillId="0" borderId="0" xfId="7" applyNumberFormat="1" applyFont="1"/>
    <xf numFmtId="164" fontId="4" fillId="0" borderId="0" xfId="7" applyNumberFormat="1" applyFont="1" applyAlignment="1">
      <alignment horizontal="centerContinuous"/>
    </xf>
    <xf numFmtId="164" fontId="4" fillId="0" borderId="20" xfId="7" applyNumberFormat="1" applyFont="1" applyBorder="1"/>
    <xf numFmtId="164" fontId="17" fillId="0" borderId="14" xfId="7" applyNumberFormat="1" applyFont="1" applyBorder="1" applyAlignment="1">
      <alignment horizontal="left"/>
    </xf>
    <xf numFmtId="164" fontId="4" fillId="0" borderId="13" xfId="7" applyNumberFormat="1" applyFont="1" applyBorder="1" applyAlignment="1">
      <alignment horizontal="centerContinuous"/>
    </xf>
    <xf numFmtId="164" fontId="2" fillId="0" borderId="14" xfId="7" applyNumberFormat="1" applyFont="1" applyBorder="1" applyAlignment="1">
      <alignment horizontal="centerContinuous"/>
    </xf>
    <xf numFmtId="164" fontId="4" fillId="0" borderId="23" xfId="7" applyNumberFormat="1" applyFont="1" applyBorder="1"/>
    <xf numFmtId="164" fontId="17" fillId="0" borderId="24" xfId="7" applyNumberFormat="1" applyFont="1" applyBorder="1" applyAlignment="1">
      <alignment horizontal="left"/>
    </xf>
    <xf numFmtId="164" fontId="2" fillId="0" borderId="16" xfId="7" applyNumberFormat="1" applyFont="1" applyBorder="1" applyAlignment="1">
      <alignment horizontal="centerContinuous"/>
    </xf>
    <xf numFmtId="164" fontId="4" fillId="0" borderId="16" xfId="7" applyNumberFormat="1" applyFont="1" applyBorder="1" applyAlignment="1">
      <alignment horizontal="centerContinuous"/>
    </xf>
    <xf numFmtId="164" fontId="32" fillId="0" borderId="16" xfId="7" applyNumberFormat="1" applyFont="1" applyBorder="1" applyAlignment="1">
      <alignment horizontal="centerContinuous"/>
    </xf>
    <xf numFmtId="164" fontId="4" fillId="0" borderId="21" xfId="7" applyNumberFormat="1" applyFont="1" applyBorder="1" applyAlignment="1">
      <alignment horizontal="centerContinuous"/>
    </xf>
    <xf numFmtId="164" fontId="17" fillId="0" borderId="22" xfId="7" applyNumberFormat="1" applyFont="1" applyBorder="1" applyAlignment="1">
      <alignment horizontal="centerContinuous"/>
    </xf>
    <xf numFmtId="164" fontId="21" fillId="0" borderId="0" xfId="7" applyNumberFormat="1" applyFont="1" applyAlignment="1">
      <alignment horizontal="centerContinuous"/>
    </xf>
    <xf numFmtId="164" fontId="21" fillId="0" borderId="16" xfId="7" applyNumberFormat="1" applyFont="1" applyBorder="1" applyAlignment="1">
      <alignment horizontal="centerContinuous"/>
    </xf>
    <xf numFmtId="164" fontId="4" fillId="0" borderId="27" xfId="7" applyNumberFormat="1" applyFont="1" applyBorder="1"/>
    <xf numFmtId="164" fontId="17" fillId="0" borderId="11" xfId="7" applyNumberFormat="1" applyFont="1" applyBorder="1" applyAlignment="1">
      <alignment horizontal="left"/>
    </xf>
    <xf numFmtId="164" fontId="21" fillId="0" borderId="9" xfId="7" applyNumberFormat="1" applyFont="1" applyBorder="1" applyAlignment="1">
      <alignment horizontal="centerContinuous"/>
    </xf>
    <xf numFmtId="164" fontId="21" fillId="0" borderId="28" xfId="7" applyNumberFormat="1" applyFont="1" applyBorder="1" applyAlignment="1">
      <alignment horizontal="centerContinuous"/>
    </xf>
    <xf numFmtId="0" fontId="33" fillId="0" borderId="0" xfId="10" applyFont="1" applyAlignment="1">
      <alignment horizontal="centerContinuous"/>
    </xf>
    <xf numFmtId="0" fontId="23" fillId="0" borderId="0" xfId="10" applyAlignment="1">
      <alignment horizontal="centerContinuous"/>
    </xf>
    <xf numFmtId="0" fontId="34" fillId="0" borderId="0" xfId="10" applyFont="1" applyAlignment="1">
      <alignment horizontal="centerContinuous"/>
    </xf>
    <xf numFmtId="0" fontId="35" fillId="0" borderId="0" xfId="10" applyFont="1" applyAlignment="1">
      <alignment horizontal="center"/>
    </xf>
    <xf numFmtId="0" fontId="34" fillId="0" borderId="0" xfId="10" applyFont="1" applyAlignment="1">
      <alignment horizontal="right"/>
    </xf>
    <xf numFmtId="0" fontId="34" fillId="0" borderId="0" xfId="10" applyFont="1"/>
    <xf numFmtId="0" fontId="36" fillId="0" borderId="0" xfId="10" applyFont="1"/>
    <xf numFmtId="14" fontId="34" fillId="0" borderId="0" xfId="10" applyNumberFormat="1" applyFont="1" applyAlignment="1">
      <alignment horizontal="center"/>
    </xf>
    <xf numFmtId="19" fontId="34" fillId="0" borderId="0" xfId="10" applyNumberFormat="1" applyFont="1"/>
    <xf numFmtId="0" fontId="37" fillId="0" borderId="58" xfId="10" applyFont="1" applyBorder="1" applyAlignment="1">
      <alignment horizontal="center"/>
    </xf>
    <xf numFmtId="0" fontId="37" fillId="0" borderId="59" xfId="10" applyFont="1" applyBorder="1" applyAlignment="1">
      <alignment horizontal="center"/>
    </xf>
    <xf numFmtId="0" fontId="36" fillId="0" borderId="60" xfId="10" applyFont="1" applyBorder="1" applyAlignment="1">
      <alignment horizontal="center"/>
    </xf>
    <xf numFmtId="2" fontId="36" fillId="0" borderId="60" xfId="10" applyNumberFormat="1" applyFont="1" applyBorder="1" applyAlignment="1">
      <alignment horizontal="center"/>
    </xf>
    <xf numFmtId="1" fontId="36" fillId="0" borderId="60" xfId="10" applyNumberFormat="1" applyFont="1" applyBorder="1" applyAlignment="1">
      <alignment horizontal="center"/>
    </xf>
    <xf numFmtId="1" fontId="36" fillId="0" borderId="61" xfId="10" applyNumberFormat="1" applyFont="1" applyBorder="1" applyAlignment="1">
      <alignment horizontal="center"/>
    </xf>
    <xf numFmtId="174" fontId="36" fillId="0" borderId="60" xfId="10" applyNumberFormat="1" applyFont="1" applyBorder="1" applyAlignment="1">
      <alignment horizontal="center"/>
    </xf>
    <xf numFmtId="166" fontId="36" fillId="0" borderId="60" xfId="10" applyNumberFormat="1" applyFont="1" applyBorder="1" applyAlignment="1">
      <alignment horizontal="center"/>
    </xf>
    <xf numFmtId="0" fontId="37" fillId="0" borderId="11" xfId="10" applyFont="1" applyBorder="1"/>
    <xf numFmtId="0" fontId="34" fillId="0" borderId="10" xfId="10" applyFont="1" applyBorder="1" applyAlignment="1">
      <alignment horizontal="center"/>
    </xf>
    <xf numFmtId="0" fontId="34" fillId="0" borderId="26" xfId="10" applyFont="1" applyBorder="1" applyAlignment="1">
      <alignment horizontal="center"/>
    </xf>
    <xf numFmtId="0" fontId="37" fillId="0" borderId="11" xfId="10" applyFont="1" applyBorder="1" applyAlignment="1">
      <alignment horizontal="left"/>
    </xf>
    <xf numFmtId="0" fontId="36" fillId="2" borderId="0" xfId="10" applyFont="1" applyFill="1"/>
    <xf numFmtId="0" fontId="36" fillId="0" borderId="9" xfId="10" applyFont="1" applyBorder="1"/>
    <xf numFmtId="0" fontId="36" fillId="0" borderId="8" xfId="10" applyFont="1" applyBorder="1"/>
    <xf numFmtId="0" fontId="37" fillId="0" borderId="0" xfId="10" applyFont="1"/>
    <xf numFmtId="0" fontId="36" fillId="0" borderId="0" xfId="10" applyFont="1" applyAlignment="1">
      <alignment horizontal="centerContinuous"/>
    </xf>
    <xf numFmtId="0" fontId="36" fillId="0" borderId="26" xfId="10" applyFont="1" applyBorder="1" applyAlignment="1">
      <alignment horizontal="centerContinuous"/>
    </xf>
    <xf numFmtId="0" fontId="23" fillId="0" borderId="16" xfId="10" applyBorder="1"/>
    <xf numFmtId="0" fontId="34" fillId="0" borderId="33" xfId="10" applyFont="1" applyBorder="1" applyAlignment="1">
      <alignment horizontal="center"/>
    </xf>
    <xf numFmtId="0" fontId="34" fillId="0" borderId="32" xfId="10" applyFont="1" applyBorder="1" applyAlignment="1">
      <alignment horizontal="center"/>
    </xf>
    <xf numFmtId="0" fontId="36" fillId="0" borderId="33" xfId="10" applyFont="1" applyBorder="1" applyAlignment="1">
      <alignment horizontal="centerContinuous"/>
    </xf>
    <xf numFmtId="0" fontId="34" fillId="0" borderId="34" xfId="10" applyFont="1" applyBorder="1" applyAlignment="1">
      <alignment horizontal="right"/>
    </xf>
    <xf numFmtId="166" fontId="36" fillId="0" borderId="33" xfId="10" applyNumberFormat="1" applyFont="1" applyBorder="1" applyAlignment="1">
      <alignment horizontal="center"/>
    </xf>
    <xf numFmtId="0" fontId="34" fillId="0" borderId="61" xfId="10" applyFont="1" applyBorder="1" applyAlignment="1">
      <alignment horizontal="center"/>
    </xf>
    <xf numFmtId="2" fontId="36" fillId="0" borderId="33" xfId="10" applyNumberFormat="1" applyFont="1" applyBorder="1" applyAlignment="1">
      <alignment horizontal="center"/>
    </xf>
    <xf numFmtId="0" fontId="36" fillId="0" borderId="32" xfId="10" applyFont="1" applyBorder="1" applyAlignment="1">
      <alignment horizontal="center"/>
    </xf>
    <xf numFmtId="0" fontId="34" fillId="0" borderId="34" xfId="10" applyFont="1" applyBorder="1"/>
    <xf numFmtId="0" fontId="36" fillId="0" borderId="33" xfId="10" applyFont="1" applyBorder="1" applyAlignment="1">
      <alignment horizontal="center"/>
    </xf>
    <xf numFmtId="0" fontId="34" fillId="0" borderId="59" xfId="10" applyFont="1" applyBorder="1" applyAlignment="1">
      <alignment horizontal="center"/>
    </xf>
    <xf numFmtId="0" fontId="36" fillId="0" borderId="0" xfId="10" applyFont="1" applyAlignment="1">
      <alignment horizontal="center"/>
    </xf>
    <xf numFmtId="0" fontId="34" fillId="0" borderId="25" xfId="10" applyFont="1" applyBorder="1" applyAlignment="1">
      <alignment horizontal="centerContinuous"/>
    </xf>
    <xf numFmtId="0" fontId="36" fillId="0" borderId="5" xfId="10" applyFont="1" applyBorder="1" applyAlignment="1">
      <alignment horizontal="centerContinuous"/>
    </xf>
    <xf numFmtId="174" fontId="36" fillId="0" borderId="62" xfId="10" applyNumberFormat="1" applyFont="1" applyBorder="1" applyAlignment="1">
      <alignment horizontal="center"/>
    </xf>
    <xf numFmtId="2" fontId="36" fillId="0" borderId="32" xfId="10" applyNumberFormat="1" applyFont="1" applyBorder="1" applyAlignment="1">
      <alignment horizontal="center"/>
    </xf>
    <xf numFmtId="0" fontId="36" fillId="0" borderId="44" xfId="10" applyFont="1" applyBorder="1" applyAlignment="1">
      <alignment horizontal="left"/>
    </xf>
    <xf numFmtId="0" fontId="36" fillId="0" borderId="15" xfId="10" applyFont="1" applyBorder="1" applyAlignment="1">
      <alignment horizontal="left"/>
    </xf>
    <xf numFmtId="0" fontId="36" fillId="0" borderId="63" xfId="10" applyFont="1" applyBorder="1" applyAlignment="1">
      <alignment horizontal="left"/>
    </xf>
    <xf numFmtId="0" fontId="36" fillId="0" borderId="21" xfId="10" applyFont="1" applyBorder="1" applyAlignment="1">
      <alignment horizontal="left"/>
    </xf>
    <xf numFmtId="179" fontId="36" fillId="3" borderId="33" xfId="10" applyNumberFormat="1" applyFont="1" applyFill="1" applyBorder="1" applyAlignment="1">
      <alignment horizontal="center"/>
    </xf>
    <xf numFmtId="0" fontId="36" fillId="0" borderId="33" xfId="10" applyFont="1" applyBorder="1" applyAlignment="1">
      <alignment horizontal="left"/>
    </xf>
    <xf numFmtId="0" fontId="36" fillId="0" borderId="32" xfId="10" applyFont="1" applyBorder="1" applyAlignment="1">
      <alignment horizontal="left"/>
    </xf>
    <xf numFmtId="174" fontId="36" fillId="0" borderId="33" xfId="10" applyNumberFormat="1" applyFont="1" applyBorder="1" applyAlignment="1">
      <alignment horizontal="center"/>
    </xf>
    <xf numFmtId="0" fontId="34" fillId="0" borderId="64" xfId="10" applyFont="1" applyBorder="1" applyAlignment="1">
      <alignment horizontal="right"/>
    </xf>
    <xf numFmtId="2" fontId="36" fillId="0" borderId="20" xfId="10" applyNumberFormat="1" applyFont="1" applyBorder="1" applyAlignment="1">
      <alignment horizontal="center"/>
    </xf>
    <xf numFmtId="2" fontId="36" fillId="0" borderId="12" xfId="10" applyNumberFormat="1" applyFont="1" applyBorder="1" applyAlignment="1">
      <alignment horizontal="center"/>
    </xf>
    <xf numFmtId="0" fontId="37" fillId="0" borderId="28" xfId="10" applyFont="1" applyBorder="1"/>
    <xf numFmtId="174" fontId="36" fillId="0" borderId="9" xfId="10" applyNumberFormat="1" applyFont="1" applyBorder="1" applyAlignment="1">
      <alignment horizontal="center"/>
    </xf>
    <xf numFmtId="174" fontId="36" fillId="0" borderId="8" xfId="10" applyNumberFormat="1" applyFont="1" applyBorder="1" applyAlignment="1">
      <alignment horizontal="center"/>
    </xf>
    <xf numFmtId="0" fontId="34" fillId="0" borderId="65" xfId="10" applyFont="1" applyBorder="1" applyAlignment="1">
      <alignment horizontal="center"/>
    </xf>
    <xf numFmtId="174" fontId="38" fillId="0" borderId="33" xfId="10" applyNumberFormat="1" applyFont="1" applyBorder="1" applyAlignment="1">
      <alignment horizontal="center"/>
    </xf>
    <xf numFmtId="174" fontId="36" fillId="0" borderId="32" xfId="10" applyNumberFormat="1" applyFont="1" applyBorder="1" applyAlignment="1">
      <alignment horizontal="center"/>
    </xf>
    <xf numFmtId="0" fontId="37" fillId="0" borderId="9" xfId="10" applyFont="1" applyBorder="1" applyAlignment="1">
      <alignment horizontal="centerContinuous"/>
    </xf>
    <xf numFmtId="0" fontId="37" fillId="0" borderId="8" xfId="10" applyFont="1" applyBorder="1" applyAlignment="1">
      <alignment horizontal="centerContinuous"/>
    </xf>
    <xf numFmtId="0" fontId="23" fillId="0" borderId="34" xfId="10" applyBorder="1"/>
    <xf numFmtId="0" fontId="34" fillId="0" borderId="32" xfId="10" applyFont="1" applyBorder="1" applyAlignment="1">
      <alignment horizontal="centerContinuous"/>
    </xf>
    <xf numFmtId="180" fontId="36" fillId="0" borderId="33" xfId="10" applyNumberFormat="1" applyFont="1" applyBorder="1" applyAlignment="1">
      <alignment horizontal="center"/>
    </xf>
    <xf numFmtId="166" fontId="36" fillId="0" borderId="32" xfId="10" applyNumberFormat="1" applyFont="1" applyBorder="1" applyAlignment="1">
      <alignment horizontal="center"/>
    </xf>
    <xf numFmtId="167" fontId="36" fillId="0" borderId="33" xfId="10" applyNumberFormat="1" applyFont="1" applyBorder="1" applyAlignment="1">
      <alignment horizontal="center"/>
    </xf>
    <xf numFmtId="167" fontId="36" fillId="0" borderId="32" xfId="10" applyNumberFormat="1" applyFont="1" applyBorder="1" applyAlignment="1">
      <alignment horizontal="center"/>
    </xf>
    <xf numFmtId="0" fontId="34" fillId="0" borderId="16" xfId="10" applyFont="1" applyBorder="1"/>
    <xf numFmtId="0" fontId="36" fillId="0" borderId="15" xfId="10" applyFont="1" applyBorder="1" applyAlignment="1">
      <alignment horizontal="center"/>
    </xf>
    <xf numFmtId="0" fontId="34" fillId="0" borderId="31" xfId="10" applyFont="1" applyBorder="1" applyAlignment="1">
      <alignment horizontal="right"/>
    </xf>
    <xf numFmtId="2" fontId="36" fillId="0" borderId="30" xfId="10" applyNumberFormat="1" applyFont="1" applyBorder="1" applyAlignment="1">
      <alignment horizontal="center"/>
    </xf>
    <xf numFmtId="2" fontId="36" fillId="0" borderId="29" xfId="10" applyNumberFormat="1" applyFont="1" applyBorder="1" applyAlignment="1">
      <alignment horizontal="center"/>
    </xf>
    <xf numFmtId="166" fontId="36" fillId="0" borderId="30" xfId="10" applyNumberFormat="1" applyFont="1" applyBorder="1" applyAlignment="1">
      <alignment horizontal="center"/>
    </xf>
    <xf numFmtId="166" fontId="36" fillId="0" borderId="29" xfId="10" applyNumberFormat="1" applyFont="1" applyBorder="1" applyAlignment="1">
      <alignment horizontal="center"/>
    </xf>
    <xf numFmtId="0" fontId="36" fillId="0" borderId="15" xfId="10" applyFont="1" applyBorder="1"/>
    <xf numFmtId="0" fontId="34" fillId="0" borderId="9" xfId="10" applyFont="1" applyBorder="1" applyAlignment="1">
      <alignment horizontal="centerContinuous"/>
    </xf>
    <xf numFmtId="0" fontId="36" fillId="0" borderId="9" xfId="10" applyFont="1" applyBorder="1" applyAlignment="1">
      <alignment horizontal="centerContinuous"/>
    </xf>
    <xf numFmtId="0" fontId="36" fillId="0" borderId="10" xfId="10" applyFont="1" applyBorder="1"/>
    <xf numFmtId="0" fontId="37" fillId="0" borderId="66" xfId="10" applyFont="1" applyBorder="1"/>
    <xf numFmtId="0" fontId="36" fillId="0" borderId="34" xfId="10" applyFont="1" applyBorder="1"/>
    <xf numFmtId="0" fontId="36" fillId="0" borderId="25" xfId="10" applyFont="1" applyBorder="1" applyAlignment="1">
      <alignment horizontal="right"/>
    </xf>
    <xf numFmtId="2" fontId="36" fillId="0" borderId="5" xfId="10" applyNumberFormat="1" applyFont="1" applyBorder="1" applyAlignment="1">
      <alignment horizontal="center"/>
    </xf>
    <xf numFmtId="174" fontId="23" fillId="0" borderId="0" xfId="10" applyNumberFormat="1"/>
    <xf numFmtId="0" fontId="36" fillId="0" borderId="31" xfId="10" applyFont="1" applyBorder="1"/>
    <xf numFmtId="0" fontId="36" fillId="0" borderId="56" xfId="10" applyFont="1" applyBorder="1" applyAlignment="1">
      <alignment horizontal="right"/>
    </xf>
    <xf numFmtId="2" fontId="36" fillId="0" borderId="2" xfId="10" applyNumberFormat="1" applyFont="1" applyBorder="1" applyAlignment="1">
      <alignment horizontal="center"/>
    </xf>
    <xf numFmtId="2" fontId="23" fillId="0" borderId="33" xfId="10" applyNumberFormat="1" applyBorder="1" applyAlignment="1">
      <alignment horizontal="center"/>
    </xf>
    <xf numFmtId="174" fontId="23" fillId="0" borderId="32" xfId="10" applyNumberFormat="1" applyBorder="1" applyAlignment="1">
      <alignment horizontal="center"/>
    </xf>
    <xf numFmtId="174" fontId="23" fillId="0" borderId="33" xfId="10" applyNumberFormat="1" applyBorder="1" applyAlignment="1">
      <alignment horizontal="center"/>
    </xf>
    <xf numFmtId="0" fontId="23" fillId="0" borderId="10" xfId="10" applyBorder="1"/>
    <xf numFmtId="0" fontId="36" fillId="0" borderId="26" xfId="10" applyFont="1" applyBorder="1"/>
    <xf numFmtId="0" fontId="36" fillId="0" borderId="5" xfId="10" applyFont="1" applyBorder="1" applyAlignment="1">
      <alignment horizontal="center"/>
    </xf>
    <xf numFmtId="0" fontId="34" fillId="0" borderId="33" xfId="10" applyFont="1" applyBorder="1" applyAlignment="1">
      <alignment horizontal="right"/>
    </xf>
    <xf numFmtId="0" fontId="34" fillId="0" borderId="0" xfId="10" applyFont="1" applyAlignment="1">
      <alignment horizontal="center"/>
    </xf>
    <xf numFmtId="0" fontId="34" fillId="0" borderId="31" xfId="10" applyFont="1" applyBorder="1"/>
    <xf numFmtId="167" fontId="36" fillId="0" borderId="0" xfId="10" applyNumberFormat="1" applyFont="1" applyAlignment="1">
      <alignment horizontal="center"/>
    </xf>
    <xf numFmtId="166" fontId="23" fillId="0" borderId="30" xfId="10" applyNumberFormat="1" applyBorder="1" applyAlignment="1">
      <alignment horizontal="center"/>
    </xf>
    <xf numFmtId="2" fontId="23" fillId="0" borderId="30" xfId="10" applyNumberFormat="1" applyBorder="1" applyAlignment="1">
      <alignment horizontal="center"/>
    </xf>
    <xf numFmtId="174" fontId="23" fillId="0" borderId="29" xfId="10" applyNumberFormat="1" applyBorder="1" applyAlignment="1">
      <alignment horizontal="center"/>
    </xf>
    <xf numFmtId="0" fontId="36" fillId="0" borderId="9" xfId="10" applyFont="1" applyBorder="1" applyAlignment="1">
      <alignment horizontal="right"/>
    </xf>
    <xf numFmtId="49" fontId="36" fillId="0" borderId="9" xfId="10" applyNumberFormat="1" applyFont="1" applyBorder="1" applyAlignment="1">
      <alignment horizontal="center"/>
    </xf>
    <xf numFmtId="0" fontId="34" fillId="0" borderId="37" xfId="10" applyFont="1" applyBorder="1" applyAlignment="1">
      <alignment horizontal="right"/>
    </xf>
    <xf numFmtId="174" fontId="36" fillId="0" borderId="35" xfId="10" applyNumberFormat="1" applyFont="1" applyBorder="1" applyAlignment="1">
      <alignment horizontal="center"/>
    </xf>
    <xf numFmtId="2" fontId="40" fillId="0" borderId="33" xfId="10" applyNumberFormat="1" applyFont="1" applyBorder="1" applyAlignment="1">
      <alignment horizontal="center"/>
    </xf>
    <xf numFmtId="2" fontId="40" fillId="0" borderId="32" xfId="10" applyNumberFormat="1" applyFont="1" applyBorder="1" applyAlignment="1">
      <alignment horizontal="center"/>
    </xf>
    <xf numFmtId="174" fontId="36" fillId="0" borderId="29" xfId="10" applyNumberFormat="1" applyFont="1" applyBorder="1" applyAlignment="1">
      <alignment horizontal="center"/>
    </xf>
    <xf numFmtId="0" fontId="41" fillId="0" borderId="0" xfId="10" applyFont="1"/>
    <xf numFmtId="166" fontId="40" fillId="0" borderId="33" xfId="10" applyNumberFormat="1" applyFont="1" applyBorder="1" applyAlignment="1">
      <alignment horizontal="center"/>
    </xf>
    <xf numFmtId="166" fontId="40" fillId="0" borderId="32" xfId="10" applyNumberFormat="1" applyFont="1" applyBorder="1" applyAlignment="1">
      <alignment horizontal="center"/>
    </xf>
    <xf numFmtId="0" fontId="34" fillId="0" borderId="67" xfId="10" applyFont="1" applyBorder="1" applyAlignment="1">
      <alignment horizontal="right"/>
    </xf>
    <xf numFmtId="174" fontId="36" fillId="0" borderId="68" xfId="10" applyNumberFormat="1" applyFont="1" applyBorder="1" applyAlignment="1">
      <alignment horizontal="center"/>
    </xf>
    <xf numFmtId="167" fontId="23" fillId="0" borderId="0" xfId="10" applyNumberFormat="1"/>
    <xf numFmtId="0" fontId="34" fillId="0" borderId="36" xfId="10" applyFont="1" applyBorder="1" applyAlignment="1">
      <alignment horizontal="center"/>
    </xf>
    <xf numFmtId="0" fontId="34" fillId="0" borderId="35" xfId="10" applyFont="1" applyBorder="1" applyAlignment="1">
      <alignment horizontal="center"/>
    </xf>
    <xf numFmtId="167" fontId="40" fillId="0" borderId="33" xfId="10" applyNumberFormat="1" applyFont="1" applyBorder="1" applyAlignment="1">
      <alignment horizontal="center"/>
    </xf>
    <xf numFmtId="167" fontId="40" fillId="0" borderId="32" xfId="10" applyNumberFormat="1" applyFont="1" applyBorder="1" applyAlignment="1">
      <alignment horizontal="center"/>
    </xf>
    <xf numFmtId="0" fontId="34" fillId="0" borderId="69" xfId="10" applyFont="1" applyBorder="1" applyAlignment="1">
      <alignment horizontal="right"/>
    </xf>
    <xf numFmtId="174" fontId="36" fillId="0" borderId="48" xfId="10" applyNumberFormat="1" applyFont="1" applyBorder="1" applyAlignment="1">
      <alignment horizontal="center"/>
    </xf>
    <xf numFmtId="0" fontId="36" fillId="0" borderId="70" xfId="10" applyFont="1" applyBorder="1" applyAlignment="1">
      <alignment horizontal="center"/>
    </xf>
    <xf numFmtId="0" fontId="36" fillId="0" borderId="46" xfId="10" applyFont="1" applyBorder="1" applyAlignment="1">
      <alignment horizontal="center"/>
    </xf>
    <xf numFmtId="174" fontId="40" fillId="0" borderId="33" xfId="10" applyNumberFormat="1" applyFont="1" applyBorder="1" applyAlignment="1">
      <alignment horizontal="center"/>
    </xf>
    <xf numFmtId="174" fontId="40" fillId="0" borderId="32" xfId="10" applyNumberFormat="1" applyFont="1" applyBorder="1" applyAlignment="1">
      <alignment horizontal="center"/>
    </xf>
    <xf numFmtId="0" fontId="34" fillId="0" borderId="71" xfId="10" applyFont="1" applyBorder="1" applyAlignment="1">
      <alignment horizontal="right"/>
    </xf>
    <xf numFmtId="174" fontId="36" fillId="0" borderId="23" xfId="10" applyNumberFormat="1" applyFont="1" applyBorder="1" applyAlignment="1">
      <alignment horizontal="center"/>
    </xf>
    <xf numFmtId="0" fontId="36" fillId="0" borderId="63" xfId="10" applyFont="1" applyBorder="1" applyAlignment="1">
      <alignment horizontal="center"/>
    </xf>
    <xf numFmtId="0" fontId="36" fillId="0" borderId="21" xfId="10" applyFont="1" applyBorder="1" applyAlignment="1">
      <alignment horizontal="center"/>
    </xf>
    <xf numFmtId="2" fontId="36" fillId="0" borderId="46" xfId="10" applyNumberFormat="1" applyFont="1" applyBorder="1" applyAlignment="1">
      <alignment horizontal="center"/>
    </xf>
    <xf numFmtId="166" fontId="40" fillId="0" borderId="30" xfId="10" applyNumberFormat="1" applyFont="1" applyBorder="1" applyAlignment="1">
      <alignment horizontal="center"/>
    </xf>
    <xf numFmtId="166" fontId="42" fillId="0" borderId="56" xfId="10" applyNumberFormat="1" applyFont="1" applyBorder="1" applyAlignment="1">
      <alignment horizontal="center"/>
    </xf>
    <xf numFmtId="166" fontId="42" fillId="0" borderId="3" xfId="10" applyNumberFormat="1" applyFont="1" applyBorder="1" applyAlignment="1">
      <alignment horizontal="center"/>
    </xf>
    <xf numFmtId="166" fontId="42" fillId="0" borderId="2" xfId="10" applyNumberFormat="1" applyFont="1" applyBorder="1" applyAlignment="1">
      <alignment horizontal="center"/>
    </xf>
    <xf numFmtId="0" fontId="37" fillId="0" borderId="37" xfId="10" applyFont="1" applyBorder="1"/>
    <xf numFmtId="0" fontId="36" fillId="0" borderId="57" xfId="10" applyFont="1" applyBorder="1"/>
    <xf numFmtId="0" fontId="36" fillId="0" borderId="35" xfId="10" applyFont="1" applyBorder="1"/>
    <xf numFmtId="174" fontId="36" fillId="0" borderId="70" xfId="10" applyNumberFormat="1" applyFont="1" applyBorder="1" applyAlignment="1">
      <alignment horizontal="center"/>
    </xf>
    <xf numFmtId="166" fontId="36" fillId="0" borderId="70" xfId="10" applyNumberFormat="1" applyFont="1" applyBorder="1" applyAlignment="1">
      <alignment horizontal="center"/>
    </xf>
    <xf numFmtId="0" fontId="34" fillId="0" borderId="33" xfId="10" applyFont="1" applyBorder="1"/>
    <xf numFmtId="0" fontId="34" fillId="0" borderId="72" xfId="10" applyFont="1" applyBorder="1" applyAlignment="1">
      <alignment horizontal="right"/>
    </xf>
    <xf numFmtId="174" fontId="36" fillId="0" borderId="44" xfId="10" applyNumberFormat="1" applyFont="1" applyBorder="1" applyAlignment="1">
      <alignment horizontal="center"/>
    </xf>
    <xf numFmtId="0" fontId="36" fillId="0" borderId="44" xfId="10" applyFont="1" applyBorder="1" applyAlignment="1">
      <alignment horizontal="center"/>
    </xf>
    <xf numFmtId="1" fontId="36" fillId="0" borderId="63" xfId="10" applyNumberFormat="1" applyFont="1" applyBorder="1" applyAlignment="1">
      <alignment horizontal="center"/>
    </xf>
    <xf numFmtId="0" fontId="23" fillId="0" borderId="0" xfId="10" applyAlignment="1">
      <alignment horizontal="right"/>
    </xf>
    <xf numFmtId="174" fontId="23" fillId="0" borderId="0" xfId="10" applyNumberFormat="1" applyAlignment="1">
      <alignment horizontal="left"/>
    </xf>
    <xf numFmtId="0" fontId="34" fillId="0" borderId="70" xfId="10" applyFont="1" applyBorder="1" applyAlignment="1">
      <alignment horizontal="right"/>
    </xf>
    <xf numFmtId="2" fontId="36" fillId="0" borderId="15" xfId="10" applyNumberFormat="1" applyFont="1" applyBorder="1" applyAlignment="1">
      <alignment horizontal="center"/>
    </xf>
    <xf numFmtId="0" fontId="34" fillId="0" borderId="44" xfId="10" applyFont="1" applyBorder="1" applyAlignment="1">
      <alignment horizontal="right"/>
    </xf>
    <xf numFmtId="2" fontId="23" fillId="0" borderId="0" xfId="10" applyNumberFormat="1" applyAlignment="1">
      <alignment horizontal="left"/>
    </xf>
    <xf numFmtId="0" fontId="36" fillId="0" borderId="30" xfId="10" applyFont="1" applyBorder="1" applyAlignment="1">
      <alignment horizontal="center"/>
    </xf>
    <xf numFmtId="0" fontId="34" fillId="0" borderId="30" xfId="10" applyFont="1" applyBorder="1"/>
    <xf numFmtId="0" fontId="34" fillId="0" borderId="63" xfId="10" applyFont="1" applyBorder="1" applyAlignment="1">
      <alignment horizontal="right"/>
    </xf>
    <xf numFmtId="0" fontId="36" fillId="0" borderId="12" xfId="10" applyFont="1" applyBorder="1" applyAlignment="1">
      <alignment horizontal="center"/>
    </xf>
    <xf numFmtId="0" fontId="23" fillId="0" borderId="0" xfId="10" applyAlignment="1">
      <alignment horizontal="left"/>
    </xf>
    <xf numFmtId="0" fontId="34" fillId="0" borderId="0" xfId="10" applyFont="1" applyAlignment="1">
      <alignment horizontal="left"/>
    </xf>
    <xf numFmtId="2" fontId="36" fillId="0" borderId="22" xfId="10" applyNumberFormat="1" applyFont="1" applyBorder="1" applyAlignment="1">
      <alignment horizontal="centerContinuous"/>
    </xf>
    <xf numFmtId="0" fontId="36" fillId="0" borderId="21" xfId="10" applyFont="1" applyBorder="1" applyAlignment="1">
      <alignment horizontal="centerContinuous"/>
    </xf>
    <xf numFmtId="1" fontId="23" fillId="0" borderId="0" xfId="10" applyNumberFormat="1" applyAlignment="1">
      <alignment horizontal="left"/>
    </xf>
    <xf numFmtId="0" fontId="36" fillId="0" borderId="22" xfId="10" applyFont="1" applyBorder="1" applyAlignment="1">
      <alignment horizontal="center"/>
    </xf>
    <xf numFmtId="0" fontId="34" fillId="0" borderId="30" xfId="10" applyFont="1" applyBorder="1" applyAlignment="1">
      <alignment horizontal="right"/>
    </xf>
    <xf numFmtId="0" fontId="36" fillId="0" borderId="13" xfId="10" applyFont="1" applyBorder="1" applyAlignment="1">
      <alignment horizontal="center"/>
    </xf>
    <xf numFmtId="0" fontId="24" fillId="0" borderId="11" xfId="10" applyFont="1" applyBorder="1"/>
    <xf numFmtId="0" fontId="24" fillId="0" borderId="10" xfId="10" applyFont="1" applyBorder="1"/>
    <xf numFmtId="0" fontId="24" fillId="0" borderId="26" xfId="10" applyFont="1" applyBorder="1"/>
    <xf numFmtId="0" fontId="34" fillId="0" borderId="34" xfId="10" applyFont="1" applyBorder="1" applyAlignment="1">
      <alignment horizontal="center"/>
    </xf>
    <xf numFmtId="0" fontId="24" fillId="0" borderId="16" xfId="10" applyFont="1" applyBorder="1"/>
    <xf numFmtId="0" fontId="24" fillId="0" borderId="0" xfId="10" applyFont="1"/>
    <xf numFmtId="0" fontId="24" fillId="0" borderId="15" xfId="10" applyFont="1" applyBorder="1"/>
    <xf numFmtId="2" fontId="34" fillId="0" borderId="72" xfId="10" quotePrefix="1" applyNumberFormat="1" applyFont="1" applyBorder="1" applyAlignment="1">
      <alignment horizontal="center"/>
    </xf>
    <xf numFmtId="174" fontId="36" fillId="0" borderId="73" xfId="10" applyNumberFormat="1" applyFont="1" applyBorder="1" applyAlignment="1">
      <alignment horizontal="center"/>
    </xf>
    <xf numFmtId="2" fontId="34" fillId="0" borderId="44" xfId="10" quotePrefix="1" applyNumberFormat="1" applyFont="1" applyBorder="1" applyAlignment="1">
      <alignment horizontal="center"/>
    </xf>
    <xf numFmtId="166" fontId="34" fillId="0" borderId="72" xfId="10" quotePrefix="1" applyNumberFormat="1" applyFont="1" applyBorder="1" applyAlignment="1">
      <alignment horizontal="center"/>
    </xf>
    <xf numFmtId="2" fontId="34" fillId="0" borderId="44" xfId="10" applyNumberFormat="1" applyFont="1" applyBorder="1" applyAlignment="1">
      <alignment horizontal="center"/>
    </xf>
    <xf numFmtId="2" fontId="34" fillId="0" borderId="74" xfId="10" applyNumberFormat="1" applyFont="1" applyBorder="1" applyAlignment="1">
      <alignment horizontal="center"/>
    </xf>
    <xf numFmtId="174" fontId="36" fillId="0" borderId="74" xfId="10" applyNumberFormat="1" applyFont="1" applyBorder="1" applyAlignment="1">
      <alignment horizontal="center"/>
    </xf>
    <xf numFmtId="174" fontId="36" fillId="0" borderId="75" xfId="10" applyNumberFormat="1" applyFont="1" applyBorder="1" applyAlignment="1">
      <alignment horizontal="center"/>
    </xf>
    <xf numFmtId="2" fontId="37" fillId="0" borderId="22" xfId="10" applyNumberFormat="1" applyFont="1" applyBorder="1" applyAlignment="1">
      <alignment horizontal="left"/>
    </xf>
    <xf numFmtId="174" fontId="38" fillId="0" borderId="22" xfId="10" applyNumberFormat="1" applyFont="1" applyBorder="1" applyAlignment="1">
      <alignment horizontal="left"/>
    </xf>
    <xf numFmtId="2" fontId="34" fillId="0" borderId="0" xfId="10" applyNumberFormat="1" applyFont="1" applyAlignment="1">
      <alignment horizontal="right"/>
    </xf>
    <xf numFmtId="174" fontId="36" fillId="0" borderId="0" xfId="10" applyNumberFormat="1" applyFont="1" applyAlignment="1">
      <alignment horizontal="centerContinuous"/>
    </xf>
    <xf numFmtId="2" fontId="34" fillId="0" borderId="64" xfId="10" quotePrefix="1" applyNumberFormat="1" applyFont="1" applyBorder="1" applyAlignment="1">
      <alignment horizontal="center"/>
    </xf>
    <xf numFmtId="174" fontId="36" fillId="0" borderId="76" xfId="10" applyNumberFormat="1" applyFont="1" applyBorder="1" applyAlignment="1">
      <alignment horizontal="center"/>
    </xf>
    <xf numFmtId="2" fontId="34" fillId="0" borderId="13" xfId="10" applyNumberFormat="1" applyFont="1" applyBorder="1" applyAlignment="1">
      <alignment horizontal="right"/>
    </xf>
    <xf numFmtId="174" fontId="36" fillId="0" borderId="13" xfId="10" applyNumberFormat="1" applyFont="1" applyBorder="1" applyAlignment="1">
      <alignment horizontal="centerContinuous"/>
    </xf>
    <xf numFmtId="0" fontId="24" fillId="0" borderId="14" xfId="10" applyFont="1" applyBorder="1"/>
    <xf numFmtId="0" fontId="24" fillId="0" borderId="13" xfId="10" applyFont="1" applyBorder="1"/>
    <xf numFmtId="0" fontId="24" fillId="0" borderId="12" xfId="10" applyFont="1" applyBorder="1"/>
    <xf numFmtId="0" fontId="44" fillId="4" borderId="0" xfId="10" applyFont="1" applyFill="1"/>
    <xf numFmtId="0" fontId="24" fillId="4" borderId="0" xfId="10" applyFont="1" applyFill="1"/>
    <xf numFmtId="174" fontId="36" fillId="0" borderId="0" xfId="10" applyNumberFormat="1" applyFont="1" applyAlignment="1">
      <alignment horizontal="center"/>
    </xf>
    <xf numFmtId="0" fontId="46" fillId="0" borderId="0" xfId="11" applyFont="1"/>
    <xf numFmtId="0" fontId="47" fillId="0" borderId="0" xfId="11" applyFont="1"/>
    <xf numFmtId="0" fontId="48" fillId="5" borderId="0" xfId="11" applyFont="1" applyFill="1" applyAlignment="1">
      <alignment horizontal="center"/>
    </xf>
    <xf numFmtId="0" fontId="49" fillId="5" borderId="0" xfId="11" applyFont="1" applyFill="1" applyAlignment="1">
      <alignment horizontal="right"/>
    </xf>
    <xf numFmtId="0" fontId="50" fillId="5" borderId="0" xfId="11" applyFont="1" applyFill="1"/>
    <xf numFmtId="0" fontId="51" fillId="5" borderId="0" xfId="11" applyFont="1" applyFill="1"/>
    <xf numFmtId="0" fontId="52" fillId="0" borderId="77" xfId="11" applyFont="1" applyBorder="1" applyAlignment="1">
      <alignment horizontal="left" vertical="center"/>
    </xf>
    <xf numFmtId="0" fontId="52" fillId="0" borderId="78" xfId="11" applyFont="1" applyBorder="1" applyAlignment="1">
      <alignment vertical="center"/>
    </xf>
    <xf numFmtId="0" fontId="11" fillId="0" borderId="78" xfId="11" applyBorder="1"/>
    <xf numFmtId="0" fontId="52" fillId="0" borderId="79" xfId="11" applyFont="1" applyBorder="1" applyAlignment="1">
      <alignment horizontal="right" vertical="center"/>
    </xf>
    <xf numFmtId="0" fontId="53" fillId="0" borderId="0" xfId="11" applyFont="1"/>
    <xf numFmtId="0" fontId="54" fillId="0" borderId="77" xfId="11" applyFont="1" applyBorder="1"/>
    <xf numFmtId="0" fontId="53" fillId="0" borderId="79" xfId="11" applyFont="1" applyBorder="1"/>
    <xf numFmtId="0" fontId="54" fillId="0" borderId="79" xfId="11" applyFont="1" applyBorder="1"/>
    <xf numFmtId="0" fontId="55" fillId="0" borderId="0" xfId="11" applyFont="1"/>
    <xf numFmtId="0" fontId="56" fillId="5" borderId="10" xfId="11" applyFont="1" applyFill="1" applyBorder="1" applyAlignment="1">
      <alignment horizontal="center"/>
    </xf>
    <xf numFmtId="0" fontId="56" fillId="5" borderId="27" xfId="11" applyFont="1" applyFill="1" applyBorder="1" applyAlignment="1">
      <alignment horizontal="center"/>
    </xf>
    <xf numFmtId="0" fontId="56" fillId="5" borderId="0" xfId="11" quotePrefix="1" applyFont="1" applyFill="1" applyAlignment="1">
      <alignment horizontal="left"/>
    </xf>
    <xf numFmtId="0" fontId="57" fillId="5" borderId="80" xfId="11" applyFont="1" applyFill="1" applyBorder="1" applyAlignment="1">
      <alignment horizontal="right"/>
    </xf>
    <xf numFmtId="0" fontId="56" fillId="5" borderId="81" xfId="11" applyFont="1" applyFill="1" applyBorder="1" applyAlignment="1">
      <alignment horizontal="center"/>
    </xf>
    <xf numFmtId="0" fontId="56" fillId="5" borderId="15" xfId="11" applyFont="1" applyFill="1" applyBorder="1" applyAlignment="1">
      <alignment horizontal="center"/>
    </xf>
    <xf numFmtId="0" fontId="54" fillId="0" borderId="16" xfId="11" applyFont="1" applyBorder="1"/>
    <xf numFmtId="0" fontId="53" fillId="0" borderId="15" xfId="11" applyFont="1" applyBorder="1"/>
    <xf numFmtId="0" fontId="54" fillId="0" borderId="15" xfId="11" applyFont="1" applyBorder="1"/>
    <xf numFmtId="0" fontId="58" fillId="5" borderId="90" xfId="11" applyFont="1" applyFill="1" applyBorder="1"/>
    <xf numFmtId="0" fontId="58" fillId="5" borderId="91" xfId="11" applyFont="1" applyFill="1" applyBorder="1"/>
    <xf numFmtId="0" fontId="61" fillId="5" borderId="91" xfId="11" applyFont="1" applyFill="1" applyBorder="1"/>
    <xf numFmtId="0" fontId="61" fillId="5" borderId="92" xfId="11" applyFont="1" applyFill="1" applyBorder="1"/>
    <xf numFmtId="174" fontId="60" fillId="5" borderId="87" xfId="11" applyNumberFormat="1" applyFont="1" applyFill="1" applyBorder="1" applyAlignment="1">
      <alignment horizontal="center"/>
    </xf>
    <xf numFmtId="0" fontId="60" fillId="5" borderId="93" xfId="11" applyFont="1" applyFill="1" applyBorder="1" applyAlignment="1">
      <alignment horizontal="center"/>
    </xf>
    <xf numFmtId="0" fontId="58" fillId="5" borderId="94" xfId="11" applyFont="1" applyFill="1" applyBorder="1"/>
    <xf numFmtId="0" fontId="58" fillId="5" borderId="95" xfId="11" applyFont="1" applyFill="1" applyBorder="1"/>
    <xf numFmtId="0" fontId="61" fillId="5" borderId="95" xfId="11" applyFont="1" applyFill="1" applyBorder="1"/>
    <xf numFmtId="0" fontId="61" fillId="5" borderId="96" xfId="11" applyFont="1" applyFill="1" applyBorder="1"/>
    <xf numFmtId="1" fontId="60" fillId="5" borderId="87" xfId="11" applyNumberFormat="1" applyFont="1" applyFill="1" applyBorder="1" applyAlignment="1">
      <alignment horizontal="center"/>
    </xf>
    <xf numFmtId="0" fontId="60" fillId="5" borderId="97" xfId="11" applyFont="1" applyFill="1" applyBorder="1" applyAlignment="1">
      <alignment horizontal="center"/>
    </xf>
    <xf numFmtId="0" fontId="62" fillId="5" borderId="91" xfId="11" applyFont="1" applyFill="1" applyBorder="1"/>
    <xf numFmtId="0" fontId="63" fillId="5" borderId="92" xfId="11" applyFont="1" applyFill="1" applyBorder="1" applyAlignment="1">
      <alignment horizontal="left"/>
    </xf>
    <xf numFmtId="0" fontId="60" fillId="5" borderId="87" xfId="11" applyFont="1" applyFill="1" applyBorder="1" applyAlignment="1">
      <alignment horizontal="center"/>
    </xf>
    <xf numFmtId="0" fontId="54" fillId="0" borderId="14" xfId="11" applyFont="1" applyBorder="1"/>
    <xf numFmtId="0" fontId="54" fillId="0" borderId="12" xfId="11" applyFont="1" applyBorder="1"/>
    <xf numFmtId="0" fontId="58" fillId="5" borderId="99" xfId="11" applyFont="1" applyFill="1" applyBorder="1"/>
    <xf numFmtId="0" fontId="58" fillId="5" borderId="100" xfId="11" applyFont="1" applyFill="1" applyBorder="1"/>
    <xf numFmtId="0" fontId="62" fillId="5" borderId="100" xfId="11" applyFont="1" applyFill="1" applyBorder="1"/>
    <xf numFmtId="0" fontId="60" fillId="5" borderId="101" xfId="11" applyFont="1" applyFill="1" applyBorder="1" applyAlignment="1">
      <alignment horizontal="center"/>
    </xf>
    <xf numFmtId="0" fontId="60" fillId="5" borderId="102" xfId="11" applyFont="1" applyFill="1" applyBorder="1" applyAlignment="1">
      <alignment horizontal="center"/>
    </xf>
    <xf numFmtId="0" fontId="58" fillId="5" borderId="86" xfId="11" quotePrefix="1" applyFont="1" applyFill="1" applyBorder="1" applyAlignment="1">
      <alignment horizontal="left"/>
    </xf>
    <xf numFmtId="0" fontId="55" fillId="0" borderId="92" xfId="11" applyFont="1" applyBorder="1"/>
    <xf numFmtId="0" fontId="53" fillId="0" borderId="12" xfId="11" applyFont="1" applyBorder="1"/>
    <xf numFmtId="0" fontId="58" fillId="5" borderId="106" xfId="11" quotePrefix="1" applyFont="1" applyFill="1" applyBorder="1" applyAlignment="1">
      <alignment horizontal="left"/>
    </xf>
    <xf numFmtId="0" fontId="58" fillId="5" borderId="83" xfId="11" applyFont="1" applyFill="1" applyBorder="1"/>
    <xf numFmtId="0" fontId="61" fillId="5" borderId="83" xfId="11" applyFont="1" applyFill="1" applyBorder="1"/>
    <xf numFmtId="0" fontId="65" fillId="5" borderId="83" xfId="11" applyFont="1" applyFill="1" applyBorder="1" applyAlignment="1">
      <alignment horizontal="right"/>
    </xf>
    <xf numFmtId="49" fontId="60" fillId="5" borderId="83" xfId="11" applyNumberFormat="1" applyFont="1" applyFill="1" applyBorder="1" applyAlignment="1">
      <alignment horizontal="center"/>
    </xf>
    <xf numFmtId="0" fontId="60" fillId="5" borderId="107" xfId="11" applyFont="1" applyFill="1" applyBorder="1" applyAlignment="1">
      <alignment horizontal="center"/>
    </xf>
    <xf numFmtId="0" fontId="58" fillId="5" borderId="87" xfId="11" applyFont="1" applyFill="1" applyBorder="1"/>
    <xf numFmtId="0" fontId="61" fillId="5" borderId="87" xfId="11" applyFont="1" applyFill="1" applyBorder="1"/>
    <xf numFmtId="0" fontId="58" fillId="5" borderId="92" xfId="11" applyFont="1" applyFill="1" applyBorder="1" applyAlignment="1">
      <alignment horizontal="left"/>
    </xf>
    <xf numFmtId="0" fontId="58" fillId="5" borderId="108" xfId="11" quotePrefix="1" applyFont="1" applyFill="1" applyBorder="1" applyAlignment="1">
      <alignment horizontal="left"/>
    </xf>
    <xf numFmtId="0" fontId="58" fillId="5" borderId="101" xfId="11" applyFont="1" applyFill="1" applyBorder="1"/>
    <xf numFmtId="0" fontId="61" fillId="5" borderId="101" xfId="11" applyFont="1" applyFill="1" applyBorder="1"/>
    <xf numFmtId="0" fontId="58" fillId="5" borderId="86" xfId="11" applyFont="1" applyFill="1" applyBorder="1" applyAlignment="1">
      <alignment horizontal="left"/>
    </xf>
    <xf numFmtId="0" fontId="53" fillId="5" borderId="109" xfId="11" applyFont="1" applyFill="1" applyBorder="1"/>
    <xf numFmtId="0" fontId="53" fillId="5" borderId="92" xfId="11" applyFont="1" applyFill="1" applyBorder="1"/>
    <xf numFmtId="0" fontId="58" fillId="5" borderId="86" xfId="11" applyFont="1" applyFill="1" applyBorder="1"/>
    <xf numFmtId="0" fontId="53" fillId="5" borderId="91" xfId="11" applyFont="1" applyFill="1" applyBorder="1"/>
    <xf numFmtId="0" fontId="58" fillId="5" borderId="109" xfId="11" applyFont="1" applyFill="1" applyBorder="1"/>
    <xf numFmtId="0" fontId="65" fillId="5" borderId="92" xfId="11" applyFont="1" applyFill="1" applyBorder="1" applyAlignment="1">
      <alignment horizontal="right"/>
    </xf>
    <xf numFmtId="0" fontId="58" fillId="5" borderId="82" xfId="11" quotePrefix="1" applyFont="1" applyFill="1" applyBorder="1" applyAlignment="1">
      <alignment horizontal="left"/>
    </xf>
    <xf numFmtId="0" fontId="55" fillId="0" borderId="116" xfId="11" applyFont="1" applyBorder="1"/>
    <xf numFmtId="0" fontId="58" fillId="5" borderId="109" xfId="11" quotePrefix="1" applyFont="1" applyFill="1" applyBorder="1" applyAlignment="1">
      <alignment horizontal="left"/>
    </xf>
    <xf numFmtId="0" fontId="53" fillId="5" borderId="87" xfId="11" applyFont="1" applyFill="1" applyBorder="1"/>
    <xf numFmtId="0" fontId="58" fillId="5" borderId="117" xfId="11" applyFont="1" applyFill="1" applyBorder="1" applyAlignment="1">
      <alignment horizontal="left"/>
    </xf>
    <xf numFmtId="0" fontId="58" fillId="5" borderId="91" xfId="11" quotePrefix="1" applyFont="1" applyFill="1" applyBorder="1" applyAlignment="1">
      <alignment horizontal="center"/>
    </xf>
    <xf numFmtId="0" fontId="53" fillId="5" borderId="92" xfId="11" quotePrefix="1" applyFont="1" applyFill="1" applyBorder="1" applyAlignment="1">
      <alignment horizontal="center"/>
    </xf>
    <xf numFmtId="0" fontId="58" fillId="5" borderId="118" xfId="11" applyFont="1" applyFill="1" applyBorder="1"/>
    <xf numFmtId="0" fontId="55" fillId="0" borderId="119" xfId="11" applyFont="1" applyBorder="1"/>
    <xf numFmtId="0" fontId="60" fillId="0" borderId="119" xfId="11" applyFont="1" applyBorder="1" applyAlignment="1">
      <alignment horizontal="center"/>
    </xf>
    <xf numFmtId="0" fontId="60" fillId="0" borderId="120" xfId="11" applyFont="1" applyBorder="1" applyAlignment="1">
      <alignment horizontal="center"/>
    </xf>
    <xf numFmtId="0" fontId="58" fillId="5" borderId="121" xfId="11" applyFont="1" applyFill="1" applyBorder="1" applyAlignment="1">
      <alignment horizontal="center"/>
    </xf>
    <xf numFmtId="0" fontId="58" fillId="5" borderId="100" xfId="11" quotePrefix="1" applyFont="1" applyFill="1" applyBorder="1" applyAlignment="1">
      <alignment horizontal="center"/>
    </xf>
    <xf numFmtId="0" fontId="53" fillId="5" borderId="122" xfId="11" quotePrefix="1" applyFont="1" applyFill="1" applyBorder="1" applyAlignment="1">
      <alignment horizontal="center"/>
    </xf>
    <xf numFmtId="0" fontId="60" fillId="0" borderId="92" xfId="11" applyFont="1" applyBorder="1" applyAlignment="1">
      <alignment horizontal="center"/>
    </xf>
    <xf numFmtId="0" fontId="60" fillId="0" borderId="97" xfId="11" applyFont="1" applyBorder="1" applyAlignment="1">
      <alignment horizontal="center"/>
    </xf>
    <xf numFmtId="0" fontId="60" fillId="0" borderId="14" xfId="11" applyFont="1" applyBorder="1"/>
    <xf numFmtId="0" fontId="66" fillId="0" borderId="12" xfId="11" applyFont="1" applyBorder="1"/>
    <xf numFmtId="0" fontId="49" fillId="0" borderId="125" xfId="11" applyFont="1" applyBorder="1" applyAlignment="1">
      <alignment horizontal="left"/>
    </xf>
    <xf numFmtId="0" fontId="49" fillId="0" borderId="47" xfId="11" applyFont="1" applyBorder="1" applyAlignment="1">
      <alignment horizontal="left"/>
    </xf>
    <xf numFmtId="0" fontId="68" fillId="5" borderId="126" xfId="11" applyFont="1" applyFill="1" applyBorder="1" applyAlignment="1">
      <alignment horizontal="center"/>
    </xf>
    <xf numFmtId="174" fontId="60" fillId="0" borderId="92" xfId="11" applyNumberFormat="1" applyFont="1" applyBorder="1" applyAlignment="1">
      <alignment horizontal="center"/>
    </xf>
    <xf numFmtId="0" fontId="58" fillId="5" borderId="127" xfId="11" applyFont="1" applyFill="1" applyBorder="1" applyAlignment="1">
      <alignment horizontal="left"/>
    </xf>
    <xf numFmtId="0" fontId="53" fillId="5" borderId="128" xfId="11" applyFont="1" applyFill="1" applyBorder="1"/>
    <xf numFmtId="0" fontId="53" fillId="5" borderId="129" xfId="11" applyFont="1" applyFill="1" applyBorder="1"/>
    <xf numFmtId="0" fontId="60" fillId="5" borderId="130" xfId="11" applyFont="1" applyFill="1" applyBorder="1" applyAlignment="1">
      <alignment horizontal="center"/>
    </xf>
    <xf numFmtId="0" fontId="55" fillId="0" borderId="101" xfId="11" applyFont="1" applyBorder="1"/>
    <xf numFmtId="0" fontId="55" fillId="0" borderId="102" xfId="11" applyFont="1" applyBorder="1"/>
    <xf numFmtId="0" fontId="55" fillId="0" borderId="110" xfId="11" applyFont="1" applyBorder="1"/>
    <xf numFmtId="0" fontId="58" fillId="5" borderId="119" xfId="11" applyFont="1" applyFill="1" applyBorder="1"/>
    <xf numFmtId="0" fontId="65" fillId="5" borderId="87" xfId="11" applyFont="1" applyFill="1" applyBorder="1" applyAlignment="1">
      <alignment horizontal="right" shrinkToFit="1"/>
    </xf>
    <xf numFmtId="0" fontId="60" fillId="5" borderId="131" xfId="11" applyFont="1" applyFill="1" applyBorder="1" applyAlignment="1">
      <alignment horizontal="center"/>
    </xf>
    <xf numFmtId="2" fontId="55" fillId="0" borderId="0" xfId="11" applyNumberFormat="1" applyFont="1"/>
    <xf numFmtId="0" fontId="58" fillId="5" borderId="106" xfId="11" applyFont="1" applyFill="1" applyBorder="1"/>
    <xf numFmtId="0" fontId="58" fillId="5" borderId="80" xfId="11" applyFont="1" applyFill="1" applyBorder="1"/>
    <xf numFmtId="0" fontId="65" fillId="5" borderId="87" xfId="11" applyFont="1" applyFill="1" applyBorder="1" applyAlignment="1">
      <alignment horizontal="right"/>
    </xf>
    <xf numFmtId="2" fontId="60" fillId="5" borderId="87" xfId="11" applyNumberFormat="1" applyFont="1" applyFill="1" applyBorder="1" applyAlignment="1">
      <alignment horizontal="center"/>
    </xf>
    <xf numFmtId="0" fontId="65" fillId="5" borderId="80" xfId="11" applyFont="1" applyFill="1" applyBorder="1" applyAlignment="1">
      <alignment horizontal="right"/>
    </xf>
    <xf numFmtId="0" fontId="65" fillId="5" borderId="87" xfId="11" applyFont="1" applyFill="1" applyBorder="1"/>
    <xf numFmtId="0" fontId="69" fillId="0" borderId="0" xfId="11" applyFont="1"/>
    <xf numFmtId="0" fontId="58" fillId="5" borderId="132" xfId="11" applyFont="1" applyFill="1" applyBorder="1"/>
    <xf numFmtId="0" fontId="58" fillId="5" borderId="133" xfId="11" applyFont="1" applyFill="1" applyBorder="1"/>
    <xf numFmtId="0" fontId="58" fillId="5" borderId="134" xfId="11" applyFont="1" applyFill="1" applyBorder="1"/>
    <xf numFmtId="0" fontId="65" fillId="5" borderId="134" xfId="11" applyFont="1" applyFill="1" applyBorder="1"/>
    <xf numFmtId="174" fontId="60" fillId="5" borderId="134" xfId="11" applyNumberFormat="1" applyFont="1" applyFill="1" applyBorder="1" applyAlignment="1">
      <alignment horizontal="center"/>
    </xf>
    <xf numFmtId="0" fontId="58" fillId="5" borderId="96" xfId="11" applyFont="1" applyFill="1" applyBorder="1"/>
    <xf numFmtId="0" fontId="58" fillId="5" borderId="126" xfId="11" applyFont="1" applyFill="1" applyBorder="1" applyAlignment="1">
      <alignment horizontal="left"/>
    </xf>
    <xf numFmtId="0" fontId="58" fillId="5" borderId="96" xfId="11" applyFont="1" applyFill="1" applyBorder="1" applyAlignment="1">
      <alignment horizontal="left"/>
    </xf>
    <xf numFmtId="1" fontId="60" fillId="5" borderId="83" xfId="11" applyNumberFormat="1" applyFont="1" applyFill="1" applyBorder="1" applyAlignment="1">
      <alignment horizontal="center"/>
    </xf>
    <xf numFmtId="0" fontId="70" fillId="0" borderId="0" xfId="11" quotePrefix="1" applyFont="1" applyAlignment="1">
      <alignment horizontal="left"/>
    </xf>
    <xf numFmtId="0" fontId="55" fillId="0" borderId="0" xfId="12" applyFont="1"/>
    <xf numFmtId="0" fontId="58" fillId="5" borderId="0" xfId="11" applyFont="1" applyFill="1"/>
    <xf numFmtId="0" fontId="58" fillId="5" borderId="109" xfId="11" applyFont="1" applyFill="1" applyBorder="1" applyAlignment="1">
      <alignment horizontal="left"/>
    </xf>
    <xf numFmtId="174" fontId="60" fillId="5" borderId="93" xfId="11" applyNumberFormat="1" applyFont="1" applyFill="1" applyBorder="1" applyAlignment="1">
      <alignment horizontal="center"/>
    </xf>
    <xf numFmtId="1" fontId="55" fillId="0" borderId="0" xfId="11" applyNumberFormat="1" applyFont="1"/>
    <xf numFmtId="0" fontId="58" fillId="5" borderId="22" xfId="11" applyFont="1" applyFill="1" applyBorder="1"/>
    <xf numFmtId="0" fontId="58" fillId="5" borderId="130" xfId="11" applyFont="1" applyFill="1" applyBorder="1" applyAlignment="1">
      <alignment horizontal="left"/>
    </xf>
    <xf numFmtId="0" fontId="58" fillId="5" borderId="122" xfId="11" applyFont="1" applyFill="1" applyBorder="1" applyAlignment="1">
      <alignment horizontal="left"/>
    </xf>
    <xf numFmtId="1" fontId="60" fillId="5" borderId="101" xfId="11" applyNumberFormat="1" applyFont="1" applyFill="1" applyBorder="1" applyAlignment="1">
      <alignment horizontal="center"/>
    </xf>
    <xf numFmtId="0" fontId="49" fillId="5" borderId="103" xfId="11" applyFont="1" applyFill="1" applyBorder="1" applyAlignment="1">
      <alignment horizontal="left"/>
    </xf>
    <xf numFmtId="0" fontId="49" fillId="5" borderId="104" xfId="11" applyFont="1" applyFill="1" applyBorder="1" applyAlignment="1">
      <alignment horizontal="left"/>
    </xf>
    <xf numFmtId="0" fontId="49" fillId="5" borderId="105" xfId="11" applyFont="1" applyFill="1" applyBorder="1" applyAlignment="1">
      <alignment horizontal="left"/>
    </xf>
    <xf numFmtId="164" fontId="51" fillId="5" borderId="106" xfId="3" applyFont="1" applyFill="1" applyBorder="1"/>
    <xf numFmtId="164" fontId="71" fillId="5" borderId="95" xfId="3" applyFont="1" applyFill="1" applyBorder="1" applyAlignment="1">
      <alignment horizontal="left"/>
    </xf>
    <xf numFmtId="164" fontId="55" fillId="5" borderId="95" xfId="3" applyFont="1" applyFill="1" applyBorder="1" applyAlignment="1">
      <alignment horizontal="left"/>
    </xf>
    <xf numFmtId="164" fontId="72" fillId="5" borderId="107" xfId="3" applyFont="1" applyFill="1" applyBorder="1" applyAlignment="1">
      <alignment horizontal="left"/>
    </xf>
    <xf numFmtId="164" fontId="51" fillId="5" borderId="91" xfId="3" applyFont="1" applyFill="1" applyBorder="1" applyAlignment="1">
      <alignment horizontal="left"/>
    </xf>
    <xf numFmtId="164" fontId="51" fillId="5" borderId="97" xfId="3" applyFont="1" applyFill="1" applyBorder="1" applyAlignment="1">
      <alignment horizontal="left"/>
    </xf>
    <xf numFmtId="0" fontId="73" fillId="0" borderId="0" xfId="11" applyFont="1"/>
    <xf numFmtId="0" fontId="58" fillId="0" borderId="135" xfId="11" applyFont="1" applyBorder="1"/>
    <xf numFmtId="0" fontId="58" fillId="5" borderId="138" xfId="11" applyFont="1" applyFill="1" applyBorder="1"/>
    <xf numFmtId="0" fontId="74" fillId="5" borderId="139" xfId="11" applyFont="1" applyFill="1" applyBorder="1" applyAlignment="1">
      <alignment horizontal="center" shrinkToFit="1"/>
    </xf>
    <xf numFmtId="164" fontId="51" fillId="5" borderId="16" xfId="3" applyFont="1" applyFill="1" applyBorder="1"/>
    <xf numFmtId="0" fontId="58" fillId="5" borderId="140" xfId="11" applyFont="1" applyFill="1" applyBorder="1"/>
    <xf numFmtId="0" fontId="58" fillId="5" borderId="13" xfId="11" applyFont="1" applyFill="1" applyBorder="1"/>
    <xf numFmtId="14" fontId="53" fillId="5" borderId="143" xfId="11" applyNumberFormat="1" applyFont="1" applyFill="1" applyBorder="1" applyAlignment="1">
      <alignment horizontal="center"/>
    </xf>
    <xf numFmtId="164" fontId="51" fillId="0" borderId="13" xfId="3" applyFont="1" applyBorder="1"/>
    <xf numFmtId="164" fontId="51" fillId="5" borderId="144" xfId="3" applyFont="1" applyFill="1" applyBorder="1" applyAlignment="1">
      <alignment horizontal="left"/>
    </xf>
    <xf numFmtId="164" fontId="51" fillId="5" borderId="145" xfId="3" applyFont="1" applyFill="1" applyBorder="1" applyAlignment="1">
      <alignment horizontal="left"/>
    </xf>
    <xf numFmtId="0" fontId="51" fillId="0" borderId="0" xfId="11" applyFont="1"/>
    <xf numFmtId="164" fontId="21" fillId="0" borderId="28" xfId="3" applyFont="1" applyBorder="1" applyAlignment="1">
      <alignment horizontal="centerContinuous"/>
    </xf>
    <xf numFmtId="164" fontId="21" fillId="0" borderId="9" xfId="3" applyFont="1" applyBorder="1" applyAlignment="1">
      <alignment horizontal="centerContinuous"/>
    </xf>
    <xf numFmtId="164" fontId="17" fillId="0" borderId="11" xfId="3" applyFont="1" applyBorder="1" applyAlignment="1">
      <alignment horizontal="left"/>
    </xf>
    <xf numFmtId="164" fontId="4" fillId="0" borderId="27" xfId="3" applyFont="1" applyBorder="1"/>
    <xf numFmtId="164" fontId="17" fillId="0" borderId="10" xfId="3" applyFont="1" applyBorder="1" applyAlignment="1">
      <alignment horizontal="centerContinuous"/>
    </xf>
    <xf numFmtId="164" fontId="4" fillId="0" borderId="26" xfId="3" applyFont="1" applyBorder="1" applyAlignment="1">
      <alignment horizontal="centerContinuous"/>
    </xf>
    <xf numFmtId="164" fontId="2" fillId="0" borderId="0" xfId="3" applyFont="1"/>
    <xf numFmtId="164" fontId="6" fillId="0" borderId="0" xfId="3"/>
    <xf numFmtId="164" fontId="21" fillId="0" borderId="16" xfId="3" applyFont="1" applyBorder="1" applyAlignment="1">
      <alignment horizontal="centerContinuous"/>
    </xf>
    <xf numFmtId="164" fontId="21" fillId="0" borderId="0" xfId="3" applyFont="1" applyAlignment="1">
      <alignment horizontal="centerContinuous"/>
    </xf>
    <xf numFmtId="164" fontId="17" fillId="0" borderId="24" xfId="3" applyFont="1" applyBorder="1" applyAlignment="1">
      <alignment horizontal="left"/>
    </xf>
    <xf numFmtId="164" fontId="4" fillId="0" borderId="23" xfId="3" applyFont="1" applyBorder="1"/>
    <xf numFmtId="164" fontId="17" fillId="0" borderId="22" xfId="3" applyFont="1" applyBorder="1" applyAlignment="1">
      <alignment horizontal="centerContinuous"/>
    </xf>
    <xf numFmtId="164" fontId="4" fillId="0" borderId="21" xfId="3" applyFont="1" applyBorder="1" applyAlignment="1">
      <alignment horizontal="centerContinuous"/>
    </xf>
    <xf numFmtId="164" fontId="4" fillId="0" borderId="16" xfId="3" applyFont="1" applyBorder="1" applyAlignment="1">
      <alignment horizontal="centerContinuous"/>
    </xf>
    <xf numFmtId="164" fontId="4" fillId="0" borderId="0" xfId="3" applyFont="1" applyAlignment="1">
      <alignment horizontal="centerContinuous"/>
    </xf>
    <xf numFmtId="164" fontId="17" fillId="0" borderId="22" xfId="3" quotePrefix="1" applyFont="1" applyBorder="1" applyAlignment="1">
      <alignment horizontal="centerContinuous"/>
    </xf>
    <xf numFmtId="164" fontId="32" fillId="0" borderId="16" xfId="3" applyFont="1" applyBorder="1" applyAlignment="1">
      <alignment horizontal="centerContinuous"/>
    </xf>
    <xf numFmtId="164" fontId="2" fillId="0" borderId="16" xfId="3" applyFont="1" applyBorder="1" applyAlignment="1">
      <alignment horizontal="centerContinuous"/>
    </xf>
    <xf numFmtId="164" fontId="2" fillId="0" borderId="14" xfId="3" applyFont="1" applyBorder="1" applyAlignment="1">
      <alignment horizontal="centerContinuous"/>
    </xf>
    <xf numFmtId="164" fontId="4" fillId="0" borderId="13" xfId="3" applyFont="1" applyBorder="1" applyAlignment="1">
      <alignment horizontal="centerContinuous"/>
    </xf>
    <xf numFmtId="164" fontId="17" fillId="0" borderId="14" xfId="3" applyFont="1" applyBorder="1" applyAlignment="1">
      <alignment horizontal="left"/>
    </xf>
    <xf numFmtId="164" fontId="4" fillId="0" borderId="20" xfId="3" applyFont="1" applyBorder="1"/>
    <xf numFmtId="164" fontId="77" fillId="0" borderId="13" xfId="3" applyFont="1" applyBorder="1" applyAlignment="1">
      <alignment horizontal="centerContinuous"/>
    </xf>
    <xf numFmtId="164" fontId="4" fillId="0" borderId="12" xfId="3" applyFont="1" applyBorder="1" applyAlignment="1">
      <alignment horizontal="centerContinuous"/>
    </xf>
    <xf numFmtId="164" fontId="2" fillId="0" borderId="0" xfId="3" applyFont="1" applyAlignment="1">
      <alignment horizontal="centerContinuous"/>
    </xf>
    <xf numFmtId="164" fontId="17" fillId="0" borderId="0" xfId="3" applyFont="1" applyAlignment="1">
      <alignment horizontal="left"/>
    </xf>
    <xf numFmtId="164" fontId="4" fillId="0" borderId="0" xfId="3" applyFont="1"/>
    <xf numFmtId="164" fontId="17" fillId="0" borderId="0" xfId="3" applyFont="1" applyAlignment="1">
      <alignment horizontal="centerContinuous"/>
    </xf>
    <xf numFmtId="164" fontId="9" fillId="0" borderId="0" xfId="3" applyFont="1" applyAlignment="1">
      <alignment horizontal="centerContinuous"/>
    </xf>
    <xf numFmtId="164" fontId="9" fillId="0" borderId="0" xfId="3" applyFont="1" applyAlignment="1">
      <alignment horizontal="left"/>
    </xf>
    <xf numFmtId="49" fontId="9" fillId="0" borderId="0" xfId="3" quotePrefix="1" applyNumberFormat="1" applyFont="1" applyAlignment="1" applyProtection="1">
      <alignment horizontal="left"/>
      <protection locked="0"/>
    </xf>
    <xf numFmtId="164" fontId="12" fillId="0" borderId="19" xfId="3" applyFont="1" applyBorder="1" applyAlignment="1">
      <alignment horizontal="centerContinuous"/>
    </xf>
    <xf numFmtId="164" fontId="2" fillId="0" borderId="18" xfId="3" applyFont="1" applyBorder="1" applyAlignment="1">
      <alignment horizontal="centerContinuous"/>
    </xf>
    <xf numFmtId="164" fontId="2" fillId="0" borderId="17" xfId="3" applyFont="1" applyBorder="1" applyAlignment="1">
      <alignment horizontal="centerContinuous"/>
    </xf>
    <xf numFmtId="182" fontId="9" fillId="0" borderId="0" xfId="3" applyNumberFormat="1" applyFont="1" applyAlignment="1" applyProtection="1">
      <alignment horizontal="center"/>
      <protection locked="0"/>
    </xf>
    <xf numFmtId="164" fontId="78" fillId="0" borderId="16" xfId="3" quotePrefix="1" applyFont="1" applyBorder="1" applyAlignment="1">
      <alignment horizontal="left"/>
    </xf>
    <xf numFmtId="164" fontId="4" fillId="0" borderId="0" xfId="3" quotePrefix="1" applyFont="1" applyAlignment="1">
      <alignment horizontal="right"/>
    </xf>
    <xf numFmtId="164" fontId="4" fillId="0" borderId="45" xfId="3" applyFont="1" applyBorder="1"/>
    <xf numFmtId="164" fontId="78" fillId="0" borderId="0" xfId="3" applyFont="1" applyAlignment="1">
      <alignment horizontal="left"/>
    </xf>
    <xf numFmtId="164" fontId="4" fillId="0" borderId="0" xfId="3" applyFont="1" applyAlignment="1">
      <alignment horizontal="right"/>
    </xf>
    <xf numFmtId="164" fontId="4" fillId="0" borderId="45" xfId="3" applyFont="1" applyBorder="1" applyAlignment="1">
      <alignment horizontal="right"/>
    </xf>
    <xf numFmtId="164" fontId="78" fillId="0" borderId="0" xfId="3" quotePrefix="1" applyFont="1" applyAlignment="1">
      <alignment horizontal="left"/>
    </xf>
    <xf numFmtId="164" fontId="4" fillId="0" borderId="15" xfId="3" applyFont="1" applyBorder="1"/>
    <xf numFmtId="164" fontId="6" fillId="0" borderId="16" xfId="3" applyBorder="1"/>
    <xf numFmtId="164" fontId="9" fillId="0" borderId="45" xfId="3" applyFont="1" applyBorder="1" applyAlignment="1" applyProtection="1">
      <alignment horizontal="center"/>
      <protection locked="0"/>
    </xf>
    <xf numFmtId="1" fontId="9" fillId="0" borderId="45" xfId="3" applyNumberFormat="1" applyFont="1" applyBorder="1" applyAlignment="1">
      <alignment horizontal="center"/>
    </xf>
    <xf numFmtId="164" fontId="9" fillId="0" borderId="45" xfId="3" applyFont="1" applyBorder="1"/>
    <xf numFmtId="164" fontId="9" fillId="0" borderId="20" xfId="3" applyFont="1" applyBorder="1"/>
    <xf numFmtId="164" fontId="9" fillId="0" borderId="20" xfId="3" applyFont="1" applyBorder="1" applyAlignment="1">
      <alignment horizontal="left"/>
    </xf>
    <xf numFmtId="164" fontId="12" fillId="0" borderId="43" xfId="3" applyFont="1" applyBorder="1" applyAlignment="1">
      <alignment horizontal="centerContinuous"/>
    </xf>
    <xf numFmtId="164" fontId="2" fillId="0" borderId="42" xfId="3" applyFont="1" applyBorder="1" applyAlignment="1">
      <alignment horizontal="centerContinuous"/>
    </xf>
    <xf numFmtId="164" fontId="6" fillId="0" borderId="146" xfId="3" applyBorder="1"/>
    <xf numFmtId="164" fontId="2" fillId="0" borderId="41" xfId="3" applyFont="1" applyBorder="1" applyAlignment="1">
      <alignment horizontal="centerContinuous"/>
    </xf>
    <xf numFmtId="164" fontId="78" fillId="0" borderId="16" xfId="3" applyFont="1" applyBorder="1" applyAlignment="1">
      <alignment horizontal="left"/>
    </xf>
    <xf numFmtId="164" fontId="6" fillId="0" borderId="45" xfId="3" applyBorder="1"/>
    <xf numFmtId="174" fontId="9" fillId="0" borderId="0" xfId="3" applyNumberFormat="1" applyFont="1" applyAlignment="1" applyProtection="1">
      <alignment horizontal="center"/>
      <protection locked="0"/>
    </xf>
    <xf numFmtId="164" fontId="9" fillId="0" borderId="16" xfId="3" applyFont="1" applyBorder="1" applyAlignment="1">
      <alignment horizontal="left"/>
    </xf>
    <xf numFmtId="164" fontId="6" fillId="0" borderId="20" xfId="3" applyBorder="1"/>
    <xf numFmtId="164" fontId="2" fillId="0" borderId="0" xfId="3" applyFont="1" applyAlignment="1">
      <alignment horizontal="left"/>
    </xf>
    <xf numFmtId="164" fontId="2" fillId="0" borderId="43" xfId="3" applyFont="1" applyBorder="1"/>
    <xf numFmtId="164" fontId="4" fillId="0" borderId="42" xfId="3" applyFont="1" applyBorder="1" applyAlignment="1">
      <alignment horizontal="left"/>
    </xf>
    <xf numFmtId="164" fontId="4" fillId="0" borderId="41" xfId="3" applyFont="1" applyBorder="1" applyAlignment="1">
      <alignment horizontal="left"/>
    </xf>
    <xf numFmtId="164" fontId="9" fillId="0" borderId="16" xfId="3" quotePrefix="1" applyFont="1" applyBorder="1" applyAlignment="1">
      <alignment horizontal="left"/>
    </xf>
    <xf numFmtId="164" fontId="9" fillId="0" borderId="15" xfId="3" applyFont="1" applyBorder="1" applyAlignment="1">
      <alignment horizontal="left"/>
    </xf>
    <xf numFmtId="164" fontId="10" fillId="0" borderId="147" xfId="3" applyFont="1" applyBorder="1"/>
    <xf numFmtId="164" fontId="9" fillId="0" borderId="0" xfId="3" quotePrefix="1" applyFont="1" applyAlignment="1">
      <alignment horizontal="left"/>
    </xf>
    <xf numFmtId="164" fontId="9" fillId="0" borderId="148" xfId="3" quotePrefix="1" applyFont="1" applyBorder="1" applyAlignment="1">
      <alignment horizontal="left"/>
    </xf>
    <xf numFmtId="164" fontId="9" fillId="0" borderId="149" xfId="3" quotePrefix="1" applyFont="1" applyBorder="1" applyAlignment="1">
      <alignment horizontal="left"/>
    </xf>
    <xf numFmtId="164" fontId="9" fillId="0" borderId="14" xfId="3" applyFont="1" applyBorder="1" applyAlignment="1">
      <alignment horizontal="left"/>
    </xf>
    <xf numFmtId="164" fontId="9" fillId="0" borderId="13" xfId="3" applyFont="1" applyBorder="1" applyAlignment="1">
      <alignment horizontal="left"/>
    </xf>
    <xf numFmtId="164" fontId="9" fillId="0" borderId="12" xfId="3" applyFont="1" applyBorder="1" applyAlignment="1">
      <alignment horizontal="left"/>
    </xf>
    <xf numFmtId="164" fontId="4" fillId="0" borderId="0" xfId="3" applyFont="1" applyAlignment="1">
      <alignment horizontal="left"/>
    </xf>
    <xf numFmtId="164" fontId="3" fillId="0" borderId="0" xfId="3" applyFont="1" applyAlignment="1">
      <alignment horizontal="right"/>
    </xf>
    <xf numFmtId="164" fontId="6" fillId="0" borderId="0" xfId="3" applyAlignment="1">
      <alignment horizontal="right"/>
    </xf>
    <xf numFmtId="0" fontId="79" fillId="0" borderId="85" xfId="9" applyFont="1" applyBorder="1"/>
    <xf numFmtId="0" fontId="79" fillId="0" borderId="47" xfId="9" applyFont="1" applyBorder="1"/>
    <xf numFmtId="0" fontId="79" fillId="0" borderId="48" xfId="9" applyFont="1" applyBorder="1"/>
    <xf numFmtId="0" fontId="80" fillId="0" borderId="106" xfId="9" applyFont="1" applyBorder="1" applyAlignment="1">
      <alignment horizontal="centerContinuous"/>
    </xf>
    <xf numFmtId="0" fontId="79" fillId="0" borderId="0" xfId="9" applyFont="1" applyAlignment="1">
      <alignment horizontal="centerContinuous"/>
    </xf>
    <xf numFmtId="0" fontId="79" fillId="0" borderId="45" xfId="9" applyFont="1" applyBorder="1" applyAlignment="1">
      <alignment horizontal="centerContinuous"/>
    </xf>
    <xf numFmtId="0" fontId="81" fillId="0" borderId="106" xfId="9" applyFont="1" applyBorder="1" applyAlignment="1">
      <alignment horizontal="centerContinuous"/>
    </xf>
    <xf numFmtId="0" fontId="79" fillId="0" borderId="106" xfId="9" applyFont="1" applyBorder="1"/>
    <xf numFmtId="0" fontId="79" fillId="0" borderId="0" xfId="9" applyFont="1"/>
    <xf numFmtId="0" fontId="79" fillId="0" borderId="45" xfId="9" applyFont="1" applyBorder="1"/>
    <xf numFmtId="0" fontId="82" fillId="0" borderId="33" xfId="9" applyFont="1" applyBorder="1" applyAlignment="1">
      <alignment horizontal="right"/>
    </xf>
    <xf numFmtId="0" fontId="79" fillId="0" borderId="33" xfId="9" applyFont="1" applyBorder="1" applyAlignment="1">
      <alignment horizontal="center"/>
    </xf>
    <xf numFmtId="14" fontId="79" fillId="0" borderId="33" xfId="9" applyNumberFormat="1" applyFont="1" applyBorder="1" applyAlignment="1">
      <alignment horizontal="center"/>
    </xf>
    <xf numFmtId="0" fontId="82" fillId="0" borderId="0" xfId="9" applyFont="1" applyAlignment="1">
      <alignment horizontal="right"/>
    </xf>
    <xf numFmtId="0" fontId="79" fillId="0" borderId="0" xfId="9" applyFont="1" applyAlignment="1">
      <alignment horizontal="center"/>
    </xf>
    <xf numFmtId="9" fontId="79" fillId="0" borderId="0" xfId="9" applyNumberFormat="1" applyFont="1" applyAlignment="1">
      <alignment horizontal="center"/>
    </xf>
    <xf numFmtId="0" fontId="82" fillId="0" borderId="106" xfId="9" applyFont="1" applyBorder="1" applyAlignment="1">
      <alignment horizontal="right"/>
    </xf>
    <xf numFmtId="0" fontId="79" fillId="0" borderId="22" xfId="9" applyFont="1" applyBorder="1"/>
    <xf numFmtId="49" fontId="79" fillId="0" borderId="22" xfId="9" applyNumberFormat="1" applyFont="1" applyBorder="1"/>
    <xf numFmtId="0" fontId="79" fillId="0" borderId="23" xfId="9" applyFont="1" applyBorder="1" applyAlignment="1">
      <alignment horizontal="center"/>
    </xf>
    <xf numFmtId="0" fontId="79" fillId="0" borderId="108" xfId="9" applyFont="1" applyBorder="1"/>
    <xf numFmtId="0" fontId="82" fillId="0" borderId="25" xfId="9" applyFont="1" applyBorder="1" applyAlignment="1">
      <alignment horizontal="right"/>
    </xf>
    <xf numFmtId="0" fontId="79" fillId="0" borderId="150" xfId="9" applyFont="1" applyBorder="1"/>
    <xf numFmtId="174" fontId="34" fillId="0" borderId="0" xfId="10" quotePrefix="1" applyNumberFormat="1" applyFont="1" applyAlignment="1">
      <alignment horizontal="center"/>
    </xf>
    <xf numFmtId="174" fontId="34" fillId="0" borderId="0" xfId="10" applyNumberFormat="1" applyFont="1" applyAlignment="1">
      <alignment horizontal="center"/>
    </xf>
    <xf numFmtId="0" fontId="84" fillId="0" borderId="0" xfId="9" applyFont="1"/>
    <xf numFmtId="0" fontId="85" fillId="0" borderId="0" xfId="9" applyFont="1"/>
    <xf numFmtId="0" fontId="36" fillId="0" borderId="33" xfId="9" applyFont="1" applyBorder="1" applyAlignment="1">
      <alignment horizontal="center"/>
    </xf>
    <xf numFmtId="1" fontId="36" fillId="5" borderId="33" xfId="9" applyNumberFormat="1" applyFont="1" applyFill="1" applyBorder="1" applyAlignment="1">
      <alignment horizontal="center"/>
    </xf>
    <xf numFmtId="2" fontId="36" fillId="5" borderId="33" xfId="9" applyNumberFormat="1" applyFont="1" applyFill="1" applyBorder="1" applyAlignment="1">
      <alignment horizontal="center"/>
    </xf>
    <xf numFmtId="174" fontId="36" fillId="5" borderId="33" xfId="9" applyNumberFormat="1" applyFont="1" applyFill="1" applyBorder="1" applyAlignment="1">
      <alignment horizontal="center"/>
    </xf>
    <xf numFmtId="174" fontId="23" fillId="0" borderId="0" xfId="9" applyNumberFormat="1"/>
    <xf numFmtId="0" fontId="36" fillId="5" borderId="33" xfId="9" applyFont="1" applyFill="1" applyBorder="1" applyAlignment="1">
      <alignment horizontal="center"/>
    </xf>
    <xf numFmtId="0" fontId="86" fillId="0" borderId="0" xfId="9" applyFont="1"/>
    <xf numFmtId="0" fontId="36" fillId="0" borderId="61" xfId="9" applyFont="1" applyBorder="1" applyAlignment="1">
      <alignment horizontal="center"/>
    </xf>
    <xf numFmtId="0" fontId="36" fillId="0" borderId="79" xfId="9" applyFont="1" applyBorder="1" applyAlignment="1">
      <alignment horizontal="center"/>
    </xf>
    <xf numFmtId="174" fontId="34" fillId="0" borderId="151" xfId="9" quotePrefix="1" applyNumberFormat="1" applyFont="1" applyBorder="1" applyAlignment="1">
      <alignment horizontal="center"/>
    </xf>
    <xf numFmtId="174" fontId="36" fillId="0" borderId="23" xfId="9" applyNumberFormat="1" applyFont="1" applyBorder="1" applyAlignment="1">
      <alignment horizontal="center"/>
    </xf>
    <xf numFmtId="174" fontId="36" fillId="0" borderId="63" xfId="9" applyNumberFormat="1" applyFont="1" applyBorder="1" applyAlignment="1">
      <alignment horizontal="center"/>
    </xf>
    <xf numFmtId="174" fontId="36" fillId="0" borderId="152" xfId="9" applyNumberFormat="1" applyFont="1" applyBorder="1" applyAlignment="1">
      <alignment horizontal="center"/>
    </xf>
    <xf numFmtId="174" fontId="34" fillId="0" borderId="153" xfId="9" quotePrefix="1" applyNumberFormat="1" applyFont="1" applyBorder="1" applyAlignment="1">
      <alignment horizontal="center"/>
    </xf>
    <xf numFmtId="174" fontId="36" fillId="0" borderId="150" xfId="9" applyNumberFormat="1" applyFont="1" applyBorder="1" applyAlignment="1">
      <alignment horizontal="center"/>
    </xf>
    <xf numFmtId="174" fontId="36" fillId="0" borderId="33" xfId="9" applyNumberFormat="1" applyFont="1" applyBorder="1" applyAlignment="1">
      <alignment horizontal="center"/>
    </xf>
    <xf numFmtId="174" fontId="36" fillId="0" borderId="32" xfId="9" applyNumberFormat="1" applyFont="1" applyBorder="1" applyAlignment="1">
      <alignment horizontal="center"/>
    </xf>
    <xf numFmtId="174" fontId="34" fillId="0" borderId="60" xfId="9" quotePrefix="1" applyNumberFormat="1" applyFont="1" applyBorder="1" applyAlignment="1">
      <alignment horizontal="center"/>
    </xf>
    <xf numFmtId="174" fontId="36" fillId="0" borderId="154" xfId="9" applyNumberFormat="1" applyFont="1" applyBorder="1" applyAlignment="1">
      <alignment horizontal="center"/>
    </xf>
    <xf numFmtId="174" fontId="36" fillId="0" borderId="30" xfId="9" applyNumberFormat="1" applyFont="1" applyBorder="1" applyAlignment="1">
      <alignment horizontal="center"/>
    </xf>
    <xf numFmtId="174" fontId="36" fillId="0" borderId="29" xfId="9" applyNumberFormat="1" applyFont="1" applyBorder="1" applyAlignment="1">
      <alignment horizontal="center"/>
    </xf>
    <xf numFmtId="174" fontId="34" fillId="0" borderId="0" xfId="9" quotePrefix="1" applyNumberFormat="1" applyFont="1" applyAlignment="1">
      <alignment horizontal="center"/>
    </xf>
    <xf numFmtId="174" fontId="36" fillId="0" borderId="0" xfId="9" applyNumberFormat="1" applyFont="1" applyAlignment="1">
      <alignment horizontal="center"/>
    </xf>
    <xf numFmtId="174" fontId="34" fillId="0" borderId="0" xfId="9" applyNumberFormat="1" applyFont="1" applyAlignment="1">
      <alignment horizontal="center"/>
    </xf>
    <xf numFmtId="0" fontId="33" fillId="0" borderId="0" xfId="9" applyFont="1" applyAlignment="1">
      <alignment horizontal="right"/>
    </xf>
    <xf numFmtId="0" fontId="45" fillId="0" borderId="0" xfId="9" applyFont="1"/>
    <xf numFmtId="0" fontId="87" fillId="0" borderId="0" xfId="9" applyFont="1"/>
    <xf numFmtId="0" fontId="88" fillId="0" borderId="70" xfId="9" applyFont="1" applyBorder="1" applyAlignment="1">
      <alignment horizontal="center"/>
    </xf>
    <xf numFmtId="0" fontId="88" fillId="0" borderId="63" xfId="9" applyFont="1" applyBorder="1" applyAlignment="1">
      <alignment horizontal="center"/>
    </xf>
    <xf numFmtId="0" fontId="87" fillId="0" borderId="33" xfId="9" applyFont="1" applyBorder="1" applyAlignment="1">
      <alignment horizontal="center"/>
    </xf>
    <xf numFmtId="0" fontId="88" fillId="0" borderId="33" xfId="9" applyFont="1" applyBorder="1" applyAlignment="1">
      <alignment horizontal="center"/>
    </xf>
    <xf numFmtId="0" fontId="88" fillId="0" borderId="33" xfId="9" applyFont="1" applyBorder="1" applyAlignment="1">
      <alignment horizontal="right"/>
    </xf>
    <xf numFmtId="0" fontId="87" fillId="0" borderId="6" xfId="9" applyFont="1" applyBorder="1" applyAlignment="1">
      <alignment horizontal="center"/>
    </xf>
    <xf numFmtId="0" fontId="87" fillId="0" borderId="150" xfId="9" quotePrefix="1" applyFont="1" applyBorder="1" applyAlignment="1">
      <alignment horizontal="center"/>
    </xf>
    <xf numFmtId="0" fontId="87" fillId="0" borderId="150" xfId="9" applyFont="1" applyBorder="1" applyAlignment="1">
      <alignment horizontal="center"/>
    </xf>
    <xf numFmtId="0" fontId="88" fillId="0" borderId="0" xfId="9" applyFont="1" applyAlignment="1">
      <alignment horizontal="right"/>
    </xf>
    <xf numFmtId="0" fontId="45" fillId="0" borderId="0" xfId="11" applyFont="1" applyAlignment="1">
      <alignment horizontal="center"/>
    </xf>
    <xf numFmtId="0" fontId="48" fillId="5" borderId="0" xfId="11" applyFont="1" applyFill="1" applyAlignment="1">
      <alignment horizontal="center"/>
    </xf>
    <xf numFmtId="0" fontId="50" fillId="5" borderId="13" xfId="11" applyFont="1" applyFill="1" applyBorder="1" applyAlignment="1">
      <alignment horizontal="center"/>
    </xf>
    <xf numFmtId="0" fontId="56" fillId="5" borderId="11" xfId="11" applyFont="1" applyFill="1" applyBorder="1" applyAlignment="1">
      <alignment horizontal="left"/>
    </xf>
    <xf numFmtId="0" fontId="56" fillId="5" borderId="10" xfId="11" applyFont="1" applyFill="1" applyBorder="1" applyAlignment="1">
      <alignment horizontal="left"/>
    </xf>
    <xf numFmtId="0" fontId="58" fillId="0" borderId="82" xfId="11" applyFont="1" applyBorder="1" applyAlignment="1">
      <alignment horizontal="left"/>
    </xf>
    <xf numFmtId="0" fontId="58" fillId="0" borderId="83" xfId="11" applyFont="1" applyBorder="1" applyAlignment="1">
      <alignment horizontal="left"/>
    </xf>
    <xf numFmtId="0" fontId="59" fillId="5" borderId="84" xfId="11" applyFont="1" applyFill="1" applyBorder="1" applyAlignment="1">
      <alignment horizontal="center"/>
    </xf>
    <xf numFmtId="0" fontId="59" fillId="5" borderId="80" xfId="11" applyFont="1" applyFill="1" applyBorder="1" applyAlignment="1">
      <alignment horizontal="center"/>
    </xf>
    <xf numFmtId="0" fontId="49" fillId="5" borderId="85" xfId="11" applyFont="1" applyFill="1" applyBorder="1" applyAlignment="1">
      <alignment horizontal="left"/>
    </xf>
    <xf numFmtId="0" fontId="49" fillId="5" borderId="47" xfId="11" applyFont="1" applyFill="1" applyBorder="1" applyAlignment="1">
      <alignment horizontal="left"/>
    </xf>
    <xf numFmtId="0" fontId="49" fillId="5" borderId="46" xfId="11" applyFont="1" applyFill="1" applyBorder="1" applyAlignment="1">
      <alignment horizontal="left"/>
    </xf>
    <xf numFmtId="0" fontId="49" fillId="0" borderId="103" xfId="11" applyFont="1" applyBorder="1" applyAlignment="1">
      <alignment horizontal="left"/>
    </xf>
    <xf numFmtId="0" fontId="49" fillId="0" borderId="104" xfId="11" applyFont="1" applyBorder="1" applyAlignment="1">
      <alignment horizontal="left"/>
    </xf>
    <xf numFmtId="0" fontId="49" fillId="0" borderId="105" xfId="11" applyFont="1" applyBorder="1" applyAlignment="1">
      <alignment horizontal="left"/>
    </xf>
    <xf numFmtId="0" fontId="58" fillId="0" borderId="86" xfId="11" applyFont="1" applyBorder="1" applyAlignment="1">
      <alignment horizontal="left"/>
    </xf>
    <xf numFmtId="0" fontId="58" fillId="0" borderId="87" xfId="11" applyFont="1" applyBorder="1" applyAlignment="1">
      <alignment horizontal="left"/>
    </xf>
    <xf numFmtId="2" fontId="60" fillId="0" borderId="88" xfId="11" applyNumberFormat="1" applyFont="1" applyBorder="1" applyAlignment="1">
      <alignment horizontal="center"/>
    </xf>
    <xf numFmtId="2" fontId="60" fillId="0" borderId="89" xfId="11" applyNumberFormat="1" applyFont="1" applyBorder="1" applyAlignment="1">
      <alignment horizontal="center"/>
    </xf>
    <xf numFmtId="0" fontId="60" fillId="0" borderId="88" xfId="11" applyFont="1" applyBorder="1" applyAlignment="1">
      <alignment horizontal="center"/>
    </xf>
    <xf numFmtId="0" fontId="60" fillId="0" borderId="89" xfId="11" applyFont="1" applyBorder="1" applyAlignment="1">
      <alignment horizontal="center"/>
    </xf>
    <xf numFmtId="0" fontId="58" fillId="0" borderId="98" xfId="11" applyFont="1" applyBorder="1" applyAlignment="1">
      <alignment horizontal="left"/>
    </xf>
    <xf numFmtId="0" fontId="58" fillId="0" borderId="91" xfId="11" applyFont="1" applyBorder="1" applyAlignment="1">
      <alignment horizontal="left"/>
    </xf>
    <xf numFmtId="0" fontId="58" fillId="0" borderId="92" xfId="11" applyFont="1" applyBorder="1" applyAlignment="1">
      <alignment horizontal="left"/>
    </xf>
    <xf numFmtId="174" fontId="60" fillId="5" borderId="88" xfId="11" applyNumberFormat="1" applyFont="1" applyFill="1" applyBorder="1" applyAlignment="1">
      <alignment horizontal="center"/>
    </xf>
    <xf numFmtId="174" fontId="60" fillId="5" borderId="89" xfId="11" applyNumberFormat="1" applyFont="1" applyFill="1" applyBorder="1" applyAlignment="1">
      <alignment horizontal="center"/>
    </xf>
    <xf numFmtId="0" fontId="60" fillId="5" borderId="88" xfId="11" applyFont="1" applyFill="1" applyBorder="1" applyAlignment="1">
      <alignment horizontal="center"/>
    </xf>
    <xf numFmtId="0" fontId="60" fillId="5" borderId="89" xfId="11" applyFont="1" applyFill="1" applyBorder="1" applyAlignment="1">
      <alignment horizontal="center"/>
    </xf>
    <xf numFmtId="174" fontId="60" fillId="0" borderId="88" xfId="11" applyNumberFormat="1" applyFont="1" applyBorder="1" applyAlignment="1">
      <alignment horizontal="center"/>
    </xf>
    <xf numFmtId="174" fontId="60" fillId="0" borderId="89" xfId="11" applyNumberFormat="1" applyFont="1" applyBorder="1" applyAlignment="1">
      <alignment horizontal="center"/>
    </xf>
    <xf numFmtId="1" fontId="60" fillId="5" borderId="88" xfId="11" applyNumberFormat="1" applyFont="1" applyFill="1" applyBorder="1" applyAlignment="1">
      <alignment horizontal="center"/>
    </xf>
    <xf numFmtId="1" fontId="60" fillId="5" borderId="89" xfId="11" applyNumberFormat="1" applyFont="1" applyFill="1" applyBorder="1" applyAlignment="1">
      <alignment horizontal="center"/>
    </xf>
    <xf numFmtId="0" fontId="58" fillId="5" borderId="98" xfId="11" applyFont="1" applyFill="1" applyBorder="1" applyAlignment="1">
      <alignment horizontal="left"/>
    </xf>
    <xf numFmtId="0" fontId="58" fillId="5" borderId="91" xfId="11" applyFont="1" applyFill="1" applyBorder="1" applyAlignment="1">
      <alignment horizontal="left"/>
    </xf>
    <xf numFmtId="0" fontId="58" fillId="5" borderId="92" xfId="11" applyFont="1" applyFill="1" applyBorder="1" applyAlignment="1">
      <alignment horizontal="left"/>
    </xf>
    <xf numFmtId="2" fontId="60" fillId="5" borderId="88" xfId="11" applyNumberFormat="1" applyFont="1" applyFill="1" applyBorder="1" applyAlignment="1">
      <alignment horizontal="center"/>
    </xf>
    <xf numFmtId="2" fontId="60" fillId="5" borderId="89" xfId="11" applyNumberFormat="1" applyFont="1" applyFill="1" applyBorder="1" applyAlignment="1">
      <alignment horizontal="center"/>
    </xf>
    <xf numFmtId="0" fontId="49" fillId="0" borderId="125" xfId="11" applyFont="1" applyBorder="1" applyAlignment="1">
      <alignment horizontal="left"/>
    </xf>
    <xf numFmtId="0" fontId="49" fillId="0" borderId="47" xfId="11" applyFont="1" applyBorder="1" applyAlignment="1">
      <alignment horizontal="left"/>
    </xf>
    <xf numFmtId="0" fontId="58" fillId="5" borderId="98" xfId="11" quotePrefix="1" applyFont="1" applyFill="1" applyBorder="1" applyAlignment="1">
      <alignment horizontal="left"/>
    </xf>
    <xf numFmtId="0" fontId="58" fillId="5" borderId="91" xfId="11" quotePrefix="1" applyFont="1" applyFill="1" applyBorder="1" applyAlignment="1">
      <alignment horizontal="left"/>
    </xf>
    <xf numFmtId="0" fontId="58" fillId="5" borderId="92" xfId="11" quotePrefix="1" applyFont="1" applyFill="1" applyBorder="1" applyAlignment="1">
      <alignment horizontal="left"/>
    </xf>
    <xf numFmtId="0" fontId="58" fillId="5" borderId="110" xfId="11" applyFont="1" applyFill="1" applyBorder="1" applyAlignment="1">
      <alignment horizontal="center"/>
    </xf>
    <xf numFmtId="0" fontId="58" fillId="5" borderId="111" xfId="11" applyFont="1" applyFill="1" applyBorder="1" applyAlignment="1">
      <alignment horizontal="center"/>
    </xf>
    <xf numFmtId="0" fontId="58" fillId="5" borderId="106" xfId="11" applyFont="1" applyFill="1" applyBorder="1" applyAlignment="1">
      <alignment horizontal="center"/>
    </xf>
    <xf numFmtId="0" fontId="58" fillId="5" borderId="0" xfId="11" applyFont="1" applyFill="1" applyAlignment="1">
      <alignment horizontal="center"/>
    </xf>
    <xf numFmtId="0" fontId="58" fillId="5" borderId="108" xfId="11" applyFont="1" applyFill="1" applyBorder="1" applyAlignment="1">
      <alignment horizontal="center"/>
    </xf>
    <xf numFmtId="0" fontId="58" fillId="5" borderId="22" xfId="11" applyFont="1" applyFill="1" applyBorder="1" applyAlignment="1">
      <alignment horizontal="center"/>
    </xf>
    <xf numFmtId="0" fontId="58" fillId="5" borderId="112" xfId="11" applyFont="1" applyFill="1" applyBorder="1" applyAlignment="1">
      <alignment horizontal="left"/>
    </xf>
    <xf numFmtId="0" fontId="58" fillId="5" borderId="113" xfId="11" applyFont="1" applyFill="1" applyBorder="1" applyAlignment="1">
      <alignment horizontal="left"/>
    </xf>
    <xf numFmtId="0" fontId="58" fillId="5" borderId="114" xfId="11" applyFont="1" applyFill="1" applyBorder="1" applyAlignment="1">
      <alignment horizontal="left"/>
    </xf>
    <xf numFmtId="0" fontId="60" fillId="5" borderId="115" xfId="11" applyFont="1" applyFill="1" applyBorder="1" applyAlignment="1">
      <alignment horizontal="center"/>
    </xf>
    <xf numFmtId="0" fontId="60" fillId="0" borderId="115" xfId="11" applyFont="1" applyBorder="1" applyAlignment="1">
      <alignment horizontal="center"/>
    </xf>
    <xf numFmtId="181" fontId="60" fillId="5" borderId="88" xfId="11" applyNumberFormat="1" applyFont="1" applyFill="1" applyBorder="1" applyAlignment="1">
      <alignment horizontal="center"/>
    </xf>
    <xf numFmtId="181" fontId="60" fillId="5" borderId="89" xfId="11" applyNumberFormat="1" applyFont="1" applyFill="1" applyBorder="1" applyAlignment="1">
      <alignment horizontal="center"/>
    </xf>
    <xf numFmtId="1" fontId="60" fillId="5" borderId="123" xfId="11" applyNumberFormat="1" applyFont="1" applyFill="1" applyBorder="1" applyAlignment="1">
      <alignment horizontal="center"/>
    </xf>
    <xf numFmtId="1" fontId="60" fillId="5" borderId="124" xfId="11" applyNumberFormat="1" applyFont="1" applyFill="1" applyBorder="1" applyAlignment="1">
      <alignment horizontal="center"/>
    </xf>
    <xf numFmtId="0" fontId="55" fillId="0" borderId="130" xfId="11" applyFont="1" applyBorder="1" applyAlignment="1">
      <alignment horizontal="left"/>
    </xf>
    <xf numFmtId="0" fontId="55" fillId="0" borderId="100" xfId="11" applyFont="1" applyBorder="1" applyAlignment="1">
      <alignment horizontal="left"/>
    </xf>
    <xf numFmtId="14" fontId="53" fillId="5" borderId="141" xfId="11" applyNumberFormat="1" applyFont="1" applyFill="1" applyBorder="1" applyAlignment="1">
      <alignment horizontal="center"/>
    </xf>
    <xf numFmtId="14" fontId="53" fillId="5" borderId="142" xfId="11" applyNumberFormat="1" applyFont="1" applyFill="1" applyBorder="1" applyAlignment="1">
      <alignment horizontal="center"/>
    </xf>
    <xf numFmtId="0" fontId="55" fillId="0" borderId="16" xfId="11" applyFont="1" applyBorder="1" applyAlignment="1">
      <alignment horizontal="center"/>
    </xf>
    <xf numFmtId="0" fontId="55" fillId="0" borderId="0" xfId="11" applyFont="1" applyAlignment="1">
      <alignment horizontal="center"/>
    </xf>
    <xf numFmtId="0" fontId="55" fillId="0" borderId="45" xfId="11" applyFont="1" applyBorder="1" applyAlignment="1">
      <alignment horizontal="center"/>
    </xf>
    <xf numFmtId="0" fontId="55" fillId="0" borderId="24" xfId="11" applyFont="1" applyBorder="1" applyAlignment="1">
      <alignment horizontal="center"/>
    </xf>
    <xf numFmtId="0" fontId="55" fillId="0" borderId="22" xfId="11" applyFont="1" applyBorder="1" applyAlignment="1">
      <alignment horizontal="center"/>
    </xf>
    <xf numFmtId="0" fontId="55" fillId="0" borderId="23" xfId="11" applyFont="1" applyBorder="1" applyAlignment="1">
      <alignment horizontal="center"/>
    </xf>
    <xf numFmtId="0" fontId="49" fillId="0" borderId="48" xfId="11" applyFont="1" applyBorder="1" applyAlignment="1">
      <alignment horizontal="left"/>
    </xf>
    <xf numFmtId="0" fontId="55" fillId="0" borderId="14" xfId="11" applyFont="1" applyBorder="1" applyAlignment="1">
      <alignment horizontal="center"/>
    </xf>
    <xf numFmtId="0" fontId="55" fillId="0" borderId="13" xfId="11" applyFont="1" applyBorder="1" applyAlignment="1">
      <alignment horizontal="center"/>
    </xf>
    <xf numFmtId="0" fontId="55" fillId="0" borderId="20" xfId="11" applyFont="1" applyBorder="1" applyAlignment="1">
      <alignment horizontal="center"/>
    </xf>
    <xf numFmtId="0" fontId="74" fillId="5" borderId="136" xfId="11" applyFont="1" applyFill="1" applyBorder="1" applyAlignment="1">
      <alignment horizontal="center"/>
    </xf>
    <xf numFmtId="0" fontId="74" fillId="5" borderId="137" xfId="11" applyFont="1" applyFill="1" applyBorder="1" applyAlignment="1">
      <alignment horizontal="center"/>
    </xf>
    <xf numFmtId="164" fontId="26" fillId="0" borderId="1" xfId="3" applyFont="1" applyBorder="1" applyAlignment="1" applyProtection="1">
      <alignment horizontal="center"/>
      <protection locked="0"/>
    </xf>
    <xf numFmtId="14" fontId="11" fillId="0" borderId="1" xfId="3" quotePrefix="1" applyNumberFormat="1" applyFont="1" applyBorder="1" applyAlignment="1" applyProtection="1">
      <alignment horizontal="center"/>
      <protection locked="0"/>
    </xf>
    <xf numFmtId="0" fontId="79" fillId="0" borderId="25" xfId="9" applyFont="1" applyBorder="1" applyAlignment="1">
      <alignment horizontal="center"/>
    </xf>
    <xf numFmtId="0" fontId="79" fillId="0" borderId="6" xfId="9" applyFont="1" applyBorder="1" applyAlignment="1">
      <alignment horizontal="center"/>
    </xf>
    <xf numFmtId="0" fontId="79" fillId="0" borderId="150" xfId="9" applyFont="1" applyBorder="1" applyAlignment="1">
      <alignment horizontal="center"/>
    </xf>
    <xf numFmtId="0" fontId="81" fillId="0" borderId="106" xfId="9" applyFont="1" applyBorder="1" applyAlignment="1">
      <alignment horizontal="center"/>
    </xf>
    <xf numFmtId="0" fontId="81" fillId="0" borderId="0" xfId="9" applyFont="1" applyAlignment="1">
      <alignment horizontal="center"/>
    </xf>
    <xf numFmtId="0" fontId="81" fillId="0" borderId="45" xfId="9" applyFont="1" applyBorder="1" applyAlignment="1">
      <alignment horizontal="center"/>
    </xf>
    <xf numFmtId="0" fontId="83" fillId="0" borderId="106" xfId="9" applyFont="1" applyBorder="1" applyAlignment="1">
      <alignment horizontal="center"/>
    </xf>
    <xf numFmtId="0" fontId="83" fillId="0" borderId="0" xfId="9" applyFont="1" applyAlignment="1">
      <alignment horizontal="center"/>
    </xf>
    <xf numFmtId="0" fontId="83" fillId="0" borderId="45" xfId="9" applyFont="1" applyBorder="1" applyAlignment="1">
      <alignment horizontal="center"/>
    </xf>
    <xf numFmtId="0" fontId="87" fillId="0" borderId="33" xfId="9" applyFont="1" applyBorder="1" applyAlignment="1">
      <alignment horizontal="center"/>
    </xf>
    <xf numFmtId="0" fontId="33" fillId="0" borderId="0" xfId="9" applyFont="1" applyAlignment="1">
      <alignment horizontal="center"/>
    </xf>
    <xf numFmtId="0" fontId="89" fillId="0" borderId="25" xfId="9" applyFont="1" applyBorder="1" applyAlignment="1">
      <alignment horizontal="center"/>
    </xf>
    <xf numFmtId="0" fontId="52" fillId="0" borderId="6" xfId="9" applyFont="1" applyBorder="1" applyAlignment="1">
      <alignment horizontal="center"/>
    </xf>
    <xf numFmtId="0" fontId="52" fillId="0" borderId="150" xfId="9" applyFont="1" applyBorder="1" applyAlignment="1">
      <alignment horizontal="center"/>
    </xf>
    <xf numFmtId="0" fontId="88" fillId="0" borderId="33" xfId="9" applyFont="1" applyBorder="1" applyAlignment="1">
      <alignment horizontal="center"/>
    </xf>
    <xf numFmtId="0" fontId="52" fillId="0" borderId="25" xfId="9" applyFont="1" applyBorder="1" applyAlignment="1">
      <alignment horizontal="center"/>
    </xf>
    <xf numFmtId="0" fontId="87" fillId="0" borderId="25" xfId="9" applyFont="1" applyBorder="1" applyAlignment="1">
      <alignment horizontal="right"/>
    </xf>
    <xf numFmtId="0" fontId="87" fillId="0" borderId="6" xfId="9" applyFont="1" applyBorder="1" applyAlignment="1">
      <alignment horizontal="right"/>
    </xf>
    <xf numFmtId="0" fontId="52" fillId="0" borderId="0" xfId="9" applyFont="1" applyAlignment="1">
      <alignment horizontal="center"/>
    </xf>
    <xf numFmtId="0" fontId="88" fillId="0" borderId="0" xfId="9" applyFont="1" applyAlignment="1">
      <alignment horizontal="right"/>
    </xf>
    <xf numFmtId="164" fontId="11" fillId="0" borderId="0" xfId="2" applyNumberFormat="1" applyFont="1" applyAlignment="1">
      <alignment horizontal="center" wrapText="1"/>
    </xf>
    <xf numFmtId="164" fontId="11" fillId="0" borderId="0" xfId="2" applyNumberFormat="1" applyFont="1" applyAlignment="1">
      <alignment horizontal="center"/>
    </xf>
    <xf numFmtId="164" fontId="7" fillId="0" borderId="0" xfId="2" applyNumberFormat="1" applyFont="1" applyAlignment="1">
      <alignment horizontal="center"/>
    </xf>
    <xf numFmtId="164" fontId="13" fillId="0" borderId="7" xfId="1" applyNumberFormat="1" applyFont="1" applyBorder="1" applyAlignment="1">
      <alignment horizontal="right"/>
    </xf>
    <xf numFmtId="164" fontId="13" fillId="0" borderId="6" xfId="1" applyNumberFormat="1" applyFont="1" applyBorder="1" applyAlignment="1">
      <alignment horizontal="right"/>
    </xf>
    <xf numFmtId="169" fontId="11" fillId="0" borderId="6" xfId="1" applyNumberFormat="1" applyFont="1" applyBorder="1" applyAlignment="1">
      <alignment horizontal="center"/>
    </xf>
    <xf numFmtId="169" fontId="11" fillId="0" borderId="5" xfId="1" applyNumberFormat="1" applyFont="1" applyBorder="1" applyAlignment="1">
      <alignment horizontal="center"/>
    </xf>
    <xf numFmtId="166" fontId="11" fillId="0" borderId="6" xfId="1" applyNumberFormat="1" applyFont="1" applyBorder="1" applyAlignment="1">
      <alignment horizontal="center"/>
    </xf>
    <xf numFmtId="166" fontId="11" fillId="0" borderId="5" xfId="1" applyNumberFormat="1" applyFont="1" applyBorder="1" applyAlignment="1">
      <alignment horizontal="center"/>
    </xf>
    <xf numFmtId="167" fontId="11" fillId="0" borderId="6" xfId="1" applyNumberFormat="1" applyFont="1" applyBorder="1" applyAlignment="1">
      <alignment horizontal="center"/>
    </xf>
    <xf numFmtId="167" fontId="11" fillId="0" borderId="5" xfId="1" applyNumberFormat="1" applyFont="1" applyBorder="1" applyAlignment="1">
      <alignment horizontal="center"/>
    </xf>
    <xf numFmtId="164" fontId="13" fillId="0" borderId="4" xfId="1" applyNumberFormat="1" applyFont="1" applyBorder="1" applyAlignment="1">
      <alignment horizontal="right"/>
    </xf>
    <xf numFmtId="164" fontId="13" fillId="0" borderId="3" xfId="1" applyNumberFormat="1" applyFont="1" applyBorder="1" applyAlignment="1">
      <alignment horizontal="right"/>
    </xf>
    <xf numFmtId="166" fontId="11" fillId="0" borderId="3" xfId="1" applyNumberFormat="1" applyFont="1" applyBorder="1" applyAlignment="1">
      <alignment horizontal="center"/>
    </xf>
    <xf numFmtId="166" fontId="11" fillId="0" borderId="2" xfId="1" applyNumberFormat="1" applyFont="1" applyBorder="1" applyAlignment="1">
      <alignment horizontal="center"/>
    </xf>
    <xf numFmtId="39" fontId="13" fillId="0" borderId="7" xfId="1" applyNumberFormat="1" applyFont="1" applyBorder="1" applyAlignment="1">
      <alignment horizontal="right"/>
    </xf>
    <xf numFmtId="39" fontId="13" fillId="0" borderId="6" xfId="1" applyNumberFormat="1" applyFont="1" applyBorder="1" applyAlignment="1">
      <alignment horizontal="right"/>
    </xf>
    <xf numFmtId="171" fontId="11" fillId="0" borderId="6" xfId="1" applyNumberFormat="1" applyFont="1" applyBorder="1" applyAlignment="1">
      <alignment horizontal="center"/>
    </xf>
    <xf numFmtId="171" fontId="11" fillId="0" borderId="5" xfId="1" applyNumberFormat="1" applyFont="1" applyBorder="1" applyAlignment="1">
      <alignment horizontal="center"/>
    </xf>
    <xf numFmtId="177" fontId="11" fillId="0" borderId="6" xfId="1" applyNumberFormat="1" applyFont="1" applyBorder="1" applyAlignment="1">
      <alignment horizontal="center"/>
    </xf>
    <xf numFmtId="177" fontId="11" fillId="0" borderId="5" xfId="1" applyNumberFormat="1" applyFont="1" applyBorder="1" applyAlignment="1">
      <alignment horizontal="center"/>
    </xf>
    <xf numFmtId="174" fontId="13" fillId="0" borderId="7" xfId="1" applyNumberFormat="1" applyFont="1" applyBorder="1" applyAlignment="1">
      <alignment horizontal="right" vertical="center"/>
    </xf>
    <xf numFmtId="174" fontId="13" fillId="0" borderId="6" xfId="1" applyNumberFormat="1" applyFont="1" applyBorder="1" applyAlignment="1">
      <alignment horizontal="right" vertical="center"/>
    </xf>
    <xf numFmtId="178" fontId="17" fillId="0" borderId="25" xfId="1" quotePrefix="1" applyNumberFormat="1" applyFont="1" applyBorder="1" applyAlignment="1">
      <alignment horizontal="center"/>
    </xf>
    <xf numFmtId="178" fontId="17" fillId="0" borderId="5" xfId="1" quotePrefix="1" applyNumberFormat="1" applyFont="1" applyBorder="1" applyAlignment="1">
      <alignment horizontal="center"/>
    </xf>
    <xf numFmtId="164" fontId="11" fillId="0" borderId="16" xfId="1" applyNumberFormat="1" applyFont="1" applyBorder="1" applyAlignment="1">
      <alignment horizontal="center"/>
    </xf>
    <xf numFmtId="164" fontId="20" fillId="0" borderId="0" xfId="1" applyNumberFormat="1" applyFont="1" applyAlignment="1">
      <alignment horizontal="center"/>
    </xf>
    <xf numFmtId="164" fontId="20" fillId="0" borderId="15" xfId="1" applyNumberFormat="1" applyFont="1" applyBorder="1" applyAlignment="1">
      <alignment horizontal="center"/>
    </xf>
    <xf numFmtId="164" fontId="11" fillId="0" borderId="0" xfId="1" applyNumberFormat="1" applyFont="1" applyAlignment="1">
      <alignment horizontal="center"/>
    </xf>
    <xf numFmtId="164" fontId="11" fillId="0" borderId="15" xfId="1" applyNumberFormat="1" applyFont="1" applyBorder="1" applyAlignment="1">
      <alignment horizontal="center"/>
    </xf>
    <xf numFmtId="164" fontId="13" fillId="0" borderId="11" xfId="1" applyNumberFormat="1" applyFont="1" applyBorder="1" applyAlignment="1">
      <alignment horizontal="right"/>
    </xf>
    <xf numFmtId="164" fontId="13" fillId="0" borderId="10" xfId="1" applyNumberFormat="1" applyFont="1" applyBorder="1" applyAlignment="1">
      <alignment horizontal="right"/>
    </xf>
    <xf numFmtId="177" fontId="11" fillId="0" borderId="9" xfId="1" applyNumberFormat="1" applyFont="1" applyBorder="1" applyAlignment="1">
      <alignment horizontal="center"/>
    </xf>
    <xf numFmtId="177" fontId="11" fillId="0" borderId="8" xfId="1" applyNumberFormat="1" applyFont="1" applyBorder="1" applyAlignment="1">
      <alignment horizontal="center"/>
    </xf>
    <xf numFmtId="0" fontId="26" fillId="0" borderId="1" xfId="6" applyFont="1" applyBorder="1" applyAlignment="1" applyProtection="1">
      <alignment horizontal="center"/>
      <protection locked="0"/>
    </xf>
    <xf numFmtId="14" fontId="11" fillId="0" borderId="1" xfId="6" quotePrefix="1" applyNumberFormat="1" applyBorder="1" applyAlignment="1" applyProtection="1">
      <alignment horizontal="center"/>
      <protection locked="0"/>
    </xf>
    <xf numFmtId="164" fontId="15" fillId="0" borderId="11" xfId="7" applyNumberFormat="1" applyFont="1" applyBorder="1" applyAlignment="1">
      <alignment horizontal="right"/>
    </xf>
    <xf numFmtId="164" fontId="15" fillId="0" borderId="10" xfId="7" applyNumberFormat="1" applyFont="1" applyBorder="1" applyAlignment="1">
      <alignment horizontal="right"/>
    </xf>
    <xf numFmtId="164" fontId="15" fillId="0" borderId="26" xfId="7" applyNumberFormat="1" applyFont="1" applyBorder="1" applyAlignment="1">
      <alignment horizontal="right"/>
    </xf>
    <xf numFmtId="164" fontId="15" fillId="0" borderId="7" xfId="7" applyNumberFormat="1" applyFont="1" applyBorder="1" applyAlignment="1">
      <alignment horizontal="right"/>
    </xf>
    <xf numFmtId="164" fontId="15" fillId="0" borderId="6" xfId="7" applyNumberFormat="1" applyFont="1" applyBorder="1" applyAlignment="1">
      <alignment horizontal="right"/>
    </xf>
    <xf numFmtId="164" fontId="15" fillId="0" borderId="5" xfId="7" applyNumberFormat="1" applyFont="1" applyBorder="1" applyAlignment="1">
      <alignment horizontal="right"/>
    </xf>
    <xf numFmtId="164" fontId="28" fillId="0" borderId="4" xfId="7" applyNumberFormat="1" applyFont="1" applyBorder="1" applyAlignment="1">
      <alignment horizontal="right"/>
    </xf>
    <xf numFmtId="164" fontId="28" fillId="0" borderId="3" xfId="7" applyNumberFormat="1" applyFont="1" applyBorder="1" applyAlignment="1">
      <alignment horizontal="right"/>
    </xf>
    <xf numFmtId="164" fontId="28" fillId="0" borderId="2" xfId="7" applyNumberFormat="1" applyFont="1" applyBorder="1" applyAlignment="1">
      <alignment horizontal="right"/>
    </xf>
    <xf numFmtId="164" fontId="27" fillId="0" borderId="0" xfId="7" applyNumberFormat="1" applyFont="1" applyAlignment="1">
      <alignment horizontal="center"/>
    </xf>
    <xf numFmtId="164" fontId="6" fillId="0" borderId="14" xfId="7" applyNumberFormat="1" applyBorder="1" applyAlignment="1">
      <alignment horizontal="center"/>
    </xf>
    <xf numFmtId="164" fontId="6" fillId="0" borderId="13" xfId="7" applyNumberFormat="1" applyBorder="1" applyAlignment="1">
      <alignment horizontal="center"/>
    </xf>
    <xf numFmtId="164" fontId="6" fillId="0" borderId="12" xfId="7" applyNumberFormat="1" applyBorder="1" applyAlignment="1">
      <alignment horizontal="center"/>
    </xf>
    <xf numFmtId="0" fontId="31" fillId="0" borderId="0" xfId="7" applyFont="1" applyAlignment="1">
      <alignment horizontal="left"/>
    </xf>
    <xf numFmtId="0" fontId="31" fillId="0" borderId="45" xfId="7" applyFont="1" applyBorder="1" applyAlignment="1">
      <alignment horizontal="left"/>
    </xf>
    <xf numFmtId="0" fontId="31" fillId="0" borderId="15" xfId="7" applyFont="1" applyBorder="1" applyAlignment="1">
      <alignment horizontal="left"/>
    </xf>
    <xf numFmtId="0" fontId="31" fillId="0" borderId="13" xfId="7" applyFont="1" applyBorder="1" applyAlignment="1">
      <alignment horizontal="left"/>
    </xf>
    <xf numFmtId="0" fontId="31" fillId="0" borderId="20" xfId="7" applyFont="1" applyBorder="1" applyAlignment="1">
      <alignment horizontal="left"/>
    </xf>
    <xf numFmtId="0" fontId="31" fillId="0" borderId="12" xfId="7" applyFont="1" applyBorder="1" applyAlignment="1">
      <alignment horizontal="left"/>
    </xf>
    <xf numFmtId="164" fontId="6" fillId="0" borderId="43" xfId="7" applyNumberFormat="1" applyBorder="1" applyAlignment="1">
      <alignment horizontal="center"/>
    </xf>
    <xf numFmtId="164" fontId="6" fillId="0" borderId="42" xfId="7" applyNumberFormat="1" applyBorder="1" applyAlignment="1">
      <alignment horizontal="center"/>
    </xf>
    <xf numFmtId="164" fontId="6" fillId="0" borderId="41" xfId="7" applyNumberFormat="1" applyBorder="1" applyAlignment="1">
      <alignment horizontal="center"/>
    </xf>
    <xf numFmtId="49" fontId="15" fillId="0" borderId="39" xfId="7" applyNumberFormat="1" applyFont="1" applyBorder="1" applyAlignment="1">
      <alignment horizontal="left"/>
    </xf>
    <xf numFmtId="0" fontId="15" fillId="0" borderId="39" xfId="7" applyFont="1" applyBorder="1" applyAlignment="1">
      <alignment horizontal="left"/>
    </xf>
    <xf numFmtId="0" fontId="15" fillId="0" borderId="38" xfId="7" applyFont="1" applyBorder="1" applyAlignment="1">
      <alignment horizontal="left"/>
    </xf>
    <xf numFmtId="0" fontId="15" fillId="0" borderId="13" xfId="7" applyFont="1" applyBorder="1" applyAlignment="1">
      <alignment horizontal="left"/>
    </xf>
    <xf numFmtId="0" fontId="15" fillId="0" borderId="12" xfId="7" applyFont="1" applyBorder="1" applyAlignment="1">
      <alignment horizontal="left"/>
    </xf>
    <xf numFmtId="164" fontId="15" fillId="0" borderId="13" xfId="7" applyNumberFormat="1" applyFont="1" applyBorder="1" applyAlignment="1">
      <alignment horizontal="center"/>
    </xf>
    <xf numFmtId="164" fontId="15" fillId="0" borderId="12" xfId="7" applyNumberFormat="1" applyFont="1" applyBorder="1" applyAlignment="1">
      <alignment horizontal="center"/>
    </xf>
    <xf numFmtId="164" fontId="29" fillId="0" borderId="54" xfId="7" applyNumberFormat="1" applyFont="1" applyBorder="1" applyAlignment="1">
      <alignment horizontal="center"/>
    </xf>
    <xf numFmtId="164" fontId="29" fillId="0" borderId="50" xfId="7" applyNumberFormat="1" applyFont="1" applyBorder="1" applyAlignment="1">
      <alignment horizontal="center"/>
    </xf>
    <xf numFmtId="164" fontId="29" fillId="0" borderId="53" xfId="7" applyNumberFormat="1" applyFont="1" applyBorder="1" applyAlignment="1">
      <alignment horizontal="center"/>
    </xf>
    <xf numFmtId="164" fontId="29" fillId="0" borderId="51" xfId="7" applyNumberFormat="1" applyFont="1" applyBorder="1" applyAlignment="1">
      <alignment horizontal="center"/>
    </xf>
    <xf numFmtId="164" fontId="29" fillId="0" borderId="49" xfId="7" applyNumberFormat="1" applyFont="1" applyBorder="1" applyAlignment="1">
      <alignment horizontal="center"/>
    </xf>
    <xf numFmtId="0" fontId="31" fillId="0" borderId="47" xfId="7" applyFont="1" applyBorder="1" applyAlignment="1">
      <alignment horizontal="left"/>
    </xf>
    <xf numFmtId="0" fontId="31" fillId="0" borderId="48" xfId="7" applyFont="1" applyBorder="1" applyAlignment="1">
      <alignment horizontal="left"/>
    </xf>
    <xf numFmtId="0" fontId="31" fillId="0" borderId="46" xfId="7" applyFont="1" applyBorder="1" applyAlignment="1">
      <alignment horizontal="left"/>
    </xf>
    <xf numFmtId="0" fontId="15" fillId="0" borderId="51" xfId="7" applyFont="1" applyBorder="1" applyAlignment="1">
      <alignment horizontal="center"/>
    </xf>
    <xf numFmtId="0" fontId="15" fillId="0" borderId="50" xfId="7" applyFont="1" applyBorder="1" applyAlignment="1">
      <alignment horizontal="center"/>
    </xf>
    <xf numFmtId="0" fontId="15" fillId="0" borderId="49" xfId="7" applyFont="1" applyBorder="1" applyAlignment="1">
      <alignment horizontal="center"/>
    </xf>
    <xf numFmtId="164" fontId="17" fillId="0" borderId="57" xfId="7" applyNumberFormat="1" applyFont="1" applyBorder="1" applyAlignment="1">
      <alignment horizontal="center"/>
    </xf>
    <xf numFmtId="164" fontId="17" fillId="0" borderId="26" xfId="7" applyNumberFormat="1" applyFont="1" applyBorder="1" applyAlignment="1">
      <alignment horizontal="center"/>
    </xf>
    <xf numFmtId="164" fontId="17" fillId="0" borderId="25" xfId="7" quotePrefix="1" applyNumberFormat="1" applyFont="1" applyBorder="1" applyAlignment="1">
      <alignment horizontal="center"/>
    </xf>
    <xf numFmtId="164" fontId="6" fillId="0" borderId="5" xfId="7" applyNumberFormat="1" applyBorder="1" applyAlignment="1">
      <alignment horizontal="center"/>
    </xf>
    <xf numFmtId="164" fontId="17" fillId="0" borderId="25" xfId="7" applyNumberFormat="1" applyFont="1" applyBorder="1" applyAlignment="1">
      <alignment horizontal="center"/>
    </xf>
    <xf numFmtId="164" fontId="17" fillId="0" borderId="5" xfId="7" quotePrefix="1" applyNumberFormat="1" applyFont="1" applyBorder="1" applyAlignment="1">
      <alignment horizontal="center"/>
    </xf>
    <xf numFmtId="164" fontId="17" fillId="0" borderId="5" xfId="7" applyNumberFormat="1" applyFont="1" applyBorder="1" applyAlignment="1">
      <alignment horizontal="center"/>
    </xf>
    <xf numFmtId="164" fontId="29" fillId="0" borderId="56" xfId="7" applyNumberFormat="1" applyFont="1" applyBorder="1" applyAlignment="1">
      <alignment horizontal="center"/>
    </xf>
    <xf numFmtId="164" fontId="29" fillId="0" borderId="2" xfId="7" applyNumberFormat="1" applyFont="1" applyBorder="1" applyAlignment="1">
      <alignment horizontal="center"/>
    </xf>
    <xf numFmtId="164" fontId="13" fillId="0" borderId="43" xfId="7" applyNumberFormat="1" applyFont="1" applyBorder="1" applyAlignment="1">
      <alignment horizontal="center"/>
    </xf>
    <xf numFmtId="164" fontId="13" fillId="0" borderId="42" xfId="7" applyNumberFormat="1" applyFont="1" applyBorder="1" applyAlignment="1">
      <alignment horizontal="center"/>
    </xf>
    <xf numFmtId="164" fontId="13" fillId="0" borderId="41" xfId="7" applyNumberFormat="1" applyFont="1" applyBorder="1" applyAlignment="1">
      <alignment horizontal="center"/>
    </xf>
    <xf numFmtId="0" fontId="90" fillId="5" borderId="91" xfId="12" applyFont="1" applyFill="1" applyBorder="1" applyAlignment="1">
      <alignment horizontal="left"/>
    </xf>
    <xf numFmtId="0" fontId="90" fillId="5" borderId="91" xfId="11" applyFont="1" applyFill="1" applyBorder="1" applyAlignment="1">
      <alignment horizontal="left"/>
    </xf>
  </cellXfs>
  <cellStyles count="13">
    <cellStyle name="Normal" xfId="0" builtinId="0"/>
    <cellStyle name="Normal 2" xfId="11" xr:uid="{5BC4448D-2097-4FBF-97AD-8F8CFEF15857}"/>
    <cellStyle name="Normal 2 2" xfId="10" xr:uid="{1720B4EF-26C2-4A64-A847-F89FFFB9E064}"/>
    <cellStyle name="Normal 3" xfId="9" xr:uid="{7F46ACAA-A278-4CE4-8F43-EE10174C2556}"/>
    <cellStyle name="Normal 3 2 2" xfId="5" xr:uid="{A6616CE8-1F97-4922-8A86-9BBC8FBF68FB}"/>
    <cellStyle name="Normal 4" xfId="3" xr:uid="{D3651C01-927C-4695-B5F0-B803E2C1D6D6}"/>
    <cellStyle name="Normal 4 2" xfId="6" xr:uid="{A85CC4CD-FA11-4093-B238-360AC3FECB18}"/>
    <cellStyle name="Normal 5" xfId="4" xr:uid="{ED9969CC-AFCB-4E7B-ABCC-D6DC82AF65C2}"/>
    <cellStyle name="Normal 5 2" xfId="8" xr:uid="{E0BDF053-7955-4B4A-863A-462EA13432C4}"/>
    <cellStyle name="Normal_MPCF1082 2" xfId="7" xr:uid="{278E2C16-B9F7-463D-BEF3-45760608F926}"/>
    <cellStyle name="Normal_MPCF1109" xfId="1" xr:uid="{BC0BF9B4-00EF-46B5-B895-7237BE01678A}"/>
    <cellStyle name="Normal_OPTEST" xfId="12" xr:uid="{C437D18C-1E3E-477F-B845-8195FC1428A2}"/>
    <cellStyle name="Normal_Rev. 1" xfId="2" xr:uid="{271B1EE7-4205-4AD1-9A8D-F204028406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 80%V'!$A$59:$A$68,'DesignSheet 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80%V'!$B$59:$B$68,'DesignSheet 80%V'!$E$59:$E$62)</c:f>
              <c:numCache>
                <c:formatCode>0.0</c:formatCode>
                <c:ptCount val="14"/>
                <c:pt idx="0">
                  <c:v>0</c:v>
                </c:pt>
                <c:pt idx="1">
                  <c:v>114.44169343155276</c:v>
                </c:pt>
                <c:pt idx="2">
                  <c:v>213.12724146730778</c:v>
                </c:pt>
                <c:pt idx="3">
                  <c:v>160.27197271869105</c:v>
                </c:pt>
                <c:pt idx="4">
                  <c:v>132.07418261872465</c:v>
                </c:pt>
                <c:pt idx="5">
                  <c:v>118.73473821307874</c:v>
                </c:pt>
                <c:pt idx="6">
                  <c:v>107.92473248018348</c:v>
                </c:pt>
                <c:pt idx="7">
                  <c:v>102.87038926958465</c:v>
                </c:pt>
                <c:pt idx="8">
                  <c:v>98.718619469091877</c:v>
                </c:pt>
                <c:pt idx="9">
                  <c:v>94.712590514267276</c:v>
                </c:pt>
                <c:pt idx="10">
                  <c:v>90.880340738490602</c:v>
                </c:pt>
                <c:pt idx="11">
                  <c:v>87.320165699062485</c:v>
                </c:pt>
                <c:pt idx="12">
                  <c:v>84.079967101531977</c:v>
                </c:pt>
                <c:pt idx="13">
                  <c:v>81.161760630025427</c:v>
                </c:pt>
              </c:numCache>
            </c:numRef>
          </c:yVal>
          <c:smooth val="1"/>
          <c:extLst>
            <c:ext xmlns:c16="http://schemas.microsoft.com/office/drawing/2014/chart" uri="{C3380CC4-5D6E-409C-BE32-E72D297353CC}">
              <c16:uniqueId val="{00000000-03E3-49C9-88A4-7533BB43F2D5}"/>
            </c:ext>
          </c:extLst>
        </c:ser>
        <c:dLbls>
          <c:showLegendKey val="0"/>
          <c:showVal val="0"/>
          <c:showCatName val="0"/>
          <c:showSerName val="0"/>
          <c:showPercent val="0"/>
          <c:showBubbleSize val="0"/>
        </c:dLbls>
        <c:axId val="1001634272"/>
        <c:axId val="1"/>
      </c:scatterChart>
      <c:scatterChart>
        <c:scatterStyle val="lineMarker"/>
        <c:varyColors val="0"/>
        <c:ser>
          <c:idx val="1"/>
          <c:order val="1"/>
          <c:spPr>
            <a:ln w="12700">
              <a:solidFill>
                <a:srgbClr val="000000"/>
              </a:solidFill>
              <a:prstDash val="sysDash"/>
            </a:ln>
          </c:spPr>
          <c:marker>
            <c:symbol val="none"/>
          </c:marker>
          <c:xVal>
            <c:numRef>
              <c:f>('DesignSheet 80%V'!$A$59:$A$68,'DesignSheet 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80%V'!$C$59:$C$68,'DesignSheet 80%V'!$F$59:$F$62)</c:f>
              <c:numCache>
                <c:formatCode>0.0</c:formatCode>
                <c:ptCount val="14"/>
                <c:pt idx="0">
                  <c:v>0</c:v>
                </c:pt>
                <c:pt idx="1">
                  <c:v>168.814697265625</c:v>
                </c:pt>
                <c:pt idx="2">
                  <c:v>500.29840087890625</c:v>
                </c:pt>
                <c:pt idx="3">
                  <c:v>583.01416015625</c:v>
                </c:pt>
                <c:pt idx="4">
                  <c:v>604.4727783203125</c:v>
                </c:pt>
                <c:pt idx="5">
                  <c:v>613.05560302734375</c:v>
                </c:pt>
                <c:pt idx="6">
                  <c:v>620.7940673828125</c:v>
                </c:pt>
                <c:pt idx="7">
                  <c:v>625.63568115234375</c:v>
                </c:pt>
                <c:pt idx="8">
                  <c:v>629.85479736328125</c:v>
                </c:pt>
                <c:pt idx="9">
                  <c:v>633.6864013671875</c:v>
                </c:pt>
                <c:pt idx="10">
                  <c:v>637.10638427734375</c:v>
                </c:pt>
                <c:pt idx="11">
                  <c:v>640.113525390625</c:v>
                </c:pt>
                <c:pt idx="12">
                  <c:v>642.7437744140625</c:v>
                </c:pt>
                <c:pt idx="13">
                  <c:v>645.0491943359375</c:v>
                </c:pt>
              </c:numCache>
            </c:numRef>
          </c:yVal>
          <c:smooth val="1"/>
          <c:extLst>
            <c:ext xmlns:c16="http://schemas.microsoft.com/office/drawing/2014/chart" uri="{C3380CC4-5D6E-409C-BE32-E72D297353CC}">
              <c16:uniqueId val="{00000001-03E3-49C9-88A4-7533BB43F2D5}"/>
            </c:ext>
          </c:extLst>
        </c:ser>
        <c:dLbls>
          <c:showLegendKey val="0"/>
          <c:showVal val="0"/>
          <c:showCatName val="0"/>
          <c:showSerName val="0"/>
          <c:showPercent val="0"/>
          <c:showBubbleSize val="0"/>
        </c:dLbls>
        <c:axId val="3"/>
        <c:axId val="4"/>
      </c:scatterChart>
      <c:valAx>
        <c:axId val="1001634272"/>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001634272"/>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114.60710446552416</c:v>
                </c:pt>
                <c:pt idx="2">
                  <c:v>215</c:v>
                </c:pt>
                <c:pt idx="3">
                  <c:v>142.315792038182</c:v>
                </c:pt>
                <c:pt idx="4">
                  <c:v>112.00327542538528</c:v>
                </c:pt>
                <c:pt idx="5">
                  <c:v>100.00378216814427</c:v>
                </c:pt>
                <c:pt idx="6">
                  <c:v>92.830879605153271</c:v>
                </c:pt>
                <c:pt idx="7">
                  <c:v>90</c:v>
                </c:pt>
                <c:pt idx="8">
                  <c:v>90.02078476838183</c:v>
                </c:pt>
                <c:pt idx="9">
                  <c:v>90.028457593169023</c:v>
                </c:pt>
                <c:pt idx="10">
                  <c:v>90.037953766639248</c:v>
                </c:pt>
                <c:pt idx="11">
                  <c:v>90.05067329927688</c:v>
                </c:pt>
                <c:pt idx="12">
                  <c:v>90.068846679823821</c:v>
                </c:pt>
                <c:pt idx="13">
                  <c:v>90</c:v>
                </c:pt>
              </c:numCache>
            </c:numRef>
          </c:yVal>
          <c:smooth val="1"/>
          <c:extLst>
            <c:ext xmlns:c16="http://schemas.microsoft.com/office/drawing/2014/chart" uri="{C3380CC4-5D6E-409C-BE32-E72D297353CC}">
              <c16:uniqueId val="{00000000-0A99-46EC-9BAB-BAF8AFFA8199}"/>
            </c:ext>
          </c:extLst>
        </c:ser>
        <c:ser>
          <c:idx val="2"/>
          <c:order val="2"/>
          <c:spPr>
            <a:ln w="12700">
              <a:pattFill prst="pct75">
                <a:fgClr>
                  <a:srgbClr val="000000"/>
                </a:fgClr>
                <a:bgClr>
                  <a:srgbClr val="FFFFFF"/>
                </a:bgClr>
              </a:patt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DesignSheet!$A$100:$A$113</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0A99-46EC-9BAB-BAF8AFFA8199}"/>
            </c:ext>
          </c:extLst>
        </c:ser>
        <c:ser>
          <c:idx val="3"/>
          <c:order val="3"/>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DesignSheet!$B$100:$B$113</c:f>
              <c:numCache>
                <c:formatCode>0.0</c:formatCode>
                <c:ptCount val="14"/>
                <c:pt idx="0">
                  <c:v>0</c:v>
                </c:pt>
                <c:pt idx="1">
                  <c:v>73.348547107832005</c:v>
                </c:pt>
                <c:pt idx="2">
                  <c:v>137.60000410079959</c:v>
                </c:pt>
                <c:pt idx="3">
                  <c:v>91.082112089458406</c:v>
                </c:pt>
                <c:pt idx="4">
                  <c:v>71.682096862855417</c:v>
                </c:pt>
                <c:pt idx="5">
                  <c:v>64.00242378242082</c:v>
                </c:pt>
                <c:pt idx="6">
                  <c:v>59.411764465921017</c:v>
                </c:pt>
                <c:pt idx="7">
                  <c:v>57.600001716613782</c:v>
                </c:pt>
                <c:pt idx="8">
                  <c:v>57.613302498260175</c:v>
                </c:pt>
                <c:pt idx="9">
                  <c:v>57.618214607781567</c:v>
                </c:pt>
                <c:pt idx="10">
                  <c:v>57.62429370952524</c:v>
                </c:pt>
                <c:pt idx="11">
                  <c:v>57.632433358205319</c:v>
                </c:pt>
                <c:pt idx="12">
                  <c:v>57.644064217926946</c:v>
                </c:pt>
                <c:pt idx="13">
                  <c:v>57.600001716613782</c:v>
                </c:pt>
              </c:numCache>
            </c:numRef>
          </c:yVal>
          <c:smooth val="1"/>
          <c:extLst>
            <c:ext xmlns:c16="http://schemas.microsoft.com/office/drawing/2014/chart" uri="{C3380CC4-5D6E-409C-BE32-E72D297353CC}">
              <c16:uniqueId val="{00000002-0A99-46EC-9BAB-BAF8AFFA8199}"/>
            </c:ext>
          </c:extLst>
        </c:ser>
        <c:dLbls>
          <c:showLegendKey val="0"/>
          <c:showVal val="0"/>
          <c:showCatName val="0"/>
          <c:showSerName val="0"/>
          <c:showPercent val="0"/>
          <c:showBubbleSize val="0"/>
        </c:dLbls>
        <c:axId val="1086760656"/>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0.24071086943149567</c:v>
                </c:pt>
                <c:pt idx="1">
                  <c:v>161.61099243164063</c:v>
                </c:pt>
                <c:pt idx="2">
                  <c:v>479.38034057617188</c:v>
                </c:pt>
                <c:pt idx="3">
                  <c:v>559.437744140625</c:v>
                </c:pt>
                <c:pt idx="4">
                  <c:v>580.2640380859375</c:v>
                </c:pt>
                <c:pt idx="5">
                  <c:v>588.593505859375</c:v>
                </c:pt>
                <c:pt idx="6">
                  <c:v>596.08807373046875</c:v>
                </c:pt>
                <c:pt idx="7">
                  <c:v>600.76458740234375</c:v>
                </c:pt>
                <c:pt idx="8">
                  <c:v>604.8375244140625</c:v>
                </c:pt>
                <c:pt idx="9">
                  <c:v>608.53704833984375</c:v>
                </c:pt>
                <c:pt idx="10">
                  <c:v>611.83990478515625</c:v>
                </c:pt>
                <c:pt idx="11">
                  <c:v>614.7445068359375</c:v>
                </c:pt>
                <c:pt idx="12">
                  <c:v>617.28521728515625</c:v>
                </c:pt>
                <c:pt idx="13">
                  <c:v>619.51220703125</c:v>
                </c:pt>
              </c:numCache>
            </c:numRef>
          </c:yVal>
          <c:smooth val="1"/>
          <c:extLst>
            <c:ext xmlns:c16="http://schemas.microsoft.com/office/drawing/2014/chart" uri="{C3380CC4-5D6E-409C-BE32-E72D297353CC}">
              <c16:uniqueId val="{00000003-0A99-46EC-9BAB-BAF8AFFA8199}"/>
            </c:ext>
          </c:extLst>
        </c:ser>
        <c:ser>
          <c:idx val="4"/>
          <c:order val="4"/>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DesignSheet!$C$100:$C$113</c:f>
              <c:numCache>
                <c:formatCode>0.0</c:formatCode>
                <c:ptCount val="14"/>
                <c:pt idx="0">
                  <c:v>23.685949325561523</c:v>
                </c:pt>
                <c:pt idx="1">
                  <c:v>129.28880310058594</c:v>
                </c:pt>
                <c:pt idx="2">
                  <c:v>383.5042724609375</c:v>
                </c:pt>
                <c:pt idx="3">
                  <c:v>447.55020141601563</c:v>
                </c:pt>
                <c:pt idx="4">
                  <c:v>464.21124267578125</c:v>
                </c:pt>
                <c:pt idx="5">
                  <c:v>470.87481689453125</c:v>
                </c:pt>
                <c:pt idx="6">
                  <c:v>476.87045288085938</c:v>
                </c:pt>
                <c:pt idx="7">
                  <c:v>480.61166381835938</c:v>
                </c:pt>
                <c:pt idx="8">
                  <c:v>483.87002563476563</c:v>
                </c:pt>
                <c:pt idx="9">
                  <c:v>486.82965087890625</c:v>
                </c:pt>
                <c:pt idx="10">
                  <c:v>489.471923828125</c:v>
                </c:pt>
                <c:pt idx="11">
                  <c:v>491.79562377929688</c:v>
                </c:pt>
                <c:pt idx="12">
                  <c:v>493.82818603515625</c:v>
                </c:pt>
                <c:pt idx="13">
                  <c:v>495.60977172851563</c:v>
                </c:pt>
              </c:numCache>
            </c:numRef>
          </c:yVal>
          <c:smooth val="1"/>
          <c:extLst>
            <c:ext xmlns:c16="http://schemas.microsoft.com/office/drawing/2014/chart" uri="{C3380CC4-5D6E-409C-BE32-E72D297353CC}">
              <c16:uniqueId val="{00000004-0A99-46EC-9BAB-BAF8AFFA8199}"/>
            </c:ext>
          </c:extLst>
        </c:ser>
        <c:dLbls>
          <c:showLegendKey val="0"/>
          <c:showVal val="0"/>
          <c:showCatName val="0"/>
          <c:showSerName val="0"/>
          <c:showPercent val="0"/>
          <c:showBubbleSize val="0"/>
        </c:dLbls>
        <c:axId val="3"/>
        <c:axId val="4"/>
      </c:scatterChart>
      <c:valAx>
        <c:axId val="108676065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086760656"/>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 / 0.80)</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114.60710446552416</c:v>
                </c:pt>
                <c:pt idx="2">
                  <c:v>215</c:v>
                </c:pt>
                <c:pt idx="3">
                  <c:v>142.315792038182</c:v>
                </c:pt>
                <c:pt idx="4">
                  <c:v>112.00327542538528</c:v>
                </c:pt>
                <c:pt idx="5">
                  <c:v>100.00378216814427</c:v>
                </c:pt>
                <c:pt idx="6">
                  <c:v>92.830879605153271</c:v>
                </c:pt>
                <c:pt idx="7">
                  <c:v>90</c:v>
                </c:pt>
                <c:pt idx="8">
                  <c:v>90.02078476838183</c:v>
                </c:pt>
                <c:pt idx="9">
                  <c:v>90.028457593169023</c:v>
                </c:pt>
                <c:pt idx="10">
                  <c:v>90.037953766639248</c:v>
                </c:pt>
                <c:pt idx="11">
                  <c:v>90.05067329927688</c:v>
                </c:pt>
                <c:pt idx="12">
                  <c:v>90.068846679823821</c:v>
                </c:pt>
                <c:pt idx="13">
                  <c:v>90</c:v>
                </c:pt>
              </c:numCache>
            </c:numRef>
          </c:yVal>
          <c:smooth val="1"/>
          <c:extLst>
            <c:ext xmlns:c16="http://schemas.microsoft.com/office/drawing/2014/chart" uri="{C3380CC4-5D6E-409C-BE32-E72D297353CC}">
              <c16:uniqueId val="{00000000-0C70-4178-ADA5-1DC4578DC7AC}"/>
            </c:ext>
          </c:extLst>
        </c:ser>
        <c:dLbls>
          <c:showLegendKey val="0"/>
          <c:showVal val="0"/>
          <c:showCatName val="0"/>
          <c:showSerName val="0"/>
          <c:showPercent val="0"/>
          <c:showBubbleSize val="0"/>
        </c:dLbls>
        <c:axId val="1077132032"/>
        <c:axId val="1"/>
      </c:scatterChar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0C70-4178-ADA5-1DC4578DC7AC}"/>
            </c:ext>
          </c:extLst>
        </c:ser>
        <c:ser>
          <c:idx val="3"/>
          <c:order val="3"/>
          <c:spPr>
            <a:ln w="25400">
              <a:solidFill>
                <a:srgbClr val="000000"/>
              </a:solidFill>
              <a:prstDash val="solid"/>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STCurve!$E$54:$E$67</c:f>
              <c:numCache>
                <c:formatCode>0.0</c:formatCode>
                <c:ptCount val="14"/>
                <c:pt idx="0">
                  <c:v>0</c:v>
                </c:pt>
                <c:pt idx="1">
                  <c:v>73.348547107832005</c:v>
                </c:pt>
                <c:pt idx="2">
                  <c:v>137.60000410079959</c:v>
                </c:pt>
                <c:pt idx="3">
                  <c:v>91.082112089458406</c:v>
                </c:pt>
                <c:pt idx="4">
                  <c:v>71.682096862855417</c:v>
                </c:pt>
                <c:pt idx="5">
                  <c:v>64.00242378242082</c:v>
                </c:pt>
                <c:pt idx="6">
                  <c:v>59.411764465921017</c:v>
                </c:pt>
                <c:pt idx="7">
                  <c:v>57.600001716613782</c:v>
                </c:pt>
                <c:pt idx="8">
                  <c:v>57.613302498260175</c:v>
                </c:pt>
                <c:pt idx="9">
                  <c:v>57.618214607781567</c:v>
                </c:pt>
                <c:pt idx="10">
                  <c:v>57.62429370952524</c:v>
                </c:pt>
                <c:pt idx="11">
                  <c:v>57.632433358205319</c:v>
                </c:pt>
                <c:pt idx="12">
                  <c:v>57.644064217926946</c:v>
                </c:pt>
                <c:pt idx="13">
                  <c:v>57.600001716613782</c:v>
                </c:pt>
              </c:numCache>
            </c:numRef>
          </c:yVal>
          <c:smooth val="1"/>
          <c:extLst>
            <c:ext xmlns:c16="http://schemas.microsoft.com/office/drawing/2014/chart" uri="{C3380CC4-5D6E-409C-BE32-E72D297353CC}">
              <c16:uniqueId val="{00000002-0C70-4178-ADA5-1DC4578DC7AC}"/>
            </c:ext>
          </c:extLst>
        </c:ser>
        <c:dLbls>
          <c:showLegendKey val="0"/>
          <c:showVal val="0"/>
          <c:showCatName val="0"/>
          <c:showSerName val="0"/>
          <c:showPercent val="0"/>
          <c:showBubbleSize val="0"/>
        </c:dLbls>
        <c:axId val="1077132032"/>
        <c:axId val="1"/>
      </c:scatterChart>
      <c:scatterChart>
        <c:scatterStyle val="lineMarker"/>
        <c:varyColors val="0"/>
        <c:ser>
          <c:idx val="1"/>
          <c:order val="1"/>
          <c:tx>
            <c:v>Current (FV / 0.80)</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0.24071086943149567</c:v>
                </c:pt>
                <c:pt idx="1">
                  <c:v>161.61099243164063</c:v>
                </c:pt>
                <c:pt idx="2">
                  <c:v>479.38034057617188</c:v>
                </c:pt>
                <c:pt idx="3">
                  <c:v>559.437744140625</c:v>
                </c:pt>
                <c:pt idx="4">
                  <c:v>580.2640380859375</c:v>
                </c:pt>
                <c:pt idx="5">
                  <c:v>588.593505859375</c:v>
                </c:pt>
                <c:pt idx="6">
                  <c:v>596.08807373046875</c:v>
                </c:pt>
                <c:pt idx="7">
                  <c:v>600.76458740234375</c:v>
                </c:pt>
                <c:pt idx="8">
                  <c:v>604.8375244140625</c:v>
                </c:pt>
                <c:pt idx="9">
                  <c:v>608.53704833984375</c:v>
                </c:pt>
                <c:pt idx="10">
                  <c:v>611.83990478515625</c:v>
                </c:pt>
                <c:pt idx="11">
                  <c:v>614.7445068359375</c:v>
                </c:pt>
                <c:pt idx="12">
                  <c:v>617.28521728515625</c:v>
                </c:pt>
                <c:pt idx="13">
                  <c:v>619.51220703125</c:v>
                </c:pt>
              </c:numCache>
            </c:numRef>
          </c:yVal>
          <c:smooth val="1"/>
          <c:extLst>
            <c:ext xmlns:c16="http://schemas.microsoft.com/office/drawing/2014/chart" uri="{C3380CC4-5D6E-409C-BE32-E72D297353CC}">
              <c16:uniqueId val="{00000003-0C70-4178-ADA5-1DC4578DC7AC}"/>
            </c:ext>
          </c:extLst>
        </c:ser>
        <c:ser>
          <c:idx val="4"/>
          <c:order val="4"/>
          <c:spPr>
            <a:ln w="25400">
              <a:solidFill>
                <a:srgbClr val="000000"/>
              </a:solidFill>
              <a:prstDash val="lg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STCurve!$F$54:$F$67</c:f>
              <c:numCache>
                <c:formatCode>0.0</c:formatCode>
                <c:ptCount val="14"/>
                <c:pt idx="0">
                  <c:v>23.685949325561523</c:v>
                </c:pt>
                <c:pt idx="1">
                  <c:v>129.28880310058594</c:v>
                </c:pt>
                <c:pt idx="2">
                  <c:v>383.5042724609375</c:v>
                </c:pt>
                <c:pt idx="3">
                  <c:v>447.55020141601563</c:v>
                </c:pt>
                <c:pt idx="4">
                  <c:v>464.21124267578125</c:v>
                </c:pt>
                <c:pt idx="5">
                  <c:v>470.87481689453125</c:v>
                </c:pt>
                <c:pt idx="6">
                  <c:v>476.87045288085938</c:v>
                </c:pt>
                <c:pt idx="7">
                  <c:v>480.61166381835938</c:v>
                </c:pt>
                <c:pt idx="8">
                  <c:v>483.87002563476563</c:v>
                </c:pt>
                <c:pt idx="9">
                  <c:v>486.82965087890625</c:v>
                </c:pt>
                <c:pt idx="10">
                  <c:v>489.471923828125</c:v>
                </c:pt>
                <c:pt idx="11">
                  <c:v>491.79562377929688</c:v>
                </c:pt>
                <c:pt idx="12">
                  <c:v>493.82818603515625</c:v>
                </c:pt>
                <c:pt idx="13">
                  <c:v>495.60977172851563</c:v>
                </c:pt>
              </c:numCache>
            </c:numRef>
          </c:yVal>
          <c:smooth val="1"/>
          <c:extLst>
            <c:ext xmlns:c16="http://schemas.microsoft.com/office/drawing/2014/chart" uri="{C3380CC4-5D6E-409C-BE32-E72D297353CC}">
              <c16:uniqueId val="{00000004-0C70-4178-ADA5-1DC4578DC7AC}"/>
            </c:ext>
          </c:extLst>
        </c:ser>
        <c:dLbls>
          <c:showLegendKey val="0"/>
          <c:showVal val="0"/>
          <c:showCatName val="0"/>
          <c:showSerName val="0"/>
          <c:showPercent val="0"/>
          <c:showBubbleSize val="0"/>
        </c:dLbls>
        <c:axId val="3"/>
        <c:axId val="4"/>
      </c:scatterChart>
      <c:valAx>
        <c:axId val="1077132032"/>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077132032"/>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egendEntry>
        <c:idx val="2"/>
        <c:delete val="1"/>
      </c:legendEntry>
      <c:legendEntry>
        <c:idx val="4"/>
        <c:delete val="1"/>
      </c:legendEntry>
      <c:layout>
        <c:manualLayout>
          <c:xMode val="edge"/>
          <c:yMode val="edge"/>
          <c:x val="0.34386020168531561"/>
          <c:y val="0.94296657784697058"/>
          <c:w val="0.24147497352304645"/>
          <c:h val="5.7033422153029353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619.51219512195121</c:v>
                </c:pt>
                <c:pt idx="1">
                  <c:v>600</c:v>
                </c:pt>
                <c:pt idx="2">
                  <c:v>500</c:v>
                </c:pt>
                <c:pt idx="3">
                  <c:v>400</c:v>
                </c:pt>
              </c:numCache>
            </c:numRef>
          </c:xVal>
          <c:yVal>
            <c:numRef>
              <c:f>Thermdam!$B$68:$B$71</c:f>
              <c:numCache>
                <c:formatCode>0.00</c:formatCode>
                <c:ptCount val="4"/>
                <c:pt idx="0">
                  <c:v>30</c:v>
                </c:pt>
                <c:pt idx="1">
                  <c:v>31.982946658734875</c:v>
                </c:pt>
                <c:pt idx="2">
                  <c:v>46.055443188578224</c:v>
                </c:pt>
                <c:pt idx="3">
                  <c:v>71.961629982153482</c:v>
                </c:pt>
              </c:numCache>
            </c:numRef>
          </c:yVal>
          <c:smooth val="1"/>
          <c:extLst>
            <c:ext xmlns:c16="http://schemas.microsoft.com/office/drawing/2014/chart" uri="{C3380CC4-5D6E-409C-BE32-E72D297353CC}">
              <c16:uniqueId val="{00000000-6414-4B42-9CFC-82B902D4340E}"/>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619.51219512195121</c:v>
                </c:pt>
                <c:pt idx="1">
                  <c:v>600</c:v>
                </c:pt>
                <c:pt idx="2">
                  <c:v>500</c:v>
                </c:pt>
                <c:pt idx="3">
                  <c:v>400</c:v>
                </c:pt>
              </c:numCache>
            </c:numRef>
          </c:xVal>
          <c:yVal>
            <c:numRef>
              <c:f>Thermdam!$C$68:$C$71</c:f>
              <c:numCache>
                <c:formatCode>0.00</c:formatCode>
                <c:ptCount val="4"/>
                <c:pt idx="0">
                  <c:v>15</c:v>
                </c:pt>
                <c:pt idx="1">
                  <c:v>15.991473329367437</c:v>
                </c:pt>
                <c:pt idx="2">
                  <c:v>23.027721594289112</c:v>
                </c:pt>
                <c:pt idx="3">
                  <c:v>35.980814991076741</c:v>
                </c:pt>
              </c:numCache>
            </c:numRef>
          </c:yVal>
          <c:smooth val="1"/>
          <c:extLst>
            <c:ext xmlns:c16="http://schemas.microsoft.com/office/drawing/2014/chart" uri="{C3380CC4-5D6E-409C-BE32-E72D297353CC}">
              <c16:uniqueId val="{00000001-6414-4B42-9CFC-82B902D4340E}"/>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215</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124.5414905045382</c:v>
                </c:pt>
                <c:pt idx="3">
                  <c:v>177.68303699297155</c:v>
                </c:pt>
                <c:pt idx="4">
                  <c:v>273.81357424838421</c:v>
                </c:pt>
                <c:pt idx="5" formatCode="0">
                  <c:v>600</c:v>
                </c:pt>
                <c:pt idx="6" formatCode="0">
                  <c:v>1200</c:v>
                </c:pt>
                <c:pt idx="7" formatCode="General">
                  <c:v>10000</c:v>
                </c:pt>
              </c:numCache>
            </c:numRef>
          </c:yVal>
          <c:smooth val="1"/>
          <c:extLst>
            <c:ext xmlns:c16="http://schemas.microsoft.com/office/drawing/2014/chart" uri="{C3380CC4-5D6E-409C-BE32-E72D297353CC}">
              <c16:uniqueId val="{00000002-6414-4B42-9CFC-82B902D4340E}"/>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619.51219512195121</c:v>
                </c:pt>
                <c:pt idx="1">
                  <c:v>618.3739837398374</c:v>
                </c:pt>
                <c:pt idx="2">
                  <c:v>616.01626016260161</c:v>
                </c:pt>
                <c:pt idx="3">
                  <c:v>613.2520325203252</c:v>
                </c:pt>
                <c:pt idx="4">
                  <c:v>610.16260162601623</c:v>
                </c:pt>
                <c:pt idx="5">
                  <c:v>606.66666666666663</c:v>
                </c:pt>
                <c:pt idx="6">
                  <c:v>602.76422764227641</c:v>
                </c:pt>
                <c:pt idx="7">
                  <c:v>598.45528455284557</c:v>
                </c:pt>
                <c:pt idx="8">
                  <c:v>592.35772357723579</c:v>
                </c:pt>
                <c:pt idx="9">
                  <c:v>584.39024390243901</c:v>
                </c:pt>
                <c:pt idx="10">
                  <c:v>569.83739837398377</c:v>
                </c:pt>
                <c:pt idx="11">
                  <c:v>519.43089430894304</c:v>
                </c:pt>
                <c:pt idx="12">
                  <c:v>320.48780487804879</c:v>
                </c:pt>
                <c:pt idx="13">
                  <c:v>120</c:v>
                </c:pt>
              </c:numCache>
            </c:numRef>
          </c:xVal>
          <c:yVal>
            <c:numRef>
              <c:f>Thermdam!$F$68:$F$81</c:f>
              <c:numCache>
                <c:formatCode>0.0</c:formatCode>
                <c:ptCount val="14"/>
                <c:pt idx="0">
                  <c:v>1E-4</c:v>
                </c:pt>
                <c:pt idx="1">
                  <c:v>0.50548253983807567</c:v>
                </c:pt>
                <c:pt idx="2">
                  <c:v>0.93875329705470811</c:v>
                </c:pt>
                <c:pt idx="3">
                  <c:v>1.3493288435343505</c:v>
                </c:pt>
                <c:pt idx="4">
                  <c:v>1.7599044515019657</c:v>
                </c:pt>
                <c:pt idx="5">
                  <c:v>2.1911121027693752</c:v>
                </c:pt>
                <c:pt idx="6">
                  <c:v>2.6646152398910523</c:v>
                </c:pt>
                <c:pt idx="7">
                  <c:v>3.2154879552512172</c:v>
                </c:pt>
                <c:pt idx="8">
                  <c:v>3.8643624151256089</c:v>
                </c:pt>
                <c:pt idx="9">
                  <c:v>4.2233579763317115</c:v>
                </c:pt>
                <c:pt idx="10">
                  <c:v>4.5276791700363166</c:v>
                </c:pt>
                <c:pt idx="11">
                  <c:v>4.7113034084897043</c:v>
                </c:pt>
                <c:pt idx="12">
                  <c:v>4.8660430568704607</c:v>
                </c:pt>
                <c:pt idx="13">
                  <c:v>4.9805503868341452</c:v>
                </c:pt>
              </c:numCache>
            </c:numRef>
          </c:yVal>
          <c:smooth val="1"/>
          <c:extLst>
            <c:ext xmlns:c16="http://schemas.microsoft.com/office/drawing/2014/chart" uri="{C3380CC4-5D6E-409C-BE32-E72D297353CC}">
              <c16:uniqueId val="{00000003-6414-4B42-9CFC-82B902D4340E}"/>
            </c:ext>
          </c:extLst>
        </c:ser>
        <c:dLbls>
          <c:showLegendKey val="0"/>
          <c:showVal val="0"/>
          <c:showCatName val="0"/>
          <c:showSerName val="0"/>
          <c:showPercent val="0"/>
          <c:showBubbleSize val="0"/>
        </c:dLbls>
        <c:axId val="1086757056"/>
        <c:axId val="1"/>
      </c:scatterChart>
      <c:valAx>
        <c:axId val="108675705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08675705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87.793777465820313</c:v>
                </c:pt>
                <c:pt idx="2">
                  <c:v>92.974388122558594</c:v>
                </c:pt>
                <c:pt idx="3">
                  <c:v>94.641098022460938</c:v>
                </c:pt>
                <c:pt idx="4">
                  <c:v>95.338386535644531</c:v>
                </c:pt>
                <c:pt idx="5">
                  <c:v>95.631561279296875</c:v>
                </c:pt>
              </c:numCache>
            </c:numRef>
          </c:yVal>
          <c:smooth val="1"/>
          <c:extLst>
            <c:ext xmlns:c16="http://schemas.microsoft.com/office/drawing/2014/chart" uri="{C3380CC4-5D6E-409C-BE32-E72D297353CC}">
              <c16:uniqueId val="{00000000-84A3-4A24-A269-8D780036A514}"/>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68.451652526855469</c:v>
                </c:pt>
                <c:pt idx="1">
                  <c:v>85.228569030761719</c:v>
                </c:pt>
                <c:pt idx="2">
                  <c:v>90.157829284667969</c:v>
                </c:pt>
                <c:pt idx="3">
                  <c:v>91.835693359375</c:v>
                </c:pt>
                <c:pt idx="4">
                  <c:v>92.3172607421875</c:v>
                </c:pt>
              </c:numCache>
            </c:numRef>
          </c:yVal>
          <c:smooth val="1"/>
          <c:extLst>
            <c:ext xmlns:c16="http://schemas.microsoft.com/office/drawing/2014/chart" uri="{C3380CC4-5D6E-409C-BE32-E72D297353CC}">
              <c16:uniqueId val="{00000001-84A3-4A24-A269-8D780036A514}"/>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79.827753975200949</c:v>
                </c:pt>
                <c:pt idx="2">
                  <c:v>64.404779649374547</c:v>
                </c:pt>
                <c:pt idx="3">
                  <c:v>48.720072324907512</c:v>
                </c:pt>
                <c:pt idx="4">
                  <c:v>33.003735601292014</c:v>
                </c:pt>
                <c:pt idx="5">
                  <c:v>16.833001388179024</c:v>
                </c:pt>
              </c:numCache>
            </c:numRef>
          </c:yVal>
          <c:smooth val="1"/>
          <c:extLst>
            <c:ext xmlns:c16="http://schemas.microsoft.com/office/drawing/2014/chart" uri="{C3380CC4-5D6E-409C-BE32-E72D297353CC}">
              <c16:uniqueId val="{00000002-84A3-4A24-A269-8D780036A514}"/>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1.0825200000000001</c:v>
                </c:pt>
                <c:pt idx="1">
                  <c:v>10.623272444945227</c:v>
                </c:pt>
                <c:pt idx="2">
                  <c:v>20.062669514601609</c:v>
                </c:pt>
                <c:pt idx="3">
                  <c:v>29.564025703862367</c:v>
                </c:pt>
                <c:pt idx="4">
                  <c:v>39.130397697807823</c:v>
                </c:pt>
                <c:pt idx="5">
                  <c:v>48.763044647433929</c:v>
                </c:pt>
              </c:numCache>
            </c:numRef>
          </c:yVal>
          <c:smooth val="1"/>
          <c:extLst>
            <c:ext xmlns:c16="http://schemas.microsoft.com/office/drawing/2014/chart" uri="{C3380CC4-5D6E-409C-BE32-E72D297353CC}">
              <c16:uniqueId val="{00000003-84A3-4A24-A269-8D780036A514}"/>
            </c:ext>
          </c:extLst>
        </c:ser>
        <c:dLbls>
          <c:showLegendKey val="0"/>
          <c:showVal val="0"/>
          <c:showCatName val="0"/>
          <c:showSerName val="0"/>
          <c:showPercent val="0"/>
          <c:showBubbleSize val="0"/>
        </c:dLbls>
        <c:axId val="1243307112"/>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29.870944029110401</c:v>
                </c:pt>
                <c:pt idx="1">
                  <c:v>44.801906585693359</c:v>
                </c:pt>
                <c:pt idx="2">
                  <c:v>67.955657958984375</c:v>
                </c:pt>
                <c:pt idx="3">
                  <c:v>94.663429260253906</c:v>
                </c:pt>
                <c:pt idx="4">
                  <c:v>123.00559234619141</c:v>
                </c:pt>
                <c:pt idx="5">
                  <c:v>152.48600769042969</c:v>
                </c:pt>
              </c:numCache>
            </c:numRef>
          </c:yVal>
          <c:smooth val="1"/>
          <c:extLst>
            <c:ext xmlns:c16="http://schemas.microsoft.com/office/drawing/2014/chart" uri="{C3380CC4-5D6E-409C-BE32-E72D297353CC}">
              <c16:uniqueId val="{00000004-84A3-4A24-A269-8D780036A514}"/>
            </c:ext>
          </c:extLst>
        </c:ser>
        <c:dLbls>
          <c:showLegendKey val="0"/>
          <c:showVal val="0"/>
          <c:showCatName val="0"/>
          <c:showSerName val="0"/>
          <c:showPercent val="0"/>
          <c:showBubbleSize val="0"/>
        </c:dLbls>
        <c:axId val="3"/>
        <c:axId val="4"/>
      </c:scatterChart>
      <c:valAx>
        <c:axId val="1243307112"/>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243307112"/>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32344D36-E250-4149-99BD-8E7E017C7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C0D2F2A7-6EC4-4558-A2BA-D71108643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B05FF63C-F954-4EDB-B4D8-C9FFE40016E0}"/>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776625A4-4D30-41A8-8B77-92117C63ACE6}"/>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01C53F48-6C50-4E53-BEE3-7BFAB99BA376}"/>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2C315DF7-DEEC-474C-84EE-F9A694A44921}"/>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83794B0F-E18B-4F37-99C0-D7C7FA2A0818}"/>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114300</xdr:colOff>
      <xdr:row>42</xdr:row>
      <xdr:rowOff>141817</xdr:rowOff>
    </xdr:from>
    <xdr:to>
      <xdr:col>3</xdr:col>
      <xdr:colOff>411594</xdr:colOff>
      <xdr:row>43</xdr:row>
      <xdr:rowOff>37042</xdr:rowOff>
    </xdr:to>
    <xdr:sp macro="" textlink="">
      <xdr:nvSpPr>
        <xdr:cNvPr id="7" name="Radius">
          <a:extLst>
            <a:ext uri="{FF2B5EF4-FFF2-40B4-BE49-F238E27FC236}">
              <a16:creationId xmlns:a16="http://schemas.microsoft.com/office/drawing/2014/main" id="{BCFBFC6F-A948-422F-B930-6B706ECDB816}"/>
            </a:ext>
          </a:extLst>
        </xdr:cNvPr>
        <xdr:cNvSpPr txBox="1">
          <a:spLocks noChangeArrowheads="1"/>
        </xdr:cNvSpPr>
      </xdr:nvSpPr>
      <xdr:spPr bwMode="auto">
        <a:xfrm>
          <a:off x="1809750" y="9809692"/>
          <a:ext cx="297294"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281.0</a:t>
          </a:r>
        </a:p>
      </xdr:txBody>
    </xdr:sp>
    <xdr:clientData/>
  </xdr:twoCellAnchor>
  <xdr:twoCellAnchor>
    <xdr:from>
      <xdr:col>3</xdr:col>
      <xdr:colOff>260289</xdr:colOff>
      <xdr:row>40</xdr:row>
      <xdr:rowOff>145294</xdr:rowOff>
    </xdr:from>
    <xdr:to>
      <xdr:col>3</xdr:col>
      <xdr:colOff>547399</xdr:colOff>
      <xdr:row>41</xdr:row>
      <xdr:rowOff>9222</xdr:rowOff>
    </xdr:to>
    <xdr:sp macro="" textlink="">
      <xdr:nvSpPr>
        <xdr:cNvPr id="8" name="Height">
          <a:extLst>
            <a:ext uri="{FF2B5EF4-FFF2-40B4-BE49-F238E27FC236}">
              <a16:creationId xmlns:a16="http://schemas.microsoft.com/office/drawing/2014/main" id="{65F1AA66-8E96-4BF0-9055-FD2078F3CA7E}"/>
            </a:ext>
          </a:extLst>
        </xdr:cNvPr>
        <xdr:cNvSpPr txBox="1">
          <a:spLocks noChangeArrowheads="1"/>
        </xdr:cNvSpPr>
      </xdr:nvSpPr>
      <xdr:spPr bwMode="auto">
        <a:xfrm>
          <a:off x="1955739" y="9355969"/>
          <a:ext cx="287110" cy="9252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25.0</a:t>
          </a:r>
        </a:p>
      </xdr:txBody>
    </xdr:sp>
    <xdr:clientData/>
  </xdr:twoCellAnchor>
  <xdr:twoCellAnchor>
    <xdr:from>
      <xdr:col>2</xdr:col>
      <xdr:colOff>28575</xdr:colOff>
      <xdr:row>41</xdr:row>
      <xdr:rowOff>104775</xdr:rowOff>
    </xdr:from>
    <xdr:to>
      <xdr:col>2</xdr:col>
      <xdr:colOff>278186</xdr:colOff>
      <xdr:row>41</xdr:row>
      <xdr:rowOff>219075</xdr:rowOff>
    </xdr:to>
    <xdr:sp macro="" textlink="">
      <xdr:nvSpPr>
        <xdr:cNvPr id="9" name="Clear">
          <a:extLst>
            <a:ext uri="{FF2B5EF4-FFF2-40B4-BE49-F238E27FC236}">
              <a16:creationId xmlns:a16="http://schemas.microsoft.com/office/drawing/2014/main" id="{3908F81A-3ABF-43A1-B1FB-728D4F97C099}"/>
            </a:ext>
          </a:extLst>
        </xdr:cNvPr>
        <xdr:cNvSpPr txBox="1">
          <a:spLocks noChangeArrowheads="1"/>
        </xdr:cNvSpPr>
      </xdr:nvSpPr>
      <xdr:spPr bwMode="auto">
        <a:xfrm>
          <a:off x="1228725" y="9544050"/>
          <a:ext cx="249611"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50.0</a:t>
          </a:r>
        </a:p>
      </xdr:txBody>
    </xdr:sp>
    <xdr:clientData/>
  </xdr:twoCellAnchor>
  <xdr:twoCellAnchor>
    <xdr:from>
      <xdr:col>2</xdr:col>
      <xdr:colOff>361133</xdr:colOff>
      <xdr:row>42</xdr:row>
      <xdr:rowOff>51557</xdr:rowOff>
    </xdr:from>
    <xdr:to>
      <xdr:col>3</xdr:col>
      <xdr:colOff>74686</xdr:colOff>
      <xdr:row>42</xdr:row>
      <xdr:rowOff>156332</xdr:rowOff>
    </xdr:to>
    <xdr:sp macro="" textlink="">
      <xdr:nvSpPr>
        <xdr:cNvPr id="10" name="Thickness">
          <a:extLst>
            <a:ext uri="{FF2B5EF4-FFF2-40B4-BE49-F238E27FC236}">
              <a16:creationId xmlns:a16="http://schemas.microsoft.com/office/drawing/2014/main" id="{50D1E52E-9CF1-47A7-A9E2-29AB3BDF6F68}"/>
            </a:ext>
          </a:extLst>
        </xdr:cNvPr>
        <xdr:cNvSpPr txBox="1">
          <a:spLocks noChangeArrowheads="1"/>
        </xdr:cNvSpPr>
      </xdr:nvSpPr>
      <xdr:spPr bwMode="auto">
        <a:xfrm>
          <a:off x="1561283" y="9719432"/>
          <a:ext cx="20885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70.0</a:t>
          </a:r>
        </a:p>
      </xdr:txBody>
    </xdr:sp>
    <xdr:clientData/>
  </xdr:twoCellAnchor>
  <xdr:twoCellAnchor>
    <xdr:from>
      <xdr:col>3</xdr:col>
      <xdr:colOff>200025</xdr:colOff>
      <xdr:row>35</xdr:row>
      <xdr:rowOff>123825</xdr:rowOff>
    </xdr:from>
    <xdr:to>
      <xdr:col>3</xdr:col>
      <xdr:colOff>506791</xdr:colOff>
      <xdr:row>36</xdr:row>
      <xdr:rowOff>28575</xdr:rowOff>
    </xdr:to>
    <xdr:sp macro="" textlink="">
      <xdr:nvSpPr>
        <xdr:cNvPr id="11" name="Depth2">
          <a:extLst>
            <a:ext uri="{FF2B5EF4-FFF2-40B4-BE49-F238E27FC236}">
              <a16:creationId xmlns:a16="http://schemas.microsoft.com/office/drawing/2014/main" id="{94072238-6870-4B57-9640-A3D2E2EAA4BC}"/>
            </a:ext>
          </a:extLst>
        </xdr:cNvPr>
        <xdr:cNvSpPr txBox="1">
          <a:spLocks noChangeArrowheads="1"/>
        </xdr:cNvSpPr>
      </xdr:nvSpPr>
      <xdr:spPr bwMode="auto">
        <a:xfrm>
          <a:off x="1895475" y="8191500"/>
          <a:ext cx="306766"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36.41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12" name="Tip2">
          <a:extLst>
            <a:ext uri="{FF2B5EF4-FFF2-40B4-BE49-F238E27FC236}">
              <a16:creationId xmlns:a16="http://schemas.microsoft.com/office/drawing/2014/main" id="{8DEE53DB-3159-4FFE-A9D5-D6AA83B32FED}"/>
            </a:ext>
          </a:extLst>
        </xdr:cNvPr>
        <xdr:cNvSpPr txBox="1">
          <a:spLocks noChangeArrowheads="1"/>
        </xdr:cNvSpPr>
      </xdr:nvSpPr>
      <xdr:spPr bwMode="auto">
        <a:xfrm>
          <a:off x="981075" y="7791450"/>
          <a:ext cx="2286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487829</xdr:colOff>
      <xdr:row>33</xdr:row>
      <xdr:rowOff>180975</xdr:rowOff>
    </xdr:to>
    <xdr:sp macro="" textlink="">
      <xdr:nvSpPr>
        <xdr:cNvPr id="13" name="Opening">
          <a:extLst>
            <a:ext uri="{FF2B5EF4-FFF2-40B4-BE49-F238E27FC236}">
              <a16:creationId xmlns:a16="http://schemas.microsoft.com/office/drawing/2014/main" id="{3C8F8AAE-F572-480B-8553-8DD47D2DF049}"/>
            </a:ext>
          </a:extLst>
        </xdr:cNvPr>
        <xdr:cNvSpPr txBox="1">
          <a:spLocks noChangeArrowheads="1"/>
        </xdr:cNvSpPr>
      </xdr:nvSpPr>
      <xdr:spPr bwMode="auto">
        <a:xfrm>
          <a:off x="1362075" y="7648575"/>
          <a:ext cx="325904" cy="1428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144780</xdr:colOff>
      <xdr:row>36</xdr:row>
      <xdr:rowOff>190500</xdr:rowOff>
    </xdr:from>
    <xdr:to>
      <xdr:col>3</xdr:col>
      <xdr:colOff>91</xdr:colOff>
      <xdr:row>37</xdr:row>
      <xdr:rowOff>66675</xdr:rowOff>
    </xdr:to>
    <xdr:sp macro="" textlink="">
      <xdr:nvSpPr>
        <xdr:cNvPr id="14" name="Width3">
          <a:extLst>
            <a:ext uri="{FF2B5EF4-FFF2-40B4-BE49-F238E27FC236}">
              <a16:creationId xmlns:a16="http://schemas.microsoft.com/office/drawing/2014/main" id="{EB70AEC8-FBFC-4233-9077-2D918CFD5C36}"/>
            </a:ext>
          </a:extLst>
        </xdr:cNvPr>
        <xdr:cNvSpPr txBox="1">
          <a:spLocks noChangeArrowheads="1"/>
        </xdr:cNvSpPr>
      </xdr:nvSpPr>
      <xdr:spPr bwMode="auto">
        <a:xfrm>
          <a:off x="1344930" y="8486775"/>
          <a:ext cx="350611"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487829</xdr:colOff>
      <xdr:row>35</xdr:row>
      <xdr:rowOff>66675</xdr:rowOff>
    </xdr:to>
    <xdr:sp macro="" textlink="">
      <xdr:nvSpPr>
        <xdr:cNvPr id="15" name="Width2">
          <a:extLst>
            <a:ext uri="{FF2B5EF4-FFF2-40B4-BE49-F238E27FC236}">
              <a16:creationId xmlns:a16="http://schemas.microsoft.com/office/drawing/2014/main" id="{266B133E-ADAA-4F2E-BAD5-0C22557E283C}"/>
            </a:ext>
          </a:extLst>
        </xdr:cNvPr>
        <xdr:cNvSpPr txBox="1">
          <a:spLocks noChangeArrowheads="1"/>
        </xdr:cNvSpPr>
      </xdr:nvSpPr>
      <xdr:spPr bwMode="auto">
        <a:xfrm>
          <a:off x="1362075" y="8001000"/>
          <a:ext cx="325904"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16" name="Group 190">
          <a:extLst>
            <a:ext uri="{FF2B5EF4-FFF2-40B4-BE49-F238E27FC236}">
              <a16:creationId xmlns:a16="http://schemas.microsoft.com/office/drawing/2014/main" id="{CCFA37DD-D806-479A-A243-BF16A2EA01E0}"/>
            </a:ext>
          </a:extLst>
        </xdr:cNvPr>
        <xdr:cNvGrpSpPr>
          <a:grpSpLocks/>
        </xdr:cNvGrpSpPr>
      </xdr:nvGrpSpPr>
      <xdr:grpSpPr bwMode="auto">
        <a:xfrm>
          <a:off x="1181100" y="7781925"/>
          <a:ext cx="866775" cy="952500"/>
          <a:chOff x="120" y="793"/>
          <a:chExt cx="91" cy="100"/>
        </a:xfrm>
      </xdr:grpSpPr>
      <xdr:sp macro="" textlink="">
        <xdr:nvSpPr>
          <xdr:cNvPr id="17" name="Line 100">
            <a:extLst>
              <a:ext uri="{FF2B5EF4-FFF2-40B4-BE49-F238E27FC236}">
                <a16:creationId xmlns:a16="http://schemas.microsoft.com/office/drawing/2014/main" id="{ECB8CB50-AC7F-02A1-261F-DE0D36F65BEA}"/>
              </a:ext>
            </a:extLst>
          </xdr:cNvPr>
          <xdr:cNvSpPr>
            <a:spLocks noChangeShapeType="1"/>
          </xdr:cNvSpPr>
        </xdr:nvSpPr>
        <xdr:spPr bwMode="auto">
          <a:xfrm>
            <a:off x="139" y="813"/>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49">
            <a:extLst>
              <a:ext uri="{FF2B5EF4-FFF2-40B4-BE49-F238E27FC236}">
                <a16:creationId xmlns:a16="http://schemas.microsoft.com/office/drawing/2014/main" id="{442241DD-A508-8DCA-92CD-5C75F985DBF2}"/>
              </a:ext>
            </a:extLst>
          </xdr:cNvPr>
          <xdr:cNvSpPr>
            <a:spLocks noChangeShapeType="1"/>
          </xdr:cNvSpPr>
        </xdr:nvSpPr>
        <xdr:spPr bwMode="auto">
          <a:xfrm>
            <a:off x="128"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50">
            <a:extLst>
              <a:ext uri="{FF2B5EF4-FFF2-40B4-BE49-F238E27FC236}">
                <a16:creationId xmlns:a16="http://schemas.microsoft.com/office/drawing/2014/main" id="{DD25BD01-000A-D3E7-0D87-625CE6AEE923}"/>
              </a:ext>
            </a:extLst>
          </xdr:cNvPr>
          <xdr:cNvSpPr>
            <a:spLocks noChangeShapeType="1"/>
          </xdr:cNvSpPr>
        </xdr:nvSpPr>
        <xdr:spPr bwMode="auto">
          <a:xfrm flipH="1">
            <a:off x="164"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51">
            <a:extLst>
              <a:ext uri="{FF2B5EF4-FFF2-40B4-BE49-F238E27FC236}">
                <a16:creationId xmlns:a16="http://schemas.microsoft.com/office/drawing/2014/main" id="{F9135466-BDFC-15B7-E854-59339EC3F3A6}"/>
              </a:ext>
            </a:extLst>
          </xdr:cNvPr>
          <xdr:cNvSpPr>
            <a:spLocks noChangeShapeType="1"/>
          </xdr:cNvSpPr>
        </xdr:nvSpPr>
        <xdr:spPr bwMode="auto">
          <a:xfrm flipH="1">
            <a:off x="127" y="879"/>
            <a:ext cx="1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152">
            <a:extLst>
              <a:ext uri="{FF2B5EF4-FFF2-40B4-BE49-F238E27FC236}">
                <a16:creationId xmlns:a16="http://schemas.microsoft.com/office/drawing/2014/main" id="{4328732C-7F93-D51E-3053-1FD31108291F}"/>
              </a:ext>
            </a:extLst>
          </xdr:cNvPr>
          <xdr:cNvSpPr>
            <a:spLocks noChangeShapeType="1"/>
          </xdr:cNvSpPr>
        </xdr:nvSpPr>
        <xdr:spPr bwMode="auto">
          <a:xfrm>
            <a:off x="147" y="880"/>
            <a:ext cx="3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2" name="Line 156">
            <a:extLst>
              <a:ext uri="{FF2B5EF4-FFF2-40B4-BE49-F238E27FC236}">
                <a16:creationId xmlns:a16="http://schemas.microsoft.com/office/drawing/2014/main" id="{6DD9A20A-AA84-5A45-7A61-AEE6C211973D}"/>
              </a:ext>
            </a:extLst>
          </xdr:cNvPr>
          <xdr:cNvSpPr>
            <a:spLocks noChangeShapeType="1"/>
          </xdr:cNvSpPr>
        </xdr:nvSpPr>
        <xdr:spPr bwMode="auto">
          <a:xfrm flipV="1">
            <a:off x="194" y="8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157">
            <a:extLst>
              <a:ext uri="{FF2B5EF4-FFF2-40B4-BE49-F238E27FC236}">
                <a16:creationId xmlns:a16="http://schemas.microsoft.com/office/drawing/2014/main" id="{BF0BAE2A-BD5B-7782-35AF-6C4462A49710}"/>
              </a:ext>
            </a:extLst>
          </xdr:cNvPr>
          <xdr:cNvSpPr>
            <a:spLocks noChangeShapeType="1"/>
          </xdr:cNvSpPr>
        </xdr:nvSpPr>
        <xdr:spPr bwMode="auto">
          <a:xfrm flipV="1">
            <a:off x="204" y="794"/>
            <a:ext cx="0" cy="3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4" name="Line 158">
            <a:extLst>
              <a:ext uri="{FF2B5EF4-FFF2-40B4-BE49-F238E27FC236}">
                <a16:creationId xmlns:a16="http://schemas.microsoft.com/office/drawing/2014/main" id="{4DBEFBA5-1163-88A4-DDA0-6C22A82A7ABB}"/>
              </a:ext>
            </a:extLst>
          </xdr:cNvPr>
          <xdr:cNvSpPr>
            <a:spLocks noChangeShapeType="1"/>
          </xdr:cNvSpPr>
        </xdr:nvSpPr>
        <xdr:spPr bwMode="auto">
          <a:xfrm>
            <a:off x="204" y="849"/>
            <a:ext cx="0" cy="4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5" name="Line 159">
            <a:extLst>
              <a:ext uri="{FF2B5EF4-FFF2-40B4-BE49-F238E27FC236}">
                <a16:creationId xmlns:a16="http://schemas.microsoft.com/office/drawing/2014/main" id="{CC8955A5-BC7A-F710-1058-824478926B66}"/>
              </a:ext>
            </a:extLst>
          </xdr:cNvPr>
          <xdr:cNvSpPr>
            <a:spLocks noChangeShapeType="1"/>
          </xdr:cNvSpPr>
        </xdr:nvSpPr>
        <xdr:spPr bwMode="auto">
          <a:xfrm>
            <a:off x="194" y="7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60">
            <a:extLst>
              <a:ext uri="{FF2B5EF4-FFF2-40B4-BE49-F238E27FC236}">
                <a16:creationId xmlns:a16="http://schemas.microsoft.com/office/drawing/2014/main" id="{67DDC2F4-8FB1-6B0B-12E7-A6C1BBC7A600}"/>
              </a:ext>
            </a:extLst>
          </xdr:cNvPr>
          <xdr:cNvSpPr>
            <a:spLocks noChangeShapeType="1"/>
          </xdr:cNvSpPr>
        </xdr:nvSpPr>
        <xdr:spPr bwMode="auto">
          <a:xfrm flipH="1">
            <a:off x="120" y="804"/>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161">
            <a:extLst>
              <a:ext uri="{FF2B5EF4-FFF2-40B4-BE49-F238E27FC236}">
                <a16:creationId xmlns:a16="http://schemas.microsoft.com/office/drawing/2014/main" id="{866B9AC3-E2D0-BA10-C94E-7BE25F937D85}"/>
              </a:ext>
            </a:extLst>
          </xdr:cNvPr>
          <xdr:cNvSpPr>
            <a:spLocks noChangeShapeType="1"/>
          </xdr:cNvSpPr>
        </xdr:nvSpPr>
        <xdr:spPr bwMode="auto">
          <a:xfrm flipV="1">
            <a:off x="127" y="874"/>
            <a:ext cx="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162">
            <a:extLst>
              <a:ext uri="{FF2B5EF4-FFF2-40B4-BE49-F238E27FC236}">
                <a16:creationId xmlns:a16="http://schemas.microsoft.com/office/drawing/2014/main" id="{ADC130FF-8E89-F14F-1665-983B5487D2EE}"/>
              </a:ext>
            </a:extLst>
          </xdr:cNvPr>
          <xdr:cNvSpPr>
            <a:spLocks noChangeShapeType="1"/>
          </xdr:cNvSpPr>
        </xdr:nvSpPr>
        <xdr:spPr bwMode="auto">
          <a:xfrm flipV="1">
            <a:off x="184" y="871"/>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63">
            <a:extLst>
              <a:ext uri="{FF2B5EF4-FFF2-40B4-BE49-F238E27FC236}">
                <a16:creationId xmlns:a16="http://schemas.microsoft.com/office/drawing/2014/main" id="{5C719C1D-8F27-0866-0050-021EB5CF3A95}"/>
              </a:ext>
            </a:extLst>
          </xdr:cNvPr>
          <xdr:cNvSpPr>
            <a:spLocks noChangeShapeType="1"/>
          </xdr:cNvSpPr>
        </xdr:nvSpPr>
        <xdr:spPr bwMode="auto">
          <a:xfrm flipV="1">
            <a:off x="137" y="804"/>
            <a:ext cx="1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164">
            <a:extLst>
              <a:ext uri="{FF2B5EF4-FFF2-40B4-BE49-F238E27FC236}">
                <a16:creationId xmlns:a16="http://schemas.microsoft.com/office/drawing/2014/main" id="{B64B5528-2392-FBA4-3D47-C55BC74EB857}"/>
              </a:ext>
            </a:extLst>
          </xdr:cNvPr>
          <xdr:cNvSpPr>
            <a:spLocks noChangeShapeType="1"/>
          </xdr:cNvSpPr>
        </xdr:nvSpPr>
        <xdr:spPr bwMode="auto">
          <a:xfrm flipH="1">
            <a:off x="127" y="813"/>
            <a:ext cx="10"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165">
            <a:extLst>
              <a:ext uri="{FF2B5EF4-FFF2-40B4-BE49-F238E27FC236}">
                <a16:creationId xmlns:a16="http://schemas.microsoft.com/office/drawing/2014/main" id="{EB187017-617F-E9FA-02F2-E87402912C94}"/>
              </a:ext>
            </a:extLst>
          </xdr:cNvPr>
          <xdr:cNvSpPr>
            <a:spLocks noChangeShapeType="1"/>
          </xdr:cNvSpPr>
        </xdr:nvSpPr>
        <xdr:spPr bwMode="auto">
          <a:xfrm flipV="1">
            <a:off x="147"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66">
            <a:extLst>
              <a:ext uri="{FF2B5EF4-FFF2-40B4-BE49-F238E27FC236}">
                <a16:creationId xmlns:a16="http://schemas.microsoft.com/office/drawing/2014/main" id="{AC112A4D-4AF0-A416-B72B-6BF9D358B406}"/>
              </a:ext>
            </a:extLst>
          </xdr:cNvPr>
          <xdr:cNvSpPr>
            <a:spLocks noChangeShapeType="1"/>
          </xdr:cNvSpPr>
        </xdr:nvSpPr>
        <xdr:spPr bwMode="auto">
          <a:xfrm>
            <a:off x="164"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168">
            <a:extLst>
              <a:ext uri="{FF2B5EF4-FFF2-40B4-BE49-F238E27FC236}">
                <a16:creationId xmlns:a16="http://schemas.microsoft.com/office/drawing/2014/main" id="{9118B47E-9C0D-13BE-B4D8-4E556EA99EF1}"/>
              </a:ext>
            </a:extLst>
          </xdr:cNvPr>
          <xdr:cNvSpPr>
            <a:spLocks noChangeShapeType="1"/>
          </xdr:cNvSpPr>
        </xdr:nvSpPr>
        <xdr:spPr bwMode="auto">
          <a:xfrm>
            <a:off x="132"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169">
            <a:extLst>
              <a:ext uri="{FF2B5EF4-FFF2-40B4-BE49-F238E27FC236}">
                <a16:creationId xmlns:a16="http://schemas.microsoft.com/office/drawing/2014/main" id="{BEB90F0B-166A-46CF-05D8-B041AB2EDE4B}"/>
              </a:ext>
            </a:extLst>
          </xdr:cNvPr>
          <xdr:cNvSpPr>
            <a:spLocks noChangeShapeType="1"/>
          </xdr:cNvSpPr>
        </xdr:nvSpPr>
        <xdr:spPr bwMode="auto">
          <a:xfrm flipH="1" flipV="1">
            <a:off x="132"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170">
            <a:extLst>
              <a:ext uri="{FF2B5EF4-FFF2-40B4-BE49-F238E27FC236}">
                <a16:creationId xmlns:a16="http://schemas.microsoft.com/office/drawing/2014/main" id="{0C12E2E5-A936-2BCB-45CD-FC84CFFB39A2}"/>
              </a:ext>
            </a:extLst>
          </xdr:cNvPr>
          <xdr:cNvSpPr>
            <a:spLocks noChangeShapeType="1"/>
          </xdr:cNvSpPr>
        </xdr:nvSpPr>
        <xdr:spPr bwMode="auto">
          <a:xfrm flipV="1">
            <a:off x="130"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171">
            <a:extLst>
              <a:ext uri="{FF2B5EF4-FFF2-40B4-BE49-F238E27FC236}">
                <a16:creationId xmlns:a16="http://schemas.microsoft.com/office/drawing/2014/main" id="{3287E93D-0001-CA18-BE28-EA5D1CDECF32}"/>
              </a:ext>
            </a:extLst>
          </xdr:cNvPr>
          <xdr:cNvSpPr>
            <a:spLocks noChangeShapeType="1"/>
          </xdr:cNvSpPr>
        </xdr:nvSpPr>
        <xdr:spPr bwMode="auto">
          <a:xfrm flipV="1">
            <a:off x="132"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172">
            <a:extLst>
              <a:ext uri="{FF2B5EF4-FFF2-40B4-BE49-F238E27FC236}">
                <a16:creationId xmlns:a16="http://schemas.microsoft.com/office/drawing/2014/main" id="{BE2A8301-E9FC-4407-DCEF-669914C8FF52}"/>
              </a:ext>
            </a:extLst>
          </xdr:cNvPr>
          <xdr:cNvSpPr>
            <a:spLocks noChangeShapeType="1"/>
          </xdr:cNvSpPr>
        </xdr:nvSpPr>
        <xdr:spPr bwMode="auto">
          <a:xfrm flipH="1" flipV="1">
            <a:off x="130"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173">
            <a:extLst>
              <a:ext uri="{FF2B5EF4-FFF2-40B4-BE49-F238E27FC236}">
                <a16:creationId xmlns:a16="http://schemas.microsoft.com/office/drawing/2014/main" id="{60CDE9E9-3294-5A4D-DC21-3CF8AB482D8F}"/>
              </a:ext>
            </a:extLst>
          </xdr:cNvPr>
          <xdr:cNvSpPr>
            <a:spLocks noChangeShapeType="1"/>
          </xdr:cNvSpPr>
        </xdr:nvSpPr>
        <xdr:spPr bwMode="auto">
          <a:xfrm>
            <a:off x="173" y="813"/>
            <a:ext cx="11"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174">
            <a:extLst>
              <a:ext uri="{FF2B5EF4-FFF2-40B4-BE49-F238E27FC236}">
                <a16:creationId xmlns:a16="http://schemas.microsoft.com/office/drawing/2014/main" id="{F8DE61F9-369D-9595-1C74-FEA44F0D3FDE}"/>
              </a:ext>
            </a:extLst>
          </xdr:cNvPr>
          <xdr:cNvSpPr>
            <a:spLocks noChangeShapeType="1"/>
          </xdr:cNvSpPr>
        </xdr:nvSpPr>
        <xdr:spPr bwMode="auto">
          <a:xfrm>
            <a:off x="164" y="805"/>
            <a:ext cx="9"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175">
            <a:extLst>
              <a:ext uri="{FF2B5EF4-FFF2-40B4-BE49-F238E27FC236}">
                <a16:creationId xmlns:a16="http://schemas.microsoft.com/office/drawing/2014/main" id="{1132CC62-2543-B164-7F5F-03B5543B83C2}"/>
              </a:ext>
            </a:extLst>
          </xdr:cNvPr>
          <xdr:cNvSpPr>
            <a:spLocks noChangeShapeType="1"/>
          </xdr:cNvSpPr>
        </xdr:nvSpPr>
        <xdr:spPr bwMode="auto">
          <a:xfrm>
            <a:off x="127" y="893"/>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176">
            <a:extLst>
              <a:ext uri="{FF2B5EF4-FFF2-40B4-BE49-F238E27FC236}">
                <a16:creationId xmlns:a16="http://schemas.microsoft.com/office/drawing/2014/main" id="{F1C090F5-B91A-BEA3-A0E6-50845CE28BEC}"/>
              </a:ext>
            </a:extLst>
          </xdr:cNvPr>
          <xdr:cNvSpPr>
            <a:spLocks noChangeShapeType="1"/>
          </xdr:cNvSpPr>
        </xdr:nvSpPr>
        <xdr:spPr bwMode="auto">
          <a:xfrm>
            <a:off x="147" y="796"/>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177">
            <a:extLst>
              <a:ext uri="{FF2B5EF4-FFF2-40B4-BE49-F238E27FC236}">
                <a16:creationId xmlns:a16="http://schemas.microsoft.com/office/drawing/2014/main" id="{417A1D75-66C1-2796-2045-79AD980E5E6F}"/>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178">
            <a:extLst>
              <a:ext uri="{FF2B5EF4-FFF2-40B4-BE49-F238E27FC236}">
                <a16:creationId xmlns:a16="http://schemas.microsoft.com/office/drawing/2014/main" id="{6558A915-6854-0077-C712-F3CEA3A35B93}"/>
              </a:ext>
            </a:extLst>
          </xdr:cNvPr>
          <xdr:cNvSpPr>
            <a:spLocks noChangeShapeType="1"/>
          </xdr:cNvSpPr>
        </xdr:nvSpPr>
        <xdr:spPr bwMode="auto">
          <a:xfrm flipH="1" flipV="1">
            <a:off x="147"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179">
            <a:extLst>
              <a:ext uri="{FF2B5EF4-FFF2-40B4-BE49-F238E27FC236}">
                <a16:creationId xmlns:a16="http://schemas.microsoft.com/office/drawing/2014/main" id="{6220C4D0-3FEC-6FC9-7E46-B3CB2F6B35C0}"/>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80">
            <a:extLst>
              <a:ext uri="{FF2B5EF4-FFF2-40B4-BE49-F238E27FC236}">
                <a16:creationId xmlns:a16="http://schemas.microsoft.com/office/drawing/2014/main" id="{A23EB9D0-CC8B-EA72-5D7C-8702C5F9EEF5}"/>
              </a:ext>
            </a:extLst>
          </xdr:cNvPr>
          <xdr:cNvSpPr>
            <a:spLocks noChangeShapeType="1"/>
          </xdr:cNvSpPr>
        </xdr:nvSpPr>
        <xdr:spPr bwMode="auto">
          <a:xfrm flipV="1">
            <a:off x="161"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81">
            <a:extLst>
              <a:ext uri="{FF2B5EF4-FFF2-40B4-BE49-F238E27FC236}">
                <a16:creationId xmlns:a16="http://schemas.microsoft.com/office/drawing/2014/main" id="{94A9EEC0-1E9C-2E01-A735-BDDEC8E2F93F}"/>
              </a:ext>
            </a:extLst>
          </xdr:cNvPr>
          <xdr:cNvSpPr>
            <a:spLocks noChangeShapeType="1"/>
          </xdr:cNvSpPr>
        </xdr:nvSpPr>
        <xdr:spPr bwMode="auto">
          <a:xfrm>
            <a:off x="161"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82">
            <a:extLst>
              <a:ext uri="{FF2B5EF4-FFF2-40B4-BE49-F238E27FC236}">
                <a16:creationId xmlns:a16="http://schemas.microsoft.com/office/drawing/2014/main" id="{3C563608-ED93-0F03-3364-F29F6D22E52C}"/>
              </a:ext>
            </a:extLst>
          </xdr:cNvPr>
          <xdr:cNvSpPr>
            <a:spLocks noChangeShapeType="1"/>
          </xdr:cNvSpPr>
        </xdr:nvSpPr>
        <xdr:spPr bwMode="auto">
          <a:xfrm flipH="1" flipV="1">
            <a:off x="139" y="813"/>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83">
            <a:extLst>
              <a:ext uri="{FF2B5EF4-FFF2-40B4-BE49-F238E27FC236}">
                <a16:creationId xmlns:a16="http://schemas.microsoft.com/office/drawing/2014/main" id="{782ACE00-B8F0-0A8D-BA7E-84B86A423FB5}"/>
              </a:ext>
            </a:extLst>
          </xdr:cNvPr>
          <xdr:cNvSpPr>
            <a:spLocks noChangeShapeType="1"/>
          </xdr:cNvSpPr>
        </xdr:nvSpPr>
        <xdr:spPr bwMode="auto">
          <a:xfrm flipV="1">
            <a:off x="168" y="813"/>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84">
            <a:extLst>
              <a:ext uri="{FF2B5EF4-FFF2-40B4-BE49-F238E27FC236}">
                <a16:creationId xmlns:a16="http://schemas.microsoft.com/office/drawing/2014/main" id="{01A60DA7-2E2C-0627-B5C9-486724B99793}"/>
              </a:ext>
            </a:extLst>
          </xdr:cNvPr>
          <xdr:cNvSpPr>
            <a:spLocks noChangeShapeType="1"/>
          </xdr:cNvSpPr>
        </xdr:nvSpPr>
        <xdr:spPr bwMode="auto">
          <a:xfrm flipH="1" flipV="1">
            <a:off x="168" y="811"/>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5">
            <a:extLst>
              <a:ext uri="{FF2B5EF4-FFF2-40B4-BE49-F238E27FC236}">
                <a16:creationId xmlns:a16="http://schemas.microsoft.com/office/drawing/2014/main" id="{5D684E4E-CA29-233C-D21D-C0527036803E}"/>
              </a:ext>
            </a:extLst>
          </xdr:cNvPr>
          <xdr:cNvSpPr>
            <a:spLocks noChangeShapeType="1"/>
          </xdr:cNvSpPr>
        </xdr:nvSpPr>
        <xdr:spPr bwMode="auto">
          <a:xfrm flipV="1">
            <a:off x="139" y="811"/>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411649</xdr:colOff>
      <xdr:row>29</xdr:row>
      <xdr:rowOff>202266</xdr:rowOff>
    </xdr:to>
    <xdr:sp macro="" textlink="">
      <xdr:nvSpPr>
        <xdr:cNvPr id="51" name="Depth">
          <a:extLst>
            <a:ext uri="{FF2B5EF4-FFF2-40B4-BE49-F238E27FC236}">
              <a16:creationId xmlns:a16="http://schemas.microsoft.com/office/drawing/2014/main" id="{79DF3496-D532-4860-8DCE-57CAA5085CA1}"/>
            </a:ext>
          </a:extLst>
        </xdr:cNvPr>
        <xdr:cNvSpPr txBox="1">
          <a:spLocks noChangeArrowheads="1"/>
        </xdr:cNvSpPr>
      </xdr:nvSpPr>
      <xdr:spPr bwMode="auto">
        <a:xfrm>
          <a:off x="1819275" y="6781800"/>
          <a:ext cx="287824"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clientData/>
  </xdr:twoCellAnchor>
  <xdr:twoCellAnchor>
    <xdr:from>
      <xdr:col>1</xdr:col>
      <xdr:colOff>38100</xdr:colOff>
      <xdr:row>31</xdr:row>
      <xdr:rowOff>0</xdr:rowOff>
    </xdr:from>
    <xdr:to>
      <xdr:col>2</xdr:col>
      <xdr:colOff>11505</xdr:colOff>
      <xdr:row>31</xdr:row>
      <xdr:rowOff>104775</xdr:rowOff>
    </xdr:to>
    <xdr:sp macro="" textlink="">
      <xdr:nvSpPr>
        <xdr:cNvPr id="52" name="Tip">
          <a:extLst>
            <a:ext uri="{FF2B5EF4-FFF2-40B4-BE49-F238E27FC236}">
              <a16:creationId xmlns:a16="http://schemas.microsoft.com/office/drawing/2014/main" id="{2CA034F3-F9DA-4328-9490-57084B524D69}"/>
            </a:ext>
          </a:extLst>
        </xdr:cNvPr>
        <xdr:cNvSpPr txBox="1">
          <a:spLocks noChangeArrowheads="1"/>
        </xdr:cNvSpPr>
      </xdr:nvSpPr>
      <xdr:spPr bwMode="auto">
        <a:xfrm>
          <a:off x="828675" y="7153275"/>
          <a:ext cx="38298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144780</xdr:colOff>
      <xdr:row>26</xdr:row>
      <xdr:rowOff>200025</xdr:rowOff>
    </xdr:from>
    <xdr:to>
      <xdr:col>3</xdr:col>
      <xdr:colOff>47743</xdr:colOff>
      <xdr:row>27</xdr:row>
      <xdr:rowOff>66675</xdr:rowOff>
    </xdr:to>
    <xdr:sp macro="" textlink="">
      <xdr:nvSpPr>
        <xdr:cNvPr id="53" name="Width">
          <a:extLst>
            <a:ext uri="{FF2B5EF4-FFF2-40B4-BE49-F238E27FC236}">
              <a16:creationId xmlns:a16="http://schemas.microsoft.com/office/drawing/2014/main" id="{11AF9918-9EDB-4E08-BACC-95813A42C448}"/>
            </a:ext>
          </a:extLst>
        </xdr:cNvPr>
        <xdr:cNvSpPr txBox="1">
          <a:spLocks noChangeArrowheads="1"/>
        </xdr:cNvSpPr>
      </xdr:nvSpPr>
      <xdr:spPr bwMode="auto">
        <a:xfrm>
          <a:off x="1344930" y="6210300"/>
          <a:ext cx="398263"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14.5</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54" name="Group 254">
          <a:extLst>
            <a:ext uri="{FF2B5EF4-FFF2-40B4-BE49-F238E27FC236}">
              <a16:creationId xmlns:a16="http://schemas.microsoft.com/office/drawing/2014/main" id="{22F098EE-873A-4214-B54B-8DADC3D2928D}"/>
            </a:ext>
          </a:extLst>
        </xdr:cNvPr>
        <xdr:cNvGrpSpPr>
          <a:grpSpLocks/>
        </xdr:cNvGrpSpPr>
      </xdr:nvGrpSpPr>
      <xdr:grpSpPr bwMode="auto">
        <a:xfrm>
          <a:off x="1123950" y="6296025"/>
          <a:ext cx="942975" cy="1076325"/>
          <a:chOff x="118" y="637"/>
          <a:chExt cx="99" cy="113"/>
        </a:xfrm>
      </xdr:grpSpPr>
      <xdr:sp macro="" textlink="">
        <xdr:nvSpPr>
          <xdr:cNvPr id="55" name="Line 229">
            <a:extLst>
              <a:ext uri="{FF2B5EF4-FFF2-40B4-BE49-F238E27FC236}">
                <a16:creationId xmlns:a16="http://schemas.microsoft.com/office/drawing/2014/main" id="{42E711B1-0D93-015A-D4FC-A339F616B74D}"/>
              </a:ext>
            </a:extLst>
          </xdr:cNvPr>
          <xdr:cNvSpPr>
            <a:spLocks noChangeShapeType="1"/>
          </xdr:cNvSpPr>
        </xdr:nvSpPr>
        <xdr:spPr bwMode="auto">
          <a:xfrm flipH="1">
            <a:off x="182" y="651"/>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230">
            <a:extLst>
              <a:ext uri="{FF2B5EF4-FFF2-40B4-BE49-F238E27FC236}">
                <a16:creationId xmlns:a16="http://schemas.microsoft.com/office/drawing/2014/main" id="{13A67FC3-B642-5FA3-CB8D-D37BEAF96AD3}"/>
              </a:ext>
            </a:extLst>
          </xdr:cNvPr>
          <xdr:cNvSpPr>
            <a:spLocks noChangeShapeType="1"/>
          </xdr:cNvSpPr>
        </xdr:nvSpPr>
        <xdr:spPr bwMode="auto">
          <a:xfrm flipH="1">
            <a:off x="134" y="652"/>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31">
            <a:extLst>
              <a:ext uri="{FF2B5EF4-FFF2-40B4-BE49-F238E27FC236}">
                <a16:creationId xmlns:a16="http://schemas.microsoft.com/office/drawing/2014/main" id="{7A212F10-F23C-20B8-36CC-C088EFA83ABB}"/>
              </a:ext>
            </a:extLst>
          </xdr:cNvPr>
          <xdr:cNvSpPr>
            <a:spLocks noChangeShapeType="1"/>
          </xdr:cNvSpPr>
        </xdr:nvSpPr>
        <xdr:spPr bwMode="auto">
          <a:xfrm>
            <a:off x="183"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32">
            <a:extLst>
              <a:ext uri="{FF2B5EF4-FFF2-40B4-BE49-F238E27FC236}">
                <a16:creationId xmlns:a16="http://schemas.microsoft.com/office/drawing/2014/main" id="{7FFD54E3-3E83-F9D6-187E-A21BB0DD067C}"/>
              </a:ext>
            </a:extLst>
          </xdr:cNvPr>
          <xdr:cNvSpPr>
            <a:spLocks noChangeShapeType="1"/>
          </xdr:cNvSpPr>
        </xdr:nvSpPr>
        <xdr:spPr bwMode="auto">
          <a:xfrm>
            <a:off x="136" y="652"/>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33">
            <a:extLst>
              <a:ext uri="{FF2B5EF4-FFF2-40B4-BE49-F238E27FC236}">
                <a16:creationId xmlns:a16="http://schemas.microsoft.com/office/drawing/2014/main" id="{8089AF8C-FAB8-484C-514C-0FD11A57CC97}"/>
              </a:ext>
            </a:extLst>
          </xdr:cNvPr>
          <xdr:cNvSpPr>
            <a:spLocks noChangeShapeType="1"/>
          </xdr:cNvSpPr>
        </xdr:nvSpPr>
        <xdr:spPr bwMode="auto">
          <a:xfrm>
            <a:off x="130" y="724"/>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34">
            <a:extLst>
              <a:ext uri="{FF2B5EF4-FFF2-40B4-BE49-F238E27FC236}">
                <a16:creationId xmlns:a16="http://schemas.microsoft.com/office/drawing/2014/main" id="{72032921-3241-FE2A-C27B-3FA0C68A942A}"/>
              </a:ext>
            </a:extLst>
          </xdr:cNvPr>
          <xdr:cNvSpPr>
            <a:spLocks noChangeShapeType="1"/>
          </xdr:cNvSpPr>
        </xdr:nvSpPr>
        <xdr:spPr bwMode="auto">
          <a:xfrm flipH="1">
            <a:off x="190" y="72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35">
            <a:extLst>
              <a:ext uri="{FF2B5EF4-FFF2-40B4-BE49-F238E27FC236}">
                <a16:creationId xmlns:a16="http://schemas.microsoft.com/office/drawing/2014/main" id="{099AA3D8-CE1C-2352-A37E-50492D8CDA51}"/>
              </a:ext>
            </a:extLst>
          </xdr:cNvPr>
          <xdr:cNvSpPr>
            <a:spLocks noChangeShapeType="1"/>
          </xdr:cNvSpPr>
        </xdr:nvSpPr>
        <xdr:spPr bwMode="auto">
          <a:xfrm>
            <a:off x="130"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36">
            <a:extLst>
              <a:ext uri="{FF2B5EF4-FFF2-40B4-BE49-F238E27FC236}">
                <a16:creationId xmlns:a16="http://schemas.microsoft.com/office/drawing/2014/main" id="{4FA7389B-52FF-2BE9-2DB4-2045AFF36604}"/>
              </a:ext>
            </a:extLst>
          </xdr:cNvPr>
          <xdr:cNvSpPr>
            <a:spLocks noChangeShapeType="1"/>
          </xdr:cNvSpPr>
        </xdr:nvSpPr>
        <xdr:spPr bwMode="auto">
          <a:xfrm>
            <a:off x="182" y="729"/>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37">
            <a:extLst>
              <a:ext uri="{FF2B5EF4-FFF2-40B4-BE49-F238E27FC236}">
                <a16:creationId xmlns:a16="http://schemas.microsoft.com/office/drawing/2014/main" id="{0D5EDBC3-2840-2770-6F3A-7EE8F43BE925}"/>
              </a:ext>
            </a:extLst>
          </xdr:cNvPr>
          <xdr:cNvSpPr>
            <a:spLocks noChangeShapeType="1"/>
          </xdr:cNvSpPr>
        </xdr:nvSpPr>
        <xdr:spPr bwMode="auto">
          <a:xfrm>
            <a:off x="137" y="731"/>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38">
            <a:extLst>
              <a:ext uri="{FF2B5EF4-FFF2-40B4-BE49-F238E27FC236}">
                <a16:creationId xmlns:a16="http://schemas.microsoft.com/office/drawing/2014/main" id="{B9667E39-AF9F-9196-045B-A432555BB9CA}"/>
              </a:ext>
            </a:extLst>
          </xdr:cNvPr>
          <xdr:cNvSpPr>
            <a:spLocks noChangeShapeType="1"/>
          </xdr:cNvSpPr>
        </xdr:nvSpPr>
        <xdr:spPr bwMode="auto">
          <a:xfrm>
            <a:off x="182" y="739"/>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239">
            <a:extLst>
              <a:ext uri="{FF2B5EF4-FFF2-40B4-BE49-F238E27FC236}">
                <a16:creationId xmlns:a16="http://schemas.microsoft.com/office/drawing/2014/main" id="{6014204F-3955-EB76-7DD9-508512D166B3}"/>
              </a:ext>
            </a:extLst>
          </xdr:cNvPr>
          <xdr:cNvSpPr>
            <a:spLocks noChangeShapeType="1"/>
          </xdr:cNvSpPr>
        </xdr:nvSpPr>
        <xdr:spPr bwMode="auto">
          <a:xfrm flipH="1">
            <a:off x="121" y="739"/>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240">
            <a:extLst>
              <a:ext uri="{FF2B5EF4-FFF2-40B4-BE49-F238E27FC236}">
                <a16:creationId xmlns:a16="http://schemas.microsoft.com/office/drawing/2014/main" id="{DE90D10B-B22F-0160-1C96-866C004479DB}"/>
              </a:ext>
            </a:extLst>
          </xdr:cNvPr>
          <xdr:cNvSpPr>
            <a:spLocks noChangeShapeType="1"/>
          </xdr:cNvSpPr>
        </xdr:nvSpPr>
        <xdr:spPr bwMode="auto">
          <a:xfrm>
            <a:off x="190" y="653"/>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41">
            <a:extLst>
              <a:ext uri="{FF2B5EF4-FFF2-40B4-BE49-F238E27FC236}">
                <a16:creationId xmlns:a16="http://schemas.microsoft.com/office/drawing/2014/main" id="{E7B34F96-95F2-E8B9-4ABC-30AF206FC6CA}"/>
              </a:ext>
            </a:extLst>
          </xdr:cNvPr>
          <xdr:cNvSpPr>
            <a:spLocks noChangeShapeType="1"/>
          </xdr:cNvSpPr>
        </xdr:nvSpPr>
        <xdr:spPr bwMode="auto">
          <a:xfrm flipV="1">
            <a:off x="200" y="654"/>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8" name="Line 242">
            <a:extLst>
              <a:ext uri="{FF2B5EF4-FFF2-40B4-BE49-F238E27FC236}">
                <a16:creationId xmlns:a16="http://schemas.microsoft.com/office/drawing/2014/main" id="{024E360D-333B-E979-D465-6E8AF490ADBA}"/>
              </a:ext>
            </a:extLst>
          </xdr:cNvPr>
          <xdr:cNvSpPr>
            <a:spLocks noChangeShapeType="1"/>
          </xdr:cNvSpPr>
        </xdr:nvSpPr>
        <xdr:spPr bwMode="auto">
          <a:xfrm>
            <a:off x="200" y="708"/>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9" name="Line 243">
            <a:extLst>
              <a:ext uri="{FF2B5EF4-FFF2-40B4-BE49-F238E27FC236}">
                <a16:creationId xmlns:a16="http://schemas.microsoft.com/office/drawing/2014/main" id="{ED704E2A-70D2-DE04-15D0-133931052D45}"/>
              </a:ext>
            </a:extLst>
          </xdr:cNvPr>
          <xdr:cNvSpPr>
            <a:spLocks noChangeShapeType="1"/>
          </xdr:cNvSpPr>
        </xdr:nvSpPr>
        <xdr:spPr bwMode="auto">
          <a:xfrm flipV="1">
            <a:off x="124" y="740"/>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0" name="Line 244">
            <a:extLst>
              <a:ext uri="{FF2B5EF4-FFF2-40B4-BE49-F238E27FC236}">
                <a16:creationId xmlns:a16="http://schemas.microsoft.com/office/drawing/2014/main" id="{5B9A5D66-CDBE-4BE6-FE4B-6EF295B6EA7C}"/>
              </a:ext>
            </a:extLst>
          </xdr:cNvPr>
          <xdr:cNvSpPr>
            <a:spLocks noChangeShapeType="1"/>
          </xdr:cNvSpPr>
        </xdr:nvSpPr>
        <xdr:spPr bwMode="auto">
          <a:xfrm>
            <a:off x="122" y="714"/>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1" name="Line 245">
            <a:extLst>
              <a:ext uri="{FF2B5EF4-FFF2-40B4-BE49-F238E27FC236}">
                <a16:creationId xmlns:a16="http://schemas.microsoft.com/office/drawing/2014/main" id="{0FD65F86-728E-F900-6AEE-98A83E059CAF}"/>
              </a:ext>
            </a:extLst>
          </xdr:cNvPr>
          <xdr:cNvSpPr>
            <a:spLocks noChangeShapeType="1"/>
          </xdr:cNvSpPr>
        </xdr:nvSpPr>
        <xdr:spPr bwMode="auto">
          <a:xfrm>
            <a:off x="118" y="724"/>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246">
            <a:extLst>
              <a:ext uri="{FF2B5EF4-FFF2-40B4-BE49-F238E27FC236}">
                <a16:creationId xmlns:a16="http://schemas.microsoft.com/office/drawing/2014/main" id="{12897796-410C-83A1-DEEA-39ADF5487484}"/>
              </a:ext>
            </a:extLst>
          </xdr:cNvPr>
          <xdr:cNvSpPr>
            <a:spLocks noChangeShapeType="1"/>
          </xdr:cNvSpPr>
        </xdr:nvSpPr>
        <xdr:spPr bwMode="auto">
          <a:xfrm flipV="1">
            <a:off x="183" y="637"/>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47">
            <a:extLst>
              <a:ext uri="{FF2B5EF4-FFF2-40B4-BE49-F238E27FC236}">
                <a16:creationId xmlns:a16="http://schemas.microsoft.com/office/drawing/2014/main" id="{B3B157DE-5DC1-EDEA-94A7-98A51B1F3099}"/>
              </a:ext>
            </a:extLst>
          </xdr:cNvPr>
          <xdr:cNvSpPr>
            <a:spLocks noChangeShapeType="1"/>
          </xdr:cNvSpPr>
        </xdr:nvSpPr>
        <xdr:spPr bwMode="auto">
          <a:xfrm flipV="1">
            <a:off x="135" y="63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48">
            <a:extLst>
              <a:ext uri="{FF2B5EF4-FFF2-40B4-BE49-F238E27FC236}">
                <a16:creationId xmlns:a16="http://schemas.microsoft.com/office/drawing/2014/main" id="{28F76A0C-71A8-E154-58B3-B4BC09A10729}"/>
              </a:ext>
            </a:extLst>
          </xdr:cNvPr>
          <xdr:cNvSpPr>
            <a:spLocks noChangeShapeType="1"/>
          </xdr:cNvSpPr>
        </xdr:nvSpPr>
        <xdr:spPr bwMode="auto">
          <a:xfrm>
            <a:off x="144" y="643"/>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249">
            <a:extLst>
              <a:ext uri="{FF2B5EF4-FFF2-40B4-BE49-F238E27FC236}">
                <a16:creationId xmlns:a16="http://schemas.microsoft.com/office/drawing/2014/main" id="{FEBDCA73-B370-B6C0-644A-5D88670525FF}"/>
              </a:ext>
            </a:extLst>
          </xdr:cNvPr>
          <xdr:cNvSpPr>
            <a:spLocks noChangeShapeType="1"/>
          </xdr:cNvSpPr>
        </xdr:nvSpPr>
        <xdr:spPr bwMode="auto">
          <a:xfrm flipH="1">
            <a:off x="139" y="643"/>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250">
            <a:extLst>
              <a:ext uri="{FF2B5EF4-FFF2-40B4-BE49-F238E27FC236}">
                <a16:creationId xmlns:a16="http://schemas.microsoft.com/office/drawing/2014/main" id="{0EAFED6E-590B-06E6-9E5E-D8EC16F4C0C0}"/>
              </a:ext>
            </a:extLst>
          </xdr:cNvPr>
          <xdr:cNvSpPr>
            <a:spLocks noChangeShapeType="1"/>
          </xdr:cNvSpPr>
        </xdr:nvSpPr>
        <xdr:spPr bwMode="auto">
          <a:xfrm>
            <a:off x="130" y="724"/>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51">
            <a:extLst>
              <a:ext uri="{FF2B5EF4-FFF2-40B4-BE49-F238E27FC236}">
                <a16:creationId xmlns:a16="http://schemas.microsoft.com/office/drawing/2014/main" id="{301F5476-F5C1-842C-8AE2-0BA59065CED6}"/>
              </a:ext>
            </a:extLst>
          </xdr:cNvPr>
          <xdr:cNvSpPr>
            <a:spLocks noChangeShapeType="1"/>
          </xdr:cNvSpPr>
        </xdr:nvSpPr>
        <xdr:spPr bwMode="auto">
          <a:xfrm>
            <a:off x="182"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52">
            <a:extLst>
              <a:ext uri="{FF2B5EF4-FFF2-40B4-BE49-F238E27FC236}">
                <a16:creationId xmlns:a16="http://schemas.microsoft.com/office/drawing/2014/main" id="{DDDBA5BA-FF59-356A-BCCA-7E4820B75F1F}"/>
              </a:ext>
            </a:extLst>
          </xdr:cNvPr>
          <xdr:cNvSpPr>
            <a:spLocks noChangeShapeType="1"/>
          </xdr:cNvSpPr>
        </xdr:nvSpPr>
        <xdr:spPr bwMode="auto">
          <a:xfrm flipV="1">
            <a:off x="190" y="722"/>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253">
            <a:extLst>
              <a:ext uri="{FF2B5EF4-FFF2-40B4-BE49-F238E27FC236}">
                <a16:creationId xmlns:a16="http://schemas.microsoft.com/office/drawing/2014/main" id="{E6B43A73-44B9-A791-D612-61A3F3A2A241}"/>
              </a:ext>
            </a:extLst>
          </xdr:cNvPr>
          <xdr:cNvSpPr>
            <a:spLocks noChangeShapeType="1"/>
          </xdr:cNvSpPr>
        </xdr:nvSpPr>
        <xdr:spPr bwMode="auto">
          <a:xfrm>
            <a:off x="183" y="723"/>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0" name="Rectangle 255">
          <a:extLst>
            <a:ext uri="{FF2B5EF4-FFF2-40B4-BE49-F238E27FC236}">
              <a16:creationId xmlns:a16="http://schemas.microsoft.com/office/drawing/2014/main" id="{6A69965B-7F8E-4D4A-BAB8-B56892BB83D8}"/>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1" name="Rectangle 256">
          <a:extLst>
            <a:ext uri="{FF2B5EF4-FFF2-40B4-BE49-F238E27FC236}">
              <a16:creationId xmlns:a16="http://schemas.microsoft.com/office/drawing/2014/main" id="{E893FE66-3F56-4319-BA6D-F90AED747CA4}"/>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2" name="Rectangle 257">
          <a:extLst>
            <a:ext uri="{FF2B5EF4-FFF2-40B4-BE49-F238E27FC236}">
              <a16:creationId xmlns:a16="http://schemas.microsoft.com/office/drawing/2014/main" id="{2F8AC58A-5031-4467-8B88-448A9A97AC46}"/>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3" name="Rectangle 258">
          <a:extLst>
            <a:ext uri="{FF2B5EF4-FFF2-40B4-BE49-F238E27FC236}">
              <a16:creationId xmlns:a16="http://schemas.microsoft.com/office/drawing/2014/main" id="{23FDE531-D734-474A-A149-9E02C9EBE7CC}"/>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4" name="Rectangle 259">
          <a:extLst>
            <a:ext uri="{FF2B5EF4-FFF2-40B4-BE49-F238E27FC236}">
              <a16:creationId xmlns:a16="http://schemas.microsoft.com/office/drawing/2014/main" id="{E5AB872E-D893-4ECB-8DAD-DCD8651EB019}"/>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133350</xdr:colOff>
      <xdr:row>39</xdr:row>
      <xdr:rowOff>180975</xdr:rowOff>
    </xdr:from>
    <xdr:to>
      <xdr:col>3</xdr:col>
      <xdr:colOff>342900</xdr:colOff>
      <xdr:row>43</xdr:row>
      <xdr:rowOff>0</xdr:rowOff>
    </xdr:to>
    <xdr:grpSp>
      <xdr:nvGrpSpPr>
        <xdr:cNvPr id="85" name="Group 3">
          <a:extLst>
            <a:ext uri="{FF2B5EF4-FFF2-40B4-BE49-F238E27FC236}">
              <a16:creationId xmlns:a16="http://schemas.microsoft.com/office/drawing/2014/main" id="{6045A4A9-D5C5-4975-8A4A-6C2E73C71991}"/>
            </a:ext>
          </a:extLst>
        </xdr:cNvPr>
        <xdr:cNvGrpSpPr>
          <a:grpSpLocks/>
        </xdr:cNvGrpSpPr>
      </xdr:nvGrpSpPr>
      <xdr:grpSpPr bwMode="auto">
        <a:xfrm>
          <a:off x="923925" y="9163050"/>
          <a:ext cx="1114425" cy="733425"/>
          <a:chOff x="921807" y="9129183"/>
          <a:chExt cx="1110192" cy="729192"/>
        </a:xfrm>
      </xdr:grpSpPr>
      <xdr:grpSp>
        <xdr:nvGrpSpPr>
          <xdr:cNvPr id="86" name="Group 112">
            <a:extLst>
              <a:ext uri="{FF2B5EF4-FFF2-40B4-BE49-F238E27FC236}">
                <a16:creationId xmlns:a16="http://schemas.microsoft.com/office/drawing/2014/main" id="{DAA2C940-FE76-58E0-582D-9375EBA33ED1}"/>
              </a:ext>
            </a:extLst>
          </xdr:cNvPr>
          <xdr:cNvGrpSpPr>
            <a:grpSpLocks/>
          </xdr:cNvGrpSpPr>
        </xdr:nvGrpSpPr>
        <xdr:grpSpPr bwMode="auto">
          <a:xfrm>
            <a:off x="921807" y="9129183"/>
            <a:ext cx="887941" cy="729192"/>
            <a:chOff x="13440000" y="15720000"/>
            <a:chExt cx="1904539" cy="1540000"/>
          </a:xfrm>
        </xdr:grpSpPr>
        <xdr:grpSp>
          <xdr:nvGrpSpPr>
            <xdr:cNvPr id="97" name="Group 113">
              <a:extLst>
                <a:ext uri="{FF2B5EF4-FFF2-40B4-BE49-F238E27FC236}">
                  <a16:creationId xmlns:a16="http://schemas.microsoft.com/office/drawing/2014/main" id="{EBE042C8-932B-B4F4-4348-F4028A7941C7}"/>
                </a:ext>
              </a:extLst>
            </xdr:cNvPr>
            <xdr:cNvGrpSpPr>
              <a:grpSpLocks/>
            </xdr:cNvGrpSpPr>
          </xdr:nvGrpSpPr>
          <xdr:grpSpPr bwMode="auto">
            <a:xfrm>
              <a:off x="13440000" y="15720000"/>
              <a:ext cx="1904539" cy="1540000"/>
              <a:chOff x="13440000" y="15720000"/>
              <a:chExt cx="1904539" cy="1540000"/>
            </a:xfrm>
          </xdr:grpSpPr>
          <xdr:sp macro="" textlink="">
            <xdr:nvSpPr>
              <xdr:cNvPr id="99" name="Line 114">
                <a:extLst>
                  <a:ext uri="{FF2B5EF4-FFF2-40B4-BE49-F238E27FC236}">
                    <a16:creationId xmlns:a16="http://schemas.microsoft.com/office/drawing/2014/main" id="{06D96B31-D8B5-86D8-BE43-45CD3BC365B4}"/>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15">
                <a:extLst>
                  <a:ext uri="{FF2B5EF4-FFF2-40B4-BE49-F238E27FC236}">
                    <a16:creationId xmlns:a16="http://schemas.microsoft.com/office/drawing/2014/main" id="{E947E583-325F-21D7-D780-EA9412F3B328}"/>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16">
                <a:extLst>
                  <a:ext uri="{FF2B5EF4-FFF2-40B4-BE49-F238E27FC236}">
                    <a16:creationId xmlns:a16="http://schemas.microsoft.com/office/drawing/2014/main" id="{FC9E2306-52ED-ACD8-6C0E-5E9DCA1F3C17}"/>
                  </a:ext>
                </a:extLst>
              </xdr:cNvPr>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17">
                <a:extLst>
                  <a:ext uri="{FF2B5EF4-FFF2-40B4-BE49-F238E27FC236}">
                    <a16:creationId xmlns:a16="http://schemas.microsoft.com/office/drawing/2014/main" id="{D5E74191-4BD2-CF31-360E-DD9998C8A09A}"/>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18">
                <a:extLst>
                  <a:ext uri="{FF2B5EF4-FFF2-40B4-BE49-F238E27FC236}">
                    <a16:creationId xmlns:a16="http://schemas.microsoft.com/office/drawing/2014/main" id="{9997E7FA-E460-2531-71FE-33089424D35B}"/>
                  </a:ext>
                </a:extLst>
              </xdr:cNvPr>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19">
                <a:extLst>
                  <a:ext uri="{FF2B5EF4-FFF2-40B4-BE49-F238E27FC236}">
                    <a16:creationId xmlns:a16="http://schemas.microsoft.com/office/drawing/2014/main" id="{BB19189C-58B7-D8A7-2E92-17D3DCDF9828}"/>
                  </a:ext>
                </a:extLst>
              </xdr:cNvPr>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Line 120">
              <a:extLst>
                <a:ext uri="{FF2B5EF4-FFF2-40B4-BE49-F238E27FC236}">
                  <a16:creationId xmlns:a16="http://schemas.microsoft.com/office/drawing/2014/main" id="{3B4E68F8-CFA6-2371-E3A3-C11D05120020}"/>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 name="Group 2">
            <a:extLst>
              <a:ext uri="{FF2B5EF4-FFF2-40B4-BE49-F238E27FC236}">
                <a16:creationId xmlns:a16="http://schemas.microsoft.com/office/drawing/2014/main" id="{BA3C6693-3DAD-1A40-A2A7-0FD757C75B14}"/>
              </a:ext>
            </a:extLst>
          </xdr:cNvPr>
          <xdr:cNvGrpSpPr>
            <a:grpSpLocks/>
          </xdr:cNvGrpSpPr>
        </xdr:nvGrpSpPr>
        <xdr:grpSpPr bwMode="auto">
          <a:xfrm>
            <a:off x="1214967" y="9175750"/>
            <a:ext cx="817032" cy="597957"/>
            <a:chOff x="1214967" y="9175750"/>
            <a:chExt cx="817032" cy="597957"/>
          </a:xfrm>
        </xdr:grpSpPr>
        <xdr:sp macro="" textlink="">
          <xdr:nvSpPr>
            <xdr:cNvPr id="88" name="Line 121">
              <a:extLst>
                <a:ext uri="{FF2B5EF4-FFF2-40B4-BE49-F238E27FC236}">
                  <a16:creationId xmlns:a16="http://schemas.microsoft.com/office/drawing/2014/main" id="{93C009F2-4AAA-2FB3-4744-F4239DF66241}"/>
                </a:ext>
              </a:extLst>
            </xdr:cNvPr>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9" name="Group 1">
              <a:extLst>
                <a:ext uri="{FF2B5EF4-FFF2-40B4-BE49-F238E27FC236}">
                  <a16:creationId xmlns:a16="http://schemas.microsoft.com/office/drawing/2014/main" id="{8FDDB705-8A0F-3FDB-08D9-3C98F4C331EE}"/>
                </a:ext>
              </a:extLst>
            </xdr:cNvPr>
            <xdr:cNvGrpSpPr>
              <a:grpSpLocks/>
            </xdr:cNvGrpSpPr>
          </xdr:nvGrpSpPr>
          <xdr:grpSpPr bwMode="auto">
            <a:xfrm>
              <a:off x="1500717" y="9175750"/>
              <a:ext cx="531282" cy="597957"/>
              <a:chOff x="1500717" y="9175750"/>
              <a:chExt cx="531282" cy="597957"/>
            </a:xfrm>
          </xdr:grpSpPr>
          <xdr:sp macro="" textlink="">
            <xdr:nvSpPr>
              <xdr:cNvPr id="90" name="Line 102">
                <a:extLst>
                  <a:ext uri="{FF2B5EF4-FFF2-40B4-BE49-F238E27FC236}">
                    <a16:creationId xmlns:a16="http://schemas.microsoft.com/office/drawing/2014/main" id="{499E4BC2-DA4D-1C95-B246-5C0F944C1147}"/>
                  </a:ext>
                </a:extLst>
              </xdr:cNvPr>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03">
                <a:extLst>
                  <a:ext uri="{FF2B5EF4-FFF2-40B4-BE49-F238E27FC236}">
                    <a16:creationId xmlns:a16="http://schemas.microsoft.com/office/drawing/2014/main" id="{8399916E-85FE-92FE-68AB-E3CEFB1F208C}"/>
                  </a:ext>
                </a:extLst>
              </xdr:cNvPr>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04">
                <a:extLst>
                  <a:ext uri="{FF2B5EF4-FFF2-40B4-BE49-F238E27FC236}">
                    <a16:creationId xmlns:a16="http://schemas.microsoft.com/office/drawing/2014/main" id="{CE5BD5E5-D91D-6F64-4ADB-397E826A0EE9}"/>
                  </a:ext>
                </a:extLst>
              </xdr:cNvPr>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05">
                <a:extLst>
                  <a:ext uri="{FF2B5EF4-FFF2-40B4-BE49-F238E27FC236}">
                    <a16:creationId xmlns:a16="http://schemas.microsoft.com/office/drawing/2014/main" id="{563D1E8A-EB40-A18A-6C47-15D3791B14FE}"/>
                  </a:ext>
                </a:extLst>
              </xdr:cNvPr>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4" name="Line 106">
                <a:extLst>
                  <a:ext uri="{FF2B5EF4-FFF2-40B4-BE49-F238E27FC236}">
                    <a16:creationId xmlns:a16="http://schemas.microsoft.com/office/drawing/2014/main" id="{A498CB00-8564-7E7B-1D8A-EE2526A0639A}"/>
                  </a:ext>
                </a:extLst>
              </xdr:cNvPr>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95" name="Line 107">
                <a:extLst>
                  <a:ext uri="{FF2B5EF4-FFF2-40B4-BE49-F238E27FC236}">
                    <a16:creationId xmlns:a16="http://schemas.microsoft.com/office/drawing/2014/main" id="{63845211-965E-050A-3E51-631EF2945E57}"/>
                  </a:ext>
                </a:extLst>
              </xdr:cNvPr>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6" name="Line 102">
                <a:extLst>
                  <a:ext uri="{FF2B5EF4-FFF2-40B4-BE49-F238E27FC236}">
                    <a16:creationId xmlns:a16="http://schemas.microsoft.com/office/drawing/2014/main" id="{A9B21533-54B3-CD3A-3DF5-8D6EDFFDA461}"/>
                  </a:ext>
                </a:extLst>
              </xdr:cNvPr>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3</xdr:col>
      <xdr:colOff>622935</xdr:colOff>
      <xdr:row>29</xdr:row>
      <xdr:rowOff>0</xdr:rowOff>
    </xdr:from>
    <xdr:to>
      <xdr:col>4</xdr:col>
      <xdr:colOff>695462</xdr:colOff>
      <xdr:row>29</xdr:row>
      <xdr:rowOff>161925</xdr:rowOff>
    </xdr:to>
    <xdr:sp macro="" textlink="">
      <xdr:nvSpPr>
        <xdr:cNvPr id="105" name="Text 219">
          <a:extLst>
            <a:ext uri="{FF2B5EF4-FFF2-40B4-BE49-F238E27FC236}">
              <a16:creationId xmlns:a16="http://schemas.microsoft.com/office/drawing/2014/main" id="{A41B245F-6CB2-454D-82B8-6FB227942AA7}"/>
            </a:ext>
          </a:extLst>
        </xdr:cNvPr>
        <xdr:cNvSpPr txBox="1">
          <a:spLocks noChangeArrowheads="1"/>
        </xdr:cNvSpPr>
      </xdr:nvSpPr>
      <xdr:spPr bwMode="auto">
        <a:xfrm>
          <a:off x="2318385" y="6696075"/>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622935</xdr:colOff>
      <xdr:row>35</xdr:row>
      <xdr:rowOff>9525</xdr:rowOff>
    </xdr:from>
    <xdr:to>
      <xdr:col>4</xdr:col>
      <xdr:colOff>695462</xdr:colOff>
      <xdr:row>35</xdr:row>
      <xdr:rowOff>171450</xdr:rowOff>
    </xdr:to>
    <xdr:sp macro="" textlink="">
      <xdr:nvSpPr>
        <xdr:cNvPr id="106" name="Text 219">
          <a:extLst>
            <a:ext uri="{FF2B5EF4-FFF2-40B4-BE49-F238E27FC236}">
              <a16:creationId xmlns:a16="http://schemas.microsoft.com/office/drawing/2014/main" id="{DF4B723A-2A83-4CDB-A50A-A95021B2406C}"/>
            </a:ext>
          </a:extLst>
        </xdr:cNvPr>
        <xdr:cNvSpPr txBox="1">
          <a:spLocks noChangeArrowheads="1"/>
        </xdr:cNvSpPr>
      </xdr:nvSpPr>
      <xdr:spPr bwMode="auto">
        <a:xfrm>
          <a:off x="2318385" y="807720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622935</xdr:colOff>
      <xdr:row>40</xdr:row>
      <xdr:rowOff>180975</xdr:rowOff>
    </xdr:from>
    <xdr:to>
      <xdr:col>4</xdr:col>
      <xdr:colOff>695462</xdr:colOff>
      <xdr:row>41</xdr:row>
      <xdr:rowOff>114300</xdr:rowOff>
    </xdr:to>
    <xdr:sp macro="" textlink="">
      <xdr:nvSpPr>
        <xdr:cNvPr id="107" name="Text 219">
          <a:extLst>
            <a:ext uri="{FF2B5EF4-FFF2-40B4-BE49-F238E27FC236}">
              <a16:creationId xmlns:a16="http://schemas.microsoft.com/office/drawing/2014/main" id="{B9BBAE0F-FD9A-41F6-A341-7A4B356D05E9}"/>
            </a:ext>
          </a:extLst>
        </xdr:cNvPr>
        <xdr:cNvSpPr txBox="1">
          <a:spLocks noChangeArrowheads="1"/>
        </xdr:cNvSpPr>
      </xdr:nvSpPr>
      <xdr:spPr bwMode="auto">
        <a:xfrm>
          <a:off x="2318385" y="939165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twoCellAnchor>
    <xdr:from>
      <xdr:col>9</xdr:col>
      <xdr:colOff>152400</xdr:colOff>
      <xdr:row>43</xdr:row>
      <xdr:rowOff>0</xdr:rowOff>
    </xdr:from>
    <xdr:to>
      <xdr:col>9</xdr:col>
      <xdr:colOff>361950</xdr:colOff>
      <xdr:row>43</xdr:row>
      <xdr:rowOff>0</xdr:rowOff>
    </xdr:to>
    <xdr:sp macro="" textlink="">
      <xdr:nvSpPr>
        <xdr:cNvPr id="108" name="Rectangle 107">
          <a:extLst>
            <a:ext uri="{FF2B5EF4-FFF2-40B4-BE49-F238E27FC236}">
              <a16:creationId xmlns:a16="http://schemas.microsoft.com/office/drawing/2014/main" id="{ACCBE18F-7C85-409C-9918-CBB5807FE40D}"/>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109" name="Rectangle 108">
          <a:extLst>
            <a:ext uri="{FF2B5EF4-FFF2-40B4-BE49-F238E27FC236}">
              <a16:creationId xmlns:a16="http://schemas.microsoft.com/office/drawing/2014/main" id="{2F77559A-0AA4-409E-8BEA-A944F1578718}"/>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110" name="Rectangle 109">
          <a:extLst>
            <a:ext uri="{FF2B5EF4-FFF2-40B4-BE49-F238E27FC236}">
              <a16:creationId xmlns:a16="http://schemas.microsoft.com/office/drawing/2014/main" id="{0F793DC6-6862-434A-82AD-6E0CDDB695C5}"/>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111" name="Rectangle 110">
          <a:extLst>
            <a:ext uri="{FF2B5EF4-FFF2-40B4-BE49-F238E27FC236}">
              <a16:creationId xmlns:a16="http://schemas.microsoft.com/office/drawing/2014/main" id="{3D0053E9-BF7D-4899-9214-6B8A2924638E}"/>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112" name="Rectangle 111">
          <a:extLst>
            <a:ext uri="{FF2B5EF4-FFF2-40B4-BE49-F238E27FC236}">
              <a16:creationId xmlns:a16="http://schemas.microsoft.com/office/drawing/2014/main" id="{CFA5704A-F2D5-4884-8A98-EE3068CE3BEF}"/>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44</xdr:row>
      <xdr:rowOff>0</xdr:rowOff>
    </xdr:from>
    <xdr:to>
      <xdr:col>9</xdr:col>
      <xdr:colOff>361950</xdr:colOff>
      <xdr:row>44</xdr:row>
      <xdr:rowOff>0</xdr:rowOff>
    </xdr:to>
    <xdr:sp macro="" textlink="">
      <xdr:nvSpPr>
        <xdr:cNvPr id="113" name="Rectangle 255">
          <a:extLst>
            <a:ext uri="{FF2B5EF4-FFF2-40B4-BE49-F238E27FC236}">
              <a16:creationId xmlns:a16="http://schemas.microsoft.com/office/drawing/2014/main" id="{B0A80430-95D7-4C3C-8B8F-222547E54EB2}"/>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114" name="Rectangle 256">
          <a:extLst>
            <a:ext uri="{FF2B5EF4-FFF2-40B4-BE49-F238E27FC236}">
              <a16:creationId xmlns:a16="http://schemas.microsoft.com/office/drawing/2014/main" id="{3EEE96E2-34F2-4DF1-B9A9-151E1DFAC602}"/>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115" name="Rectangle 257">
          <a:extLst>
            <a:ext uri="{FF2B5EF4-FFF2-40B4-BE49-F238E27FC236}">
              <a16:creationId xmlns:a16="http://schemas.microsoft.com/office/drawing/2014/main" id="{065A8F45-279E-4835-BB61-54EF850EB6EA}"/>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116" name="Rectangle 258">
          <a:extLst>
            <a:ext uri="{FF2B5EF4-FFF2-40B4-BE49-F238E27FC236}">
              <a16:creationId xmlns:a16="http://schemas.microsoft.com/office/drawing/2014/main" id="{E7F09A21-CD4B-4160-9DCF-BE775CE77D6B}"/>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117" name="Rectangle 259">
          <a:extLst>
            <a:ext uri="{FF2B5EF4-FFF2-40B4-BE49-F238E27FC236}">
              <a16:creationId xmlns:a16="http://schemas.microsoft.com/office/drawing/2014/main" id="{6F6E94D0-CF25-4501-AFD9-66FFA9F31515}"/>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43</xdr:row>
      <xdr:rowOff>0</xdr:rowOff>
    </xdr:from>
    <xdr:to>
      <xdr:col>9</xdr:col>
      <xdr:colOff>361950</xdr:colOff>
      <xdr:row>43</xdr:row>
      <xdr:rowOff>0</xdr:rowOff>
    </xdr:to>
    <xdr:sp macro="" textlink="">
      <xdr:nvSpPr>
        <xdr:cNvPr id="118" name="Rectangle 117">
          <a:extLst>
            <a:ext uri="{FF2B5EF4-FFF2-40B4-BE49-F238E27FC236}">
              <a16:creationId xmlns:a16="http://schemas.microsoft.com/office/drawing/2014/main" id="{4816100A-8BDF-40E8-ACFF-9FB681F88A2F}"/>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119" name="Rectangle 118">
          <a:extLst>
            <a:ext uri="{FF2B5EF4-FFF2-40B4-BE49-F238E27FC236}">
              <a16:creationId xmlns:a16="http://schemas.microsoft.com/office/drawing/2014/main" id="{ABE988B1-C288-477E-94A6-EA9E14F44105}"/>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120" name="Rectangle 119">
          <a:extLst>
            <a:ext uri="{FF2B5EF4-FFF2-40B4-BE49-F238E27FC236}">
              <a16:creationId xmlns:a16="http://schemas.microsoft.com/office/drawing/2014/main" id="{3143A356-E483-4E9C-9FBF-11D145F30CD0}"/>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121" name="Rectangle 120">
          <a:extLst>
            <a:ext uri="{FF2B5EF4-FFF2-40B4-BE49-F238E27FC236}">
              <a16:creationId xmlns:a16="http://schemas.microsoft.com/office/drawing/2014/main" id="{F25CE303-61B3-4D9F-9627-19653BD01B92}"/>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122" name="Rectangle 121">
          <a:extLst>
            <a:ext uri="{FF2B5EF4-FFF2-40B4-BE49-F238E27FC236}">
              <a16:creationId xmlns:a16="http://schemas.microsoft.com/office/drawing/2014/main" id="{F8F46A2E-5A6A-4B9B-A5BC-75D28921C429}"/>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44</xdr:row>
      <xdr:rowOff>0</xdr:rowOff>
    </xdr:from>
    <xdr:to>
      <xdr:col>9</xdr:col>
      <xdr:colOff>361950</xdr:colOff>
      <xdr:row>44</xdr:row>
      <xdr:rowOff>0</xdr:rowOff>
    </xdr:to>
    <xdr:sp macro="" textlink="">
      <xdr:nvSpPr>
        <xdr:cNvPr id="123" name="Rectangle 255">
          <a:extLst>
            <a:ext uri="{FF2B5EF4-FFF2-40B4-BE49-F238E27FC236}">
              <a16:creationId xmlns:a16="http://schemas.microsoft.com/office/drawing/2014/main" id="{B6836CA0-48A3-4306-B28B-3A2D9C03126A}"/>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124" name="Rectangle 256">
          <a:extLst>
            <a:ext uri="{FF2B5EF4-FFF2-40B4-BE49-F238E27FC236}">
              <a16:creationId xmlns:a16="http://schemas.microsoft.com/office/drawing/2014/main" id="{2ECA5B84-37A3-4B00-9C30-AE45AC4EF829}"/>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125" name="Rectangle 257">
          <a:extLst>
            <a:ext uri="{FF2B5EF4-FFF2-40B4-BE49-F238E27FC236}">
              <a16:creationId xmlns:a16="http://schemas.microsoft.com/office/drawing/2014/main" id="{2777F836-60B0-4DB6-A28A-B236CBEE85CC}"/>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126" name="Rectangle 258">
          <a:extLst>
            <a:ext uri="{FF2B5EF4-FFF2-40B4-BE49-F238E27FC236}">
              <a16:creationId xmlns:a16="http://schemas.microsoft.com/office/drawing/2014/main" id="{6BBADE21-E83F-47AD-8044-6AAFC80E089C}"/>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127" name="Rectangle 259">
          <a:extLst>
            <a:ext uri="{FF2B5EF4-FFF2-40B4-BE49-F238E27FC236}">
              <a16:creationId xmlns:a16="http://schemas.microsoft.com/office/drawing/2014/main" id="{0548BCFF-E0BA-4E4C-B65B-5D9CB11AC8B5}"/>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38A097DE-A866-43A8-B12D-7A5D66F53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E3EFC961-F04B-45F2-B199-54058C6AD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0.63994</cdr:x>
      <cdr:y>0.64877</cdr:y>
    </cdr:from>
    <cdr:to>
      <cdr:x>0.87554</cdr:x>
      <cdr:y>0.66922</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0.63994</cdr:x>
      <cdr:y>0.54311</cdr:y>
    </cdr:from>
    <cdr:to>
      <cdr:x>0.92227</cdr:x>
      <cdr:y>0.56823</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0.66749</cdr:x>
      <cdr:y>0.75985</cdr:y>
    </cdr:from>
    <cdr:to>
      <cdr:x>0.91268</cdr:x>
      <cdr:y>0.78474</cdr:y>
    </cdr:to>
    <cdr:sp macro="" textlink="">
      <cdr:nvSpPr>
        <cdr:cNvPr id="5135" name="Acceleration"/>
        <cdr:cNvSpPr txBox="1">
          <a:spLocks xmlns:a="http://schemas.openxmlformats.org/drawingml/2006/main" noChangeArrowheads="1"/>
        </cdr:cNvSpPr>
      </cdr:nvSpPr>
      <cdr:spPr bwMode="auto">
        <a:xfrm xmlns:a="http://schemas.openxmlformats.org/drawingml/2006/main">
          <a:off x="3917521" y="4907802"/>
          <a:ext cx="1437775" cy="1620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0.29956</cdr:x>
      <cdr:y>0.36108</cdr:y>
    </cdr:from>
    <cdr:to>
      <cdr:x>0.6237</cdr:x>
      <cdr:y>0.38818</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0.62346</cdr:x>
      <cdr:y>0.19384</cdr:y>
    </cdr:from>
    <cdr:to>
      <cdr:x>0.94834</cdr:x>
      <cdr:y>0.22242</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a:lstStyle xmlns:a="http://schemas.openxmlformats.org/drawingml/2006/main"/>
        <a:p xmlns:a="http://schemas.openxmlformats.org/drawingml/2006/main">
          <a:r>
            <a:rPr lang="en-US"/>
            <a:t>LOAD TYPE: FAN / PUMP</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6C1CA731-06C9-44FD-AA75-AEDC117F5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581025</xdr:colOff>
      <xdr:row>16</xdr:row>
      <xdr:rowOff>85725</xdr:rowOff>
    </xdr:from>
    <xdr:to>
      <xdr:col>0</xdr:col>
      <xdr:colOff>1104900</xdr:colOff>
      <xdr:row>17</xdr:row>
      <xdr:rowOff>57150</xdr:rowOff>
    </xdr:to>
    <xdr:sp macro="" textlink="">
      <xdr:nvSpPr>
        <xdr:cNvPr id="3" name="RPM11">
          <a:extLst>
            <a:ext uri="{FF2B5EF4-FFF2-40B4-BE49-F238E27FC236}">
              <a16:creationId xmlns:a16="http://schemas.microsoft.com/office/drawing/2014/main" id="{95AE4CA9-6CF6-4ADE-9222-D1EC6593D7D3}"/>
            </a:ext>
          </a:extLst>
        </xdr:cNvPr>
        <xdr:cNvSpPr txBox="1">
          <a:spLocks noChangeArrowheads="1"/>
        </xdr:cNvSpPr>
      </xdr:nvSpPr>
      <xdr:spPr bwMode="auto">
        <a:xfrm>
          <a:off x="581025" y="39814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571500</xdr:colOff>
      <xdr:row>18</xdr:row>
      <xdr:rowOff>28575</xdr:rowOff>
    </xdr:from>
    <xdr:to>
      <xdr:col>0</xdr:col>
      <xdr:colOff>1095375</xdr:colOff>
      <xdr:row>19</xdr:row>
      <xdr:rowOff>0</xdr:rowOff>
    </xdr:to>
    <xdr:sp macro="" textlink="">
      <xdr:nvSpPr>
        <xdr:cNvPr id="4" name="RPM10">
          <a:extLst>
            <a:ext uri="{FF2B5EF4-FFF2-40B4-BE49-F238E27FC236}">
              <a16:creationId xmlns:a16="http://schemas.microsoft.com/office/drawing/2014/main" id="{46CD84BF-EF7F-4025-8F25-CDA4A86E0794}"/>
            </a:ext>
          </a:extLst>
        </xdr:cNvPr>
        <xdr:cNvSpPr txBox="1">
          <a:spLocks noChangeArrowheads="1"/>
        </xdr:cNvSpPr>
      </xdr:nvSpPr>
      <xdr:spPr bwMode="auto">
        <a:xfrm>
          <a:off x="571500" y="44005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3597</a:t>
          </a:r>
        </a:p>
      </xdr:txBody>
    </xdr:sp>
    <xdr:clientData/>
  </xdr:twoCellAnchor>
  <xdr:twoCellAnchor>
    <xdr:from>
      <xdr:col>0</xdr:col>
      <xdr:colOff>561975</xdr:colOff>
      <xdr:row>19</xdr:row>
      <xdr:rowOff>200025</xdr:rowOff>
    </xdr:from>
    <xdr:to>
      <xdr:col>0</xdr:col>
      <xdr:colOff>1085850</xdr:colOff>
      <xdr:row>20</xdr:row>
      <xdr:rowOff>171450</xdr:rowOff>
    </xdr:to>
    <xdr:sp macro="" textlink="">
      <xdr:nvSpPr>
        <xdr:cNvPr id="5" name="RPM9">
          <a:extLst>
            <a:ext uri="{FF2B5EF4-FFF2-40B4-BE49-F238E27FC236}">
              <a16:creationId xmlns:a16="http://schemas.microsoft.com/office/drawing/2014/main" id="{5C359919-244B-4EB9-9F17-071A3B8D5BF1}"/>
            </a:ext>
          </a:extLst>
        </xdr:cNvPr>
        <xdr:cNvSpPr txBox="1">
          <a:spLocks noChangeArrowheads="1"/>
        </xdr:cNvSpPr>
      </xdr:nvSpPr>
      <xdr:spPr bwMode="auto">
        <a:xfrm>
          <a:off x="561975" y="48101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3594</a:t>
          </a:r>
        </a:p>
      </xdr:txBody>
    </xdr:sp>
    <xdr:clientData/>
  </xdr:twoCellAnchor>
  <xdr:twoCellAnchor>
    <xdr:from>
      <xdr:col>0</xdr:col>
      <xdr:colOff>561975</xdr:colOff>
      <xdr:row>21</xdr:row>
      <xdr:rowOff>133350</xdr:rowOff>
    </xdr:from>
    <xdr:to>
      <xdr:col>0</xdr:col>
      <xdr:colOff>1085850</xdr:colOff>
      <xdr:row>22</xdr:row>
      <xdr:rowOff>104775</xdr:rowOff>
    </xdr:to>
    <xdr:sp macro="" textlink="">
      <xdr:nvSpPr>
        <xdr:cNvPr id="6" name="RPM8">
          <a:extLst>
            <a:ext uri="{FF2B5EF4-FFF2-40B4-BE49-F238E27FC236}">
              <a16:creationId xmlns:a16="http://schemas.microsoft.com/office/drawing/2014/main" id="{56C2CC18-9967-4541-941C-CE189AD231F5}"/>
            </a:ext>
          </a:extLst>
        </xdr:cNvPr>
        <xdr:cNvSpPr txBox="1">
          <a:spLocks noChangeArrowheads="1"/>
        </xdr:cNvSpPr>
      </xdr:nvSpPr>
      <xdr:spPr bwMode="auto">
        <a:xfrm>
          <a:off x="561975" y="52197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3591</a:t>
          </a:r>
        </a:p>
      </xdr:txBody>
    </xdr:sp>
    <xdr:clientData/>
  </xdr:twoCellAnchor>
  <xdr:twoCellAnchor>
    <xdr:from>
      <xdr:col>0</xdr:col>
      <xdr:colOff>571500</xdr:colOff>
      <xdr:row>23</xdr:row>
      <xdr:rowOff>66675</xdr:rowOff>
    </xdr:from>
    <xdr:to>
      <xdr:col>0</xdr:col>
      <xdr:colOff>1095375</xdr:colOff>
      <xdr:row>24</xdr:row>
      <xdr:rowOff>38100</xdr:rowOff>
    </xdr:to>
    <xdr:sp macro="" textlink="">
      <xdr:nvSpPr>
        <xdr:cNvPr id="7" name="RPM7">
          <a:extLst>
            <a:ext uri="{FF2B5EF4-FFF2-40B4-BE49-F238E27FC236}">
              <a16:creationId xmlns:a16="http://schemas.microsoft.com/office/drawing/2014/main" id="{67804EF6-1736-4D4B-8F3F-C36589DEBF28}"/>
            </a:ext>
          </a:extLst>
        </xdr:cNvPr>
        <xdr:cNvSpPr txBox="1">
          <a:spLocks noChangeArrowheads="1"/>
        </xdr:cNvSpPr>
      </xdr:nvSpPr>
      <xdr:spPr bwMode="auto">
        <a:xfrm>
          <a:off x="571500" y="56292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571500</xdr:colOff>
      <xdr:row>25</xdr:row>
      <xdr:rowOff>0</xdr:rowOff>
    </xdr:from>
    <xdr:to>
      <xdr:col>0</xdr:col>
      <xdr:colOff>1095375</xdr:colOff>
      <xdr:row>25</xdr:row>
      <xdr:rowOff>209550</xdr:rowOff>
    </xdr:to>
    <xdr:sp macro="" textlink="">
      <xdr:nvSpPr>
        <xdr:cNvPr id="8" name="RPM6">
          <a:extLst>
            <a:ext uri="{FF2B5EF4-FFF2-40B4-BE49-F238E27FC236}">
              <a16:creationId xmlns:a16="http://schemas.microsoft.com/office/drawing/2014/main" id="{56713911-1324-4FD3-9914-BFA00029CF00}"/>
            </a:ext>
          </a:extLst>
        </xdr:cNvPr>
        <xdr:cNvSpPr txBox="1">
          <a:spLocks noChangeArrowheads="1"/>
        </xdr:cNvSpPr>
      </xdr:nvSpPr>
      <xdr:spPr bwMode="auto">
        <a:xfrm>
          <a:off x="571500" y="60388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3585</a:t>
          </a:r>
        </a:p>
      </xdr:txBody>
    </xdr:sp>
    <xdr:clientData/>
  </xdr:twoCellAnchor>
  <xdr:twoCellAnchor>
    <xdr:from>
      <xdr:col>0</xdr:col>
      <xdr:colOff>561975</xdr:colOff>
      <xdr:row>26</xdr:row>
      <xdr:rowOff>171450</xdr:rowOff>
    </xdr:from>
    <xdr:to>
      <xdr:col>0</xdr:col>
      <xdr:colOff>1085850</xdr:colOff>
      <xdr:row>27</xdr:row>
      <xdr:rowOff>142875</xdr:rowOff>
    </xdr:to>
    <xdr:sp macro="" textlink="">
      <xdr:nvSpPr>
        <xdr:cNvPr id="9" name="RPM5">
          <a:extLst>
            <a:ext uri="{FF2B5EF4-FFF2-40B4-BE49-F238E27FC236}">
              <a16:creationId xmlns:a16="http://schemas.microsoft.com/office/drawing/2014/main" id="{A89442FB-48F9-4D2D-93E9-58A66639D6B3}"/>
            </a:ext>
          </a:extLst>
        </xdr:cNvPr>
        <xdr:cNvSpPr txBox="1">
          <a:spLocks noChangeArrowheads="1"/>
        </xdr:cNvSpPr>
      </xdr:nvSpPr>
      <xdr:spPr bwMode="auto">
        <a:xfrm>
          <a:off x="561975" y="64484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3582</a:t>
          </a:r>
        </a:p>
      </xdr:txBody>
    </xdr:sp>
    <xdr:clientData/>
  </xdr:twoCellAnchor>
  <xdr:twoCellAnchor>
    <xdr:from>
      <xdr:col>0</xdr:col>
      <xdr:colOff>552450</xdr:colOff>
      <xdr:row>28</xdr:row>
      <xdr:rowOff>104775</xdr:rowOff>
    </xdr:from>
    <xdr:to>
      <xdr:col>0</xdr:col>
      <xdr:colOff>1076325</xdr:colOff>
      <xdr:row>29</xdr:row>
      <xdr:rowOff>76200</xdr:rowOff>
    </xdr:to>
    <xdr:sp macro="" textlink="">
      <xdr:nvSpPr>
        <xdr:cNvPr id="10" name="RPM4">
          <a:extLst>
            <a:ext uri="{FF2B5EF4-FFF2-40B4-BE49-F238E27FC236}">
              <a16:creationId xmlns:a16="http://schemas.microsoft.com/office/drawing/2014/main" id="{52E380D8-0368-4E77-A7C3-3A8530E687E8}"/>
            </a:ext>
          </a:extLst>
        </xdr:cNvPr>
        <xdr:cNvSpPr txBox="1">
          <a:spLocks noChangeArrowheads="1"/>
        </xdr:cNvSpPr>
      </xdr:nvSpPr>
      <xdr:spPr bwMode="auto">
        <a:xfrm>
          <a:off x="552450" y="68580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3579</a:t>
          </a:r>
        </a:p>
      </xdr:txBody>
    </xdr:sp>
    <xdr:clientData/>
  </xdr:twoCellAnchor>
  <xdr:twoCellAnchor>
    <xdr:from>
      <xdr:col>0</xdr:col>
      <xdr:colOff>552450</xdr:colOff>
      <xdr:row>30</xdr:row>
      <xdr:rowOff>47625</xdr:rowOff>
    </xdr:from>
    <xdr:to>
      <xdr:col>0</xdr:col>
      <xdr:colOff>1076325</xdr:colOff>
      <xdr:row>31</xdr:row>
      <xdr:rowOff>19050</xdr:rowOff>
    </xdr:to>
    <xdr:sp macro="" textlink="">
      <xdr:nvSpPr>
        <xdr:cNvPr id="11" name="RPM3">
          <a:extLst>
            <a:ext uri="{FF2B5EF4-FFF2-40B4-BE49-F238E27FC236}">
              <a16:creationId xmlns:a16="http://schemas.microsoft.com/office/drawing/2014/main" id="{B955A5B4-A105-4834-A4C4-5387C1EE126F}"/>
            </a:ext>
          </a:extLst>
        </xdr:cNvPr>
        <xdr:cNvSpPr txBox="1">
          <a:spLocks noChangeArrowheads="1"/>
        </xdr:cNvSpPr>
      </xdr:nvSpPr>
      <xdr:spPr bwMode="auto">
        <a:xfrm>
          <a:off x="552450" y="72771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3576</a:t>
          </a:r>
        </a:p>
      </xdr:txBody>
    </xdr:sp>
    <xdr:clientData/>
  </xdr:twoCellAnchor>
  <xdr:twoCellAnchor>
    <xdr:from>
      <xdr:col>0</xdr:col>
      <xdr:colOff>552450</xdr:colOff>
      <xdr:row>31</xdr:row>
      <xdr:rowOff>219075</xdr:rowOff>
    </xdr:from>
    <xdr:to>
      <xdr:col>0</xdr:col>
      <xdr:colOff>1076325</xdr:colOff>
      <xdr:row>32</xdr:row>
      <xdr:rowOff>190500</xdr:rowOff>
    </xdr:to>
    <xdr:sp macro="" textlink="">
      <xdr:nvSpPr>
        <xdr:cNvPr id="12" name="RPM2">
          <a:extLst>
            <a:ext uri="{FF2B5EF4-FFF2-40B4-BE49-F238E27FC236}">
              <a16:creationId xmlns:a16="http://schemas.microsoft.com/office/drawing/2014/main" id="{AE753A9A-EF20-4FCA-A18F-E548A4FE8BD7}"/>
            </a:ext>
          </a:extLst>
        </xdr:cNvPr>
        <xdr:cNvSpPr txBox="1">
          <a:spLocks noChangeArrowheads="1"/>
        </xdr:cNvSpPr>
      </xdr:nvSpPr>
      <xdr:spPr bwMode="auto">
        <a:xfrm>
          <a:off x="552450" y="76866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3573</a:t>
          </a:r>
        </a:p>
      </xdr:txBody>
    </xdr:sp>
    <xdr:clientData/>
  </xdr:twoCellAnchor>
  <xdr:twoCellAnchor>
    <xdr:from>
      <xdr:col>0</xdr:col>
      <xdr:colOff>561975</xdr:colOff>
      <xdr:row>33</xdr:row>
      <xdr:rowOff>152400</xdr:rowOff>
    </xdr:from>
    <xdr:to>
      <xdr:col>0</xdr:col>
      <xdr:colOff>1085850</xdr:colOff>
      <xdr:row>34</xdr:row>
      <xdr:rowOff>123825</xdr:rowOff>
    </xdr:to>
    <xdr:sp macro="" textlink="">
      <xdr:nvSpPr>
        <xdr:cNvPr id="13" name="RPM1">
          <a:extLst>
            <a:ext uri="{FF2B5EF4-FFF2-40B4-BE49-F238E27FC236}">
              <a16:creationId xmlns:a16="http://schemas.microsoft.com/office/drawing/2014/main" id="{4B4FD443-F7C0-4BD9-8F22-63E72674BDE3}"/>
            </a:ext>
          </a:extLst>
        </xdr:cNvPr>
        <xdr:cNvSpPr txBox="1">
          <a:spLocks noChangeArrowheads="1"/>
        </xdr:cNvSpPr>
      </xdr:nvSpPr>
      <xdr:spPr bwMode="auto">
        <a:xfrm>
          <a:off x="561975" y="80962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3570</a:t>
          </a:r>
        </a:p>
      </xdr:txBody>
    </xdr:sp>
    <xdr:clientData/>
  </xdr:twoCellAnchor>
  <xdr:twoCellAnchor>
    <xdr:from>
      <xdr:col>0</xdr:col>
      <xdr:colOff>190500</xdr:colOff>
      <xdr:row>24</xdr:row>
      <xdr:rowOff>133350</xdr:rowOff>
    </xdr:from>
    <xdr:to>
      <xdr:col>0</xdr:col>
      <xdr:colOff>400050</xdr:colOff>
      <xdr:row>27</xdr:row>
      <xdr:rowOff>0</xdr:rowOff>
    </xdr:to>
    <xdr:sp macro="" textlink="">
      <xdr:nvSpPr>
        <xdr:cNvPr id="14" name="RPM">
          <a:extLst>
            <a:ext uri="{FF2B5EF4-FFF2-40B4-BE49-F238E27FC236}">
              <a16:creationId xmlns:a16="http://schemas.microsoft.com/office/drawing/2014/main" id="{19266D76-1036-4340-9C81-FE2BCC179180}"/>
            </a:ext>
          </a:extLst>
        </xdr:cNvPr>
        <xdr:cNvSpPr txBox="1">
          <a:spLocks noChangeArrowheads="1"/>
        </xdr:cNvSpPr>
      </xdr:nvSpPr>
      <xdr:spPr bwMode="auto">
        <a:xfrm>
          <a:off x="190500" y="5934075"/>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85726</xdr:rowOff>
    </xdr:from>
    <xdr:to>
      <xdr:col>5</xdr:col>
      <xdr:colOff>828674</xdr:colOff>
      <xdr:row>17</xdr:row>
      <xdr:rowOff>9526</xdr:rowOff>
    </xdr:to>
    <xdr:sp macro="" textlink="">
      <xdr:nvSpPr>
        <xdr:cNvPr id="15" name="Watts11">
          <a:extLst>
            <a:ext uri="{FF2B5EF4-FFF2-40B4-BE49-F238E27FC236}">
              <a16:creationId xmlns:a16="http://schemas.microsoft.com/office/drawing/2014/main" id="{F6CA40DC-81DE-4CCD-978D-67EC62E9B456}"/>
            </a:ext>
          </a:extLst>
        </xdr:cNvPr>
        <xdr:cNvSpPr txBox="1">
          <a:spLocks noChangeArrowheads="1"/>
        </xdr:cNvSpPr>
      </xdr:nvSpPr>
      <xdr:spPr bwMode="auto">
        <a:xfrm>
          <a:off x="5924549" y="39814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2000</a:t>
          </a:r>
        </a:p>
      </xdr:txBody>
    </xdr:sp>
    <xdr:clientData/>
  </xdr:twoCellAnchor>
  <xdr:twoCellAnchor>
    <xdr:from>
      <xdr:col>5</xdr:col>
      <xdr:colOff>381000</xdr:colOff>
      <xdr:row>25</xdr:row>
      <xdr:rowOff>0</xdr:rowOff>
    </xdr:from>
    <xdr:to>
      <xdr:col>5</xdr:col>
      <xdr:colOff>918308</xdr:colOff>
      <xdr:row>25</xdr:row>
      <xdr:rowOff>170021</xdr:rowOff>
    </xdr:to>
    <xdr:sp macro="" textlink="">
      <xdr:nvSpPr>
        <xdr:cNvPr id="16" name="Watts6">
          <a:extLst>
            <a:ext uri="{FF2B5EF4-FFF2-40B4-BE49-F238E27FC236}">
              <a16:creationId xmlns:a16="http://schemas.microsoft.com/office/drawing/2014/main" id="{0CA01310-F2D3-48AD-A872-260BB692823A}"/>
            </a:ext>
          </a:extLst>
        </xdr:cNvPr>
        <xdr:cNvSpPr txBox="1">
          <a:spLocks noChangeArrowheads="1"/>
        </xdr:cNvSpPr>
      </xdr:nvSpPr>
      <xdr:spPr bwMode="auto">
        <a:xfrm>
          <a:off x="5953125" y="6038850"/>
          <a:ext cx="537308" cy="17002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1000</a:t>
          </a:r>
        </a:p>
      </xdr:txBody>
    </xdr:sp>
    <xdr:clientData/>
  </xdr:twoCellAnchor>
  <xdr:twoCellAnchor>
    <xdr:from>
      <xdr:col>5</xdr:col>
      <xdr:colOff>371474</xdr:colOff>
      <xdr:row>26</xdr:row>
      <xdr:rowOff>180976</xdr:rowOff>
    </xdr:from>
    <xdr:to>
      <xdr:col>5</xdr:col>
      <xdr:colOff>847724</xdr:colOff>
      <xdr:row>27</xdr:row>
      <xdr:rowOff>104776</xdr:rowOff>
    </xdr:to>
    <xdr:sp macro="" textlink="">
      <xdr:nvSpPr>
        <xdr:cNvPr id="17" name="Watts5">
          <a:extLst>
            <a:ext uri="{FF2B5EF4-FFF2-40B4-BE49-F238E27FC236}">
              <a16:creationId xmlns:a16="http://schemas.microsoft.com/office/drawing/2014/main" id="{79C06A1E-5894-4B45-BB1E-734FB94CF3E6}"/>
            </a:ext>
          </a:extLst>
        </xdr:cNvPr>
        <xdr:cNvSpPr txBox="1">
          <a:spLocks noChangeArrowheads="1"/>
        </xdr:cNvSpPr>
      </xdr:nvSpPr>
      <xdr:spPr bwMode="auto">
        <a:xfrm>
          <a:off x="5943599" y="64579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380999</xdr:colOff>
      <xdr:row>28</xdr:row>
      <xdr:rowOff>114301</xdr:rowOff>
    </xdr:from>
    <xdr:to>
      <xdr:col>5</xdr:col>
      <xdr:colOff>857249</xdr:colOff>
      <xdr:row>29</xdr:row>
      <xdr:rowOff>38101</xdr:rowOff>
    </xdr:to>
    <xdr:sp macro="" textlink="">
      <xdr:nvSpPr>
        <xdr:cNvPr id="18" name="Watts4">
          <a:extLst>
            <a:ext uri="{FF2B5EF4-FFF2-40B4-BE49-F238E27FC236}">
              <a16:creationId xmlns:a16="http://schemas.microsoft.com/office/drawing/2014/main" id="{AD7FB2D1-D99A-48CC-B28D-C6190A9A9048}"/>
            </a:ext>
          </a:extLst>
        </xdr:cNvPr>
        <xdr:cNvSpPr txBox="1">
          <a:spLocks noChangeArrowheads="1"/>
        </xdr:cNvSpPr>
      </xdr:nvSpPr>
      <xdr:spPr bwMode="auto">
        <a:xfrm>
          <a:off x="5953124" y="68675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600</a:t>
          </a:r>
        </a:p>
      </xdr:txBody>
    </xdr:sp>
    <xdr:clientData/>
  </xdr:twoCellAnchor>
  <xdr:twoCellAnchor>
    <xdr:from>
      <xdr:col>5</xdr:col>
      <xdr:colOff>371474</xdr:colOff>
      <xdr:row>30</xdr:row>
      <xdr:rowOff>38101</xdr:rowOff>
    </xdr:from>
    <xdr:to>
      <xdr:col>5</xdr:col>
      <xdr:colOff>847724</xdr:colOff>
      <xdr:row>30</xdr:row>
      <xdr:rowOff>200026</xdr:rowOff>
    </xdr:to>
    <xdr:sp macro="" textlink="">
      <xdr:nvSpPr>
        <xdr:cNvPr id="19" name="Watts3">
          <a:extLst>
            <a:ext uri="{FF2B5EF4-FFF2-40B4-BE49-F238E27FC236}">
              <a16:creationId xmlns:a16="http://schemas.microsoft.com/office/drawing/2014/main" id="{E6096614-2B70-42BD-8172-4F5F2E70452D}"/>
            </a:ext>
          </a:extLst>
        </xdr:cNvPr>
        <xdr:cNvSpPr txBox="1">
          <a:spLocks noChangeArrowheads="1"/>
        </xdr:cNvSpPr>
      </xdr:nvSpPr>
      <xdr:spPr bwMode="auto">
        <a:xfrm>
          <a:off x="5943599" y="72675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a:t>
          </a:r>
        </a:p>
      </xdr:txBody>
    </xdr:sp>
    <xdr:clientData/>
  </xdr:twoCellAnchor>
  <xdr:twoCellAnchor>
    <xdr:from>
      <xdr:col>5</xdr:col>
      <xdr:colOff>371474</xdr:colOff>
      <xdr:row>31</xdr:row>
      <xdr:rowOff>219076</xdr:rowOff>
    </xdr:from>
    <xdr:to>
      <xdr:col>5</xdr:col>
      <xdr:colOff>847724</xdr:colOff>
      <xdr:row>32</xdr:row>
      <xdr:rowOff>142876</xdr:rowOff>
    </xdr:to>
    <xdr:sp macro="" textlink="">
      <xdr:nvSpPr>
        <xdr:cNvPr id="20" name="Watts2">
          <a:extLst>
            <a:ext uri="{FF2B5EF4-FFF2-40B4-BE49-F238E27FC236}">
              <a16:creationId xmlns:a16="http://schemas.microsoft.com/office/drawing/2014/main" id="{E491B649-7884-4EA1-B6D6-8B97E03CADA4}"/>
            </a:ext>
          </a:extLst>
        </xdr:cNvPr>
        <xdr:cNvSpPr txBox="1">
          <a:spLocks noChangeArrowheads="1"/>
        </xdr:cNvSpPr>
      </xdr:nvSpPr>
      <xdr:spPr bwMode="auto">
        <a:xfrm>
          <a:off x="5943599" y="76866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200</a:t>
          </a:r>
        </a:p>
      </xdr:txBody>
    </xdr:sp>
    <xdr:clientData/>
  </xdr:twoCellAnchor>
  <xdr:twoCellAnchor>
    <xdr:from>
      <xdr:col>5</xdr:col>
      <xdr:colOff>828675</xdr:colOff>
      <xdr:row>22</xdr:row>
      <xdr:rowOff>190500</xdr:rowOff>
    </xdr:from>
    <xdr:to>
      <xdr:col>5</xdr:col>
      <xdr:colOff>1047750</xdr:colOff>
      <xdr:row>28</xdr:row>
      <xdr:rowOff>85725</xdr:rowOff>
    </xdr:to>
    <xdr:sp macro="" textlink="">
      <xdr:nvSpPr>
        <xdr:cNvPr id="21" name="Input Watts">
          <a:extLst>
            <a:ext uri="{FF2B5EF4-FFF2-40B4-BE49-F238E27FC236}">
              <a16:creationId xmlns:a16="http://schemas.microsoft.com/office/drawing/2014/main" id="{8A19C280-C7A6-4ACD-B158-E174FC36513A}"/>
            </a:ext>
          </a:extLst>
        </xdr:cNvPr>
        <xdr:cNvSpPr txBox="1">
          <a:spLocks noChangeArrowheads="1"/>
        </xdr:cNvSpPr>
      </xdr:nvSpPr>
      <xdr:spPr bwMode="auto">
        <a:xfrm>
          <a:off x="6400800" y="551497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66676</xdr:rowOff>
    </xdr:from>
    <xdr:to>
      <xdr:col>5</xdr:col>
      <xdr:colOff>847724</xdr:colOff>
      <xdr:row>23</xdr:row>
      <xdr:rowOff>228601</xdr:rowOff>
    </xdr:to>
    <xdr:sp macro="" textlink="">
      <xdr:nvSpPr>
        <xdr:cNvPr id="22" name="Watts7">
          <a:extLst>
            <a:ext uri="{FF2B5EF4-FFF2-40B4-BE49-F238E27FC236}">
              <a16:creationId xmlns:a16="http://schemas.microsoft.com/office/drawing/2014/main" id="{A48BBECD-C560-4C1F-BC7B-ABEDCF91CF4E}"/>
            </a:ext>
          </a:extLst>
        </xdr:cNvPr>
        <xdr:cNvSpPr txBox="1">
          <a:spLocks noChangeArrowheads="1"/>
        </xdr:cNvSpPr>
      </xdr:nvSpPr>
      <xdr:spPr bwMode="auto">
        <a:xfrm>
          <a:off x="5943599" y="56292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1200</a:t>
          </a:r>
        </a:p>
      </xdr:txBody>
    </xdr:sp>
    <xdr:clientData/>
  </xdr:twoCellAnchor>
  <xdr:twoCellAnchor>
    <xdr:from>
      <xdr:col>5</xdr:col>
      <xdr:colOff>371474</xdr:colOff>
      <xdr:row>21</xdr:row>
      <xdr:rowOff>133351</xdr:rowOff>
    </xdr:from>
    <xdr:to>
      <xdr:col>5</xdr:col>
      <xdr:colOff>847724</xdr:colOff>
      <xdr:row>22</xdr:row>
      <xdr:rowOff>57151</xdr:rowOff>
    </xdr:to>
    <xdr:sp macro="" textlink="">
      <xdr:nvSpPr>
        <xdr:cNvPr id="23" name="Watts8">
          <a:extLst>
            <a:ext uri="{FF2B5EF4-FFF2-40B4-BE49-F238E27FC236}">
              <a16:creationId xmlns:a16="http://schemas.microsoft.com/office/drawing/2014/main" id="{A0FD2BD1-E4E9-4975-8B35-7A18121C01A9}"/>
            </a:ext>
          </a:extLst>
        </xdr:cNvPr>
        <xdr:cNvSpPr txBox="1">
          <a:spLocks noChangeArrowheads="1"/>
        </xdr:cNvSpPr>
      </xdr:nvSpPr>
      <xdr:spPr bwMode="auto">
        <a:xfrm>
          <a:off x="5943599" y="521970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1400</a:t>
          </a:r>
        </a:p>
      </xdr:txBody>
    </xdr:sp>
    <xdr:clientData/>
  </xdr:twoCellAnchor>
  <xdr:twoCellAnchor>
    <xdr:from>
      <xdr:col>5</xdr:col>
      <xdr:colOff>361949</xdr:colOff>
      <xdr:row>19</xdr:row>
      <xdr:rowOff>200026</xdr:rowOff>
    </xdr:from>
    <xdr:to>
      <xdr:col>5</xdr:col>
      <xdr:colOff>838199</xdr:colOff>
      <xdr:row>20</xdr:row>
      <xdr:rowOff>123826</xdr:rowOff>
    </xdr:to>
    <xdr:sp macro="" textlink="">
      <xdr:nvSpPr>
        <xdr:cNvPr id="24" name="Watts9">
          <a:extLst>
            <a:ext uri="{FF2B5EF4-FFF2-40B4-BE49-F238E27FC236}">
              <a16:creationId xmlns:a16="http://schemas.microsoft.com/office/drawing/2014/main" id="{876E6E49-195F-42D0-BE76-EC6034D84717}"/>
            </a:ext>
          </a:extLst>
        </xdr:cNvPr>
        <xdr:cNvSpPr txBox="1">
          <a:spLocks noChangeArrowheads="1"/>
        </xdr:cNvSpPr>
      </xdr:nvSpPr>
      <xdr:spPr bwMode="auto">
        <a:xfrm>
          <a:off x="5934074" y="48101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1600</a:t>
          </a:r>
        </a:p>
      </xdr:txBody>
    </xdr:sp>
    <xdr:clientData/>
  </xdr:twoCellAnchor>
  <xdr:twoCellAnchor>
    <xdr:from>
      <xdr:col>5</xdr:col>
      <xdr:colOff>361949</xdr:colOff>
      <xdr:row>18</xdr:row>
      <xdr:rowOff>28576</xdr:rowOff>
    </xdr:from>
    <xdr:to>
      <xdr:col>5</xdr:col>
      <xdr:colOff>838199</xdr:colOff>
      <xdr:row>18</xdr:row>
      <xdr:rowOff>190501</xdr:rowOff>
    </xdr:to>
    <xdr:sp macro="" textlink="">
      <xdr:nvSpPr>
        <xdr:cNvPr id="25" name="Watts10">
          <a:extLst>
            <a:ext uri="{FF2B5EF4-FFF2-40B4-BE49-F238E27FC236}">
              <a16:creationId xmlns:a16="http://schemas.microsoft.com/office/drawing/2014/main" id="{F647DAC3-BCEA-4CC8-9A74-E0644482872D}"/>
            </a:ext>
          </a:extLst>
        </xdr:cNvPr>
        <xdr:cNvSpPr txBox="1">
          <a:spLocks noChangeArrowheads="1"/>
        </xdr:cNvSpPr>
      </xdr:nvSpPr>
      <xdr:spPr bwMode="auto">
        <a:xfrm>
          <a:off x="5934074" y="44005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2</xdr:col>
      <xdr:colOff>1053465</xdr:colOff>
      <xdr:row>16</xdr:row>
      <xdr:rowOff>182880</xdr:rowOff>
    </xdr:from>
    <xdr:to>
      <xdr:col>3</xdr:col>
      <xdr:colOff>283777</xdr:colOff>
      <xdr:row>17</xdr:row>
      <xdr:rowOff>95568</xdr:rowOff>
    </xdr:to>
    <xdr:sp macro="" textlink="" fLocksText="0">
      <xdr:nvSpPr>
        <xdr:cNvPr id="26" name="Text Box 26">
          <a:extLst>
            <a:ext uri="{FF2B5EF4-FFF2-40B4-BE49-F238E27FC236}">
              <a16:creationId xmlns:a16="http://schemas.microsoft.com/office/drawing/2014/main" id="{C6AA7713-FE41-4357-AEBB-ECEF6DF2AFF3}"/>
            </a:ext>
          </a:extLst>
        </xdr:cNvPr>
        <xdr:cNvSpPr txBox="1">
          <a:spLocks noChangeArrowheads="1"/>
        </xdr:cNvSpPr>
      </xdr:nvSpPr>
      <xdr:spPr bwMode="auto">
        <a:xfrm>
          <a:off x="3282315" y="4078605"/>
          <a:ext cx="344737" cy="150813"/>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946785</xdr:colOff>
      <xdr:row>18</xdr:row>
      <xdr:rowOff>192405</xdr:rowOff>
    </xdr:from>
    <xdr:to>
      <xdr:col>4</xdr:col>
      <xdr:colOff>169604</xdr:colOff>
      <xdr:row>19</xdr:row>
      <xdr:rowOff>133437</xdr:rowOff>
    </xdr:to>
    <xdr:sp macro="" textlink="" fLocksText="0">
      <xdr:nvSpPr>
        <xdr:cNvPr id="27" name="Text Box 27">
          <a:extLst>
            <a:ext uri="{FF2B5EF4-FFF2-40B4-BE49-F238E27FC236}">
              <a16:creationId xmlns:a16="http://schemas.microsoft.com/office/drawing/2014/main" id="{4FD6BB64-BD19-48D9-821F-2D14DD8397A1}"/>
            </a:ext>
          </a:extLst>
        </xdr:cNvPr>
        <xdr:cNvSpPr txBox="1">
          <a:spLocks noChangeArrowheads="1"/>
        </xdr:cNvSpPr>
      </xdr:nvSpPr>
      <xdr:spPr bwMode="auto">
        <a:xfrm>
          <a:off x="4290060" y="4564380"/>
          <a:ext cx="337244" cy="17915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1</xdr:col>
      <xdr:colOff>714375</xdr:colOff>
      <xdr:row>21</xdr:row>
      <xdr:rowOff>200025</xdr:rowOff>
    </xdr:from>
    <xdr:to>
      <xdr:col>1</xdr:col>
      <xdr:colOff>1055421</xdr:colOff>
      <xdr:row>22</xdr:row>
      <xdr:rowOff>103287</xdr:rowOff>
    </xdr:to>
    <xdr:sp macro="" textlink="" fLocksText="0">
      <xdr:nvSpPr>
        <xdr:cNvPr id="28" name="Speed">
          <a:extLst>
            <a:ext uri="{FF2B5EF4-FFF2-40B4-BE49-F238E27FC236}">
              <a16:creationId xmlns:a16="http://schemas.microsoft.com/office/drawing/2014/main" id="{01929371-BBE6-47E4-88B4-F1CFA7ABAAE0}"/>
            </a:ext>
          </a:extLst>
        </xdr:cNvPr>
        <xdr:cNvSpPr txBox="1">
          <a:spLocks noChangeArrowheads="1"/>
        </xdr:cNvSpPr>
      </xdr:nvSpPr>
      <xdr:spPr bwMode="auto">
        <a:xfrm>
          <a:off x="1828800" y="5286375"/>
          <a:ext cx="341046" cy="14138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782955</xdr:colOff>
      <xdr:row>28</xdr:row>
      <xdr:rowOff>200025</xdr:rowOff>
    </xdr:from>
    <xdr:to>
      <xdr:col>2</xdr:col>
      <xdr:colOff>102986</xdr:colOff>
      <xdr:row>29</xdr:row>
      <xdr:rowOff>114300</xdr:rowOff>
    </xdr:to>
    <xdr:sp macro="" textlink="" fLocksText="0">
      <xdr:nvSpPr>
        <xdr:cNvPr id="29" name="Amps">
          <a:extLst>
            <a:ext uri="{FF2B5EF4-FFF2-40B4-BE49-F238E27FC236}">
              <a16:creationId xmlns:a16="http://schemas.microsoft.com/office/drawing/2014/main" id="{1A8BD83C-94C1-4EC7-9D58-92437997ECF8}"/>
            </a:ext>
          </a:extLst>
        </xdr:cNvPr>
        <xdr:cNvSpPr txBox="1">
          <a:spLocks noChangeArrowheads="1"/>
        </xdr:cNvSpPr>
      </xdr:nvSpPr>
      <xdr:spPr bwMode="auto">
        <a:xfrm>
          <a:off x="1897380" y="6953250"/>
          <a:ext cx="434456" cy="152400"/>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64770</xdr:colOff>
      <xdr:row>32</xdr:row>
      <xdr:rowOff>144780</xdr:rowOff>
    </xdr:from>
    <xdr:to>
      <xdr:col>2</xdr:col>
      <xdr:colOff>565979</xdr:colOff>
      <xdr:row>33</xdr:row>
      <xdr:rowOff>66976</xdr:rowOff>
    </xdr:to>
    <xdr:sp macro="" textlink="" fLocksText="0">
      <xdr:nvSpPr>
        <xdr:cNvPr id="30" name="Watts">
          <a:extLst>
            <a:ext uri="{FF2B5EF4-FFF2-40B4-BE49-F238E27FC236}">
              <a16:creationId xmlns:a16="http://schemas.microsoft.com/office/drawing/2014/main" id="{C9BE7FCA-DB80-43A1-A9C2-AF7153082D61}"/>
            </a:ext>
          </a:extLst>
        </xdr:cNvPr>
        <xdr:cNvSpPr txBox="1">
          <a:spLocks noChangeArrowheads="1"/>
        </xdr:cNvSpPr>
      </xdr:nvSpPr>
      <xdr:spPr bwMode="auto">
        <a:xfrm>
          <a:off x="2293620" y="7850505"/>
          <a:ext cx="501209" cy="160321"/>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142875</xdr:rowOff>
    </xdr:from>
    <xdr:to>
      <xdr:col>5</xdr:col>
      <xdr:colOff>752475</xdr:colOff>
      <xdr:row>34</xdr:row>
      <xdr:rowOff>104775</xdr:rowOff>
    </xdr:to>
    <xdr:sp macro="" textlink="">
      <xdr:nvSpPr>
        <xdr:cNvPr id="31" name="Watts1">
          <a:extLst>
            <a:ext uri="{FF2B5EF4-FFF2-40B4-BE49-F238E27FC236}">
              <a16:creationId xmlns:a16="http://schemas.microsoft.com/office/drawing/2014/main" id="{24C44B98-D45F-4528-9BED-3AD0AB22A937}"/>
            </a:ext>
          </a:extLst>
        </xdr:cNvPr>
        <xdr:cNvSpPr txBox="1">
          <a:spLocks noChangeArrowheads="1"/>
        </xdr:cNvSpPr>
      </xdr:nvSpPr>
      <xdr:spPr bwMode="auto">
        <a:xfrm>
          <a:off x="5934075" y="8086725"/>
          <a:ext cx="390525"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5E8A-5E62-48C8-AFFC-243A3B739A75}">
  <sheetPr>
    <pageSetUpPr fitToPage="1"/>
  </sheetPr>
  <dimension ref="A1:P71"/>
  <sheetViews>
    <sheetView topLeftCell="A7" zoomScale="95" workbookViewId="0">
      <selection activeCell="H40" sqref="H40"/>
    </sheetView>
  </sheetViews>
  <sheetFormatPr defaultRowHeight="12.75"/>
  <cols>
    <col min="1" max="6" width="8.59765625" style="94" customWidth="1"/>
    <col min="7" max="7" width="8.69921875" style="94" customWidth="1"/>
    <col min="8" max="8" width="8.8984375" style="94" customWidth="1"/>
    <col min="9" max="10" width="8.59765625" style="94" customWidth="1"/>
    <col min="11" max="11" width="8.796875" style="94"/>
    <col min="12" max="12" width="9.3984375" style="94" bestFit="1" customWidth="1"/>
    <col min="13" max="13" width="6.296875" style="94" bestFit="1" customWidth="1"/>
    <col min="14" max="256" width="8.796875" style="94"/>
    <col min="257" max="262" width="8.59765625" style="94" customWidth="1"/>
    <col min="263" max="263" width="8.69921875" style="94" customWidth="1"/>
    <col min="264" max="264" width="8.8984375" style="94" customWidth="1"/>
    <col min="265" max="266" width="8.59765625" style="94" customWidth="1"/>
    <col min="267" max="267" width="8.796875" style="94"/>
    <col min="268" max="268" width="9.3984375" style="94" bestFit="1" customWidth="1"/>
    <col min="269" max="269" width="6.296875" style="94" bestFit="1" customWidth="1"/>
    <col min="270" max="512" width="8.796875" style="94"/>
    <col min="513" max="518" width="8.59765625" style="94" customWidth="1"/>
    <col min="519" max="519" width="8.69921875" style="94" customWidth="1"/>
    <col min="520" max="520" width="8.8984375" style="94" customWidth="1"/>
    <col min="521" max="522" width="8.59765625" style="94" customWidth="1"/>
    <col min="523" max="523" width="8.796875" style="94"/>
    <col min="524" max="524" width="9.3984375" style="94" bestFit="1" customWidth="1"/>
    <col min="525" max="525" width="6.296875" style="94" bestFit="1" customWidth="1"/>
    <col min="526" max="768" width="8.796875" style="94"/>
    <col min="769" max="774" width="8.59765625" style="94" customWidth="1"/>
    <col min="775" max="775" width="8.69921875" style="94" customWidth="1"/>
    <col min="776" max="776" width="8.8984375" style="94" customWidth="1"/>
    <col min="777" max="778" width="8.59765625" style="94" customWidth="1"/>
    <col min="779" max="779" width="8.796875" style="94"/>
    <col min="780" max="780" width="9.3984375" style="94" bestFit="1" customWidth="1"/>
    <col min="781" max="781" width="6.296875" style="94" bestFit="1" customWidth="1"/>
    <col min="782" max="1024" width="8.796875" style="94"/>
    <col min="1025" max="1030" width="8.59765625" style="94" customWidth="1"/>
    <col min="1031" max="1031" width="8.69921875" style="94" customWidth="1"/>
    <col min="1032" max="1032" width="8.8984375" style="94" customWidth="1"/>
    <col min="1033" max="1034" width="8.59765625" style="94" customWidth="1"/>
    <col min="1035" max="1035" width="8.796875" style="94"/>
    <col min="1036" max="1036" width="9.3984375" style="94" bestFit="1" customWidth="1"/>
    <col min="1037" max="1037" width="6.296875" style="94" bestFit="1" customWidth="1"/>
    <col min="1038" max="1280" width="8.796875" style="94"/>
    <col min="1281" max="1286" width="8.59765625" style="94" customWidth="1"/>
    <col min="1287" max="1287" width="8.69921875" style="94" customWidth="1"/>
    <col min="1288" max="1288" width="8.8984375" style="94" customWidth="1"/>
    <col min="1289" max="1290" width="8.59765625" style="94" customWidth="1"/>
    <col min="1291" max="1291" width="8.796875" style="94"/>
    <col min="1292" max="1292" width="9.3984375" style="94" bestFit="1" customWidth="1"/>
    <col min="1293" max="1293" width="6.296875" style="94" bestFit="1" customWidth="1"/>
    <col min="1294" max="1536" width="8.796875" style="94"/>
    <col min="1537" max="1542" width="8.59765625" style="94" customWidth="1"/>
    <col min="1543" max="1543" width="8.69921875" style="94" customWidth="1"/>
    <col min="1544" max="1544" width="8.8984375" style="94" customWidth="1"/>
    <col min="1545" max="1546" width="8.59765625" style="94" customWidth="1"/>
    <col min="1547" max="1547" width="8.796875" style="94"/>
    <col min="1548" max="1548" width="9.3984375" style="94" bestFit="1" customWidth="1"/>
    <col min="1549" max="1549" width="6.296875" style="94" bestFit="1" customWidth="1"/>
    <col min="1550" max="1792" width="8.796875" style="94"/>
    <col min="1793" max="1798" width="8.59765625" style="94" customWidth="1"/>
    <col min="1799" max="1799" width="8.69921875" style="94" customWidth="1"/>
    <col min="1800" max="1800" width="8.8984375" style="94" customWidth="1"/>
    <col min="1801" max="1802" width="8.59765625" style="94" customWidth="1"/>
    <col min="1803" max="1803" width="8.796875" style="94"/>
    <col min="1804" max="1804" width="9.3984375" style="94" bestFit="1" customWidth="1"/>
    <col min="1805" max="1805" width="6.296875" style="94" bestFit="1" customWidth="1"/>
    <col min="1806" max="2048" width="8.796875" style="94"/>
    <col min="2049" max="2054" width="8.59765625" style="94" customWidth="1"/>
    <col min="2055" max="2055" width="8.69921875" style="94" customWidth="1"/>
    <col min="2056" max="2056" width="8.8984375" style="94" customWidth="1"/>
    <col min="2057" max="2058" width="8.59765625" style="94" customWidth="1"/>
    <col min="2059" max="2059" width="8.796875" style="94"/>
    <col min="2060" max="2060" width="9.3984375" style="94" bestFit="1" customWidth="1"/>
    <col min="2061" max="2061" width="6.296875" style="94" bestFit="1" customWidth="1"/>
    <col min="2062" max="2304" width="8.796875" style="94"/>
    <col min="2305" max="2310" width="8.59765625" style="94" customWidth="1"/>
    <col min="2311" max="2311" width="8.69921875" style="94" customWidth="1"/>
    <col min="2312" max="2312" width="8.8984375" style="94" customWidth="1"/>
    <col min="2313" max="2314" width="8.59765625" style="94" customWidth="1"/>
    <col min="2315" max="2315" width="8.796875" style="94"/>
    <col min="2316" max="2316" width="9.3984375" style="94" bestFit="1" customWidth="1"/>
    <col min="2317" max="2317" width="6.296875" style="94" bestFit="1" customWidth="1"/>
    <col min="2318" max="2560" width="8.796875" style="94"/>
    <col min="2561" max="2566" width="8.59765625" style="94" customWidth="1"/>
    <col min="2567" max="2567" width="8.69921875" style="94" customWidth="1"/>
    <col min="2568" max="2568" width="8.8984375" style="94" customWidth="1"/>
    <col min="2569" max="2570" width="8.59765625" style="94" customWidth="1"/>
    <col min="2571" max="2571" width="8.796875" style="94"/>
    <col min="2572" max="2572" width="9.3984375" style="94" bestFit="1" customWidth="1"/>
    <col min="2573" max="2573" width="6.296875" style="94" bestFit="1" customWidth="1"/>
    <col min="2574" max="2816" width="8.796875" style="94"/>
    <col min="2817" max="2822" width="8.59765625" style="94" customWidth="1"/>
    <col min="2823" max="2823" width="8.69921875" style="94" customWidth="1"/>
    <col min="2824" max="2824" width="8.8984375" style="94" customWidth="1"/>
    <col min="2825" max="2826" width="8.59765625" style="94" customWidth="1"/>
    <col min="2827" max="2827" width="8.796875" style="94"/>
    <col min="2828" max="2828" width="9.3984375" style="94" bestFit="1" customWidth="1"/>
    <col min="2829" max="2829" width="6.296875" style="94" bestFit="1" customWidth="1"/>
    <col min="2830" max="3072" width="8.796875" style="94"/>
    <col min="3073" max="3078" width="8.59765625" style="94" customWidth="1"/>
    <col min="3079" max="3079" width="8.69921875" style="94" customWidth="1"/>
    <col min="3080" max="3080" width="8.8984375" style="94" customWidth="1"/>
    <col min="3081" max="3082" width="8.59765625" style="94" customWidth="1"/>
    <col min="3083" max="3083" width="8.796875" style="94"/>
    <col min="3084" max="3084" width="9.3984375" style="94" bestFit="1" customWidth="1"/>
    <col min="3085" max="3085" width="6.296875" style="94" bestFit="1" customWidth="1"/>
    <col min="3086" max="3328" width="8.796875" style="94"/>
    <col min="3329" max="3334" width="8.59765625" style="94" customWidth="1"/>
    <col min="3335" max="3335" width="8.69921875" style="94" customWidth="1"/>
    <col min="3336" max="3336" width="8.8984375" style="94" customWidth="1"/>
    <col min="3337" max="3338" width="8.59765625" style="94" customWidth="1"/>
    <col min="3339" max="3339" width="8.796875" style="94"/>
    <col min="3340" max="3340" width="9.3984375" style="94" bestFit="1" customWidth="1"/>
    <col min="3341" max="3341" width="6.296875" style="94" bestFit="1" customWidth="1"/>
    <col min="3342" max="3584" width="8.796875" style="94"/>
    <col min="3585" max="3590" width="8.59765625" style="94" customWidth="1"/>
    <col min="3591" max="3591" width="8.69921875" style="94" customWidth="1"/>
    <col min="3592" max="3592" width="8.8984375" style="94" customWidth="1"/>
    <col min="3593" max="3594" width="8.59765625" style="94" customWidth="1"/>
    <col min="3595" max="3595" width="8.796875" style="94"/>
    <col min="3596" max="3596" width="9.3984375" style="94" bestFit="1" customWidth="1"/>
    <col min="3597" max="3597" width="6.296875" style="94" bestFit="1" customWidth="1"/>
    <col min="3598" max="3840" width="8.796875" style="94"/>
    <col min="3841" max="3846" width="8.59765625" style="94" customWidth="1"/>
    <col min="3847" max="3847" width="8.69921875" style="94" customWidth="1"/>
    <col min="3848" max="3848" width="8.8984375" style="94" customWidth="1"/>
    <col min="3849" max="3850" width="8.59765625" style="94" customWidth="1"/>
    <col min="3851" max="3851" width="8.796875" style="94"/>
    <col min="3852" max="3852" width="9.3984375" style="94" bestFit="1" customWidth="1"/>
    <col min="3853" max="3853" width="6.296875" style="94" bestFit="1" customWidth="1"/>
    <col min="3854" max="4096" width="8.796875" style="94"/>
    <col min="4097" max="4102" width="8.59765625" style="94" customWidth="1"/>
    <col min="4103" max="4103" width="8.69921875" style="94" customWidth="1"/>
    <col min="4104" max="4104" width="8.8984375" style="94" customWidth="1"/>
    <col min="4105" max="4106" width="8.59765625" style="94" customWidth="1"/>
    <col min="4107" max="4107" width="8.796875" style="94"/>
    <col min="4108" max="4108" width="9.3984375" style="94" bestFit="1" customWidth="1"/>
    <col min="4109" max="4109" width="6.296875" style="94" bestFit="1" customWidth="1"/>
    <col min="4110" max="4352" width="8.796875" style="94"/>
    <col min="4353" max="4358" width="8.59765625" style="94" customWidth="1"/>
    <col min="4359" max="4359" width="8.69921875" style="94" customWidth="1"/>
    <col min="4360" max="4360" width="8.8984375" style="94" customWidth="1"/>
    <col min="4361" max="4362" width="8.59765625" style="94" customWidth="1"/>
    <col min="4363" max="4363" width="8.796875" style="94"/>
    <col min="4364" max="4364" width="9.3984375" style="94" bestFit="1" customWidth="1"/>
    <col min="4365" max="4365" width="6.296875" style="94" bestFit="1" customWidth="1"/>
    <col min="4366" max="4608" width="8.796875" style="94"/>
    <col min="4609" max="4614" width="8.59765625" style="94" customWidth="1"/>
    <col min="4615" max="4615" width="8.69921875" style="94" customWidth="1"/>
    <col min="4616" max="4616" width="8.8984375" style="94" customWidth="1"/>
    <col min="4617" max="4618" width="8.59765625" style="94" customWidth="1"/>
    <col min="4619" max="4619" width="8.796875" style="94"/>
    <col min="4620" max="4620" width="9.3984375" style="94" bestFit="1" customWidth="1"/>
    <col min="4621" max="4621" width="6.296875" style="94" bestFit="1" customWidth="1"/>
    <col min="4622" max="4864" width="8.796875" style="94"/>
    <col min="4865" max="4870" width="8.59765625" style="94" customWidth="1"/>
    <col min="4871" max="4871" width="8.69921875" style="94" customWidth="1"/>
    <col min="4872" max="4872" width="8.8984375" style="94" customWidth="1"/>
    <col min="4873" max="4874" width="8.59765625" style="94" customWidth="1"/>
    <col min="4875" max="4875" width="8.796875" style="94"/>
    <col min="4876" max="4876" width="9.3984375" style="94" bestFit="1" customWidth="1"/>
    <col min="4877" max="4877" width="6.296875" style="94" bestFit="1" customWidth="1"/>
    <col min="4878" max="5120" width="8.796875" style="94"/>
    <col min="5121" max="5126" width="8.59765625" style="94" customWidth="1"/>
    <col min="5127" max="5127" width="8.69921875" style="94" customWidth="1"/>
    <col min="5128" max="5128" width="8.8984375" style="94" customWidth="1"/>
    <col min="5129" max="5130" width="8.59765625" style="94" customWidth="1"/>
    <col min="5131" max="5131" width="8.796875" style="94"/>
    <col min="5132" max="5132" width="9.3984375" style="94" bestFit="1" customWidth="1"/>
    <col min="5133" max="5133" width="6.296875" style="94" bestFit="1" customWidth="1"/>
    <col min="5134" max="5376" width="8.796875" style="94"/>
    <col min="5377" max="5382" width="8.59765625" style="94" customWidth="1"/>
    <col min="5383" max="5383" width="8.69921875" style="94" customWidth="1"/>
    <col min="5384" max="5384" width="8.8984375" style="94" customWidth="1"/>
    <col min="5385" max="5386" width="8.59765625" style="94" customWidth="1"/>
    <col min="5387" max="5387" width="8.796875" style="94"/>
    <col min="5388" max="5388" width="9.3984375" style="94" bestFit="1" customWidth="1"/>
    <col min="5389" max="5389" width="6.296875" style="94" bestFit="1" customWidth="1"/>
    <col min="5390" max="5632" width="8.796875" style="94"/>
    <col min="5633" max="5638" width="8.59765625" style="94" customWidth="1"/>
    <col min="5639" max="5639" width="8.69921875" style="94" customWidth="1"/>
    <col min="5640" max="5640" width="8.8984375" style="94" customWidth="1"/>
    <col min="5641" max="5642" width="8.59765625" style="94" customWidth="1"/>
    <col min="5643" max="5643" width="8.796875" style="94"/>
    <col min="5644" max="5644" width="9.3984375" style="94" bestFit="1" customWidth="1"/>
    <col min="5645" max="5645" width="6.296875" style="94" bestFit="1" customWidth="1"/>
    <col min="5646" max="5888" width="8.796875" style="94"/>
    <col min="5889" max="5894" width="8.59765625" style="94" customWidth="1"/>
    <col min="5895" max="5895" width="8.69921875" style="94" customWidth="1"/>
    <col min="5896" max="5896" width="8.8984375" style="94" customWidth="1"/>
    <col min="5897" max="5898" width="8.59765625" style="94" customWidth="1"/>
    <col min="5899" max="5899" width="8.796875" style="94"/>
    <col min="5900" max="5900" width="9.3984375" style="94" bestFit="1" customWidth="1"/>
    <col min="5901" max="5901" width="6.296875" style="94" bestFit="1" customWidth="1"/>
    <col min="5902" max="6144" width="8.796875" style="94"/>
    <col min="6145" max="6150" width="8.59765625" style="94" customWidth="1"/>
    <col min="6151" max="6151" width="8.69921875" style="94" customWidth="1"/>
    <col min="6152" max="6152" width="8.8984375" style="94" customWidth="1"/>
    <col min="6153" max="6154" width="8.59765625" style="94" customWidth="1"/>
    <col min="6155" max="6155" width="8.796875" style="94"/>
    <col min="6156" max="6156" width="9.3984375" style="94" bestFit="1" customWidth="1"/>
    <col min="6157" max="6157" width="6.296875" style="94" bestFit="1" customWidth="1"/>
    <col min="6158" max="6400" width="8.796875" style="94"/>
    <col min="6401" max="6406" width="8.59765625" style="94" customWidth="1"/>
    <col min="6407" max="6407" width="8.69921875" style="94" customWidth="1"/>
    <col min="6408" max="6408" width="8.8984375" style="94" customWidth="1"/>
    <col min="6409" max="6410" width="8.59765625" style="94" customWidth="1"/>
    <col min="6411" max="6411" width="8.796875" style="94"/>
    <col min="6412" max="6412" width="9.3984375" style="94" bestFit="1" customWidth="1"/>
    <col min="6413" max="6413" width="6.296875" style="94" bestFit="1" customWidth="1"/>
    <col min="6414" max="6656" width="8.796875" style="94"/>
    <col min="6657" max="6662" width="8.59765625" style="94" customWidth="1"/>
    <col min="6663" max="6663" width="8.69921875" style="94" customWidth="1"/>
    <col min="6664" max="6664" width="8.8984375" style="94" customWidth="1"/>
    <col min="6665" max="6666" width="8.59765625" style="94" customWidth="1"/>
    <col min="6667" max="6667" width="8.796875" style="94"/>
    <col min="6668" max="6668" width="9.3984375" style="94" bestFit="1" customWidth="1"/>
    <col min="6669" max="6669" width="6.296875" style="94" bestFit="1" customWidth="1"/>
    <col min="6670" max="6912" width="8.796875" style="94"/>
    <col min="6913" max="6918" width="8.59765625" style="94" customWidth="1"/>
    <col min="6919" max="6919" width="8.69921875" style="94" customWidth="1"/>
    <col min="6920" max="6920" width="8.8984375" style="94" customWidth="1"/>
    <col min="6921" max="6922" width="8.59765625" style="94" customWidth="1"/>
    <col min="6923" max="6923" width="8.796875" style="94"/>
    <col min="6924" max="6924" width="9.3984375" style="94" bestFit="1" customWidth="1"/>
    <col min="6925" max="6925" width="6.296875" style="94" bestFit="1" customWidth="1"/>
    <col min="6926" max="7168" width="8.796875" style="94"/>
    <col min="7169" max="7174" width="8.59765625" style="94" customWidth="1"/>
    <col min="7175" max="7175" width="8.69921875" style="94" customWidth="1"/>
    <col min="7176" max="7176" width="8.8984375" style="94" customWidth="1"/>
    <col min="7177" max="7178" width="8.59765625" style="94" customWidth="1"/>
    <col min="7179" max="7179" width="8.796875" style="94"/>
    <col min="7180" max="7180" width="9.3984375" style="94" bestFit="1" customWidth="1"/>
    <col min="7181" max="7181" width="6.296875" style="94" bestFit="1" customWidth="1"/>
    <col min="7182" max="7424" width="8.796875" style="94"/>
    <col min="7425" max="7430" width="8.59765625" style="94" customWidth="1"/>
    <col min="7431" max="7431" width="8.69921875" style="94" customWidth="1"/>
    <col min="7432" max="7432" width="8.8984375" style="94" customWidth="1"/>
    <col min="7433" max="7434" width="8.59765625" style="94" customWidth="1"/>
    <col min="7435" max="7435" width="8.796875" style="94"/>
    <col min="7436" max="7436" width="9.3984375" style="94" bestFit="1" customWidth="1"/>
    <col min="7437" max="7437" width="6.296875" style="94" bestFit="1" customWidth="1"/>
    <col min="7438" max="7680" width="8.796875" style="94"/>
    <col min="7681" max="7686" width="8.59765625" style="94" customWidth="1"/>
    <col min="7687" max="7687" width="8.69921875" style="94" customWidth="1"/>
    <col min="7688" max="7688" width="8.8984375" style="94" customWidth="1"/>
    <col min="7689" max="7690" width="8.59765625" style="94" customWidth="1"/>
    <col min="7691" max="7691" width="8.796875" style="94"/>
    <col min="7692" max="7692" width="9.3984375" style="94" bestFit="1" customWidth="1"/>
    <col min="7693" max="7693" width="6.296875" style="94" bestFit="1" customWidth="1"/>
    <col min="7694" max="7936" width="8.796875" style="94"/>
    <col min="7937" max="7942" width="8.59765625" style="94" customWidth="1"/>
    <col min="7943" max="7943" width="8.69921875" style="94" customWidth="1"/>
    <col min="7944" max="7944" width="8.8984375" style="94" customWidth="1"/>
    <col min="7945" max="7946" width="8.59765625" style="94" customWidth="1"/>
    <col min="7947" max="7947" width="8.796875" style="94"/>
    <col min="7948" max="7948" width="9.3984375" style="94" bestFit="1" customWidth="1"/>
    <col min="7949" max="7949" width="6.296875" style="94" bestFit="1" customWidth="1"/>
    <col min="7950" max="8192" width="8.796875" style="94"/>
    <col min="8193" max="8198" width="8.59765625" style="94" customWidth="1"/>
    <col min="8199" max="8199" width="8.69921875" style="94" customWidth="1"/>
    <col min="8200" max="8200" width="8.8984375" style="94" customWidth="1"/>
    <col min="8201" max="8202" width="8.59765625" style="94" customWidth="1"/>
    <col min="8203" max="8203" width="8.796875" style="94"/>
    <col min="8204" max="8204" width="9.3984375" style="94" bestFit="1" customWidth="1"/>
    <col min="8205" max="8205" width="6.296875" style="94" bestFit="1" customWidth="1"/>
    <col min="8206" max="8448" width="8.796875" style="94"/>
    <col min="8449" max="8454" width="8.59765625" style="94" customWidth="1"/>
    <col min="8455" max="8455" width="8.69921875" style="94" customWidth="1"/>
    <col min="8456" max="8456" width="8.8984375" style="94" customWidth="1"/>
    <col min="8457" max="8458" width="8.59765625" style="94" customWidth="1"/>
    <col min="8459" max="8459" width="8.796875" style="94"/>
    <col min="8460" max="8460" width="9.3984375" style="94" bestFit="1" customWidth="1"/>
    <col min="8461" max="8461" width="6.296875" style="94" bestFit="1" customWidth="1"/>
    <col min="8462" max="8704" width="8.796875" style="94"/>
    <col min="8705" max="8710" width="8.59765625" style="94" customWidth="1"/>
    <col min="8711" max="8711" width="8.69921875" style="94" customWidth="1"/>
    <col min="8712" max="8712" width="8.8984375" style="94" customWidth="1"/>
    <col min="8713" max="8714" width="8.59765625" style="94" customWidth="1"/>
    <col min="8715" max="8715" width="8.796875" style="94"/>
    <col min="8716" max="8716" width="9.3984375" style="94" bestFit="1" customWidth="1"/>
    <col min="8717" max="8717" width="6.296875" style="94" bestFit="1" customWidth="1"/>
    <col min="8718" max="8960" width="8.796875" style="94"/>
    <col min="8961" max="8966" width="8.59765625" style="94" customWidth="1"/>
    <col min="8967" max="8967" width="8.69921875" style="94" customWidth="1"/>
    <col min="8968" max="8968" width="8.8984375" style="94" customWidth="1"/>
    <col min="8969" max="8970" width="8.59765625" style="94" customWidth="1"/>
    <col min="8971" max="8971" width="8.796875" style="94"/>
    <col min="8972" max="8972" width="9.3984375" style="94" bestFit="1" customWidth="1"/>
    <col min="8973" max="8973" width="6.296875" style="94" bestFit="1" customWidth="1"/>
    <col min="8974" max="9216" width="8.796875" style="94"/>
    <col min="9217" max="9222" width="8.59765625" style="94" customWidth="1"/>
    <col min="9223" max="9223" width="8.69921875" style="94" customWidth="1"/>
    <col min="9224" max="9224" width="8.8984375" style="94" customWidth="1"/>
    <col min="9225" max="9226" width="8.59765625" style="94" customWidth="1"/>
    <col min="9227" max="9227" width="8.796875" style="94"/>
    <col min="9228" max="9228" width="9.3984375" style="94" bestFit="1" customWidth="1"/>
    <col min="9229" max="9229" width="6.296875" style="94" bestFit="1" customWidth="1"/>
    <col min="9230" max="9472" width="8.796875" style="94"/>
    <col min="9473" max="9478" width="8.59765625" style="94" customWidth="1"/>
    <col min="9479" max="9479" width="8.69921875" style="94" customWidth="1"/>
    <col min="9480" max="9480" width="8.8984375" style="94" customWidth="1"/>
    <col min="9481" max="9482" width="8.59765625" style="94" customWidth="1"/>
    <col min="9483" max="9483" width="8.796875" style="94"/>
    <col min="9484" max="9484" width="9.3984375" style="94" bestFit="1" customWidth="1"/>
    <col min="9485" max="9485" width="6.296875" style="94" bestFit="1" customWidth="1"/>
    <col min="9486" max="9728" width="8.796875" style="94"/>
    <col min="9729" max="9734" width="8.59765625" style="94" customWidth="1"/>
    <col min="9735" max="9735" width="8.69921875" style="94" customWidth="1"/>
    <col min="9736" max="9736" width="8.8984375" style="94" customWidth="1"/>
    <col min="9737" max="9738" width="8.59765625" style="94" customWidth="1"/>
    <col min="9739" max="9739" width="8.796875" style="94"/>
    <col min="9740" max="9740" width="9.3984375" style="94" bestFit="1" customWidth="1"/>
    <col min="9741" max="9741" width="6.296875" style="94" bestFit="1" customWidth="1"/>
    <col min="9742" max="9984" width="8.796875" style="94"/>
    <col min="9985" max="9990" width="8.59765625" style="94" customWidth="1"/>
    <col min="9991" max="9991" width="8.69921875" style="94" customWidth="1"/>
    <col min="9992" max="9992" width="8.8984375" style="94" customWidth="1"/>
    <col min="9993" max="9994" width="8.59765625" style="94" customWidth="1"/>
    <col min="9995" max="9995" width="8.796875" style="94"/>
    <col min="9996" max="9996" width="9.3984375" style="94" bestFit="1" customWidth="1"/>
    <col min="9997" max="9997" width="6.296875" style="94" bestFit="1" customWidth="1"/>
    <col min="9998" max="10240" width="8.796875" style="94"/>
    <col min="10241" max="10246" width="8.59765625" style="94" customWidth="1"/>
    <col min="10247" max="10247" width="8.69921875" style="94" customWidth="1"/>
    <col min="10248" max="10248" width="8.8984375" style="94" customWidth="1"/>
    <col min="10249" max="10250" width="8.59765625" style="94" customWidth="1"/>
    <col min="10251" max="10251" width="8.796875" style="94"/>
    <col min="10252" max="10252" width="9.3984375" style="94" bestFit="1" customWidth="1"/>
    <col min="10253" max="10253" width="6.296875" style="94" bestFit="1" customWidth="1"/>
    <col min="10254" max="10496" width="8.796875" style="94"/>
    <col min="10497" max="10502" width="8.59765625" style="94" customWidth="1"/>
    <col min="10503" max="10503" width="8.69921875" style="94" customWidth="1"/>
    <col min="10504" max="10504" width="8.8984375" style="94" customWidth="1"/>
    <col min="10505" max="10506" width="8.59765625" style="94" customWidth="1"/>
    <col min="10507" max="10507" width="8.796875" style="94"/>
    <col min="10508" max="10508" width="9.3984375" style="94" bestFit="1" customWidth="1"/>
    <col min="10509" max="10509" width="6.296875" style="94" bestFit="1" customWidth="1"/>
    <col min="10510" max="10752" width="8.796875" style="94"/>
    <col min="10753" max="10758" width="8.59765625" style="94" customWidth="1"/>
    <col min="10759" max="10759" width="8.69921875" style="94" customWidth="1"/>
    <col min="10760" max="10760" width="8.8984375" style="94" customWidth="1"/>
    <col min="10761" max="10762" width="8.59765625" style="94" customWidth="1"/>
    <col min="10763" max="10763" width="8.796875" style="94"/>
    <col min="10764" max="10764" width="9.3984375" style="94" bestFit="1" customWidth="1"/>
    <col min="10765" max="10765" width="6.296875" style="94" bestFit="1" customWidth="1"/>
    <col min="10766" max="11008" width="8.796875" style="94"/>
    <col min="11009" max="11014" width="8.59765625" style="94" customWidth="1"/>
    <col min="11015" max="11015" width="8.69921875" style="94" customWidth="1"/>
    <col min="11016" max="11016" width="8.8984375" style="94" customWidth="1"/>
    <col min="11017" max="11018" width="8.59765625" style="94" customWidth="1"/>
    <col min="11019" max="11019" width="8.796875" style="94"/>
    <col min="11020" max="11020" width="9.3984375" style="94" bestFit="1" customWidth="1"/>
    <col min="11021" max="11021" width="6.296875" style="94" bestFit="1" customWidth="1"/>
    <col min="11022" max="11264" width="8.796875" style="94"/>
    <col min="11265" max="11270" width="8.59765625" style="94" customWidth="1"/>
    <col min="11271" max="11271" width="8.69921875" style="94" customWidth="1"/>
    <col min="11272" max="11272" width="8.8984375" style="94" customWidth="1"/>
    <col min="11273" max="11274" width="8.59765625" style="94" customWidth="1"/>
    <col min="11275" max="11275" width="8.796875" style="94"/>
    <col min="11276" max="11276" width="9.3984375" style="94" bestFit="1" customWidth="1"/>
    <col min="11277" max="11277" width="6.296875" style="94" bestFit="1" customWidth="1"/>
    <col min="11278" max="11520" width="8.796875" style="94"/>
    <col min="11521" max="11526" width="8.59765625" style="94" customWidth="1"/>
    <col min="11527" max="11527" width="8.69921875" style="94" customWidth="1"/>
    <col min="11528" max="11528" width="8.8984375" style="94" customWidth="1"/>
    <col min="11529" max="11530" width="8.59765625" style="94" customWidth="1"/>
    <col min="11531" max="11531" width="8.796875" style="94"/>
    <col min="11532" max="11532" width="9.3984375" style="94" bestFit="1" customWidth="1"/>
    <col min="11533" max="11533" width="6.296875" style="94" bestFit="1" customWidth="1"/>
    <col min="11534" max="11776" width="8.796875" style="94"/>
    <col min="11777" max="11782" width="8.59765625" style="94" customWidth="1"/>
    <col min="11783" max="11783" width="8.69921875" style="94" customWidth="1"/>
    <col min="11784" max="11784" width="8.8984375" style="94" customWidth="1"/>
    <col min="11785" max="11786" width="8.59765625" style="94" customWidth="1"/>
    <col min="11787" max="11787" width="8.796875" style="94"/>
    <col min="11788" max="11788" width="9.3984375" style="94" bestFit="1" customWidth="1"/>
    <col min="11789" max="11789" width="6.296875" style="94" bestFit="1" customWidth="1"/>
    <col min="11790" max="12032" width="8.796875" style="94"/>
    <col min="12033" max="12038" width="8.59765625" style="94" customWidth="1"/>
    <col min="12039" max="12039" width="8.69921875" style="94" customWidth="1"/>
    <col min="12040" max="12040" width="8.8984375" style="94" customWidth="1"/>
    <col min="12041" max="12042" width="8.59765625" style="94" customWidth="1"/>
    <col min="12043" max="12043" width="8.796875" style="94"/>
    <col min="12044" max="12044" width="9.3984375" style="94" bestFit="1" customWidth="1"/>
    <col min="12045" max="12045" width="6.296875" style="94" bestFit="1" customWidth="1"/>
    <col min="12046" max="12288" width="8.796875" style="94"/>
    <col min="12289" max="12294" width="8.59765625" style="94" customWidth="1"/>
    <col min="12295" max="12295" width="8.69921875" style="94" customWidth="1"/>
    <col min="12296" max="12296" width="8.8984375" style="94" customWidth="1"/>
    <col min="12297" max="12298" width="8.59765625" style="94" customWidth="1"/>
    <col min="12299" max="12299" width="8.796875" style="94"/>
    <col min="12300" max="12300" width="9.3984375" style="94" bestFit="1" customWidth="1"/>
    <col min="12301" max="12301" width="6.296875" style="94" bestFit="1" customWidth="1"/>
    <col min="12302" max="12544" width="8.796875" style="94"/>
    <col min="12545" max="12550" width="8.59765625" style="94" customWidth="1"/>
    <col min="12551" max="12551" width="8.69921875" style="94" customWidth="1"/>
    <col min="12552" max="12552" width="8.8984375" style="94" customWidth="1"/>
    <col min="12553" max="12554" width="8.59765625" style="94" customWidth="1"/>
    <col min="12555" max="12555" width="8.796875" style="94"/>
    <col min="12556" max="12556" width="9.3984375" style="94" bestFit="1" customWidth="1"/>
    <col min="12557" max="12557" width="6.296875" style="94" bestFit="1" customWidth="1"/>
    <col min="12558" max="12800" width="8.796875" style="94"/>
    <col min="12801" max="12806" width="8.59765625" style="94" customWidth="1"/>
    <col min="12807" max="12807" width="8.69921875" style="94" customWidth="1"/>
    <col min="12808" max="12808" width="8.8984375" style="94" customWidth="1"/>
    <col min="12809" max="12810" width="8.59765625" style="94" customWidth="1"/>
    <col min="12811" max="12811" width="8.796875" style="94"/>
    <col min="12812" max="12812" width="9.3984375" style="94" bestFit="1" customWidth="1"/>
    <col min="12813" max="12813" width="6.296875" style="94" bestFit="1" customWidth="1"/>
    <col min="12814" max="13056" width="8.796875" style="94"/>
    <col min="13057" max="13062" width="8.59765625" style="94" customWidth="1"/>
    <col min="13063" max="13063" width="8.69921875" style="94" customWidth="1"/>
    <col min="13064" max="13064" width="8.8984375" style="94" customWidth="1"/>
    <col min="13065" max="13066" width="8.59765625" style="94" customWidth="1"/>
    <col min="13067" max="13067" width="8.796875" style="94"/>
    <col min="13068" max="13068" width="9.3984375" style="94" bestFit="1" customWidth="1"/>
    <col min="13069" max="13069" width="6.296875" style="94" bestFit="1" customWidth="1"/>
    <col min="13070" max="13312" width="8.796875" style="94"/>
    <col min="13313" max="13318" width="8.59765625" style="94" customWidth="1"/>
    <col min="13319" max="13319" width="8.69921875" style="94" customWidth="1"/>
    <col min="13320" max="13320" width="8.8984375" style="94" customWidth="1"/>
    <col min="13321" max="13322" width="8.59765625" style="94" customWidth="1"/>
    <col min="13323" max="13323" width="8.796875" style="94"/>
    <col min="13324" max="13324" width="9.3984375" style="94" bestFit="1" customWidth="1"/>
    <col min="13325" max="13325" width="6.296875" style="94" bestFit="1" customWidth="1"/>
    <col min="13326" max="13568" width="8.796875" style="94"/>
    <col min="13569" max="13574" width="8.59765625" style="94" customWidth="1"/>
    <col min="13575" max="13575" width="8.69921875" style="94" customWidth="1"/>
    <col min="13576" max="13576" width="8.8984375" style="94" customWidth="1"/>
    <col min="13577" max="13578" width="8.59765625" style="94" customWidth="1"/>
    <col min="13579" max="13579" width="8.796875" style="94"/>
    <col min="13580" max="13580" width="9.3984375" style="94" bestFit="1" customWidth="1"/>
    <col min="13581" max="13581" width="6.296875" style="94" bestFit="1" customWidth="1"/>
    <col min="13582" max="13824" width="8.796875" style="94"/>
    <col min="13825" max="13830" width="8.59765625" style="94" customWidth="1"/>
    <col min="13831" max="13831" width="8.69921875" style="94" customWidth="1"/>
    <col min="13832" max="13832" width="8.8984375" style="94" customWidth="1"/>
    <col min="13833" max="13834" width="8.59765625" style="94" customWidth="1"/>
    <col min="13835" max="13835" width="8.796875" style="94"/>
    <col min="13836" max="13836" width="9.3984375" style="94" bestFit="1" customWidth="1"/>
    <col min="13837" max="13837" width="6.296875" style="94" bestFit="1" customWidth="1"/>
    <col min="13838" max="14080" width="8.796875" style="94"/>
    <col min="14081" max="14086" width="8.59765625" style="94" customWidth="1"/>
    <col min="14087" max="14087" width="8.69921875" style="94" customWidth="1"/>
    <col min="14088" max="14088" width="8.8984375" style="94" customWidth="1"/>
    <col min="14089" max="14090" width="8.59765625" style="94" customWidth="1"/>
    <col min="14091" max="14091" width="8.796875" style="94"/>
    <col min="14092" max="14092" width="9.3984375" style="94" bestFit="1" customWidth="1"/>
    <col min="14093" max="14093" width="6.296875" style="94" bestFit="1" customWidth="1"/>
    <col min="14094" max="14336" width="8.796875" style="94"/>
    <col min="14337" max="14342" width="8.59765625" style="94" customWidth="1"/>
    <col min="14343" max="14343" width="8.69921875" style="94" customWidth="1"/>
    <col min="14344" max="14344" width="8.8984375" style="94" customWidth="1"/>
    <col min="14345" max="14346" width="8.59765625" style="94" customWidth="1"/>
    <col min="14347" max="14347" width="8.796875" style="94"/>
    <col min="14348" max="14348" width="9.3984375" style="94" bestFit="1" customWidth="1"/>
    <col min="14349" max="14349" width="6.296875" style="94" bestFit="1" customWidth="1"/>
    <col min="14350" max="14592" width="8.796875" style="94"/>
    <col min="14593" max="14598" width="8.59765625" style="94" customWidth="1"/>
    <col min="14599" max="14599" width="8.69921875" style="94" customWidth="1"/>
    <col min="14600" max="14600" width="8.8984375" style="94" customWidth="1"/>
    <col min="14601" max="14602" width="8.59765625" style="94" customWidth="1"/>
    <col min="14603" max="14603" width="8.796875" style="94"/>
    <col min="14604" max="14604" width="9.3984375" style="94" bestFit="1" customWidth="1"/>
    <col min="14605" max="14605" width="6.296875" style="94" bestFit="1" customWidth="1"/>
    <col min="14606" max="14848" width="8.796875" style="94"/>
    <col min="14849" max="14854" width="8.59765625" style="94" customWidth="1"/>
    <col min="14855" max="14855" width="8.69921875" style="94" customWidth="1"/>
    <col min="14856" max="14856" width="8.8984375" style="94" customWidth="1"/>
    <col min="14857" max="14858" width="8.59765625" style="94" customWidth="1"/>
    <col min="14859" max="14859" width="8.796875" style="94"/>
    <col min="14860" max="14860" width="9.3984375" style="94" bestFit="1" customWidth="1"/>
    <col min="14861" max="14861" width="6.296875" style="94" bestFit="1" customWidth="1"/>
    <col min="14862" max="15104" width="8.796875" style="94"/>
    <col min="15105" max="15110" width="8.59765625" style="94" customWidth="1"/>
    <col min="15111" max="15111" width="8.69921875" style="94" customWidth="1"/>
    <col min="15112" max="15112" width="8.8984375" style="94" customWidth="1"/>
    <col min="15113" max="15114" width="8.59765625" style="94" customWidth="1"/>
    <col min="15115" max="15115" width="8.796875" style="94"/>
    <col min="15116" max="15116" width="9.3984375" style="94" bestFit="1" customWidth="1"/>
    <col min="15117" max="15117" width="6.296875" style="94" bestFit="1" customWidth="1"/>
    <col min="15118" max="15360" width="8.796875" style="94"/>
    <col min="15361" max="15366" width="8.59765625" style="94" customWidth="1"/>
    <col min="15367" max="15367" width="8.69921875" style="94" customWidth="1"/>
    <col min="15368" max="15368" width="8.8984375" style="94" customWidth="1"/>
    <col min="15369" max="15370" width="8.59765625" style="94" customWidth="1"/>
    <col min="15371" max="15371" width="8.796875" style="94"/>
    <col min="15372" max="15372" width="9.3984375" style="94" bestFit="1" customWidth="1"/>
    <col min="15373" max="15373" width="6.296875" style="94" bestFit="1" customWidth="1"/>
    <col min="15374" max="15616" width="8.796875" style="94"/>
    <col min="15617" max="15622" width="8.59765625" style="94" customWidth="1"/>
    <col min="15623" max="15623" width="8.69921875" style="94" customWidth="1"/>
    <col min="15624" max="15624" width="8.8984375" style="94" customWidth="1"/>
    <col min="15625" max="15626" width="8.59765625" style="94" customWidth="1"/>
    <col min="15627" max="15627" width="8.796875" style="94"/>
    <col min="15628" max="15628" width="9.3984375" style="94" bestFit="1" customWidth="1"/>
    <col min="15629" max="15629" width="6.296875" style="94" bestFit="1" customWidth="1"/>
    <col min="15630" max="15872" width="8.796875" style="94"/>
    <col min="15873" max="15878" width="8.59765625" style="94" customWidth="1"/>
    <col min="15879" max="15879" width="8.69921875" style="94" customWidth="1"/>
    <col min="15880" max="15880" width="8.8984375" style="94" customWidth="1"/>
    <col min="15881" max="15882" width="8.59765625" style="94" customWidth="1"/>
    <col min="15883" max="15883" width="8.796875" style="94"/>
    <col min="15884" max="15884" width="9.3984375" style="94" bestFit="1" customWidth="1"/>
    <col min="15885" max="15885" width="6.296875" style="94" bestFit="1" customWidth="1"/>
    <col min="15886" max="16128" width="8.796875" style="94"/>
    <col min="16129" max="16134" width="8.59765625" style="94" customWidth="1"/>
    <col min="16135" max="16135" width="8.69921875" style="94" customWidth="1"/>
    <col min="16136" max="16136" width="8.8984375" style="94" customWidth="1"/>
    <col min="16137" max="16138" width="8.59765625" style="94" customWidth="1"/>
    <col min="16139" max="16139" width="8.796875" style="94"/>
    <col min="16140" max="16140" width="9.3984375" style="94" bestFit="1" customWidth="1"/>
    <col min="16141" max="16141" width="6.296875" style="94" bestFit="1" customWidth="1"/>
    <col min="16142" max="16384" width="8.796875" style="94"/>
  </cols>
  <sheetData>
    <row r="1" spans="1:10" ht="18.75">
      <c r="A1" s="153" t="s">
        <v>115</v>
      </c>
      <c r="B1" s="154"/>
      <c r="C1" s="154"/>
      <c r="D1" s="154"/>
      <c r="E1" s="154"/>
      <c r="F1" s="154"/>
      <c r="G1" s="154"/>
      <c r="H1" s="154"/>
      <c r="I1" s="155" t="s">
        <v>116</v>
      </c>
      <c r="J1" s="155" t="s">
        <v>117</v>
      </c>
    </row>
    <row r="2" spans="1:10" ht="18.75">
      <c r="A2" s="153" t="s">
        <v>118</v>
      </c>
      <c r="B2" s="154"/>
      <c r="C2" s="154"/>
      <c r="D2" s="154"/>
      <c r="E2" s="154"/>
      <c r="F2" s="154"/>
      <c r="G2" s="154"/>
      <c r="H2" s="154"/>
      <c r="I2" s="154"/>
      <c r="J2" s="156" t="s">
        <v>119</v>
      </c>
    </row>
    <row r="3" spans="1:10" ht="15" customHeight="1" thickBot="1">
      <c r="A3" s="157" t="s">
        <v>120</v>
      </c>
      <c r="B3" s="158" t="s">
        <v>121</v>
      </c>
      <c r="C3" s="159"/>
      <c r="D3" s="157"/>
      <c r="E3" s="159"/>
      <c r="F3" s="159"/>
      <c r="G3" s="157" t="s">
        <v>122</v>
      </c>
      <c r="H3" s="160">
        <v>45512</v>
      </c>
      <c r="I3" s="157" t="s">
        <v>123</v>
      </c>
      <c r="J3" s="161">
        <v>0.55776620370370367</v>
      </c>
    </row>
    <row r="4" spans="1:10" ht="15" customHeight="1" thickBot="1">
      <c r="A4" s="162" t="s">
        <v>124</v>
      </c>
      <c r="B4" s="162" t="s">
        <v>125</v>
      </c>
      <c r="C4" s="162" t="s">
        <v>126</v>
      </c>
      <c r="D4" s="162" t="s">
        <v>127</v>
      </c>
      <c r="E4" s="163" t="s">
        <v>128</v>
      </c>
      <c r="F4" s="162" t="s">
        <v>129</v>
      </c>
      <c r="G4" s="162" t="s">
        <v>130</v>
      </c>
      <c r="H4" s="162" t="s">
        <v>131</v>
      </c>
      <c r="I4" s="162" t="s">
        <v>132</v>
      </c>
      <c r="J4" s="162" t="s">
        <v>133</v>
      </c>
    </row>
    <row r="5" spans="1:10" ht="15" customHeight="1" thickBot="1">
      <c r="A5" s="164">
        <v>2</v>
      </c>
      <c r="B5" s="165">
        <v>1000</v>
      </c>
      <c r="C5" s="166">
        <v>3600</v>
      </c>
      <c r="D5" s="164" t="s">
        <v>134</v>
      </c>
      <c r="E5" s="167">
        <v>3200</v>
      </c>
      <c r="F5" s="166">
        <v>60</v>
      </c>
      <c r="G5" s="164">
        <v>105</v>
      </c>
      <c r="H5" s="168" t="s">
        <v>761</v>
      </c>
      <c r="I5" s="169" t="s">
        <v>762</v>
      </c>
      <c r="J5" s="164" t="s">
        <v>137</v>
      </c>
    </row>
    <row r="6" spans="1:10" ht="15" customHeight="1" thickBot="1">
      <c r="A6" s="170" t="s">
        <v>138</v>
      </c>
      <c r="B6" s="171"/>
      <c r="C6" s="172"/>
      <c r="D6" s="173" t="s">
        <v>139</v>
      </c>
      <c r="E6" s="174"/>
      <c r="F6" s="175"/>
      <c r="G6" s="176"/>
      <c r="H6" s="177" t="s">
        <v>140</v>
      </c>
      <c r="I6" s="178"/>
      <c r="J6" s="179"/>
    </row>
    <row r="7" spans="1:10" ht="15" customHeight="1" thickBot="1">
      <c r="A7" s="180"/>
      <c r="B7" s="181" t="s">
        <v>141</v>
      </c>
      <c r="C7" s="182" t="s">
        <v>142</v>
      </c>
      <c r="D7" s="180"/>
      <c r="E7" s="183"/>
      <c r="F7" s="181" t="s">
        <v>143</v>
      </c>
      <c r="G7" s="182" t="s">
        <v>144</v>
      </c>
      <c r="H7" s="184" t="s">
        <v>145</v>
      </c>
      <c r="I7" s="185">
        <v>24.543671874999998</v>
      </c>
      <c r="J7" s="186" t="s">
        <v>146</v>
      </c>
    </row>
    <row r="8" spans="1:10" ht="15" customHeight="1">
      <c r="A8" s="184" t="s">
        <v>147</v>
      </c>
      <c r="B8" s="187">
        <v>3.2999999523162842</v>
      </c>
      <c r="C8" s="188"/>
      <c r="D8" s="189"/>
      <c r="E8" s="190"/>
      <c r="F8" s="181"/>
      <c r="G8" s="182"/>
      <c r="H8" s="184" t="s">
        <v>148</v>
      </c>
      <c r="I8" s="185">
        <v>30.456888323673823</v>
      </c>
      <c r="J8" s="191" t="s">
        <v>149</v>
      </c>
    </row>
    <row r="9" spans="1:10" ht="15" customHeight="1" thickBot="1">
      <c r="A9" s="184" t="s">
        <v>150</v>
      </c>
      <c r="B9" s="187">
        <v>0.93000000715255737</v>
      </c>
      <c r="C9" s="188"/>
      <c r="D9" s="184" t="s">
        <v>151</v>
      </c>
      <c r="E9" s="192" t="s">
        <v>152</v>
      </c>
      <c r="F9" s="193" t="s">
        <v>153</v>
      </c>
      <c r="G9" s="194"/>
      <c r="H9" s="184" t="s">
        <v>154</v>
      </c>
      <c r="I9" s="187">
        <v>27.500280099336912</v>
      </c>
      <c r="J9" s="195">
        <v>770.41975189515506</v>
      </c>
    </row>
    <row r="10" spans="1:10" ht="15" customHeight="1">
      <c r="A10" s="184" t="s">
        <v>155</v>
      </c>
      <c r="B10" s="187">
        <v>510</v>
      </c>
      <c r="C10" s="196">
        <v>510</v>
      </c>
      <c r="D10" s="189"/>
      <c r="E10" s="190"/>
      <c r="F10" s="197" t="s">
        <v>156</v>
      </c>
      <c r="G10" s="198" t="s">
        <v>157</v>
      </c>
      <c r="H10" s="184" t="s">
        <v>158</v>
      </c>
      <c r="I10" s="185">
        <v>14.338922976528664</v>
      </c>
      <c r="J10" s="191" t="s">
        <v>159</v>
      </c>
    </row>
    <row r="11" spans="1:10" ht="15" customHeight="1" thickBot="1">
      <c r="A11" s="184" t="s">
        <v>160</v>
      </c>
      <c r="B11" s="187">
        <v>670</v>
      </c>
      <c r="C11" s="196">
        <v>368.40000009536743</v>
      </c>
      <c r="D11" s="184" t="s">
        <v>161</v>
      </c>
      <c r="E11" s="185">
        <v>0.62493749999999992</v>
      </c>
      <c r="F11" s="199"/>
      <c r="G11" s="200"/>
      <c r="H11" s="184" t="s">
        <v>162</v>
      </c>
      <c r="I11" s="185">
        <v>30.038756689833033</v>
      </c>
      <c r="J11" s="195">
        <v>45278.501983576782</v>
      </c>
    </row>
    <row r="12" spans="1:10" ht="15" customHeight="1">
      <c r="A12" s="184" t="s">
        <v>163</v>
      </c>
      <c r="B12" s="187">
        <v>375</v>
      </c>
      <c r="C12" s="196">
        <v>185</v>
      </c>
      <c r="D12" s="184" t="s">
        <v>164</v>
      </c>
      <c r="E12" s="201" t="s">
        <v>14</v>
      </c>
      <c r="F12" s="202" t="s">
        <v>165</v>
      </c>
      <c r="G12" s="203" t="s">
        <v>166</v>
      </c>
      <c r="H12" s="184" t="s">
        <v>167</v>
      </c>
      <c r="I12" s="185">
        <v>1.1789163438632333</v>
      </c>
      <c r="J12" s="191" t="s">
        <v>168</v>
      </c>
    </row>
    <row r="13" spans="1:10" ht="15" customHeight="1" thickBot="1">
      <c r="A13" s="184" t="s">
        <v>169</v>
      </c>
      <c r="B13" s="187">
        <v>85</v>
      </c>
      <c r="C13" s="196">
        <v>55.290000200271606</v>
      </c>
      <c r="D13" s="184" t="s">
        <v>170</v>
      </c>
      <c r="E13" s="204">
        <v>24</v>
      </c>
      <c r="F13" s="202"/>
      <c r="G13" s="203" t="s">
        <v>171</v>
      </c>
      <c r="H13" s="184" t="s">
        <v>172</v>
      </c>
      <c r="I13" s="185">
        <v>1.0139197383619514</v>
      </c>
      <c r="J13" s="195">
        <v>150.81253051757813</v>
      </c>
    </row>
    <row r="14" spans="1:10" ht="15" customHeight="1" thickBot="1">
      <c r="A14" s="205" t="s">
        <v>173</v>
      </c>
      <c r="B14" s="206">
        <v>409.20001220703125</v>
      </c>
      <c r="C14" s="207">
        <v>409.20001220703125</v>
      </c>
      <c r="D14" s="184" t="s">
        <v>174</v>
      </c>
      <c r="E14" s="190" t="s">
        <v>175</v>
      </c>
      <c r="F14" s="190"/>
      <c r="G14" s="203" t="s">
        <v>176</v>
      </c>
      <c r="H14" s="157" t="s">
        <v>177</v>
      </c>
      <c r="I14" s="185">
        <v>1.1953265509204378</v>
      </c>
      <c r="J14" s="191" t="s">
        <v>178</v>
      </c>
    </row>
    <row r="15" spans="1:10" ht="15" customHeight="1" thickBot="1">
      <c r="A15" s="208" t="s">
        <v>179</v>
      </c>
      <c r="B15" s="209"/>
      <c r="C15" s="210"/>
      <c r="D15" s="184" t="s">
        <v>180</v>
      </c>
      <c r="E15" s="190" t="s">
        <v>14</v>
      </c>
      <c r="F15" s="190"/>
      <c r="G15" s="203"/>
      <c r="H15" s="184" t="s">
        <v>181</v>
      </c>
      <c r="I15" s="185">
        <v>0.83141460458883965</v>
      </c>
      <c r="J15" s="195">
        <v>19.245573679606121</v>
      </c>
    </row>
    <row r="16" spans="1:10" ht="15" customHeight="1">
      <c r="A16" s="184" t="s">
        <v>182</v>
      </c>
      <c r="B16" s="190">
        <v>48</v>
      </c>
      <c r="C16" s="188">
        <v>38</v>
      </c>
      <c r="D16" s="184" t="s">
        <v>183</v>
      </c>
      <c r="E16" s="190">
        <v>2</v>
      </c>
      <c r="F16" s="190"/>
      <c r="G16" s="203"/>
      <c r="H16" s="184" t="s">
        <v>184</v>
      </c>
      <c r="I16" s="185">
        <v>0.9554364713800827</v>
      </c>
      <c r="J16" s="211" t="s">
        <v>185</v>
      </c>
    </row>
    <row r="17" spans="1:16" ht="15" customHeight="1" thickBot="1">
      <c r="A17" s="184" t="s">
        <v>186</v>
      </c>
      <c r="B17" s="190" t="s">
        <v>187</v>
      </c>
      <c r="C17" s="188" t="s">
        <v>188</v>
      </c>
      <c r="D17" s="157" t="s">
        <v>189</v>
      </c>
      <c r="E17" s="190" t="s">
        <v>190</v>
      </c>
      <c r="F17" s="190"/>
      <c r="G17" s="203"/>
      <c r="H17" s="184" t="s">
        <v>191</v>
      </c>
      <c r="I17" s="185">
        <v>0.79436383606222771</v>
      </c>
      <c r="J17" s="195">
        <v>737.35925717550674</v>
      </c>
    </row>
    <row r="18" spans="1:16" ht="15" customHeight="1">
      <c r="A18" s="184" t="s">
        <v>192</v>
      </c>
      <c r="B18" s="190" t="s">
        <v>14</v>
      </c>
      <c r="C18" s="196">
        <v>0</v>
      </c>
      <c r="D18" s="184" t="s">
        <v>193</v>
      </c>
      <c r="E18" s="212">
        <v>1225</v>
      </c>
      <c r="F18" s="204">
        <v>680</v>
      </c>
      <c r="G18" s="213"/>
      <c r="H18" s="208" t="s">
        <v>194</v>
      </c>
      <c r="I18" s="214" t="s">
        <v>195</v>
      </c>
      <c r="J18" s="215"/>
    </row>
    <row r="19" spans="1:16" ht="15" customHeight="1">
      <c r="A19" s="184" t="s">
        <v>196</v>
      </c>
      <c r="B19" s="187">
        <v>62.5</v>
      </c>
      <c r="C19" s="196">
        <v>36.409999847412109</v>
      </c>
      <c r="D19" s="184" t="s">
        <v>197</v>
      </c>
      <c r="E19" s="204">
        <v>192</v>
      </c>
      <c r="F19" s="190"/>
      <c r="G19" s="188"/>
      <c r="H19" s="216"/>
      <c r="I19" s="181" t="s">
        <v>198</v>
      </c>
      <c r="J19" s="217" t="s">
        <v>199</v>
      </c>
    </row>
    <row r="20" spans="1:16" ht="15" customHeight="1">
      <c r="A20" s="184" t="s">
        <v>200</v>
      </c>
      <c r="B20" s="187" t="s">
        <v>201</v>
      </c>
      <c r="C20" s="196"/>
      <c r="D20" s="184" t="s">
        <v>202</v>
      </c>
      <c r="E20" s="218">
        <v>0.11173631280110617</v>
      </c>
      <c r="F20" s="190"/>
      <c r="G20" s="188"/>
      <c r="H20" s="184" t="s">
        <v>203</v>
      </c>
      <c r="I20" s="185">
        <v>18.533136367797852</v>
      </c>
      <c r="J20" s="219">
        <v>18.533136367797852</v>
      </c>
    </row>
    <row r="21" spans="1:16" ht="15" customHeight="1">
      <c r="A21" s="184" t="s">
        <v>204</v>
      </c>
      <c r="B21" s="187">
        <v>14.5</v>
      </c>
      <c r="C21" s="196">
        <v>3</v>
      </c>
      <c r="D21" s="184" t="s">
        <v>205</v>
      </c>
      <c r="E21" s="220">
        <v>0.14905492414921628</v>
      </c>
      <c r="F21" s="220">
        <v>9.7229063510894775E-2</v>
      </c>
      <c r="G21" s="221">
        <v>1.215370673725487E-2</v>
      </c>
      <c r="H21" s="184" t="s">
        <v>206</v>
      </c>
      <c r="I21" s="185">
        <v>16.804136276245117</v>
      </c>
      <c r="J21" s="219">
        <v>14.80540657043457</v>
      </c>
    </row>
    <row r="22" spans="1:16" ht="15" customHeight="1">
      <c r="A22" s="184" t="s">
        <v>207</v>
      </c>
      <c r="B22" s="187">
        <v>2.8299999237060547</v>
      </c>
      <c r="C22" s="196">
        <v>3</v>
      </c>
      <c r="D22" s="184" t="s">
        <v>208</v>
      </c>
      <c r="E22" s="190" t="s">
        <v>209</v>
      </c>
      <c r="F22" s="190" t="s">
        <v>209</v>
      </c>
      <c r="G22" s="188" t="s">
        <v>209</v>
      </c>
      <c r="H22" s="184" t="s">
        <v>210</v>
      </c>
      <c r="I22" s="185">
        <v>4.1274876594543457</v>
      </c>
      <c r="J22" s="219">
        <v>4.0209150314331055</v>
      </c>
    </row>
    <row r="23" spans="1:16" ht="15" customHeight="1">
      <c r="A23" s="184" t="s">
        <v>211</v>
      </c>
      <c r="B23" s="187">
        <v>10.043671607971191</v>
      </c>
      <c r="C23" s="196">
        <v>10.316610336303711</v>
      </c>
      <c r="D23" s="184" t="s">
        <v>212</v>
      </c>
      <c r="E23" s="185">
        <v>1.7419999837875366</v>
      </c>
      <c r="F23" s="185">
        <v>1.7419999837875366</v>
      </c>
      <c r="G23" s="219">
        <v>1.7419999837875366</v>
      </c>
      <c r="H23" s="184" t="s">
        <v>213</v>
      </c>
      <c r="I23" s="185">
        <v>24.366603650093936</v>
      </c>
      <c r="J23" s="182" t="s">
        <v>214</v>
      </c>
    </row>
    <row r="24" spans="1:16" ht="15" customHeight="1">
      <c r="A24" s="184" t="s">
        <v>215</v>
      </c>
      <c r="B24" s="187">
        <v>0</v>
      </c>
      <c r="C24" s="196">
        <v>0.80000001192092896</v>
      </c>
      <c r="D24" s="184" t="s">
        <v>216</v>
      </c>
      <c r="E24" s="185">
        <v>8.8900003433227539</v>
      </c>
      <c r="F24" s="185">
        <v>8.8900003433227539</v>
      </c>
      <c r="G24" s="219">
        <v>8.8900003433227539</v>
      </c>
      <c r="H24" s="184" t="s">
        <v>217</v>
      </c>
      <c r="I24" s="185">
        <v>7.1922226603197199</v>
      </c>
      <c r="J24" s="219">
        <v>7.0065178037032227</v>
      </c>
    </row>
    <row r="25" spans="1:16" ht="15" customHeight="1">
      <c r="A25" s="184" t="s">
        <v>218</v>
      </c>
      <c r="B25" s="190" t="s">
        <v>14</v>
      </c>
      <c r="C25" s="196">
        <v>4.7199997901916504</v>
      </c>
      <c r="D25" s="222" t="s">
        <v>219</v>
      </c>
      <c r="E25" s="192"/>
      <c r="F25" s="192"/>
      <c r="G25" s="223"/>
      <c r="H25" s="184" t="s">
        <v>220</v>
      </c>
      <c r="I25" s="185">
        <v>0.25843769311904907</v>
      </c>
      <c r="J25" s="219">
        <v>0.66358405351638794</v>
      </c>
    </row>
    <row r="26" spans="1:16" ht="15" customHeight="1">
      <c r="A26" s="184" t="s">
        <v>221</v>
      </c>
      <c r="B26" s="192" t="s">
        <v>222</v>
      </c>
      <c r="C26" s="223" t="s">
        <v>223</v>
      </c>
      <c r="D26" s="184" t="s">
        <v>224</v>
      </c>
      <c r="E26" s="187">
        <v>230.01252099081594</v>
      </c>
      <c r="F26" s="187">
        <v>77.022962974548335</v>
      </c>
      <c r="G26" s="196">
        <v>26.449351062353312</v>
      </c>
      <c r="H26" s="184" t="s">
        <v>225</v>
      </c>
      <c r="I26" s="185">
        <v>2.9696309566497803</v>
      </c>
      <c r="J26" s="219">
        <v>2.8738396167755127</v>
      </c>
    </row>
    <row r="27" spans="1:16" ht="15" customHeight="1" thickBot="1">
      <c r="A27" s="184" t="s">
        <v>226</v>
      </c>
      <c r="B27" s="190" t="s">
        <v>227</v>
      </c>
      <c r="C27" s="188" t="s">
        <v>227</v>
      </c>
      <c r="D27" s="224" t="s">
        <v>228</v>
      </c>
      <c r="E27" s="225" t="s">
        <v>14</v>
      </c>
      <c r="F27" s="225" t="s">
        <v>14</v>
      </c>
      <c r="G27" s="226" t="s">
        <v>14</v>
      </c>
      <c r="H27" s="224" t="s">
        <v>229</v>
      </c>
      <c r="I27" s="227">
        <v>2.9808552265167236</v>
      </c>
      <c r="J27" s="228">
        <v>2.9494571685791016</v>
      </c>
    </row>
    <row r="28" spans="1:16" ht="15" customHeight="1">
      <c r="A28" s="189" t="s">
        <v>230</v>
      </c>
      <c r="B28" s="159"/>
      <c r="C28" s="229"/>
      <c r="D28" s="208" t="s">
        <v>231</v>
      </c>
      <c r="E28" s="230"/>
      <c r="F28" s="231"/>
      <c r="G28" s="232"/>
      <c r="H28" s="176"/>
      <c r="I28" s="233" t="s">
        <v>232</v>
      </c>
      <c r="J28" s="176"/>
    </row>
    <row r="29" spans="1:16" ht="15" customHeight="1">
      <c r="A29" s="234"/>
      <c r="B29" s="235" t="s">
        <v>233</v>
      </c>
      <c r="C29" s="236">
        <v>33.371993281235319</v>
      </c>
      <c r="D29" s="234"/>
      <c r="E29" s="181" t="s">
        <v>234</v>
      </c>
      <c r="F29" s="181" t="s">
        <v>235</v>
      </c>
      <c r="G29" s="181" t="s">
        <v>236</v>
      </c>
      <c r="H29" s="182" t="s">
        <v>237</v>
      </c>
      <c r="I29" s="181" t="s">
        <v>238</v>
      </c>
      <c r="J29" s="182" t="s">
        <v>239</v>
      </c>
      <c r="M29" s="237" t="str">
        <f>RIGHT(F$41,SEARCH("/",F$41,1)-1)</f>
        <v xml:space="preserve"> 3560.5</v>
      </c>
      <c r="N29" s="94" t="s">
        <v>240</v>
      </c>
      <c r="P29" s="181" t="s">
        <v>241</v>
      </c>
    </row>
    <row r="30" spans="1:16" ht="15" customHeight="1" thickBot="1">
      <c r="A30" s="238"/>
      <c r="B30" s="239" t="s">
        <v>242</v>
      </c>
      <c r="C30" s="240">
        <v>33.399128783152655</v>
      </c>
      <c r="D30" s="184" t="s">
        <v>243</v>
      </c>
      <c r="E30" s="241">
        <v>52.621632500000004</v>
      </c>
      <c r="F30" s="241">
        <v>695.6400207519531</v>
      </c>
      <c r="G30" s="241">
        <v>13.07352244935262</v>
      </c>
      <c r="H30" s="242">
        <v>276.13700560654331</v>
      </c>
      <c r="I30" s="204">
        <v>63923.410184228254</v>
      </c>
      <c r="J30" s="213">
        <v>3500.9016709771386</v>
      </c>
      <c r="M30" s="237" t="str">
        <f>RIGHT(E$41,SEARCH("/",E$41,1)-1)</f>
        <v xml:space="preserve"> 3568.5</v>
      </c>
      <c r="N30" s="94" t="s">
        <v>244</v>
      </c>
      <c r="P30" s="243">
        <f>G30*6.4516</f>
        <v>84.345137434243355</v>
      </c>
    </row>
    <row r="31" spans="1:16" ht="15" customHeight="1">
      <c r="A31" s="170" t="s">
        <v>245</v>
      </c>
      <c r="B31" s="244"/>
      <c r="C31" s="245"/>
      <c r="D31" s="184" t="s">
        <v>246</v>
      </c>
      <c r="E31" s="241">
        <v>6.25</v>
      </c>
      <c r="F31" s="241">
        <v>986.36893070045392</v>
      </c>
      <c r="G31" s="241">
        <v>9.2201458753475691</v>
      </c>
      <c r="H31" s="242">
        <v>11.703853363191094</v>
      </c>
      <c r="I31" s="204">
        <v>12329.611633755674</v>
      </c>
      <c r="J31" s="213">
        <v>383.5204783778446</v>
      </c>
      <c r="M31" s="237" t="str">
        <f>RIGHT(D$41,SEARCH("/",D$41,1)-1)</f>
        <v xml:space="preserve"> 3576.6</v>
      </c>
      <c r="N31" s="94" t="s">
        <v>247</v>
      </c>
      <c r="P31" s="243">
        <f>G31*6.4516</f>
        <v>59.484693129392376</v>
      </c>
    </row>
    <row r="32" spans="1:16" ht="15" customHeight="1">
      <c r="A32" s="189" t="s">
        <v>248</v>
      </c>
      <c r="B32" s="185" t="s">
        <v>763</v>
      </c>
      <c r="C32" s="246"/>
      <c r="D32" s="184" t="s">
        <v>250</v>
      </c>
      <c r="E32" s="241">
        <v>23.214779336458562</v>
      </c>
      <c r="F32" s="241">
        <v>704.8333826652273</v>
      </c>
      <c r="G32" s="241">
        <v>12.903000413486875</v>
      </c>
      <c r="H32" s="242">
        <v>116.50579102026163</v>
      </c>
      <c r="I32" s="247" t="s">
        <v>251</v>
      </c>
      <c r="J32" s="213">
        <v>3884.422149354983</v>
      </c>
      <c r="M32" s="237" t="str">
        <f>RIGHT(C$41,SEARCH("/",C$41,1)-1)</f>
        <v xml:space="preserve"> 3584.3</v>
      </c>
      <c r="N32" s="94" t="s">
        <v>252</v>
      </c>
      <c r="P32" s="243">
        <f>G32*6.4516</f>
        <v>83.244997467651928</v>
      </c>
    </row>
    <row r="33" spans="1:16" ht="15" customHeight="1">
      <c r="A33" s="189" t="s">
        <v>253</v>
      </c>
      <c r="B33" s="185" t="s">
        <v>764</v>
      </c>
      <c r="C33" s="248" t="s">
        <v>255</v>
      </c>
      <c r="D33" s="184" t="s">
        <v>246</v>
      </c>
      <c r="E33" s="241">
        <v>3.6409999847412111</v>
      </c>
      <c r="F33" s="241">
        <v>802.09584435462602</v>
      </c>
      <c r="G33" s="241">
        <v>11.338377442020381</v>
      </c>
      <c r="H33" s="242">
        <v>12.678970618725801</v>
      </c>
      <c r="I33" s="247" t="s">
        <v>256</v>
      </c>
      <c r="J33" s="196" t="s">
        <v>257</v>
      </c>
      <c r="M33" s="237" t="str">
        <f>RIGHT(B$41,SEARCH("/",B$41,1)-1)</f>
        <v xml:space="preserve"> 3591.6</v>
      </c>
      <c r="N33" s="94" t="s">
        <v>258</v>
      </c>
      <c r="P33" s="243">
        <f>G33*6.4516</f>
        <v>73.150675904938694</v>
      </c>
    </row>
    <row r="34" spans="1:16" ht="15" customHeight="1" thickBot="1">
      <c r="A34" s="249" t="s">
        <v>259</v>
      </c>
      <c r="B34" s="227" t="s">
        <v>765</v>
      </c>
      <c r="C34" s="250">
        <v>9.0944654279687818</v>
      </c>
      <c r="D34" s="224" t="s">
        <v>147</v>
      </c>
      <c r="E34" s="251">
        <v>0.32999999523162843</v>
      </c>
      <c r="F34" s="252">
        <v>2168.2876097784542</v>
      </c>
      <c r="G34" s="252">
        <v>4.1943077048242747</v>
      </c>
      <c r="H34" s="253">
        <v>1101.4498411568609</v>
      </c>
      <c r="I34" s="247" t="s">
        <v>261</v>
      </c>
      <c r="J34" s="196">
        <v>6.0500001907348633</v>
      </c>
      <c r="P34" s="243">
        <f>G34*6.4516</f>
        <v>27.059995588444291</v>
      </c>
    </row>
    <row r="35" spans="1:16" ht="15" customHeight="1">
      <c r="A35" s="208" t="s">
        <v>262</v>
      </c>
      <c r="B35" s="175"/>
      <c r="C35" s="175"/>
      <c r="D35" s="254" t="s">
        <v>263</v>
      </c>
      <c r="E35" s="255" t="s">
        <v>766</v>
      </c>
      <c r="F35" s="176"/>
      <c r="G35" s="256" t="s">
        <v>265</v>
      </c>
      <c r="H35" s="257" t="s">
        <v>767</v>
      </c>
      <c r="I35" s="184" t="s">
        <v>267</v>
      </c>
      <c r="J35" s="213" t="s">
        <v>768</v>
      </c>
    </row>
    <row r="36" spans="1:16" ht="15" customHeight="1">
      <c r="A36" s="189" t="s">
        <v>269</v>
      </c>
      <c r="B36" s="181">
        <v>25</v>
      </c>
      <c r="C36" s="181">
        <v>50</v>
      </c>
      <c r="D36" s="181">
        <v>75</v>
      </c>
      <c r="E36" s="181">
        <v>100</v>
      </c>
      <c r="F36" s="182">
        <v>125</v>
      </c>
      <c r="G36" s="184" t="s">
        <v>270</v>
      </c>
      <c r="H36" s="213" t="s">
        <v>769</v>
      </c>
      <c r="I36" s="184" t="s">
        <v>272</v>
      </c>
      <c r="J36" s="213" t="s">
        <v>770</v>
      </c>
    </row>
    <row r="37" spans="1:16" ht="15" customHeight="1" thickBot="1">
      <c r="A37" s="184" t="s">
        <v>274</v>
      </c>
      <c r="B37" s="258" t="s">
        <v>771</v>
      </c>
      <c r="C37" s="258" t="s">
        <v>772</v>
      </c>
      <c r="D37" s="258" t="s">
        <v>773</v>
      </c>
      <c r="E37" s="258" t="s">
        <v>774</v>
      </c>
      <c r="F37" s="259" t="s">
        <v>775</v>
      </c>
      <c r="G37" s="184" t="s">
        <v>280</v>
      </c>
      <c r="H37" s="213" t="s">
        <v>776</v>
      </c>
      <c r="I37" s="224" t="s">
        <v>282</v>
      </c>
      <c r="J37" s="260" t="s">
        <v>777</v>
      </c>
      <c r="O37" s="261"/>
    </row>
    <row r="38" spans="1:16" ht="15" customHeight="1" thickBot="1">
      <c r="A38" s="184" t="s">
        <v>284</v>
      </c>
      <c r="B38" s="262" t="s">
        <v>778</v>
      </c>
      <c r="C38" s="262" t="s">
        <v>779</v>
      </c>
      <c r="D38" s="262" t="s">
        <v>780</v>
      </c>
      <c r="E38" s="262" t="s">
        <v>781</v>
      </c>
      <c r="F38" s="263" t="s">
        <v>781</v>
      </c>
      <c r="G38" s="249" t="s">
        <v>290</v>
      </c>
      <c r="H38" s="260" t="s">
        <v>291</v>
      </c>
      <c r="I38" s="264" t="s">
        <v>292</v>
      </c>
      <c r="J38" s="265">
        <v>5148.990234375</v>
      </c>
      <c r="L38" s="94" t="str">
        <f>LEFT(E38,SEARCH("/",E38,1)-1)</f>
        <v xml:space="preserve">0.952 </v>
      </c>
      <c r="M38" s="94" t="str">
        <f>RIGHT(E38,SEARCH("/",E38,1)-1)</f>
        <v xml:space="preserve"> 0.945</v>
      </c>
      <c r="N38" s="266">
        <f>M38/L38</f>
        <v>0.99264705882352944</v>
      </c>
      <c r="O38" s="261" t="s">
        <v>293</v>
      </c>
    </row>
    <row r="39" spans="1:16" ht="15" customHeight="1">
      <c r="A39" s="184" t="s">
        <v>294</v>
      </c>
      <c r="B39" s="262" t="s">
        <v>782</v>
      </c>
      <c r="C39" s="262" t="s">
        <v>783</v>
      </c>
      <c r="D39" s="262" t="s">
        <v>784</v>
      </c>
      <c r="E39" s="262" t="s">
        <v>785</v>
      </c>
      <c r="F39" s="263" t="s">
        <v>298</v>
      </c>
      <c r="G39" s="208" t="s">
        <v>300</v>
      </c>
      <c r="H39" s="175"/>
      <c r="I39" s="267" t="s">
        <v>301</v>
      </c>
      <c r="J39" s="268" t="s">
        <v>302</v>
      </c>
      <c r="L39" s="94" t="str">
        <f>LEFT(E39,SEARCH("/",E39,1)-1)</f>
        <v xml:space="preserve">0.937 </v>
      </c>
      <c r="M39" s="94" t="str">
        <f>RIGHT(E39,SEARCH("/",E39,1)-1)</f>
        <v xml:space="preserve"> 0.931</v>
      </c>
      <c r="N39" s="266">
        <f>M39/L39</f>
        <v>0.99359658484525082</v>
      </c>
      <c r="O39" s="261" t="s">
        <v>303</v>
      </c>
    </row>
    <row r="40" spans="1:16" ht="15" customHeight="1">
      <c r="A40" s="184" t="s">
        <v>301</v>
      </c>
      <c r="B40" s="269" t="s">
        <v>786</v>
      </c>
      <c r="C40" s="269" t="s">
        <v>787</v>
      </c>
      <c r="D40" s="269" t="s">
        <v>788</v>
      </c>
      <c r="E40" s="269" t="s">
        <v>762</v>
      </c>
      <c r="F40" s="270" t="s">
        <v>789</v>
      </c>
      <c r="G40" s="271" t="s">
        <v>308</v>
      </c>
      <c r="H40" s="272" t="s">
        <v>790</v>
      </c>
      <c r="I40" s="273"/>
      <c r="J40" s="274"/>
      <c r="L40" s="94" t="str">
        <f>LEFT(E37,SEARCH("/",E37,1)-1)</f>
        <v xml:space="preserve">150.81 </v>
      </c>
      <c r="M40" s="94" t="str">
        <f>RIGHT(E37,SEARCH("/",E37,1)-1)</f>
        <v xml:space="preserve"> 153.03</v>
      </c>
      <c r="N40" s="266">
        <f>M40/L40</f>
        <v>1.0147205092500498</v>
      </c>
      <c r="O40" s="261" t="s">
        <v>310</v>
      </c>
    </row>
    <row r="41" spans="1:16" ht="15" customHeight="1">
      <c r="A41" s="184" t="s">
        <v>126</v>
      </c>
      <c r="B41" s="275" t="s">
        <v>791</v>
      </c>
      <c r="C41" s="275" t="s">
        <v>792</v>
      </c>
      <c r="D41" s="275" t="s">
        <v>793</v>
      </c>
      <c r="E41" s="275" t="s">
        <v>761</v>
      </c>
      <c r="F41" s="276" t="s">
        <v>794</v>
      </c>
      <c r="G41" s="277" t="s">
        <v>315</v>
      </c>
      <c r="H41" s="278" t="s">
        <v>795</v>
      </c>
      <c r="I41" s="279"/>
      <c r="J41" s="280"/>
      <c r="L41" s="94" t="str">
        <f>LEFT(E41,SEARCH("/",E41,1)-1)</f>
        <v xml:space="preserve">3569.1 </v>
      </c>
      <c r="M41" s="94" t="str">
        <f>RIGHT(E41,SEARCH("/",E41,1)-1)</f>
        <v xml:space="preserve"> 3568.5</v>
      </c>
      <c r="N41" s="266">
        <f>M41/L41</f>
        <v>0.99983189039253595</v>
      </c>
      <c r="O41" s="261" t="s">
        <v>126</v>
      </c>
    </row>
    <row r="42" spans="1:16" ht="15" customHeight="1">
      <c r="A42" s="184" t="s">
        <v>317</v>
      </c>
      <c r="B42" s="262">
        <v>6.8955323150859424</v>
      </c>
      <c r="C42" s="262">
        <v>6.8955323150859424</v>
      </c>
      <c r="D42" s="262">
        <v>6.8955323150859424</v>
      </c>
      <c r="E42" s="262">
        <v>6.8955323150859424</v>
      </c>
      <c r="F42" s="263">
        <v>6.8955323150859424</v>
      </c>
      <c r="G42" s="271" t="s">
        <v>318</v>
      </c>
      <c r="H42" s="272" t="s">
        <v>796</v>
      </c>
      <c r="I42" s="273"/>
      <c r="J42" s="281">
        <v>0.22499185137520747</v>
      </c>
    </row>
    <row r="43" spans="1:16" ht="15" customHeight="1" thickBot="1">
      <c r="A43" s="224" t="s">
        <v>320</v>
      </c>
      <c r="B43" s="282">
        <v>6.8955323150859424</v>
      </c>
      <c r="C43" s="283"/>
      <c r="D43" s="284" t="s">
        <v>321</v>
      </c>
      <c r="E43" s="284"/>
      <c r="F43" s="285"/>
      <c r="G43" s="277" t="s">
        <v>315</v>
      </c>
      <c r="H43" s="278" t="s">
        <v>797</v>
      </c>
      <c r="I43" s="279"/>
      <c r="J43" s="280"/>
    </row>
    <row r="44" spans="1:16" ht="15" customHeight="1">
      <c r="A44" s="286" t="s">
        <v>323</v>
      </c>
      <c r="B44" s="287"/>
      <c r="C44" s="159"/>
      <c r="D44" s="159"/>
      <c r="E44" s="286" t="s">
        <v>324</v>
      </c>
      <c r="F44" s="288"/>
      <c r="G44" s="271" t="s">
        <v>325</v>
      </c>
      <c r="H44" s="289">
        <v>1590.8845622127387</v>
      </c>
      <c r="I44" s="290">
        <v>3.6787483317574948E-2</v>
      </c>
      <c r="J44" s="281">
        <v>0.64479359595865937</v>
      </c>
    </row>
    <row r="45" spans="1:16" ht="15" customHeight="1">
      <c r="A45" s="184" t="s">
        <v>326</v>
      </c>
      <c r="B45" s="185">
        <v>0.12930972874164581</v>
      </c>
      <c r="C45" s="291" t="s">
        <v>327</v>
      </c>
      <c r="D45" s="219">
        <v>1.2250556610524654E-2</v>
      </c>
      <c r="E45" s="184" t="s">
        <v>328</v>
      </c>
      <c r="F45" s="213">
        <v>202.64825942784356</v>
      </c>
      <c r="G45" s="292" t="s">
        <v>315</v>
      </c>
      <c r="H45" s="293" t="s">
        <v>798</v>
      </c>
      <c r="I45" s="294"/>
      <c r="J45" s="223"/>
    </row>
    <row r="46" spans="1:16" ht="15" customHeight="1">
      <c r="A46" s="184" t="s">
        <v>330</v>
      </c>
      <c r="B46" s="185">
        <v>0.23265592753887177</v>
      </c>
      <c r="C46" s="291" t="s">
        <v>331</v>
      </c>
      <c r="D46" s="219">
        <v>8.5696000605821609E-3</v>
      </c>
      <c r="E46" s="184" t="s">
        <v>332</v>
      </c>
      <c r="F46" s="213">
        <v>376.08434240069545</v>
      </c>
      <c r="G46" s="277" t="s">
        <v>333</v>
      </c>
      <c r="H46" s="295">
        <v>428.76242698352883</v>
      </c>
      <c r="I46" s="279"/>
      <c r="J46" s="280"/>
      <c r="L46" s="296" t="s">
        <v>334</v>
      </c>
      <c r="M46" s="297">
        <f>B5^0.95</f>
        <v>707.94578438413748</v>
      </c>
    </row>
    <row r="47" spans="1:16" ht="15" customHeight="1">
      <c r="A47" s="184" t="s">
        <v>335</v>
      </c>
      <c r="B47" s="185">
        <v>0.36196565628051758</v>
      </c>
      <c r="C47" s="291" t="s">
        <v>336</v>
      </c>
      <c r="D47" s="219">
        <v>1.8096514046192169E-2</v>
      </c>
      <c r="E47" s="184" t="s">
        <v>337</v>
      </c>
      <c r="F47" s="213">
        <v>159.55885187363509</v>
      </c>
      <c r="G47" s="298" t="s">
        <v>338</v>
      </c>
      <c r="H47" s="289">
        <v>1533.4879142486006</v>
      </c>
      <c r="I47" s="290">
        <v>3.5396229931236978E-2</v>
      </c>
      <c r="J47" s="299">
        <v>0.65805994261007683</v>
      </c>
      <c r="L47" s="296" t="s">
        <v>339</v>
      </c>
      <c r="M47" s="297">
        <f>B5^1.5</f>
        <v>31622.776601683781</v>
      </c>
    </row>
    <row r="48" spans="1:16" ht="15" customHeight="1">
      <c r="A48" s="184" t="s">
        <v>340</v>
      </c>
      <c r="B48" s="185">
        <v>8.8391462340950966E-3</v>
      </c>
      <c r="C48" s="291" t="s">
        <v>251</v>
      </c>
      <c r="D48" s="219">
        <v>4.7755815088748932E-2</v>
      </c>
      <c r="E48" s="184" t="s">
        <v>341</v>
      </c>
      <c r="F48" s="213">
        <v>42.275276890809529</v>
      </c>
      <c r="G48" s="300" t="s">
        <v>315</v>
      </c>
      <c r="H48" s="293">
        <v>205.56138260705103</v>
      </c>
      <c r="I48" s="294"/>
      <c r="J48" s="223"/>
      <c r="L48" s="296" t="s">
        <v>342</v>
      </c>
      <c r="M48" s="301">
        <f>IF(A5="",0,(7200/(1000*A5))^2.4)</f>
        <v>21.633460842025631</v>
      </c>
    </row>
    <row r="49" spans="1:13" ht="15" customHeight="1" thickBot="1">
      <c r="A49" s="238"/>
      <c r="B49" s="302"/>
      <c r="C49" s="303" t="s">
        <v>343</v>
      </c>
      <c r="D49" s="228">
        <v>0.95224416255950928</v>
      </c>
      <c r="E49" s="224" t="s">
        <v>344</v>
      </c>
      <c r="F49" s="260">
        <v>106.3375472001898</v>
      </c>
      <c r="G49" s="304" t="s">
        <v>333</v>
      </c>
      <c r="H49" s="295">
        <v>420.42792400206361</v>
      </c>
      <c r="I49" s="279"/>
      <c r="J49" s="305"/>
      <c r="L49" s="296" t="s">
        <v>345</v>
      </c>
      <c r="M49" s="301">
        <f>IF(A5="",0,(7200/(1000*A5))^1.8)</f>
        <v>10.031006258647469</v>
      </c>
    </row>
    <row r="50" spans="1:13" ht="15" customHeight="1">
      <c r="A50" s="208" t="s">
        <v>346</v>
      </c>
      <c r="B50" s="175"/>
      <c r="C50" s="175"/>
      <c r="D50" s="175"/>
      <c r="E50" s="175"/>
      <c r="F50" s="176"/>
      <c r="G50" s="208" t="s">
        <v>347</v>
      </c>
      <c r="H50" s="175"/>
      <c r="I50" s="232"/>
      <c r="J50" s="245"/>
      <c r="L50" s="296" t="s">
        <v>348</v>
      </c>
      <c r="M50" s="306">
        <f>IF(A5=2,27,24)</f>
        <v>27</v>
      </c>
    </row>
    <row r="51" spans="1:13" ht="15" customHeight="1">
      <c r="A51" s="184" t="s">
        <v>349</v>
      </c>
      <c r="B51" s="190">
        <v>38</v>
      </c>
      <c r="C51" s="247" t="s">
        <v>350</v>
      </c>
      <c r="D51" s="187" t="s">
        <v>14</v>
      </c>
      <c r="E51" s="247" t="s">
        <v>351</v>
      </c>
      <c r="F51" s="196" t="s">
        <v>14</v>
      </c>
      <c r="G51" s="247" t="s">
        <v>352</v>
      </c>
      <c r="H51" s="220">
        <v>0.10971603606365674</v>
      </c>
      <c r="I51" s="307" t="s">
        <v>353</v>
      </c>
      <c r="J51" s="229"/>
      <c r="L51" s="296" t="s">
        <v>354</v>
      </c>
      <c r="M51" s="306">
        <v>6.8500000000000005E-2</v>
      </c>
    </row>
    <row r="52" spans="1:13" ht="15" customHeight="1">
      <c r="A52" s="184" t="s">
        <v>196</v>
      </c>
      <c r="B52" s="187">
        <v>36.409999847412109</v>
      </c>
      <c r="C52" s="247" t="s">
        <v>355</v>
      </c>
      <c r="D52" s="187" t="s">
        <v>14</v>
      </c>
      <c r="E52" s="247" t="s">
        <v>356</v>
      </c>
      <c r="F52" s="196" t="s">
        <v>14</v>
      </c>
      <c r="G52" s="247" t="s">
        <v>357</v>
      </c>
      <c r="H52" s="187">
        <v>59716.166430917358</v>
      </c>
      <c r="I52" s="308" t="s">
        <v>799</v>
      </c>
      <c r="J52" s="309"/>
      <c r="L52" s="296" t="s">
        <v>359</v>
      </c>
      <c r="M52" s="310">
        <f>F5</f>
        <v>60</v>
      </c>
    </row>
    <row r="53" spans="1:13" ht="15" customHeight="1">
      <c r="A53" s="184" t="s">
        <v>204</v>
      </c>
      <c r="B53" s="187">
        <v>3</v>
      </c>
      <c r="C53" s="247" t="s">
        <v>360</v>
      </c>
      <c r="D53" s="187" t="s">
        <v>14</v>
      </c>
      <c r="E53" s="247" t="s">
        <v>361</v>
      </c>
      <c r="F53" s="196" t="s">
        <v>14</v>
      </c>
      <c r="G53" s="247" t="s">
        <v>362</v>
      </c>
      <c r="H53" s="185">
        <v>32.418368483682009</v>
      </c>
      <c r="I53" s="307" t="s">
        <v>363</v>
      </c>
      <c r="J53" s="229"/>
      <c r="L53" s="296" t="s">
        <v>364</v>
      </c>
      <c r="M53" s="237">
        <f>IF(F5=60,M50*M46/M48-M51*M47/M49,IF(F5&lt;&gt;60,(60/M52)^2*(M50*M46/M48-M51*M47/M49),0))</f>
        <v>667.61704016871386</v>
      </c>
    </row>
    <row r="54" spans="1:13" ht="15" customHeight="1">
      <c r="A54" s="184" t="s">
        <v>207</v>
      </c>
      <c r="B54" s="187">
        <v>3</v>
      </c>
      <c r="C54" s="247" t="s">
        <v>365</v>
      </c>
      <c r="D54" s="187" t="s">
        <v>14</v>
      </c>
      <c r="E54" s="247" t="s">
        <v>361</v>
      </c>
      <c r="F54" s="196" t="s">
        <v>14</v>
      </c>
      <c r="G54" s="247" t="s">
        <v>366</v>
      </c>
      <c r="H54" s="204">
        <v>197516</v>
      </c>
      <c r="I54" s="311" t="s">
        <v>800</v>
      </c>
      <c r="J54" s="280" t="s">
        <v>368</v>
      </c>
    </row>
    <row r="55" spans="1:13" ht="15" customHeight="1">
      <c r="A55" s="184" t="s">
        <v>369</v>
      </c>
      <c r="B55" s="187">
        <v>14.119999885559082</v>
      </c>
      <c r="C55" s="247" t="s">
        <v>370</v>
      </c>
      <c r="D55" s="187" t="s">
        <v>14</v>
      </c>
      <c r="E55" s="247" t="s">
        <v>371</v>
      </c>
      <c r="F55" s="196" t="s">
        <v>14</v>
      </c>
      <c r="G55" s="247" t="s">
        <v>372</v>
      </c>
      <c r="H55" s="187">
        <v>1</v>
      </c>
      <c r="I55" s="307" t="s">
        <v>373</v>
      </c>
      <c r="J55" s="229"/>
    </row>
    <row r="56" spans="1:13" ht="15" customHeight="1" thickBot="1">
      <c r="A56" s="224" t="s">
        <v>374</v>
      </c>
      <c r="B56" s="225" t="s">
        <v>14</v>
      </c>
      <c r="C56" s="312" t="s">
        <v>375</v>
      </c>
      <c r="D56" s="225" t="s">
        <v>14</v>
      </c>
      <c r="E56" s="312" t="s">
        <v>376</v>
      </c>
      <c r="F56" s="226" t="s">
        <v>14</v>
      </c>
      <c r="G56" s="312" t="s">
        <v>377</v>
      </c>
      <c r="H56" s="227">
        <v>0.68740624999999989</v>
      </c>
      <c r="I56" s="313" t="s">
        <v>801</v>
      </c>
      <c r="J56" s="305" t="s">
        <v>379</v>
      </c>
    </row>
    <row r="57" spans="1:13" ht="15" customHeight="1">
      <c r="A57" s="170" t="s">
        <v>802</v>
      </c>
      <c r="B57" s="232"/>
      <c r="C57" s="232"/>
      <c r="D57" s="232"/>
      <c r="E57" s="232"/>
      <c r="F57" s="245"/>
      <c r="G57" s="314"/>
      <c r="H57" s="315"/>
      <c r="I57" s="315"/>
      <c r="J57" s="316"/>
    </row>
    <row r="58" spans="1:13" ht="15" customHeight="1">
      <c r="A58" s="317" t="s">
        <v>301</v>
      </c>
      <c r="B58" s="181" t="s">
        <v>381</v>
      </c>
      <c r="C58" s="182" t="s">
        <v>333</v>
      </c>
      <c r="D58" s="181" t="s">
        <v>301</v>
      </c>
      <c r="E58" s="181" t="s">
        <v>381</v>
      </c>
      <c r="F58" s="182" t="s">
        <v>333</v>
      </c>
      <c r="G58" s="318"/>
      <c r="H58" s="319"/>
      <c r="I58" s="319"/>
      <c r="J58" s="320"/>
    </row>
    <row r="59" spans="1:13" ht="15" customHeight="1">
      <c r="A59" s="321">
        <v>0</v>
      </c>
      <c r="B59" s="293">
        <v>0</v>
      </c>
      <c r="C59" s="322">
        <v>0</v>
      </c>
      <c r="D59" s="323">
        <v>0.7</v>
      </c>
      <c r="E59" s="293">
        <v>90.880340738490602</v>
      </c>
      <c r="F59" s="322">
        <v>637.10638427734375</v>
      </c>
      <c r="G59" s="318"/>
      <c r="H59" s="319"/>
      <c r="I59" s="319"/>
      <c r="J59" s="320"/>
    </row>
    <row r="60" spans="1:13" ht="15" customHeight="1">
      <c r="A60" s="324">
        <v>0.01</v>
      </c>
      <c r="B60" s="293">
        <v>114.44169343155276</v>
      </c>
      <c r="C60" s="322">
        <v>168.814697265625</v>
      </c>
      <c r="D60" s="323">
        <v>0.8</v>
      </c>
      <c r="E60" s="293">
        <v>87.320165699062485</v>
      </c>
      <c r="F60" s="322">
        <v>640.113525390625</v>
      </c>
      <c r="G60" s="318"/>
      <c r="H60" s="319"/>
      <c r="I60" s="319"/>
      <c r="J60" s="320"/>
    </row>
    <row r="61" spans="1:13" ht="15" customHeight="1">
      <c r="A61" s="324">
        <v>0.05</v>
      </c>
      <c r="B61" s="293">
        <v>213.12724146730778</v>
      </c>
      <c r="C61" s="322">
        <v>500.29840087890625</v>
      </c>
      <c r="D61" s="323">
        <v>0.9</v>
      </c>
      <c r="E61" s="293">
        <v>84.079967101531977</v>
      </c>
      <c r="F61" s="322">
        <v>642.7437744140625</v>
      </c>
      <c r="G61" s="318"/>
      <c r="H61" s="319"/>
      <c r="I61" s="319"/>
      <c r="J61" s="320"/>
    </row>
    <row r="62" spans="1:13" ht="15" customHeight="1">
      <c r="A62" s="321">
        <v>0.1</v>
      </c>
      <c r="B62" s="293">
        <v>160.27197271869105</v>
      </c>
      <c r="C62" s="322">
        <v>583.01416015625</v>
      </c>
      <c r="D62" s="325">
        <v>1</v>
      </c>
      <c r="E62" s="293">
        <v>81.161760630025427</v>
      </c>
      <c r="F62" s="322">
        <v>645.0491943359375</v>
      </c>
      <c r="G62" s="318"/>
      <c r="H62" s="319"/>
      <c r="I62" s="319"/>
      <c r="J62" s="320"/>
    </row>
    <row r="63" spans="1:13" ht="15" customHeight="1">
      <c r="A63" s="321">
        <v>0.15</v>
      </c>
      <c r="B63" s="293">
        <v>132.07418261872465</v>
      </c>
      <c r="C63" s="322">
        <v>604.4727783203125</v>
      </c>
      <c r="D63" s="325"/>
      <c r="E63" s="293"/>
      <c r="F63" s="322"/>
      <c r="G63" s="318"/>
      <c r="H63" s="319"/>
      <c r="I63" s="319"/>
      <c r="J63" s="320"/>
    </row>
    <row r="64" spans="1:13" ht="15" customHeight="1">
      <c r="A64" s="321">
        <v>0.2</v>
      </c>
      <c r="B64" s="293">
        <v>118.73473821307874</v>
      </c>
      <c r="C64" s="322">
        <v>613.05560302734375</v>
      </c>
      <c r="D64" s="325"/>
      <c r="E64" s="293"/>
      <c r="F64" s="322"/>
      <c r="G64" s="318"/>
      <c r="H64" s="319"/>
      <c r="I64" s="319"/>
      <c r="J64" s="320"/>
    </row>
    <row r="65" spans="1:10" ht="15" customHeight="1">
      <c r="A65" s="321">
        <v>0.3</v>
      </c>
      <c r="B65" s="293">
        <v>107.92473248018348</v>
      </c>
      <c r="C65" s="322">
        <v>620.7940673828125</v>
      </c>
      <c r="D65" s="325"/>
      <c r="E65" s="293"/>
      <c r="F65" s="322"/>
      <c r="G65" s="318"/>
      <c r="H65" s="319"/>
      <c r="I65" s="319"/>
      <c r="J65" s="320"/>
    </row>
    <row r="66" spans="1:10" ht="15" customHeight="1">
      <c r="A66" s="321">
        <v>0.4</v>
      </c>
      <c r="B66" s="293">
        <v>102.87038926958465</v>
      </c>
      <c r="C66" s="322">
        <v>625.63568115234375</v>
      </c>
      <c r="D66" s="325"/>
      <c r="E66" s="293"/>
      <c r="F66" s="322"/>
      <c r="G66" s="318"/>
      <c r="H66" s="319"/>
      <c r="I66" s="319"/>
      <c r="J66" s="320"/>
    </row>
    <row r="67" spans="1:10" ht="15" customHeight="1">
      <c r="A67" s="321">
        <v>0.5</v>
      </c>
      <c r="B67" s="293">
        <v>98.718619469091877</v>
      </c>
      <c r="C67" s="322">
        <v>629.85479736328125</v>
      </c>
      <c r="D67" s="325"/>
      <c r="E67" s="293"/>
      <c r="F67" s="322"/>
      <c r="G67" s="318"/>
      <c r="H67" s="319"/>
      <c r="I67" s="319"/>
      <c r="J67" s="320"/>
    </row>
    <row r="68" spans="1:10" ht="15" customHeight="1" thickBot="1">
      <c r="A68" s="333">
        <v>0.6</v>
      </c>
      <c r="B68" s="327">
        <v>94.712590514267276</v>
      </c>
      <c r="C68" s="334">
        <v>633.6864013671875</v>
      </c>
      <c r="D68" s="326"/>
      <c r="E68" s="327"/>
      <c r="F68" s="334"/>
      <c r="G68" s="337"/>
      <c r="H68" s="338"/>
      <c r="I68" s="338"/>
      <c r="J68" s="339"/>
    </row>
    <row r="69" spans="1:10" ht="15" customHeight="1">
      <c r="A69" s="340"/>
      <c r="B69" s="341"/>
      <c r="C69" s="319"/>
      <c r="D69" s="319"/>
      <c r="E69" s="319"/>
      <c r="F69" s="319"/>
      <c r="G69" s="319"/>
      <c r="H69" s="319"/>
      <c r="I69" s="319"/>
      <c r="J69" s="319"/>
    </row>
    <row r="70" spans="1:10" ht="15" customHeight="1">
      <c r="A70" s="319"/>
      <c r="B70" s="319"/>
      <c r="C70" s="319"/>
      <c r="D70" s="319"/>
      <c r="E70" s="319"/>
      <c r="F70" s="319"/>
      <c r="G70" s="319"/>
      <c r="H70" s="319"/>
      <c r="I70" s="319"/>
      <c r="J70" s="319"/>
    </row>
    <row r="71" spans="1:10">
      <c r="A71" s="159"/>
      <c r="B71" s="159"/>
      <c r="C71" s="159"/>
      <c r="D71" s="159"/>
      <c r="E71" s="159"/>
      <c r="F71" s="159"/>
      <c r="G71" s="159"/>
      <c r="H71" s="159"/>
      <c r="I71" s="159"/>
      <c r="J71" s="159"/>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D52DB-299D-4AE0-8E28-E794C7F0215C}">
  <sheetPr>
    <pageSetUpPr fitToPage="1"/>
  </sheetPr>
  <dimension ref="A1:R113"/>
  <sheetViews>
    <sheetView topLeftCell="A47" zoomScale="95" zoomScaleNormal="95" workbookViewId="0">
      <selection activeCell="K67" sqref="K67"/>
    </sheetView>
  </sheetViews>
  <sheetFormatPr defaultRowHeight="12.75"/>
  <cols>
    <col min="1" max="6" width="8.59765625" style="94" customWidth="1"/>
    <col min="7" max="7" width="8.69921875" style="94" customWidth="1"/>
    <col min="8" max="8" width="8.8984375" style="94" customWidth="1"/>
    <col min="9" max="10" width="8.59765625" style="94" customWidth="1"/>
    <col min="11" max="11" width="8.796875" style="94"/>
    <col min="12" max="12" width="9.3984375" style="94" bestFit="1" customWidth="1"/>
    <col min="13" max="13" width="6.296875" style="94" bestFit="1" customWidth="1"/>
    <col min="14" max="256" width="8.796875" style="94"/>
    <col min="257" max="262" width="8.59765625" style="94" customWidth="1"/>
    <col min="263" max="263" width="8.69921875" style="94" customWidth="1"/>
    <col min="264" max="264" width="8.8984375" style="94" customWidth="1"/>
    <col min="265" max="266" width="8.59765625" style="94" customWidth="1"/>
    <col min="267" max="267" width="8.796875" style="94"/>
    <col min="268" max="268" width="9.3984375" style="94" bestFit="1" customWidth="1"/>
    <col min="269" max="269" width="6.296875" style="94" bestFit="1" customWidth="1"/>
    <col min="270" max="512" width="8.796875" style="94"/>
    <col min="513" max="518" width="8.59765625" style="94" customWidth="1"/>
    <col min="519" max="519" width="8.69921875" style="94" customWidth="1"/>
    <col min="520" max="520" width="8.8984375" style="94" customWidth="1"/>
    <col min="521" max="522" width="8.59765625" style="94" customWidth="1"/>
    <col min="523" max="523" width="8.796875" style="94"/>
    <col min="524" max="524" width="9.3984375" style="94" bestFit="1" customWidth="1"/>
    <col min="525" max="525" width="6.296875" style="94" bestFit="1" customWidth="1"/>
    <col min="526" max="768" width="8.796875" style="94"/>
    <col min="769" max="774" width="8.59765625" style="94" customWidth="1"/>
    <col min="775" max="775" width="8.69921875" style="94" customWidth="1"/>
    <col min="776" max="776" width="8.8984375" style="94" customWidth="1"/>
    <col min="777" max="778" width="8.59765625" style="94" customWidth="1"/>
    <col min="779" max="779" width="8.796875" style="94"/>
    <col min="780" max="780" width="9.3984375" style="94" bestFit="1" customWidth="1"/>
    <col min="781" max="781" width="6.296875" style="94" bestFit="1" customWidth="1"/>
    <col min="782" max="1024" width="8.796875" style="94"/>
    <col min="1025" max="1030" width="8.59765625" style="94" customWidth="1"/>
    <col min="1031" max="1031" width="8.69921875" style="94" customWidth="1"/>
    <col min="1032" max="1032" width="8.8984375" style="94" customWidth="1"/>
    <col min="1033" max="1034" width="8.59765625" style="94" customWidth="1"/>
    <col min="1035" max="1035" width="8.796875" style="94"/>
    <col min="1036" max="1036" width="9.3984375" style="94" bestFit="1" customWidth="1"/>
    <col min="1037" max="1037" width="6.296875" style="94" bestFit="1" customWidth="1"/>
    <col min="1038" max="1280" width="8.796875" style="94"/>
    <col min="1281" max="1286" width="8.59765625" style="94" customWidth="1"/>
    <col min="1287" max="1287" width="8.69921875" style="94" customWidth="1"/>
    <col min="1288" max="1288" width="8.8984375" style="94" customWidth="1"/>
    <col min="1289" max="1290" width="8.59765625" style="94" customWidth="1"/>
    <col min="1291" max="1291" width="8.796875" style="94"/>
    <col min="1292" max="1292" width="9.3984375" style="94" bestFit="1" customWidth="1"/>
    <col min="1293" max="1293" width="6.296875" style="94" bestFit="1" customWidth="1"/>
    <col min="1294" max="1536" width="8.796875" style="94"/>
    <col min="1537" max="1542" width="8.59765625" style="94" customWidth="1"/>
    <col min="1543" max="1543" width="8.69921875" style="94" customWidth="1"/>
    <col min="1544" max="1544" width="8.8984375" style="94" customWidth="1"/>
    <col min="1545" max="1546" width="8.59765625" style="94" customWidth="1"/>
    <col min="1547" max="1547" width="8.796875" style="94"/>
    <col min="1548" max="1548" width="9.3984375" style="94" bestFit="1" customWidth="1"/>
    <col min="1549" max="1549" width="6.296875" style="94" bestFit="1" customWidth="1"/>
    <col min="1550" max="1792" width="8.796875" style="94"/>
    <col min="1793" max="1798" width="8.59765625" style="94" customWidth="1"/>
    <col min="1799" max="1799" width="8.69921875" style="94" customWidth="1"/>
    <col min="1800" max="1800" width="8.8984375" style="94" customWidth="1"/>
    <col min="1801" max="1802" width="8.59765625" style="94" customWidth="1"/>
    <col min="1803" max="1803" width="8.796875" style="94"/>
    <col min="1804" max="1804" width="9.3984375" style="94" bestFit="1" customWidth="1"/>
    <col min="1805" max="1805" width="6.296875" style="94" bestFit="1" customWidth="1"/>
    <col min="1806" max="2048" width="8.796875" style="94"/>
    <col min="2049" max="2054" width="8.59765625" style="94" customWidth="1"/>
    <col min="2055" max="2055" width="8.69921875" style="94" customWidth="1"/>
    <col min="2056" max="2056" width="8.8984375" style="94" customWidth="1"/>
    <col min="2057" max="2058" width="8.59765625" style="94" customWidth="1"/>
    <col min="2059" max="2059" width="8.796875" style="94"/>
    <col min="2060" max="2060" width="9.3984375" style="94" bestFit="1" customWidth="1"/>
    <col min="2061" max="2061" width="6.296875" style="94" bestFit="1" customWidth="1"/>
    <col min="2062" max="2304" width="8.796875" style="94"/>
    <col min="2305" max="2310" width="8.59765625" style="94" customWidth="1"/>
    <col min="2311" max="2311" width="8.69921875" style="94" customWidth="1"/>
    <col min="2312" max="2312" width="8.8984375" style="94" customWidth="1"/>
    <col min="2313" max="2314" width="8.59765625" style="94" customWidth="1"/>
    <col min="2315" max="2315" width="8.796875" style="94"/>
    <col min="2316" max="2316" width="9.3984375" style="94" bestFit="1" customWidth="1"/>
    <col min="2317" max="2317" width="6.296875" style="94" bestFit="1" customWidth="1"/>
    <col min="2318" max="2560" width="8.796875" style="94"/>
    <col min="2561" max="2566" width="8.59765625" style="94" customWidth="1"/>
    <col min="2567" max="2567" width="8.69921875" style="94" customWidth="1"/>
    <col min="2568" max="2568" width="8.8984375" style="94" customWidth="1"/>
    <col min="2569" max="2570" width="8.59765625" style="94" customWidth="1"/>
    <col min="2571" max="2571" width="8.796875" style="94"/>
    <col min="2572" max="2572" width="9.3984375" style="94" bestFit="1" customWidth="1"/>
    <col min="2573" max="2573" width="6.296875" style="94" bestFit="1" customWidth="1"/>
    <col min="2574" max="2816" width="8.796875" style="94"/>
    <col min="2817" max="2822" width="8.59765625" style="94" customWidth="1"/>
    <col min="2823" max="2823" width="8.69921875" style="94" customWidth="1"/>
    <col min="2824" max="2824" width="8.8984375" style="94" customWidth="1"/>
    <col min="2825" max="2826" width="8.59765625" style="94" customWidth="1"/>
    <col min="2827" max="2827" width="8.796875" style="94"/>
    <col min="2828" max="2828" width="9.3984375" style="94" bestFit="1" customWidth="1"/>
    <col min="2829" max="2829" width="6.296875" style="94" bestFit="1" customWidth="1"/>
    <col min="2830" max="3072" width="8.796875" style="94"/>
    <col min="3073" max="3078" width="8.59765625" style="94" customWidth="1"/>
    <col min="3079" max="3079" width="8.69921875" style="94" customWidth="1"/>
    <col min="3080" max="3080" width="8.8984375" style="94" customWidth="1"/>
    <col min="3081" max="3082" width="8.59765625" style="94" customWidth="1"/>
    <col min="3083" max="3083" width="8.796875" style="94"/>
    <col min="3084" max="3084" width="9.3984375" style="94" bestFit="1" customWidth="1"/>
    <col min="3085" max="3085" width="6.296875" style="94" bestFit="1" customWidth="1"/>
    <col min="3086" max="3328" width="8.796875" style="94"/>
    <col min="3329" max="3334" width="8.59765625" style="94" customWidth="1"/>
    <col min="3335" max="3335" width="8.69921875" style="94" customWidth="1"/>
    <col min="3336" max="3336" width="8.8984375" style="94" customWidth="1"/>
    <col min="3337" max="3338" width="8.59765625" style="94" customWidth="1"/>
    <col min="3339" max="3339" width="8.796875" style="94"/>
    <col min="3340" max="3340" width="9.3984375" style="94" bestFit="1" customWidth="1"/>
    <col min="3341" max="3341" width="6.296875" style="94" bestFit="1" customWidth="1"/>
    <col min="3342" max="3584" width="8.796875" style="94"/>
    <col min="3585" max="3590" width="8.59765625" style="94" customWidth="1"/>
    <col min="3591" max="3591" width="8.69921875" style="94" customWidth="1"/>
    <col min="3592" max="3592" width="8.8984375" style="94" customWidth="1"/>
    <col min="3593" max="3594" width="8.59765625" style="94" customWidth="1"/>
    <col min="3595" max="3595" width="8.796875" style="94"/>
    <col min="3596" max="3596" width="9.3984375" style="94" bestFit="1" customWidth="1"/>
    <col min="3597" max="3597" width="6.296875" style="94" bestFit="1" customWidth="1"/>
    <col min="3598" max="3840" width="8.796875" style="94"/>
    <col min="3841" max="3846" width="8.59765625" style="94" customWidth="1"/>
    <col min="3847" max="3847" width="8.69921875" style="94" customWidth="1"/>
    <col min="3848" max="3848" width="8.8984375" style="94" customWidth="1"/>
    <col min="3849" max="3850" width="8.59765625" style="94" customWidth="1"/>
    <col min="3851" max="3851" width="8.796875" style="94"/>
    <col min="3852" max="3852" width="9.3984375" style="94" bestFit="1" customWidth="1"/>
    <col min="3853" max="3853" width="6.296875" style="94" bestFit="1" customWidth="1"/>
    <col min="3854" max="4096" width="8.796875" style="94"/>
    <col min="4097" max="4102" width="8.59765625" style="94" customWidth="1"/>
    <col min="4103" max="4103" width="8.69921875" style="94" customWidth="1"/>
    <col min="4104" max="4104" width="8.8984375" style="94" customWidth="1"/>
    <col min="4105" max="4106" width="8.59765625" style="94" customWidth="1"/>
    <col min="4107" max="4107" width="8.796875" style="94"/>
    <col min="4108" max="4108" width="9.3984375" style="94" bestFit="1" customWidth="1"/>
    <col min="4109" max="4109" width="6.296875" style="94" bestFit="1" customWidth="1"/>
    <col min="4110" max="4352" width="8.796875" style="94"/>
    <col min="4353" max="4358" width="8.59765625" style="94" customWidth="1"/>
    <col min="4359" max="4359" width="8.69921875" style="94" customWidth="1"/>
    <col min="4360" max="4360" width="8.8984375" style="94" customWidth="1"/>
    <col min="4361" max="4362" width="8.59765625" style="94" customWidth="1"/>
    <col min="4363" max="4363" width="8.796875" style="94"/>
    <col min="4364" max="4364" width="9.3984375" style="94" bestFit="1" customWidth="1"/>
    <col min="4365" max="4365" width="6.296875" style="94" bestFit="1" customWidth="1"/>
    <col min="4366" max="4608" width="8.796875" style="94"/>
    <col min="4609" max="4614" width="8.59765625" style="94" customWidth="1"/>
    <col min="4615" max="4615" width="8.69921875" style="94" customWidth="1"/>
    <col min="4616" max="4616" width="8.8984375" style="94" customWidth="1"/>
    <col min="4617" max="4618" width="8.59765625" style="94" customWidth="1"/>
    <col min="4619" max="4619" width="8.796875" style="94"/>
    <col min="4620" max="4620" width="9.3984375" style="94" bestFit="1" customWidth="1"/>
    <col min="4621" max="4621" width="6.296875" style="94" bestFit="1" customWidth="1"/>
    <col min="4622" max="4864" width="8.796875" style="94"/>
    <col min="4865" max="4870" width="8.59765625" style="94" customWidth="1"/>
    <col min="4871" max="4871" width="8.69921875" style="94" customWidth="1"/>
    <col min="4872" max="4872" width="8.8984375" style="94" customWidth="1"/>
    <col min="4873" max="4874" width="8.59765625" style="94" customWidth="1"/>
    <col min="4875" max="4875" width="8.796875" style="94"/>
    <col min="4876" max="4876" width="9.3984375" style="94" bestFit="1" customWidth="1"/>
    <col min="4877" max="4877" width="6.296875" style="94" bestFit="1" customWidth="1"/>
    <col min="4878" max="5120" width="8.796875" style="94"/>
    <col min="5121" max="5126" width="8.59765625" style="94" customWidth="1"/>
    <col min="5127" max="5127" width="8.69921875" style="94" customWidth="1"/>
    <col min="5128" max="5128" width="8.8984375" style="94" customWidth="1"/>
    <col min="5129" max="5130" width="8.59765625" style="94" customWidth="1"/>
    <col min="5131" max="5131" width="8.796875" style="94"/>
    <col min="5132" max="5132" width="9.3984375" style="94" bestFit="1" customWidth="1"/>
    <col min="5133" max="5133" width="6.296875" style="94" bestFit="1" customWidth="1"/>
    <col min="5134" max="5376" width="8.796875" style="94"/>
    <col min="5377" max="5382" width="8.59765625" style="94" customWidth="1"/>
    <col min="5383" max="5383" width="8.69921875" style="94" customWidth="1"/>
    <col min="5384" max="5384" width="8.8984375" style="94" customWidth="1"/>
    <col min="5385" max="5386" width="8.59765625" style="94" customWidth="1"/>
    <col min="5387" max="5387" width="8.796875" style="94"/>
    <col min="5388" max="5388" width="9.3984375" style="94" bestFit="1" customWidth="1"/>
    <col min="5389" max="5389" width="6.296875" style="94" bestFit="1" customWidth="1"/>
    <col min="5390" max="5632" width="8.796875" style="94"/>
    <col min="5633" max="5638" width="8.59765625" style="94" customWidth="1"/>
    <col min="5639" max="5639" width="8.69921875" style="94" customWidth="1"/>
    <col min="5640" max="5640" width="8.8984375" style="94" customWidth="1"/>
    <col min="5641" max="5642" width="8.59765625" style="94" customWidth="1"/>
    <col min="5643" max="5643" width="8.796875" style="94"/>
    <col min="5644" max="5644" width="9.3984375" style="94" bestFit="1" customWidth="1"/>
    <col min="5645" max="5645" width="6.296875" style="94" bestFit="1" customWidth="1"/>
    <col min="5646" max="5888" width="8.796875" style="94"/>
    <col min="5889" max="5894" width="8.59765625" style="94" customWidth="1"/>
    <col min="5895" max="5895" width="8.69921875" style="94" customWidth="1"/>
    <col min="5896" max="5896" width="8.8984375" style="94" customWidth="1"/>
    <col min="5897" max="5898" width="8.59765625" style="94" customWidth="1"/>
    <col min="5899" max="5899" width="8.796875" style="94"/>
    <col min="5900" max="5900" width="9.3984375" style="94" bestFit="1" customWidth="1"/>
    <col min="5901" max="5901" width="6.296875" style="94" bestFit="1" customWidth="1"/>
    <col min="5902" max="6144" width="8.796875" style="94"/>
    <col min="6145" max="6150" width="8.59765625" style="94" customWidth="1"/>
    <col min="6151" max="6151" width="8.69921875" style="94" customWidth="1"/>
    <col min="6152" max="6152" width="8.8984375" style="94" customWidth="1"/>
    <col min="6153" max="6154" width="8.59765625" style="94" customWidth="1"/>
    <col min="6155" max="6155" width="8.796875" style="94"/>
    <col min="6156" max="6156" width="9.3984375" style="94" bestFit="1" customWidth="1"/>
    <col min="6157" max="6157" width="6.296875" style="94" bestFit="1" customWidth="1"/>
    <col min="6158" max="6400" width="8.796875" style="94"/>
    <col min="6401" max="6406" width="8.59765625" style="94" customWidth="1"/>
    <col min="6407" max="6407" width="8.69921875" style="94" customWidth="1"/>
    <col min="6408" max="6408" width="8.8984375" style="94" customWidth="1"/>
    <col min="6409" max="6410" width="8.59765625" style="94" customWidth="1"/>
    <col min="6411" max="6411" width="8.796875" style="94"/>
    <col min="6412" max="6412" width="9.3984375" style="94" bestFit="1" customWidth="1"/>
    <col min="6413" max="6413" width="6.296875" style="94" bestFit="1" customWidth="1"/>
    <col min="6414" max="6656" width="8.796875" style="94"/>
    <col min="6657" max="6662" width="8.59765625" style="94" customWidth="1"/>
    <col min="6663" max="6663" width="8.69921875" style="94" customWidth="1"/>
    <col min="6664" max="6664" width="8.8984375" style="94" customWidth="1"/>
    <col min="6665" max="6666" width="8.59765625" style="94" customWidth="1"/>
    <col min="6667" max="6667" width="8.796875" style="94"/>
    <col min="6668" max="6668" width="9.3984375" style="94" bestFit="1" customWidth="1"/>
    <col min="6669" max="6669" width="6.296875" style="94" bestFit="1" customWidth="1"/>
    <col min="6670" max="6912" width="8.796875" style="94"/>
    <col min="6913" max="6918" width="8.59765625" style="94" customWidth="1"/>
    <col min="6919" max="6919" width="8.69921875" style="94" customWidth="1"/>
    <col min="6920" max="6920" width="8.8984375" style="94" customWidth="1"/>
    <col min="6921" max="6922" width="8.59765625" style="94" customWidth="1"/>
    <col min="6923" max="6923" width="8.796875" style="94"/>
    <col min="6924" max="6924" width="9.3984375" style="94" bestFit="1" customWidth="1"/>
    <col min="6925" max="6925" width="6.296875" style="94" bestFit="1" customWidth="1"/>
    <col min="6926" max="7168" width="8.796875" style="94"/>
    <col min="7169" max="7174" width="8.59765625" style="94" customWidth="1"/>
    <col min="7175" max="7175" width="8.69921875" style="94" customWidth="1"/>
    <col min="7176" max="7176" width="8.8984375" style="94" customWidth="1"/>
    <col min="7177" max="7178" width="8.59765625" style="94" customWidth="1"/>
    <col min="7179" max="7179" width="8.796875" style="94"/>
    <col min="7180" max="7180" width="9.3984375" style="94" bestFit="1" customWidth="1"/>
    <col min="7181" max="7181" width="6.296875" style="94" bestFit="1" customWidth="1"/>
    <col min="7182" max="7424" width="8.796875" style="94"/>
    <col min="7425" max="7430" width="8.59765625" style="94" customWidth="1"/>
    <col min="7431" max="7431" width="8.69921875" style="94" customWidth="1"/>
    <col min="7432" max="7432" width="8.8984375" style="94" customWidth="1"/>
    <col min="7433" max="7434" width="8.59765625" style="94" customWidth="1"/>
    <col min="7435" max="7435" width="8.796875" style="94"/>
    <col min="7436" max="7436" width="9.3984375" style="94" bestFit="1" customWidth="1"/>
    <col min="7437" max="7437" width="6.296875" style="94" bestFit="1" customWidth="1"/>
    <col min="7438" max="7680" width="8.796875" style="94"/>
    <col min="7681" max="7686" width="8.59765625" style="94" customWidth="1"/>
    <col min="7687" max="7687" width="8.69921875" style="94" customWidth="1"/>
    <col min="7688" max="7688" width="8.8984375" style="94" customWidth="1"/>
    <col min="7689" max="7690" width="8.59765625" style="94" customWidth="1"/>
    <col min="7691" max="7691" width="8.796875" style="94"/>
    <col min="7692" max="7692" width="9.3984375" style="94" bestFit="1" customWidth="1"/>
    <col min="7693" max="7693" width="6.296875" style="94" bestFit="1" customWidth="1"/>
    <col min="7694" max="7936" width="8.796875" style="94"/>
    <col min="7937" max="7942" width="8.59765625" style="94" customWidth="1"/>
    <col min="7943" max="7943" width="8.69921875" style="94" customWidth="1"/>
    <col min="7944" max="7944" width="8.8984375" style="94" customWidth="1"/>
    <col min="7945" max="7946" width="8.59765625" style="94" customWidth="1"/>
    <col min="7947" max="7947" width="8.796875" style="94"/>
    <col min="7948" max="7948" width="9.3984375" style="94" bestFit="1" customWidth="1"/>
    <col min="7949" max="7949" width="6.296875" style="94" bestFit="1" customWidth="1"/>
    <col min="7950" max="8192" width="8.796875" style="94"/>
    <col min="8193" max="8198" width="8.59765625" style="94" customWidth="1"/>
    <col min="8199" max="8199" width="8.69921875" style="94" customWidth="1"/>
    <col min="8200" max="8200" width="8.8984375" style="94" customWidth="1"/>
    <col min="8201" max="8202" width="8.59765625" style="94" customWidth="1"/>
    <col min="8203" max="8203" width="8.796875" style="94"/>
    <col min="8204" max="8204" width="9.3984375" style="94" bestFit="1" customWidth="1"/>
    <col min="8205" max="8205" width="6.296875" style="94" bestFit="1" customWidth="1"/>
    <col min="8206" max="8448" width="8.796875" style="94"/>
    <col min="8449" max="8454" width="8.59765625" style="94" customWidth="1"/>
    <col min="8455" max="8455" width="8.69921875" style="94" customWidth="1"/>
    <col min="8456" max="8456" width="8.8984375" style="94" customWidth="1"/>
    <col min="8457" max="8458" width="8.59765625" style="94" customWidth="1"/>
    <col min="8459" max="8459" width="8.796875" style="94"/>
    <col min="8460" max="8460" width="9.3984375" style="94" bestFit="1" customWidth="1"/>
    <col min="8461" max="8461" width="6.296875" style="94" bestFit="1" customWidth="1"/>
    <col min="8462" max="8704" width="8.796875" style="94"/>
    <col min="8705" max="8710" width="8.59765625" style="94" customWidth="1"/>
    <col min="8711" max="8711" width="8.69921875" style="94" customWidth="1"/>
    <col min="8712" max="8712" width="8.8984375" style="94" customWidth="1"/>
    <col min="8713" max="8714" width="8.59765625" style="94" customWidth="1"/>
    <col min="8715" max="8715" width="8.796875" style="94"/>
    <col min="8716" max="8716" width="9.3984375" style="94" bestFit="1" customWidth="1"/>
    <col min="8717" max="8717" width="6.296875" style="94" bestFit="1" customWidth="1"/>
    <col min="8718" max="8960" width="8.796875" style="94"/>
    <col min="8961" max="8966" width="8.59765625" style="94" customWidth="1"/>
    <col min="8967" max="8967" width="8.69921875" style="94" customWidth="1"/>
    <col min="8968" max="8968" width="8.8984375" style="94" customWidth="1"/>
    <col min="8969" max="8970" width="8.59765625" style="94" customWidth="1"/>
    <col min="8971" max="8971" width="8.796875" style="94"/>
    <col min="8972" max="8972" width="9.3984375" style="94" bestFit="1" customWidth="1"/>
    <col min="8973" max="8973" width="6.296875" style="94" bestFit="1" customWidth="1"/>
    <col min="8974" max="9216" width="8.796875" style="94"/>
    <col min="9217" max="9222" width="8.59765625" style="94" customWidth="1"/>
    <col min="9223" max="9223" width="8.69921875" style="94" customWidth="1"/>
    <col min="9224" max="9224" width="8.8984375" style="94" customWidth="1"/>
    <col min="9225" max="9226" width="8.59765625" style="94" customWidth="1"/>
    <col min="9227" max="9227" width="8.796875" style="94"/>
    <col min="9228" max="9228" width="9.3984375" style="94" bestFit="1" customWidth="1"/>
    <col min="9229" max="9229" width="6.296875" style="94" bestFit="1" customWidth="1"/>
    <col min="9230" max="9472" width="8.796875" style="94"/>
    <col min="9473" max="9478" width="8.59765625" style="94" customWidth="1"/>
    <col min="9479" max="9479" width="8.69921875" style="94" customWidth="1"/>
    <col min="9480" max="9480" width="8.8984375" style="94" customWidth="1"/>
    <col min="9481" max="9482" width="8.59765625" style="94" customWidth="1"/>
    <col min="9483" max="9483" width="8.796875" style="94"/>
    <col min="9484" max="9484" width="9.3984375" style="94" bestFit="1" customWidth="1"/>
    <col min="9485" max="9485" width="6.296875" style="94" bestFit="1" customWidth="1"/>
    <col min="9486" max="9728" width="8.796875" style="94"/>
    <col min="9729" max="9734" width="8.59765625" style="94" customWidth="1"/>
    <col min="9735" max="9735" width="8.69921875" style="94" customWidth="1"/>
    <col min="9736" max="9736" width="8.8984375" style="94" customWidth="1"/>
    <col min="9737" max="9738" width="8.59765625" style="94" customWidth="1"/>
    <col min="9739" max="9739" width="8.796875" style="94"/>
    <col min="9740" max="9740" width="9.3984375" style="94" bestFit="1" customWidth="1"/>
    <col min="9741" max="9741" width="6.296875" style="94" bestFit="1" customWidth="1"/>
    <col min="9742" max="9984" width="8.796875" style="94"/>
    <col min="9985" max="9990" width="8.59765625" style="94" customWidth="1"/>
    <col min="9991" max="9991" width="8.69921875" style="94" customWidth="1"/>
    <col min="9992" max="9992" width="8.8984375" style="94" customWidth="1"/>
    <col min="9993" max="9994" width="8.59765625" style="94" customWidth="1"/>
    <col min="9995" max="9995" width="8.796875" style="94"/>
    <col min="9996" max="9996" width="9.3984375" style="94" bestFit="1" customWidth="1"/>
    <col min="9997" max="9997" width="6.296875" style="94" bestFit="1" customWidth="1"/>
    <col min="9998" max="10240" width="8.796875" style="94"/>
    <col min="10241" max="10246" width="8.59765625" style="94" customWidth="1"/>
    <col min="10247" max="10247" width="8.69921875" style="94" customWidth="1"/>
    <col min="10248" max="10248" width="8.8984375" style="94" customWidth="1"/>
    <col min="10249" max="10250" width="8.59765625" style="94" customWidth="1"/>
    <col min="10251" max="10251" width="8.796875" style="94"/>
    <col min="10252" max="10252" width="9.3984375" style="94" bestFit="1" customWidth="1"/>
    <col min="10253" max="10253" width="6.296875" style="94" bestFit="1" customWidth="1"/>
    <col min="10254" max="10496" width="8.796875" style="94"/>
    <col min="10497" max="10502" width="8.59765625" style="94" customWidth="1"/>
    <col min="10503" max="10503" width="8.69921875" style="94" customWidth="1"/>
    <col min="10504" max="10504" width="8.8984375" style="94" customWidth="1"/>
    <col min="10505" max="10506" width="8.59765625" style="94" customWidth="1"/>
    <col min="10507" max="10507" width="8.796875" style="94"/>
    <col min="10508" max="10508" width="9.3984375" style="94" bestFit="1" customWidth="1"/>
    <col min="10509" max="10509" width="6.296875" style="94" bestFit="1" customWidth="1"/>
    <col min="10510" max="10752" width="8.796875" style="94"/>
    <col min="10753" max="10758" width="8.59765625" style="94" customWidth="1"/>
    <col min="10759" max="10759" width="8.69921875" style="94" customWidth="1"/>
    <col min="10760" max="10760" width="8.8984375" style="94" customWidth="1"/>
    <col min="10761" max="10762" width="8.59765625" style="94" customWidth="1"/>
    <col min="10763" max="10763" width="8.796875" style="94"/>
    <col min="10764" max="10764" width="9.3984375" style="94" bestFit="1" customWidth="1"/>
    <col min="10765" max="10765" width="6.296875" style="94" bestFit="1" customWidth="1"/>
    <col min="10766" max="11008" width="8.796875" style="94"/>
    <col min="11009" max="11014" width="8.59765625" style="94" customWidth="1"/>
    <col min="11015" max="11015" width="8.69921875" style="94" customWidth="1"/>
    <col min="11016" max="11016" width="8.8984375" style="94" customWidth="1"/>
    <col min="11017" max="11018" width="8.59765625" style="94" customWidth="1"/>
    <col min="11019" max="11019" width="8.796875" style="94"/>
    <col min="11020" max="11020" width="9.3984375" style="94" bestFit="1" customWidth="1"/>
    <col min="11021" max="11021" width="6.296875" style="94" bestFit="1" customWidth="1"/>
    <col min="11022" max="11264" width="8.796875" style="94"/>
    <col min="11265" max="11270" width="8.59765625" style="94" customWidth="1"/>
    <col min="11271" max="11271" width="8.69921875" style="94" customWidth="1"/>
    <col min="11272" max="11272" width="8.8984375" style="94" customWidth="1"/>
    <col min="11273" max="11274" width="8.59765625" style="94" customWidth="1"/>
    <col min="11275" max="11275" width="8.796875" style="94"/>
    <col min="11276" max="11276" width="9.3984375" style="94" bestFit="1" customWidth="1"/>
    <col min="11277" max="11277" width="6.296875" style="94" bestFit="1" customWidth="1"/>
    <col min="11278" max="11520" width="8.796875" style="94"/>
    <col min="11521" max="11526" width="8.59765625" style="94" customWidth="1"/>
    <col min="11527" max="11527" width="8.69921875" style="94" customWidth="1"/>
    <col min="11528" max="11528" width="8.8984375" style="94" customWidth="1"/>
    <col min="11529" max="11530" width="8.59765625" style="94" customWidth="1"/>
    <col min="11531" max="11531" width="8.796875" style="94"/>
    <col min="11532" max="11532" width="9.3984375" style="94" bestFit="1" customWidth="1"/>
    <col min="11533" max="11533" width="6.296875" style="94" bestFit="1" customWidth="1"/>
    <col min="11534" max="11776" width="8.796875" style="94"/>
    <col min="11777" max="11782" width="8.59765625" style="94" customWidth="1"/>
    <col min="11783" max="11783" width="8.69921875" style="94" customWidth="1"/>
    <col min="11784" max="11784" width="8.8984375" style="94" customWidth="1"/>
    <col min="11785" max="11786" width="8.59765625" style="94" customWidth="1"/>
    <col min="11787" max="11787" width="8.796875" style="94"/>
    <col min="11788" max="11788" width="9.3984375" style="94" bestFit="1" customWidth="1"/>
    <col min="11789" max="11789" width="6.296875" style="94" bestFit="1" customWidth="1"/>
    <col min="11790" max="12032" width="8.796875" style="94"/>
    <col min="12033" max="12038" width="8.59765625" style="94" customWidth="1"/>
    <col min="12039" max="12039" width="8.69921875" style="94" customWidth="1"/>
    <col min="12040" max="12040" width="8.8984375" style="94" customWidth="1"/>
    <col min="12041" max="12042" width="8.59765625" style="94" customWidth="1"/>
    <col min="12043" max="12043" width="8.796875" style="94"/>
    <col min="12044" max="12044" width="9.3984375" style="94" bestFit="1" customWidth="1"/>
    <col min="12045" max="12045" width="6.296875" style="94" bestFit="1" customWidth="1"/>
    <col min="12046" max="12288" width="8.796875" style="94"/>
    <col min="12289" max="12294" width="8.59765625" style="94" customWidth="1"/>
    <col min="12295" max="12295" width="8.69921875" style="94" customWidth="1"/>
    <col min="12296" max="12296" width="8.8984375" style="94" customWidth="1"/>
    <col min="12297" max="12298" width="8.59765625" style="94" customWidth="1"/>
    <col min="12299" max="12299" width="8.796875" style="94"/>
    <col min="12300" max="12300" width="9.3984375" style="94" bestFit="1" customWidth="1"/>
    <col min="12301" max="12301" width="6.296875" style="94" bestFit="1" customWidth="1"/>
    <col min="12302" max="12544" width="8.796875" style="94"/>
    <col min="12545" max="12550" width="8.59765625" style="94" customWidth="1"/>
    <col min="12551" max="12551" width="8.69921875" style="94" customWidth="1"/>
    <col min="12552" max="12552" width="8.8984375" style="94" customWidth="1"/>
    <col min="12553" max="12554" width="8.59765625" style="94" customWidth="1"/>
    <col min="12555" max="12555" width="8.796875" style="94"/>
    <col min="12556" max="12556" width="9.3984375" style="94" bestFit="1" customWidth="1"/>
    <col min="12557" max="12557" width="6.296875" style="94" bestFit="1" customWidth="1"/>
    <col min="12558" max="12800" width="8.796875" style="94"/>
    <col min="12801" max="12806" width="8.59765625" style="94" customWidth="1"/>
    <col min="12807" max="12807" width="8.69921875" style="94" customWidth="1"/>
    <col min="12808" max="12808" width="8.8984375" style="94" customWidth="1"/>
    <col min="12809" max="12810" width="8.59765625" style="94" customWidth="1"/>
    <col min="12811" max="12811" width="8.796875" style="94"/>
    <col min="12812" max="12812" width="9.3984375" style="94" bestFit="1" customWidth="1"/>
    <col min="12813" max="12813" width="6.296875" style="94" bestFit="1" customWidth="1"/>
    <col min="12814" max="13056" width="8.796875" style="94"/>
    <col min="13057" max="13062" width="8.59765625" style="94" customWidth="1"/>
    <col min="13063" max="13063" width="8.69921875" style="94" customWidth="1"/>
    <col min="13064" max="13064" width="8.8984375" style="94" customWidth="1"/>
    <col min="13065" max="13066" width="8.59765625" style="94" customWidth="1"/>
    <col min="13067" max="13067" width="8.796875" style="94"/>
    <col min="13068" max="13068" width="9.3984375" style="94" bestFit="1" customWidth="1"/>
    <col min="13069" max="13069" width="6.296875" style="94" bestFit="1" customWidth="1"/>
    <col min="13070" max="13312" width="8.796875" style="94"/>
    <col min="13313" max="13318" width="8.59765625" style="94" customWidth="1"/>
    <col min="13319" max="13319" width="8.69921875" style="94" customWidth="1"/>
    <col min="13320" max="13320" width="8.8984375" style="94" customWidth="1"/>
    <col min="13321" max="13322" width="8.59765625" style="94" customWidth="1"/>
    <col min="13323" max="13323" width="8.796875" style="94"/>
    <col min="13324" max="13324" width="9.3984375" style="94" bestFit="1" customWidth="1"/>
    <col min="13325" max="13325" width="6.296875" style="94" bestFit="1" customWidth="1"/>
    <col min="13326" max="13568" width="8.796875" style="94"/>
    <col min="13569" max="13574" width="8.59765625" style="94" customWidth="1"/>
    <col min="13575" max="13575" width="8.69921875" style="94" customWidth="1"/>
    <col min="13576" max="13576" width="8.8984375" style="94" customWidth="1"/>
    <col min="13577" max="13578" width="8.59765625" style="94" customWidth="1"/>
    <col min="13579" max="13579" width="8.796875" style="94"/>
    <col min="13580" max="13580" width="9.3984375" style="94" bestFit="1" customWidth="1"/>
    <col min="13581" max="13581" width="6.296875" style="94" bestFit="1" customWidth="1"/>
    <col min="13582" max="13824" width="8.796875" style="94"/>
    <col min="13825" max="13830" width="8.59765625" style="94" customWidth="1"/>
    <col min="13831" max="13831" width="8.69921875" style="94" customWidth="1"/>
    <col min="13832" max="13832" width="8.8984375" style="94" customWidth="1"/>
    <col min="13833" max="13834" width="8.59765625" style="94" customWidth="1"/>
    <col min="13835" max="13835" width="8.796875" style="94"/>
    <col min="13836" max="13836" width="9.3984375" style="94" bestFit="1" customWidth="1"/>
    <col min="13837" max="13837" width="6.296875" style="94" bestFit="1" customWidth="1"/>
    <col min="13838" max="14080" width="8.796875" style="94"/>
    <col min="14081" max="14086" width="8.59765625" style="94" customWidth="1"/>
    <col min="14087" max="14087" width="8.69921875" style="94" customWidth="1"/>
    <col min="14088" max="14088" width="8.8984375" style="94" customWidth="1"/>
    <col min="14089" max="14090" width="8.59765625" style="94" customWidth="1"/>
    <col min="14091" max="14091" width="8.796875" style="94"/>
    <col min="14092" max="14092" width="9.3984375" style="94" bestFit="1" customWidth="1"/>
    <col min="14093" max="14093" width="6.296875" style="94" bestFit="1" customWidth="1"/>
    <col min="14094" max="14336" width="8.796875" style="94"/>
    <col min="14337" max="14342" width="8.59765625" style="94" customWidth="1"/>
    <col min="14343" max="14343" width="8.69921875" style="94" customWidth="1"/>
    <col min="14344" max="14344" width="8.8984375" style="94" customWidth="1"/>
    <col min="14345" max="14346" width="8.59765625" style="94" customWidth="1"/>
    <col min="14347" max="14347" width="8.796875" style="94"/>
    <col min="14348" max="14348" width="9.3984375" style="94" bestFit="1" customWidth="1"/>
    <col min="14349" max="14349" width="6.296875" style="94" bestFit="1" customWidth="1"/>
    <col min="14350" max="14592" width="8.796875" style="94"/>
    <col min="14593" max="14598" width="8.59765625" style="94" customWidth="1"/>
    <col min="14599" max="14599" width="8.69921875" style="94" customWidth="1"/>
    <col min="14600" max="14600" width="8.8984375" style="94" customWidth="1"/>
    <col min="14601" max="14602" width="8.59765625" style="94" customWidth="1"/>
    <col min="14603" max="14603" width="8.796875" style="94"/>
    <col min="14604" max="14604" width="9.3984375" style="94" bestFit="1" customWidth="1"/>
    <col min="14605" max="14605" width="6.296875" style="94" bestFit="1" customWidth="1"/>
    <col min="14606" max="14848" width="8.796875" style="94"/>
    <col min="14849" max="14854" width="8.59765625" style="94" customWidth="1"/>
    <col min="14855" max="14855" width="8.69921875" style="94" customWidth="1"/>
    <col min="14856" max="14856" width="8.8984375" style="94" customWidth="1"/>
    <col min="14857" max="14858" width="8.59765625" style="94" customWidth="1"/>
    <col min="14859" max="14859" width="8.796875" style="94"/>
    <col min="14860" max="14860" width="9.3984375" style="94" bestFit="1" customWidth="1"/>
    <col min="14861" max="14861" width="6.296875" style="94" bestFit="1" customWidth="1"/>
    <col min="14862" max="15104" width="8.796875" style="94"/>
    <col min="15105" max="15110" width="8.59765625" style="94" customWidth="1"/>
    <col min="15111" max="15111" width="8.69921875" style="94" customWidth="1"/>
    <col min="15112" max="15112" width="8.8984375" style="94" customWidth="1"/>
    <col min="15113" max="15114" width="8.59765625" style="94" customWidth="1"/>
    <col min="15115" max="15115" width="8.796875" style="94"/>
    <col min="15116" max="15116" width="9.3984375" style="94" bestFit="1" customWidth="1"/>
    <col min="15117" max="15117" width="6.296875" style="94" bestFit="1" customWidth="1"/>
    <col min="15118" max="15360" width="8.796875" style="94"/>
    <col min="15361" max="15366" width="8.59765625" style="94" customWidth="1"/>
    <col min="15367" max="15367" width="8.69921875" style="94" customWidth="1"/>
    <col min="15368" max="15368" width="8.8984375" style="94" customWidth="1"/>
    <col min="15369" max="15370" width="8.59765625" style="94" customWidth="1"/>
    <col min="15371" max="15371" width="8.796875" style="94"/>
    <col min="15372" max="15372" width="9.3984375" style="94" bestFit="1" customWidth="1"/>
    <col min="15373" max="15373" width="6.296875" style="94" bestFit="1" customWidth="1"/>
    <col min="15374" max="15616" width="8.796875" style="94"/>
    <col min="15617" max="15622" width="8.59765625" style="94" customWidth="1"/>
    <col min="15623" max="15623" width="8.69921875" style="94" customWidth="1"/>
    <col min="15624" max="15624" width="8.8984375" style="94" customWidth="1"/>
    <col min="15625" max="15626" width="8.59765625" style="94" customWidth="1"/>
    <col min="15627" max="15627" width="8.796875" style="94"/>
    <col min="15628" max="15628" width="9.3984375" style="94" bestFit="1" customWidth="1"/>
    <col min="15629" max="15629" width="6.296875" style="94" bestFit="1" customWidth="1"/>
    <col min="15630" max="15872" width="8.796875" style="94"/>
    <col min="15873" max="15878" width="8.59765625" style="94" customWidth="1"/>
    <col min="15879" max="15879" width="8.69921875" style="94" customWidth="1"/>
    <col min="15880" max="15880" width="8.8984375" style="94" customWidth="1"/>
    <col min="15881" max="15882" width="8.59765625" style="94" customWidth="1"/>
    <col min="15883" max="15883" width="8.796875" style="94"/>
    <col min="15884" max="15884" width="9.3984375" style="94" bestFit="1" customWidth="1"/>
    <col min="15885" max="15885" width="6.296875" style="94" bestFit="1" customWidth="1"/>
    <col min="15886" max="16128" width="8.796875" style="94"/>
    <col min="16129" max="16134" width="8.59765625" style="94" customWidth="1"/>
    <col min="16135" max="16135" width="8.69921875" style="94" customWidth="1"/>
    <col min="16136" max="16136" width="8.8984375" style="94" customWidth="1"/>
    <col min="16137" max="16138" width="8.59765625" style="94" customWidth="1"/>
    <col min="16139" max="16139" width="8.796875" style="94"/>
    <col min="16140" max="16140" width="9.3984375" style="94" bestFit="1" customWidth="1"/>
    <col min="16141" max="16141" width="6.296875" style="94" bestFit="1" customWidth="1"/>
    <col min="16142" max="16384" width="8.796875" style="94"/>
  </cols>
  <sheetData>
    <row r="1" spans="1:10" ht="18.75">
      <c r="A1" s="153" t="s">
        <v>115</v>
      </c>
      <c r="B1" s="154"/>
      <c r="C1" s="154"/>
      <c r="D1" s="154"/>
      <c r="E1" s="154"/>
      <c r="F1" s="154"/>
      <c r="G1" s="154"/>
      <c r="H1" s="154"/>
      <c r="I1" s="155" t="s">
        <v>116</v>
      </c>
      <c r="J1" s="155" t="s">
        <v>117</v>
      </c>
    </row>
    <row r="2" spans="1:10" ht="18.75">
      <c r="A2" s="153" t="s">
        <v>118</v>
      </c>
      <c r="B2" s="154"/>
      <c r="C2" s="154"/>
      <c r="D2" s="154"/>
      <c r="E2" s="154"/>
      <c r="F2" s="154"/>
      <c r="G2" s="154"/>
      <c r="H2" s="154"/>
      <c r="I2" s="154"/>
      <c r="J2" s="156" t="s">
        <v>119</v>
      </c>
    </row>
    <row r="3" spans="1:10" ht="15" customHeight="1" thickBot="1">
      <c r="A3" s="157" t="s">
        <v>120</v>
      </c>
      <c r="B3" s="158" t="s">
        <v>121</v>
      </c>
      <c r="C3" s="159"/>
      <c r="D3" s="157"/>
      <c r="E3" s="159"/>
      <c r="F3" s="159"/>
      <c r="G3" s="157" t="s">
        <v>122</v>
      </c>
      <c r="H3" s="160">
        <v>45512</v>
      </c>
      <c r="I3" s="157" t="s">
        <v>123</v>
      </c>
      <c r="J3" s="161">
        <v>0.49915509259259261</v>
      </c>
    </row>
    <row r="4" spans="1:10" ht="15" customHeight="1" thickBot="1">
      <c r="A4" s="162" t="s">
        <v>124</v>
      </c>
      <c r="B4" s="162" t="s">
        <v>125</v>
      </c>
      <c r="C4" s="162" t="s">
        <v>126</v>
      </c>
      <c r="D4" s="162" t="s">
        <v>127</v>
      </c>
      <c r="E4" s="163" t="s">
        <v>128</v>
      </c>
      <c r="F4" s="162" t="s">
        <v>129</v>
      </c>
      <c r="G4" s="162" t="s">
        <v>130</v>
      </c>
      <c r="H4" s="162" t="s">
        <v>131</v>
      </c>
      <c r="I4" s="162" t="s">
        <v>132</v>
      </c>
      <c r="J4" s="162" t="s">
        <v>133</v>
      </c>
    </row>
    <row r="5" spans="1:10" ht="15" customHeight="1" thickBot="1">
      <c r="A5" s="164">
        <v>2</v>
      </c>
      <c r="B5" s="165">
        <v>1000</v>
      </c>
      <c r="C5" s="166">
        <v>3600</v>
      </c>
      <c r="D5" s="164" t="s">
        <v>134</v>
      </c>
      <c r="E5" s="167">
        <v>4000</v>
      </c>
      <c r="F5" s="166">
        <v>60</v>
      </c>
      <c r="G5" s="164">
        <v>105</v>
      </c>
      <c r="H5" s="168" t="s">
        <v>135</v>
      </c>
      <c r="I5" s="169" t="s">
        <v>136</v>
      </c>
      <c r="J5" s="164" t="s">
        <v>137</v>
      </c>
    </row>
    <row r="6" spans="1:10" ht="15" customHeight="1" thickBot="1">
      <c r="A6" s="170" t="s">
        <v>138</v>
      </c>
      <c r="B6" s="171"/>
      <c r="C6" s="172"/>
      <c r="D6" s="173" t="s">
        <v>139</v>
      </c>
      <c r="E6" s="174"/>
      <c r="F6" s="175"/>
      <c r="G6" s="176"/>
      <c r="H6" s="177" t="s">
        <v>140</v>
      </c>
      <c r="I6" s="178"/>
      <c r="J6" s="179"/>
    </row>
    <row r="7" spans="1:10" ht="15" customHeight="1" thickBot="1">
      <c r="A7" s="180"/>
      <c r="B7" s="181" t="s">
        <v>141</v>
      </c>
      <c r="C7" s="182" t="s">
        <v>142</v>
      </c>
      <c r="D7" s="180"/>
      <c r="E7" s="183"/>
      <c r="F7" s="181" t="s">
        <v>143</v>
      </c>
      <c r="G7" s="182" t="s">
        <v>144</v>
      </c>
      <c r="H7" s="184" t="s">
        <v>145</v>
      </c>
      <c r="I7" s="185">
        <v>24.543671874999998</v>
      </c>
      <c r="J7" s="186" t="s">
        <v>146</v>
      </c>
    </row>
    <row r="8" spans="1:10" ht="15" customHeight="1">
      <c r="A8" s="184" t="s">
        <v>147</v>
      </c>
      <c r="B8" s="187">
        <v>3.2999999523162842</v>
      </c>
      <c r="C8" s="188"/>
      <c r="D8" s="189"/>
      <c r="E8" s="190"/>
      <c r="F8" s="181"/>
      <c r="G8" s="182"/>
      <c r="H8" s="184" t="s">
        <v>148</v>
      </c>
      <c r="I8" s="185">
        <v>30.456888323673823</v>
      </c>
      <c r="J8" s="191" t="s">
        <v>149</v>
      </c>
    </row>
    <row r="9" spans="1:10" ht="15" customHeight="1" thickBot="1">
      <c r="A9" s="184" t="s">
        <v>150</v>
      </c>
      <c r="B9" s="187">
        <v>0.93000000715255737</v>
      </c>
      <c r="C9" s="188"/>
      <c r="D9" s="184" t="s">
        <v>151</v>
      </c>
      <c r="E9" s="192" t="s">
        <v>152</v>
      </c>
      <c r="F9" s="193" t="s">
        <v>153</v>
      </c>
      <c r="G9" s="194"/>
      <c r="H9" s="184" t="s">
        <v>154</v>
      </c>
      <c r="I9" s="187">
        <v>27.500280099336912</v>
      </c>
      <c r="J9" s="195">
        <v>618.66404494383801</v>
      </c>
    </row>
    <row r="10" spans="1:10" ht="15" customHeight="1">
      <c r="A10" s="184" t="s">
        <v>155</v>
      </c>
      <c r="B10" s="187">
        <v>510</v>
      </c>
      <c r="C10" s="196">
        <v>510</v>
      </c>
      <c r="D10" s="189"/>
      <c r="E10" s="190"/>
      <c r="F10" s="197" t="s">
        <v>156</v>
      </c>
      <c r="G10" s="198" t="s">
        <v>157</v>
      </c>
      <c r="H10" s="184" t="s">
        <v>158</v>
      </c>
      <c r="I10" s="185">
        <v>14.338922976528664</v>
      </c>
      <c r="J10" s="191" t="s">
        <v>159</v>
      </c>
    </row>
    <row r="11" spans="1:10" ht="15" customHeight="1" thickBot="1">
      <c r="A11" s="184" t="s">
        <v>160</v>
      </c>
      <c r="B11" s="187">
        <v>670</v>
      </c>
      <c r="C11" s="196">
        <v>368.40000009536743</v>
      </c>
      <c r="D11" s="184" t="s">
        <v>161</v>
      </c>
      <c r="E11" s="185">
        <v>0.62493749999999992</v>
      </c>
      <c r="F11" s="199"/>
      <c r="G11" s="200"/>
      <c r="H11" s="184" t="s">
        <v>162</v>
      </c>
      <c r="I11" s="185">
        <v>30.038756689833033</v>
      </c>
      <c r="J11" s="195">
        <v>29591.748255327908</v>
      </c>
    </row>
    <row r="12" spans="1:10" ht="15" customHeight="1">
      <c r="A12" s="184" t="s">
        <v>163</v>
      </c>
      <c r="B12" s="187">
        <v>375</v>
      </c>
      <c r="C12" s="196">
        <v>185</v>
      </c>
      <c r="D12" s="184" t="s">
        <v>164</v>
      </c>
      <c r="E12" s="201" t="s">
        <v>14</v>
      </c>
      <c r="F12" s="202" t="s">
        <v>165</v>
      </c>
      <c r="G12" s="203" t="s">
        <v>166</v>
      </c>
      <c r="H12" s="184" t="s">
        <v>167</v>
      </c>
      <c r="I12" s="185">
        <v>1.1789163438632333</v>
      </c>
      <c r="J12" s="191" t="s">
        <v>168</v>
      </c>
    </row>
    <row r="13" spans="1:10" ht="15" customHeight="1" thickBot="1">
      <c r="A13" s="184" t="s">
        <v>169</v>
      </c>
      <c r="B13" s="187">
        <v>85</v>
      </c>
      <c r="C13" s="196">
        <v>55.290000200271606</v>
      </c>
      <c r="D13" s="184" t="s">
        <v>170</v>
      </c>
      <c r="E13" s="204">
        <v>24</v>
      </c>
      <c r="F13" s="202"/>
      <c r="G13" s="203" t="s">
        <v>171</v>
      </c>
      <c r="H13" s="184" t="s">
        <v>172</v>
      </c>
      <c r="I13" s="185">
        <v>1.0139197383619514</v>
      </c>
      <c r="J13" s="195">
        <v>121.92049407958984</v>
      </c>
    </row>
    <row r="14" spans="1:10" ht="15" customHeight="1" thickBot="1">
      <c r="A14" s="205" t="s">
        <v>173</v>
      </c>
      <c r="B14" s="206">
        <v>409.20001220703125</v>
      </c>
      <c r="C14" s="207">
        <v>409.20001220703125</v>
      </c>
      <c r="D14" s="184" t="s">
        <v>174</v>
      </c>
      <c r="E14" s="190" t="s">
        <v>175</v>
      </c>
      <c r="F14" s="190"/>
      <c r="G14" s="203" t="s">
        <v>176</v>
      </c>
      <c r="H14" s="157" t="s">
        <v>177</v>
      </c>
      <c r="I14" s="185">
        <v>1.1953265509204378</v>
      </c>
      <c r="J14" s="191" t="s">
        <v>178</v>
      </c>
    </row>
    <row r="15" spans="1:10" ht="15" customHeight="1" thickBot="1">
      <c r="A15" s="208" t="s">
        <v>179</v>
      </c>
      <c r="B15" s="209"/>
      <c r="C15" s="210"/>
      <c r="D15" s="184" t="s">
        <v>180</v>
      </c>
      <c r="E15" s="190" t="s">
        <v>14</v>
      </c>
      <c r="F15" s="190"/>
      <c r="G15" s="203"/>
      <c r="H15" s="184" t="s">
        <v>181</v>
      </c>
      <c r="I15" s="185">
        <v>0.83141460458883965</v>
      </c>
      <c r="J15" s="195">
        <v>24.056966145833332</v>
      </c>
    </row>
    <row r="16" spans="1:10" ht="15" customHeight="1">
      <c r="A16" s="184" t="s">
        <v>182</v>
      </c>
      <c r="B16" s="190">
        <v>48</v>
      </c>
      <c r="C16" s="188">
        <v>38</v>
      </c>
      <c r="D16" s="184" t="s">
        <v>183</v>
      </c>
      <c r="E16" s="190">
        <v>2</v>
      </c>
      <c r="F16" s="190"/>
      <c r="G16" s="203"/>
      <c r="H16" s="184" t="s">
        <v>184</v>
      </c>
      <c r="I16" s="185">
        <v>0.9554364713800827</v>
      </c>
      <c r="J16" s="211" t="s">
        <v>185</v>
      </c>
    </row>
    <row r="17" spans="1:18" ht="15" customHeight="1" thickBot="1">
      <c r="A17" s="184" t="s">
        <v>186</v>
      </c>
      <c r="B17" s="190" t="s">
        <v>187</v>
      </c>
      <c r="C17" s="188" t="s">
        <v>188</v>
      </c>
      <c r="D17" s="157" t="s">
        <v>189</v>
      </c>
      <c r="E17" s="190" t="s">
        <v>190</v>
      </c>
      <c r="F17" s="190"/>
      <c r="G17" s="203"/>
      <c r="H17" s="184" t="s">
        <v>191</v>
      </c>
      <c r="I17" s="185">
        <v>0.79436383606222771</v>
      </c>
      <c r="J17" s="195">
        <v>596.09904190632767</v>
      </c>
    </row>
    <row r="18" spans="1:18" ht="15" customHeight="1">
      <c r="A18" s="184" t="s">
        <v>192</v>
      </c>
      <c r="B18" s="190" t="s">
        <v>14</v>
      </c>
      <c r="C18" s="196">
        <v>0</v>
      </c>
      <c r="D18" s="184" t="s">
        <v>193</v>
      </c>
      <c r="E18" s="212">
        <v>1225</v>
      </c>
      <c r="F18" s="204">
        <v>680</v>
      </c>
      <c r="G18" s="213"/>
      <c r="H18" s="208" t="s">
        <v>194</v>
      </c>
      <c r="I18" s="214" t="s">
        <v>195</v>
      </c>
      <c r="J18" s="215"/>
    </row>
    <row r="19" spans="1:18" ht="15" customHeight="1">
      <c r="A19" s="184" t="s">
        <v>196</v>
      </c>
      <c r="B19" s="187">
        <v>62.5</v>
      </c>
      <c r="C19" s="196">
        <v>36.409999847412109</v>
      </c>
      <c r="D19" s="184" t="s">
        <v>197</v>
      </c>
      <c r="E19" s="204">
        <v>192</v>
      </c>
      <c r="F19" s="190"/>
      <c r="G19" s="188"/>
      <c r="H19" s="216"/>
      <c r="I19" s="181" t="s">
        <v>198</v>
      </c>
      <c r="J19" s="217" t="s">
        <v>199</v>
      </c>
      <c r="R19" s="94">
        <f>96.9-25.7</f>
        <v>71.2</v>
      </c>
    </row>
    <row r="20" spans="1:18" ht="15" customHeight="1">
      <c r="A20" s="184" t="s">
        <v>200</v>
      </c>
      <c r="B20" s="187" t="s">
        <v>201</v>
      </c>
      <c r="C20" s="196"/>
      <c r="D20" s="184" t="s">
        <v>202</v>
      </c>
      <c r="E20" s="218">
        <v>0.11173631280110617</v>
      </c>
      <c r="F20" s="190"/>
      <c r="G20" s="188"/>
      <c r="H20" s="184" t="s">
        <v>203</v>
      </c>
      <c r="I20" s="185">
        <v>18.533136367797852</v>
      </c>
      <c r="J20" s="219">
        <v>18.533136367797852</v>
      </c>
    </row>
    <row r="21" spans="1:18" ht="15" customHeight="1">
      <c r="A21" s="184" t="s">
        <v>204</v>
      </c>
      <c r="B21" s="187">
        <v>14.5</v>
      </c>
      <c r="C21" s="196">
        <v>3</v>
      </c>
      <c r="D21" s="184" t="s">
        <v>205</v>
      </c>
      <c r="E21" s="220">
        <v>0.14905492414921628</v>
      </c>
      <c r="F21" s="220">
        <v>9.7229063510894775E-2</v>
      </c>
      <c r="G21" s="221">
        <v>1.215370673725487E-2</v>
      </c>
      <c r="H21" s="184" t="s">
        <v>206</v>
      </c>
      <c r="I21" s="185">
        <v>16.804136276245117</v>
      </c>
      <c r="J21" s="219">
        <v>14.80540657043457</v>
      </c>
    </row>
    <row r="22" spans="1:18" ht="15" customHeight="1">
      <c r="A22" s="184" t="s">
        <v>207</v>
      </c>
      <c r="B22" s="187">
        <v>2.8299999237060547</v>
      </c>
      <c r="C22" s="196">
        <v>3</v>
      </c>
      <c r="D22" s="184" t="s">
        <v>208</v>
      </c>
      <c r="E22" s="190" t="s">
        <v>209</v>
      </c>
      <c r="F22" s="190" t="s">
        <v>209</v>
      </c>
      <c r="G22" s="188" t="s">
        <v>209</v>
      </c>
      <c r="H22" s="184" t="s">
        <v>210</v>
      </c>
      <c r="I22" s="185">
        <v>4.1274876594543457</v>
      </c>
      <c r="J22" s="219">
        <v>3.8444836139678955</v>
      </c>
    </row>
    <row r="23" spans="1:18" ht="15" customHeight="1">
      <c r="A23" s="184" t="s">
        <v>211</v>
      </c>
      <c r="B23" s="187">
        <v>10.043671607971191</v>
      </c>
      <c r="C23" s="196">
        <v>10.316610336303711</v>
      </c>
      <c r="D23" s="184" t="s">
        <v>212</v>
      </c>
      <c r="E23" s="185">
        <v>1.7419999837875366</v>
      </c>
      <c r="F23" s="185">
        <v>1.7419999837875366</v>
      </c>
      <c r="G23" s="219">
        <v>1.7419999837875366</v>
      </c>
      <c r="H23" s="184" t="s">
        <v>213</v>
      </c>
      <c r="I23" s="185">
        <v>24.366603650093936</v>
      </c>
      <c r="J23" s="182" t="s">
        <v>214</v>
      </c>
    </row>
    <row r="24" spans="1:18" ht="15" customHeight="1">
      <c r="A24" s="184" t="s">
        <v>215</v>
      </c>
      <c r="B24" s="187">
        <v>0</v>
      </c>
      <c r="C24" s="196">
        <v>0.80000001192092896</v>
      </c>
      <c r="D24" s="184" t="s">
        <v>216</v>
      </c>
      <c r="E24" s="185">
        <v>8.8900003433227539</v>
      </c>
      <c r="F24" s="185">
        <v>8.8900003433227539</v>
      </c>
      <c r="G24" s="219">
        <v>8.8900003433227539</v>
      </c>
      <c r="H24" s="184" t="s">
        <v>217</v>
      </c>
      <c r="I24" s="185">
        <v>7.1922226603197199</v>
      </c>
      <c r="J24" s="219">
        <v>6.6990832854294853</v>
      </c>
    </row>
    <row r="25" spans="1:18" ht="15" customHeight="1">
      <c r="A25" s="184" t="s">
        <v>218</v>
      </c>
      <c r="B25" s="190" t="s">
        <v>14</v>
      </c>
      <c r="C25" s="196">
        <v>4.7199997901916504</v>
      </c>
      <c r="D25" s="222" t="s">
        <v>219</v>
      </c>
      <c r="E25" s="192"/>
      <c r="F25" s="192"/>
      <c r="G25" s="223"/>
      <c r="H25" s="184" t="s">
        <v>220</v>
      </c>
      <c r="I25" s="185">
        <v>0.25843769311904907</v>
      </c>
      <c r="J25" s="219">
        <v>0.66358405351638794</v>
      </c>
    </row>
    <row r="26" spans="1:18" ht="15" customHeight="1">
      <c r="A26" s="184" t="s">
        <v>221</v>
      </c>
      <c r="B26" s="192" t="s">
        <v>222</v>
      </c>
      <c r="C26" s="223" t="s">
        <v>223</v>
      </c>
      <c r="D26" s="184" t="s">
        <v>224</v>
      </c>
      <c r="E26" s="187">
        <v>230.01252099081594</v>
      </c>
      <c r="F26" s="187">
        <v>77.022962974548335</v>
      </c>
      <c r="G26" s="196">
        <v>26.449351062353312</v>
      </c>
      <c r="H26" s="184" t="s">
        <v>225</v>
      </c>
      <c r="I26" s="185">
        <v>2.9696309566497803</v>
      </c>
      <c r="J26" s="219">
        <v>2.8536081314086914</v>
      </c>
    </row>
    <row r="27" spans="1:18" ht="15" customHeight="1" thickBot="1">
      <c r="A27" s="184" t="s">
        <v>226</v>
      </c>
      <c r="B27" s="190" t="s">
        <v>227</v>
      </c>
      <c r="C27" s="188" t="s">
        <v>227</v>
      </c>
      <c r="D27" s="224" t="s">
        <v>228</v>
      </c>
      <c r="E27" s="225" t="s">
        <v>14</v>
      </c>
      <c r="F27" s="225" t="s">
        <v>14</v>
      </c>
      <c r="G27" s="226" t="s">
        <v>14</v>
      </c>
      <c r="H27" s="224" t="s">
        <v>229</v>
      </c>
      <c r="I27" s="227">
        <v>2.9808552265167236</v>
      </c>
      <c r="J27" s="228">
        <v>2.9297480583190918</v>
      </c>
    </row>
    <row r="28" spans="1:18" ht="15" customHeight="1">
      <c r="A28" s="189" t="s">
        <v>230</v>
      </c>
      <c r="B28" s="159"/>
      <c r="C28" s="229"/>
      <c r="D28" s="208" t="s">
        <v>231</v>
      </c>
      <c r="E28" s="230"/>
      <c r="F28" s="231"/>
      <c r="G28" s="232"/>
      <c r="H28" s="176"/>
      <c r="I28" s="233" t="s">
        <v>232</v>
      </c>
      <c r="J28" s="176"/>
    </row>
    <row r="29" spans="1:18" ht="15" customHeight="1">
      <c r="A29" s="234"/>
      <c r="B29" s="235" t="s">
        <v>233</v>
      </c>
      <c r="C29" s="236">
        <v>33.371993281235319</v>
      </c>
      <c r="D29" s="234"/>
      <c r="E29" s="181" t="s">
        <v>234</v>
      </c>
      <c r="F29" s="181" t="s">
        <v>235</v>
      </c>
      <c r="G29" s="181" t="s">
        <v>236</v>
      </c>
      <c r="H29" s="182" t="s">
        <v>237</v>
      </c>
      <c r="I29" s="181" t="s">
        <v>238</v>
      </c>
      <c r="J29" s="182" t="s">
        <v>239</v>
      </c>
      <c r="M29" s="237" t="str">
        <f>RIGHT(F$41,SEARCH("/",F$41,1)-1)</f>
        <v xml:space="preserve"> 3575.4</v>
      </c>
      <c r="N29" s="94" t="s">
        <v>240</v>
      </c>
      <c r="P29" s="181" t="s">
        <v>241</v>
      </c>
    </row>
    <row r="30" spans="1:18" ht="15" customHeight="1" thickBot="1">
      <c r="A30" s="238"/>
      <c r="B30" s="239" t="s">
        <v>242</v>
      </c>
      <c r="C30" s="240">
        <v>33.399128783152655</v>
      </c>
      <c r="D30" s="184" t="s">
        <v>243</v>
      </c>
      <c r="E30" s="241">
        <v>52.621632500000004</v>
      </c>
      <c r="F30" s="241">
        <v>695.6400207519531</v>
      </c>
      <c r="G30" s="241">
        <v>16.3419024138596</v>
      </c>
      <c r="H30" s="242">
        <v>686.48167459150318</v>
      </c>
      <c r="I30" s="204">
        <v>63923.410184228254</v>
      </c>
      <c r="J30" s="213">
        <v>5025.440161837927</v>
      </c>
      <c r="M30" s="237" t="str">
        <f>RIGHT(E$41,SEARCH("/",E$41,1)-1)</f>
        <v xml:space="preserve"> 3580.3</v>
      </c>
      <c r="N30" s="94" t="s">
        <v>244</v>
      </c>
      <c r="P30" s="243">
        <f>G30*6.4516</f>
        <v>105.4314176132566</v>
      </c>
    </row>
    <row r="31" spans="1:18" ht="15" customHeight="1">
      <c r="A31" s="170" t="s">
        <v>245</v>
      </c>
      <c r="B31" s="244"/>
      <c r="C31" s="245"/>
      <c r="D31" s="184" t="s">
        <v>246</v>
      </c>
      <c r="E31" s="241">
        <v>6.25</v>
      </c>
      <c r="F31" s="241">
        <v>986.36893070045392</v>
      </c>
      <c r="G31" s="241">
        <v>11.525181887299336</v>
      </c>
      <c r="H31" s="242">
        <v>22.819644407038382</v>
      </c>
      <c r="I31" s="204">
        <v>12329.611633755674</v>
      </c>
      <c r="J31" s="213">
        <v>550.53223314020374</v>
      </c>
      <c r="M31" s="237" t="str">
        <f>RIGHT(D$41,SEARCH("/",D$41,1)-1)</f>
        <v xml:space="preserve"> 3585.0</v>
      </c>
      <c r="N31" s="94" t="s">
        <v>247</v>
      </c>
      <c r="P31" s="243">
        <f>G31*6.4516</f>
        <v>74.355863464100395</v>
      </c>
    </row>
    <row r="32" spans="1:18" ht="15" customHeight="1">
      <c r="A32" s="189" t="s">
        <v>248</v>
      </c>
      <c r="B32" s="185" t="s">
        <v>249</v>
      </c>
      <c r="C32" s="246"/>
      <c r="D32" s="184" t="s">
        <v>250</v>
      </c>
      <c r="E32" s="241">
        <v>23.214779336458562</v>
      </c>
      <c r="F32" s="241">
        <v>704.8333826652273</v>
      </c>
      <c r="G32" s="241">
        <v>16.128749877477286</v>
      </c>
      <c r="H32" s="242">
        <v>286.45967554335402</v>
      </c>
      <c r="I32" s="247" t="s">
        <v>251</v>
      </c>
      <c r="J32" s="213">
        <v>5575.972394978131</v>
      </c>
      <c r="M32" s="237" t="str">
        <f>RIGHT(C$41,SEARCH("/",C$41,1)-1)</f>
        <v xml:space="preserve"> 3589.7</v>
      </c>
      <c r="N32" s="94" t="s">
        <v>252</v>
      </c>
      <c r="P32" s="243">
        <f>G32*6.4516</f>
        <v>104.05624270953246</v>
      </c>
    </row>
    <row r="33" spans="1:16" ht="15" customHeight="1">
      <c r="A33" s="189" t="s">
        <v>253</v>
      </c>
      <c r="B33" s="185" t="s">
        <v>254</v>
      </c>
      <c r="C33" s="248" t="s">
        <v>255</v>
      </c>
      <c r="D33" s="184" t="s">
        <v>246</v>
      </c>
      <c r="E33" s="241">
        <v>3.6409999847412111</v>
      </c>
      <c r="F33" s="241">
        <v>802.09584435462602</v>
      </c>
      <c r="G33" s="241">
        <v>14.172971240675798</v>
      </c>
      <c r="H33" s="242">
        <v>26.024083718657902</v>
      </c>
      <c r="I33" s="247" t="s">
        <v>256</v>
      </c>
      <c r="J33" s="196" t="s">
        <v>257</v>
      </c>
      <c r="M33" s="237" t="str">
        <f>RIGHT(B$41,SEARCH("/",B$41,1)-1)</f>
        <v xml:space="preserve"> 3594.3</v>
      </c>
      <c r="N33" s="94" t="s">
        <v>258</v>
      </c>
      <c r="P33" s="243">
        <f>G33*6.4516</f>
        <v>91.438341256343975</v>
      </c>
    </row>
    <row r="34" spans="1:16" ht="15" customHeight="1" thickBot="1">
      <c r="A34" s="249" t="s">
        <v>259</v>
      </c>
      <c r="B34" s="227" t="s">
        <v>260</v>
      </c>
      <c r="C34" s="250">
        <v>11.368081334303684</v>
      </c>
      <c r="D34" s="224" t="s">
        <v>147</v>
      </c>
      <c r="E34" s="251">
        <v>0.32999999523162843</v>
      </c>
      <c r="F34" s="252">
        <v>2168.2876097784542</v>
      </c>
      <c r="G34" s="252">
        <v>5.2428844231901612</v>
      </c>
      <c r="H34" s="253">
        <v>1376.8122468660235</v>
      </c>
      <c r="I34" s="247" t="s">
        <v>261</v>
      </c>
      <c r="J34" s="196">
        <v>6.0500001907348633</v>
      </c>
      <c r="P34" s="243">
        <f>G34*6.4516</f>
        <v>33.824993144653646</v>
      </c>
    </row>
    <row r="35" spans="1:16" ht="15" customHeight="1">
      <c r="A35" s="208" t="s">
        <v>262</v>
      </c>
      <c r="B35" s="175"/>
      <c r="C35" s="175"/>
      <c r="D35" s="254" t="s">
        <v>263</v>
      </c>
      <c r="E35" s="255" t="s">
        <v>264</v>
      </c>
      <c r="F35" s="176"/>
      <c r="G35" s="256" t="s">
        <v>265</v>
      </c>
      <c r="H35" s="257" t="s">
        <v>266</v>
      </c>
      <c r="I35" s="184" t="s">
        <v>267</v>
      </c>
      <c r="J35" s="213" t="s">
        <v>268</v>
      </c>
    </row>
    <row r="36" spans="1:16" ht="15" customHeight="1">
      <c r="A36" s="189" t="s">
        <v>269</v>
      </c>
      <c r="B36" s="181">
        <v>25</v>
      </c>
      <c r="C36" s="181">
        <v>50</v>
      </c>
      <c r="D36" s="181">
        <v>75</v>
      </c>
      <c r="E36" s="181">
        <v>100</v>
      </c>
      <c r="F36" s="182">
        <v>125</v>
      </c>
      <c r="G36" s="184" t="s">
        <v>270</v>
      </c>
      <c r="H36" s="213" t="s">
        <v>271</v>
      </c>
      <c r="I36" s="184" t="s">
        <v>272</v>
      </c>
      <c r="J36" s="213" t="s">
        <v>273</v>
      </c>
    </row>
    <row r="37" spans="1:16" ht="15" customHeight="1" thickBot="1">
      <c r="A37" s="184" t="s">
        <v>274</v>
      </c>
      <c r="B37" s="258" t="s">
        <v>275</v>
      </c>
      <c r="C37" s="258" t="s">
        <v>276</v>
      </c>
      <c r="D37" s="258" t="s">
        <v>277</v>
      </c>
      <c r="E37" s="258" t="s">
        <v>278</v>
      </c>
      <c r="F37" s="259" t="s">
        <v>279</v>
      </c>
      <c r="G37" s="184" t="s">
        <v>280</v>
      </c>
      <c r="H37" s="213" t="s">
        <v>281</v>
      </c>
      <c r="I37" s="224" t="s">
        <v>282</v>
      </c>
      <c r="J37" s="260" t="s">
        <v>283</v>
      </c>
      <c r="O37" s="261"/>
    </row>
    <row r="38" spans="1:16" ht="15" customHeight="1" thickBot="1">
      <c r="A38" s="184" t="s">
        <v>284</v>
      </c>
      <c r="B38" s="262" t="s">
        <v>285</v>
      </c>
      <c r="C38" s="262" t="s">
        <v>286</v>
      </c>
      <c r="D38" s="262" t="s">
        <v>287</v>
      </c>
      <c r="E38" s="262" t="s">
        <v>288</v>
      </c>
      <c r="F38" s="263" t="s">
        <v>289</v>
      </c>
      <c r="G38" s="249" t="s">
        <v>290</v>
      </c>
      <c r="H38" s="260" t="s">
        <v>291</v>
      </c>
      <c r="I38" s="264" t="s">
        <v>292</v>
      </c>
      <c r="J38" s="265">
        <v>3059.482666015625</v>
      </c>
      <c r="L38" s="94" t="str">
        <f>LEFT(E38,SEARCH("/",E38,1)-1)</f>
        <v xml:space="preserve">0.955 </v>
      </c>
      <c r="M38" s="94" t="str">
        <f>RIGHT(E38,SEARCH("/",E38,1)-1)</f>
        <v xml:space="preserve"> 0.953</v>
      </c>
      <c r="N38" s="266">
        <f>M38/L38</f>
        <v>0.99790575916230362</v>
      </c>
      <c r="O38" s="261" t="s">
        <v>293</v>
      </c>
    </row>
    <row r="39" spans="1:16" ht="15" customHeight="1">
      <c r="A39" s="184" t="s">
        <v>294</v>
      </c>
      <c r="B39" s="262" t="s">
        <v>295</v>
      </c>
      <c r="C39" s="262" t="s">
        <v>296</v>
      </c>
      <c r="D39" s="262" t="s">
        <v>297</v>
      </c>
      <c r="E39" s="262" t="s">
        <v>298</v>
      </c>
      <c r="F39" s="263" t="s">
        <v>299</v>
      </c>
      <c r="G39" s="208" t="s">
        <v>300</v>
      </c>
      <c r="H39" s="175"/>
      <c r="I39" s="267" t="s">
        <v>301</v>
      </c>
      <c r="J39" s="268" t="s">
        <v>302</v>
      </c>
      <c r="L39" s="94" t="str">
        <f>LEFT(E39,SEARCH("/",E39,1)-1)</f>
        <v xml:space="preserve">0.924 </v>
      </c>
      <c r="M39" s="94" t="str">
        <f>RIGHT(E39,SEARCH("/",E39,1)-1)</f>
        <v xml:space="preserve"> 0.918</v>
      </c>
      <c r="N39" s="266">
        <f>M39/L39</f>
        <v>0.99350649350649345</v>
      </c>
      <c r="O39" s="261" t="s">
        <v>303</v>
      </c>
    </row>
    <row r="40" spans="1:16" ht="15" customHeight="1">
      <c r="A40" s="184" t="s">
        <v>301</v>
      </c>
      <c r="B40" s="269" t="s">
        <v>304</v>
      </c>
      <c r="C40" s="269" t="s">
        <v>305</v>
      </c>
      <c r="D40" s="269" t="s">
        <v>306</v>
      </c>
      <c r="E40" s="269" t="s">
        <v>136</v>
      </c>
      <c r="F40" s="270" t="s">
        <v>307</v>
      </c>
      <c r="G40" s="271" t="s">
        <v>308</v>
      </c>
      <c r="H40" s="272" t="s">
        <v>309</v>
      </c>
      <c r="I40" s="273"/>
      <c r="J40" s="274"/>
      <c r="L40" s="94" t="str">
        <f>LEFT(E37,SEARCH("/",E37,1)-1)</f>
        <v xml:space="preserve">121.92 </v>
      </c>
      <c r="M40" s="94">
        <v>123</v>
      </c>
      <c r="N40" s="266">
        <f>M40/L40</f>
        <v>1.0088582677165354</v>
      </c>
      <c r="O40" s="261" t="s">
        <v>310</v>
      </c>
    </row>
    <row r="41" spans="1:16" ht="15" customHeight="1">
      <c r="A41" s="184" t="s">
        <v>126</v>
      </c>
      <c r="B41" s="275" t="s">
        <v>311</v>
      </c>
      <c r="C41" s="275" t="s">
        <v>312</v>
      </c>
      <c r="D41" s="275" t="s">
        <v>313</v>
      </c>
      <c r="E41" s="275" t="s">
        <v>135</v>
      </c>
      <c r="F41" s="276" t="s">
        <v>314</v>
      </c>
      <c r="G41" s="277" t="s">
        <v>315</v>
      </c>
      <c r="H41" s="278" t="s">
        <v>316</v>
      </c>
      <c r="I41" s="279"/>
      <c r="J41" s="280"/>
      <c r="L41" s="94" t="str">
        <f>LEFT(E41,SEARCH("/",E41,1)-1)</f>
        <v xml:space="preserve">3581.0 </v>
      </c>
      <c r="M41" s="94">
        <v>3580</v>
      </c>
      <c r="N41" s="266">
        <f>M41/L41</f>
        <v>0.99972074839430325</v>
      </c>
      <c r="O41" s="261" t="s">
        <v>126</v>
      </c>
    </row>
    <row r="42" spans="1:16" ht="15" customHeight="1">
      <c r="A42" s="184" t="s">
        <v>317</v>
      </c>
      <c r="B42" s="262">
        <v>6.8955323150859424</v>
      </c>
      <c r="C42" s="262">
        <v>6.8955323150859424</v>
      </c>
      <c r="D42" s="262">
        <v>6.8955323150859424</v>
      </c>
      <c r="E42" s="262">
        <v>6.8955323150859424</v>
      </c>
      <c r="F42" s="263">
        <v>6.8955323150859424</v>
      </c>
      <c r="G42" s="271" t="s">
        <v>318</v>
      </c>
      <c r="H42" s="272" t="s">
        <v>319</v>
      </c>
      <c r="I42" s="273"/>
      <c r="J42" s="281">
        <v>0.2265054249378782</v>
      </c>
    </row>
    <row r="43" spans="1:16" ht="15" customHeight="1" thickBot="1">
      <c r="A43" s="224" t="s">
        <v>320</v>
      </c>
      <c r="B43" s="282">
        <v>6.8955323150859424</v>
      </c>
      <c r="C43" s="283"/>
      <c r="D43" s="284" t="s">
        <v>321</v>
      </c>
      <c r="E43" s="284"/>
      <c r="F43" s="285"/>
      <c r="G43" s="277" t="s">
        <v>315</v>
      </c>
      <c r="H43" s="278" t="s">
        <v>322</v>
      </c>
      <c r="I43" s="279"/>
      <c r="J43" s="280"/>
    </row>
    <row r="44" spans="1:16" ht="15" customHeight="1">
      <c r="A44" s="286" t="s">
        <v>323</v>
      </c>
      <c r="B44" s="287"/>
      <c r="C44" s="159"/>
      <c r="D44" s="159"/>
      <c r="E44" s="286" t="s">
        <v>324</v>
      </c>
      <c r="F44" s="288"/>
      <c r="G44" s="271" t="s">
        <v>325</v>
      </c>
      <c r="H44" s="289">
        <v>2465.7767218681802</v>
      </c>
      <c r="I44" s="290">
        <v>3.6787483317574948E-2</v>
      </c>
      <c r="J44" s="281">
        <v>0.63961082407405223</v>
      </c>
    </row>
    <row r="45" spans="1:16" ht="15" customHeight="1">
      <c r="A45" s="184" t="s">
        <v>326</v>
      </c>
      <c r="B45" s="185">
        <v>0.26498287916183472</v>
      </c>
      <c r="C45" s="291" t="s">
        <v>327</v>
      </c>
      <c r="D45" s="219">
        <v>7.7960737980902195E-3</v>
      </c>
      <c r="E45" s="184" t="s">
        <v>328</v>
      </c>
      <c r="F45" s="213">
        <v>316.63788025147505</v>
      </c>
      <c r="G45" s="292" t="s">
        <v>315</v>
      </c>
      <c r="H45" s="293" t="s">
        <v>329</v>
      </c>
      <c r="I45" s="294"/>
      <c r="J45" s="223"/>
    </row>
    <row r="46" spans="1:16" ht="15" customHeight="1">
      <c r="A46" s="184" t="s">
        <v>330</v>
      </c>
      <c r="B46" s="185">
        <v>0.14347197115421295</v>
      </c>
      <c r="C46" s="291" t="s">
        <v>331</v>
      </c>
      <c r="D46" s="219">
        <v>5.2846171893179417E-3</v>
      </c>
      <c r="E46" s="184" t="s">
        <v>332</v>
      </c>
      <c r="F46" s="213">
        <v>587.6317384108969</v>
      </c>
      <c r="G46" s="277" t="s">
        <v>333</v>
      </c>
      <c r="H46" s="295">
        <v>535.95301248298199</v>
      </c>
      <c r="I46" s="279"/>
      <c r="J46" s="280"/>
      <c r="L46" s="296" t="s">
        <v>334</v>
      </c>
      <c r="M46" s="297">
        <f>B5^0.95</f>
        <v>707.94578438413748</v>
      </c>
    </row>
    <row r="47" spans="1:16" ht="15" customHeight="1">
      <c r="A47" s="184" t="s">
        <v>335</v>
      </c>
      <c r="B47" s="185">
        <v>0.40845483541488647</v>
      </c>
      <c r="C47" s="291" t="s">
        <v>336</v>
      </c>
      <c r="D47" s="219">
        <v>1.8096514046192169E-2</v>
      </c>
      <c r="E47" s="184" t="s">
        <v>337</v>
      </c>
      <c r="F47" s="213">
        <v>249.31068628603879</v>
      </c>
      <c r="G47" s="298" t="s">
        <v>338</v>
      </c>
      <c r="H47" s="289">
        <v>2376.8153215096359</v>
      </c>
      <c r="I47" s="290">
        <v>3.5396229931236978E-2</v>
      </c>
      <c r="J47" s="299">
        <v>0.65277053745729297</v>
      </c>
      <c r="L47" s="296" t="s">
        <v>339</v>
      </c>
      <c r="M47" s="297">
        <f>B5^1.5</f>
        <v>31622.776601683781</v>
      </c>
    </row>
    <row r="48" spans="1:16" ht="15" customHeight="1">
      <c r="A48" s="184" t="s">
        <v>340</v>
      </c>
      <c r="B48" s="185">
        <v>1.294268574565649E-2</v>
      </c>
      <c r="C48" s="291" t="s">
        <v>251</v>
      </c>
      <c r="D48" s="219">
        <v>4.4119890779256821E-2</v>
      </c>
      <c r="E48" s="184" t="s">
        <v>341</v>
      </c>
      <c r="F48" s="213">
        <v>66.055114904731767</v>
      </c>
      <c r="G48" s="300" t="s">
        <v>315</v>
      </c>
      <c r="H48" s="293">
        <v>318.60795194499138</v>
      </c>
      <c r="I48" s="294"/>
      <c r="J48" s="223"/>
      <c r="L48" s="296" t="s">
        <v>342</v>
      </c>
      <c r="M48" s="301">
        <f>IF(A5="",0,(7200/(1000*A5))^2.4)</f>
        <v>21.633460842025631</v>
      </c>
    </row>
    <row r="49" spans="1:13" ht="15" customHeight="1" thickBot="1">
      <c r="A49" s="238"/>
      <c r="B49" s="302"/>
      <c r="C49" s="303" t="s">
        <v>343</v>
      </c>
      <c r="D49" s="228">
        <v>0.95588010549545288</v>
      </c>
      <c r="E49" s="224" t="s">
        <v>344</v>
      </c>
      <c r="F49" s="260">
        <v>166.15240432695768</v>
      </c>
      <c r="G49" s="304" t="s">
        <v>333</v>
      </c>
      <c r="H49" s="295">
        <v>525.53488416914945</v>
      </c>
      <c r="I49" s="279"/>
      <c r="J49" s="305"/>
      <c r="L49" s="296" t="s">
        <v>345</v>
      </c>
      <c r="M49" s="301">
        <f>IF(A5="",0,(7200/(1000*A5))^1.8)</f>
        <v>10.031006258647469</v>
      </c>
    </row>
    <row r="50" spans="1:13" ht="15" customHeight="1">
      <c r="A50" s="208" t="s">
        <v>346</v>
      </c>
      <c r="B50" s="175"/>
      <c r="C50" s="175"/>
      <c r="D50" s="175"/>
      <c r="E50" s="175"/>
      <c r="F50" s="176"/>
      <c r="G50" s="208" t="s">
        <v>347</v>
      </c>
      <c r="H50" s="175"/>
      <c r="I50" s="232"/>
      <c r="J50" s="245"/>
      <c r="L50" s="296" t="s">
        <v>348</v>
      </c>
      <c r="M50" s="306">
        <f>IF(A5=2,27,24)</f>
        <v>27</v>
      </c>
    </row>
    <row r="51" spans="1:13" ht="15" customHeight="1">
      <c r="A51" s="184" t="s">
        <v>349</v>
      </c>
      <c r="B51" s="190">
        <v>38</v>
      </c>
      <c r="C51" s="247" t="s">
        <v>350</v>
      </c>
      <c r="D51" s="187" t="s">
        <v>14</v>
      </c>
      <c r="E51" s="247" t="s">
        <v>351</v>
      </c>
      <c r="F51" s="196" t="s">
        <v>14</v>
      </c>
      <c r="G51" s="247" t="s">
        <v>352</v>
      </c>
      <c r="H51" s="220">
        <v>7.1704874864142662E-2</v>
      </c>
      <c r="I51" s="307" t="s">
        <v>353</v>
      </c>
      <c r="J51" s="229"/>
      <c r="L51" s="296" t="s">
        <v>354</v>
      </c>
      <c r="M51" s="306">
        <v>6.8500000000000005E-2</v>
      </c>
    </row>
    <row r="52" spans="1:13" ht="15" customHeight="1">
      <c r="A52" s="184" t="s">
        <v>196</v>
      </c>
      <c r="B52" s="187">
        <v>36.409999847412109</v>
      </c>
      <c r="C52" s="247" t="s">
        <v>355</v>
      </c>
      <c r="D52" s="187" t="s">
        <v>14</v>
      </c>
      <c r="E52" s="247" t="s">
        <v>356</v>
      </c>
      <c r="F52" s="196" t="s">
        <v>14</v>
      </c>
      <c r="G52" s="247" t="s">
        <v>357</v>
      </c>
      <c r="H52" s="187">
        <v>59716.166430917358</v>
      </c>
      <c r="I52" s="308" t="s">
        <v>358</v>
      </c>
      <c r="J52" s="309"/>
      <c r="L52" s="296" t="s">
        <v>359</v>
      </c>
      <c r="M52" s="310">
        <f>F5</f>
        <v>60</v>
      </c>
    </row>
    <row r="53" spans="1:13" ht="15" customHeight="1">
      <c r="A53" s="184" t="s">
        <v>204</v>
      </c>
      <c r="B53" s="187">
        <v>3</v>
      </c>
      <c r="C53" s="247" t="s">
        <v>360</v>
      </c>
      <c r="D53" s="187" t="s">
        <v>14</v>
      </c>
      <c r="E53" s="247" t="s">
        <v>361</v>
      </c>
      <c r="F53" s="196" t="s">
        <v>14</v>
      </c>
      <c r="G53" s="247" t="s">
        <v>362</v>
      </c>
      <c r="H53" s="185">
        <v>32.418368483682009</v>
      </c>
      <c r="I53" s="307" t="s">
        <v>363</v>
      </c>
      <c r="J53" s="229"/>
      <c r="L53" s="296" t="s">
        <v>364</v>
      </c>
      <c r="M53" s="237">
        <f>IF(F5=60,M50*M46/M48-M51*M47/M49,IF(F5&lt;&gt;60,(60/M52)^2*(M50*M46/M48-M51*M47/M49),0))</f>
        <v>667.61704016871386</v>
      </c>
    </row>
    <row r="54" spans="1:13" ht="15" customHeight="1">
      <c r="A54" s="184" t="s">
        <v>207</v>
      </c>
      <c r="B54" s="187">
        <v>3</v>
      </c>
      <c r="C54" s="247" t="s">
        <v>365</v>
      </c>
      <c r="D54" s="187" t="s">
        <v>14</v>
      </c>
      <c r="E54" s="247" t="s">
        <v>361</v>
      </c>
      <c r="F54" s="196" t="s">
        <v>14</v>
      </c>
      <c r="G54" s="247" t="s">
        <v>366</v>
      </c>
      <c r="H54" s="204">
        <v>197516</v>
      </c>
      <c r="I54" s="311" t="s">
        <v>367</v>
      </c>
      <c r="J54" s="280" t="s">
        <v>368</v>
      </c>
    </row>
    <row r="55" spans="1:13" ht="15" customHeight="1">
      <c r="A55" s="184" t="s">
        <v>369</v>
      </c>
      <c r="B55" s="187">
        <v>14.119999885559082</v>
      </c>
      <c r="C55" s="247" t="s">
        <v>370</v>
      </c>
      <c r="D55" s="187" t="s">
        <v>14</v>
      </c>
      <c r="E55" s="247" t="s">
        <v>371</v>
      </c>
      <c r="F55" s="196" t="s">
        <v>14</v>
      </c>
      <c r="G55" s="247" t="s">
        <v>372</v>
      </c>
      <c r="H55" s="187">
        <v>1</v>
      </c>
      <c r="I55" s="307" t="s">
        <v>373</v>
      </c>
      <c r="J55" s="229"/>
    </row>
    <row r="56" spans="1:13" ht="15" customHeight="1" thickBot="1">
      <c r="A56" s="224" t="s">
        <v>374</v>
      </c>
      <c r="B56" s="225" t="s">
        <v>14</v>
      </c>
      <c r="C56" s="312" t="s">
        <v>375</v>
      </c>
      <c r="D56" s="225" t="s">
        <v>14</v>
      </c>
      <c r="E56" s="312" t="s">
        <v>376</v>
      </c>
      <c r="F56" s="226" t="s">
        <v>14</v>
      </c>
      <c r="G56" s="312" t="s">
        <v>377</v>
      </c>
      <c r="H56" s="227">
        <v>0.68740624999999989</v>
      </c>
      <c r="I56" s="313" t="s">
        <v>378</v>
      </c>
      <c r="J56" s="305" t="s">
        <v>379</v>
      </c>
    </row>
    <row r="57" spans="1:13" ht="15" customHeight="1">
      <c r="A57" s="170" t="s">
        <v>380</v>
      </c>
      <c r="B57" s="232"/>
      <c r="C57" s="232"/>
      <c r="D57" s="232"/>
      <c r="E57" s="232"/>
      <c r="F57" s="245"/>
      <c r="G57" s="314"/>
      <c r="H57" s="315"/>
      <c r="I57" s="315"/>
      <c r="J57" s="316"/>
    </row>
    <row r="58" spans="1:13" ht="15" customHeight="1">
      <c r="A58" s="317" t="s">
        <v>301</v>
      </c>
      <c r="B58" s="181" t="s">
        <v>381</v>
      </c>
      <c r="C58" s="182" t="s">
        <v>382</v>
      </c>
      <c r="D58" s="181" t="s">
        <v>301</v>
      </c>
      <c r="E58" s="181" t="s">
        <v>381</v>
      </c>
      <c r="F58" s="182" t="s">
        <v>383</v>
      </c>
      <c r="G58" s="318"/>
      <c r="H58" s="319"/>
      <c r="I58" s="319"/>
      <c r="J58" s="320"/>
    </row>
    <row r="59" spans="1:13" ht="15" customHeight="1">
      <c r="A59" s="321">
        <v>0</v>
      </c>
      <c r="B59" s="293">
        <v>0</v>
      </c>
      <c r="C59" s="322">
        <v>0.24071086943149567</v>
      </c>
      <c r="D59" s="323">
        <v>0.69999998807907104</v>
      </c>
      <c r="E59" s="293">
        <v>90.037953766639248</v>
      </c>
      <c r="F59" s="322">
        <v>611.83990478515625</v>
      </c>
      <c r="G59" s="318"/>
      <c r="H59" s="319"/>
      <c r="I59" s="319"/>
      <c r="J59" s="320"/>
    </row>
    <row r="60" spans="1:13" ht="15" customHeight="1">
      <c r="A60" s="324">
        <v>7.9999994486570358E-3</v>
      </c>
      <c r="B60" s="293">
        <v>114.60710446552416</v>
      </c>
      <c r="C60" s="322">
        <v>161.61099243164063</v>
      </c>
      <c r="D60" s="323">
        <v>0.80000001192092896</v>
      </c>
      <c r="E60" s="293">
        <v>90.05067329927688</v>
      </c>
      <c r="F60" s="322">
        <v>614.7445068359375</v>
      </c>
      <c r="G60" s="318"/>
      <c r="H60" s="319"/>
      <c r="I60" s="319"/>
      <c r="J60" s="320"/>
    </row>
    <row r="61" spans="1:13" ht="15" customHeight="1">
      <c r="A61" s="324">
        <v>3.9999999105930328E-2</v>
      </c>
      <c r="B61" s="293">
        <v>215</v>
      </c>
      <c r="C61" s="322">
        <v>479.38034057617188</v>
      </c>
      <c r="D61" s="323">
        <v>0.89999997615814209</v>
      </c>
      <c r="E61" s="293">
        <v>90.068846679823821</v>
      </c>
      <c r="F61" s="322">
        <v>617.28521728515625</v>
      </c>
      <c r="G61" s="318"/>
      <c r="H61" s="319"/>
      <c r="I61" s="319"/>
      <c r="J61" s="320"/>
    </row>
    <row r="62" spans="1:13" ht="15" customHeight="1">
      <c r="A62" s="321">
        <v>9.1428570449352264E-2</v>
      </c>
      <c r="B62" s="293">
        <v>142.315792038182</v>
      </c>
      <c r="C62" s="322">
        <v>559.437744140625</v>
      </c>
      <c r="D62" s="325">
        <v>1</v>
      </c>
      <c r="E62" s="293">
        <v>90</v>
      </c>
      <c r="F62" s="322">
        <v>619.51220703125</v>
      </c>
      <c r="G62" s="318"/>
      <c r="H62" s="319"/>
      <c r="I62" s="319"/>
      <c r="J62" s="320"/>
    </row>
    <row r="63" spans="1:13" ht="15" customHeight="1" thickBot="1">
      <c r="A63" s="321">
        <v>0.1428571492433548</v>
      </c>
      <c r="B63" s="293">
        <v>112.00327542538528</v>
      </c>
      <c r="C63" s="322">
        <v>580.2640380859375</v>
      </c>
      <c r="D63" s="326"/>
      <c r="E63" s="327"/>
      <c r="F63" s="328"/>
      <c r="G63" s="318"/>
      <c r="H63" s="319"/>
      <c r="I63" s="319"/>
      <c r="J63" s="320"/>
    </row>
    <row r="64" spans="1:13" ht="15" customHeight="1">
      <c r="A64" s="321">
        <v>0.19428572058677673</v>
      </c>
      <c r="B64" s="293">
        <v>100.00378216814427</v>
      </c>
      <c r="C64" s="322">
        <v>588.593505859375</v>
      </c>
      <c r="D64" s="329" t="s">
        <v>384</v>
      </c>
      <c r="E64" s="330"/>
      <c r="F64" s="330"/>
      <c r="G64" s="318"/>
      <c r="H64" s="319"/>
      <c r="I64" s="319"/>
      <c r="J64" s="320"/>
    </row>
    <row r="65" spans="1:10" ht="15" customHeight="1">
      <c r="A65" s="321">
        <v>0.29714286327362061</v>
      </c>
      <c r="B65" s="293">
        <v>92.830879605153271</v>
      </c>
      <c r="C65" s="322">
        <v>596.08807373046875</v>
      </c>
      <c r="D65" s="331" t="s">
        <v>385</v>
      </c>
      <c r="E65" s="332" t="s">
        <v>386</v>
      </c>
      <c r="F65" s="332"/>
      <c r="G65" s="318"/>
      <c r="H65" s="319"/>
      <c r="I65" s="319"/>
      <c r="J65" s="320"/>
    </row>
    <row r="66" spans="1:10" ht="15" customHeight="1">
      <c r="A66" s="321">
        <v>0.40000000596046448</v>
      </c>
      <c r="B66" s="293">
        <v>90</v>
      </c>
      <c r="C66" s="322">
        <v>600.76458740234375</v>
      </c>
      <c r="D66" s="331" t="s">
        <v>387</v>
      </c>
      <c r="E66" s="332" t="s">
        <v>388</v>
      </c>
      <c r="F66" s="332"/>
      <c r="G66" s="318"/>
      <c r="H66" s="319"/>
      <c r="I66" s="319"/>
      <c r="J66" s="320"/>
    </row>
    <row r="67" spans="1:10" ht="15" customHeight="1">
      <c r="A67" s="321">
        <v>0.5</v>
      </c>
      <c r="B67" s="293">
        <v>90.02078476838183</v>
      </c>
      <c r="C67" s="322">
        <v>604.8375244140625</v>
      </c>
      <c r="D67" s="331" t="s">
        <v>389</v>
      </c>
      <c r="E67" s="332" t="s">
        <v>390</v>
      </c>
      <c r="F67" s="332"/>
      <c r="G67" s="318"/>
      <c r="H67" s="319"/>
      <c r="I67" s="319"/>
      <c r="J67" s="320"/>
    </row>
    <row r="68" spans="1:10" ht="15" customHeight="1" thickBot="1">
      <c r="A68" s="333">
        <v>0.60000002384185791</v>
      </c>
      <c r="B68" s="327">
        <v>90.028457593169023</v>
      </c>
      <c r="C68" s="334">
        <v>608.53704833984375</v>
      </c>
      <c r="D68" s="335" t="s">
        <v>391</v>
      </c>
      <c r="E68" s="336" t="s">
        <v>392</v>
      </c>
      <c r="F68" s="336"/>
      <c r="G68" s="337"/>
      <c r="H68" s="338"/>
      <c r="I68" s="338"/>
      <c r="J68" s="339"/>
    </row>
    <row r="69" spans="1:10" ht="15" customHeight="1">
      <c r="A69" s="340"/>
      <c r="B69" s="341"/>
      <c r="C69" s="319"/>
      <c r="D69" s="319"/>
      <c r="E69" s="319"/>
      <c r="F69" s="319"/>
      <c r="G69" s="319"/>
      <c r="H69" s="319"/>
      <c r="I69" s="319"/>
      <c r="J69" s="319"/>
    </row>
    <row r="70" spans="1:10" ht="15" customHeight="1">
      <c r="A70" s="319"/>
      <c r="B70" s="319"/>
      <c r="C70" s="319"/>
      <c r="D70" s="319"/>
      <c r="E70" s="319"/>
      <c r="F70" s="319"/>
      <c r="G70" s="319"/>
      <c r="H70" s="319"/>
      <c r="I70" s="319"/>
      <c r="J70" s="319"/>
    </row>
    <row r="71" spans="1:10">
      <c r="A71" s="159"/>
      <c r="B71" s="159"/>
      <c r="C71" s="159"/>
      <c r="D71" s="159"/>
      <c r="E71" s="159"/>
      <c r="F71" s="159"/>
      <c r="G71" s="159"/>
      <c r="H71" s="159"/>
      <c r="I71" s="159"/>
      <c r="J71" s="159"/>
    </row>
    <row r="99" spans="1:9">
      <c r="A99" s="342" t="s">
        <v>393</v>
      </c>
      <c r="B99" s="342" t="s">
        <v>394</v>
      </c>
      <c r="C99" s="342" t="s">
        <v>395</v>
      </c>
      <c r="D99" s="342"/>
      <c r="E99" s="342"/>
      <c r="F99" s="342"/>
      <c r="G99" s="342"/>
      <c r="H99" s="342"/>
      <c r="I99" s="342"/>
    </row>
    <row r="100" spans="1:9">
      <c r="A100" s="342">
        <v>100</v>
      </c>
      <c r="B100" s="342">
        <v>0</v>
      </c>
      <c r="C100" s="342">
        <v>23.685949325561523</v>
      </c>
      <c r="D100" s="342"/>
      <c r="E100" s="342"/>
      <c r="F100" s="342"/>
      <c r="G100" s="342"/>
      <c r="H100" s="342"/>
      <c r="I100" s="342"/>
    </row>
    <row r="101" spans="1:9">
      <c r="A101" s="342">
        <v>98.400001525878906</v>
      </c>
      <c r="B101" s="342">
        <v>73.348547107832005</v>
      </c>
      <c r="C101" s="342">
        <v>129.28880310058594</v>
      </c>
      <c r="D101" s="342"/>
      <c r="E101" s="342"/>
      <c r="F101" s="342"/>
      <c r="G101" s="342"/>
      <c r="H101" s="342"/>
      <c r="I101" s="342"/>
    </row>
    <row r="102" spans="1:9">
      <c r="A102" s="342">
        <v>89.75</v>
      </c>
      <c r="B102" s="342">
        <v>137.60000410079959</v>
      </c>
      <c r="C102" s="342">
        <v>383.5042724609375</v>
      </c>
      <c r="D102" s="342"/>
      <c r="E102" s="342"/>
      <c r="F102" s="342"/>
      <c r="G102" s="342"/>
      <c r="H102" s="342"/>
      <c r="I102" s="342"/>
    </row>
    <row r="103" spans="1:9">
      <c r="A103" s="342">
        <v>76.228569030761719</v>
      </c>
      <c r="B103" s="342">
        <v>91.082112089458406</v>
      </c>
      <c r="C103" s="342">
        <v>447.55020141601563</v>
      </c>
      <c r="D103" s="342"/>
      <c r="E103" s="342"/>
      <c r="F103" s="342"/>
      <c r="G103" s="342"/>
      <c r="H103" s="342"/>
      <c r="I103" s="342"/>
    </row>
    <row r="104" spans="1:9">
      <c r="A104" s="342">
        <v>62.857139587402344</v>
      </c>
      <c r="B104" s="342">
        <v>71.682096862855417</v>
      </c>
      <c r="C104" s="342">
        <v>464.21124267578125</v>
      </c>
      <c r="D104" s="342"/>
      <c r="E104" s="342"/>
      <c r="F104" s="342"/>
      <c r="G104" s="342"/>
      <c r="H104" s="342"/>
      <c r="I104" s="342"/>
    </row>
    <row r="105" spans="1:9">
      <c r="A105" s="342">
        <v>51.25714111328125</v>
      </c>
      <c r="B105" s="342">
        <v>64.00242378242082</v>
      </c>
      <c r="C105" s="342">
        <v>470.87481689453125</v>
      </c>
      <c r="D105" s="342"/>
      <c r="E105" s="342"/>
      <c r="F105" s="342"/>
      <c r="G105" s="342"/>
      <c r="H105" s="342"/>
      <c r="I105" s="342"/>
    </row>
    <row r="106" spans="1:9">
      <c r="A106" s="342">
        <v>33.485713958740234</v>
      </c>
      <c r="B106" s="342">
        <v>59.411764465921017</v>
      </c>
      <c r="C106" s="342">
        <v>476.87045288085938</v>
      </c>
      <c r="D106" s="342"/>
      <c r="E106" s="342"/>
      <c r="F106" s="342"/>
      <c r="G106" s="342"/>
      <c r="H106" s="342"/>
      <c r="I106" s="342"/>
    </row>
    <row r="107" spans="1:9">
      <c r="A107" s="342">
        <v>22</v>
      </c>
      <c r="B107" s="342">
        <v>57.600001716613782</v>
      </c>
      <c r="C107" s="342">
        <v>480.61166381835938</v>
      </c>
      <c r="D107" s="342"/>
      <c r="E107" s="342"/>
      <c r="F107" s="342"/>
      <c r="G107" s="342"/>
      <c r="H107" s="342"/>
      <c r="I107" s="342"/>
    </row>
    <row r="108" spans="1:9">
      <c r="A108" s="342">
        <v>14</v>
      </c>
      <c r="B108" s="342">
        <v>57.613302498260175</v>
      </c>
      <c r="C108" s="342">
        <v>483.87002563476563</v>
      </c>
      <c r="D108" s="342"/>
      <c r="E108" s="342"/>
      <c r="F108" s="342"/>
      <c r="G108" s="342"/>
      <c r="H108" s="342"/>
      <c r="I108" s="342"/>
    </row>
    <row r="109" spans="1:9">
      <c r="A109" s="342">
        <v>7.9999995231628418</v>
      </c>
      <c r="B109" s="342">
        <v>57.618214607781567</v>
      </c>
      <c r="C109" s="342">
        <v>486.82965087890625</v>
      </c>
      <c r="D109" s="342"/>
      <c r="E109" s="342"/>
      <c r="F109" s="342"/>
      <c r="G109" s="342"/>
      <c r="H109" s="342"/>
      <c r="I109" s="342"/>
    </row>
    <row r="110" spans="1:9">
      <c r="A110" s="342">
        <v>5.9999995231628418</v>
      </c>
      <c r="B110" s="342">
        <v>57.62429370952524</v>
      </c>
      <c r="C110" s="342">
        <v>489.471923828125</v>
      </c>
      <c r="D110" s="342"/>
      <c r="E110" s="342"/>
      <c r="F110" s="342"/>
      <c r="G110" s="342"/>
      <c r="H110" s="342"/>
      <c r="I110" s="342"/>
    </row>
    <row r="111" spans="1:9">
      <c r="A111" s="342">
        <v>8.0000009536743164</v>
      </c>
      <c r="B111" s="342">
        <v>57.632433358205319</v>
      </c>
      <c r="C111" s="342">
        <v>491.79562377929688</v>
      </c>
      <c r="D111" s="342"/>
      <c r="E111" s="342"/>
      <c r="F111" s="342"/>
      <c r="G111" s="342"/>
      <c r="H111" s="342"/>
      <c r="I111" s="342"/>
    </row>
    <row r="112" spans="1:9">
      <c r="A112" s="342">
        <v>14.999996185302734</v>
      </c>
      <c r="B112" s="342">
        <v>57.644064217926946</v>
      </c>
      <c r="C112" s="342">
        <v>493.82818603515625</v>
      </c>
      <c r="D112" s="342"/>
      <c r="E112" s="342"/>
      <c r="F112" s="342"/>
      <c r="G112" s="342"/>
      <c r="H112" s="342"/>
      <c r="I112" s="342"/>
    </row>
    <row r="113" spans="1:9">
      <c r="A113" s="342">
        <v>30</v>
      </c>
      <c r="B113" s="342">
        <v>57.600001716613782</v>
      </c>
      <c r="C113" s="342">
        <v>495.60977172851563</v>
      </c>
      <c r="D113" s="342"/>
      <c r="E113" s="342"/>
      <c r="F113" s="342"/>
      <c r="G113" s="342"/>
      <c r="H113" s="342"/>
      <c r="I113" s="342"/>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C7EA-1548-4C9A-A22B-BDB01BD3BFEB}">
  <sheetPr>
    <pageSetUpPr fitToPage="1"/>
  </sheetPr>
  <dimension ref="A1:Z53"/>
  <sheetViews>
    <sheetView tabSelected="1" topLeftCell="A35" zoomScaleNormal="100" workbookViewId="0">
      <selection activeCell="Q38" sqref="Q38"/>
    </sheetView>
  </sheetViews>
  <sheetFormatPr defaultRowHeight="15.75"/>
  <cols>
    <col min="1" max="1" width="8.296875" style="490" customWidth="1"/>
    <col min="2" max="2" width="4.296875" style="490" customWidth="1"/>
    <col min="3" max="3" width="5.19921875" style="490" customWidth="1"/>
    <col min="4" max="5" width="8.796875" style="490" customWidth="1"/>
    <col min="6" max="6" width="6.59765625" style="490" customWidth="1"/>
    <col min="7" max="7" width="4" style="490" customWidth="1"/>
    <col min="8" max="8" width="5.5" style="490" customWidth="1"/>
    <col min="9" max="9" width="4.59765625" style="490" customWidth="1"/>
    <col min="10" max="11" width="8.3984375" style="490" customWidth="1"/>
    <col min="12" max="26" width="8.796875" style="343"/>
    <col min="27" max="256" width="8.796875" style="344"/>
    <col min="257" max="257" width="8.296875" style="344" customWidth="1"/>
    <col min="258" max="258" width="4.296875" style="344" customWidth="1"/>
    <col min="259" max="259" width="5.19921875" style="344" customWidth="1"/>
    <col min="260" max="261" width="8.796875" style="344"/>
    <col min="262" max="262" width="6.59765625" style="344" customWidth="1"/>
    <col min="263" max="263" width="4" style="344" customWidth="1"/>
    <col min="264" max="264" width="5.5" style="344" customWidth="1"/>
    <col min="265" max="265" width="4.59765625" style="344" customWidth="1"/>
    <col min="266" max="267" width="8.3984375" style="344" customWidth="1"/>
    <col min="268" max="512" width="8.796875" style="344"/>
    <col min="513" max="513" width="8.296875" style="344" customWidth="1"/>
    <col min="514" max="514" width="4.296875" style="344" customWidth="1"/>
    <col min="515" max="515" width="5.19921875" style="344" customWidth="1"/>
    <col min="516" max="517" width="8.796875" style="344"/>
    <col min="518" max="518" width="6.59765625" style="344" customWidth="1"/>
    <col min="519" max="519" width="4" style="344" customWidth="1"/>
    <col min="520" max="520" width="5.5" style="344" customWidth="1"/>
    <col min="521" max="521" width="4.59765625" style="344" customWidth="1"/>
    <col min="522" max="523" width="8.3984375" style="344" customWidth="1"/>
    <col min="524" max="768" width="8.796875" style="344"/>
    <col min="769" max="769" width="8.296875" style="344" customWidth="1"/>
    <col min="770" max="770" width="4.296875" style="344" customWidth="1"/>
    <col min="771" max="771" width="5.19921875" style="344" customWidth="1"/>
    <col min="772" max="773" width="8.796875" style="344"/>
    <col min="774" max="774" width="6.59765625" style="344" customWidth="1"/>
    <col min="775" max="775" width="4" style="344" customWidth="1"/>
    <col min="776" max="776" width="5.5" style="344" customWidth="1"/>
    <col min="777" max="777" width="4.59765625" style="344" customWidth="1"/>
    <col min="778" max="779" width="8.3984375" style="344" customWidth="1"/>
    <col min="780" max="1024" width="8.796875" style="344"/>
    <col min="1025" max="1025" width="8.296875" style="344" customWidth="1"/>
    <col min="1026" max="1026" width="4.296875" style="344" customWidth="1"/>
    <col min="1027" max="1027" width="5.19921875" style="344" customWidth="1"/>
    <col min="1028" max="1029" width="8.796875" style="344"/>
    <col min="1030" max="1030" width="6.59765625" style="344" customWidth="1"/>
    <col min="1031" max="1031" width="4" style="344" customWidth="1"/>
    <col min="1032" max="1032" width="5.5" style="344" customWidth="1"/>
    <col min="1033" max="1033" width="4.59765625" style="344" customWidth="1"/>
    <col min="1034" max="1035" width="8.3984375" style="344" customWidth="1"/>
    <col min="1036" max="1280" width="8.796875" style="344"/>
    <col min="1281" max="1281" width="8.296875" style="344" customWidth="1"/>
    <col min="1282" max="1282" width="4.296875" style="344" customWidth="1"/>
    <col min="1283" max="1283" width="5.19921875" style="344" customWidth="1"/>
    <col min="1284" max="1285" width="8.796875" style="344"/>
    <col min="1286" max="1286" width="6.59765625" style="344" customWidth="1"/>
    <col min="1287" max="1287" width="4" style="344" customWidth="1"/>
    <col min="1288" max="1288" width="5.5" style="344" customWidth="1"/>
    <col min="1289" max="1289" width="4.59765625" style="344" customWidth="1"/>
    <col min="1290" max="1291" width="8.3984375" style="344" customWidth="1"/>
    <col min="1292" max="1536" width="8.796875" style="344"/>
    <col min="1537" max="1537" width="8.296875" style="344" customWidth="1"/>
    <col min="1538" max="1538" width="4.296875" style="344" customWidth="1"/>
    <col min="1539" max="1539" width="5.19921875" style="344" customWidth="1"/>
    <col min="1540" max="1541" width="8.796875" style="344"/>
    <col min="1542" max="1542" width="6.59765625" style="344" customWidth="1"/>
    <col min="1543" max="1543" width="4" style="344" customWidth="1"/>
    <col min="1544" max="1544" width="5.5" style="344" customWidth="1"/>
    <col min="1545" max="1545" width="4.59765625" style="344" customWidth="1"/>
    <col min="1546" max="1547" width="8.3984375" style="344" customWidth="1"/>
    <col min="1548" max="1792" width="8.796875" style="344"/>
    <col min="1793" max="1793" width="8.296875" style="344" customWidth="1"/>
    <col min="1794" max="1794" width="4.296875" style="344" customWidth="1"/>
    <col min="1795" max="1795" width="5.19921875" style="344" customWidth="1"/>
    <col min="1796" max="1797" width="8.796875" style="344"/>
    <col min="1798" max="1798" width="6.59765625" style="344" customWidth="1"/>
    <col min="1799" max="1799" width="4" style="344" customWidth="1"/>
    <col min="1800" max="1800" width="5.5" style="344" customWidth="1"/>
    <col min="1801" max="1801" width="4.59765625" style="344" customWidth="1"/>
    <col min="1802" max="1803" width="8.3984375" style="344" customWidth="1"/>
    <col min="1804" max="2048" width="8.796875" style="344"/>
    <col min="2049" max="2049" width="8.296875" style="344" customWidth="1"/>
    <col min="2050" max="2050" width="4.296875" style="344" customWidth="1"/>
    <col min="2051" max="2051" width="5.19921875" style="344" customWidth="1"/>
    <col min="2052" max="2053" width="8.796875" style="344"/>
    <col min="2054" max="2054" width="6.59765625" style="344" customWidth="1"/>
    <col min="2055" max="2055" width="4" style="344" customWidth="1"/>
    <col min="2056" max="2056" width="5.5" style="344" customWidth="1"/>
    <col min="2057" max="2057" width="4.59765625" style="344" customWidth="1"/>
    <col min="2058" max="2059" width="8.3984375" style="344" customWidth="1"/>
    <col min="2060" max="2304" width="8.796875" style="344"/>
    <col min="2305" max="2305" width="8.296875" style="344" customWidth="1"/>
    <col min="2306" max="2306" width="4.296875" style="344" customWidth="1"/>
    <col min="2307" max="2307" width="5.19921875" style="344" customWidth="1"/>
    <col min="2308" max="2309" width="8.796875" style="344"/>
    <col min="2310" max="2310" width="6.59765625" style="344" customWidth="1"/>
    <col min="2311" max="2311" width="4" style="344" customWidth="1"/>
    <col min="2312" max="2312" width="5.5" style="344" customWidth="1"/>
    <col min="2313" max="2313" width="4.59765625" style="344" customWidth="1"/>
    <col min="2314" max="2315" width="8.3984375" style="344" customWidth="1"/>
    <col min="2316" max="2560" width="8.796875" style="344"/>
    <col min="2561" max="2561" width="8.296875" style="344" customWidth="1"/>
    <col min="2562" max="2562" width="4.296875" style="344" customWidth="1"/>
    <col min="2563" max="2563" width="5.19921875" style="344" customWidth="1"/>
    <col min="2564" max="2565" width="8.796875" style="344"/>
    <col min="2566" max="2566" width="6.59765625" style="344" customWidth="1"/>
    <col min="2567" max="2567" width="4" style="344" customWidth="1"/>
    <col min="2568" max="2568" width="5.5" style="344" customWidth="1"/>
    <col min="2569" max="2569" width="4.59765625" style="344" customWidth="1"/>
    <col min="2570" max="2571" width="8.3984375" style="344" customWidth="1"/>
    <col min="2572" max="2816" width="8.796875" style="344"/>
    <col min="2817" max="2817" width="8.296875" style="344" customWidth="1"/>
    <col min="2818" max="2818" width="4.296875" style="344" customWidth="1"/>
    <col min="2819" max="2819" width="5.19921875" style="344" customWidth="1"/>
    <col min="2820" max="2821" width="8.796875" style="344"/>
    <col min="2822" max="2822" width="6.59765625" style="344" customWidth="1"/>
    <col min="2823" max="2823" width="4" style="344" customWidth="1"/>
    <col min="2824" max="2824" width="5.5" style="344" customWidth="1"/>
    <col min="2825" max="2825" width="4.59765625" style="344" customWidth="1"/>
    <col min="2826" max="2827" width="8.3984375" style="344" customWidth="1"/>
    <col min="2828" max="3072" width="8.796875" style="344"/>
    <col min="3073" max="3073" width="8.296875" style="344" customWidth="1"/>
    <col min="3074" max="3074" width="4.296875" style="344" customWidth="1"/>
    <col min="3075" max="3075" width="5.19921875" style="344" customWidth="1"/>
    <col min="3076" max="3077" width="8.796875" style="344"/>
    <col min="3078" max="3078" width="6.59765625" style="344" customWidth="1"/>
    <col min="3079" max="3079" width="4" style="344" customWidth="1"/>
    <col min="3080" max="3080" width="5.5" style="344" customWidth="1"/>
    <col min="3081" max="3081" width="4.59765625" style="344" customWidth="1"/>
    <col min="3082" max="3083" width="8.3984375" style="344" customWidth="1"/>
    <col min="3084" max="3328" width="8.796875" style="344"/>
    <col min="3329" max="3329" width="8.296875" style="344" customWidth="1"/>
    <col min="3330" max="3330" width="4.296875" style="344" customWidth="1"/>
    <col min="3331" max="3331" width="5.19921875" style="344" customWidth="1"/>
    <col min="3332" max="3333" width="8.796875" style="344"/>
    <col min="3334" max="3334" width="6.59765625" style="344" customWidth="1"/>
    <col min="3335" max="3335" width="4" style="344" customWidth="1"/>
    <col min="3336" max="3336" width="5.5" style="344" customWidth="1"/>
    <col min="3337" max="3337" width="4.59765625" style="344" customWidth="1"/>
    <col min="3338" max="3339" width="8.3984375" style="344" customWidth="1"/>
    <col min="3340" max="3584" width="8.796875" style="344"/>
    <col min="3585" max="3585" width="8.296875" style="344" customWidth="1"/>
    <col min="3586" max="3586" width="4.296875" style="344" customWidth="1"/>
    <col min="3587" max="3587" width="5.19921875" style="344" customWidth="1"/>
    <col min="3588" max="3589" width="8.796875" style="344"/>
    <col min="3590" max="3590" width="6.59765625" style="344" customWidth="1"/>
    <col min="3591" max="3591" width="4" style="344" customWidth="1"/>
    <col min="3592" max="3592" width="5.5" style="344" customWidth="1"/>
    <col min="3593" max="3593" width="4.59765625" style="344" customWidth="1"/>
    <col min="3594" max="3595" width="8.3984375" style="344" customWidth="1"/>
    <col min="3596" max="3840" width="8.796875" style="344"/>
    <col min="3841" max="3841" width="8.296875" style="344" customWidth="1"/>
    <col min="3842" max="3842" width="4.296875" style="344" customWidth="1"/>
    <col min="3843" max="3843" width="5.19921875" style="344" customWidth="1"/>
    <col min="3844" max="3845" width="8.796875" style="344"/>
    <col min="3846" max="3846" width="6.59765625" style="344" customWidth="1"/>
    <col min="3847" max="3847" width="4" style="344" customWidth="1"/>
    <col min="3848" max="3848" width="5.5" style="344" customWidth="1"/>
    <col min="3849" max="3849" width="4.59765625" style="344" customWidth="1"/>
    <col min="3850" max="3851" width="8.3984375" style="344" customWidth="1"/>
    <col min="3852" max="4096" width="8.796875" style="344"/>
    <col min="4097" max="4097" width="8.296875" style="344" customWidth="1"/>
    <col min="4098" max="4098" width="4.296875" style="344" customWidth="1"/>
    <col min="4099" max="4099" width="5.19921875" style="344" customWidth="1"/>
    <col min="4100" max="4101" width="8.796875" style="344"/>
    <col min="4102" max="4102" width="6.59765625" style="344" customWidth="1"/>
    <col min="4103" max="4103" width="4" style="344" customWidth="1"/>
    <col min="4104" max="4104" width="5.5" style="344" customWidth="1"/>
    <col min="4105" max="4105" width="4.59765625" style="344" customWidth="1"/>
    <col min="4106" max="4107" width="8.3984375" style="344" customWidth="1"/>
    <col min="4108" max="4352" width="8.796875" style="344"/>
    <col min="4353" max="4353" width="8.296875" style="344" customWidth="1"/>
    <col min="4354" max="4354" width="4.296875" style="344" customWidth="1"/>
    <col min="4355" max="4355" width="5.19921875" style="344" customWidth="1"/>
    <col min="4356" max="4357" width="8.796875" style="344"/>
    <col min="4358" max="4358" width="6.59765625" style="344" customWidth="1"/>
    <col min="4359" max="4359" width="4" style="344" customWidth="1"/>
    <col min="4360" max="4360" width="5.5" style="344" customWidth="1"/>
    <col min="4361" max="4361" width="4.59765625" style="344" customWidth="1"/>
    <col min="4362" max="4363" width="8.3984375" style="344" customWidth="1"/>
    <col min="4364" max="4608" width="8.796875" style="344"/>
    <col min="4609" max="4609" width="8.296875" style="344" customWidth="1"/>
    <col min="4610" max="4610" width="4.296875" style="344" customWidth="1"/>
    <col min="4611" max="4611" width="5.19921875" style="344" customWidth="1"/>
    <col min="4612" max="4613" width="8.796875" style="344"/>
    <col min="4614" max="4614" width="6.59765625" style="344" customWidth="1"/>
    <col min="4615" max="4615" width="4" style="344" customWidth="1"/>
    <col min="4616" max="4616" width="5.5" style="344" customWidth="1"/>
    <col min="4617" max="4617" width="4.59765625" style="344" customWidth="1"/>
    <col min="4618" max="4619" width="8.3984375" style="344" customWidth="1"/>
    <col min="4620" max="4864" width="8.796875" style="344"/>
    <col min="4865" max="4865" width="8.296875" style="344" customWidth="1"/>
    <col min="4866" max="4866" width="4.296875" style="344" customWidth="1"/>
    <col min="4867" max="4867" width="5.19921875" style="344" customWidth="1"/>
    <col min="4868" max="4869" width="8.796875" style="344"/>
    <col min="4870" max="4870" width="6.59765625" style="344" customWidth="1"/>
    <col min="4871" max="4871" width="4" style="344" customWidth="1"/>
    <col min="4872" max="4872" width="5.5" style="344" customWidth="1"/>
    <col min="4873" max="4873" width="4.59765625" style="344" customWidth="1"/>
    <col min="4874" max="4875" width="8.3984375" style="344" customWidth="1"/>
    <col min="4876" max="5120" width="8.796875" style="344"/>
    <col min="5121" max="5121" width="8.296875" style="344" customWidth="1"/>
    <col min="5122" max="5122" width="4.296875" style="344" customWidth="1"/>
    <col min="5123" max="5123" width="5.19921875" style="344" customWidth="1"/>
    <col min="5124" max="5125" width="8.796875" style="344"/>
    <col min="5126" max="5126" width="6.59765625" style="344" customWidth="1"/>
    <col min="5127" max="5127" width="4" style="344" customWidth="1"/>
    <col min="5128" max="5128" width="5.5" style="344" customWidth="1"/>
    <col min="5129" max="5129" width="4.59765625" style="344" customWidth="1"/>
    <col min="5130" max="5131" width="8.3984375" style="344" customWidth="1"/>
    <col min="5132" max="5376" width="8.796875" style="344"/>
    <col min="5377" max="5377" width="8.296875" style="344" customWidth="1"/>
    <col min="5378" max="5378" width="4.296875" style="344" customWidth="1"/>
    <col min="5379" max="5379" width="5.19921875" style="344" customWidth="1"/>
    <col min="5380" max="5381" width="8.796875" style="344"/>
    <col min="5382" max="5382" width="6.59765625" style="344" customWidth="1"/>
    <col min="5383" max="5383" width="4" style="344" customWidth="1"/>
    <col min="5384" max="5384" width="5.5" style="344" customWidth="1"/>
    <col min="5385" max="5385" width="4.59765625" style="344" customWidth="1"/>
    <col min="5386" max="5387" width="8.3984375" style="344" customWidth="1"/>
    <col min="5388" max="5632" width="8.796875" style="344"/>
    <col min="5633" max="5633" width="8.296875" style="344" customWidth="1"/>
    <col min="5634" max="5634" width="4.296875" style="344" customWidth="1"/>
    <col min="5635" max="5635" width="5.19921875" style="344" customWidth="1"/>
    <col min="5636" max="5637" width="8.796875" style="344"/>
    <col min="5638" max="5638" width="6.59765625" style="344" customWidth="1"/>
    <col min="5639" max="5639" width="4" style="344" customWidth="1"/>
    <col min="5640" max="5640" width="5.5" style="344" customWidth="1"/>
    <col min="5641" max="5641" width="4.59765625" style="344" customWidth="1"/>
    <col min="5642" max="5643" width="8.3984375" style="344" customWidth="1"/>
    <col min="5644" max="5888" width="8.796875" style="344"/>
    <col min="5889" max="5889" width="8.296875" style="344" customWidth="1"/>
    <col min="5890" max="5890" width="4.296875" style="344" customWidth="1"/>
    <col min="5891" max="5891" width="5.19921875" style="344" customWidth="1"/>
    <col min="5892" max="5893" width="8.796875" style="344"/>
    <col min="5894" max="5894" width="6.59765625" style="344" customWidth="1"/>
    <col min="5895" max="5895" width="4" style="344" customWidth="1"/>
    <col min="5896" max="5896" width="5.5" style="344" customWidth="1"/>
    <col min="5897" max="5897" width="4.59765625" style="344" customWidth="1"/>
    <col min="5898" max="5899" width="8.3984375" style="344" customWidth="1"/>
    <col min="5900" max="6144" width="8.796875" style="344"/>
    <col min="6145" max="6145" width="8.296875" style="344" customWidth="1"/>
    <col min="6146" max="6146" width="4.296875" style="344" customWidth="1"/>
    <col min="6147" max="6147" width="5.19921875" style="344" customWidth="1"/>
    <col min="6148" max="6149" width="8.796875" style="344"/>
    <col min="6150" max="6150" width="6.59765625" style="344" customWidth="1"/>
    <col min="6151" max="6151" width="4" style="344" customWidth="1"/>
    <col min="6152" max="6152" width="5.5" style="344" customWidth="1"/>
    <col min="6153" max="6153" width="4.59765625" style="344" customWidth="1"/>
    <col min="6154" max="6155" width="8.3984375" style="344" customWidth="1"/>
    <col min="6156" max="6400" width="8.796875" style="344"/>
    <col min="6401" max="6401" width="8.296875" style="344" customWidth="1"/>
    <col min="6402" max="6402" width="4.296875" style="344" customWidth="1"/>
    <col min="6403" max="6403" width="5.19921875" style="344" customWidth="1"/>
    <col min="6404" max="6405" width="8.796875" style="344"/>
    <col min="6406" max="6406" width="6.59765625" style="344" customWidth="1"/>
    <col min="6407" max="6407" width="4" style="344" customWidth="1"/>
    <col min="6408" max="6408" width="5.5" style="344" customWidth="1"/>
    <col min="6409" max="6409" width="4.59765625" style="344" customWidth="1"/>
    <col min="6410" max="6411" width="8.3984375" style="344" customWidth="1"/>
    <col min="6412" max="6656" width="8.796875" style="344"/>
    <col min="6657" max="6657" width="8.296875" style="344" customWidth="1"/>
    <col min="6658" max="6658" width="4.296875" style="344" customWidth="1"/>
    <col min="6659" max="6659" width="5.19921875" style="344" customWidth="1"/>
    <col min="6660" max="6661" width="8.796875" style="344"/>
    <col min="6662" max="6662" width="6.59765625" style="344" customWidth="1"/>
    <col min="6663" max="6663" width="4" style="344" customWidth="1"/>
    <col min="6664" max="6664" width="5.5" style="344" customWidth="1"/>
    <col min="6665" max="6665" width="4.59765625" style="344" customWidth="1"/>
    <col min="6666" max="6667" width="8.3984375" style="344" customWidth="1"/>
    <col min="6668" max="6912" width="8.796875" style="344"/>
    <col min="6913" max="6913" width="8.296875" style="344" customWidth="1"/>
    <col min="6914" max="6914" width="4.296875" style="344" customWidth="1"/>
    <col min="6915" max="6915" width="5.19921875" style="344" customWidth="1"/>
    <col min="6916" max="6917" width="8.796875" style="344"/>
    <col min="6918" max="6918" width="6.59765625" style="344" customWidth="1"/>
    <col min="6919" max="6919" width="4" style="344" customWidth="1"/>
    <col min="6920" max="6920" width="5.5" style="344" customWidth="1"/>
    <col min="6921" max="6921" width="4.59765625" style="344" customWidth="1"/>
    <col min="6922" max="6923" width="8.3984375" style="344" customWidth="1"/>
    <col min="6924" max="7168" width="8.796875" style="344"/>
    <col min="7169" max="7169" width="8.296875" style="344" customWidth="1"/>
    <col min="7170" max="7170" width="4.296875" style="344" customWidth="1"/>
    <col min="7171" max="7171" width="5.19921875" style="344" customWidth="1"/>
    <col min="7172" max="7173" width="8.796875" style="344"/>
    <col min="7174" max="7174" width="6.59765625" style="344" customWidth="1"/>
    <col min="7175" max="7175" width="4" style="344" customWidth="1"/>
    <col min="7176" max="7176" width="5.5" style="344" customWidth="1"/>
    <col min="7177" max="7177" width="4.59765625" style="344" customWidth="1"/>
    <col min="7178" max="7179" width="8.3984375" style="344" customWidth="1"/>
    <col min="7180" max="7424" width="8.796875" style="344"/>
    <col min="7425" max="7425" width="8.296875" style="344" customWidth="1"/>
    <col min="7426" max="7426" width="4.296875" style="344" customWidth="1"/>
    <col min="7427" max="7427" width="5.19921875" style="344" customWidth="1"/>
    <col min="7428" max="7429" width="8.796875" style="344"/>
    <col min="7430" max="7430" width="6.59765625" style="344" customWidth="1"/>
    <col min="7431" max="7431" width="4" style="344" customWidth="1"/>
    <col min="7432" max="7432" width="5.5" style="344" customWidth="1"/>
    <col min="7433" max="7433" width="4.59765625" style="344" customWidth="1"/>
    <col min="7434" max="7435" width="8.3984375" style="344" customWidth="1"/>
    <col min="7436" max="7680" width="8.796875" style="344"/>
    <col min="7681" max="7681" width="8.296875" style="344" customWidth="1"/>
    <col min="7682" max="7682" width="4.296875" style="344" customWidth="1"/>
    <col min="7683" max="7683" width="5.19921875" style="344" customWidth="1"/>
    <col min="7684" max="7685" width="8.796875" style="344"/>
    <col min="7686" max="7686" width="6.59765625" style="344" customWidth="1"/>
    <col min="7687" max="7687" width="4" style="344" customWidth="1"/>
    <col min="7688" max="7688" width="5.5" style="344" customWidth="1"/>
    <col min="7689" max="7689" width="4.59765625" style="344" customWidth="1"/>
    <col min="7690" max="7691" width="8.3984375" style="344" customWidth="1"/>
    <col min="7692" max="7936" width="8.796875" style="344"/>
    <col min="7937" max="7937" width="8.296875" style="344" customWidth="1"/>
    <col min="7938" max="7938" width="4.296875" style="344" customWidth="1"/>
    <col min="7939" max="7939" width="5.19921875" style="344" customWidth="1"/>
    <col min="7940" max="7941" width="8.796875" style="344"/>
    <col min="7942" max="7942" width="6.59765625" style="344" customWidth="1"/>
    <col min="7943" max="7943" width="4" style="344" customWidth="1"/>
    <col min="7944" max="7944" width="5.5" style="344" customWidth="1"/>
    <col min="7945" max="7945" width="4.59765625" style="344" customWidth="1"/>
    <col min="7946" max="7947" width="8.3984375" style="344" customWidth="1"/>
    <col min="7948" max="8192" width="8.796875" style="344"/>
    <col min="8193" max="8193" width="8.296875" style="344" customWidth="1"/>
    <col min="8194" max="8194" width="4.296875" style="344" customWidth="1"/>
    <col min="8195" max="8195" width="5.19921875" style="344" customWidth="1"/>
    <col min="8196" max="8197" width="8.796875" style="344"/>
    <col min="8198" max="8198" width="6.59765625" style="344" customWidth="1"/>
    <col min="8199" max="8199" width="4" style="344" customWidth="1"/>
    <col min="8200" max="8200" width="5.5" style="344" customWidth="1"/>
    <col min="8201" max="8201" width="4.59765625" style="344" customWidth="1"/>
    <col min="8202" max="8203" width="8.3984375" style="344" customWidth="1"/>
    <col min="8204" max="8448" width="8.796875" style="344"/>
    <col min="8449" max="8449" width="8.296875" style="344" customWidth="1"/>
    <col min="8450" max="8450" width="4.296875" style="344" customWidth="1"/>
    <col min="8451" max="8451" width="5.19921875" style="344" customWidth="1"/>
    <col min="8452" max="8453" width="8.796875" style="344"/>
    <col min="8454" max="8454" width="6.59765625" style="344" customWidth="1"/>
    <col min="8455" max="8455" width="4" style="344" customWidth="1"/>
    <col min="8456" max="8456" width="5.5" style="344" customWidth="1"/>
    <col min="8457" max="8457" width="4.59765625" style="344" customWidth="1"/>
    <col min="8458" max="8459" width="8.3984375" style="344" customWidth="1"/>
    <col min="8460" max="8704" width="8.796875" style="344"/>
    <col min="8705" max="8705" width="8.296875" style="344" customWidth="1"/>
    <col min="8706" max="8706" width="4.296875" style="344" customWidth="1"/>
    <col min="8707" max="8707" width="5.19921875" style="344" customWidth="1"/>
    <col min="8708" max="8709" width="8.796875" style="344"/>
    <col min="8710" max="8710" width="6.59765625" style="344" customWidth="1"/>
    <col min="8711" max="8711" width="4" style="344" customWidth="1"/>
    <col min="8712" max="8712" width="5.5" style="344" customWidth="1"/>
    <col min="8713" max="8713" width="4.59765625" style="344" customWidth="1"/>
    <col min="8714" max="8715" width="8.3984375" style="344" customWidth="1"/>
    <col min="8716" max="8960" width="8.796875" style="344"/>
    <col min="8961" max="8961" width="8.296875" style="344" customWidth="1"/>
    <col min="8962" max="8962" width="4.296875" style="344" customWidth="1"/>
    <col min="8963" max="8963" width="5.19921875" style="344" customWidth="1"/>
    <col min="8964" max="8965" width="8.796875" style="344"/>
    <col min="8966" max="8966" width="6.59765625" style="344" customWidth="1"/>
    <col min="8967" max="8967" width="4" style="344" customWidth="1"/>
    <col min="8968" max="8968" width="5.5" style="344" customWidth="1"/>
    <col min="8969" max="8969" width="4.59765625" style="344" customWidth="1"/>
    <col min="8970" max="8971" width="8.3984375" style="344" customWidth="1"/>
    <col min="8972" max="9216" width="8.796875" style="344"/>
    <col min="9217" max="9217" width="8.296875" style="344" customWidth="1"/>
    <col min="9218" max="9218" width="4.296875" style="344" customWidth="1"/>
    <col min="9219" max="9219" width="5.19921875" style="344" customWidth="1"/>
    <col min="9220" max="9221" width="8.796875" style="344"/>
    <col min="9222" max="9222" width="6.59765625" style="344" customWidth="1"/>
    <col min="9223" max="9223" width="4" style="344" customWidth="1"/>
    <col min="9224" max="9224" width="5.5" style="344" customWidth="1"/>
    <col min="9225" max="9225" width="4.59765625" style="344" customWidth="1"/>
    <col min="9226" max="9227" width="8.3984375" style="344" customWidth="1"/>
    <col min="9228" max="9472" width="8.796875" style="344"/>
    <col min="9473" max="9473" width="8.296875" style="344" customWidth="1"/>
    <col min="9474" max="9474" width="4.296875" style="344" customWidth="1"/>
    <col min="9475" max="9475" width="5.19921875" style="344" customWidth="1"/>
    <col min="9476" max="9477" width="8.796875" style="344"/>
    <col min="9478" max="9478" width="6.59765625" style="344" customWidth="1"/>
    <col min="9479" max="9479" width="4" style="344" customWidth="1"/>
    <col min="9480" max="9480" width="5.5" style="344" customWidth="1"/>
    <col min="9481" max="9481" width="4.59765625" style="344" customWidth="1"/>
    <col min="9482" max="9483" width="8.3984375" style="344" customWidth="1"/>
    <col min="9484" max="9728" width="8.796875" style="344"/>
    <col min="9729" max="9729" width="8.296875" style="344" customWidth="1"/>
    <col min="9730" max="9730" width="4.296875" style="344" customWidth="1"/>
    <col min="9731" max="9731" width="5.19921875" style="344" customWidth="1"/>
    <col min="9732" max="9733" width="8.796875" style="344"/>
    <col min="9734" max="9734" width="6.59765625" style="344" customWidth="1"/>
    <col min="9735" max="9735" width="4" style="344" customWidth="1"/>
    <col min="9736" max="9736" width="5.5" style="344" customWidth="1"/>
    <col min="9737" max="9737" width="4.59765625" style="344" customWidth="1"/>
    <col min="9738" max="9739" width="8.3984375" style="344" customWidth="1"/>
    <col min="9740" max="9984" width="8.796875" style="344"/>
    <col min="9985" max="9985" width="8.296875" style="344" customWidth="1"/>
    <col min="9986" max="9986" width="4.296875" style="344" customWidth="1"/>
    <col min="9987" max="9987" width="5.19921875" style="344" customWidth="1"/>
    <col min="9988" max="9989" width="8.796875" style="344"/>
    <col min="9990" max="9990" width="6.59765625" style="344" customWidth="1"/>
    <col min="9991" max="9991" width="4" style="344" customWidth="1"/>
    <col min="9992" max="9992" width="5.5" style="344" customWidth="1"/>
    <col min="9993" max="9993" width="4.59765625" style="344" customWidth="1"/>
    <col min="9994" max="9995" width="8.3984375" style="344" customWidth="1"/>
    <col min="9996" max="10240" width="8.796875" style="344"/>
    <col min="10241" max="10241" width="8.296875" style="344" customWidth="1"/>
    <col min="10242" max="10242" width="4.296875" style="344" customWidth="1"/>
    <col min="10243" max="10243" width="5.19921875" style="344" customWidth="1"/>
    <col min="10244" max="10245" width="8.796875" style="344"/>
    <col min="10246" max="10246" width="6.59765625" style="344" customWidth="1"/>
    <col min="10247" max="10247" width="4" style="344" customWidth="1"/>
    <col min="10248" max="10248" width="5.5" style="344" customWidth="1"/>
    <col min="10249" max="10249" width="4.59765625" style="344" customWidth="1"/>
    <col min="10250" max="10251" width="8.3984375" style="344" customWidth="1"/>
    <col min="10252" max="10496" width="8.796875" style="344"/>
    <col min="10497" max="10497" width="8.296875" style="344" customWidth="1"/>
    <col min="10498" max="10498" width="4.296875" style="344" customWidth="1"/>
    <col min="10499" max="10499" width="5.19921875" style="344" customWidth="1"/>
    <col min="10500" max="10501" width="8.796875" style="344"/>
    <col min="10502" max="10502" width="6.59765625" style="344" customWidth="1"/>
    <col min="10503" max="10503" width="4" style="344" customWidth="1"/>
    <col min="10504" max="10504" width="5.5" style="344" customWidth="1"/>
    <col min="10505" max="10505" width="4.59765625" style="344" customWidth="1"/>
    <col min="10506" max="10507" width="8.3984375" style="344" customWidth="1"/>
    <col min="10508" max="10752" width="8.796875" style="344"/>
    <col min="10753" max="10753" width="8.296875" style="344" customWidth="1"/>
    <col min="10754" max="10754" width="4.296875" style="344" customWidth="1"/>
    <col min="10755" max="10755" width="5.19921875" style="344" customWidth="1"/>
    <col min="10756" max="10757" width="8.796875" style="344"/>
    <col min="10758" max="10758" width="6.59765625" style="344" customWidth="1"/>
    <col min="10759" max="10759" width="4" style="344" customWidth="1"/>
    <col min="10760" max="10760" width="5.5" style="344" customWidth="1"/>
    <col min="10761" max="10761" width="4.59765625" style="344" customWidth="1"/>
    <col min="10762" max="10763" width="8.3984375" style="344" customWidth="1"/>
    <col min="10764" max="11008" width="8.796875" style="344"/>
    <col min="11009" max="11009" width="8.296875" style="344" customWidth="1"/>
    <col min="11010" max="11010" width="4.296875" style="344" customWidth="1"/>
    <col min="11011" max="11011" width="5.19921875" style="344" customWidth="1"/>
    <col min="11012" max="11013" width="8.796875" style="344"/>
    <col min="11014" max="11014" width="6.59765625" style="344" customWidth="1"/>
    <col min="11015" max="11015" width="4" style="344" customWidth="1"/>
    <col min="11016" max="11016" width="5.5" style="344" customWidth="1"/>
    <col min="11017" max="11017" width="4.59765625" style="344" customWidth="1"/>
    <col min="11018" max="11019" width="8.3984375" style="344" customWidth="1"/>
    <col min="11020" max="11264" width="8.796875" style="344"/>
    <col min="11265" max="11265" width="8.296875" style="344" customWidth="1"/>
    <col min="11266" max="11266" width="4.296875" style="344" customWidth="1"/>
    <col min="11267" max="11267" width="5.19921875" style="344" customWidth="1"/>
    <col min="11268" max="11269" width="8.796875" style="344"/>
    <col min="11270" max="11270" width="6.59765625" style="344" customWidth="1"/>
    <col min="11271" max="11271" width="4" style="344" customWidth="1"/>
    <col min="11272" max="11272" width="5.5" style="344" customWidth="1"/>
    <col min="11273" max="11273" width="4.59765625" style="344" customWidth="1"/>
    <col min="11274" max="11275" width="8.3984375" style="344" customWidth="1"/>
    <col min="11276" max="11520" width="8.796875" style="344"/>
    <col min="11521" max="11521" width="8.296875" style="344" customWidth="1"/>
    <col min="11522" max="11522" width="4.296875" style="344" customWidth="1"/>
    <col min="11523" max="11523" width="5.19921875" style="344" customWidth="1"/>
    <col min="11524" max="11525" width="8.796875" style="344"/>
    <col min="11526" max="11526" width="6.59765625" style="344" customWidth="1"/>
    <col min="11527" max="11527" width="4" style="344" customWidth="1"/>
    <col min="11528" max="11528" width="5.5" style="344" customWidth="1"/>
    <col min="11529" max="11529" width="4.59765625" style="344" customWidth="1"/>
    <col min="11530" max="11531" width="8.3984375" style="344" customWidth="1"/>
    <col min="11532" max="11776" width="8.796875" style="344"/>
    <col min="11777" max="11777" width="8.296875" style="344" customWidth="1"/>
    <col min="11778" max="11778" width="4.296875" style="344" customWidth="1"/>
    <col min="11779" max="11779" width="5.19921875" style="344" customWidth="1"/>
    <col min="11780" max="11781" width="8.796875" style="344"/>
    <col min="11782" max="11782" width="6.59765625" style="344" customWidth="1"/>
    <col min="11783" max="11783" width="4" style="344" customWidth="1"/>
    <col min="11784" max="11784" width="5.5" style="344" customWidth="1"/>
    <col min="11785" max="11785" width="4.59765625" style="344" customWidth="1"/>
    <col min="11786" max="11787" width="8.3984375" style="344" customWidth="1"/>
    <col min="11788" max="12032" width="8.796875" style="344"/>
    <col min="12033" max="12033" width="8.296875" style="344" customWidth="1"/>
    <col min="12034" max="12034" width="4.296875" style="344" customWidth="1"/>
    <col min="12035" max="12035" width="5.19921875" style="344" customWidth="1"/>
    <col min="12036" max="12037" width="8.796875" style="344"/>
    <col min="12038" max="12038" width="6.59765625" style="344" customWidth="1"/>
    <col min="12039" max="12039" width="4" style="344" customWidth="1"/>
    <col min="12040" max="12040" width="5.5" style="344" customWidth="1"/>
    <col min="12041" max="12041" width="4.59765625" style="344" customWidth="1"/>
    <col min="12042" max="12043" width="8.3984375" style="344" customWidth="1"/>
    <col min="12044" max="12288" width="8.796875" style="344"/>
    <col min="12289" max="12289" width="8.296875" style="344" customWidth="1"/>
    <col min="12290" max="12290" width="4.296875" style="344" customWidth="1"/>
    <col min="12291" max="12291" width="5.19921875" style="344" customWidth="1"/>
    <col min="12292" max="12293" width="8.796875" style="344"/>
    <col min="12294" max="12294" width="6.59765625" style="344" customWidth="1"/>
    <col min="12295" max="12295" width="4" style="344" customWidth="1"/>
    <col min="12296" max="12296" width="5.5" style="344" customWidth="1"/>
    <col min="12297" max="12297" width="4.59765625" style="344" customWidth="1"/>
    <col min="12298" max="12299" width="8.3984375" style="344" customWidth="1"/>
    <col min="12300" max="12544" width="8.796875" style="344"/>
    <col min="12545" max="12545" width="8.296875" style="344" customWidth="1"/>
    <col min="12546" max="12546" width="4.296875" style="344" customWidth="1"/>
    <col min="12547" max="12547" width="5.19921875" style="344" customWidth="1"/>
    <col min="12548" max="12549" width="8.796875" style="344"/>
    <col min="12550" max="12550" width="6.59765625" style="344" customWidth="1"/>
    <col min="12551" max="12551" width="4" style="344" customWidth="1"/>
    <col min="12552" max="12552" width="5.5" style="344" customWidth="1"/>
    <col min="12553" max="12553" width="4.59765625" style="344" customWidth="1"/>
    <col min="12554" max="12555" width="8.3984375" style="344" customWidth="1"/>
    <col min="12556" max="12800" width="8.796875" style="344"/>
    <col min="12801" max="12801" width="8.296875" style="344" customWidth="1"/>
    <col min="12802" max="12802" width="4.296875" style="344" customWidth="1"/>
    <col min="12803" max="12803" width="5.19921875" style="344" customWidth="1"/>
    <col min="12804" max="12805" width="8.796875" style="344"/>
    <col min="12806" max="12806" width="6.59765625" style="344" customWidth="1"/>
    <col min="12807" max="12807" width="4" style="344" customWidth="1"/>
    <col min="12808" max="12808" width="5.5" style="344" customWidth="1"/>
    <col min="12809" max="12809" width="4.59765625" style="344" customWidth="1"/>
    <col min="12810" max="12811" width="8.3984375" style="344" customWidth="1"/>
    <col min="12812" max="13056" width="8.796875" style="344"/>
    <col min="13057" max="13057" width="8.296875" style="344" customWidth="1"/>
    <col min="13058" max="13058" width="4.296875" style="344" customWidth="1"/>
    <col min="13059" max="13059" width="5.19921875" style="344" customWidth="1"/>
    <col min="13060" max="13061" width="8.796875" style="344"/>
    <col min="13062" max="13062" width="6.59765625" style="344" customWidth="1"/>
    <col min="13063" max="13063" width="4" style="344" customWidth="1"/>
    <col min="13064" max="13064" width="5.5" style="344" customWidth="1"/>
    <col min="13065" max="13065" width="4.59765625" style="344" customWidth="1"/>
    <col min="13066" max="13067" width="8.3984375" style="344" customWidth="1"/>
    <col min="13068" max="13312" width="8.796875" style="344"/>
    <col min="13313" max="13313" width="8.296875" style="344" customWidth="1"/>
    <col min="13314" max="13314" width="4.296875" style="344" customWidth="1"/>
    <col min="13315" max="13315" width="5.19921875" style="344" customWidth="1"/>
    <col min="13316" max="13317" width="8.796875" style="344"/>
    <col min="13318" max="13318" width="6.59765625" style="344" customWidth="1"/>
    <col min="13319" max="13319" width="4" style="344" customWidth="1"/>
    <col min="13320" max="13320" width="5.5" style="344" customWidth="1"/>
    <col min="13321" max="13321" width="4.59765625" style="344" customWidth="1"/>
    <col min="13322" max="13323" width="8.3984375" style="344" customWidth="1"/>
    <col min="13324" max="13568" width="8.796875" style="344"/>
    <col min="13569" max="13569" width="8.296875" style="344" customWidth="1"/>
    <col min="13570" max="13570" width="4.296875" style="344" customWidth="1"/>
    <col min="13571" max="13571" width="5.19921875" style="344" customWidth="1"/>
    <col min="13572" max="13573" width="8.796875" style="344"/>
    <col min="13574" max="13574" width="6.59765625" style="344" customWidth="1"/>
    <col min="13575" max="13575" width="4" style="344" customWidth="1"/>
    <col min="13576" max="13576" width="5.5" style="344" customWidth="1"/>
    <col min="13577" max="13577" width="4.59765625" style="344" customWidth="1"/>
    <col min="13578" max="13579" width="8.3984375" style="344" customWidth="1"/>
    <col min="13580" max="13824" width="8.796875" style="344"/>
    <col min="13825" max="13825" width="8.296875" style="344" customWidth="1"/>
    <col min="13826" max="13826" width="4.296875" style="344" customWidth="1"/>
    <col min="13827" max="13827" width="5.19921875" style="344" customWidth="1"/>
    <col min="13828" max="13829" width="8.796875" style="344"/>
    <col min="13830" max="13830" width="6.59765625" style="344" customWidth="1"/>
    <col min="13831" max="13831" width="4" style="344" customWidth="1"/>
    <col min="13832" max="13832" width="5.5" style="344" customWidth="1"/>
    <col min="13833" max="13833" width="4.59765625" style="344" customWidth="1"/>
    <col min="13834" max="13835" width="8.3984375" style="344" customWidth="1"/>
    <col min="13836" max="14080" width="8.796875" style="344"/>
    <col min="14081" max="14081" width="8.296875" style="344" customWidth="1"/>
    <col min="14082" max="14082" width="4.296875" style="344" customWidth="1"/>
    <col min="14083" max="14083" width="5.19921875" style="344" customWidth="1"/>
    <col min="14084" max="14085" width="8.796875" style="344"/>
    <col min="14086" max="14086" width="6.59765625" style="344" customWidth="1"/>
    <col min="14087" max="14087" width="4" style="344" customWidth="1"/>
    <col min="14088" max="14088" width="5.5" style="344" customWidth="1"/>
    <col min="14089" max="14089" width="4.59765625" style="344" customWidth="1"/>
    <col min="14090" max="14091" width="8.3984375" style="344" customWidth="1"/>
    <col min="14092" max="14336" width="8.796875" style="344"/>
    <col min="14337" max="14337" width="8.296875" style="344" customWidth="1"/>
    <col min="14338" max="14338" width="4.296875" style="344" customWidth="1"/>
    <col min="14339" max="14339" width="5.19921875" style="344" customWidth="1"/>
    <col min="14340" max="14341" width="8.796875" style="344"/>
    <col min="14342" max="14342" width="6.59765625" style="344" customWidth="1"/>
    <col min="14343" max="14343" width="4" style="344" customWidth="1"/>
    <col min="14344" max="14344" width="5.5" style="344" customWidth="1"/>
    <col min="14345" max="14345" width="4.59765625" style="344" customWidth="1"/>
    <col min="14346" max="14347" width="8.3984375" style="344" customWidth="1"/>
    <col min="14348" max="14592" width="8.796875" style="344"/>
    <col min="14593" max="14593" width="8.296875" style="344" customWidth="1"/>
    <col min="14594" max="14594" width="4.296875" style="344" customWidth="1"/>
    <col min="14595" max="14595" width="5.19921875" style="344" customWidth="1"/>
    <col min="14596" max="14597" width="8.796875" style="344"/>
    <col min="14598" max="14598" width="6.59765625" style="344" customWidth="1"/>
    <col min="14599" max="14599" width="4" style="344" customWidth="1"/>
    <col min="14600" max="14600" width="5.5" style="344" customWidth="1"/>
    <col min="14601" max="14601" width="4.59765625" style="344" customWidth="1"/>
    <col min="14602" max="14603" width="8.3984375" style="344" customWidth="1"/>
    <col min="14604" max="14848" width="8.796875" style="344"/>
    <col min="14849" max="14849" width="8.296875" style="344" customWidth="1"/>
    <col min="14850" max="14850" width="4.296875" style="344" customWidth="1"/>
    <col min="14851" max="14851" width="5.19921875" style="344" customWidth="1"/>
    <col min="14852" max="14853" width="8.796875" style="344"/>
    <col min="14854" max="14854" width="6.59765625" style="344" customWidth="1"/>
    <col min="14855" max="14855" width="4" style="344" customWidth="1"/>
    <col min="14856" max="14856" width="5.5" style="344" customWidth="1"/>
    <col min="14857" max="14857" width="4.59765625" style="344" customWidth="1"/>
    <col min="14858" max="14859" width="8.3984375" style="344" customWidth="1"/>
    <col min="14860" max="15104" width="8.796875" style="344"/>
    <col min="15105" max="15105" width="8.296875" style="344" customWidth="1"/>
    <col min="15106" max="15106" width="4.296875" style="344" customWidth="1"/>
    <col min="15107" max="15107" width="5.19921875" style="344" customWidth="1"/>
    <col min="15108" max="15109" width="8.796875" style="344"/>
    <col min="15110" max="15110" width="6.59765625" style="344" customWidth="1"/>
    <col min="15111" max="15111" width="4" style="344" customWidth="1"/>
    <col min="15112" max="15112" width="5.5" style="344" customWidth="1"/>
    <col min="15113" max="15113" width="4.59765625" style="344" customWidth="1"/>
    <col min="15114" max="15115" width="8.3984375" style="344" customWidth="1"/>
    <col min="15116" max="15360" width="8.796875" style="344"/>
    <col min="15361" max="15361" width="8.296875" style="344" customWidth="1"/>
    <col min="15362" max="15362" width="4.296875" style="344" customWidth="1"/>
    <col min="15363" max="15363" width="5.19921875" style="344" customWidth="1"/>
    <col min="15364" max="15365" width="8.796875" style="344"/>
    <col min="15366" max="15366" width="6.59765625" style="344" customWidth="1"/>
    <col min="15367" max="15367" width="4" style="344" customWidth="1"/>
    <col min="15368" max="15368" width="5.5" style="344" customWidth="1"/>
    <col min="15369" max="15369" width="4.59765625" style="344" customWidth="1"/>
    <col min="15370" max="15371" width="8.3984375" style="344" customWidth="1"/>
    <col min="15372" max="15616" width="8.796875" style="344"/>
    <col min="15617" max="15617" width="8.296875" style="344" customWidth="1"/>
    <col min="15618" max="15618" width="4.296875" style="344" customWidth="1"/>
    <col min="15619" max="15619" width="5.19921875" style="344" customWidth="1"/>
    <col min="15620" max="15621" width="8.796875" style="344"/>
    <col min="15622" max="15622" width="6.59765625" style="344" customWidth="1"/>
    <col min="15623" max="15623" width="4" style="344" customWidth="1"/>
    <col min="15624" max="15624" width="5.5" style="344" customWidth="1"/>
    <col min="15625" max="15625" width="4.59765625" style="344" customWidth="1"/>
    <col min="15626" max="15627" width="8.3984375" style="344" customWidth="1"/>
    <col min="15628" max="15872" width="8.796875" style="344"/>
    <col min="15873" max="15873" width="8.296875" style="344" customWidth="1"/>
    <col min="15874" max="15874" width="4.296875" style="344" customWidth="1"/>
    <col min="15875" max="15875" width="5.19921875" style="344" customWidth="1"/>
    <col min="15876" max="15877" width="8.796875" style="344"/>
    <col min="15878" max="15878" width="6.59765625" style="344" customWidth="1"/>
    <col min="15879" max="15879" width="4" style="344" customWidth="1"/>
    <col min="15880" max="15880" width="5.5" style="344" customWidth="1"/>
    <col min="15881" max="15881" width="4.59765625" style="344" customWidth="1"/>
    <col min="15882" max="15883" width="8.3984375" style="344" customWidth="1"/>
    <col min="15884" max="16128" width="8.796875" style="344"/>
    <col min="16129" max="16129" width="8.296875" style="344" customWidth="1"/>
    <col min="16130" max="16130" width="4.296875" style="344" customWidth="1"/>
    <col min="16131" max="16131" width="5.19921875" style="344" customWidth="1"/>
    <col min="16132" max="16133" width="8.796875" style="344"/>
    <col min="16134" max="16134" width="6.59765625" style="344" customWidth="1"/>
    <col min="16135" max="16135" width="4" style="344" customWidth="1"/>
    <col min="16136" max="16136" width="5.5" style="344" customWidth="1"/>
    <col min="16137" max="16137" width="4.59765625" style="344" customWidth="1"/>
    <col min="16138" max="16139" width="8.3984375" style="344" customWidth="1"/>
    <col min="16140" max="16384" width="8.796875" style="344"/>
  </cols>
  <sheetData>
    <row r="1" spans="1:26" ht="20.25" customHeight="1">
      <c r="A1" s="629" t="s">
        <v>62</v>
      </c>
      <c r="B1" s="629"/>
      <c r="C1" s="629"/>
      <c r="D1" s="629"/>
      <c r="E1" s="629"/>
      <c r="F1" s="629"/>
      <c r="G1" s="629"/>
      <c r="H1" s="629"/>
      <c r="I1" s="629"/>
      <c r="J1" s="629"/>
      <c r="K1" s="629"/>
    </row>
    <row r="2" spans="1:26" ht="20.25" customHeight="1">
      <c r="A2" s="630" t="s">
        <v>396</v>
      </c>
      <c r="B2" s="630"/>
      <c r="C2" s="630"/>
      <c r="D2" s="630"/>
      <c r="E2" s="630"/>
      <c r="F2" s="630"/>
      <c r="G2" s="630"/>
      <c r="H2" s="630"/>
      <c r="I2" s="630"/>
      <c r="J2" s="630"/>
      <c r="K2" s="630"/>
    </row>
    <row r="3" spans="1:26" ht="18.75" customHeight="1" thickBot="1">
      <c r="A3" s="346" t="s">
        <v>120</v>
      </c>
      <c r="B3" s="347" t="s">
        <v>96</v>
      </c>
      <c r="C3" s="348"/>
      <c r="D3" s="348"/>
      <c r="E3" s="348"/>
      <c r="F3" s="345"/>
      <c r="G3" s="348"/>
      <c r="H3" s="348"/>
      <c r="I3" s="346" t="s">
        <v>397</v>
      </c>
      <c r="J3" s="631" t="s">
        <v>398</v>
      </c>
      <c r="K3" s="631"/>
    </row>
    <row r="4" spans="1:26" s="357" customFormat="1" ht="18.399999999999999" customHeight="1" thickBot="1">
      <c r="A4" s="349" t="s">
        <v>399</v>
      </c>
      <c r="B4" s="350"/>
      <c r="C4" s="351"/>
      <c r="D4" s="351"/>
      <c r="E4" s="351"/>
      <c r="F4" s="351"/>
      <c r="G4" s="351"/>
      <c r="H4" s="351"/>
      <c r="I4" s="351"/>
      <c r="J4" s="351"/>
      <c r="K4" s="352"/>
      <c r="L4" s="353"/>
      <c r="M4" s="353"/>
      <c r="N4" s="353"/>
      <c r="O4" s="353"/>
      <c r="P4" s="353"/>
      <c r="Q4" s="354" t="s">
        <v>400</v>
      </c>
      <c r="R4" s="355"/>
      <c r="S4" s="353"/>
      <c r="T4" s="354" t="s">
        <v>401</v>
      </c>
      <c r="U4" s="356"/>
      <c r="V4" s="353"/>
      <c r="W4" s="353"/>
      <c r="X4" s="353"/>
      <c r="Y4" s="353"/>
      <c r="Z4" s="353"/>
    </row>
    <row r="5" spans="1:26" s="357" customFormat="1" ht="18.399999999999999" customHeight="1">
      <c r="A5" s="632" t="s">
        <v>402</v>
      </c>
      <c r="B5" s="633"/>
      <c r="C5" s="633"/>
      <c r="D5" s="358"/>
      <c r="E5" s="359"/>
      <c r="F5" s="360" t="s">
        <v>403</v>
      </c>
      <c r="G5" s="348"/>
      <c r="H5" s="348"/>
      <c r="I5" s="361"/>
      <c r="J5" s="362" t="s">
        <v>404</v>
      </c>
      <c r="K5" s="363" t="s">
        <v>405</v>
      </c>
      <c r="L5" s="353"/>
      <c r="M5" s="353"/>
      <c r="N5" s="353"/>
      <c r="O5" s="353"/>
      <c r="P5" s="353"/>
      <c r="Q5" s="364" t="s">
        <v>406</v>
      </c>
      <c r="R5" s="365"/>
      <c r="S5" s="353"/>
      <c r="T5" s="364" t="s">
        <v>407</v>
      </c>
      <c r="U5" s="366"/>
      <c r="V5" s="353"/>
      <c r="W5" s="353"/>
      <c r="X5" s="353"/>
      <c r="Y5" s="353"/>
      <c r="Z5" s="353"/>
    </row>
    <row r="6" spans="1:26" s="357" customFormat="1" ht="18.399999999999999" customHeight="1">
      <c r="A6" s="634" t="s">
        <v>208</v>
      </c>
      <c r="B6" s="635"/>
      <c r="C6" s="635"/>
      <c r="D6" s="636" t="s">
        <v>408</v>
      </c>
      <c r="E6" s="637"/>
      <c r="F6" s="638" t="s">
        <v>409</v>
      </c>
      <c r="G6" s="639"/>
      <c r="H6" s="639"/>
      <c r="I6" s="639"/>
      <c r="J6" s="639"/>
      <c r="K6" s="640"/>
      <c r="L6" s="353"/>
      <c r="M6" s="353"/>
      <c r="N6" s="353"/>
      <c r="O6" s="353"/>
      <c r="P6" s="353"/>
      <c r="Q6" s="364" t="s">
        <v>410</v>
      </c>
      <c r="R6" s="365"/>
      <c r="S6" s="353"/>
      <c r="T6" s="364" t="s">
        <v>411</v>
      </c>
      <c r="U6" s="366"/>
      <c r="V6" s="353"/>
      <c r="W6" s="353"/>
      <c r="X6" s="353"/>
      <c r="Y6" s="353"/>
      <c r="Z6" s="353"/>
    </row>
    <row r="7" spans="1:26" s="357" customFormat="1" ht="18.399999999999999" customHeight="1">
      <c r="A7" s="644" t="s">
        <v>147</v>
      </c>
      <c r="B7" s="645"/>
      <c r="C7" s="645"/>
      <c r="D7" s="646">
        <v>3.2999999523162802</v>
      </c>
      <c r="E7" s="647"/>
      <c r="F7" s="367" t="s">
        <v>412</v>
      </c>
      <c r="G7" s="368"/>
      <c r="H7" s="369"/>
      <c r="I7" s="370"/>
      <c r="J7" s="371">
        <v>25</v>
      </c>
      <c r="K7" s="372" t="s">
        <v>14</v>
      </c>
      <c r="L7" s="353"/>
      <c r="M7" s="353"/>
      <c r="N7" s="353"/>
      <c r="O7" s="353"/>
      <c r="P7" s="353"/>
      <c r="Q7" s="364" t="s">
        <v>413</v>
      </c>
      <c r="R7" s="365"/>
      <c r="S7" s="353"/>
      <c r="T7" s="364" t="s">
        <v>408</v>
      </c>
      <c r="U7" s="366"/>
      <c r="V7" s="353"/>
      <c r="W7" s="353"/>
      <c r="X7" s="353"/>
      <c r="Y7" s="353"/>
      <c r="Z7" s="353"/>
    </row>
    <row r="8" spans="1:26" s="357" customFormat="1" ht="18.399999999999999" customHeight="1">
      <c r="A8" s="644" t="s">
        <v>414</v>
      </c>
      <c r="B8" s="645"/>
      <c r="C8" s="645"/>
      <c r="D8" s="648">
        <v>510</v>
      </c>
      <c r="E8" s="649"/>
      <c r="F8" s="373" t="s">
        <v>415</v>
      </c>
      <c r="G8" s="374"/>
      <c r="H8" s="375"/>
      <c r="I8" s="376"/>
      <c r="J8" s="377">
        <v>21650</v>
      </c>
      <c r="K8" s="378" t="s">
        <v>14</v>
      </c>
      <c r="L8" s="353"/>
      <c r="M8" s="353"/>
      <c r="N8" s="353"/>
      <c r="O8" s="353"/>
      <c r="P8" s="353"/>
      <c r="Q8" s="364" t="s">
        <v>416</v>
      </c>
      <c r="R8" s="365"/>
      <c r="S8" s="353"/>
      <c r="T8" s="364" t="s">
        <v>417</v>
      </c>
      <c r="U8" s="366"/>
      <c r="V8" s="353"/>
      <c r="W8" s="353"/>
      <c r="X8" s="353"/>
      <c r="Y8" s="353"/>
      <c r="Z8" s="353"/>
    </row>
    <row r="9" spans="1:26" s="357" customFormat="1" ht="18.399999999999999" customHeight="1">
      <c r="A9" s="650" t="s">
        <v>418</v>
      </c>
      <c r="B9" s="651"/>
      <c r="C9" s="652"/>
      <c r="D9" s="648">
        <v>12</v>
      </c>
      <c r="E9" s="649"/>
      <c r="F9" s="367" t="s">
        <v>419</v>
      </c>
      <c r="G9" s="368"/>
      <c r="H9" s="379">
        <v>3</v>
      </c>
      <c r="I9" s="380" t="s">
        <v>420</v>
      </c>
      <c r="J9" s="381">
        <v>227</v>
      </c>
      <c r="K9" s="378" t="s">
        <v>14</v>
      </c>
      <c r="L9" s="353"/>
      <c r="M9" s="353"/>
      <c r="N9" s="353"/>
      <c r="O9" s="353"/>
      <c r="P9" s="353"/>
      <c r="Q9" s="364" t="s">
        <v>421</v>
      </c>
      <c r="R9" s="365"/>
      <c r="S9" s="353"/>
      <c r="T9" s="364" t="s">
        <v>422</v>
      </c>
      <c r="U9" s="366"/>
      <c r="V9" s="353"/>
      <c r="W9" s="353"/>
      <c r="X9" s="353"/>
      <c r="Y9" s="353"/>
      <c r="Z9" s="353"/>
    </row>
    <row r="10" spans="1:26" s="357" customFormat="1" ht="18.399999999999999" customHeight="1" thickBot="1">
      <c r="A10" s="650" t="s">
        <v>423</v>
      </c>
      <c r="B10" s="651"/>
      <c r="C10" s="652"/>
      <c r="D10" s="653" t="s">
        <v>175</v>
      </c>
      <c r="E10" s="654"/>
      <c r="F10" s="367" t="s">
        <v>424</v>
      </c>
      <c r="G10" s="368"/>
      <c r="H10" s="379">
        <v>3</v>
      </c>
      <c r="I10" s="380" t="s">
        <v>420</v>
      </c>
      <c r="J10" s="381">
        <v>1150</v>
      </c>
      <c r="K10" s="378" t="s">
        <v>14</v>
      </c>
      <c r="L10" s="353"/>
      <c r="M10" s="353"/>
      <c r="N10" s="353"/>
      <c r="O10" s="353"/>
      <c r="P10" s="353"/>
      <c r="Q10" s="364" t="s">
        <v>425</v>
      </c>
      <c r="R10" s="365"/>
      <c r="S10" s="353"/>
      <c r="T10" s="382" t="s">
        <v>426</v>
      </c>
      <c r="U10" s="383"/>
      <c r="V10" s="353"/>
      <c r="W10" s="353"/>
      <c r="X10" s="353"/>
      <c r="Y10" s="353"/>
      <c r="Z10" s="353"/>
    </row>
    <row r="11" spans="1:26" s="357" customFormat="1" ht="18.399999999999999" customHeight="1" thickBot="1">
      <c r="A11" s="650" t="s">
        <v>427</v>
      </c>
      <c r="B11" s="651"/>
      <c r="C11" s="652"/>
      <c r="D11" s="655" t="s">
        <v>14</v>
      </c>
      <c r="E11" s="656"/>
      <c r="F11" s="384" t="s">
        <v>428</v>
      </c>
      <c r="G11" s="385"/>
      <c r="H11" s="386">
        <v>3</v>
      </c>
      <c r="I11" s="380" t="s">
        <v>420</v>
      </c>
      <c r="J11" s="387">
        <v>29592</v>
      </c>
      <c r="K11" s="388" t="s">
        <v>14</v>
      </c>
      <c r="L11" s="353"/>
      <c r="M11" s="353"/>
      <c r="N11" s="353"/>
      <c r="O11" s="353"/>
      <c r="P11" s="353"/>
      <c r="Q11" s="364" t="s">
        <v>429</v>
      </c>
      <c r="R11" s="365"/>
      <c r="S11" s="353"/>
      <c r="T11" s="354" t="s">
        <v>430</v>
      </c>
      <c r="U11" s="356"/>
      <c r="V11" s="353"/>
      <c r="W11" s="353"/>
      <c r="X11" s="353"/>
      <c r="Y11" s="353"/>
      <c r="Z11" s="353"/>
    </row>
    <row r="12" spans="1:26" s="357" customFormat="1" ht="18.399999999999999" customHeight="1" thickBot="1">
      <c r="A12" s="389" t="s">
        <v>431</v>
      </c>
      <c r="C12" s="390"/>
      <c r="D12" s="657" t="s">
        <v>14</v>
      </c>
      <c r="E12" s="658"/>
      <c r="F12" s="641" t="s">
        <v>432</v>
      </c>
      <c r="G12" s="642"/>
      <c r="H12" s="642"/>
      <c r="I12" s="642"/>
      <c r="J12" s="642"/>
      <c r="K12" s="643"/>
      <c r="L12" s="353"/>
      <c r="M12" s="353"/>
      <c r="N12" s="353"/>
      <c r="O12" s="353"/>
      <c r="P12" s="353"/>
      <c r="Q12" s="382" t="s">
        <v>433</v>
      </c>
      <c r="R12" s="391"/>
      <c r="S12" s="353"/>
      <c r="T12" s="353"/>
      <c r="U12" s="353"/>
      <c r="V12" s="353"/>
      <c r="W12" s="353"/>
      <c r="X12" s="353"/>
      <c r="Y12" s="353"/>
      <c r="Z12" s="353"/>
    </row>
    <row r="13" spans="1:26" s="357" customFormat="1" ht="18.399999999999999" customHeight="1">
      <c r="A13" s="650" t="s">
        <v>189</v>
      </c>
      <c r="B13" s="651"/>
      <c r="C13" s="652"/>
      <c r="D13" s="659" t="s">
        <v>434</v>
      </c>
      <c r="E13" s="660"/>
      <c r="F13" s="392"/>
      <c r="G13" s="393" t="s">
        <v>435</v>
      </c>
      <c r="H13" s="394"/>
      <c r="I13" s="395" t="s">
        <v>436</v>
      </c>
      <c r="J13" s="396" t="s">
        <v>437</v>
      </c>
      <c r="K13" s="397" t="s">
        <v>14</v>
      </c>
      <c r="L13" s="353"/>
      <c r="M13" s="353"/>
      <c r="N13" s="353"/>
      <c r="O13" s="353"/>
      <c r="P13" s="353"/>
      <c r="Q13" s="353"/>
      <c r="R13" s="353"/>
      <c r="S13" s="353"/>
      <c r="T13" s="353"/>
      <c r="U13" s="353"/>
      <c r="V13" s="353"/>
      <c r="W13" s="353"/>
      <c r="X13" s="353"/>
      <c r="Y13" s="353"/>
      <c r="Z13" s="353"/>
    </row>
    <row r="14" spans="1:26" s="357" customFormat="1" ht="18.399999999999999" customHeight="1">
      <c r="A14" s="650" t="s">
        <v>193</v>
      </c>
      <c r="B14" s="651"/>
      <c r="C14" s="652"/>
      <c r="D14" s="657">
        <v>1225</v>
      </c>
      <c r="E14" s="658"/>
      <c r="F14" s="392"/>
      <c r="G14" s="398" t="s">
        <v>133</v>
      </c>
      <c r="H14" s="399"/>
      <c r="I14" s="399"/>
      <c r="J14" s="381" t="s">
        <v>14</v>
      </c>
      <c r="K14" s="378" t="s">
        <v>14</v>
      </c>
      <c r="L14" s="353"/>
      <c r="M14" s="353"/>
      <c r="N14" s="353"/>
      <c r="O14" s="353"/>
      <c r="P14" s="353"/>
      <c r="Q14" s="353"/>
      <c r="R14" s="353"/>
      <c r="S14" s="353"/>
      <c r="T14" s="353"/>
      <c r="U14" s="353"/>
      <c r="V14" s="353"/>
      <c r="W14" s="353"/>
      <c r="X14" s="353"/>
      <c r="Y14" s="353"/>
      <c r="Z14" s="353"/>
    </row>
    <row r="15" spans="1:26" s="357" customFormat="1" ht="18.399999999999999" customHeight="1">
      <c r="A15" s="661" t="s">
        <v>438</v>
      </c>
      <c r="B15" s="662"/>
      <c r="C15" s="663"/>
      <c r="D15" s="664">
        <v>10.978799819946289</v>
      </c>
      <c r="E15" s="665"/>
      <c r="F15" s="392"/>
      <c r="G15" s="398" t="s">
        <v>439</v>
      </c>
      <c r="H15" s="399"/>
      <c r="I15" s="399"/>
      <c r="J15" s="381" t="s">
        <v>14</v>
      </c>
      <c r="K15" s="378" t="s">
        <v>14</v>
      </c>
      <c r="L15" s="353"/>
      <c r="M15" s="353"/>
      <c r="N15" s="353"/>
      <c r="O15" s="353"/>
      <c r="P15" s="353"/>
      <c r="Q15" s="353"/>
      <c r="R15" s="353"/>
      <c r="S15" s="353"/>
      <c r="T15" s="353"/>
      <c r="U15" s="353"/>
      <c r="V15" s="353"/>
      <c r="W15" s="353"/>
      <c r="X15" s="353"/>
      <c r="Y15" s="353"/>
      <c r="Z15" s="353"/>
    </row>
    <row r="16" spans="1:26" s="357" customFormat="1" ht="18.399999999999999" customHeight="1">
      <c r="A16" s="668" t="s">
        <v>440</v>
      </c>
      <c r="B16" s="669"/>
      <c r="C16" s="670"/>
      <c r="D16" s="664">
        <v>3.736799955368042</v>
      </c>
      <c r="E16" s="665"/>
      <c r="F16" s="401"/>
      <c r="G16" s="402" t="s">
        <v>144</v>
      </c>
      <c r="H16" s="403"/>
      <c r="I16" s="403"/>
      <c r="J16" s="387" t="s">
        <v>14</v>
      </c>
      <c r="K16" s="388" t="s">
        <v>14</v>
      </c>
      <c r="L16" s="353"/>
      <c r="M16" s="353"/>
      <c r="N16" s="353"/>
      <c r="O16" s="353"/>
      <c r="P16" s="353"/>
      <c r="Q16" s="353"/>
      <c r="R16" s="353"/>
      <c r="S16" s="353"/>
      <c r="T16" s="353"/>
      <c r="U16" s="353"/>
      <c r="V16" s="353"/>
      <c r="W16" s="353"/>
      <c r="X16" s="353"/>
      <c r="Y16" s="353"/>
      <c r="Z16" s="353"/>
    </row>
    <row r="17" spans="1:26" s="357" customFormat="1" ht="18.399999999999999" customHeight="1">
      <c r="A17" s="404" t="s">
        <v>441</v>
      </c>
      <c r="B17" s="405"/>
      <c r="C17" s="406"/>
      <c r="D17" s="655" t="s">
        <v>442</v>
      </c>
      <c r="E17" s="656"/>
      <c r="F17" s="641" t="s">
        <v>443</v>
      </c>
      <c r="G17" s="642"/>
      <c r="H17" s="642"/>
      <c r="I17" s="642"/>
      <c r="J17" s="642"/>
      <c r="K17" s="643"/>
      <c r="L17" s="353"/>
      <c r="M17" s="353"/>
      <c r="N17" s="353"/>
      <c r="O17" s="353"/>
      <c r="P17" s="353"/>
      <c r="Q17" s="353"/>
      <c r="R17" s="353"/>
      <c r="S17" s="353"/>
      <c r="T17" s="353"/>
      <c r="U17" s="353"/>
      <c r="V17" s="353"/>
      <c r="W17" s="353"/>
      <c r="X17" s="353"/>
      <c r="Y17" s="353"/>
      <c r="Z17" s="353"/>
    </row>
    <row r="18" spans="1:26" s="357" customFormat="1" ht="18.399999999999999" customHeight="1">
      <c r="A18" s="407" t="s">
        <v>444</v>
      </c>
      <c r="B18" s="408"/>
      <c r="C18" s="406"/>
      <c r="D18" s="653" t="s">
        <v>14</v>
      </c>
      <c r="E18" s="654"/>
      <c r="F18" s="671"/>
      <c r="G18" s="672"/>
      <c r="H18" s="409" t="s">
        <v>445</v>
      </c>
      <c r="I18" s="410"/>
      <c r="J18" s="377">
        <v>123</v>
      </c>
      <c r="K18" s="378"/>
      <c r="L18" s="353"/>
      <c r="M18" s="353">
        <f>J18*6.5</f>
        <v>799.5</v>
      </c>
      <c r="N18" s="353"/>
      <c r="O18" s="353"/>
      <c r="P18" s="353"/>
      <c r="Q18" s="353"/>
      <c r="R18" s="353"/>
      <c r="S18" s="353"/>
      <c r="T18" s="353"/>
      <c r="U18" s="353"/>
      <c r="V18" s="353"/>
      <c r="W18" s="353"/>
      <c r="X18" s="353"/>
      <c r="Y18" s="353"/>
      <c r="Z18" s="353"/>
    </row>
    <row r="19" spans="1:26" s="357" customFormat="1" ht="18.399999999999999" customHeight="1">
      <c r="A19" s="677" t="s">
        <v>446</v>
      </c>
      <c r="B19" s="678"/>
      <c r="C19" s="679"/>
      <c r="D19" s="680" t="s">
        <v>14</v>
      </c>
      <c r="E19" s="656"/>
      <c r="F19" s="673"/>
      <c r="G19" s="674"/>
      <c r="H19" s="409" t="s">
        <v>126</v>
      </c>
      <c r="I19" s="370"/>
      <c r="J19" s="377">
        <v>3580</v>
      </c>
      <c r="K19" s="378"/>
      <c r="L19" s="353"/>
      <c r="M19" s="353"/>
      <c r="N19" s="353"/>
      <c r="O19" s="353"/>
      <c r="P19" s="353"/>
      <c r="Q19" s="353"/>
      <c r="R19" s="353"/>
      <c r="S19" s="353"/>
      <c r="T19" s="353"/>
      <c r="U19" s="353"/>
      <c r="V19" s="353"/>
      <c r="W19" s="353"/>
      <c r="X19" s="353"/>
      <c r="Y19" s="353"/>
      <c r="Z19" s="353"/>
    </row>
    <row r="20" spans="1:26" s="357" customFormat="1" ht="18.399999999999999" customHeight="1" thickBot="1">
      <c r="A20" s="411" t="s">
        <v>447</v>
      </c>
      <c r="C20" s="412"/>
      <c r="D20" s="681" t="s">
        <v>152</v>
      </c>
      <c r="E20" s="649"/>
      <c r="F20" s="673"/>
      <c r="G20" s="674"/>
      <c r="H20" s="409" t="s">
        <v>448</v>
      </c>
      <c r="I20" s="370"/>
      <c r="J20" s="381" t="s">
        <v>22</v>
      </c>
      <c r="K20" s="378"/>
      <c r="L20" s="353"/>
      <c r="M20" s="353"/>
      <c r="N20" s="353"/>
      <c r="O20" s="353"/>
      <c r="P20" s="353"/>
      <c r="Q20" s="353"/>
      <c r="R20" s="353"/>
      <c r="S20" s="353"/>
      <c r="T20" s="353"/>
      <c r="U20" s="353"/>
      <c r="V20" s="353"/>
      <c r="W20" s="353"/>
      <c r="X20" s="353"/>
      <c r="Y20" s="353"/>
      <c r="Z20" s="353"/>
    </row>
    <row r="21" spans="1:26" s="357" customFormat="1" ht="18.399999999999999" customHeight="1" thickBot="1">
      <c r="A21" s="661" t="s">
        <v>449</v>
      </c>
      <c r="B21" s="662"/>
      <c r="C21" s="663"/>
      <c r="D21" s="648" t="s">
        <v>14</v>
      </c>
      <c r="E21" s="649"/>
      <c r="F21" s="673"/>
      <c r="G21" s="674"/>
      <c r="H21" s="413" t="s">
        <v>450</v>
      </c>
      <c r="I21" s="370"/>
      <c r="J21" s="381">
        <v>1.1499999999999999</v>
      </c>
      <c r="K21" s="378"/>
      <c r="L21" s="353"/>
      <c r="M21" s="353"/>
      <c r="N21" s="353"/>
      <c r="O21" s="353"/>
      <c r="P21" s="353"/>
      <c r="Q21" s="354" t="s">
        <v>451</v>
      </c>
      <c r="R21" s="356"/>
      <c r="S21" s="353"/>
      <c r="T21" s="353"/>
      <c r="U21" s="353"/>
      <c r="V21" s="353"/>
      <c r="W21" s="353"/>
      <c r="X21" s="353"/>
      <c r="Y21" s="353"/>
      <c r="Z21" s="353"/>
    </row>
    <row r="22" spans="1:26" s="357" customFormat="1" ht="18.399999999999999" customHeight="1">
      <c r="A22" s="407" t="s">
        <v>452</v>
      </c>
      <c r="B22" s="414"/>
      <c r="C22" s="414"/>
      <c r="D22" s="682">
        <v>0.11169999837875366</v>
      </c>
      <c r="E22" s="683"/>
      <c r="F22" s="673"/>
      <c r="G22" s="674"/>
      <c r="H22" s="409" t="s">
        <v>404</v>
      </c>
      <c r="I22" s="370"/>
      <c r="J22" s="381" t="s">
        <v>14</v>
      </c>
      <c r="K22" s="378"/>
      <c r="L22" s="353"/>
      <c r="M22" s="353"/>
      <c r="N22" s="353"/>
      <c r="O22" s="353"/>
      <c r="P22" s="353"/>
      <c r="Q22" s="364" t="s">
        <v>453</v>
      </c>
      <c r="R22" s="366"/>
      <c r="S22" s="353"/>
      <c r="T22" s="353"/>
      <c r="U22" s="353"/>
      <c r="V22" s="353"/>
      <c r="W22" s="353"/>
      <c r="X22" s="353"/>
      <c r="Y22" s="353"/>
      <c r="Z22" s="353"/>
    </row>
    <row r="23" spans="1:26" s="357" customFormat="1" ht="18.399999999999999" customHeight="1">
      <c r="A23" s="415" t="s">
        <v>454</v>
      </c>
      <c r="B23" s="416" t="s">
        <v>455</v>
      </c>
      <c r="C23" s="417"/>
      <c r="D23" s="659">
        <v>506</v>
      </c>
      <c r="E23" s="660"/>
      <c r="F23" s="673"/>
      <c r="G23" s="674"/>
      <c r="H23" s="418" t="s">
        <v>456</v>
      </c>
      <c r="I23" s="419"/>
      <c r="J23" s="420">
        <v>95</v>
      </c>
      <c r="K23" s="421"/>
      <c r="L23" s="353"/>
      <c r="Q23" s="364" t="s">
        <v>457</v>
      </c>
      <c r="R23" s="366"/>
      <c r="S23" s="353"/>
      <c r="T23" s="353"/>
      <c r="U23" s="353"/>
      <c r="V23" s="353"/>
      <c r="W23" s="353"/>
      <c r="X23" s="353"/>
      <c r="Y23" s="353"/>
      <c r="Z23" s="353"/>
    </row>
    <row r="24" spans="1:26" s="357" customFormat="1" ht="18.399999999999999" customHeight="1" thickBot="1">
      <c r="A24" s="422" t="s">
        <v>458</v>
      </c>
      <c r="B24" s="423" t="s">
        <v>459</v>
      </c>
      <c r="C24" s="424"/>
      <c r="D24" s="684" t="s">
        <v>14</v>
      </c>
      <c r="E24" s="685"/>
      <c r="F24" s="673"/>
      <c r="G24" s="674"/>
      <c r="H24" s="409" t="s">
        <v>460</v>
      </c>
      <c r="I24" s="390"/>
      <c r="J24" s="425" t="s">
        <v>14</v>
      </c>
      <c r="K24" s="426"/>
      <c r="Q24" s="427" t="s">
        <v>14</v>
      </c>
      <c r="R24" s="428"/>
      <c r="S24" s="353"/>
      <c r="T24" s="353"/>
      <c r="U24" s="353"/>
      <c r="V24" s="353"/>
      <c r="W24" s="353"/>
      <c r="X24" s="353"/>
      <c r="Y24" s="353"/>
      <c r="Z24" s="353"/>
    </row>
    <row r="25" spans="1:26" s="357" customFormat="1" ht="18.399999999999999" customHeight="1">
      <c r="A25" s="429" t="s">
        <v>461</v>
      </c>
      <c r="B25" s="430"/>
      <c r="C25" s="430"/>
      <c r="D25" s="431"/>
      <c r="E25" s="431" t="s">
        <v>462</v>
      </c>
      <c r="F25" s="673"/>
      <c r="G25" s="674"/>
      <c r="H25" s="409" t="s">
        <v>463</v>
      </c>
      <c r="I25" s="390"/>
      <c r="J25" s="432">
        <v>91.5</v>
      </c>
      <c r="K25" s="426"/>
      <c r="R25" s="353"/>
      <c r="S25" s="353"/>
      <c r="T25" s="353"/>
      <c r="U25" s="353"/>
      <c r="V25" s="353"/>
      <c r="W25" s="353"/>
      <c r="X25" s="353"/>
      <c r="Y25" s="353"/>
      <c r="Z25" s="353"/>
    </row>
    <row r="26" spans="1:26" s="357" customFormat="1" ht="18.399999999999999" customHeight="1">
      <c r="A26" s="433" t="s">
        <v>464</v>
      </c>
      <c r="B26" s="434"/>
      <c r="C26" s="435"/>
      <c r="D26" s="436" t="s">
        <v>465</v>
      </c>
      <c r="E26" s="436" t="s">
        <v>466</v>
      </c>
      <c r="F26" s="675"/>
      <c r="G26" s="676"/>
      <c r="H26" s="686"/>
      <c r="I26" s="687"/>
      <c r="J26" s="437"/>
      <c r="K26" s="438"/>
      <c r="R26" s="353"/>
      <c r="S26" s="353"/>
      <c r="T26" s="353"/>
      <c r="U26" s="353"/>
      <c r="V26" s="353"/>
      <c r="W26" s="353"/>
      <c r="X26" s="353"/>
      <c r="Y26" s="353"/>
      <c r="Z26" s="353"/>
    </row>
    <row r="27" spans="1:26" s="357" customFormat="1" ht="18.399999999999999" customHeight="1">
      <c r="A27" s="666" t="s">
        <v>467</v>
      </c>
      <c r="B27" s="667"/>
      <c r="C27" s="667"/>
      <c r="D27" s="667"/>
      <c r="E27" s="667"/>
      <c r="F27" s="638" t="s">
        <v>468</v>
      </c>
      <c r="G27" s="639"/>
      <c r="H27" s="639"/>
      <c r="I27" s="639"/>
      <c r="J27" s="639"/>
      <c r="K27" s="640"/>
      <c r="R27" s="353"/>
      <c r="S27" s="353"/>
      <c r="T27" s="353"/>
      <c r="U27" s="353"/>
      <c r="V27" s="353"/>
      <c r="W27" s="353"/>
      <c r="X27" s="353"/>
      <c r="Y27" s="353"/>
      <c r="Z27" s="353"/>
    </row>
    <row r="28" spans="1:26" s="357" customFormat="1" ht="18.399999999999999" customHeight="1">
      <c r="A28" s="690"/>
      <c r="B28" s="691"/>
      <c r="C28" s="691"/>
      <c r="D28" s="691"/>
      <c r="E28" s="692"/>
      <c r="F28" s="439"/>
      <c r="G28" s="440"/>
      <c r="H28" s="398" t="s">
        <v>469</v>
      </c>
      <c r="I28" s="441" t="s">
        <v>470</v>
      </c>
      <c r="J28" s="377">
        <v>762</v>
      </c>
      <c r="K28" s="442" t="s">
        <v>14</v>
      </c>
      <c r="M28" s="357">
        <f>(J28/J18)*100</f>
        <v>619.51219512195121</v>
      </c>
      <c r="N28" s="443"/>
      <c r="R28" s="353"/>
      <c r="S28" s="353"/>
      <c r="T28" s="353"/>
      <c r="U28" s="353"/>
      <c r="V28" s="353"/>
      <c r="W28" s="353"/>
      <c r="X28" s="353"/>
      <c r="Y28" s="353"/>
      <c r="Z28" s="353"/>
    </row>
    <row r="29" spans="1:26" s="357" customFormat="1" ht="18.399999999999999" customHeight="1">
      <c r="A29" s="690"/>
      <c r="B29" s="691"/>
      <c r="C29" s="691"/>
      <c r="D29" s="691"/>
      <c r="E29" s="692"/>
      <c r="F29" s="444"/>
      <c r="G29" s="445"/>
      <c r="H29" s="398" t="s">
        <v>471</v>
      </c>
      <c r="I29" s="446">
        <v>60</v>
      </c>
      <c r="J29" s="377">
        <v>90</v>
      </c>
      <c r="K29" s="372" t="s">
        <v>14</v>
      </c>
      <c r="Q29" s="353"/>
      <c r="R29" s="353"/>
      <c r="S29" s="353"/>
      <c r="T29" s="353"/>
      <c r="U29" s="353"/>
      <c r="V29" s="353"/>
      <c r="W29" s="353"/>
      <c r="X29" s="353"/>
      <c r="Y29" s="353"/>
      <c r="Z29" s="353"/>
    </row>
    <row r="30" spans="1:26" s="357" customFormat="1" ht="18.399999999999999" customHeight="1">
      <c r="A30" s="690"/>
      <c r="B30" s="691"/>
      <c r="C30" s="691"/>
      <c r="D30" s="691"/>
      <c r="E30" s="692"/>
      <c r="F30" s="444"/>
      <c r="G30" s="445"/>
      <c r="H30" s="398" t="s">
        <v>472</v>
      </c>
      <c r="I30" s="446">
        <v>175</v>
      </c>
      <c r="J30" s="377">
        <v>219</v>
      </c>
      <c r="K30" s="372" t="s">
        <v>14</v>
      </c>
      <c r="L30" s="353"/>
      <c r="R30" s="353"/>
      <c r="S30" s="353"/>
      <c r="T30" s="353"/>
      <c r="U30" s="353"/>
      <c r="V30" s="353"/>
      <c r="W30" s="353"/>
      <c r="X30" s="353"/>
      <c r="Y30" s="353"/>
      <c r="Z30" s="353"/>
    </row>
    <row r="31" spans="1:26" s="357" customFormat="1" ht="18.399999999999999" customHeight="1">
      <c r="A31" s="690"/>
      <c r="B31" s="691"/>
      <c r="C31" s="691"/>
      <c r="D31" s="691"/>
      <c r="E31" s="692"/>
      <c r="F31" s="444"/>
      <c r="G31" s="445"/>
      <c r="H31" s="398" t="s">
        <v>473</v>
      </c>
      <c r="I31" s="399"/>
      <c r="J31" s="447">
        <v>0.55000000000000004</v>
      </c>
      <c r="K31" s="372" t="s">
        <v>14</v>
      </c>
      <c r="L31" s="353"/>
      <c r="R31" s="353"/>
      <c r="S31" s="353"/>
      <c r="T31" s="353"/>
      <c r="U31" s="353"/>
      <c r="V31" s="353"/>
      <c r="W31" s="353"/>
      <c r="X31" s="353"/>
      <c r="Y31" s="353"/>
      <c r="Z31" s="353"/>
    </row>
    <row r="32" spans="1:26" s="357" customFormat="1" ht="18.399999999999999" customHeight="1">
      <c r="A32" s="693"/>
      <c r="B32" s="694"/>
      <c r="C32" s="694"/>
      <c r="D32" s="694"/>
      <c r="E32" s="695"/>
      <c r="F32" s="444"/>
      <c r="G32" s="448" t="s">
        <v>474</v>
      </c>
      <c r="H32" s="398" t="s">
        <v>475</v>
      </c>
      <c r="I32" s="449"/>
      <c r="J32" s="371">
        <v>95.3</v>
      </c>
      <c r="K32" s="372" t="s">
        <v>14</v>
      </c>
      <c r="L32" s="353"/>
      <c r="N32" s="450"/>
      <c r="R32" s="353"/>
      <c r="S32" s="353"/>
      <c r="T32" s="353"/>
      <c r="U32" s="353"/>
      <c r="V32" s="353"/>
      <c r="W32" s="353"/>
      <c r="X32" s="353"/>
      <c r="Y32" s="353"/>
      <c r="Z32" s="353"/>
    </row>
    <row r="33" spans="1:26" s="357" customFormat="1" ht="18.399999999999999" customHeight="1">
      <c r="A33" s="666" t="s">
        <v>476</v>
      </c>
      <c r="B33" s="667"/>
      <c r="C33" s="667"/>
      <c r="D33" s="667"/>
      <c r="E33" s="696"/>
      <c r="F33" s="451"/>
      <c r="G33" s="452"/>
      <c r="H33" s="453" t="s">
        <v>477</v>
      </c>
      <c r="I33" s="454"/>
      <c r="J33" s="455">
        <v>91.8</v>
      </c>
      <c r="K33" s="442" t="s">
        <v>14</v>
      </c>
      <c r="L33" s="353"/>
      <c r="R33" s="353"/>
      <c r="S33" s="353"/>
      <c r="T33" s="353"/>
      <c r="U33" s="353"/>
      <c r="V33" s="353"/>
      <c r="W33" s="353"/>
      <c r="X33" s="353"/>
      <c r="Y33" s="353"/>
      <c r="Z33" s="353"/>
    </row>
    <row r="34" spans="1:26" s="357" customFormat="1" ht="18.399999999999999" customHeight="1">
      <c r="A34" s="690"/>
      <c r="B34" s="691"/>
      <c r="C34" s="691"/>
      <c r="D34" s="691"/>
      <c r="E34" s="692"/>
      <c r="F34" s="373" t="s">
        <v>478</v>
      </c>
      <c r="G34" s="456"/>
      <c r="H34" s="457" t="s">
        <v>141</v>
      </c>
      <c r="I34" s="458"/>
      <c r="J34" s="459">
        <v>6449</v>
      </c>
      <c r="K34" s="442" t="s">
        <v>14</v>
      </c>
      <c r="L34" s="460"/>
      <c r="M34" s="461"/>
      <c r="R34" s="353"/>
      <c r="S34" s="353"/>
      <c r="T34" s="353"/>
      <c r="U34" s="353"/>
      <c r="V34" s="353"/>
      <c r="W34" s="353"/>
      <c r="X34" s="353"/>
      <c r="Y34" s="353"/>
      <c r="Z34" s="353"/>
    </row>
    <row r="35" spans="1:26" s="357" customFormat="1" ht="18.399999999999999" customHeight="1">
      <c r="A35" s="690"/>
      <c r="B35" s="691"/>
      <c r="C35" s="691"/>
      <c r="D35" s="691"/>
      <c r="E35" s="692"/>
      <c r="F35" s="392"/>
      <c r="G35" s="462"/>
      <c r="H35" s="463" t="s">
        <v>142</v>
      </c>
      <c r="I35" s="400"/>
      <c r="J35" s="377">
        <v>4244</v>
      </c>
      <c r="K35" s="442" t="s">
        <v>14</v>
      </c>
      <c r="M35" s="461"/>
      <c r="R35" s="353"/>
      <c r="S35" s="353"/>
      <c r="T35" s="353"/>
      <c r="U35" s="353"/>
      <c r="V35" s="353"/>
      <c r="W35" s="353"/>
      <c r="X35" s="353"/>
      <c r="Y35" s="353"/>
      <c r="Z35" s="353"/>
    </row>
    <row r="36" spans="1:26" s="357" customFormat="1" ht="18.399999999999999" customHeight="1">
      <c r="A36" s="690"/>
      <c r="B36" s="691"/>
      <c r="C36" s="691"/>
      <c r="D36" s="691"/>
      <c r="E36" s="692"/>
      <c r="F36" s="392"/>
      <c r="G36" s="462"/>
      <c r="H36" s="463" t="s">
        <v>479</v>
      </c>
      <c r="I36" s="400"/>
      <c r="J36" s="377">
        <v>5237</v>
      </c>
      <c r="K36" s="442" t="s">
        <v>14</v>
      </c>
      <c r="Q36" s="353"/>
      <c r="R36" s="353"/>
      <c r="S36" s="353"/>
      <c r="T36" s="353"/>
      <c r="U36" s="353"/>
      <c r="V36" s="353"/>
      <c r="W36" s="353"/>
      <c r="X36" s="353"/>
      <c r="Y36" s="353"/>
      <c r="Z36" s="353"/>
    </row>
    <row r="37" spans="1:26" s="357" customFormat="1" ht="18.399999999999999" customHeight="1">
      <c r="A37" s="690"/>
      <c r="B37" s="691"/>
      <c r="C37" s="691"/>
      <c r="D37" s="691"/>
      <c r="E37" s="692"/>
      <c r="F37" s="444"/>
      <c r="G37" s="462"/>
      <c r="H37" s="463" t="s">
        <v>480</v>
      </c>
      <c r="I37" s="400"/>
      <c r="J37" s="377">
        <v>17823</v>
      </c>
      <c r="K37" s="464" t="s">
        <v>14</v>
      </c>
      <c r="M37" s="465"/>
      <c r="R37" s="353"/>
      <c r="S37" s="353"/>
      <c r="T37" s="353"/>
      <c r="U37" s="353"/>
      <c r="V37" s="353"/>
      <c r="W37" s="353"/>
      <c r="X37" s="353"/>
      <c r="Y37" s="353"/>
      <c r="Z37" s="353"/>
    </row>
    <row r="38" spans="1:26" s="357" customFormat="1" ht="18.399999999999999" customHeight="1">
      <c r="A38" s="693"/>
      <c r="B38" s="694"/>
      <c r="C38" s="694"/>
      <c r="D38" s="694"/>
      <c r="E38" s="695"/>
      <c r="F38" s="401"/>
      <c r="G38" s="466"/>
      <c r="H38" s="467" t="s">
        <v>481</v>
      </c>
      <c r="I38" s="468"/>
      <c r="J38" s="469">
        <v>3059</v>
      </c>
      <c r="K38" s="442" t="s">
        <v>14</v>
      </c>
      <c r="R38" s="353"/>
      <c r="S38" s="353"/>
      <c r="T38" s="353"/>
      <c r="U38" s="353"/>
      <c r="V38" s="353"/>
      <c r="W38" s="353"/>
      <c r="X38" s="353"/>
      <c r="Y38" s="353"/>
      <c r="Z38" s="353"/>
    </row>
    <row r="39" spans="1:26" s="357" customFormat="1" ht="18.399999999999999" customHeight="1">
      <c r="A39" s="666" t="s">
        <v>482</v>
      </c>
      <c r="B39" s="667"/>
      <c r="C39" s="667"/>
      <c r="D39" s="667"/>
      <c r="E39" s="667"/>
      <c r="F39" s="470" t="s">
        <v>483</v>
      </c>
      <c r="G39" s="471"/>
      <c r="H39" s="471"/>
      <c r="I39" s="471"/>
      <c r="J39" s="471"/>
      <c r="K39" s="472"/>
      <c r="R39" s="353"/>
      <c r="S39" s="353"/>
      <c r="T39" s="353"/>
      <c r="U39" s="353"/>
      <c r="V39" s="353"/>
      <c r="W39" s="353"/>
      <c r="X39" s="353"/>
      <c r="Y39" s="353"/>
      <c r="Z39" s="353"/>
    </row>
    <row r="40" spans="1:26" s="357" customFormat="1" ht="18.399999999999999" customHeight="1">
      <c r="A40" s="690"/>
      <c r="B40" s="691"/>
      <c r="C40" s="691"/>
      <c r="D40" s="691"/>
      <c r="E40" s="692"/>
      <c r="F40" s="473" t="s">
        <v>484</v>
      </c>
      <c r="G40" s="474" t="s">
        <v>485</v>
      </c>
      <c r="H40" s="475"/>
      <c r="I40" s="475"/>
      <c r="J40" s="475"/>
      <c r="K40" s="476" t="s">
        <v>486</v>
      </c>
      <c r="R40" s="353"/>
      <c r="S40" s="353"/>
      <c r="T40" s="353"/>
      <c r="U40" s="353"/>
      <c r="V40" s="353"/>
      <c r="W40" s="353"/>
      <c r="X40" s="353"/>
      <c r="Y40" s="353"/>
      <c r="Z40" s="353"/>
    </row>
    <row r="41" spans="1:26" s="357" customFormat="1" ht="18.399999999999999" customHeight="1">
      <c r="A41" s="690"/>
      <c r="B41" s="691"/>
      <c r="C41" s="691"/>
      <c r="D41" s="691"/>
      <c r="E41" s="692"/>
      <c r="F41" s="473"/>
      <c r="G41" s="357" t="s">
        <v>487</v>
      </c>
      <c r="H41" s="477"/>
      <c r="I41" s="477"/>
      <c r="J41" s="477"/>
      <c r="K41" s="478"/>
      <c r="L41" s="479"/>
      <c r="R41" s="353"/>
      <c r="S41" s="353"/>
      <c r="T41" s="353"/>
      <c r="U41" s="353"/>
      <c r="V41" s="353"/>
      <c r="W41" s="353"/>
      <c r="X41" s="353"/>
      <c r="Y41" s="353"/>
      <c r="Z41" s="353"/>
    </row>
    <row r="42" spans="1:26" s="357" customFormat="1" ht="18.399999999999999" customHeight="1">
      <c r="A42" s="690"/>
      <c r="B42" s="691"/>
      <c r="C42" s="691"/>
      <c r="D42" s="691"/>
      <c r="E42" s="692"/>
      <c r="F42" s="473"/>
      <c r="G42" s="477" t="s">
        <v>488</v>
      </c>
      <c r="H42" s="477"/>
      <c r="I42" s="477"/>
      <c r="J42" s="477"/>
      <c r="K42" s="478"/>
      <c r="L42" s="353"/>
      <c r="M42" s="353"/>
      <c r="N42" s="353"/>
      <c r="O42" s="353"/>
      <c r="P42" s="353"/>
      <c r="Q42" s="353"/>
      <c r="R42" s="353"/>
      <c r="S42" s="353"/>
      <c r="T42" s="353"/>
      <c r="U42" s="353"/>
      <c r="V42" s="353"/>
      <c r="W42" s="353"/>
      <c r="X42" s="353"/>
      <c r="Y42" s="353"/>
      <c r="Z42" s="353"/>
    </row>
    <row r="43" spans="1:26" s="357" customFormat="1" ht="18.399999999999999" customHeight="1">
      <c r="A43" s="690"/>
      <c r="B43" s="691"/>
      <c r="C43" s="691"/>
      <c r="D43" s="691"/>
      <c r="E43" s="692"/>
      <c r="F43" s="473"/>
      <c r="G43" s="812" t="s">
        <v>804</v>
      </c>
      <c r="H43" s="477"/>
      <c r="I43" s="477"/>
      <c r="J43" s="477"/>
      <c r="K43" s="478"/>
      <c r="M43" s="353"/>
      <c r="N43" s="353"/>
      <c r="O43" s="353"/>
      <c r="P43" s="353"/>
      <c r="Q43" s="353"/>
      <c r="R43" s="353"/>
      <c r="S43" s="353"/>
      <c r="T43" s="353"/>
      <c r="U43" s="353"/>
      <c r="V43" s="353"/>
      <c r="W43" s="353"/>
      <c r="X43" s="353"/>
      <c r="Y43" s="353"/>
      <c r="Z43" s="353"/>
    </row>
    <row r="44" spans="1:26" s="357" customFormat="1" ht="17.100000000000001" customHeight="1" thickBot="1">
      <c r="A44" s="697"/>
      <c r="B44" s="698"/>
      <c r="C44" s="698"/>
      <c r="D44" s="698"/>
      <c r="E44" s="699"/>
      <c r="F44" s="473"/>
      <c r="G44" s="813" t="s">
        <v>805</v>
      </c>
      <c r="H44" s="477"/>
      <c r="I44" s="477"/>
      <c r="J44" s="477"/>
      <c r="K44" s="478"/>
      <c r="M44" s="353"/>
      <c r="N44" s="353"/>
      <c r="O44" s="353"/>
      <c r="P44" s="353"/>
      <c r="Q44" s="353"/>
      <c r="R44" s="353"/>
      <c r="S44" s="353"/>
      <c r="T44" s="353"/>
      <c r="U44" s="353"/>
      <c r="V44" s="353"/>
      <c r="W44" s="353"/>
      <c r="X44" s="353"/>
      <c r="Y44" s="353"/>
      <c r="Z44" s="353"/>
    </row>
    <row r="45" spans="1:26" s="357" customFormat="1" ht="17.100000000000001" customHeight="1">
      <c r="A45" s="480" t="s">
        <v>489</v>
      </c>
      <c r="B45" s="700"/>
      <c r="C45" s="701"/>
      <c r="D45" s="481" t="s">
        <v>490</v>
      </c>
      <c r="E45" s="482" t="s">
        <v>491</v>
      </c>
      <c r="F45" s="483"/>
      <c r="G45" s="477"/>
      <c r="H45" s="477"/>
      <c r="I45" s="477"/>
      <c r="J45" s="477"/>
      <c r="K45" s="478"/>
      <c r="L45" s="353"/>
      <c r="M45" s="353"/>
      <c r="N45" s="353"/>
      <c r="O45" s="353"/>
      <c r="P45" s="353"/>
      <c r="Q45" s="353"/>
      <c r="R45" s="353"/>
      <c r="S45" s="353"/>
      <c r="T45" s="353"/>
      <c r="U45" s="353"/>
      <c r="V45" s="353"/>
      <c r="W45" s="353"/>
      <c r="X45" s="353"/>
      <c r="Y45" s="353"/>
      <c r="Z45" s="353"/>
    </row>
    <row r="46" spans="1:26" s="357" customFormat="1" ht="17.100000000000001" customHeight="1" thickBot="1">
      <c r="A46" s="484" t="s">
        <v>492</v>
      </c>
      <c r="B46" s="688"/>
      <c r="C46" s="689"/>
      <c r="D46" s="485" t="s">
        <v>492</v>
      </c>
      <c r="E46" s="486">
        <v>43483</v>
      </c>
      <c r="F46" s="487"/>
      <c r="G46" s="488" t="s">
        <v>493</v>
      </c>
      <c r="H46" s="488"/>
      <c r="I46" s="488"/>
      <c r="J46" s="488"/>
      <c r="K46" s="489"/>
      <c r="L46" s="353"/>
      <c r="M46" s="353"/>
      <c r="N46" s="353"/>
      <c r="O46" s="353"/>
      <c r="P46" s="353"/>
      <c r="Q46" s="353"/>
      <c r="R46" s="353"/>
      <c r="S46" s="353"/>
      <c r="T46" s="353"/>
      <c r="U46" s="353"/>
      <c r="V46" s="353"/>
      <c r="W46" s="353"/>
      <c r="X46" s="353"/>
      <c r="Y46" s="353"/>
      <c r="Z46" s="353"/>
    </row>
    <row r="47" spans="1:26" s="357" customFormat="1" ht="17.100000000000001" customHeight="1">
      <c r="F47" s="490"/>
      <c r="G47" s="353" t="s">
        <v>494</v>
      </c>
      <c r="H47" s="353"/>
      <c r="I47" s="353"/>
      <c r="J47" s="353"/>
      <c r="K47" s="353"/>
      <c r="L47" s="353"/>
      <c r="M47" s="353"/>
      <c r="N47" s="353"/>
      <c r="O47" s="353"/>
      <c r="P47" s="353"/>
      <c r="Q47" s="353"/>
      <c r="R47" s="353"/>
      <c r="S47" s="353"/>
      <c r="T47" s="353"/>
      <c r="U47" s="353"/>
    </row>
    <row r="48" spans="1:26" s="357" customFormat="1" ht="17.100000000000001" customHeight="1">
      <c r="F48" s="353"/>
      <c r="G48" s="353" t="s">
        <v>495</v>
      </c>
      <c r="H48" s="353"/>
      <c r="I48" s="353"/>
      <c r="J48" s="353"/>
      <c r="K48" s="353"/>
    </row>
    <row r="49" spans="2:26" ht="17.100000000000001" customHeight="1">
      <c r="F49" s="343"/>
      <c r="G49" s="343"/>
      <c r="H49" s="343"/>
      <c r="I49" s="343"/>
      <c r="J49" s="343"/>
      <c r="K49" s="343"/>
      <c r="L49" s="344"/>
      <c r="M49" s="344"/>
      <c r="N49" s="344"/>
      <c r="O49" s="344"/>
      <c r="P49" s="344"/>
      <c r="Q49" s="344"/>
      <c r="R49" s="344"/>
      <c r="S49" s="344"/>
      <c r="T49" s="344"/>
      <c r="U49" s="344"/>
      <c r="V49" s="344"/>
      <c r="W49" s="344"/>
      <c r="X49" s="344"/>
      <c r="Y49" s="344"/>
      <c r="Z49" s="344"/>
    </row>
    <row r="50" spans="2:26">
      <c r="F50" s="343"/>
      <c r="G50" s="343"/>
      <c r="H50" s="343"/>
      <c r="I50" s="343"/>
      <c r="J50" s="343"/>
      <c r="K50" s="343"/>
      <c r="L50" s="344"/>
      <c r="M50" s="344"/>
      <c r="N50" s="344"/>
      <c r="O50" s="344"/>
      <c r="P50" s="344"/>
      <c r="Q50" s="344"/>
      <c r="R50" s="344"/>
      <c r="S50" s="344"/>
      <c r="T50" s="344"/>
      <c r="U50" s="344"/>
      <c r="V50" s="344"/>
      <c r="W50" s="344"/>
      <c r="X50" s="344"/>
      <c r="Y50" s="344"/>
      <c r="Z50" s="344"/>
    </row>
    <row r="51" spans="2:26">
      <c r="F51" s="343"/>
      <c r="G51" s="343"/>
      <c r="H51" s="343"/>
      <c r="I51" s="343"/>
      <c r="J51" s="343"/>
      <c r="K51" s="343"/>
      <c r="L51" s="344"/>
      <c r="M51" s="344"/>
      <c r="N51" s="344"/>
      <c r="O51" s="344"/>
      <c r="P51" s="344"/>
      <c r="Q51" s="344"/>
      <c r="R51" s="344"/>
      <c r="S51" s="344"/>
      <c r="T51" s="344"/>
      <c r="U51" s="344"/>
      <c r="V51" s="344"/>
      <c r="W51" s="344"/>
      <c r="X51" s="344"/>
      <c r="Y51" s="344"/>
      <c r="Z51" s="344"/>
    </row>
    <row r="52" spans="2:26">
      <c r="B52" s="343"/>
      <c r="C52" s="343"/>
      <c r="D52" s="343"/>
      <c r="E52" s="343"/>
      <c r="F52" s="343"/>
      <c r="G52" s="343"/>
      <c r="H52" s="343"/>
      <c r="I52" s="343"/>
      <c r="J52" s="343"/>
      <c r="K52" s="343"/>
      <c r="Q52" s="344"/>
      <c r="R52" s="344"/>
      <c r="S52" s="344"/>
      <c r="T52" s="344"/>
      <c r="U52" s="344"/>
      <c r="V52" s="344"/>
      <c r="W52" s="344"/>
      <c r="X52" s="344"/>
      <c r="Y52" s="344"/>
      <c r="Z52" s="344"/>
    </row>
    <row r="53" spans="2:26">
      <c r="F53" s="343"/>
      <c r="G53" s="343"/>
      <c r="H53" s="343"/>
      <c r="I53" s="343"/>
      <c r="J53" s="343"/>
      <c r="K53" s="343"/>
      <c r="Q53" s="344"/>
      <c r="R53" s="344"/>
      <c r="S53" s="344"/>
      <c r="T53" s="344"/>
      <c r="U53" s="344"/>
      <c r="V53" s="344"/>
      <c r="W53" s="344"/>
      <c r="X53" s="344"/>
      <c r="Y53" s="344"/>
      <c r="Z53" s="344"/>
    </row>
  </sheetData>
  <mergeCells count="49">
    <mergeCell ref="H26:I26"/>
    <mergeCell ref="B46:C46"/>
    <mergeCell ref="A28:E32"/>
    <mergeCell ref="A33:E33"/>
    <mergeCell ref="A34:E38"/>
    <mergeCell ref="A39:E39"/>
    <mergeCell ref="A40:E44"/>
    <mergeCell ref="B45:C45"/>
    <mergeCell ref="A27:E27"/>
    <mergeCell ref="F27:K27"/>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A13:C13"/>
    <mergeCell ref="D13:E13"/>
    <mergeCell ref="A14:C14"/>
    <mergeCell ref="D14:E14"/>
    <mergeCell ref="A15:C15"/>
    <mergeCell ref="D15:E15"/>
    <mergeCell ref="F12:K12"/>
    <mergeCell ref="A7:C7"/>
    <mergeCell ref="D7:E7"/>
    <mergeCell ref="A8:C8"/>
    <mergeCell ref="D8:E8"/>
    <mergeCell ref="A9:C9"/>
    <mergeCell ref="D9:E9"/>
    <mergeCell ref="A10:C10"/>
    <mergeCell ref="D10:E10"/>
    <mergeCell ref="A11:C11"/>
    <mergeCell ref="D11:E11"/>
    <mergeCell ref="D12:E12"/>
    <mergeCell ref="A1:K1"/>
    <mergeCell ref="A2:K2"/>
    <mergeCell ref="J3:K3"/>
    <mergeCell ref="A5:C5"/>
    <mergeCell ref="A6:C6"/>
    <mergeCell ref="D6:E6"/>
    <mergeCell ref="F6:K6"/>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EB6F4EA5-0078-4E40-826E-804457052276}">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3693D1DE-E9CA-4475-9864-0206E9CDDEE8}">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82C0722F-FF7B-461B-8203-59C48A2FD0E8}">
      <formula1>$T$5:$T$11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CDC6-C774-4AF9-9017-5CBE99ABA891}">
  <sheetPr syncVertical="1" syncRef="A1" transitionEvaluation="1"/>
  <dimension ref="A1:N120"/>
  <sheetViews>
    <sheetView showGridLines="0" zoomScaleNormal="100" workbookViewId="0">
      <selection activeCell="G27" sqref="G27"/>
    </sheetView>
  </sheetViews>
  <sheetFormatPr defaultColWidth="8.796875" defaultRowHeight="15.75"/>
  <cols>
    <col min="1" max="13" width="4.8984375" style="498" customWidth="1"/>
    <col min="14" max="14" width="5" style="498" customWidth="1"/>
    <col min="15" max="256" width="8.796875" style="498"/>
    <col min="257" max="269" width="4.8984375" style="498" customWidth="1"/>
    <col min="270" max="270" width="5" style="498" customWidth="1"/>
    <col min="271" max="512" width="8.796875" style="498"/>
    <col min="513" max="525" width="4.8984375" style="498" customWidth="1"/>
    <col min="526" max="526" width="5" style="498" customWidth="1"/>
    <col min="527" max="768" width="8.796875" style="498"/>
    <col min="769" max="781" width="4.8984375" style="498" customWidth="1"/>
    <col min="782" max="782" width="5" style="498" customWidth="1"/>
    <col min="783" max="1024" width="8.796875" style="498"/>
    <col min="1025" max="1037" width="4.8984375" style="498" customWidth="1"/>
    <col min="1038" max="1038" width="5" style="498" customWidth="1"/>
    <col min="1039" max="1280" width="8.796875" style="498"/>
    <col min="1281" max="1293" width="4.8984375" style="498" customWidth="1"/>
    <col min="1294" max="1294" width="5" style="498" customWidth="1"/>
    <col min="1295" max="1536" width="8.796875" style="498"/>
    <col min="1537" max="1549" width="4.8984375" style="498" customWidth="1"/>
    <col min="1550" max="1550" width="5" style="498" customWidth="1"/>
    <col min="1551" max="1792" width="8.796875" style="498"/>
    <col min="1793" max="1805" width="4.8984375" style="498" customWidth="1"/>
    <col min="1806" max="1806" width="5" style="498" customWidth="1"/>
    <col min="1807" max="2048" width="8.796875" style="498"/>
    <col min="2049" max="2061" width="4.8984375" style="498" customWidth="1"/>
    <col min="2062" max="2062" width="5" style="498" customWidth="1"/>
    <col min="2063" max="2304" width="8.796875" style="498"/>
    <col min="2305" max="2317" width="4.8984375" style="498" customWidth="1"/>
    <col min="2318" max="2318" width="5" style="498" customWidth="1"/>
    <col min="2319" max="2560" width="8.796875" style="498"/>
    <col min="2561" max="2573" width="4.8984375" style="498" customWidth="1"/>
    <col min="2574" max="2574" width="5" style="498" customWidth="1"/>
    <col min="2575" max="2816" width="8.796875" style="498"/>
    <col min="2817" max="2829" width="4.8984375" style="498" customWidth="1"/>
    <col min="2830" max="2830" width="5" style="498" customWidth="1"/>
    <col min="2831" max="3072" width="8.796875" style="498"/>
    <col min="3073" max="3085" width="4.8984375" style="498" customWidth="1"/>
    <col min="3086" max="3086" width="5" style="498" customWidth="1"/>
    <col min="3087" max="3328" width="8.796875" style="498"/>
    <col min="3329" max="3341" width="4.8984375" style="498" customWidth="1"/>
    <col min="3342" max="3342" width="5" style="498" customWidth="1"/>
    <col min="3343" max="3584" width="8.796875" style="498"/>
    <col min="3585" max="3597" width="4.8984375" style="498" customWidth="1"/>
    <col min="3598" max="3598" width="5" style="498" customWidth="1"/>
    <col min="3599" max="3840" width="8.796875" style="498"/>
    <col min="3841" max="3853" width="4.8984375" style="498" customWidth="1"/>
    <col min="3854" max="3854" width="5" style="498" customWidth="1"/>
    <col min="3855" max="4096" width="8.796875" style="498"/>
    <col min="4097" max="4109" width="4.8984375" style="498" customWidth="1"/>
    <col min="4110" max="4110" width="5" style="498" customWidth="1"/>
    <col min="4111" max="4352" width="8.796875" style="498"/>
    <col min="4353" max="4365" width="4.8984375" style="498" customWidth="1"/>
    <col min="4366" max="4366" width="5" style="498" customWidth="1"/>
    <col min="4367" max="4608" width="8.796875" style="498"/>
    <col min="4609" max="4621" width="4.8984375" style="498" customWidth="1"/>
    <col min="4622" max="4622" width="5" style="498" customWidth="1"/>
    <col min="4623" max="4864" width="8.796875" style="498"/>
    <col min="4865" max="4877" width="4.8984375" style="498" customWidth="1"/>
    <col min="4878" max="4878" width="5" style="498" customWidth="1"/>
    <col min="4879" max="5120" width="8.796875" style="498"/>
    <col min="5121" max="5133" width="4.8984375" style="498" customWidth="1"/>
    <col min="5134" max="5134" width="5" style="498" customWidth="1"/>
    <col min="5135" max="5376" width="8.796875" style="498"/>
    <col min="5377" max="5389" width="4.8984375" style="498" customWidth="1"/>
    <col min="5390" max="5390" width="5" style="498" customWidth="1"/>
    <col min="5391" max="5632" width="8.796875" style="498"/>
    <col min="5633" max="5645" width="4.8984375" style="498" customWidth="1"/>
    <col min="5646" max="5646" width="5" style="498" customWidth="1"/>
    <col min="5647" max="5888" width="8.796875" style="498"/>
    <col min="5889" max="5901" width="4.8984375" style="498" customWidth="1"/>
    <col min="5902" max="5902" width="5" style="498" customWidth="1"/>
    <col min="5903" max="6144" width="8.796875" style="498"/>
    <col min="6145" max="6157" width="4.8984375" style="498" customWidth="1"/>
    <col min="6158" max="6158" width="5" style="498" customWidth="1"/>
    <col min="6159" max="6400" width="8.796875" style="498"/>
    <col min="6401" max="6413" width="4.8984375" style="498" customWidth="1"/>
    <col min="6414" max="6414" width="5" style="498" customWidth="1"/>
    <col min="6415" max="6656" width="8.796875" style="498"/>
    <col min="6657" max="6669" width="4.8984375" style="498" customWidth="1"/>
    <col min="6670" max="6670" width="5" style="498" customWidth="1"/>
    <col min="6671" max="6912" width="8.796875" style="498"/>
    <col min="6913" max="6925" width="4.8984375" style="498" customWidth="1"/>
    <col min="6926" max="6926" width="5" style="498" customWidth="1"/>
    <col min="6927" max="7168" width="8.796875" style="498"/>
    <col min="7169" max="7181" width="4.8984375" style="498" customWidth="1"/>
    <col min="7182" max="7182" width="5" style="498" customWidth="1"/>
    <col min="7183" max="7424" width="8.796875" style="498"/>
    <col min="7425" max="7437" width="4.8984375" style="498" customWidth="1"/>
    <col min="7438" max="7438" width="5" style="498" customWidth="1"/>
    <col min="7439" max="7680" width="8.796875" style="498"/>
    <col min="7681" max="7693" width="4.8984375" style="498" customWidth="1"/>
    <col min="7694" max="7694" width="5" style="498" customWidth="1"/>
    <col min="7695" max="7936" width="8.796875" style="498"/>
    <col min="7937" max="7949" width="4.8984375" style="498" customWidth="1"/>
    <col min="7950" max="7950" width="5" style="498" customWidth="1"/>
    <col min="7951" max="8192" width="8.796875" style="498"/>
    <col min="8193" max="8205" width="4.8984375" style="498" customWidth="1"/>
    <col min="8206" max="8206" width="5" style="498" customWidth="1"/>
    <col min="8207" max="8448" width="8.796875" style="498"/>
    <col min="8449" max="8461" width="4.8984375" style="498" customWidth="1"/>
    <col min="8462" max="8462" width="5" style="498" customWidth="1"/>
    <col min="8463" max="8704" width="8.796875" style="498"/>
    <col min="8705" max="8717" width="4.8984375" style="498" customWidth="1"/>
    <col min="8718" max="8718" width="5" style="498" customWidth="1"/>
    <col min="8719" max="8960" width="8.796875" style="498"/>
    <col min="8961" max="8973" width="4.8984375" style="498" customWidth="1"/>
    <col min="8974" max="8974" width="5" style="498" customWidth="1"/>
    <col min="8975" max="9216" width="8.796875" style="498"/>
    <col min="9217" max="9229" width="4.8984375" style="498" customWidth="1"/>
    <col min="9230" max="9230" width="5" style="498" customWidth="1"/>
    <col min="9231" max="9472" width="8.796875" style="498"/>
    <col min="9473" max="9485" width="4.8984375" style="498" customWidth="1"/>
    <col min="9486" max="9486" width="5" style="498" customWidth="1"/>
    <col min="9487" max="9728" width="8.796875" style="498"/>
    <col min="9729" max="9741" width="4.8984375" style="498" customWidth="1"/>
    <col min="9742" max="9742" width="5" style="498" customWidth="1"/>
    <col min="9743" max="9984" width="8.796875" style="498"/>
    <col min="9985" max="9997" width="4.8984375" style="498" customWidth="1"/>
    <col min="9998" max="9998" width="5" style="498" customWidth="1"/>
    <col min="9999" max="10240" width="8.796875" style="498"/>
    <col min="10241" max="10253" width="4.8984375" style="498" customWidth="1"/>
    <col min="10254" max="10254" width="5" style="498" customWidth="1"/>
    <col min="10255" max="10496" width="8.796875" style="498"/>
    <col min="10497" max="10509" width="4.8984375" style="498" customWidth="1"/>
    <col min="10510" max="10510" width="5" style="498" customWidth="1"/>
    <col min="10511" max="10752" width="8.796875" style="498"/>
    <col min="10753" max="10765" width="4.8984375" style="498" customWidth="1"/>
    <col min="10766" max="10766" width="5" style="498" customWidth="1"/>
    <col min="10767" max="11008" width="8.796875" style="498"/>
    <col min="11009" max="11021" width="4.8984375" style="498" customWidth="1"/>
    <col min="11022" max="11022" width="5" style="498" customWidth="1"/>
    <col min="11023" max="11264" width="8.796875" style="498"/>
    <col min="11265" max="11277" width="4.8984375" style="498" customWidth="1"/>
    <col min="11278" max="11278" width="5" style="498" customWidth="1"/>
    <col min="11279" max="11520" width="8.796875" style="498"/>
    <col min="11521" max="11533" width="4.8984375" style="498" customWidth="1"/>
    <col min="11534" max="11534" width="5" style="498" customWidth="1"/>
    <col min="11535" max="11776" width="8.796875" style="498"/>
    <col min="11777" max="11789" width="4.8984375" style="498" customWidth="1"/>
    <col min="11790" max="11790" width="5" style="498" customWidth="1"/>
    <col min="11791" max="12032" width="8.796875" style="498"/>
    <col min="12033" max="12045" width="4.8984375" style="498" customWidth="1"/>
    <col min="12046" max="12046" width="5" style="498" customWidth="1"/>
    <col min="12047" max="12288" width="8.796875" style="498"/>
    <col min="12289" max="12301" width="4.8984375" style="498" customWidth="1"/>
    <col min="12302" max="12302" width="5" style="498" customWidth="1"/>
    <col min="12303" max="12544" width="8.796875" style="498"/>
    <col min="12545" max="12557" width="4.8984375" style="498" customWidth="1"/>
    <col min="12558" max="12558" width="5" style="498" customWidth="1"/>
    <col min="12559" max="12800" width="8.796875" style="498"/>
    <col min="12801" max="12813" width="4.8984375" style="498" customWidth="1"/>
    <col min="12814" max="12814" width="5" style="498" customWidth="1"/>
    <col min="12815" max="13056" width="8.796875" style="498"/>
    <col min="13057" max="13069" width="4.8984375" style="498" customWidth="1"/>
    <col min="13070" max="13070" width="5" style="498" customWidth="1"/>
    <col min="13071" max="13312" width="8.796875" style="498"/>
    <col min="13313" max="13325" width="4.8984375" style="498" customWidth="1"/>
    <col min="13326" max="13326" width="5" style="498" customWidth="1"/>
    <col min="13327" max="13568" width="8.796875" style="498"/>
    <col min="13569" max="13581" width="4.8984375" style="498" customWidth="1"/>
    <col min="13582" max="13582" width="5" style="498" customWidth="1"/>
    <col min="13583" max="13824" width="8.796875" style="498"/>
    <col min="13825" max="13837" width="4.8984375" style="498" customWidth="1"/>
    <col min="13838" max="13838" width="5" style="498" customWidth="1"/>
    <col min="13839" max="14080" width="8.796875" style="498"/>
    <col min="14081" max="14093" width="4.8984375" style="498" customWidth="1"/>
    <col min="14094" max="14094" width="5" style="498" customWidth="1"/>
    <col min="14095" max="14336" width="8.796875" style="498"/>
    <col min="14337" max="14349" width="4.8984375" style="498" customWidth="1"/>
    <col min="14350" max="14350" width="5" style="498" customWidth="1"/>
    <col min="14351" max="14592" width="8.796875" style="498"/>
    <col min="14593" max="14605" width="4.8984375" style="498" customWidth="1"/>
    <col min="14606" max="14606" width="5" style="498" customWidth="1"/>
    <col min="14607" max="14848" width="8.796875" style="498"/>
    <col min="14849" max="14861" width="4.8984375" style="498" customWidth="1"/>
    <col min="14862" max="14862" width="5" style="498" customWidth="1"/>
    <col min="14863" max="15104" width="8.796875" style="498"/>
    <col min="15105" max="15117" width="4.8984375" style="498" customWidth="1"/>
    <col min="15118" max="15118" width="5" style="498" customWidth="1"/>
    <col min="15119" max="15360" width="8.796875" style="498"/>
    <col min="15361" max="15373" width="4.8984375" style="498" customWidth="1"/>
    <col min="15374" max="15374" width="5" style="498" customWidth="1"/>
    <col min="15375" max="15616" width="8.796875" style="498"/>
    <col min="15617" max="15629" width="4.8984375" style="498" customWidth="1"/>
    <col min="15630" max="15630" width="5" style="498" customWidth="1"/>
    <col min="15631" max="15872" width="8.796875" style="498"/>
    <col min="15873" max="15885" width="4.8984375" style="498" customWidth="1"/>
    <col min="15886" max="15886" width="5" style="498" customWidth="1"/>
    <col min="15887" max="16128" width="8.796875" style="498"/>
    <col min="16129" max="16141" width="4.8984375" style="498" customWidth="1"/>
    <col min="16142" max="16142" width="5" style="498" customWidth="1"/>
    <col min="16143" max="16384" width="8.796875" style="498"/>
  </cols>
  <sheetData>
    <row r="1" spans="1:14" ht="17.100000000000001" customHeight="1">
      <c r="A1" s="491" t="s">
        <v>62</v>
      </c>
      <c r="B1" s="492"/>
      <c r="C1" s="492"/>
      <c r="D1" s="492"/>
      <c r="E1" s="492"/>
      <c r="F1" s="492"/>
      <c r="G1" s="492"/>
      <c r="H1" s="492"/>
      <c r="I1" s="492"/>
      <c r="J1" s="493" t="s">
        <v>61</v>
      </c>
      <c r="K1" s="494"/>
      <c r="L1" s="495" t="s">
        <v>496</v>
      </c>
      <c r="M1" s="496"/>
      <c r="N1" s="497"/>
    </row>
    <row r="2" spans="1:14" ht="17.100000000000001" customHeight="1">
      <c r="A2" s="499" t="s">
        <v>59</v>
      </c>
      <c r="B2" s="500"/>
      <c r="C2" s="500"/>
      <c r="D2" s="500"/>
      <c r="E2" s="500"/>
      <c r="F2" s="500"/>
      <c r="G2" s="500"/>
      <c r="H2" s="500"/>
      <c r="I2" s="500"/>
      <c r="J2" s="501" t="s">
        <v>58</v>
      </c>
      <c r="K2" s="502"/>
      <c r="L2" s="503" t="s">
        <v>57</v>
      </c>
      <c r="M2" s="504"/>
      <c r="N2" s="497"/>
    </row>
    <row r="3" spans="1:14" ht="15.95" customHeight="1">
      <c r="A3" s="505"/>
      <c r="B3" s="506"/>
      <c r="C3" s="506"/>
      <c r="D3" s="506"/>
      <c r="E3" s="506"/>
      <c r="F3" s="506"/>
      <c r="G3" s="506"/>
      <c r="H3" s="506"/>
      <c r="I3" s="506"/>
      <c r="J3" s="501" t="s">
        <v>56</v>
      </c>
      <c r="K3" s="502"/>
      <c r="L3" s="507" t="s">
        <v>497</v>
      </c>
      <c r="M3" s="504"/>
      <c r="N3" s="497"/>
    </row>
    <row r="4" spans="1:14" ht="15.95" customHeight="1">
      <c r="A4" s="508"/>
      <c r="B4" s="506"/>
      <c r="C4" s="506"/>
      <c r="D4" s="506"/>
      <c r="E4" s="506"/>
      <c r="F4" s="506"/>
      <c r="G4" s="506"/>
      <c r="H4" s="506"/>
      <c r="I4" s="506"/>
      <c r="J4" s="501" t="s">
        <v>54</v>
      </c>
      <c r="K4" s="502"/>
      <c r="L4" s="507" t="s">
        <v>498</v>
      </c>
      <c r="M4" s="504"/>
      <c r="N4" s="497"/>
    </row>
    <row r="5" spans="1:14" ht="15.95" customHeight="1">
      <c r="A5" s="505"/>
      <c r="B5" s="506"/>
      <c r="C5" s="506"/>
      <c r="D5" s="506"/>
      <c r="E5" s="506"/>
      <c r="F5" s="506"/>
      <c r="G5" s="506"/>
      <c r="H5" s="506"/>
      <c r="I5" s="506"/>
      <c r="J5" s="501" t="s">
        <v>52</v>
      </c>
      <c r="K5" s="502"/>
      <c r="L5" s="503">
        <v>2</v>
      </c>
      <c r="M5" s="504"/>
      <c r="N5" s="497"/>
    </row>
    <row r="6" spans="1:14" ht="15.95" customHeight="1">
      <c r="A6" s="509" t="s">
        <v>112</v>
      </c>
      <c r="B6" s="506"/>
      <c r="C6" s="506"/>
      <c r="D6" s="506"/>
      <c r="E6" s="506"/>
      <c r="F6" s="506"/>
      <c r="G6" s="506"/>
      <c r="H6" s="506"/>
      <c r="I6" s="506"/>
      <c r="J6" s="501" t="s">
        <v>50</v>
      </c>
      <c r="K6" s="502"/>
      <c r="L6" s="503" t="s">
        <v>49</v>
      </c>
      <c r="M6" s="504"/>
      <c r="N6" s="497"/>
    </row>
    <row r="7" spans="1:14" ht="15.95" customHeight="1" thickBot="1">
      <c r="A7" s="510" t="s">
        <v>499</v>
      </c>
      <c r="B7" s="511"/>
      <c r="C7" s="511"/>
      <c r="D7" s="511"/>
      <c r="E7" s="511"/>
      <c r="F7" s="511"/>
      <c r="G7" s="511"/>
      <c r="H7" s="511"/>
      <c r="I7" s="511"/>
      <c r="J7" s="512" t="s">
        <v>47</v>
      </c>
      <c r="K7" s="513"/>
      <c r="L7" s="514" t="s">
        <v>500</v>
      </c>
      <c r="M7" s="515"/>
      <c r="N7" s="497"/>
    </row>
    <row r="8" spans="1:14" ht="15.95" customHeight="1">
      <c r="A8" s="516"/>
      <c r="B8" s="506"/>
      <c r="C8" s="506"/>
      <c r="D8" s="506"/>
      <c r="E8" s="506"/>
      <c r="F8" s="506"/>
      <c r="G8" s="506"/>
      <c r="H8" s="506"/>
      <c r="I8" s="506"/>
      <c r="J8" s="506"/>
      <c r="K8" s="517"/>
      <c r="L8" s="518"/>
      <c r="M8" s="519"/>
      <c r="N8" s="506"/>
    </row>
    <row r="9" spans="1:14" ht="12" customHeight="1">
      <c r="A9" s="54"/>
      <c r="B9" s="53" t="s">
        <v>45</v>
      </c>
      <c r="C9" s="57" t="s">
        <v>501</v>
      </c>
      <c r="D9" s="520"/>
      <c r="E9" s="520"/>
      <c r="F9" s="520"/>
      <c r="G9" s="520"/>
      <c r="H9" s="520"/>
      <c r="I9" s="520"/>
      <c r="J9" s="520"/>
      <c r="K9" s="521"/>
      <c r="L9" s="54"/>
      <c r="M9" s="520"/>
      <c r="N9" s="506"/>
    </row>
    <row r="10" spans="1:14" ht="12" customHeight="1">
      <c r="A10" s="54"/>
      <c r="B10" s="53" t="s">
        <v>44</v>
      </c>
      <c r="C10" s="522" t="s">
        <v>502</v>
      </c>
      <c r="D10" s="54"/>
      <c r="E10" s="54"/>
      <c r="F10" s="54"/>
      <c r="G10" s="54"/>
      <c r="H10" s="54"/>
      <c r="I10" s="54"/>
      <c r="J10" s="54"/>
      <c r="K10" s="54"/>
      <c r="L10" s="54"/>
      <c r="M10" s="54"/>
      <c r="N10" s="518"/>
    </row>
    <row r="11" spans="1:14" ht="16.5" thickBot="1">
      <c r="A11" s="518"/>
      <c r="B11" s="518"/>
      <c r="C11" s="518"/>
      <c r="D11" s="518"/>
      <c r="E11" s="518"/>
      <c r="F11" s="518"/>
      <c r="G11" s="518"/>
      <c r="H11" s="518"/>
      <c r="I11" s="518"/>
      <c r="J11" s="518"/>
      <c r="K11" s="518"/>
      <c r="L11" s="518"/>
      <c r="M11" s="518"/>
      <c r="N11" s="518"/>
    </row>
    <row r="12" spans="1:14" ht="20.100000000000001" customHeight="1" thickBot="1">
      <c r="A12" s="523" t="s">
        <v>43</v>
      </c>
      <c r="B12" s="524"/>
      <c r="C12" s="524"/>
      <c r="D12" s="524"/>
      <c r="E12" s="524"/>
      <c r="F12" s="524"/>
      <c r="G12" s="524"/>
      <c r="H12" s="524"/>
      <c r="I12" s="524"/>
      <c r="J12" s="524"/>
      <c r="K12" s="524"/>
      <c r="L12" s="524"/>
      <c r="M12" s="525"/>
      <c r="N12" s="497"/>
    </row>
    <row r="13" spans="1:14" ht="12.95" customHeight="1" thickTop="1">
      <c r="A13" s="58"/>
      <c r="B13" s="53" t="s">
        <v>42</v>
      </c>
      <c r="C13" s="61">
        <v>1000</v>
      </c>
      <c r="D13" s="54"/>
      <c r="E13" s="53" t="s">
        <v>41</v>
      </c>
      <c r="F13" s="61">
        <v>4000</v>
      </c>
      <c r="G13" s="54"/>
      <c r="H13" s="53" t="s">
        <v>40</v>
      </c>
      <c r="I13" s="61" t="s">
        <v>39</v>
      </c>
      <c r="J13" s="54"/>
      <c r="K13" s="54"/>
      <c r="L13" s="53" t="s">
        <v>38</v>
      </c>
      <c r="M13" s="59">
        <v>3600</v>
      </c>
      <c r="N13" s="497"/>
    </row>
    <row r="14" spans="1:14" ht="12.95" customHeight="1">
      <c r="A14" s="58"/>
      <c r="B14" s="53" t="s">
        <v>37</v>
      </c>
      <c r="C14" s="61" t="s">
        <v>36</v>
      </c>
      <c r="D14" s="54"/>
      <c r="E14" s="53" t="s">
        <v>35</v>
      </c>
      <c r="F14" s="56" t="s">
        <v>503</v>
      </c>
      <c r="G14" s="54"/>
      <c r="H14" s="53" t="s">
        <v>34</v>
      </c>
      <c r="I14" s="61">
        <v>123</v>
      </c>
      <c r="J14" s="54"/>
      <c r="K14" s="54"/>
      <c r="L14" s="53" t="s">
        <v>33</v>
      </c>
      <c r="M14" s="59">
        <v>3580</v>
      </c>
      <c r="N14" s="497"/>
    </row>
    <row r="15" spans="1:14" ht="12.95" customHeight="1">
      <c r="A15" s="58"/>
      <c r="B15" s="53" t="s">
        <v>32</v>
      </c>
      <c r="C15" s="61" t="s">
        <v>134</v>
      </c>
      <c r="D15" s="54"/>
      <c r="E15" s="53" t="s">
        <v>31</v>
      </c>
      <c r="F15" s="63" t="s">
        <v>30</v>
      </c>
      <c r="G15" s="54"/>
      <c r="H15" s="53" t="s">
        <v>29</v>
      </c>
      <c r="I15" s="56" t="s">
        <v>14</v>
      </c>
      <c r="J15" s="54"/>
      <c r="K15" s="54"/>
      <c r="L15" s="53" t="s">
        <v>28</v>
      </c>
      <c r="M15" s="59" t="s">
        <v>22</v>
      </c>
      <c r="N15" s="497"/>
    </row>
    <row r="16" spans="1:14" ht="12.95" customHeight="1">
      <c r="A16" s="58"/>
      <c r="B16" s="53" t="s">
        <v>27</v>
      </c>
      <c r="C16" s="61" t="s">
        <v>26</v>
      </c>
      <c r="D16" s="54"/>
      <c r="E16" s="53" t="s">
        <v>25</v>
      </c>
      <c r="F16" s="526">
        <v>40</v>
      </c>
      <c r="G16" s="54"/>
      <c r="H16" s="60" t="s">
        <v>23</v>
      </c>
      <c r="I16" s="55" t="s">
        <v>22</v>
      </c>
      <c r="J16" s="54"/>
      <c r="K16" s="54"/>
      <c r="L16" s="53" t="s">
        <v>21</v>
      </c>
      <c r="M16" s="59" t="s">
        <v>20</v>
      </c>
      <c r="N16" s="497"/>
    </row>
    <row r="17" spans="1:14" ht="12.95" customHeight="1">
      <c r="A17" s="58"/>
      <c r="B17" s="53" t="s">
        <v>19</v>
      </c>
      <c r="C17" s="57" t="s">
        <v>504</v>
      </c>
      <c r="D17" s="54"/>
      <c r="E17" s="53"/>
      <c r="F17" s="56"/>
      <c r="G17" s="54"/>
      <c r="H17" s="53" t="s">
        <v>18</v>
      </c>
      <c r="I17" s="55" t="s">
        <v>14</v>
      </c>
      <c r="J17" s="54"/>
      <c r="K17" s="54"/>
      <c r="L17" s="53"/>
      <c r="M17" s="52"/>
      <c r="N17" s="497"/>
    </row>
    <row r="18" spans="1:14" ht="12.95" customHeight="1" thickBot="1">
      <c r="A18" s="51"/>
      <c r="B18" s="49" t="s">
        <v>17</v>
      </c>
      <c r="C18" s="48">
        <v>95</v>
      </c>
      <c r="D18" s="47"/>
      <c r="E18" s="49" t="s">
        <v>16</v>
      </c>
      <c r="F18" s="48" t="s">
        <v>14</v>
      </c>
      <c r="G18" s="50"/>
      <c r="H18" s="49" t="s">
        <v>15</v>
      </c>
      <c r="I18" s="48">
        <v>91.5</v>
      </c>
      <c r="J18" s="47"/>
      <c r="K18" s="47"/>
      <c r="L18" s="47"/>
      <c r="M18" s="46"/>
      <c r="N18" s="497"/>
    </row>
    <row r="19" spans="1:14" ht="16.5" thickBot="1">
      <c r="A19" s="497"/>
      <c r="B19" s="497"/>
      <c r="C19" s="497"/>
      <c r="D19" s="497"/>
      <c r="E19" s="497"/>
      <c r="F19" s="497"/>
      <c r="G19" s="497"/>
      <c r="H19" s="497"/>
      <c r="I19" s="497"/>
      <c r="J19" s="497"/>
      <c r="K19" s="497"/>
      <c r="L19" s="497"/>
      <c r="M19" s="497"/>
      <c r="N19" s="497"/>
    </row>
    <row r="20" spans="1:14" ht="20.100000000000001" customHeight="1" thickBot="1">
      <c r="A20" s="523"/>
      <c r="B20" s="524"/>
      <c r="C20" s="524"/>
      <c r="D20" s="524"/>
      <c r="E20" s="524"/>
      <c r="F20" s="524"/>
      <c r="G20" s="524"/>
      <c r="H20" s="524"/>
      <c r="I20" s="524"/>
      <c r="J20" s="524"/>
      <c r="K20" s="524"/>
      <c r="L20" s="524"/>
      <c r="M20" s="525"/>
    </row>
    <row r="21" spans="1:14" ht="15.95" customHeight="1" thickTop="1">
      <c r="A21" s="527" t="s">
        <v>505</v>
      </c>
      <c r="B21" s="528"/>
      <c r="C21" s="518"/>
      <c r="D21" s="529"/>
      <c r="E21" s="530" t="s">
        <v>506</v>
      </c>
      <c r="F21" s="531"/>
      <c r="G21" s="531"/>
      <c r="H21" s="532"/>
      <c r="I21" s="533" t="s">
        <v>507</v>
      </c>
      <c r="J21" s="531"/>
      <c r="K21" s="531"/>
      <c r="L21" s="518"/>
      <c r="M21" s="534"/>
    </row>
    <row r="22" spans="1:14" ht="15.95" customHeight="1">
      <c r="A22" s="535"/>
      <c r="B22" s="54"/>
      <c r="C22" s="53" t="s">
        <v>508</v>
      </c>
      <c r="D22" s="536">
        <v>762</v>
      </c>
      <c r="E22" s="53"/>
      <c r="G22" s="60" t="s">
        <v>509</v>
      </c>
      <c r="H22" s="537">
        <v>1467</v>
      </c>
      <c r="I22" s="53"/>
      <c r="J22" s="54"/>
      <c r="K22" s="53" t="s">
        <v>510</v>
      </c>
      <c r="L22" s="54"/>
      <c r="M22" s="52"/>
    </row>
    <row r="23" spans="1:14" ht="15.95" customHeight="1">
      <c r="A23" s="535"/>
      <c r="B23" s="53"/>
      <c r="C23" s="521"/>
      <c r="D23" s="538"/>
      <c r="E23" s="53"/>
      <c r="G23" s="53" t="s">
        <v>511</v>
      </c>
      <c r="H23" s="536">
        <v>90</v>
      </c>
      <c r="I23" s="54"/>
      <c r="J23" s="54"/>
      <c r="K23" s="53" t="s">
        <v>512</v>
      </c>
      <c r="L23" s="54"/>
      <c r="M23" s="52"/>
    </row>
    <row r="24" spans="1:14" ht="15.95" customHeight="1">
      <c r="A24" s="58"/>
      <c r="B24" s="53"/>
      <c r="C24" s="54"/>
      <c r="D24" s="538"/>
      <c r="E24" s="53"/>
      <c r="G24" s="60" t="s">
        <v>513</v>
      </c>
      <c r="H24" s="536">
        <v>215</v>
      </c>
      <c r="I24" s="54"/>
      <c r="J24" s="53"/>
      <c r="K24" s="54"/>
      <c r="L24" s="54"/>
      <c r="M24" s="52"/>
    </row>
    <row r="25" spans="1:14" ht="15.95" customHeight="1" thickBot="1">
      <c r="A25" s="51"/>
      <c r="B25" s="49"/>
      <c r="C25" s="47"/>
      <c r="D25" s="539"/>
      <c r="E25" s="49"/>
      <c r="F25" s="49"/>
      <c r="G25" s="49"/>
      <c r="H25" s="540"/>
      <c r="I25" s="47"/>
      <c r="J25" s="49"/>
      <c r="K25" s="47"/>
      <c r="L25" s="47"/>
      <c r="M25" s="46"/>
    </row>
    <row r="26" spans="1:14" ht="18.95" customHeight="1" thickBot="1">
      <c r="A26" s="516"/>
      <c r="B26" s="516"/>
      <c r="C26" s="516"/>
      <c r="D26" s="497"/>
      <c r="E26" s="497"/>
      <c r="F26" s="497"/>
      <c r="G26" s="497"/>
      <c r="H26" s="497"/>
      <c r="I26" s="497"/>
      <c r="J26" s="497"/>
      <c r="K26" s="497"/>
      <c r="L26" s="497"/>
      <c r="M26" s="497"/>
      <c r="N26" s="497"/>
    </row>
    <row r="27" spans="1:14" ht="20.100000000000001" customHeight="1" thickBot="1">
      <c r="A27" s="541"/>
      <c r="B27" s="542"/>
      <c r="C27" s="542"/>
      <c r="D27" s="542"/>
      <c r="E27" s="542"/>
      <c r="F27" s="542"/>
      <c r="G27" s="543"/>
      <c r="H27" s="542"/>
      <c r="I27" s="542"/>
      <c r="J27" s="542"/>
      <c r="K27" s="542"/>
      <c r="L27" s="542"/>
      <c r="M27" s="544"/>
    </row>
    <row r="28" spans="1:14" ht="15.95" customHeight="1" thickTop="1">
      <c r="A28" s="545" t="s">
        <v>514</v>
      </c>
      <c r="B28" s="528"/>
      <c r="C28" s="518"/>
      <c r="D28" s="518"/>
      <c r="E28" s="531"/>
      <c r="F28" s="531"/>
      <c r="G28" s="546"/>
      <c r="H28" s="530" t="s">
        <v>515</v>
      </c>
      <c r="I28" s="531"/>
      <c r="J28" s="531"/>
      <c r="K28" s="530"/>
      <c r="L28" s="531"/>
      <c r="M28" s="534"/>
    </row>
    <row r="29" spans="1:14" ht="15.95" customHeight="1">
      <c r="A29" s="58"/>
      <c r="B29" s="53"/>
      <c r="C29" s="53" t="s">
        <v>516</v>
      </c>
      <c r="D29" s="547">
        <v>95.3</v>
      </c>
      <c r="E29" s="53"/>
      <c r="F29" s="53"/>
      <c r="G29" s="546"/>
      <c r="H29" s="60"/>
      <c r="I29" s="53"/>
      <c r="J29" s="53" t="s">
        <v>516</v>
      </c>
      <c r="K29" s="547">
        <v>91.8</v>
      </c>
      <c r="L29" s="54"/>
      <c r="M29" s="52"/>
    </row>
    <row r="30" spans="1:14" ht="15.95" customHeight="1">
      <c r="A30" s="548"/>
      <c r="B30" s="54"/>
      <c r="C30" s="53" t="s">
        <v>517</v>
      </c>
      <c r="D30" s="547">
        <v>94.6</v>
      </c>
      <c r="E30" s="53"/>
      <c r="F30" s="53"/>
      <c r="G30" s="546"/>
      <c r="H30" s="53"/>
      <c r="I30" s="54"/>
      <c r="J30" s="53" t="s">
        <v>517</v>
      </c>
      <c r="K30" s="547">
        <v>90.2</v>
      </c>
      <c r="L30" s="54"/>
      <c r="M30" s="52"/>
    </row>
    <row r="31" spans="1:14" ht="15.95" customHeight="1">
      <c r="A31" s="58"/>
      <c r="B31" s="53"/>
      <c r="C31" s="53" t="s">
        <v>518</v>
      </c>
      <c r="D31" s="547">
        <v>93</v>
      </c>
      <c r="E31" s="53"/>
      <c r="F31" s="53"/>
      <c r="G31" s="546"/>
      <c r="H31" s="53"/>
      <c r="I31" s="54"/>
      <c r="J31" s="53" t="s">
        <v>518</v>
      </c>
      <c r="K31" s="547">
        <v>85.2</v>
      </c>
      <c r="L31" s="53"/>
      <c r="M31" s="52"/>
    </row>
    <row r="32" spans="1:14" ht="15.95" customHeight="1" thickBot="1">
      <c r="A32" s="51"/>
      <c r="B32" s="49"/>
      <c r="C32" s="47"/>
      <c r="D32" s="47"/>
      <c r="E32" s="49"/>
      <c r="F32" s="49"/>
      <c r="G32" s="549"/>
      <c r="H32" s="49"/>
      <c r="I32" s="47"/>
      <c r="J32" s="49"/>
      <c r="K32" s="47"/>
      <c r="L32" s="49"/>
      <c r="M32" s="46"/>
    </row>
    <row r="33" spans="1:14" ht="20.100000000000001" customHeight="1" thickBot="1">
      <c r="A33" s="550"/>
      <c r="B33" s="550"/>
      <c r="C33" s="550"/>
      <c r="D33" s="550"/>
      <c r="E33" s="550"/>
      <c r="F33" s="550"/>
      <c r="G33" s="550"/>
      <c r="H33" s="550"/>
      <c r="I33" s="550"/>
      <c r="J33" s="550"/>
      <c r="K33" s="550"/>
      <c r="L33" s="550"/>
      <c r="M33" s="550"/>
      <c r="N33" s="550"/>
    </row>
    <row r="34" spans="1:14" ht="20.100000000000001" customHeight="1" thickBot="1">
      <c r="A34" s="551"/>
      <c r="B34" s="552"/>
      <c r="C34" s="552"/>
      <c r="D34" s="552"/>
      <c r="E34" s="552"/>
      <c r="F34" s="552"/>
      <c r="G34" s="552"/>
      <c r="H34" s="552"/>
      <c r="I34" s="552"/>
      <c r="J34" s="552"/>
      <c r="K34" s="552"/>
      <c r="L34" s="552"/>
      <c r="M34" s="553"/>
    </row>
    <row r="35" spans="1:14" ht="15.95" customHeight="1" thickTop="1">
      <c r="A35" s="554" t="s">
        <v>519</v>
      </c>
      <c r="B35" s="521"/>
      <c r="C35" s="521"/>
      <c r="D35" s="521"/>
      <c r="E35" s="521"/>
      <c r="F35" s="521"/>
      <c r="G35" s="521"/>
      <c r="H35" s="521"/>
      <c r="I35" s="521"/>
      <c r="J35" s="521"/>
      <c r="K35" s="521"/>
      <c r="L35" s="521"/>
      <c r="M35" s="555"/>
    </row>
    <row r="36" spans="1:14" ht="15.95" customHeight="1">
      <c r="A36" s="548" t="s">
        <v>520</v>
      </c>
      <c r="B36" s="521"/>
      <c r="C36" s="521"/>
      <c r="D36" s="521"/>
      <c r="E36" s="521"/>
      <c r="F36" s="521"/>
      <c r="G36" s="521"/>
      <c r="H36" s="521"/>
      <c r="I36" s="521"/>
      <c r="J36" s="521"/>
      <c r="K36" s="521"/>
      <c r="L36" s="521"/>
      <c r="M36" s="555"/>
    </row>
    <row r="37" spans="1:14" ht="15.95" customHeight="1">
      <c r="A37" s="556" t="s">
        <v>521</v>
      </c>
      <c r="B37" s="521"/>
      <c r="C37" s="521"/>
      <c r="D37" s="521"/>
      <c r="E37" s="557"/>
      <c r="F37" s="521"/>
      <c r="G37" s="521"/>
      <c r="H37" s="521"/>
      <c r="I37" s="521"/>
      <c r="J37" s="521"/>
      <c r="K37" s="521"/>
      <c r="L37" s="521"/>
      <c r="M37" s="555"/>
    </row>
    <row r="38" spans="1:14" ht="15.95" customHeight="1">
      <c r="A38" s="558" t="s">
        <v>522</v>
      </c>
      <c r="B38" s="521"/>
      <c r="C38" s="521"/>
      <c r="D38" s="521"/>
      <c r="E38" s="521"/>
      <c r="F38" s="521"/>
      <c r="G38" s="521"/>
      <c r="H38" s="521"/>
      <c r="I38" s="521"/>
      <c r="J38" s="521"/>
      <c r="K38" s="521"/>
      <c r="L38" s="521"/>
      <c r="M38" s="555"/>
    </row>
    <row r="39" spans="1:14" ht="15.95" customHeight="1">
      <c r="A39" s="559" t="s">
        <v>523</v>
      </c>
      <c r="B39" s="521"/>
      <c r="C39" s="521"/>
      <c r="D39" s="521"/>
      <c r="E39" s="521"/>
      <c r="F39" s="521"/>
      <c r="G39" s="521"/>
      <c r="H39" s="521"/>
      <c r="I39" s="521"/>
      <c r="J39" s="521"/>
      <c r="K39" s="521"/>
      <c r="L39" s="521"/>
      <c r="M39" s="555"/>
    </row>
    <row r="40" spans="1:14" ht="15.95" customHeight="1" thickBot="1">
      <c r="A40" s="560" t="s">
        <v>524</v>
      </c>
      <c r="B40" s="561"/>
      <c r="C40" s="561"/>
      <c r="D40" s="561"/>
      <c r="E40" s="561"/>
      <c r="F40" s="561"/>
      <c r="G40" s="561"/>
      <c r="H40" s="561"/>
      <c r="I40" s="561"/>
      <c r="J40" s="561"/>
      <c r="K40" s="561"/>
      <c r="L40" s="561"/>
      <c r="M40" s="562"/>
    </row>
    <row r="41" spans="1:14" ht="15.95" customHeight="1"/>
    <row r="42" spans="1:14" ht="18">
      <c r="A42" s="563"/>
      <c r="B42" s="563"/>
      <c r="C42" s="563"/>
      <c r="D42" s="563"/>
      <c r="E42" s="563"/>
      <c r="F42" s="563"/>
      <c r="G42" s="563"/>
      <c r="H42" s="497"/>
      <c r="I42" s="497"/>
      <c r="J42" s="564" t="s">
        <v>1</v>
      </c>
      <c r="K42" s="702" t="s">
        <v>525</v>
      </c>
      <c r="L42" s="702"/>
      <c r="M42" s="702"/>
      <c r="N42" s="563"/>
    </row>
    <row r="43" spans="1:14" ht="7.5" customHeight="1">
      <c r="H43" s="497"/>
      <c r="I43" s="497"/>
      <c r="J43" s="497"/>
      <c r="K43" s="497"/>
      <c r="L43" s="497"/>
      <c r="M43" s="497"/>
    </row>
    <row r="44" spans="1:14" ht="16.5">
      <c r="H44" s="497"/>
      <c r="I44" s="497"/>
      <c r="J44" s="564" t="s">
        <v>0</v>
      </c>
      <c r="K44" s="703">
        <v>45512</v>
      </c>
      <c r="L44" s="703"/>
      <c r="M44" s="703"/>
    </row>
    <row r="59" spans="1:5">
      <c r="A59" s="498" t="s">
        <v>14</v>
      </c>
      <c r="B59" s="498" t="s">
        <v>526</v>
      </c>
      <c r="D59" s="498">
        <v>1</v>
      </c>
      <c r="E59" s="565" t="s">
        <v>14</v>
      </c>
    </row>
    <row r="60" spans="1:5">
      <c r="A60" s="498" t="s">
        <v>503</v>
      </c>
      <c r="B60" s="498" t="s">
        <v>527</v>
      </c>
      <c r="D60" s="498">
        <v>1.1499999999999999</v>
      </c>
      <c r="E60" s="565" t="s">
        <v>348</v>
      </c>
    </row>
    <row r="61" spans="1:5">
      <c r="A61" s="498" t="s">
        <v>528</v>
      </c>
      <c r="B61" s="498" t="s">
        <v>529</v>
      </c>
      <c r="E61" s="565" t="s">
        <v>530</v>
      </c>
    </row>
    <row r="62" spans="1:5">
      <c r="B62" s="498" t="s">
        <v>531</v>
      </c>
    </row>
    <row r="63" spans="1:5">
      <c r="B63" s="498" t="s">
        <v>532</v>
      </c>
    </row>
    <row r="64" spans="1:5">
      <c r="B64" s="498" t="s">
        <v>533</v>
      </c>
    </row>
    <row r="65" spans="2:2">
      <c r="B65" s="498" t="s">
        <v>534</v>
      </c>
    </row>
    <row r="66" spans="2:2">
      <c r="B66" s="498" t="s">
        <v>535</v>
      </c>
    </row>
    <row r="67" spans="2:2">
      <c r="B67" s="498" t="s">
        <v>536</v>
      </c>
    </row>
    <row r="68" spans="2:2">
      <c r="B68" s="498" t="s">
        <v>537</v>
      </c>
    </row>
    <row r="69" spans="2:2">
      <c r="B69" s="498" t="s">
        <v>538</v>
      </c>
    </row>
    <row r="70" spans="2:2">
      <c r="B70" s="498" t="s">
        <v>539</v>
      </c>
    </row>
    <row r="71" spans="2:2">
      <c r="B71" s="498" t="s">
        <v>540</v>
      </c>
    </row>
    <row r="72" spans="2:2">
      <c r="B72" s="498" t="s">
        <v>541</v>
      </c>
    </row>
    <row r="73" spans="2:2">
      <c r="B73" s="498" t="s">
        <v>542</v>
      </c>
    </row>
    <row r="74" spans="2:2">
      <c r="B74" s="498" t="s">
        <v>543</v>
      </c>
    </row>
    <row r="75" spans="2:2">
      <c r="B75" s="498" t="s">
        <v>544</v>
      </c>
    </row>
    <row r="76" spans="2:2">
      <c r="B76" s="498" t="s">
        <v>545</v>
      </c>
    </row>
    <row r="77" spans="2:2">
      <c r="B77" s="498" t="s">
        <v>546</v>
      </c>
    </row>
    <row r="78" spans="2:2">
      <c r="B78" s="498" t="s">
        <v>547</v>
      </c>
    </row>
    <row r="79" spans="2:2">
      <c r="B79" s="498" t="s">
        <v>548</v>
      </c>
    </row>
    <row r="80" spans="2:2">
      <c r="B80" s="498">
        <v>6312</v>
      </c>
    </row>
    <row r="81" spans="2:2">
      <c r="B81" s="498" t="s">
        <v>549</v>
      </c>
    </row>
    <row r="82" spans="2:2">
      <c r="B82" s="498" t="s">
        <v>550</v>
      </c>
    </row>
    <row r="83" spans="2:2">
      <c r="B83" s="498" t="s">
        <v>551</v>
      </c>
    </row>
    <row r="84" spans="2:2">
      <c r="B84" s="498" t="s">
        <v>552</v>
      </c>
    </row>
    <row r="85" spans="2:2">
      <c r="B85" s="498">
        <v>6313</v>
      </c>
    </row>
    <row r="86" spans="2:2">
      <c r="B86" s="498" t="s">
        <v>553</v>
      </c>
    </row>
    <row r="87" spans="2:2">
      <c r="B87" s="498" t="s">
        <v>554</v>
      </c>
    </row>
    <row r="88" spans="2:2">
      <c r="B88" s="498" t="s">
        <v>555</v>
      </c>
    </row>
    <row r="89" spans="2:2">
      <c r="B89" s="498">
        <v>6314</v>
      </c>
    </row>
    <row r="90" spans="2:2">
      <c r="B90" s="498" t="s">
        <v>556</v>
      </c>
    </row>
    <row r="91" spans="2:2">
      <c r="B91" s="498">
        <v>6317</v>
      </c>
    </row>
    <row r="92" spans="2:2">
      <c r="B92" s="498" t="s">
        <v>557</v>
      </c>
    </row>
    <row r="93" spans="2:2">
      <c r="B93" s="498">
        <v>6318</v>
      </c>
    </row>
    <row r="94" spans="2:2">
      <c r="B94" s="498" t="s">
        <v>558</v>
      </c>
    </row>
    <row r="95" spans="2:2">
      <c r="B95" s="498" t="s">
        <v>559</v>
      </c>
    </row>
    <row r="96" spans="2:2">
      <c r="B96" s="498" t="s">
        <v>560</v>
      </c>
    </row>
    <row r="97" spans="2:2">
      <c r="B97" s="498">
        <v>6320</v>
      </c>
    </row>
    <row r="98" spans="2:2">
      <c r="B98" s="498" t="s">
        <v>561</v>
      </c>
    </row>
    <row r="99" spans="2:2">
      <c r="B99" s="498" t="s">
        <v>562</v>
      </c>
    </row>
    <row r="100" spans="2:2">
      <c r="B100" s="498" t="s">
        <v>563</v>
      </c>
    </row>
    <row r="101" spans="2:2">
      <c r="B101" s="498" t="s">
        <v>564</v>
      </c>
    </row>
    <row r="102" spans="2:2">
      <c r="B102" s="498" t="s">
        <v>564</v>
      </c>
    </row>
    <row r="118" spans="2:2">
      <c r="B118" s="498" t="s">
        <v>565</v>
      </c>
    </row>
    <row r="120" spans="2:2">
      <c r="B120" s="498" t="s">
        <v>566</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6412-E04F-47B5-A5DF-D87EC607840C}">
  <sheetPr>
    <pageSetUpPr fitToPage="1"/>
  </sheetPr>
  <dimension ref="A1:L67"/>
  <sheetViews>
    <sheetView workbookViewId="0">
      <selection activeCell="O33" sqref="O33"/>
    </sheetView>
  </sheetViews>
  <sheetFormatPr defaultRowHeight="12.75"/>
  <cols>
    <col min="1" max="6" width="11.69921875" style="90" customWidth="1"/>
    <col min="7" max="256" width="8.796875" style="90"/>
    <col min="257" max="262" width="11.69921875" style="90" customWidth="1"/>
    <col min="263" max="512" width="8.796875" style="90"/>
    <col min="513" max="518" width="11.69921875" style="90" customWidth="1"/>
    <col min="519" max="768" width="8.796875" style="90"/>
    <col min="769" max="774" width="11.69921875" style="90" customWidth="1"/>
    <col min="775" max="1024" width="8.796875" style="90"/>
    <col min="1025" max="1030" width="11.69921875" style="90" customWidth="1"/>
    <col min="1031" max="1280" width="8.796875" style="90"/>
    <col min="1281" max="1286" width="11.69921875" style="90" customWidth="1"/>
    <col min="1287" max="1536" width="8.796875" style="90"/>
    <col min="1537" max="1542" width="11.69921875" style="90" customWidth="1"/>
    <col min="1543" max="1792" width="8.796875" style="90"/>
    <col min="1793" max="1798" width="11.69921875" style="90" customWidth="1"/>
    <col min="1799" max="2048" width="8.796875" style="90"/>
    <col min="2049" max="2054" width="11.69921875" style="90" customWidth="1"/>
    <col min="2055" max="2304" width="8.796875" style="90"/>
    <col min="2305" max="2310" width="11.69921875" style="90" customWidth="1"/>
    <col min="2311" max="2560" width="8.796875" style="90"/>
    <col min="2561" max="2566" width="11.69921875" style="90" customWidth="1"/>
    <col min="2567" max="2816" width="8.796875" style="90"/>
    <col min="2817" max="2822" width="11.69921875" style="90" customWidth="1"/>
    <col min="2823" max="3072" width="8.796875" style="90"/>
    <col min="3073" max="3078" width="11.69921875" style="90" customWidth="1"/>
    <col min="3079" max="3328" width="8.796875" style="90"/>
    <col min="3329" max="3334" width="11.69921875" style="90" customWidth="1"/>
    <col min="3335" max="3584" width="8.796875" style="90"/>
    <col min="3585" max="3590" width="11.69921875" style="90" customWidth="1"/>
    <col min="3591" max="3840" width="8.796875" style="90"/>
    <col min="3841" max="3846" width="11.69921875" style="90" customWidth="1"/>
    <col min="3847" max="4096" width="8.796875" style="90"/>
    <col min="4097" max="4102" width="11.69921875" style="90" customWidth="1"/>
    <col min="4103" max="4352" width="8.796875" style="90"/>
    <col min="4353" max="4358" width="11.69921875" style="90" customWidth="1"/>
    <col min="4359" max="4608" width="8.796875" style="90"/>
    <col min="4609" max="4614" width="11.69921875" style="90" customWidth="1"/>
    <col min="4615" max="4864" width="8.796875" style="90"/>
    <col min="4865" max="4870" width="11.69921875" style="90" customWidth="1"/>
    <col min="4871" max="5120" width="8.796875" style="90"/>
    <col min="5121" max="5126" width="11.69921875" style="90" customWidth="1"/>
    <col min="5127" max="5376" width="8.796875" style="90"/>
    <col min="5377" max="5382" width="11.69921875" style="90" customWidth="1"/>
    <col min="5383" max="5632" width="8.796875" style="90"/>
    <col min="5633" max="5638" width="11.69921875" style="90" customWidth="1"/>
    <col min="5639" max="5888" width="8.796875" style="90"/>
    <col min="5889" max="5894" width="11.69921875" style="90" customWidth="1"/>
    <col min="5895" max="6144" width="8.796875" style="90"/>
    <col min="6145" max="6150" width="11.69921875" style="90" customWidth="1"/>
    <col min="6151" max="6400" width="8.796875" style="90"/>
    <col min="6401" max="6406" width="11.69921875" style="90" customWidth="1"/>
    <col min="6407" max="6656" width="8.796875" style="90"/>
    <col min="6657" max="6662" width="11.69921875" style="90" customWidth="1"/>
    <col min="6663" max="6912" width="8.796875" style="90"/>
    <col min="6913" max="6918" width="11.69921875" style="90" customWidth="1"/>
    <col min="6919" max="7168" width="8.796875" style="90"/>
    <col min="7169" max="7174" width="11.69921875" style="90" customWidth="1"/>
    <col min="7175" max="7424" width="8.796875" style="90"/>
    <col min="7425" max="7430" width="11.69921875" style="90" customWidth="1"/>
    <col min="7431" max="7680" width="8.796875" style="90"/>
    <col min="7681" max="7686" width="11.69921875" style="90" customWidth="1"/>
    <col min="7687" max="7936" width="8.796875" style="90"/>
    <col min="7937" max="7942" width="11.69921875" style="90" customWidth="1"/>
    <col min="7943" max="8192" width="8.796875" style="90"/>
    <col min="8193" max="8198" width="11.69921875" style="90" customWidth="1"/>
    <col min="8199" max="8448" width="8.796875" style="90"/>
    <col min="8449" max="8454" width="11.69921875" style="90" customWidth="1"/>
    <col min="8455" max="8704" width="8.796875" style="90"/>
    <col min="8705" max="8710" width="11.69921875" style="90" customWidth="1"/>
    <col min="8711" max="8960" width="8.796875" style="90"/>
    <col min="8961" max="8966" width="11.69921875" style="90" customWidth="1"/>
    <col min="8967" max="9216" width="8.796875" style="90"/>
    <col min="9217" max="9222" width="11.69921875" style="90" customWidth="1"/>
    <col min="9223" max="9472" width="8.796875" style="90"/>
    <col min="9473" max="9478" width="11.69921875" style="90" customWidth="1"/>
    <col min="9479" max="9728" width="8.796875" style="90"/>
    <col min="9729" max="9734" width="11.69921875" style="90" customWidth="1"/>
    <col min="9735" max="9984" width="8.796875" style="90"/>
    <col min="9985" max="9990" width="11.69921875" style="90" customWidth="1"/>
    <col min="9991" max="10240" width="8.796875" style="90"/>
    <col min="10241" max="10246" width="11.69921875" style="90" customWidth="1"/>
    <col min="10247" max="10496" width="8.796875" style="90"/>
    <col min="10497" max="10502" width="11.69921875" style="90" customWidth="1"/>
    <col min="10503" max="10752" width="8.796875" style="90"/>
    <col min="10753" max="10758" width="11.69921875" style="90" customWidth="1"/>
    <col min="10759" max="11008" width="8.796875" style="90"/>
    <col min="11009" max="11014" width="11.69921875" style="90" customWidth="1"/>
    <col min="11015" max="11264" width="8.796875" style="90"/>
    <col min="11265" max="11270" width="11.69921875" style="90" customWidth="1"/>
    <col min="11271" max="11520" width="8.796875" style="90"/>
    <col min="11521" max="11526" width="11.69921875" style="90" customWidth="1"/>
    <col min="11527" max="11776" width="8.796875" style="90"/>
    <col min="11777" max="11782" width="11.69921875" style="90" customWidth="1"/>
    <col min="11783" max="12032" width="8.796875" style="90"/>
    <col min="12033" max="12038" width="11.69921875" style="90" customWidth="1"/>
    <col min="12039" max="12288" width="8.796875" style="90"/>
    <col min="12289" max="12294" width="11.69921875" style="90" customWidth="1"/>
    <col min="12295" max="12544" width="8.796875" style="90"/>
    <col min="12545" max="12550" width="11.69921875" style="90" customWidth="1"/>
    <col min="12551" max="12800" width="8.796875" style="90"/>
    <col min="12801" max="12806" width="11.69921875" style="90" customWidth="1"/>
    <col min="12807" max="13056" width="8.796875" style="90"/>
    <col min="13057" max="13062" width="11.69921875" style="90" customWidth="1"/>
    <col min="13063" max="13312" width="8.796875" style="90"/>
    <col min="13313" max="13318" width="11.69921875" style="90" customWidth="1"/>
    <col min="13319" max="13568" width="8.796875" style="90"/>
    <col min="13569" max="13574" width="11.69921875" style="90" customWidth="1"/>
    <col min="13575" max="13824" width="8.796875" style="90"/>
    <col min="13825" max="13830" width="11.69921875" style="90" customWidth="1"/>
    <col min="13831" max="14080" width="8.796875" style="90"/>
    <col min="14081" max="14086" width="11.69921875" style="90" customWidth="1"/>
    <col min="14087" max="14336" width="8.796875" style="90"/>
    <col min="14337" max="14342" width="11.69921875" style="90" customWidth="1"/>
    <col min="14343" max="14592" width="8.796875" style="90"/>
    <col min="14593" max="14598" width="11.69921875" style="90" customWidth="1"/>
    <col min="14599" max="14848" width="8.796875" style="90"/>
    <col min="14849" max="14854" width="11.69921875" style="90" customWidth="1"/>
    <col min="14855" max="15104" width="8.796875" style="90"/>
    <col min="15105" max="15110" width="11.69921875" style="90" customWidth="1"/>
    <col min="15111" max="15360" width="8.796875" style="90"/>
    <col min="15361" max="15366" width="11.69921875" style="90" customWidth="1"/>
    <col min="15367" max="15616" width="8.796875" style="90"/>
    <col min="15617" max="15622" width="11.69921875" style="90" customWidth="1"/>
    <col min="15623" max="15872" width="8.796875" style="90"/>
    <col min="15873" max="15878" width="11.69921875" style="90" customWidth="1"/>
    <col min="15879" max="16128" width="8.796875" style="90"/>
    <col min="16129" max="16134" width="11.69921875" style="90" customWidth="1"/>
    <col min="16135" max="16384" width="8.796875" style="90"/>
  </cols>
  <sheetData>
    <row r="1" spans="1:6" ht="18.95" customHeight="1">
      <c r="A1" s="566"/>
      <c r="B1" s="567"/>
      <c r="C1" s="567"/>
      <c r="D1" s="567"/>
      <c r="E1" s="567"/>
      <c r="F1" s="568"/>
    </row>
    <row r="2" spans="1:6" ht="26.1" customHeight="1">
      <c r="A2" s="569" t="s">
        <v>62</v>
      </c>
      <c r="B2" s="570"/>
      <c r="C2" s="570"/>
      <c r="D2" s="570"/>
      <c r="E2" s="570"/>
      <c r="F2" s="571"/>
    </row>
    <row r="3" spans="1:6" ht="18.95" customHeight="1">
      <c r="A3" s="572" t="s">
        <v>567</v>
      </c>
      <c r="B3" s="570"/>
      <c r="C3" s="570"/>
      <c r="D3" s="570"/>
      <c r="E3" s="570"/>
      <c r="F3" s="571"/>
    </row>
    <row r="4" spans="1:6" ht="18.95" customHeight="1">
      <c r="A4" s="573"/>
      <c r="B4" s="574"/>
      <c r="C4" s="574"/>
      <c r="D4" s="574"/>
      <c r="E4" s="574"/>
      <c r="F4" s="575"/>
    </row>
    <row r="5" spans="1:6" ht="18.95" customHeight="1">
      <c r="A5" s="573"/>
      <c r="B5" s="574"/>
      <c r="C5" s="574"/>
      <c r="D5" s="574"/>
      <c r="E5" s="574"/>
      <c r="F5" s="575"/>
    </row>
    <row r="6" spans="1:6" ht="18.95" customHeight="1">
      <c r="A6" s="576" t="s">
        <v>568</v>
      </c>
      <c r="B6" s="704" t="str">
        <f>'Performance Data Sheet'!C17</f>
        <v>A1-10138469</v>
      </c>
      <c r="C6" s="705"/>
      <c r="D6" s="706"/>
      <c r="E6" s="576" t="s">
        <v>569</v>
      </c>
      <c r="F6" s="577" t="str">
        <f>'Performance Data Sheet'!I14 &amp; " A"</f>
        <v>123 A</v>
      </c>
    </row>
    <row r="7" spans="1:6" ht="18.95" customHeight="1">
      <c r="A7" s="576" t="s">
        <v>570</v>
      </c>
      <c r="B7" s="577" t="str">
        <f>'Performance Data Sheet'!F14</f>
        <v>TEFC</v>
      </c>
      <c r="C7" s="576" t="s">
        <v>571</v>
      </c>
      <c r="D7" s="577" t="str">
        <f>'Performance Data Sheet'!F13 &amp; " V"</f>
        <v>4000 V</v>
      </c>
      <c r="E7" s="576" t="s">
        <v>572</v>
      </c>
      <c r="F7" s="577" t="str">
        <f>'Performance Data Sheet'!C14</f>
        <v>5812USS</v>
      </c>
    </row>
    <row r="8" spans="1:6" ht="18.95" customHeight="1">
      <c r="A8" s="576" t="s">
        <v>573</v>
      </c>
      <c r="B8" s="577">
        <v>2</v>
      </c>
      <c r="C8" s="576" t="s">
        <v>574</v>
      </c>
      <c r="D8" s="577" t="s">
        <v>575</v>
      </c>
      <c r="E8" s="576" t="s">
        <v>576</v>
      </c>
      <c r="F8" s="577" t="s">
        <v>22</v>
      </c>
    </row>
    <row r="9" spans="1:6" ht="18.95" customHeight="1">
      <c r="A9" s="576" t="s">
        <v>577</v>
      </c>
      <c r="B9" s="577">
        <v>1000</v>
      </c>
      <c r="C9" s="576" t="s">
        <v>578</v>
      </c>
      <c r="D9" s="577" t="s">
        <v>579</v>
      </c>
      <c r="E9" s="576" t="s">
        <v>122</v>
      </c>
      <c r="F9" s="578">
        <f>'Performance Data Sheet'!K44</f>
        <v>45512</v>
      </c>
    </row>
    <row r="10" spans="1:6" ht="18.95" customHeight="1">
      <c r="A10" s="576" t="s">
        <v>33</v>
      </c>
      <c r="B10" s="577">
        <v>3580</v>
      </c>
      <c r="C10" s="576" t="s">
        <v>387</v>
      </c>
      <c r="D10" s="577" t="s">
        <v>580</v>
      </c>
      <c r="E10" s="576" t="s">
        <v>120</v>
      </c>
      <c r="F10" s="577" t="s">
        <v>96</v>
      </c>
    </row>
    <row r="11" spans="1:6" ht="18.95" customHeight="1">
      <c r="A11" s="573"/>
      <c r="B11" s="574"/>
      <c r="C11" s="574"/>
      <c r="D11" s="574"/>
      <c r="E11" s="574"/>
      <c r="F11" s="575"/>
    </row>
    <row r="12" spans="1:6" ht="18.95" customHeight="1">
      <c r="A12" s="573"/>
      <c r="B12" s="579" t="s">
        <v>581</v>
      </c>
      <c r="C12" s="580" t="str">
        <f>'Performance Data Sheet'!D22 &amp; " A"</f>
        <v>762 A</v>
      </c>
      <c r="D12" s="579" t="s">
        <v>385</v>
      </c>
      <c r="E12" s="580" t="s">
        <v>386</v>
      </c>
      <c r="F12" s="575"/>
    </row>
    <row r="13" spans="1:6" ht="18.95" customHeight="1">
      <c r="A13" s="573"/>
      <c r="B13" s="579" t="s">
        <v>582</v>
      </c>
      <c r="C13" s="581">
        <v>0.9</v>
      </c>
      <c r="D13" s="579" t="s">
        <v>583</v>
      </c>
      <c r="E13" s="580" t="s">
        <v>584</v>
      </c>
      <c r="F13" s="575"/>
    </row>
    <row r="14" spans="1:6" ht="18.95" customHeight="1">
      <c r="A14" s="573"/>
      <c r="B14" s="579" t="s">
        <v>585</v>
      </c>
      <c r="C14" s="581">
        <v>2.15</v>
      </c>
      <c r="D14" s="579" t="s">
        <v>389</v>
      </c>
      <c r="E14" s="580" t="s">
        <v>586</v>
      </c>
      <c r="F14" s="575"/>
    </row>
    <row r="15" spans="1:6" ht="18.95" customHeight="1">
      <c r="A15" s="573"/>
      <c r="B15" s="579" t="s">
        <v>391</v>
      </c>
      <c r="C15" s="580" t="s">
        <v>587</v>
      </c>
      <c r="D15" s="574"/>
      <c r="E15" s="574"/>
      <c r="F15" s="575"/>
    </row>
    <row r="16" spans="1:6" ht="18.95" customHeight="1">
      <c r="A16" s="573"/>
      <c r="B16" s="574"/>
      <c r="C16" s="574"/>
      <c r="D16" s="574"/>
      <c r="E16" s="574"/>
      <c r="F16" s="575"/>
    </row>
    <row r="17" spans="1:6" ht="18.95" customHeight="1">
      <c r="A17" s="573"/>
      <c r="B17" s="574"/>
      <c r="C17" s="574"/>
      <c r="D17" s="574"/>
      <c r="E17" s="574"/>
      <c r="F17" s="575"/>
    </row>
    <row r="18" spans="1:6" ht="18.95" customHeight="1">
      <c r="A18" s="573"/>
      <c r="B18" s="574"/>
      <c r="C18" s="574"/>
      <c r="D18" s="574"/>
      <c r="E18" s="574"/>
      <c r="F18" s="575"/>
    </row>
    <row r="19" spans="1:6" ht="18.95" customHeight="1">
      <c r="A19" s="573"/>
      <c r="B19" s="574"/>
      <c r="C19" s="574"/>
      <c r="D19" s="574"/>
      <c r="E19" s="574"/>
      <c r="F19" s="575"/>
    </row>
    <row r="20" spans="1:6" ht="18.95" customHeight="1">
      <c r="A20" s="573"/>
      <c r="B20" s="574"/>
      <c r="C20" s="574"/>
      <c r="D20" s="574"/>
      <c r="E20" s="574"/>
      <c r="F20" s="575"/>
    </row>
    <row r="21" spans="1:6" ht="18.95" customHeight="1">
      <c r="A21" s="573"/>
      <c r="B21" s="574"/>
      <c r="C21" s="574"/>
      <c r="D21" s="574"/>
      <c r="E21" s="574"/>
      <c r="F21" s="575"/>
    </row>
    <row r="22" spans="1:6" ht="18.95" customHeight="1">
      <c r="A22" s="573"/>
      <c r="B22" s="574"/>
      <c r="C22" s="574"/>
      <c r="D22" s="574"/>
      <c r="E22" s="574"/>
      <c r="F22" s="575"/>
    </row>
    <row r="23" spans="1:6" ht="18.95" customHeight="1">
      <c r="A23" s="573"/>
      <c r="B23" s="574"/>
      <c r="C23" s="574"/>
      <c r="D23" s="574"/>
      <c r="E23" s="574"/>
      <c r="F23" s="575"/>
    </row>
    <row r="24" spans="1:6" ht="18.95" customHeight="1">
      <c r="A24" s="573"/>
      <c r="B24" s="574"/>
      <c r="C24" s="574"/>
      <c r="D24" s="574"/>
      <c r="E24" s="574"/>
      <c r="F24" s="575"/>
    </row>
    <row r="25" spans="1:6" ht="18.95" customHeight="1">
      <c r="A25" s="573"/>
      <c r="B25" s="574"/>
      <c r="C25" s="574"/>
      <c r="D25" s="574"/>
      <c r="E25" s="574"/>
      <c r="F25" s="575"/>
    </row>
    <row r="26" spans="1:6" ht="18.95" customHeight="1">
      <c r="A26" s="573"/>
      <c r="B26" s="574"/>
      <c r="C26" s="574"/>
      <c r="D26" s="574"/>
      <c r="E26" s="574"/>
      <c r="F26" s="575"/>
    </row>
    <row r="27" spans="1:6" ht="18.95" customHeight="1">
      <c r="A27" s="573"/>
      <c r="B27" s="574"/>
      <c r="C27" s="574"/>
      <c r="D27" s="574"/>
      <c r="E27" s="574"/>
      <c r="F27" s="575"/>
    </row>
    <row r="28" spans="1:6" ht="18.95" customHeight="1">
      <c r="A28" s="573"/>
      <c r="B28" s="574"/>
      <c r="C28" s="574"/>
      <c r="D28" s="574"/>
      <c r="E28" s="574"/>
      <c r="F28" s="575"/>
    </row>
    <row r="29" spans="1:6" ht="18.95" customHeight="1">
      <c r="A29" s="573"/>
      <c r="B29" s="574"/>
      <c r="C29" s="574"/>
      <c r="D29" s="574"/>
      <c r="E29" s="574"/>
      <c r="F29" s="575"/>
    </row>
    <row r="30" spans="1:6" ht="18.95" customHeight="1">
      <c r="A30" s="573"/>
      <c r="B30" s="574"/>
      <c r="C30" s="574"/>
      <c r="D30" s="574"/>
      <c r="E30" s="574"/>
      <c r="F30" s="575"/>
    </row>
    <row r="31" spans="1:6" ht="18.95" customHeight="1">
      <c r="A31" s="573"/>
      <c r="B31" s="574"/>
      <c r="C31" s="574"/>
      <c r="D31" s="574"/>
      <c r="E31" s="574"/>
      <c r="F31" s="575"/>
    </row>
    <row r="32" spans="1:6" ht="18.95" customHeight="1">
      <c r="A32" s="573"/>
      <c r="B32" s="574"/>
      <c r="C32" s="574"/>
      <c r="D32" s="574"/>
      <c r="E32" s="574"/>
      <c r="F32" s="575"/>
    </row>
    <row r="33" spans="1:6" ht="18.95" customHeight="1">
      <c r="A33" s="573"/>
      <c r="B33" s="574"/>
      <c r="C33" s="574"/>
      <c r="D33" s="574"/>
      <c r="E33" s="574"/>
      <c r="F33" s="575"/>
    </row>
    <row r="34" spans="1:6" ht="18.95" customHeight="1">
      <c r="A34" s="573"/>
      <c r="B34" s="574"/>
      <c r="C34" s="574"/>
      <c r="D34" s="574"/>
      <c r="E34" s="574"/>
      <c r="F34" s="575"/>
    </row>
    <row r="35" spans="1:6" ht="18.95" customHeight="1">
      <c r="A35" s="573"/>
      <c r="B35" s="574"/>
      <c r="C35" s="574"/>
      <c r="D35" s="574"/>
      <c r="E35" s="574"/>
      <c r="F35" s="575"/>
    </row>
    <row r="36" spans="1:6" ht="18.95" customHeight="1">
      <c r="A36" s="573"/>
      <c r="B36" s="574"/>
      <c r="C36" s="574"/>
      <c r="D36" s="574"/>
      <c r="E36" s="574"/>
      <c r="F36" s="575"/>
    </row>
    <row r="37" spans="1:6" ht="18.95" customHeight="1">
      <c r="A37" s="573"/>
      <c r="B37" s="574"/>
      <c r="C37" s="574"/>
      <c r="D37" s="574"/>
      <c r="E37" s="574"/>
      <c r="F37" s="575"/>
    </row>
    <row r="38" spans="1:6" ht="18.95" customHeight="1">
      <c r="A38" s="573"/>
      <c r="B38" s="574"/>
      <c r="C38" s="574"/>
      <c r="D38" s="574"/>
      <c r="E38" s="574"/>
      <c r="F38" s="575"/>
    </row>
    <row r="39" spans="1:6" ht="18.95" customHeight="1">
      <c r="A39" s="582" t="s">
        <v>588</v>
      </c>
      <c r="B39" s="583" t="s">
        <v>589</v>
      </c>
      <c r="C39" s="584" t="str">
        <f>'Performance Data Sheet'!C10</f>
        <v>2338072.1</v>
      </c>
      <c r="D39" s="574"/>
      <c r="E39" s="579" t="s">
        <v>590</v>
      </c>
      <c r="F39" s="585" t="str">
        <f>F10</f>
        <v>BS2M20U</v>
      </c>
    </row>
    <row r="40" spans="1:6" ht="18.95" customHeight="1">
      <c r="A40" s="573"/>
      <c r="B40" s="583"/>
      <c r="C40" s="583"/>
      <c r="D40" s="574"/>
      <c r="E40" s="574"/>
      <c r="F40" s="575"/>
    </row>
    <row r="41" spans="1:6" ht="18.95" customHeight="1">
      <c r="A41" s="573"/>
      <c r="B41" s="583"/>
      <c r="C41" s="583"/>
      <c r="D41" s="574"/>
      <c r="E41" s="574"/>
      <c r="F41" s="575"/>
    </row>
    <row r="42" spans="1:6" ht="18.95" customHeight="1">
      <c r="A42" s="573"/>
      <c r="B42" s="574"/>
      <c r="C42" s="574"/>
      <c r="D42" s="574"/>
      <c r="E42" s="574"/>
      <c r="F42" s="575"/>
    </row>
    <row r="43" spans="1:6" ht="18.95" customHeight="1">
      <c r="A43" s="586"/>
      <c r="B43" s="583"/>
      <c r="C43" s="587" t="s">
        <v>591</v>
      </c>
      <c r="D43" s="588" t="str">
        <f>'Performance Data Sheet'!K42</f>
        <v>Jerry R</v>
      </c>
      <c r="E43" s="587" t="s">
        <v>592</v>
      </c>
      <c r="F43" s="588"/>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342" t="s">
        <v>393</v>
      </c>
      <c r="E53" s="342" t="s">
        <v>394</v>
      </c>
      <c r="F53" s="342" t="s">
        <v>395</v>
      </c>
      <c r="G53" s="342"/>
      <c r="H53" s="342"/>
      <c r="I53" s="342"/>
      <c r="J53" s="342"/>
      <c r="K53" s="342"/>
      <c r="L53" s="342"/>
    </row>
    <row r="54" spans="1:12" ht="15" customHeight="1">
      <c r="A54" s="589">
        <v>100</v>
      </c>
      <c r="B54" s="342">
        <v>0</v>
      </c>
      <c r="C54" s="342">
        <v>0.24071086943149567</v>
      </c>
      <c r="D54" s="342">
        <v>100</v>
      </c>
      <c r="E54" s="342">
        <v>0</v>
      </c>
      <c r="F54" s="342">
        <v>23.685949325561523</v>
      </c>
      <c r="G54" s="342"/>
      <c r="H54" s="342"/>
      <c r="I54" s="342"/>
      <c r="J54" s="342"/>
      <c r="K54" s="342"/>
      <c r="L54" s="342"/>
    </row>
    <row r="55" spans="1:12" ht="15" customHeight="1">
      <c r="A55" s="589">
        <v>99.200000055134296</v>
      </c>
      <c r="B55" s="342">
        <v>114.60710446552416</v>
      </c>
      <c r="C55" s="342">
        <v>161.61099243164063</v>
      </c>
      <c r="D55" s="342">
        <v>98.400001525878906</v>
      </c>
      <c r="E55" s="342">
        <v>73.348547107832005</v>
      </c>
      <c r="F55" s="342">
        <v>129.28880310058594</v>
      </c>
      <c r="G55" s="342"/>
      <c r="H55" s="342"/>
      <c r="I55" s="342"/>
      <c r="J55" s="342"/>
      <c r="K55" s="342"/>
      <c r="L55" s="342"/>
    </row>
    <row r="56" spans="1:12" ht="15" customHeight="1">
      <c r="A56" s="589">
        <v>96.000000089406967</v>
      </c>
      <c r="B56" s="342">
        <v>215</v>
      </c>
      <c r="C56" s="342">
        <v>479.38034057617188</v>
      </c>
      <c r="D56" s="342">
        <v>89.75</v>
      </c>
      <c r="E56" s="342">
        <v>137.60000410079959</v>
      </c>
      <c r="F56" s="342">
        <v>383.5042724609375</v>
      </c>
      <c r="G56" s="342"/>
      <c r="H56" s="342"/>
      <c r="I56" s="342"/>
      <c r="J56" s="342"/>
      <c r="K56" s="342"/>
      <c r="L56" s="342"/>
    </row>
    <row r="57" spans="1:12">
      <c r="A57" s="589">
        <v>90.857142955064774</v>
      </c>
      <c r="B57" s="342">
        <v>142.315792038182</v>
      </c>
      <c r="C57" s="342">
        <v>559.437744140625</v>
      </c>
      <c r="D57" s="342">
        <v>76.228569030761719</v>
      </c>
      <c r="E57" s="342">
        <v>91.082112089458406</v>
      </c>
      <c r="F57" s="342">
        <v>447.55020141601563</v>
      </c>
      <c r="G57" s="342"/>
      <c r="H57" s="342"/>
      <c r="I57" s="342"/>
      <c r="J57" s="342"/>
      <c r="K57" s="342"/>
      <c r="L57" s="342"/>
    </row>
    <row r="58" spans="1:12">
      <c r="A58" s="589">
        <v>85.71428507566452</v>
      </c>
      <c r="B58" s="342">
        <v>112.00327542538528</v>
      </c>
      <c r="C58" s="342">
        <v>580.2640380859375</v>
      </c>
      <c r="D58" s="342">
        <v>62.857139587402344</v>
      </c>
      <c r="E58" s="342">
        <v>71.682096862855417</v>
      </c>
      <c r="F58" s="342">
        <v>464.21124267578125</v>
      </c>
      <c r="G58" s="342"/>
      <c r="H58" s="342"/>
      <c r="I58" s="342"/>
      <c r="J58" s="342"/>
      <c r="K58" s="342"/>
      <c r="L58" s="342"/>
    </row>
    <row r="59" spans="1:12">
      <c r="A59" s="589">
        <v>80.571427941322327</v>
      </c>
      <c r="B59" s="342">
        <v>100.00378216814427</v>
      </c>
      <c r="C59" s="342">
        <v>588.593505859375</v>
      </c>
      <c r="D59" s="342">
        <v>51.25714111328125</v>
      </c>
      <c r="E59" s="342">
        <v>64.00242378242082</v>
      </c>
      <c r="F59" s="342">
        <v>470.87481689453125</v>
      </c>
      <c r="G59" s="342"/>
      <c r="H59" s="342"/>
      <c r="I59" s="342"/>
      <c r="J59" s="342"/>
      <c r="K59" s="342"/>
      <c r="L59" s="342"/>
    </row>
    <row r="60" spans="1:12">
      <c r="A60" s="589">
        <v>70.285713672637939</v>
      </c>
      <c r="B60" s="342">
        <v>92.830879605153271</v>
      </c>
      <c r="C60" s="342">
        <v>596.08807373046875</v>
      </c>
      <c r="D60" s="342">
        <v>33.485713958740234</v>
      </c>
      <c r="E60" s="342">
        <v>59.411764465921017</v>
      </c>
      <c r="F60" s="342">
        <v>476.87045288085938</v>
      </c>
      <c r="G60" s="342"/>
      <c r="H60" s="342"/>
      <c r="I60" s="342"/>
      <c r="J60" s="342"/>
      <c r="K60" s="342"/>
      <c r="L60" s="342"/>
    </row>
    <row r="61" spans="1:12">
      <c r="A61" s="589">
        <v>59.999999403953552</v>
      </c>
      <c r="B61" s="342">
        <v>90</v>
      </c>
      <c r="C61" s="342">
        <v>600.76458740234375</v>
      </c>
      <c r="D61" s="342">
        <v>22</v>
      </c>
      <c r="E61" s="342">
        <v>57.600001716613782</v>
      </c>
      <c r="F61" s="342">
        <v>480.61166381835938</v>
      </c>
      <c r="G61" s="342"/>
      <c r="H61" s="342"/>
      <c r="I61" s="342"/>
      <c r="J61" s="342"/>
      <c r="K61" s="342"/>
      <c r="L61" s="342"/>
    </row>
    <row r="62" spans="1:12">
      <c r="A62" s="589">
        <v>50</v>
      </c>
      <c r="B62" s="342">
        <v>90.02078476838183</v>
      </c>
      <c r="C62" s="342">
        <v>604.8375244140625</v>
      </c>
      <c r="D62" s="342">
        <v>14</v>
      </c>
      <c r="E62" s="342">
        <v>57.613302498260175</v>
      </c>
      <c r="F62" s="342">
        <v>483.87002563476563</v>
      </c>
      <c r="G62" s="342"/>
      <c r="H62" s="342"/>
      <c r="I62" s="342"/>
      <c r="J62" s="342"/>
      <c r="K62" s="342"/>
      <c r="L62" s="342"/>
    </row>
    <row r="63" spans="1:12">
      <c r="A63" s="589">
        <v>39.999997615814209</v>
      </c>
      <c r="B63" s="342">
        <v>90.028457593169023</v>
      </c>
      <c r="C63" s="342">
        <v>608.53704833984375</v>
      </c>
      <c r="D63" s="342">
        <v>7.9999995231628418</v>
      </c>
      <c r="E63" s="342">
        <v>57.618214607781567</v>
      </c>
      <c r="F63" s="342">
        <v>486.82965087890625</v>
      </c>
      <c r="G63" s="342"/>
      <c r="H63" s="342"/>
      <c r="I63" s="342"/>
      <c r="J63" s="342"/>
      <c r="K63" s="342"/>
      <c r="L63" s="342"/>
    </row>
    <row r="64" spans="1:12">
      <c r="A64" s="589">
        <v>30.000001192092896</v>
      </c>
      <c r="B64" s="342">
        <v>90.037953766639248</v>
      </c>
      <c r="C64" s="342">
        <v>611.83990478515625</v>
      </c>
      <c r="D64" s="342">
        <v>5.9999995231628418</v>
      </c>
      <c r="E64" s="342">
        <v>57.62429370952524</v>
      </c>
      <c r="F64" s="342">
        <v>489.471923828125</v>
      </c>
      <c r="G64" s="342"/>
      <c r="H64" s="342"/>
      <c r="I64" s="342"/>
      <c r="J64" s="342"/>
      <c r="K64" s="342"/>
      <c r="L64" s="342"/>
    </row>
    <row r="65" spans="1:12">
      <c r="A65" s="589">
        <v>19.999998807907104</v>
      </c>
      <c r="B65" s="342">
        <v>90.05067329927688</v>
      </c>
      <c r="C65" s="342">
        <v>614.7445068359375</v>
      </c>
      <c r="D65" s="342">
        <v>8.0000009536743164</v>
      </c>
      <c r="E65" s="342">
        <v>57.632433358205319</v>
      </c>
      <c r="F65" s="342">
        <v>491.79562377929688</v>
      </c>
      <c r="G65" s="342"/>
      <c r="H65" s="342"/>
      <c r="I65" s="342"/>
      <c r="J65" s="342"/>
      <c r="K65" s="342"/>
      <c r="L65" s="342"/>
    </row>
    <row r="66" spans="1:12">
      <c r="A66" s="589">
        <v>10.000002384185791</v>
      </c>
      <c r="B66" s="342">
        <v>90.068846679823821</v>
      </c>
      <c r="C66" s="342">
        <v>617.28521728515625</v>
      </c>
      <c r="D66" s="342">
        <v>14.999996185302734</v>
      </c>
      <c r="E66" s="342">
        <v>57.644064217926946</v>
      </c>
      <c r="F66" s="342">
        <v>493.82818603515625</v>
      </c>
      <c r="G66" s="342"/>
      <c r="H66" s="342"/>
      <c r="I66" s="342"/>
      <c r="J66" s="342"/>
      <c r="K66" s="342"/>
      <c r="L66" s="342"/>
    </row>
    <row r="67" spans="1:12">
      <c r="A67" s="590">
        <v>0</v>
      </c>
      <c r="B67" s="342">
        <v>90</v>
      </c>
      <c r="C67" s="342">
        <v>619.51220703125</v>
      </c>
      <c r="D67" s="342">
        <v>30</v>
      </c>
      <c r="E67" s="342">
        <v>57.600001716613782</v>
      </c>
      <c r="F67" s="342">
        <v>495.60977172851563</v>
      </c>
      <c r="G67" s="342"/>
      <c r="H67" s="342"/>
      <c r="I67" s="342"/>
      <c r="J67" s="342"/>
      <c r="K67" s="342"/>
      <c r="L67" s="342"/>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05EEF-322D-4A37-83E8-79076AC89B3A}">
  <sheetPr>
    <pageSetUpPr fitToPage="1"/>
  </sheetPr>
  <dimension ref="A1:I81"/>
  <sheetViews>
    <sheetView topLeftCell="A38" workbookViewId="0">
      <selection activeCell="C69" sqref="C69"/>
    </sheetView>
  </sheetViews>
  <sheetFormatPr defaultRowHeight="12.75"/>
  <cols>
    <col min="1" max="6" width="11.69921875" style="90" customWidth="1"/>
    <col min="7" max="256" width="8.796875" style="90"/>
    <col min="257" max="262" width="11.69921875" style="90" customWidth="1"/>
    <col min="263" max="512" width="8.796875" style="90"/>
    <col min="513" max="518" width="11.69921875" style="90" customWidth="1"/>
    <col min="519" max="768" width="8.796875" style="90"/>
    <col min="769" max="774" width="11.69921875" style="90" customWidth="1"/>
    <col min="775" max="1024" width="8.796875" style="90"/>
    <col min="1025" max="1030" width="11.69921875" style="90" customWidth="1"/>
    <col min="1031" max="1280" width="8.796875" style="90"/>
    <col min="1281" max="1286" width="11.69921875" style="90" customWidth="1"/>
    <col min="1287" max="1536" width="8.796875" style="90"/>
    <col min="1537" max="1542" width="11.69921875" style="90" customWidth="1"/>
    <col min="1543" max="1792" width="8.796875" style="90"/>
    <col min="1793" max="1798" width="11.69921875" style="90" customWidth="1"/>
    <col min="1799" max="2048" width="8.796875" style="90"/>
    <col min="2049" max="2054" width="11.69921875" style="90" customWidth="1"/>
    <col min="2055" max="2304" width="8.796875" style="90"/>
    <col min="2305" max="2310" width="11.69921875" style="90" customWidth="1"/>
    <col min="2311" max="2560" width="8.796875" style="90"/>
    <col min="2561" max="2566" width="11.69921875" style="90" customWidth="1"/>
    <col min="2567" max="2816" width="8.796875" style="90"/>
    <col min="2817" max="2822" width="11.69921875" style="90" customWidth="1"/>
    <col min="2823" max="3072" width="8.796875" style="90"/>
    <col min="3073" max="3078" width="11.69921875" style="90" customWidth="1"/>
    <col min="3079" max="3328" width="8.796875" style="90"/>
    <col min="3329" max="3334" width="11.69921875" style="90" customWidth="1"/>
    <col min="3335" max="3584" width="8.796875" style="90"/>
    <col min="3585" max="3590" width="11.69921875" style="90" customWidth="1"/>
    <col min="3591" max="3840" width="8.796875" style="90"/>
    <col min="3841" max="3846" width="11.69921875" style="90" customWidth="1"/>
    <col min="3847" max="4096" width="8.796875" style="90"/>
    <col min="4097" max="4102" width="11.69921875" style="90" customWidth="1"/>
    <col min="4103" max="4352" width="8.796875" style="90"/>
    <col min="4353" max="4358" width="11.69921875" style="90" customWidth="1"/>
    <col min="4359" max="4608" width="8.796875" style="90"/>
    <col min="4609" max="4614" width="11.69921875" style="90" customWidth="1"/>
    <col min="4615" max="4864" width="8.796875" style="90"/>
    <col min="4865" max="4870" width="11.69921875" style="90" customWidth="1"/>
    <col min="4871" max="5120" width="8.796875" style="90"/>
    <col min="5121" max="5126" width="11.69921875" style="90" customWidth="1"/>
    <col min="5127" max="5376" width="8.796875" style="90"/>
    <col min="5377" max="5382" width="11.69921875" style="90" customWidth="1"/>
    <col min="5383" max="5632" width="8.796875" style="90"/>
    <col min="5633" max="5638" width="11.69921875" style="90" customWidth="1"/>
    <col min="5639" max="5888" width="8.796875" style="90"/>
    <col min="5889" max="5894" width="11.69921875" style="90" customWidth="1"/>
    <col min="5895" max="6144" width="8.796875" style="90"/>
    <col min="6145" max="6150" width="11.69921875" style="90" customWidth="1"/>
    <col min="6151" max="6400" width="8.796875" style="90"/>
    <col min="6401" max="6406" width="11.69921875" style="90" customWidth="1"/>
    <col min="6407" max="6656" width="8.796875" style="90"/>
    <col min="6657" max="6662" width="11.69921875" style="90" customWidth="1"/>
    <col min="6663" max="6912" width="8.796875" style="90"/>
    <col min="6913" max="6918" width="11.69921875" style="90" customWidth="1"/>
    <col min="6919" max="7168" width="8.796875" style="90"/>
    <col min="7169" max="7174" width="11.69921875" style="90" customWidth="1"/>
    <col min="7175" max="7424" width="8.796875" style="90"/>
    <col min="7425" max="7430" width="11.69921875" style="90" customWidth="1"/>
    <col min="7431" max="7680" width="8.796875" style="90"/>
    <col min="7681" max="7686" width="11.69921875" style="90" customWidth="1"/>
    <col min="7687" max="7936" width="8.796875" style="90"/>
    <col min="7937" max="7942" width="11.69921875" style="90" customWidth="1"/>
    <col min="7943" max="8192" width="8.796875" style="90"/>
    <col min="8193" max="8198" width="11.69921875" style="90" customWidth="1"/>
    <col min="8199" max="8448" width="8.796875" style="90"/>
    <col min="8449" max="8454" width="11.69921875" style="90" customWidth="1"/>
    <col min="8455" max="8704" width="8.796875" style="90"/>
    <col min="8705" max="8710" width="11.69921875" style="90" customWidth="1"/>
    <col min="8711" max="8960" width="8.796875" style="90"/>
    <col min="8961" max="8966" width="11.69921875" style="90" customWidth="1"/>
    <col min="8967" max="9216" width="8.796875" style="90"/>
    <col min="9217" max="9222" width="11.69921875" style="90" customWidth="1"/>
    <col min="9223" max="9472" width="8.796875" style="90"/>
    <col min="9473" max="9478" width="11.69921875" style="90" customWidth="1"/>
    <col min="9479" max="9728" width="8.796875" style="90"/>
    <col min="9729" max="9734" width="11.69921875" style="90" customWidth="1"/>
    <col min="9735" max="9984" width="8.796875" style="90"/>
    <col min="9985" max="9990" width="11.69921875" style="90" customWidth="1"/>
    <col min="9991" max="10240" width="8.796875" style="90"/>
    <col min="10241" max="10246" width="11.69921875" style="90" customWidth="1"/>
    <col min="10247" max="10496" width="8.796875" style="90"/>
    <col min="10497" max="10502" width="11.69921875" style="90" customWidth="1"/>
    <col min="10503" max="10752" width="8.796875" style="90"/>
    <col min="10753" max="10758" width="11.69921875" style="90" customWidth="1"/>
    <col min="10759" max="11008" width="8.796875" style="90"/>
    <col min="11009" max="11014" width="11.69921875" style="90" customWidth="1"/>
    <col min="11015" max="11264" width="8.796875" style="90"/>
    <col min="11265" max="11270" width="11.69921875" style="90" customWidth="1"/>
    <col min="11271" max="11520" width="8.796875" style="90"/>
    <col min="11521" max="11526" width="11.69921875" style="90" customWidth="1"/>
    <col min="11527" max="11776" width="8.796875" style="90"/>
    <col min="11777" max="11782" width="11.69921875" style="90" customWidth="1"/>
    <col min="11783" max="12032" width="8.796875" style="90"/>
    <col min="12033" max="12038" width="11.69921875" style="90" customWidth="1"/>
    <col min="12039" max="12288" width="8.796875" style="90"/>
    <col min="12289" max="12294" width="11.69921875" style="90" customWidth="1"/>
    <col min="12295" max="12544" width="8.796875" style="90"/>
    <col min="12545" max="12550" width="11.69921875" style="90" customWidth="1"/>
    <col min="12551" max="12800" width="8.796875" style="90"/>
    <col min="12801" max="12806" width="11.69921875" style="90" customWidth="1"/>
    <col min="12807" max="13056" width="8.796875" style="90"/>
    <col min="13057" max="13062" width="11.69921875" style="90" customWidth="1"/>
    <col min="13063" max="13312" width="8.796875" style="90"/>
    <col min="13313" max="13318" width="11.69921875" style="90" customWidth="1"/>
    <col min="13319" max="13568" width="8.796875" style="90"/>
    <col min="13569" max="13574" width="11.69921875" style="90" customWidth="1"/>
    <col min="13575" max="13824" width="8.796875" style="90"/>
    <col min="13825" max="13830" width="11.69921875" style="90" customWidth="1"/>
    <col min="13831" max="14080" width="8.796875" style="90"/>
    <col min="14081" max="14086" width="11.69921875" style="90" customWidth="1"/>
    <col min="14087" max="14336" width="8.796875" style="90"/>
    <col min="14337" max="14342" width="11.69921875" style="90" customWidth="1"/>
    <col min="14343" max="14592" width="8.796875" style="90"/>
    <col min="14593" max="14598" width="11.69921875" style="90" customWidth="1"/>
    <col min="14599" max="14848" width="8.796875" style="90"/>
    <col min="14849" max="14854" width="11.69921875" style="90" customWidth="1"/>
    <col min="14855" max="15104" width="8.796875" style="90"/>
    <col min="15105" max="15110" width="11.69921875" style="90" customWidth="1"/>
    <col min="15111" max="15360" width="8.796875" style="90"/>
    <col min="15361" max="15366" width="11.69921875" style="90" customWidth="1"/>
    <col min="15367" max="15616" width="8.796875" style="90"/>
    <col min="15617" max="15622" width="11.69921875" style="90" customWidth="1"/>
    <col min="15623" max="15872" width="8.796875" style="90"/>
    <col min="15873" max="15878" width="11.69921875" style="90" customWidth="1"/>
    <col min="15879" max="16128" width="8.796875" style="90"/>
    <col min="16129" max="16134" width="11.69921875" style="90" customWidth="1"/>
    <col min="16135" max="16384" width="8.796875" style="90"/>
  </cols>
  <sheetData>
    <row r="1" spans="1:6" ht="18.95" customHeight="1">
      <c r="A1" s="566"/>
      <c r="B1" s="567"/>
      <c r="C1" s="567"/>
      <c r="D1" s="567"/>
      <c r="E1" s="567"/>
      <c r="F1" s="568"/>
    </row>
    <row r="2" spans="1:6" ht="26.1" customHeight="1">
      <c r="A2" s="569" t="s">
        <v>62</v>
      </c>
      <c r="B2" s="570"/>
      <c r="C2" s="570"/>
      <c r="D2" s="570"/>
      <c r="E2" s="570"/>
      <c r="F2" s="571"/>
    </row>
    <row r="3" spans="1:6" ht="18.95" customHeight="1">
      <c r="A3" s="707" t="s">
        <v>593</v>
      </c>
      <c r="B3" s="708"/>
      <c r="C3" s="708"/>
      <c r="D3" s="708"/>
      <c r="E3" s="708"/>
      <c r="F3" s="709"/>
    </row>
    <row r="4" spans="1:6" ht="18.95" customHeight="1">
      <c r="A4" s="710" t="s">
        <v>594</v>
      </c>
      <c r="B4" s="711"/>
      <c r="C4" s="711"/>
      <c r="D4" s="711"/>
      <c r="E4" s="711"/>
      <c r="F4" s="712"/>
    </row>
    <row r="5" spans="1:6" ht="18.95" customHeight="1">
      <c r="A5" s="573"/>
      <c r="B5" s="574"/>
      <c r="C5" s="574"/>
      <c r="D5" s="574"/>
      <c r="E5" s="574"/>
      <c r="F5" s="575"/>
    </row>
    <row r="6" spans="1:6" ht="18.95" customHeight="1">
      <c r="A6" s="576" t="s">
        <v>568</v>
      </c>
      <c r="B6" s="704" t="str">
        <f>'Performance Data Sheet'!C17</f>
        <v>A1-10138469</v>
      </c>
      <c r="C6" s="705"/>
      <c r="D6" s="706"/>
      <c r="E6" s="576" t="s">
        <v>569</v>
      </c>
      <c r="F6" s="577" t="str">
        <f>'Performance Data Sheet'!I14 &amp; " A"</f>
        <v>123 A</v>
      </c>
    </row>
    <row r="7" spans="1:6" ht="18.95" customHeight="1">
      <c r="A7" s="576" t="s">
        <v>570</v>
      </c>
      <c r="B7" s="577" t="str">
        <f>'Performance Data Sheet'!F14</f>
        <v>TEFC</v>
      </c>
      <c r="C7" s="576" t="s">
        <v>571</v>
      </c>
      <c r="D7" s="577" t="str">
        <f>'Performance Data Sheet'!F13 &amp; " V"</f>
        <v>4000 V</v>
      </c>
      <c r="E7" s="576" t="s">
        <v>572</v>
      </c>
      <c r="F7" s="577" t="str">
        <f>'Performance Data Sheet'!C14</f>
        <v>5812USS</v>
      </c>
    </row>
    <row r="8" spans="1:6" ht="18.95" customHeight="1">
      <c r="A8" s="576" t="s">
        <v>573</v>
      </c>
      <c r="B8" s="577">
        <v>2</v>
      </c>
      <c r="C8" s="576" t="s">
        <v>574</v>
      </c>
      <c r="D8" s="577" t="s">
        <v>575</v>
      </c>
      <c r="E8" s="576" t="s">
        <v>576</v>
      </c>
      <c r="F8" s="577" t="s">
        <v>22</v>
      </c>
    </row>
    <row r="9" spans="1:6" ht="18.95" customHeight="1">
      <c r="A9" s="576" t="s">
        <v>577</v>
      </c>
      <c r="B9" s="577">
        <v>1000</v>
      </c>
      <c r="C9" s="576" t="s">
        <v>578</v>
      </c>
      <c r="D9" s="577" t="s">
        <v>579</v>
      </c>
      <c r="E9" s="576" t="s">
        <v>122</v>
      </c>
      <c r="F9" s="578">
        <f>'Performance Data Sheet'!K44</f>
        <v>45512</v>
      </c>
    </row>
    <row r="10" spans="1:6" ht="18.95" customHeight="1">
      <c r="A10" s="576" t="s">
        <v>33</v>
      </c>
      <c r="B10" s="577">
        <v>3580</v>
      </c>
      <c r="C10" s="576" t="s">
        <v>387</v>
      </c>
      <c r="D10" s="577" t="s">
        <v>580</v>
      </c>
      <c r="E10" s="576" t="s">
        <v>120</v>
      </c>
      <c r="F10" s="577" t="s">
        <v>96</v>
      </c>
    </row>
    <row r="11" spans="1:6" ht="18.95" customHeight="1">
      <c r="A11" s="573"/>
      <c r="B11" s="574"/>
      <c r="C11" s="574"/>
      <c r="D11" s="574"/>
      <c r="E11" s="574"/>
      <c r="F11" s="575"/>
    </row>
    <row r="12" spans="1:6" ht="18.95" customHeight="1">
      <c r="A12" s="573"/>
      <c r="B12" s="579"/>
      <c r="C12" s="580"/>
      <c r="D12" s="579"/>
      <c r="E12" s="580"/>
      <c r="F12" s="575"/>
    </row>
    <row r="13" spans="1:6" ht="18.95" customHeight="1">
      <c r="A13" s="573"/>
      <c r="B13" s="579"/>
      <c r="C13" s="581"/>
      <c r="D13" s="579"/>
      <c r="E13" s="580"/>
      <c r="F13" s="575"/>
    </row>
    <row r="14" spans="1:6" ht="18.95" customHeight="1">
      <c r="A14" s="573"/>
      <c r="B14" s="579"/>
      <c r="C14" s="581"/>
      <c r="D14" s="579"/>
      <c r="E14" s="580"/>
      <c r="F14" s="575"/>
    </row>
    <row r="15" spans="1:6" ht="18.95" customHeight="1">
      <c r="A15" s="573"/>
      <c r="B15" s="579"/>
      <c r="C15" s="580"/>
      <c r="D15" s="574"/>
      <c r="E15" s="574"/>
      <c r="F15" s="575"/>
    </row>
    <row r="16" spans="1:6" ht="18.95" customHeight="1">
      <c r="A16" s="573"/>
      <c r="B16" s="574"/>
      <c r="C16" s="574"/>
      <c r="D16" s="574"/>
      <c r="E16" s="574"/>
      <c r="F16" s="575"/>
    </row>
    <row r="17" spans="1:6" ht="18.95" customHeight="1">
      <c r="A17" s="573"/>
      <c r="B17" s="574"/>
      <c r="C17" s="574"/>
      <c r="D17" s="574"/>
      <c r="E17" s="574"/>
      <c r="F17" s="575"/>
    </row>
    <row r="18" spans="1:6" ht="18.95" customHeight="1">
      <c r="A18" s="573"/>
      <c r="B18" s="574"/>
      <c r="C18" s="574"/>
      <c r="D18" s="574"/>
      <c r="E18" s="574"/>
      <c r="F18" s="575"/>
    </row>
    <row r="19" spans="1:6" ht="18.95" customHeight="1">
      <c r="A19" s="573"/>
      <c r="B19" s="574"/>
      <c r="C19" s="574"/>
      <c r="D19" s="574"/>
      <c r="E19" s="574"/>
      <c r="F19" s="575"/>
    </row>
    <row r="20" spans="1:6" ht="18.95" customHeight="1">
      <c r="A20" s="573"/>
      <c r="B20" s="574"/>
      <c r="C20" s="574"/>
      <c r="D20" s="574"/>
      <c r="E20" s="574"/>
      <c r="F20" s="575"/>
    </row>
    <row r="21" spans="1:6" ht="18.95" customHeight="1">
      <c r="A21" s="573"/>
      <c r="B21" s="574"/>
      <c r="C21" s="574"/>
      <c r="D21" s="574"/>
      <c r="E21" s="574"/>
      <c r="F21" s="575"/>
    </row>
    <row r="22" spans="1:6" ht="18.95" customHeight="1">
      <c r="A22" s="573"/>
      <c r="B22" s="574"/>
      <c r="C22" s="574"/>
      <c r="D22" s="574"/>
      <c r="E22" s="574"/>
      <c r="F22" s="575"/>
    </row>
    <row r="23" spans="1:6" ht="18.95" customHeight="1">
      <c r="A23" s="573"/>
      <c r="B23" s="574"/>
      <c r="C23" s="574"/>
      <c r="D23" s="574"/>
      <c r="E23" s="574"/>
      <c r="F23" s="575"/>
    </row>
    <row r="24" spans="1:6" ht="18.95" customHeight="1">
      <c r="A24" s="573"/>
      <c r="B24" s="574"/>
      <c r="C24" s="574"/>
      <c r="D24" s="574"/>
      <c r="E24" s="574"/>
      <c r="F24" s="575"/>
    </row>
    <row r="25" spans="1:6" ht="18.95" customHeight="1">
      <c r="A25" s="573"/>
      <c r="B25" s="574"/>
      <c r="C25" s="574"/>
      <c r="D25" s="574"/>
      <c r="E25" s="574"/>
      <c r="F25" s="575"/>
    </row>
    <row r="26" spans="1:6" ht="18.95" customHeight="1">
      <c r="A26" s="573"/>
      <c r="B26" s="574"/>
      <c r="C26" s="574"/>
      <c r="D26" s="574"/>
      <c r="E26" s="574"/>
      <c r="F26" s="575"/>
    </row>
    <row r="27" spans="1:6" ht="18.95" customHeight="1">
      <c r="A27" s="573"/>
      <c r="B27" s="574"/>
      <c r="C27" s="574"/>
      <c r="D27" s="574"/>
      <c r="E27" s="574"/>
      <c r="F27" s="575"/>
    </row>
    <row r="28" spans="1:6" ht="18.95" customHeight="1">
      <c r="A28" s="573"/>
      <c r="B28" s="574"/>
      <c r="C28" s="574"/>
      <c r="D28" s="574"/>
      <c r="E28" s="574"/>
      <c r="F28" s="575"/>
    </row>
    <row r="29" spans="1:6" ht="18.95" customHeight="1">
      <c r="A29" s="573"/>
      <c r="B29" s="574"/>
      <c r="C29" s="574"/>
      <c r="D29" s="574"/>
      <c r="E29" s="574"/>
      <c r="F29" s="575"/>
    </row>
    <row r="30" spans="1:6" ht="18.95" customHeight="1">
      <c r="A30" s="573"/>
      <c r="B30" s="574"/>
      <c r="C30" s="574"/>
      <c r="D30" s="574"/>
      <c r="E30" s="574"/>
      <c r="F30" s="575"/>
    </row>
    <row r="31" spans="1:6" ht="18.95" customHeight="1">
      <c r="A31" s="573"/>
      <c r="B31" s="574"/>
      <c r="C31" s="574"/>
      <c r="D31" s="574"/>
      <c r="E31" s="574"/>
      <c r="F31" s="575"/>
    </row>
    <row r="32" spans="1:6" ht="18.95" customHeight="1">
      <c r="A32" s="573"/>
      <c r="B32" s="574"/>
      <c r="C32" s="574"/>
      <c r="D32" s="574"/>
      <c r="E32" s="574"/>
      <c r="F32" s="575"/>
    </row>
    <row r="33" spans="1:6" ht="18.95" customHeight="1">
      <c r="A33" s="573"/>
      <c r="B33" s="574"/>
      <c r="C33" s="574"/>
      <c r="D33" s="574"/>
      <c r="E33" s="574"/>
      <c r="F33" s="575"/>
    </row>
    <row r="34" spans="1:6" ht="18.95" customHeight="1">
      <c r="A34" s="573"/>
      <c r="B34" s="574"/>
      <c r="C34" s="574"/>
      <c r="D34" s="574"/>
      <c r="E34" s="574"/>
      <c r="F34" s="575"/>
    </row>
    <row r="35" spans="1:6" ht="18.95" customHeight="1">
      <c r="A35" s="573"/>
      <c r="B35" s="574"/>
      <c r="C35" s="574"/>
      <c r="D35" s="574"/>
      <c r="E35" s="574"/>
      <c r="F35" s="575"/>
    </row>
    <row r="36" spans="1:6" ht="18.95" customHeight="1">
      <c r="A36" s="573"/>
      <c r="B36" s="574"/>
      <c r="C36" s="574"/>
      <c r="D36" s="574"/>
      <c r="E36" s="574"/>
      <c r="F36" s="575"/>
    </row>
    <row r="37" spans="1:6" ht="18.95" customHeight="1">
      <c r="A37" s="573"/>
      <c r="B37" s="574"/>
      <c r="C37" s="574"/>
      <c r="D37" s="574"/>
      <c r="E37" s="574"/>
      <c r="F37" s="575"/>
    </row>
    <row r="38" spans="1:6" ht="18.95" customHeight="1">
      <c r="A38" s="573"/>
      <c r="B38" s="574"/>
      <c r="C38" s="574"/>
      <c r="D38" s="574"/>
      <c r="E38" s="574"/>
      <c r="F38" s="575"/>
    </row>
    <row r="39" spans="1:6" ht="18.95" customHeight="1">
      <c r="A39" s="582" t="s">
        <v>588</v>
      </c>
      <c r="B39" s="583" t="s">
        <v>589</v>
      </c>
      <c r="C39" s="584" t="str">
        <f>'Performance Data Sheet'!C10</f>
        <v>2338072.1</v>
      </c>
      <c r="D39" s="574"/>
      <c r="E39" s="579" t="s">
        <v>590</v>
      </c>
      <c r="F39" s="585" t="str">
        <f>F10</f>
        <v>BS2M20U</v>
      </c>
    </row>
    <row r="40" spans="1:6" ht="18.95" customHeight="1">
      <c r="A40" s="573"/>
      <c r="B40" s="583"/>
      <c r="C40" s="583"/>
      <c r="D40" s="574"/>
      <c r="E40" s="574"/>
      <c r="F40" s="575"/>
    </row>
    <row r="41" spans="1:6" ht="18.95" customHeight="1">
      <c r="A41" s="573"/>
      <c r="B41" s="583"/>
      <c r="C41" s="583"/>
      <c r="D41" s="574"/>
      <c r="E41" s="574"/>
      <c r="F41" s="575"/>
    </row>
    <row r="42" spans="1:6" ht="18.95" customHeight="1">
      <c r="A42" s="573"/>
      <c r="B42" s="574"/>
      <c r="C42" s="574"/>
      <c r="D42" s="574"/>
      <c r="E42" s="574"/>
      <c r="F42" s="575"/>
    </row>
    <row r="43" spans="1:6" ht="18.95" customHeight="1">
      <c r="A43" s="586"/>
      <c r="B43" s="583"/>
      <c r="C43" s="587" t="s">
        <v>591</v>
      </c>
      <c r="D43" s="588" t="str">
        <f>'Performance Data Sheet'!K42</f>
        <v>Jerry R</v>
      </c>
      <c r="E43" s="587" t="s">
        <v>592</v>
      </c>
      <c r="F43" s="588"/>
    </row>
    <row r="44" spans="1:6" ht="15" customHeight="1"/>
    <row r="45" spans="1:6" ht="15" customHeight="1"/>
    <row r="46" spans="1:6" ht="15" customHeight="1"/>
    <row r="47" spans="1:6" ht="15" customHeight="1"/>
    <row r="48" spans="1:6" ht="15" customHeight="1"/>
    <row r="49" spans="6:9" ht="15" customHeight="1"/>
    <row r="50" spans="6:9" ht="15" customHeight="1">
      <c r="F50" s="591" t="e">
        <f>5252.1*B50/D53</f>
        <v>#DIV/0!</v>
      </c>
      <c r="G50" s="591"/>
    </row>
    <row r="51" spans="6:9" ht="15" customHeight="1"/>
    <row r="52" spans="6:9" ht="15" customHeight="1"/>
    <row r="53" spans="6:9" ht="15" customHeight="1"/>
    <row r="54" spans="6:9" ht="15" customHeight="1"/>
    <row r="55" spans="6:9" ht="15" customHeight="1"/>
    <row r="56" spans="6:9" ht="15" customHeight="1"/>
    <row r="62" spans="6:9">
      <c r="I62" s="592"/>
    </row>
    <row r="63" spans="6:9">
      <c r="I63" s="90" t="s">
        <v>595</v>
      </c>
    </row>
    <row r="66" spans="1:8">
      <c r="D66" s="591" t="e">
        <f>D65/D64</f>
        <v>#DIV/0!</v>
      </c>
    </row>
    <row r="67" spans="1:8">
      <c r="A67" s="593" t="s">
        <v>382</v>
      </c>
      <c r="B67" s="593" t="s">
        <v>596</v>
      </c>
      <c r="C67" s="593" t="s">
        <v>597</v>
      </c>
      <c r="E67" s="593" t="s">
        <v>598</v>
      </c>
      <c r="F67" s="593" t="s">
        <v>599</v>
      </c>
    </row>
    <row r="68" spans="1:8">
      <c r="A68" s="594">
        <v>619.51219512195121</v>
      </c>
      <c r="B68" s="595">
        <v>30</v>
      </c>
      <c r="C68" s="595">
        <v>15</v>
      </c>
      <c r="E68" s="594">
        <f>A68</f>
        <v>619.51219512195121</v>
      </c>
      <c r="F68" s="596">
        <v>1E-4</v>
      </c>
      <c r="G68" s="90">
        <f>0.8*E68</f>
        <v>495.60975609756099</v>
      </c>
      <c r="H68" s="597">
        <f>F68</f>
        <v>1E-4</v>
      </c>
    </row>
    <row r="69" spans="1:8">
      <c r="A69" s="594">
        <f>FLOOR(A68,100)</f>
        <v>600</v>
      </c>
      <c r="B69" s="595">
        <f>((A68/A69)^2)*B68</f>
        <v>31.982946658734875</v>
      </c>
      <c r="C69" s="595">
        <f>((A68/A69)^2)*C68</f>
        <v>15.991473329367437</v>
      </c>
      <c r="E69" s="594">
        <v>618.3739837398374</v>
      </c>
      <c r="F69" s="596">
        <v>0.50548253983807567</v>
      </c>
      <c r="G69" s="90">
        <f t="shared" ref="G69:G80" si="0">0.8*E69</f>
        <v>494.69918699186996</v>
      </c>
      <c r="H69" s="90">
        <f t="shared" ref="H69:H80" si="1">2.4094*F69</f>
        <v>1.2179096314858597</v>
      </c>
    </row>
    <row r="70" spans="1:8">
      <c r="A70" s="594">
        <f>A69-100</f>
        <v>500</v>
      </c>
      <c r="B70" s="595">
        <f>((A68/A70)^2)*B68</f>
        <v>46.055443188578224</v>
      </c>
      <c r="C70" s="595">
        <f>((A68/A70)^2)*C68</f>
        <v>23.027721594289112</v>
      </c>
      <c r="E70" s="594">
        <v>616.01626016260161</v>
      </c>
      <c r="F70" s="596">
        <v>0.93875329705470811</v>
      </c>
      <c r="G70" s="90">
        <f t="shared" si="0"/>
        <v>492.8130081300813</v>
      </c>
      <c r="H70" s="90">
        <f t="shared" si="1"/>
        <v>2.2618321939236141</v>
      </c>
    </row>
    <row r="71" spans="1:8">
      <c r="A71" s="594">
        <f>A70-100</f>
        <v>400</v>
      </c>
      <c r="B71" s="595">
        <f>((A68/A71)^2)*B68</f>
        <v>71.961629982153482</v>
      </c>
      <c r="C71" s="595">
        <f>((A68/A71)^2)*C68</f>
        <v>35.980814991076741</v>
      </c>
      <c r="E71" s="594">
        <v>613.2520325203252</v>
      </c>
      <c r="F71" s="596">
        <v>1.3493288435343505</v>
      </c>
      <c r="G71" s="90">
        <f t="shared" si="0"/>
        <v>490.60162601626018</v>
      </c>
      <c r="H71" s="90">
        <f t="shared" si="1"/>
        <v>3.2510729156116644</v>
      </c>
    </row>
    <row r="72" spans="1:8">
      <c r="A72" s="594">
        <f>A71-100</f>
        <v>300</v>
      </c>
      <c r="B72" s="595">
        <f>((A68/A72)^2)*B68</f>
        <v>127.9317866349395</v>
      </c>
      <c r="C72" s="595"/>
      <c r="E72" s="594">
        <v>610.16260162601623</v>
      </c>
      <c r="F72" s="596">
        <v>1.7599044515019657</v>
      </c>
      <c r="G72" s="90">
        <f t="shared" si="0"/>
        <v>488.130081300813</v>
      </c>
      <c r="H72" s="90">
        <f t="shared" si="1"/>
        <v>4.2403137854488362</v>
      </c>
    </row>
    <row r="73" spans="1:8">
      <c r="A73" s="594">
        <f>A72-100</f>
        <v>200</v>
      </c>
      <c r="B73" s="595">
        <f>((A68/A73)^2)*B68</f>
        <v>287.84651992861393</v>
      </c>
      <c r="C73" s="595"/>
      <c r="E73" s="594">
        <v>606.66666666666663</v>
      </c>
      <c r="F73" s="596">
        <v>2.1911121027693752</v>
      </c>
      <c r="G73" s="90">
        <f t="shared" si="0"/>
        <v>485.33333333333331</v>
      </c>
      <c r="H73" s="90">
        <f t="shared" si="1"/>
        <v>5.2792655004125333</v>
      </c>
    </row>
    <row r="74" spans="1:8">
      <c r="A74" s="594">
        <v>215</v>
      </c>
      <c r="B74" s="595">
        <f>((A68/A74)^2)*B68</f>
        <v>249.08298100907641</v>
      </c>
      <c r="C74" s="595">
        <f>((A68/A74)^2)*C68</f>
        <v>124.5414905045382</v>
      </c>
      <c r="E74" s="594">
        <v>602.76422764227641</v>
      </c>
      <c r="F74" s="596">
        <v>2.6646152398910523</v>
      </c>
      <c r="G74" s="90">
        <f t="shared" si="0"/>
        <v>482.21138211382117</v>
      </c>
      <c r="H74" s="90">
        <f t="shared" si="1"/>
        <v>6.4201239589935017</v>
      </c>
    </row>
    <row r="75" spans="1:8">
      <c r="A75" s="598">
        <v>180</v>
      </c>
      <c r="B75" s="595">
        <f>((A68/A75)^2)*B69</f>
        <v>378.8551396205483</v>
      </c>
      <c r="C75" s="595">
        <f>((A68/A75)^2)*C68</f>
        <v>177.68303699297155</v>
      </c>
      <c r="E75" s="594">
        <v>598.45528455284557</v>
      </c>
      <c r="F75" s="596">
        <v>3.2154879552512172</v>
      </c>
      <c r="G75" s="90">
        <f t="shared" si="0"/>
        <v>478.76422764227647</v>
      </c>
      <c r="H75" s="90">
        <f t="shared" si="1"/>
        <v>7.747396679382283</v>
      </c>
    </row>
    <row r="76" spans="1:8">
      <c r="A76" s="598">
        <v>145</v>
      </c>
      <c r="B76" s="595">
        <f>((A68/A76)^2)*B68</f>
        <v>547.62714849676843</v>
      </c>
      <c r="C76" s="595">
        <f>((A68/A76)^2)*C68</f>
        <v>273.81357424838421</v>
      </c>
      <c r="E76" s="594">
        <v>592.35772357723579</v>
      </c>
      <c r="F76" s="596">
        <v>3.8643624151256089</v>
      </c>
      <c r="G76" s="90">
        <f t="shared" si="0"/>
        <v>473.88617886178866</v>
      </c>
      <c r="H76" s="90">
        <f t="shared" si="1"/>
        <v>9.3107948030036436</v>
      </c>
    </row>
    <row r="77" spans="1:8">
      <c r="A77" s="598">
        <v>125</v>
      </c>
      <c r="B77" s="595"/>
      <c r="C77" s="594">
        <f>CEILING(C76*2,100)</f>
        <v>600</v>
      </c>
      <c r="E77" s="594">
        <v>584.39024390243901</v>
      </c>
      <c r="F77" s="596">
        <v>4.2233579763317115</v>
      </c>
      <c r="G77" s="90">
        <f t="shared" si="0"/>
        <v>467.51219512195121</v>
      </c>
      <c r="H77" s="90">
        <f t="shared" si="1"/>
        <v>10.175758708173626</v>
      </c>
    </row>
    <row r="78" spans="1:8">
      <c r="A78" s="598">
        <v>125</v>
      </c>
      <c r="B78" s="595"/>
      <c r="C78" s="594">
        <f>2*C77</f>
        <v>1200</v>
      </c>
      <c r="E78" s="594">
        <v>569.83739837398377</v>
      </c>
      <c r="F78" s="596">
        <v>4.5276791700363166</v>
      </c>
      <c r="G78" s="90">
        <f t="shared" si="0"/>
        <v>455.86991869918705</v>
      </c>
      <c r="H78" s="90">
        <f t="shared" si="1"/>
        <v>10.908990192285502</v>
      </c>
    </row>
    <row r="79" spans="1:8">
      <c r="A79" s="598">
        <v>125</v>
      </c>
      <c r="B79" s="598"/>
      <c r="C79" s="598">
        <v>10000</v>
      </c>
      <c r="E79" s="594">
        <v>519.43089430894304</v>
      </c>
      <c r="F79" s="596">
        <v>4.7113034084897043</v>
      </c>
      <c r="G79" s="90">
        <f t="shared" si="0"/>
        <v>415.54471544715443</v>
      </c>
      <c r="H79" s="90">
        <f t="shared" si="1"/>
        <v>11.351414432415094</v>
      </c>
    </row>
    <row r="80" spans="1:8">
      <c r="E80" s="594">
        <v>320.48780487804879</v>
      </c>
      <c r="F80" s="596">
        <v>4.8660430568704607</v>
      </c>
      <c r="G80" s="90">
        <f t="shared" si="0"/>
        <v>256.39024390243907</v>
      </c>
      <c r="H80" s="90">
        <f t="shared" si="1"/>
        <v>11.724244141223689</v>
      </c>
    </row>
    <row r="81" spans="5:8">
      <c r="E81" s="594">
        <v>120</v>
      </c>
      <c r="F81" s="596">
        <v>4.9805503868341452</v>
      </c>
      <c r="G81" s="90">
        <v>120</v>
      </c>
      <c r="H81" s="90">
        <f>2.4094*F81</f>
        <v>12.000138102038191</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7668-6813-4C7B-BF9D-F50C17305C9C}">
  <sheetPr>
    <pageSetUpPr fitToPage="1"/>
  </sheetPr>
  <dimension ref="A1:H67"/>
  <sheetViews>
    <sheetView workbookViewId="0">
      <selection activeCell="O33" sqref="O33"/>
    </sheetView>
  </sheetViews>
  <sheetFormatPr defaultRowHeight="12.75"/>
  <cols>
    <col min="1" max="6" width="11.69921875" style="90" customWidth="1"/>
    <col min="7" max="256" width="8.796875" style="90"/>
    <col min="257" max="262" width="11.69921875" style="90" customWidth="1"/>
    <col min="263" max="512" width="8.796875" style="90"/>
    <col min="513" max="518" width="11.69921875" style="90" customWidth="1"/>
    <col min="519" max="768" width="8.796875" style="90"/>
    <col min="769" max="774" width="11.69921875" style="90" customWidth="1"/>
    <col min="775" max="1024" width="8.796875" style="90"/>
    <col min="1025" max="1030" width="11.69921875" style="90" customWidth="1"/>
    <col min="1031" max="1280" width="8.796875" style="90"/>
    <col min="1281" max="1286" width="11.69921875" style="90" customWidth="1"/>
    <col min="1287" max="1536" width="8.796875" style="90"/>
    <col min="1537" max="1542" width="11.69921875" style="90" customWidth="1"/>
    <col min="1543" max="1792" width="8.796875" style="90"/>
    <col min="1793" max="1798" width="11.69921875" style="90" customWidth="1"/>
    <col min="1799" max="2048" width="8.796875" style="90"/>
    <col min="2049" max="2054" width="11.69921875" style="90" customWidth="1"/>
    <col min="2055" max="2304" width="8.796875" style="90"/>
    <col min="2305" max="2310" width="11.69921875" style="90" customWidth="1"/>
    <col min="2311" max="2560" width="8.796875" style="90"/>
    <col min="2561" max="2566" width="11.69921875" style="90" customWidth="1"/>
    <col min="2567" max="2816" width="8.796875" style="90"/>
    <col min="2817" max="2822" width="11.69921875" style="90" customWidth="1"/>
    <col min="2823" max="3072" width="8.796875" style="90"/>
    <col min="3073" max="3078" width="11.69921875" style="90" customWidth="1"/>
    <col min="3079" max="3328" width="8.796875" style="90"/>
    <col min="3329" max="3334" width="11.69921875" style="90" customWidth="1"/>
    <col min="3335" max="3584" width="8.796875" style="90"/>
    <col min="3585" max="3590" width="11.69921875" style="90" customWidth="1"/>
    <col min="3591" max="3840" width="8.796875" style="90"/>
    <col min="3841" max="3846" width="11.69921875" style="90" customWidth="1"/>
    <col min="3847" max="4096" width="8.796875" style="90"/>
    <col min="4097" max="4102" width="11.69921875" style="90" customWidth="1"/>
    <col min="4103" max="4352" width="8.796875" style="90"/>
    <col min="4353" max="4358" width="11.69921875" style="90" customWidth="1"/>
    <col min="4359" max="4608" width="8.796875" style="90"/>
    <col min="4609" max="4614" width="11.69921875" style="90" customWidth="1"/>
    <col min="4615" max="4864" width="8.796875" style="90"/>
    <col min="4865" max="4870" width="11.69921875" style="90" customWidth="1"/>
    <col min="4871" max="5120" width="8.796875" style="90"/>
    <col min="5121" max="5126" width="11.69921875" style="90" customWidth="1"/>
    <col min="5127" max="5376" width="8.796875" style="90"/>
    <col min="5377" max="5382" width="11.69921875" style="90" customWidth="1"/>
    <col min="5383" max="5632" width="8.796875" style="90"/>
    <col min="5633" max="5638" width="11.69921875" style="90" customWidth="1"/>
    <col min="5639" max="5888" width="8.796875" style="90"/>
    <col min="5889" max="5894" width="11.69921875" style="90" customWidth="1"/>
    <col min="5895" max="6144" width="8.796875" style="90"/>
    <col min="6145" max="6150" width="11.69921875" style="90" customWidth="1"/>
    <col min="6151" max="6400" width="8.796875" style="90"/>
    <col min="6401" max="6406" width="11.69921875" style="90" customWidth="1"/>
    <col min="6407" max="6656" width="8.796875" style="90"/>
    <col min="6657" max="6662" width="11.69921875" style="90" customWidth="1"/>
    <col min="6663" max="6912" width="8.796875" style="90"/>
    <col min="6913" max="6918" width="11.69921875" style="90" customWidth="1"/>
    <col min="6919" max="7168" width="8.796875" style="90"/>
    <col min="7169" max="7174" width="11.69921875" style="90" customWidth="1"/>
    <col min="7175" max="7424" width="8.796875" style="90"/>
    <col min="7425" max="7430" width="11.69921875" style="90" customWidth="1"/>
    <col min="7431" max="7680" width="8.796875" style="90"/>
    <col min="7681" max="7686" width="11.69921875" style="90" customWidth="1"/>
    <col min="7687" max="7936" width="8.796875" style="90"/>
    <col min="7937" max="7942" width="11.69921875" style="90" customWidth="1"/>
    <col min="7943" max="8192" width="8.796875" style="90"/>
    <col min="8193" max="8198" width="11.69921875" style="90" customWidth="1"/>
    <col min="8199" max="8448" width="8.796875" style="90"/>
    <col min="8449" max="8454" width="11.69921875" style="90" customWidth="1"/>
    <col min="8455" max="8704" width="8.796875" style="90"/>
    <col min="8705" max="8710" width="11.69921875" style="90" customWidth="1"/>
    <col min="8711" max="8960" width="8.796875" style="90"/>
    <col min="8961" max="8966" width="11.69921875" style="90" customWidth="1"/>
    <col min="8967" max="9216" width="8.796875" style="90"/>
    <col min="9217" max="9222" width="11.69921875" style="90" customWidth="1"/>
    <col min="9223" max="9472" width="8.796875" style="90"/>
    <col min="9473" max="9478" width="11.69921875" style="90" customWidth="1"/>
    <col min="9479" max="9728" width="8.796875" style="90"/>
    <col min="9729" max="9734" width="11.69921875" style="90" customWidth="1"/>
    <col min="9735" max="9984" width="8.796875" style="90"/>
    <col min="9985" max="9990" width="11.69921875" style="90" customWidth="1"/>
    <col min="9991" max="10240" width="8.796875" style="90"/>
    <col min="10241" max="10246" width="11.69921875" style="90" customWidth="1"/>
    <col min="10247" max="10496" width="8.796875" style="90"/>
    <col min="10497" max="10502" width="11.69921875" style="90" customWidth="1"/>
    <col min="10503" max="10752" width="8.796875" style="90"/>
    <col min="10753" max="10758" width="11.69921875" style="90" customWidth="1"/>
    <col min="10759" max="11008" width="8.796875" style="90"/>
    <col min="11009" max="11014" width="11.69921875" style="90" customWidth="1"/>
    <col min="11015" max="11264" width="8.796875" style="90"/>
    <col min="11265" max="11270" width="11.69921875" style="90" customWidth="1"/>
    <col min="11271" max="11520" width="8.796875" style="90"/>
    <col min="11521" max="11526" width="11.69921875" style="90" customWidth="1"/>
    <col min="11527" max="11776" width="8.796875" style="90"/>
    <col min="11777" max="11782" width="11.69921875" style="90" customWidth="1"/>
    <col min="11783" max="12032" width="8.796875" style="90"/>
    <col min="12033" max="12038" width="11.69921875" style="90" customWidth="1"/>
    <col min="12039" max="12288" width="8.796875" style="90"/>
    <col min="12289" max="12294" width="11.69921875" style="90" customWidth="1"/>
    <col min="12295" max="12544" width="8.796875" style="90"/>
    <col min="12545" max="12550" width="11.69921875" style="90" customWidth="1"/>
    <col min="12551" max="12800" width="8.796875" style="90"/>
    <col min="12801" max="12806" width="11.69921875" style="90" customWidth="1"/>
    <col min="12807" max="13056" width="8.796875" style="90"/>
    <col min="13057" max="13062" width="11.69921875" style="90" customWidth="1"/>
    <col min="13063" max="13312" width="8.796875" style="90"/>
    <col min="13313" max="13318" width="11.69921875" style="90" customWidth="1"/>
    <col min="13319" max="13568" width="8.796875" style="90"/>
    <col min="13569" max="13574" width="11.69921875" style="90" customWidth="1"/>
    <col min="13575" max="13824" width="8.796875" style="90"/>
    <col min="13825" max="13830" width="11.69921875" style="90" customWidth="1"/>
    <col min="13831" max="14080" width="8.796875" style="90"/>
    <col min="14081" max="14086" width="11.69921875" style="90" customWidth="1"/>
    <col min="14087" max="14336" width="8.796875" style="90"/>
    <col min="14337" max="14342" width="11.69921875" style="90" customWidth="1"/>
    <col min="14343" max="14592" width="8.796875" style="90"/>
    <col min="14593" max="14598" width="11.69921875" style="90" customWidth="1"/>
    <col min="14599" max="14848" width="8.796875" style="90"/>
    <col min="14849" max="14854" width="11.69921875" style="90" customWidth="1"/>
    <col min="14855" max="15104" width="8.796875" style="90"/>
    <col min="15105" max="15110" width="11.69921875" style="90" customWidth="1"/>
    <col min="15111" max="15360" width="8.796875" style="90"/>
    <col min="15361" max="15366" width="11.69921875" style="90" customWidth="1"/>
    <col min="15367" max="15616" width="8.796875" style="90"/>
    <col min="15617" max="15622" width="11.69921875" style="90" customWidth="1"/>
    <col min="15623" max="15872" width="8.796875" style="90"/>
    <col min="15873" max="15878" width="11.69921875" style="90" customWidth="1"/>
    <col min="15879" max="16128" width="8.796875" style="90"/>
    <col min="16129" max="16134" width="11.69921875" style="90" customWidth="1"/>
    <col min="16135" max="16384" width="8.796875" style="90"/>
  </cols>
  <sheetData>
    <row r="1" spans="1:6" ht="18.95" customHeight="1">
      <c r="A1" s="566"/>
      <c r="B1" s="567"/>
      <c r="C1" s="567"/>
      <c r="D1" s="567"/>
      <c r="E1" s="567"/>
      <c r="F1" s="568"/>
    </row>
    <row r="2" spans="1:6" ht="26.1" customHeight="1">
      <c r="A2" s="569" t="s">
        <v>62</v>
      </c>
      <c r="B2" s="570"/>
      <c r="C2" s="570"/>
      <c r="D2" s="570"/>
      <c r="E2" s="570"/>
      <c r="F2" s="571"/>
    </row>
    <row r="3" spans="1:6" ht="18.95" customHeight="1">
      <c r="A3" s="572" t="s">
        <v>600</v>
      </c>
      <c r="B3" s="570"/>
      <c r="C3" s="570"/>
      <c r="D3" s="570"/>
      <c r="E3" s="570"/>
      <c r="F3" s="571"/>
    </row>
    <row r="4" spans="1:6" ht="18.95" customHeight="1">
      <c r="A4" s="710" t="s">
        <v>594</v>
      </c>
      <c r="B4" s="711"/>
      <c r="C4" s="711"/>
      <c r="D4" s="711"/>
      <c r="E4" s="711"/>
      <c r="F4" s="712"/>
    </row>
    <row r="5" spans="1:6" ht="18.95" customHeight="1">
      <c r="A5" s="573"/>
      <c r="B5" s="574"/>
      <c r="C5" s="574"/>
      <c r="D5" s="574"/>
      <c r="E5" s="574"/>
      <c r="F5" s="575"/>
    </row>
    <row r="6" spans="1:6" ht="18.95" customHeight="1">
      <c r="A6" s="576" t="s">
        <v>568</v>
      </c>
      <c r="B6" s="704" t="str">
        <f>'Performance Data Sheet'!C17</f>
        <v>A1-10138469</v>
      </c>
      <c r="C6" s="705"/>
      <c r="D6" s="706"/>
      <c r="E6" s="576" t="s">
        <v>569</v>
      </c>
      <c r="F6" s="577" t="str">
        <f>'Performance Data Sheet'!I14 &amp; " A"</f>
        <v>123 A</v>
      </c>
    </row>
    <row r="7" spans="1:6" ht="18.95" customHeight="1">
      <c r="A7" s="576" t="s">
        <v>570</v>
      </c>
      <c r="B7" s="577" t="str">
        <f>'Performance Data Sheet'!F14</f>
        <v>TEFC</v>
      </c>
      <c r="C7" s="576" t="s">
        <v>571</v>
      </c>
      <c r="D7" s="577" t="str">
        <f>'Performance Data Sheet'!F13 &amp; " V"</f>
        <v>4000 V</v>
      </c>
      <c r="E7" s="576" t="s">
        <v>572</v>
      </c>
      <c r="F7" s="577" t="str">
        <f>'Performance Data Sheet'!C14</f>
        <v>5812USS</v>
      </c>
    </row>
    <row r="8" spans="1:6" ht="18.95" customHeight="1">
      <c r="A8" s="576" t="s">
        <v>573</v>
      </c>
      <c r="B8" s="577">
        <v>2</v>
      </c>
      <c r="C8" s="576" t="s">
        <v>574</v>
      </c>
      <c r="D8" s="577" t="s">
        <v>575</v>
      </c>
      <c r="E8" s="576" t="s">
        <v>576</v>
      </c>
      <c r="F8" s="577" t="s">
        <v>22</v>
      </c>
    </row>
    <row r="9" spans="1:6" ht="18.95" customHeight="1">
      <c r="A9" s="576" t="s">
        <v>577</v>
      </c>
      <c r="B9" s="577">
        <v>1000</v>
      </c>
      <c r="C9" s="576" t="s">
        <v>578</v>
      </c>
      <c r="D9" s="577" t="s">
        <v>579</v>
      </c>
      <c r="E9" s="576" t="s">
        <v>122</v>
      </c>
      <c r="F9" s="578">
        <f>'Performance Data Sheet'!K44</f>
        <v>45512</v>
      </c>
    </row>
    <row r="10" spans="1:6" ht="18.95" customHeight="1">
      <c r="A10" s="576" t="s">
        <v>33</v>
      </c>
      <c r="B10" s="577">
        <v>3580</v>
      </c>
      <c r="C10" s="576" t="s">
        <v>387</v>
      </c>
      <c r="D10" s="577" t="s">
        <v>580</v>
      </c>
      <c r="E10" s="576" t="s">
        <v>120</v>
      </c>
      <c r="F10" s="577" t="s">
        <v>96</v>
      </c>
    </row>
    <row r="11" spans="1:6" ht="18.95" customHeight="1">
      <c r="A11" s="573"/>
      <c r="B11" s="574"/>
      <c r="C11" s="574"/>
      <c r="D11" s="574"/>
      <c r="E11" s="574"/>
      <c r="F11" s="575"/>
    </row>
    <row r="12" spans="1:6" ht="18.95" customHeight="1">
      <c r="A12" s="573"/>
      <c r="B12" s="579" t="s">
        <v>581</v>
      </c>
      <c r="C12" s="580" t="str">
        <f>'Performance Data Sheet'!D22 &amp; " A"</f>
        <v>762 A</v>
      </c>
      <c r="D12" s="579" t="s">
        <v>385</v>
      </c>
      <c r="E12" s="580" t="s">
        <v>386</v>
      </c>
      <c r="F12" s="575"/>
    </row>
    <row r="13" spans="1:6" ht="18.95" customHeight="1">
      <c r="A13" s="573"/>
      <c r="B13" s="579" t="s">
        <v>582</v>
      </c>
      <c r="C13" s="581">
        <v>0.9</v>
      </c>
      <c r="D13" s="579" t="s">
        <v>583</v>
      </c>
      <c r="E13" s="580" t="s">
        <v>584</v>
      </c>
      <c r="F13" s="575"/>
    </row>
    <row r="14" spans="1:6" ht="18.95" customHeight="1">
      <c r="A14" s="573"/>
      <c r="B14" s="579" t="s">
        <v>585</v>
      </c>
      <c r="C14" s="581">
        <v>2.15</v>
      </c>
      <c r="D14" s="579" t="s">
        <v>389</v>
      </c>
      <c r="E14" s="580" t="s">
        <v>586</v>
      </c>
      <c r="F14" s="575"/>
    </row>
    <row r="15" spans="1:6" ht="18.95" customHeight="1">
      <c r="A15" s="573"/>
      <c r="B15" s="579" t="s">
        <v>391</v>
      </c>
      <c r="C15" s="580" t="s">
        <v>587</v>
      </c>
      <c r="D15" s="574"/>
      <c r="E15" s="574"/>
      <c r="F15" s="575"/>
    </row>
    <row r="16" spans="1:6" ht="18.95" customHeight="1">
      <c r="A16" s="573"/>
      <c r="B16" s="574"/>
      <c r="C16" s="574"/>
      <c r="D16" s="574"/>
      <c r="E16" s="574"/>
      <c r="F16" s="575"/>
    </row>
    <row r="17" spans="1:8" ht="18.95" customHeight="1">
      <c r="A17" s="573"/>
      <c r="B17" s="574"/>
      <c r="C17" s="574"/>
      <c r="D17" s="574"/>
      <c r="E17" s="574"/>
      <c r="F17" s="575"/>
    </row>
    <row r="18" spans="1:8" ht="18.95" customHeight="1">
      <c r="A18" s="573"/>
      <c r="B18" s="574"/>
      <c r="C18" s="574"/>
      <c r="D18" s="574"/>
      <c r="E18" s="574"/>
      <c r="F18" s="575"/>
    </row>
    <row r="19" spans="1:8" ht="18.95" customHeight="1">
      <c r="A19" s="573"/>
      <c r="B19" s="574"/>
      <c r="C19" s="574"/>
      <c r="D19" s="574"/>
      <c r="E19" s="574"/>
      <c r="F19" s="575"/>
    </row>
    <row r="20" spans="1:8" ht="18.95" customHeight="1">
      <c r="A20" s="573"/>
      <c r="B20" s="574"/>
      <c r="C20" s="574"/>
      <c r="D20" s="574"/>
      <c r="E20" s="574"/>
      <c r="F20" s="575"/>
    </row>
    <row r="21" spans="1:8" ht="18.95" customHeight="1">
      <c r="A21" s="573"/>
      <c r="B21" s="574"/>
      <c r="C21" s="574"/>
      <c r="D21" s="574"/>
      <c r="E21" s="574"/>
      <c r="F21" s="575"/>
    </row>
    <row r="22" spans="1:8" ht="18.95" customHeight="1">
      <c r="A22" s="573"/>
      <c r="B22" s="574"/>
      <c r="C22" s="574"/>
      <c r="D22" s="574"/>
      <c r="E22" s="574"/>
      <c r="F22" s="575"/>
    </row>
    <row r="23" spans="1:8" ht="18.95" customHeight="1">
      <c r="A23" s="573"/>
      <c r="B23" s="574"/>
      <c r="C23" s="574"/>
      <c r="D23" s="574"/>
      <c r="E23" s="574"/>
      <c r="F23" s="575"/>
    </row>
    <row r="24" spans="1:8" ht="18.95" customHeight="1">
      <c r="A24" s="573"/>
      <c r="B24" s="574"/>
      <c r="C24" s="574"/>
      <c r="D24" s="574"/>
      <c r="E24" s="574"/>
      <c r="F24" s="575"/>
      <c r="H24" s="599"/>
    </row>
    <row r="25" spans="1:8" ht="18.95" customHeight="1">
      <c r="A25" s="573"/>
      <c r="B25" s="574"/>
      <c r="C25" s="574"/>
      <c r="D25" s="574"/>
      <c r="E25" s="574"/>
      <c r="F25" s="575"/>
    </row>
    <row r="26" spans="1:8" ht="18.95" customHeight="1">
      <c r="A26" s="573"/>
      <c r="B26" s="574"/>
      <c r="C26" s="574"/>
      <c r="D26" s="574"/>
      <c r="E26" s="574"/>
      <c r="F26" s="575"/>
    </row>
    <row r="27" spans="1:8" ht="18.95" customHeight="1">
      <c r="A27" s="573"/>
      <c r="B27" s="574"/>
      <c r="C27" s="574"/>
      <c r="D27" s="574"/>
      <c r="E27" s="574"/>
      <c r="F27" s="575"/>
    </row>
    <row r="28" spans="1:8" ht="18.95" customHeight="1">
      <c r="A28" s="573"/>
      <c r="B28" s="574"/>
      <c r="C28" s="574"/>
      <c r="D28" s="574"/>
      <c r="E28" s="574"/>
      <c r="F28" s="575"/>
    </row>
    <row r="29" spans="1:8" ht="18.95" customHeight="1">
      <c r="A29" s="573"/>
      <c r="B29" s="574"/>
      <c r="C29" s="574"/>
      <c r="D29" s="574"/>
      <c r="E29" s="574"/>
      <c r="F29" s="575"/>
    </row>
    <row r="30" spans="1:8" ht="18.95" customHeight="1">
      <c r="A30" s="573"/>
      <c r="B30" s="574"/>
      <c r="C30" s="574"/>
      <c r="D30" s="574"/>
      <c r="E30" s="574"/>
      <c r="F30" s="575"/>
    </row>
    <row r="31" spans="1:8" ht="18.95" customHeight="1">
      <c r="A31" s="573"/>
      <c r="B31" s="574"/>
      <c r="C31" s="574"/>
      <c r="D31" s="574"/>
      <c r="E31" s="574"/>
      <c r="F31" s="575"/>
    </row>
    <row r="32" spans="1:8" ht="18.95" customHeight="1">
      <c r="A32" s="573"/>
      <c r="B32" s="574"/>
      <c r="C32" s="574"/>
      <c r="D32" s="574"/>
      <c r="E32" s="574"/>
      <c r="F32" s="575"/>
    </row>
    <row r="33" spans="1:6" ht="18.95" customHeight="1">
      <c r="A33" s="573"/>
      <c r="B33" s="574"/>
      <c r="C33" s="574"/>
      <c r="D33" s="574"/>
      <c r="E33" s="574"/>
      <c r="F33" s="575"/>
    </row>
    <row r="34" spans="1:6" ht="18.95" customHeight="1">
      <c r="A34" s="573"/>
      <c r="B34" s="574"/>
      <c r="C34" s="574"/>
      <c r="D34" s="574"/>
      <c r="E34" s="574"/>
      <c r="F34" s="575"/>
    </row>
    <row r="35" spans="1:6" ht="18.95" customHeight="1">
      <c r="A35" s="573"/>
      <c r="B35" s="574"/>
      <c r="C35" s="574"/>
      <c r="D35" s="574"/>
      <c r="E35" s="574"/>
      <c r="F35" s="575"/>
    </row>
    <row r="36" spans="1:6" ht="18.95" customHeight="1">
      <c r="A36" s="573"/>
      <c r="B36" s="574"/>
      <c r="C36" s="574"/>
      <c r="D36" s="574"/>
      <c r="E36" s="574"/>
      <c r="F36" s="575"/>
    </row>
    <row r="37" spans="1:6" ht="18.95" customHeight="1">
      <c r="A37" s="573"/>
      <c r="B37" s="574"/>
      <c r="C37" s="574"/>
      <c r="D37" s="574"/>
      <c r="E37" s="574"/>
      <c r="F37" s="575"/>
    </row>
    <row r="38" spans="1:6" ht="18.95" customHeight="1">
      <c r="A38" s="573"/>
      <c r="B38" s="574"/>
      <c r="C38" s="574"/>
      <c r="D38" s="574"/>
      <c r="E38" s="574"/>
      <c r="F38" s="575"/>
    </row>
    <row r="39" spans="1:6" ht="18.95" customHeight="1">
      <c r="A39" s="582" t="s">
        <v>588</v>
      </c>
      <c r="B39" s="583" t="s">
        <v>589</v>
      </c>
      <c r="C39" s="584" t="str">
        <f>'Performance Data Sheet'!C10</f>
        <v>2338072.1</v>
      </c>
      <c r="D39" s="574"/>
      <c r="E39" s="579" t="s">
        <v>590</v>
      </c>
      <c r="F39" s="585" t="str">
        <f>F10</f>
        <v>BS2M20U</v>
      </c>
    </row>
    <row r="40" spans="1:6" ht="18.95" customHeight="1">
      <c r="A40" s="573"/>
      <c r="B40" s="583"/>
      <c r="C40" s="583"/>
      <c r="D40" s="574"/>
      <c r="E40" s="574"/>
      <c r="F40" s="575"/>
    </row>
    <row r="41" spans="1:6" ht="18.95" customHeight="1">
      <c r="A41" s="573"/>
      <c r="B41" s="583"/>
      <c r="C41" s="583"/>
      <c r="D41" s="574"/>
      <c r="E41" s="574"/>
      <c r="F41" s="575"/>
    </row>
    <row r="42" spans="1:6" ht="18.95" customHeight="1">
      <c r="A42" s="573"/>
      <c r="B42" s="574"/>
      <c r="C42" s="574"/>
      <c r="D42" s="574"/>
      <c r="E42" s="574"/>
      <c r="F42" s="575"/>
    </row>
    <row r="43" spans="1:6" ht="18.95" customHeight="1">
      <c r="A43" s="586"/>
      <c r="B43" s="583"/>
      <c r="C43" s="587" t="s">
        <v>591</v>
      </c>
      <c r="D43" s="588" t="str">
        <f>'Performance Data Sheet'!K42</f>
        <v>Jerry R</v>
      </c>
      <c r="E43" s="587" t="s">
        <v>592</v>
      </c>
      <c r="F43" s="588"/>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600" t="s">
        <v>393</v>
      </c>
      <c r="B53" s="600" t="s">
        <v>343</v>
      </c>
      <c r="C53" s="600" t="s">
        <v>302</v>
      </c>
      <c r="D53" s="600" t="s">
        <v>333</v>
      </c>
      <c r="E53" s="600" t="s">
        <v>126</v>
      </c>
      <c r="F53" s="601" t="s">
        <v>601</v>
      </c>
    </row>
    <row r="54" spans="1:6" ht="15" customHeight="1">
      <c r="A54" s="602">
        <v>0</v>
      </c>
      <c r="B54" s="603"/>
      <c r="C54" s="604"/>
      <c r="D54" s="604">
        <v>29.870944029110401</v>
      </c>
      <c r="E54" s="604">
        <v>100</v>
      </c>
      <c r="F54" s="605">
        <v>1.0825200000000001</v>
      </c>
    </row>
    <row r="55" spans="1:6" ht="15" customHeight="1">
      <c r="A55" s="606">
        <v>25</v>
      </c>
      <c r="B55" s="607">
        <v>87.793777465820313</v>
      </c>
      <c r="C55" s="608">
        <v>68.451652526855469</v>
      </c>
      <c r="D55" s="608">
        <v>44.801906585693359</v>
      </c>
      <c r="E55" s="608">
        <v>79.827753975200949</v>
      </c>
      <c r="F55" s="609">
        <v>10.623272444945227</v>
      </c>
    </row>
    <row r="56" spans="1:6" ht="15" customHeight="1">
      <c r="A56" s="606">
        <v>50</v>
      </c>
      <c r="B56" s="607">
        <v>92.974388122558594</v>
      </c>
      <c r="C56" s="608">
        <v>85.228569030761719</v>
      </c>
      <c r="D56" s="608">
        <v>67.955657958984375</v>
      </c>
      <c r="E56" s="608">
        <v>64.404779649374547</v>
      </c>
      <c r="F56" s="609">
        <v>20.062669514601609</v>
      </c>
    </row>
    <row r="57" spans="1:6">
      <c r="A57" s="606">
        <v>75</v>
      </c>
      <c r="B57" s="607">
        <v>94.641098022460938</v>
      </c>
      <c r="C57" s="608">
        <v>90.157829284667969</v>
      </c>
      <c r="D57" s="608">
        <v>94.663429260253906</v>
      </c>
      <c r="E57" s="608">
        <v>48.720072324907512</v>
      </c>
      <c r="F57" s="609">
        <v>29.564025703862367</v>
      </c>
    </row>
    <row r="58" spans="1:6">
      <c r="A58" s="606">
        <v>100</v>
      </c>
      <c r="B58" s="607">
        <v>95.338386535644531</v>
      </c>
      <c r="C58" s="608">
        <v>91.835693359375</v>
      </c>
      <c r="D58" s="608">
        <v>123.00559234619141</v>
      </c>
      <c r="E58" s="608">
        <v>33.003735601292014</v>
      </c>
      <c r="F58" s="609">
        <v>39.130397697807823</v>
      </c>
    </row>
    <row r="59" spans="1:6" ht="13.5" thickBot="1">
      <c r="A59" s="610">
        <v>125</v>
      </c>
      <c r="B59" s="611">
        <v>95.631561279296875</v>
      </c>
      <c r="C59" s="612">
        <v>92.3172607421875</v>
      </c>
      <c r="D59" s="612">
        <v>152.48600769042969</v>
      </c>
      <c r="E59" s="612">
        <v>16.833001388179024</v>
      </c>
      <c r="F59" s="613">
        <v>48.763044647433929</v>
      </c>
    </row>
    <row r="60" spans="1:6">
      <c r="A60" s="614"/>
      <c r="B60" s="615"/>
      <c r="C60" s="615"/>
    </row>
    <row r="61" spans="1:6">
      <c r="A61" s="614"/>
      <c r="B61" s="615"/>
      <c r="C61" s="615"/>
    </row>
    <row r="62" spans="1:6">
      <c r="A62" s="614"/>
      <c r="B62" s="615"/>
      <c r="C62" s="615"/>
    </row>
    <row r="63" spans="1:6">
      <c r="A63" s="614"/>
      <c r="B63" s="615"/>
      <c r="C63" s="615"/>
    </row>
    <row r="64" spans="1:6">
      <c r="A64" s="614"/>
      <c r="B64" s="615"/>
      <c r="C64" s="615"/>
    </row>
    <row r="65" spans="1:3">
      <c r="A65" s="614"/>
      <c r="B65" s="615"/>
      <c r="C65" s="615"/>
    </row>
    <row r="66" spans="1:3">
      <c r="A66" s="614"/>
      <c r="B66" s="615"/>
      <c r="C66" s="615"/>
    </row>
    <row r="67" spans="1:3">
      <c r="A67" s="616"/>
      <c r="B67" s="615"/>
      <c r="C67" s="615"/>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C5F0-BBB4-4729-BF9F-DA2CC1F423A0}">
  <sheetPr>
    <pageSetUpPr fitToPage="1"/>
  </sheetPr>
  <dimension ref="A1:L61"/>
  <sheetViews>
    <sheetView topLeftCell="A7" workbookViewId="0">
      <selection activeCell="O33" sqref="O33"/>
    </sheetView>
  </sheetViews>
  <sheetFormatPr defaultRowHeight="12.75"/>
  <cols>
    <col min="1" max="1" width="13.796875" style="90" customWidth="1"/>
    <col min="2" max="7" width="7.5" style="90" customWidth="1"/>
    <col min="8" max="256" width="8.796875" style="90"/>
    <col min="257" max="257" width="13.796875" style="90" customWidth="1"/>
    <col min="258" max="263" width="7.5" style="90" customWidth="1"/>
    <col min="264" max="512" width="8.796875" style="90"/>
    <col min="513" max="513" width="13.796875" style="90" customWidth="1"/>
    <col min="514" max="519" width="7.5" style="90" customWidth="1"/>
    <col min="520" max="768" width="8.796875" style="90"/>
    <col min="769" max="769" width="13.796875" style="90" customWidth="1"/>
    <col min="770" max="775" width="7.5" style="90" customWidth="1"/>
    <col min="776" max="1024" width="8.796875" style="90"/>
    <col min="1025" max="1025" width="13.796875" style="90" customWidth="1"/>
    <col min="1026" max="1031" width="7.5" style="90" customWidth="1"/>
    <col min="1032" max="1280" width="8.796875" style="90"/>
    <col min="1281" max="1281" width="13.796875" style="90" customWidth="1"/>
    <col min="1282" max="1287" width="7.5" style="90" customWidth="1"/>
    <col min="1288" max="1536" width="8.796875" style="90"/>
    <col min="1537" max="1537" width="13.796875" style="90" customWidth="1"/>
    <col min="1538" max="1543" width="7.5" style="90" customWidth="1"/>
    <col min="1544" max="1792" width="8.796875" style="90"/>
    <col min="1793" max="1793" width="13.796875" style="90" customWidth="1"/>
    <col min="1794" max="1799" width="7.5" style="90" customWidth="1"/>
    <col min="1800" max="2048" width="8.796875" style="90"/>
    <col min="2049" max="2049" width="13.796875" style="90" customWidth="1"/>
    <col min="2050" max="2055" width="7.5" style="90" customWidth="1"/>
    <col min="2056" max="2304" width="8.796875" style="90"/>
    <col min="2305" max="2305" width="13.796875" style="90" customWidth="1"/>
    <col min="2306" max="2311" width="7.5" style="90" customWidth="1"/>
    <col min="2312" max="2560" width="8.796875" style="90"/>
    <col min="2561" max="2561" width="13.796875" style="90" customWidth="1"/>
    <col min="2562" max="2567" width="7.5" style="90" customWidth="1"/>
    <col min="2568" max="2816" width="8.796875" style="90"/>
    <col min="2817" max="2817" width="13.796875" style="90" customWidth="1"/>
    <col min="2818" max="2823" width="7.5" style="90" customWidth="1"/>
    <col min="2824" max="3072" width="8.796875" style="90"/>
    <col min="3073" max="3073" width="13.796875" style="90" customWidth="1"/>
    <col min="3074" max="3079" width="7.5" style="90" customWidth="1"/>
    <col min="3080" max="3328" width="8.796875" style="90"/>
    <col min="3329" max="3329" width="13.796875" style="90" customWidth="1"/>
    <col min="3330" max="3335" width="7.5" style="90" customWidth="1"/>
    <col min="3336" max="3584" width="8.796875" style="90"/>
    <col min="3585" max="3585" width="13.796875" style="90" customWidth="1"/>
    <col min="3586" max="3591" width="7.5" style="90" customWidth="1"/>
    <col min="3592" max="3840" width="8.796875" style="90"/>
    <col min="3841" max="3841" width="13.796875" style="90" customWidth="1"/>
    <col min="3842" max="3847" width="7.5" style="90" customWidth="1"/>
    <col min="3848" max="4096" width="8.796875" style="90"/>
    <col min="4097" max="4097" width="13.796875" style="90" customWidth="1"/>
    <col min="4098" max="4103" width="7.5" style="90" customWidth="1"/>
    <col min="4104" max="4352" width="8.796875" style="90"/>
    <col min="4353" max="4353" width="13.796875" style="90" customWidth="1"/>
    <col min="4354" max="4359" width="7.5" style="90" customWidth="1"/>
    <col min="4360" max="4608" width="8.796875" style="90"/>
    <col min="4609" max="4609" width="13.796875" style="90" customWidth="1"/>
    <col min="4610" max="4615" width="7.5" style="90" customWidth="1"/>
    <col min="4616" max="4864" width="8.796875" style="90"/>
    <col min="4865" max="4865" width="13.796875" style="90" customWidth="1"/>
    <col min="4866" max="4871" width="7.5" style="90" customWidth="1"/>
    <col min="4872" max="5120" width="8.796875" style="90"/>
    <col min="5121" max="5121" width="13.796875" style="90" customWidth="1"/>
    <col min="5122" max="5127" width="7.5" style="90" customWidth="1"/>
    <col min="5128" max="5376" width="8.796875" style="90"/>
    <col min="5377" max="5377" width="13.796875" style="90" customWidth="1"/>
    <col min="5378" max="5383" width="7.5" style="90" customWidth="1"/>
    <col min="5384" max="5632" width="8.796875" style="90"/>
    <col min="5633" max="5633" width="13.796875" style="90" customWidth="1"/>
    <col min="5634" max="5639" width="7.5" style="90" customWidth="1"/>
    <col min="5640" max="5888" width="8.796875" style="90"/>
    <col min="5889" max="5889" width="13.796875" style="90" customWidth="1"/>
    <col min="5890" max="5895" width="7.5" style="90" customWidth="1"/>
    <col min="5896" max="6144" width="8.796875" style="90"/>
    <col min="6145" max="6145" width="13.796875" style="90" customWidth="1"/>
    <col min="6146" max="6151" width="7.5" style="90" customWidth="1"/>
    <col min="6152" max="6400" width="8.796875" style="90"/>
    <col min="6401" max="6401" width="13.796875" style="90" customWidth="1"/>
    <col min="6402" max="6407" width="7.5" style="90" customWidth="1"/>
    <col min="6408" max="6656" width="8.796875" style="90"/>
    <col min="6657" max="6657" width="13.796875" style="90" customWidth="1"/>
    <col min="6658" max="6663" width="7.5" style="90" customWidth="1"/>
    <col min="6664" max="6912" width="8.796875" style="90"/>
    <col min="6913" max="6913" width="13.796875" style="90" customWidth="1"/>
    <col min="6914" max="6919" width="7.5" style="90" customWidth="1"/>
    <col min="6920" max="7168" width="8.796875" style="90"/>
    <col min="7169" max="7169" width="13.796875" style="90" customWidth="1"/>
    <col min="7170" max="7175" width="7.5" style="90" customWidth="1"/>
    <col min="7176" max="7424" width="8.796875" style="90"/>
    <col min="7425" max="7425" width="13.796875" style="90" customWidth="1"/>
    <col min="7426" max="7431" width="7.5" style="90" customWidth="1"/>
    <col min="7432" max="7680" width="8.796875" style="90"/>
    <col min="7681" max="7681" width="13.796875" style="90" customWidth="1"/>
    <col min="7682" max="7687" width="7.5" style="90" customWidth="1"/>
    <col min="7688" max="7936" width="8.796875" style="90"/>
    <col min="7937" max="7937" width="13.796875" style="90" customWidth="1"/>
    <col min="7938" max="7943" width="7.5" style="90" customWidth="1"/>
    <col min="7944" max="8192" width="8.796875" style="90"/>
    <col min="8193" max="8193" width="13.796875" style="90" customWidth="1"/>
    <col min="8194" max="8199" width="7.5" style="90" customWidth="1"/>
    <col min="8200" max="8448" width="8.796875" style="90"/>
    <col min="8449" max="8449" width="13.796875" style="90" customWidth="1"/>
    <col min="8450" max="8455" width="7.5" style="90" customWidth="1"/>
    <col min="8456" max="8704" width="8.796875" style="90"/>
    <col min="8705" max="8705" width="13.796875" style="90" customWidth="1"/>
    <col min="8706" max="8711" width="7.5" style="90" customWidth="1"/>
    <col min="8712" max="8960" width="8.796875" style="90"/>
    <col min="8961" max="8961" width="13.796875" style="90" customWidth="1"/>
    <col min="8962" max="8967" width="7.5" style="90" customWidth="1"/>
    <col min="8968" max="9216" width="8.796875" style="90"/>
    <col min="9217" max="9217" width="13.796875" style="90" customWidth="1"/>
    <col min="9218" max="9223" width="7.5" style="90" customWidth="1"/>
    <col min="9224" max="9472" width="8.796875" style="90"/>
    <col min="9473" max="9473" width="13.796875" style="90" customWidth="1"/>
    <col min="9474" max="9479" width="7.5" style="90" customWidth="1"/>
    <col min="9480" max="9728" width="8.796875" style="90"/>
    <col min="9729" max="9729" width="13.796875" style="90" customWidth="1"/>
    <col min="9730" max="9735" width="7.5" style="90" customWidth="1"/>
    <col min="9736" max="9984" width="8.796875" style="90"/>
    <col min="9985" max="9985" width="13.796875" style="90" customWidth="1"/>
    <col min="9986" max="9991" width="7.5" style="90" customWidth="1"/>
    <col min="9992" max="10240" width="8.796875" style="90"/>
    <col min="10241" max="10241" width="13.796875" style="90" customWidth="1"/>
    <col min="10242" max="10247" width="7.5" style="90" customWidth="1"/>
    <col min="10248" max="10496" width="8.796875" style="90"/>
    <col min="10497" max="10497" width="13.796875" style="90" customWidth="1"/>
    <col min="10498" max="10503" width="7.5" style="90" customWidth="1"/>
    <col min="10504" max="10752" width="8.796875" style="90"/>
    <col min="10753" max="10753" width="13.796875" style="90" customWidth="1"/>
    <col min="10754" max="10759" width="7.5" style="90" customWidth="1"/>
    <col min="10760" max="11008" width="8.796875" style="90"/>
    <col min="11009" max="11009" width="13.796875" style="90" customWidth="1"/>
    <col min="11010" max="11015" width="7.5" style="90" customWidth="1"/>
    <col min="11016" max="11264" width="8.796875" style="90"/>
    <col min="11265" max="11265" width="13.796875" style="90" customWidth="1"/>
    <col min="11266" max="11271" width="7.5" style="90" customWidth="1"/>
    <col min="11272" max="11520" width="8.796875" style="90"/>
    <col min="11521" max="11521" width="13.796875" style="90" customWidth="1"/>
    <col min="11522" max="11527" width="7.5" style="90" customWidth="1"/>
    <col min="11528" max="11776" width="8.796875" style="90"/>
    <col min="11777" max="11777" width="13.796875" style="90" customWidth="1"/>
    <col min="11778" max="11783" width="7.5" style="90" customWidth="1"/>
    <col min="11784" max="12032" width="8.796875" style="90"/>
    <col min="12033" max="12033" width="13.796875" style="90" customWidth="1"/>
    <col min="12034" max="12039" width="7.5" style="90" customWidth="1"/>
    <col min="12040" max="12288" width="8.796875" style="90"/>
    <col min="12289" max="12289" width="13.796875" style="90" customWidth="1"/>
    <col min="12290" max="12295" width="7.5" style="90" customWidth="1"/>
    <col min="12296" max="12544" width="8.796875" style="90"/>
    <col min="12545" max="12545" width="13.796875" style="90" customWidth="1"/>
    <col min="12546" max="12551" width="7.5" style="90" customWidth="1"/>
    <col min="12552" max="12800" width="8.796875" style="90"/>
    <col min="12801" max="12801" width="13.796875" style="90" customWidth="1"/>
    <col min="12802" max="12807" width="7.5" style="90" customWidth="1"/>
    <col min="12808" max="13056" width="8.796875" style="90"/>
    <col min="13057" max="13057" width="13.796875" style="90" customWidth="1"/>
    <col min="13058" max="13063" width="7.5" style="90" customWidth="1"/>
    <col min="13064" max="13312" width="8.796875" style="90"/>
    <col min="13313" max="13313" width="13.796875" style="90" customWidth="1"/>
    <col min="13314" max="13319" width="7.5" style="90" customWidth="1"/>
    <col min="13320" max="13568" width="8.796875" style="90"/>
    <col min="13569" max="13569" width="13.796875" style="90" customWidth="1"/>
    <col min="13570" max="13575" width="7.5" style="90" customWidth="1"/>
    <col min="13576" max="13824" width="8.796875" style="90"/>
    <col min="13825" max="13825" width="13.796875" style="90" customWidth="1"/>
    <col min="13826" max="13831" width="7.5" style="90" customWidth="1"/>
    <col min="13832" max="14080" width="8.796875" style="90"/>
    <col min="14081" max="14081" width="13.796875" style="90" customWidth="1"/>
    <col min="14082" max="14087" width="7.5" style="90" customWidth="1"/>
    <col min="14088" max="14336" width="8.796875" style="90"/>
    <col min="14337" max="14337" width="13.796875" style="90" customWidth="1"/>
    <col min="14338" max="14343" width="7.5" style="90" customWidth="1"/>
    <col min="14344" max="14592" width="8.796875" style="90"/>
    <col min="14593" max="14593" width="13.796875" style="90" customWidth="1"/>
    <col min="14594" max="14599" width="7.5" style="90" customWidth="1"/>
    <col min="14600" max="14848" width="8.796875" style="90"/>
    <col min="14849" max="14849" width="13.796875" style="90" customWidth="1"/>
    <col min="14850" max="14855" width="7.5" style="90" customWidth="1"/>
    <col min="14856" max="15104" width="8.796875" style="90"/>
    <col min="15105" max="15105" width="13.796875" style="90" customWidth="1"/>
    <col min="15106" max="15111" width="7.5" style="90" customWidth="1"/>
    <col min="15112" max="15360" width="8.796875" style="90"/>
    <col min="15361" max="15361" width="13.796875" style="90" customWidth="1"/>
    <col min="15362" max="15367" width="7.5" style="90" customWidth="1"/>
    <col min="15368" max="15616" width="8.796875" style="90"/>
    <col min="15617" max="15617" width="13.796875" style="90" customWidth="1"/>
    <col min="15618" max="15623" width="7.5" style="90" customWidth="1"/>
    <col min="15624" max="15872" width="8.796875" style="90"/>
    <col min="15873" max="15873" width="13.796875" style="90" customWidth="1"/>
    <col min="15874" max="15879" width="7.5" style="90" customWidth="1"/>
    <col min="15880" max="16128" width="8.796875" style="90"/>
    <col min="16129" max="16129" width="13.796875" style="90" customWidth="1"/>
    <col min="16130" max="16135" width="7.5" style="90" customWidth="1"/>
    <col min="16136" max="16384" width="8.796875" style="90"/>
  </cols>
  <sheetData>
    <row r="1" spans="1:12" ht="21" customHeight="1">
      <c r="A1" s="617" t="s">
        <v>602</v>
      </c>
      <c r="B1" s="714" t="s">
        <v>603</v>
      </c>
      <c r="C1" s="714"/>
      <c r="D1" s="714"/>
      <c r="E1" s="714"/>
      <c r="F1" s="714"/>
      <c r="G1" s="714"/>
    </row>
    <row r="2" spans="1:12" ht="15" customHeight="1"/>
    <row r="3" spans="1:12" ht="20.25">
      <c r="A3" s="618" t="s">
        <v>604</v>
      </c>
    </row>
    <row r="4" spans="1:12" ht="12" customHeight="1">
      <c r="A4" s="619"/>
      <c r="B4" s="619"/>
      <c r="C4" s="619"/>
      <c r="D4" s="619" t="s">
        <v>605</v>
      </c>
      <c r="E4" s="619"/>
      <c r="F4" s="619"/>
      <c r="G4" s="619"/>
      <c r="H4" s="619"/>
      <c r="I4" s="619"/>
      <c r="J4" s="619"/>
      <c r="K4" s="619"/>
      <c r="L4" s="619"/>
    </row>
    <row r="5" spans="1:12" ht="15.6" customHeight="1">
      <c r="A5" s="620" t="s">
        <v>126</v>
      </c>
      <c r="B5" s="620" t="s">
        <v>606</v>
      </c>
      <c r="C5" s="620" t="s">
        <v>607</v>
      </c>
      <c r="D5" s="620" t="s">
        <v>608</v>
      </c>
      <c r="E5" s="620" t="s">
        <v>609</v>
      </c>
      <c r="F5" s="620" t="s">
        <v>610</v>
      </c>
      <c r="G5" s="620" t="s">
        <v>611</v>
      </c>
      <c r="H5" s="619"/>
      <c r="I5" s="619"/>
      <c r="J5" s="619"/>
      <c r="K5" s="619"/>
      <c r="L5" s="619"/>
    </row>
    <row r="6" spans="1:12" ht="15.6" customHeight="1">
      <c r="A6" s="621" t="s">
        <v>612</v>
      </c>
      <c r="B6" s="621" t="s">
        <v>381</v>
      </c>
      <c r="C6" s="621" t="s">
        <v>381</v>
      </c>
      <c r="D6" s="621" t="s">
        <v>613</v>
      </c>
      <c r="E6" s="621" t="s">
        <v>333</v>
      </c>
      <c r="F6" s="621" t="s">
        <v>614</v>
      </c>
      <c r="G6" s="621" t="s">
        <v>614</v>
      </c>
      <c r="H6" s="619"/>
      <c r="I6" s="619"/>
      <c r="J6" s="619"/>
      <c r="K6" s="619"/>
      <c r="L6" s="619"/>
    </row>
    <row r="7" spans="1:12" ht="15.95" customHeight="1">
      <c r="A7" s="622" t="s">
        <v>615</v>
      </c>
      <c r="B7" s="622" t="s">
        <v>616</v>
      </c>
      <c r="C7" s="622" t="s">
        <v>617</v>
      </c>
      <c r="D7" s="622" t="s">
        <v>618</v>
      </c>
      <c r="E7" s="622" t="s">
        <v>619</v>
      </c>
      <c r="F7" s="622" t="s">
        <v>620</v>
      </c>
      <c r="G7" s="622" t="s">
        <v>621</v>
      </c>
      <c r="H7" s="619"/>
      <c r="I7" s="619"/>
      <c r="J7" s="619"/>
      <c r="K7" s="619"/>
      <c r="L7" s="619"/>
    </row>
    <row r="8" spans="1:12" ht="15.95" customHeight="1">
      <c r="A8" s="622" t="s">
        <v>622</v>
      </c>
      <c r="B8" s="622" t="s">
        <v>623</v>
      </c>
      <c r="C8" s="622" t="s">
        <v>624</v>
      </c>
      <c r="D8" s="622" t="s">
        <v>625</v>
      </c>
      <c r="E8" s="622" t="s">
        <v>626</v>
      </c>
      <c r="F8" s="622" t="s">
        <v>627</v>
      </c>
      <c r="G8" s="622" t="s">
        <v>628</v>
      </c>
      <c r="H8" s="619"/>
      <c r="I8" s="619"/>
      <c r="J8" s="619"/>
      <c r="K8" s="619"/>
      <c r="L8" s="619"/>
    </row>
    <row r="9" spans="1:12" ht="15.95" customHeight="1">
      <c r="A9" s="622" t="s">
        <v>629</v>
      </c>
      <c r="B9" s="622" t="s">
        <v>616</v>
      </c>
      <c r="C9" s="622" t="s">
        <v>630</v>
      </c>
      <c r="D9" s="622" t="s">
        <v>631</v>
      </c>
      <c r="E9" s="622" t="s">
        <v>632</v>
      </c>
      <c r="F9" s="622" t="s">
        <v>633</v>
      </c>
      <c r="G9" s="622" t="s">
        <v>634</v>
      </c>
      <c r="H9" s="619"/>
      <c r="I9" s="619"/>
      <c r="J9" s="619"/>
      <c r="K9" s="619"/>
      <c r="L9" s="619"/>
    </row>
    <row r="10" spans="1:12" ht="15.95" customHeight="1">
      <c r="A10" s="622" t="s">
        <v>635</v>
      </c>
      <c r="B10" s="622" t="s">
        <v>616</v>
      </c>
      <c r="C10" s="622" t="s">
        <v>630</v>
      </c>
      <c r="D10" s="622" t="s">
        <v>631</v>
      </c>
      <c r="E10" s="622" t="s">
        <v>636</v>
      </c>
      <c r="F10" s="622" t="s">
        <v>637</v>
      </c>
      <c r="G10" s="622" t="s">
        <v>638</v>
      </c>
      <c r="H10" s="619"/>
      <c r="I10" s="619"/>
      <c r="J10" s="619"/>
      <c r="K10" s="619"/>
      <c r="L10" s="619"/>
    </row>
    <row r="11" spans="1:12" ht="15.95" customHeight="1">
      <c r="A11" s="622" t="s">
        <v>639</v>
      </c>
      <c r="B11" s="622" t="s">
        <v>616</v>
      </c>
      <c r="C11" s="622" t="s">
        <v>640</v>
      </c>
      <c r="D11" s="622" t="s">
        <v>641</v>
      </c>
      <c r="E11" s="622" t="s">
        <v>642</v>
      </c>
      <c r="F11" s="622" t="s">
        <v>643</v>
      </c>
      <c r="G11" s="622" t="s">
        <v>644</v>
      </c>
      <c r="H11" s="619"/>
      <c r="I11" s="619"/>
      <c r="J11" s="619"/>
      <c r="K11" s="619"/>
      <c r="L11" s="619"/>
    </row>
    <row r="12" spans="1:12" ht="15.95" customHeight="1">
      <c r="A12" s="622" t="s">
        <v>645</v>
      </c>
      <c r="B12" s="622" t="s">
        <v>616</v>
      </c>
      <c r="C12" s="622" t="s">
        <v>646</v>
      </c>
      <c r="D12" s="622" t="s">
        <v>647</v>
      </c>
      <c r="E12" s="622" t="s">
        <v>648</v>
      </c>
      <c r="F12" s="622" t="s">
        <v>649</v>
      </c>
      <c r="G12" s="622" t="s">
        <v>650</v>
      </c>
      <c r="H12" s="619"/>
      <c r="I12" s="619"/>
      <c r="J12" s="619"/>
      <c r="K12" s="619"/>
      <c r="L12" s="619"/>
    </row>
    <row r="13" spans="1:12" ht="15.95" customHeight="1">
      <c r="A13" s="622" t="s">
        <v>651</v>
      </c>
      <c r="B13" s="622" t="s">
        <v>652</v>
      </c>
      <c r="C13" s="622" t="s">
        <v>653</v>
      </c>
      <c r="D13" s="622" t="s">
        <v>654</v>
      </c>
      <c r="E13" s="622" t="s">
        <v>655</v>
      </c>
      <c r="F13" s="622" t="s">
        <v>656</v>
      </c>
      <c r="G13" s="622" t="s">
        <v>657</v>
      </c>
      <c r="H13" s="619"/>
      <c r="I13" s="619"/>
      <c r="J13" s="619"/>
      <c r="K13" s="619"/>
      <c r="L13" s="619"/>
    </row>
    <row r="14" spans="1:12" ht="15.95" customHeight="1">
      <c r="A14" s="622" t="s">
        <v>658</v>
      </c>
      <c r="B14" s="622" t="s">
        <v>659</v>
      </c>
      <c r="C14" s="622" t="s">
        <v>660</v>
      </c>
      <c r="D14" s="622" t="s">
        <v>661</v>
      </c>
      <c r="E14" s="622" t="s">
        <v>662</v>
      </c>
      <c r="F14" s="622" t="s">
        <v>663</v>
      </c>
      <c r="G14" s="622" t="s">
        <v>664</v>
      </c>
      <c r="H14" s="619"/>
      <c r="I14" s="619"/>
      <c r="J14" s="619"/>
      <c r="K14" s="619"/>
      <c r="L14" s="619"/>
    </row>
    <row r="15" spans="1:12" ht="15.95" customHeight="1">
      <c r="A15" s="622" t="s">
        <v>665</v>
      </c>
      <c r="B15" s="622" t="s">
        <v>666</v>
      </c>
      <c r="C15" s="622" t="s">
        <v>667</v>
      </c>
      <c r="D15" s="622" t="s">
        <v>668</v>
      </c>
      <c r="E15" s="622" t="s">
        <v>669</v>
      </c>
      <c r="F15" s="622" t="s">
        <v>670</v>
      </c>
      <c r="G15" s="622" t="s">
        <v>671</v>
      </c>
      <c r="H15" s="619"/>
      <c r="I15" s="619"/>
      <c r="J15" s="619"/>
      <c r="K15" s="619"/>
      <c r="L15" s="619"/>
    </row>
    <row r="16" spans="1:12" ht="15.95" customHeight="1">
      <c r="A16" s="622" t="s">
        <v>672</v>
      </c>
      <c r="B16" s="622" t="s">
        <v>673</v>
      </c>
      <c r="C16" s="622" t="s">
        <v>674</v>
      </c>
      <c r="D16" s="622" t="s">
        <v>675</v>
      </c>
      <c r="E16" s="622" t="s">
        <v>676</v>
      </c>
      <c r="F16" s="622" t="s">
        <v>677</v>
      </c>
      <c r="G16" s="622" t="s">
        <v>678</v>
      </c>
      <c r="H16" s="619"/>
      <c r="I16" s="619"/>
      <c r="J16" s="619"/>
      <c r="K16" s="619"/>
      <c r="L16" s="619"/>
    </row>
    <row r="17" spans="1:12" ht="15.95" customHeight="1">
      <c r="A17" s="622" t="s">
        <v>679</v>
      </c>
      <c r="B17" s="622" t="s">
        <v>680</v>
      </c>
      <c r="C17" s="622" t="s">
        <v>681</v>
      </c>
      <c r="D17" s="622" t="s">
        <v>682</v>
      </c>
      <c r="E17" s="622" t="s">
        <v>683</v>
      </c>
      <c r="F17" s="622" t="s">
        <v>684</v>
      </c>
      <c r="G17" s="622" t="s">
        <v>685</v>
      </c>
      <c r="H17" s="619"/>
      <c r="I17" s="619"/>
      <c r="J17" s="619"/>
      <c r="K17" s="619"/>
      <c r="L17" s="619"/>
    </row>
    <row r="18" spans="1:12" ht="15.95" customHeight="1">
      <c r="A18" s="622" t="s">
        <v>686</v>
      </c>
      <c r="B18" s="622" t="s">
        <v>687</v>
      </c>
      <c r="C18" s="622" t="s">
        <v>688</v>
      </c>
      <c r="D18" s="622" t="s">
        <v>689</v>
      </c>
      <c r="E18" s="622" t="s">
        <v>690</v>
      </c>
      <c r="F18" s="622" t="s">
        <v>691</v>
      </c>
      <c r="G18" s="622" t="s">
        <v>692</v>
      </c>
      <c r="H18" s="619"/>
      <c r="I18" s="619"/>
      <c r="J18" s="619"/>
      <c r="K18" s="619"/>
      <c r="L18" s="619"/>
    </row>
    <row r="19" spans="1:12" ht="15.95" customHeight="1">
      <c r="A19" s="622" t="s">
        <v>693</v>
      </c>
      <c r="B19" s="622" t="s">
        <v>694</v>
      </c>
      <c r="C19" s="622" t="s">
        <v>695</v>
      </c>
      <c r="D19" s="622" t="s">
        <v>696</v>
      </c>
      <c r="E19" s="622" t="s">
        <v>697</v>
      </c>
      <c r="F19" s="622" t="s">
        <v>698</v>
      </c>
      <c r="G19" s="622" t="s">
        <v>699</v>
      </c>
      <c r="H19" s="619"/>
      <c r="I19" s="619"/>
      <c r="J19" s="619"/>
      <c r="K19" s="619"/>
      <c r="L19" s="619"/>
    </row>
    <row r="20" spans="1:12" ht="15.75">
      <c r="A20" s="619"/>
      <c r="B20" s="619"/>
      <c r="C20" s="619"/>
      <c r="D20" s="619"/>
      <c r="E20" s="619"/>
      <c r="F20" s="619"/>
      <c r="G20" s="619"/>
      <c r="H20" s="619"/>
      <c r="I20" s="619"/>
      <c r="J20" s="619"/>
      <c r="K20" s="619"/>
      <c r="L20" s="619"/>
    </row>
    <row r="21" spans="1:12" ht="15.75">
      <c r="A21" s="619"/>
      <c r="B21" s="619"/>
      <c r="C21" s="619"/>
      <c r="D21" s="715" t="s">
        <v>700</v>
      </c>
      <c r="E21" s="716"/>
      <c r="F21" s="716"/>
      <c r="G21" s="717"/>
      <c r="H21" s="619"/>
      <c r="I21" s="619"/>
      <c r="J21" s="619"/>
      <c r="K21" s="619"/>
      <c r="L21" s="619"/>
    </row>
    <row r="22" spans="1:12" ht="17.25" customHeight="1">
      <c r="A22" s="619"/>
      <c r="B22" s="718" t="s">
        <v>701</v>
      </c>
      <c r="C22" s="718"/>
      <c r="D22" s="718" t="s">
        <v>702</v>
      </c>
      <c r="E22" s="718"/>
      <c r="F22" s="718" t="s">
        <v>703</v>
      </c>
      <c r="G22" s="718"/>
      <c r="H22" s="619"/>
      <c r="I22" s="619"/>
      <c r="J22" s="619"/>
      <c r="K22" s="619"/>
      <c r="L22" s="619"/>
    </row>
    <row r="23" spans="1:12" ht="15.75">
      <c r="A23" s="624" t="s">
        <v>704</v>
      </c>
      <c r="B23" s="713" t="s">
        <v>705</v>
      </c>
      <c r="C23" s="713"/>
      <c r="D23" s="713" t="s">
        <v>706</v>
      </c>
      <c r="E23" s="713"/>
      <c r="F23" s="713" t="s">
        <v>707</v>
      </c>
      <c r="G23" s="713"/>
      <c r="H23" s="619"/>
      <c r="I23" s="619"/>
      <c r="J23" s="619"/>
      <c r="K23" s="619"/>
      <c r="L23" s="619"/>
    </row>
    <row r="24" spans="1:12" ht="18" customHeight="1">
      <c r="A24" s="624" t="s">
        <v>708</v>
      </c>
      <c r="B24" s="713" t="s">
        <v>709</v>
      </c>
      <c r="C24" s="713"/>
      <c r="D24" s="713" t="s">
        <v>710</v>
      </c>
      <c r="E24" s="713"/>
      <c r="F24" s="713" t="s">
        <v>711</v>
      </c>
      <c r="G24" s="713"/>
      <c r="H24" s="619"/>
      <c r="I24" s="619"/>
      <c r="J24" s="619"/>
      <c r="K24" s="619"/>
      <c r="L24" s="619"/>
    </row>
    <row r="25" spans="1:12" ht="15.75">
      <c r="A25" s="624" t="s">
        <v>712</v>
      </c>
      <c r="B25" s="713" t="s">
        <v>713</v>
      </c>
      <c r="C25" s="713"/>
      <c r="D25" s="713" t="s">
        <v>714</v>
      </c>
      <c r="E25" s="713"/>
      <c r="F25" s="713" t="s">
        <v>715</v>
      </c>
      <c r="G25" s="713"/>
      <c r="H25" s="619"/>
      <c r="I25" s="619"/>
      <c r="J25" s="619"/>
      <c r="K25" s="619"/>
      <c r="L25" s="619"/>
    </row>
    <row r="26" spans="1:12" ht="15.75">
      <c r="A26" s="619"/>
      <c r="B26" s="619"/>
      <c r="C26" s="619"/>
      <c r="D26" s="619"/>
      <c r="E26" s="619"/>
      <c r="F26" s="619"/>
      <c r="G26" s="619"/>
      <c r="H26" s="619"/>
      <c r="I26" s="619"/>
      <c r="J26" s="619"/>
      <c r="K26" s="619"/>
      <c r="L26" s="619"/>
    </row>
    <row r="27" spans="1:12" ht="20.25">
      <c r="A27" s="618" t="s">
        <v>716</v>
      </c>
      <c r="B27" s="619"/>
      <c r="C27" s="619"/>
      <c r="D27" s="619"/>
      <c r="E27" s="619"/>
      <c r="F27" s="619"/>
      <c r="G27" s="619"/>
      <c r="H27" s="619"/>
      <c r="I27" s="619"/>
      <c r="J27" s="619"/>
      <c r="K27" s="619"/>
      <c r="L27" s="619"/>
    </row>
    <row r="28" spans="1:12" ht="15.75">
      <c r="A28" s="619"/>
      <c r="B28" s="619"/>
      <c r="C28" s="619"/>
      <c r="D28" s="619"/>
      <c r="E28" s="719" t="s">
        <v>717</v>
      </c>
      <c r="F28" s="716"/>
      <c r="G28" s="717"/>
      <c r="H28" s="619"/>
      <c r="I28" s="619"/>
      <c r="J28" s="619"/>
      <c r="K28" s="619"/>
      <c r="L28" s="619"/>
    </row>
    <row r="29" spans="1:12" ht="15.75">
      <c r="A29" s="619"/>
      <c r="B29" s="718" t="s">
        <v>718</v>
      </c>
      <c r="C29" s="718"/>
      <c r="D29" s="623" t="s">
        <v>719</v>
      </c>
      <c r="E29" s="623" t="s">
        <v>720</v>
      </c>
      <c r="F29" s="718" t="s">
        <v>721</v>
      </c>
      <c r="G29" s="718"/>
      <c r="H29" s="619"/>
      <c r="I29" s="619"/>
      <c r="J29" s="619"/>
      <c r="K29" s="619"/>
      <c r="L29" s="619"/>
    </row>
    <row r="30" spans="1:12" ht="15.75">
      <c r="A30" s="624" t="s">
        <v>722</v>
      </c>
      <c r="B30" s="713" t="s">
        <v>723</v>
      </c>
      <c r="C30" s="713"/>
      <c r="D30" s="622" t="s">
        <v>724</v>
      </c>
      <c r="E30" s="622" t="s">
        <v>725</v>
      </c>
      <c r="F30" s="713" t="s">
        <v>726</v>
      </c>
      <c r="G30" s="713"/>
      <c r="H30" s="619"/>
      <c r="I30" s="619"/>
      <c r="J30" s="619"/>
      <c r="K30" s="619"/>
      <c r="L30" s="619"/>
    </row>
    <row r="31" spans="1:12" ht="15.75">
      <c r="A31" s="624" t="s">
        <v>727</v>
      </c>
      <c r="B31" s="713" t="s">
        <v>728</v>
      </c>
      <c r="C31" s="713"/>
      <c r="D31" s="622" t="s">
        <v>729</v>
      </c>
      <c r="E31" s="622" t="s">
        <v>730</v>
      </c>
      <c r="F31" s="713" t="s">
        <v>731</v>
      </c>
      <c r="G31" s="713"/>
      <c r="H31" s="619"/>
      <c r="I31" s="619"/>
      <c r="J31" s="619"/>
      <c r="K31" s="619"/>
      <c r="L31" s="619"/>
    </row>
    <row r="32" spans="1:12" ht="15.75">
      <c r="A32" s="624" t="s">
        <v>732</v>
      </c>
      <c r="B32" s="713" t="s">
        <v>733</v>
      </c>
      <c r="C32" s="713"/>
      <c r="D32" s="622" t="s">
        <v>734</v>
      </c>
      <c r="E32" s="622" t="s">
        <v>735</v>
      </c>
      <c r="F32" s="713" t="s">
        <v>736</v>
      </c>
      <c r="G32" s="713"/>
      <c r="H32" s="619"/>
      <c r="I32" s="619"/>
      <c r="J32" s="619"/>
      <c r="K32" s="619"/>
      <c r="L32" s="619"/>
    </row>
    <row r="33" spans="1:12" ht="15.75">
      <c r="A33" s="619"/>
      <c r="B33" s="619"/>
      <c r="C33" s="619"/>
      <c r="D33" s="619"/>
      <c r="E33" s="619"/>
      <c r="F33" s="619"/>
      <c r="G33" s="619"/>
      <c r="H33" s="619"/>
      <c r="I33" s="619"/>
      <c r="J33" s="619"/>
      <c r="K33" s="619"/>
      <c r="L33" s="619"/>
    </row>
    <row r="34" spans="1:12" ht="15.75">
      <c r="A34" s="619"/>
      <c r="B34" s="619"/>
      <c r="C34" s="619"/>
      <c r="D34" s="619"/>
      <c r="E34" s="719" t="s">
        <v>737</v>
      </c>
      <c r="F34" s="716"/>
      <c r="G34" s="717"/>
      <c r="H34" s="619"/>
      <c r="I34" s="619"/>
      <c r="J34" s="619"/>
      <c r="K34" s="619"/>
      <c r="L34" s="619"/>
    </row>
    <row r="35" spans="1:12" ht="15.75">
      <c r="A35" s="619"/>
      <c r="B35" s="718" t="s">
        <v>738</v>
      </c>
      <c r="C35" s="718"/>
      <c r="D35" s="623" t="s">
        <v>720</v>
      </c>
      <c r="E35" s="623" t="s">
        <v>739</v>
      </c>
      <c r="F35" s="623" t="s">
        <v>251</v>
      </c>
      <c r="G35" s="623" t="s">
        <v>740</v>
      </c>
      <c r="H35" s="619"/>
      <c r="I35" s="619"/>
      <c r="J35" s="619"/>
      <c r="K35" s="619"/>
      <c r="L35" s="619"/>
    </row>
    <row r="36" spans="1:12" ht="15.75">
      <c r="A36" s="624" t="s">
        <v>722</v>
      </c>
      <c r="B36" s="720" t="s">
        <v>741</v>
      </c>
      <c r="C36" s="721"/>
      <c r="D36" s="625" t="s">
        <v>742</v>
      </c>
      <c r="E36" s="625" t="s">
        <v>24</v>
      </c>
      <c r="F36" s="626" t="s">
        <v>743</v>
      </c>
      <c r="G36" s="622" t="s">
        <v>744</v>
      </c>
      <c r="H36" s="619"/>
      <c r="I36" s="619"/>
      <c r="J36" s="619"/>
      <c r="K36" s="619"/>
      <c r="L36" s="619"/>
    </row>
    <row r="37" spans="1:12" ht="15.75">
      <c r="A37" s="624" t="s">
        <v>727</v>
      </c>
      <c r="B37" s="720" t="s">
        <v>745</v>
      </c>
      <c r="C37" s="721"/>
      <c r="D37" s="625" t="s">
        <v>746</v>
      </c>
      <c r="E37" s="625" t="s">
        <v>24</v>
      </c>
      <c r="F37" s="626" t="s">
        <v>747</v>
      </c>
      <c r="G37" s="627" t="s">
        <v>748</v>
      </c>
      <c r="H37" s="619"/>
      <c r="I37" s="619"/>
      <c r="J37" s="619"/>
      <c r="K37" s="619"/>
      <c r="L37" s="619"/>
    </row>
    <row r="38" spans="1:12" ht="15.75">
      <c r="A38" s="624" t="s">
        <v>732</v>
      </c>
      <c r="B38" s="720" t="s">
        <v>745</v>
      </c>
      <c r="C38" s="721"/>
      <c r="D38" s="625" t="s">
        <v>749</v>
      </c>
      <c r="E38" s="625" t="s">
        <v>24</v>
      </c>
      <c r="F38" s="626" t="s">
        <v>750</v>
      </c>
      <c r="G38" s="622" t="s">
        <v>751</v>
      </c>
      <c r="H38" s="619"/>
      <c r="I38" s="619"/>
      <c r="J38" s="619"/>
      <c r="K38" s="619"/>
      <c r="L38" s="619"/>
    </row>
    <row r="39" spans="1:12" ht="15.75">
      <c r="A39" s="619"/>
      <c r="B39" s="619"/>
      <c r="C39" s="619"/>
      <c r="D39" s="619"/>
      <c r="E39" s="619"/>
      <c r="F39" s="619"/>
      <c r="G39" s="619"/>
      <c r="H39" s="619"/>
      <c r="I39" s="619"/>
      <c r="J39" s="619"/>
      <c r="K39" s="619"/>
      <c r="L39" s="619"/>
    </row>
    <row r="40" spans="1:12" ht="15.75">
      <c r="A40" s="628" t="s">
        <v>752</v>
      </c>
      <c r="B40" s="722" t="s">
        <v>753</v>
      </c>
      <c r="C40" s="722"/>
      <c r="D40" s="723" t="s">
        <v>754</v>
      </c>
      <c r="E40" s="723"/>
      <c r="F40" s="722" t="s">
        <v>755</v>
      </c>
      <c r="G40" s="722"/>
      <c r="H40" s="619"/>
      <c r="I40" s="619"/>
      <c r="J40" s="619"/>
      <c r="K40" s="619"/>
      <c r="L40" s="619"/>
    </row>
    <row r="41" spans="1:12" ht="15.75">
      <c r="A41" s="619"/>
      <c r="B41" s="619"/>
      <c r="C41" s="619"/>
      <c r="D41" s="619"/>
      <c r="E41" s="619"/>
      <c r="F41" s="619"/>
      <c r="G41" s="619"/>
      <c r="H41" s="619"/>
      <c r="I41" s="619"/>
      <c r="J41" s="619"/>
      <c r="K41" s="619"/>
      <c r="L41" s="619"/>
    </row>
    <row r="42" spans="1:12" ht="15.75">
      <c r="A42" s="619"/>
      <c r="B42" s="619"/>
      <c r="C42" s="619"/>
      <c r="D42" s="619"/>
      <c r="E42" s="619"/>
      <c r="F42" s="619"/>
      <c r="G42" s="619"/>
      <c r="H42" s="619"/>
      <c r="I42" s="619"/>
      <c r="J42" s="619"/>
      <c r="K42" s="619"/>
      <c r="L42" s="619"/>
    </row>
    <row r="43" spans="1:12" ht="15.75">
      <c r="A43" s="619"/>
      <c r="B43" s="619"/>
      <c r="C43" s="619"/>
      <c r="D43" s="619"/>
      <c r="E43" s="619"/>
      <c r="F43" s="619"/>
      <c r="G43" s="619"/>
      <c r="H43" s="619"/>
      <c r="I43" s="619"/>
      <c r="J43" s="619"/>
      <c r="K43" s="619"/>
      <c r="L43" s="619"/>
    </row>
    <row r="44" spans="1:12" ht="15.75">
      <c r="A44" s="619"/>
      <c r="B44" s="619"/>
      <c r="C44" s="619"/>
      <c r="D44" s="619"/>
      <c r="E44" s="619"/>
      <c r="F44" s="619"/>
      <c r="G44" s="619"/>
      <c r="H44" s="619"/>
      <c r="I44" s="619"/>
      <c r="J44" s="619"/>
      <c r="K44" s="619"/>
      <c r="L44" s="619"/>
    </row>
    <row r="45" spans="1:12" ht="15.75">
      <c r="A45" s="619"/>
      <c r="B45" s="619"/>
      <c r="C45" s="619"/>
      <c r="D45" s="619"/>
      <c r="E45" s="619"/>
      <c r="F45" s="619"/>
      <c r="G45" s="619"/>
      <c r="H45" s="619"/>
      <c r="I45" s="619"/>
      <c r="J45" s="619"/>
      <c r="K45" s="619"/>
      <c r="L45" s="619"/>
    </row>
    <row r="46" spans="1:12" ht="15.75">
      <c r="A46" s="619"/>
      <c r="B46" s="619"/>
      <c r="C46" s="619"/>
      <c r="D46" s="619"/>
      <c r="E46" s="619"/>
      <c r="F46" s="619"/>
      <c r="G46" s="619"/>
      <c r="H46" s="619"/>
      <c r="I46" s="619"/>
      <c r="J46" s="619"/>
      <c r="K46" s="619"/>
      <c r="L46" s="619"/>
    </row>
    <row r="47" spans="1:12" ht="15.75">
      <c r="A47" s="619"/>
      <c r="B47" s="619"/>
      <c r="C47" s="619"/>
      <c r="D47" s="619"/>
      <c r="E47" s="619"/>
      <c r="F47" s="619"/>
      <c r="G47" s="619"/>
      <c r="H47" s="619"/>
      <c r="I47" s="619"/>
      <c r="J47" s="619"/>
      <c r="K47" s="619"/>
      <c r="L47" s="619"/>
    </row>
    <row r="48" spans="1:12" ht="15.75">
      <c r="A48" s="619"/>
      <c r="B48" s="619"/>
      <c r="C48" s="619"/>
      <c r="D48" s="619"/>
      <c r="E48" s="619"/>
      <c r="F48" s="619"/>
      <c r="G48" s="619"/>
      <c r="H48" s="619"/>
      <c r="I48" s="619"/>
      <c r="J48" s="619"/>
      <c r="K48" s="619"/>
      <c r="L48" s="619"/>
    </row>
    <row r="49" spans="1:12" ht="15.75">
      <c r="A49" s="619"/>
      <c r="B49" s="619"/>
      <c r="C49" s="619"/>
      <c r="D49" s="619"/>
      <c r="E49" s="619"/>
      <c r="F49" s="619"/>
      <c r="G49" s="619"/>
      <c r="H49" s="619"/>
      <c r="I49" s="619"/>
      <c r="J49" s="619"/>
      <c r="K49" s="619"/>
      <c r="L49" s="619"/>
    </row>
    <row r="50" spans="1:12" ht="15.75">
      <c r="A50" s="619"/>
      <c r="B50" s="619"/>
      <c r="C50" s="619"/>
      <c r="D50" s="619"/>
      <c r="E50" s="619"/>
      <c r="F50" s="619"/>
      <c r="G50" s="619"/>
      <c r="H50" s="619"/>
      <c r="I50" s="619"/>
      <c r="J50" s="619"/>
      <c r="K50" s="619"/>
      <c r="L50" s="619"/>
    </row>
    <row r="51" spans="1:12" ht="15.75">
      <c r="A51" s="619"/>
      <c r="B51" s="619"/>
      <c r="C51" s="619"/>
      <c r="D51" s="619"/>
      <c r="E51" s="619"/>
      <c r="F51" s="619"/>
      <c r="G51" s="619"/>
      <c r="H51" s="619"/>
      <c r="I51" s="619"/>
      <c r="J51" s="619"/>
      <c r="K51" s="619"/>
      <c r="L51" s="619"/>
    </row>
    <row r="52" spans="1:12" ht="15.75">
      <c r="A52" s="619"/>
      <c r="B52" s="619"/>
      <c r="C52" s="619"/>
      <c r="D52" s="619"/>
      <c r="E52" s="619"/>
      <c r="F52" s="619"/>
      <c r="G52" s="619"/>
      <c r="H52" s="619"/>
      <c r="I52" s="619"/>
      <c r="J52" s="619"/>
      <c r="K52" s="619"/>
      <c r="L52" s="619"/>
    </row>
    <row r="53" spans="1:12" ht="15.75">
      <c r="A53" s="619"/>
      <c r="B53" s="619"/>
      <c r="C53" s="619"/>
      <c r="D53" s="619"/>
      <c r="E53" s="619"/>
      <c r="F53" s="619"/>
      <c r="G53" s="619"/>
      <c r="H53" s="619"/>
      <c r="I53" s="619"/>
      <c r="J53" s="619"/>
      <c r="K53" s="619"/>
      <c r="L53" s="619"/>
    </row>
    <row r="54" spans="1:12" ht="15.75">
      <c r="A54" s="619"/>
      <c r="B54" s="619"/>
      <c r="C54" s="619"/>
      <c r="D54" s="619"/>
      <c r="E54" s="619"/>
      <c r="F54" s="619"/>
      <c r="G54" s="619"/>
      <c r="H54" s="619"/>
      <c r="I54" s="619"/>
      <c r="J54" s="619"/>
      <c r="K54" s="619"/>
      <c r="L54" s="619"/>
    </row>
    <row r="55" spans="1:12" ht="15.75">
      <c r="A55" s="619"/>
      <c r="B55" s="619"/>
      <c r="C55" s="619"/>
      <c r="D55" s="619"/>
      <c r="E55" s="619"/>
      <c r="F55" s="619"/>
      <c r="G55" s="619"/>
      <c r="H55" s="619"/>
      <c r="I55" s="619"/>
      <c r="J55" s="619"/>
      <c r="K55" s="619"/>
      <c r="L55" s="619"/>
    </row>
    <row r="56" spans="1:12" ht="15.75">
      <c r="A56" s="619"/>
      <c r="B56" s="619"/>
      <c r="C56" s="619"/>
      <c r="D56" s="619"/>
      <c r="E56" s="619"/>
      <c r="F56" s="619"/>
      <c r="G56" s="619"/>
      <c r="H56" s="619"/>
      <c r="I56" s="619"/>
      <c r="J56" s="619"/>
      <c r="K56" s="619"/>
      <c r="L56" s="619"/>
    </row>
    <row r="57" spans="1:12" ht="15.75">
      <c r="A57" s="619"/>
      <c r="B57" s="619"/>
      <c r="C57" s="619"/>
      <c r="D57" s="619"/>
      <c r="E57" s="619"/>
      <c r="F57" s="619"/>
      <c r="G57" s="619"/>
      <c r="H57" s="619"/>
      <c r="I57" s="619"/>
      <c r="J57" s="619"/>
      <c r="K57" s="619"/>
      <c r="L57" s="619"/>
    </row>
    <row r="58" spans="1:12" ht="15.75">
      <c r="A58" s="619"/>
      <c r="B58" s="619"/>
      <c r="C58" s="619"/>
      <c r="D58" s="619"/>
      <c r="E58" s="619"/>
      <c r="F58" s="619"/>
      <c r="G58" s="619"/>
      <c r="H58" s="619"/>
      <c r="I58" s="619"/>
      <c r="J58" s="619"/>
      <c r="K58" s="619"/>
      <c r="L58" s="619"/>
    </row>
    <row r="59" spans="1:12" ht="15.75">
      <c r="A59" s="619"/>
      <c r="B59" s="619"/>
      <c r="C59" s="619"/>
      <c r="D59" s="619"/>
      <c r="E59" s="619"/>
      <c r="F59" s="619"/>
      <c r="G59" s="619"/>
      <c r="H59" s="619"/>
      <c r="I59" s="619"/>
      <c r="J59" s="619"/>
      <c r="K59" s="619"/>
      <c r="L59" s="619"/>
    </row>
    <row r="60" spans="1:12" ht="15.75">
      <c r="A60" s="619"/>
      <c r="B60" s="619"/>
      <c r="C60" s="619"/>
      <c r="D60" s="619"/>
      <c r="E60" s="619"/>
      <c r="F60" s="619"/>
      <c r="G60" s="619"/>
      <c r="H60" s="619"/>
      <c r="I60" s="619"/>
      <c r="J60" s="619"/>
      <c r="K60" s="619"/>
      <c r="L60" s="619"/>
    </row>
    <row r="61" spans="1:12" ht="15.75">
      <c r="A61" s="619"/>
      <c r="B61" s="619"/>
      <c r="C61" s="619"/>
      <c r="D61" s="619"/>
      <c r="E61" s="619"/>
      <c r="F61" s="619"/>
      <c r="G61" s="619"/>
      <c r="H61" s="619"/>
      <c r="I61" s="619"/>
      <c r="J61" s="619"/>
      <c r="K61" s="619"/>
      <c r="L61" s="619"/>
    </row>
  </sheetData>
  <mergeCells count="31">
    <mergeCell ref="B38:C38"/>
    <mergeCell ref="B40:C40"/>
    <mergeCell ref="D40:E40"/>
    <mergeCell ref="F40:G40"/>
    <mergeCell ref="B32:C32"/>
    <mergeCell ref="F32:G32"/>
    <mergeCell ref="E34:G34"/>
    <mergeCell ref="B35:C35"/>
    <mergeCell ref="B36:C36"/>
    <mergeCell ref="B37:C37"/>
    <mergeCell ref="B31:C31"/>
    <mergeCell ref="F31:G31"/>
    <mergeCell ref="B24:C24"/>
    <mergeCell ref="D24:E24"/>
    <mergeCell ref="F24:G24"/>
    <mergeCell ref="B25:C25"/>
    <mergeCell ref="D25:E25"/>
    <mergeCell ref="F25:G25"/>
    <mergeCell ref="E28:G28"/>
    <mergeCell ref="B29:C29"/>
    <mergeCell ref="F29:G29"/>
    <mergeCell ref="B30:C30"/>
    <mergeCell ref="F30:G30"/>
    <mergeCell ref="B23:C23"/>
    <mergeCell ref="D23:E23"/>
    <mergeCell ref="F23:G23"/>
    <mergeCell ref="B1:G1"/>
    <mergeCell ref="D21:G21"/>
    <mergeCell ref="B22:C22"/>
    <mergeCell ref="D22:E22"/>
    <mergeCell ref="F22:G22"/>
  </mergeCells>
  <printOptions horizontalCentered="1"/>
  <pageMargins left="0.75" right="0.75" top="1" bottom="1" header="0.5" footer="0.5"/>
  <pageSetup scale="98" orientation="portrait" horizontalDpi="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7691-8287-4334-A453-A4286A102613}">
  <sheetPr syncVertical="1" syncRef="A1" transitionEvaluation="1"/>
  <dimension ref="A1:AB43"/>
  <sheetViews>
    <sheetView showGridLines="0" zoomScaleNormal="100" workbookViewId="0">
      <selection activeCell="A35" sqref="A35:E35"/>
    </sheetView>
  </sheetViews>
  <sheetFormatPr defaultColWidth="6.796875" defaultRowHeight="12.75"/>
  <cols>
    <col min="1" max="13" width="4.59765625" style="1" customWidth="1"/>
    <col min="14" max="14" width="4.5" style="1" customWidth="1"/>
    <col min="15" max="16" width="6.796875" style="1"/>
    <col min="17" max="17" width="9" style="1" bestFit="1" customWidth="1"/>
    <col min="18" max="16384" width="6.796875" style="1"/>
  </cols>
  <sheetData>
    <row r="1" spans="1:17" ht="15.75" customHeight="1">
      <c r="A1" s="83" t="s">
        <v>62</v>
      </c>
      <c r="B1" s="82"/>
      <c r="C1" s="82"/>
      <c r="D1" s="82"/>
      <c r="E1" s="82"/>
      <c r="F1" s="82"/>
      <c r="G1" s="82"/>
      <c r="H1" s="82"/>
      <c r="I1" s="82"/>
      <c r="J1" s="81" t="s">
        <v>61</v>
      </c>
      <c r="K1" s="80"/>
      <c r="L1" s="79" t="s">
        <v>60</v>
      </c>
      <c r="M1" s="78"/>
    </row>
    <row r="2" spans="1:17" ht="15.75" customHeight="1">
      <c r="A2" s="77" t="s">
        <v>59</v>
      </c>
      <c r="B2" s="76"/>
      <c r="C2" s="76"/>
      <c r="D2" s="76"/>
      <c r="E2" s="76"/>
      <c r="F2" s="76"/>
      <c r="G2" s="76"/>
      <c r="H2" s="76"/>
      <c r="I2" s="76"/>
      <c r="J2" s="73" t="s">
        <v>58</v>
      </c>
      <c r="K2" s="72"/>
      <c r="L2" s="71" t="s">
        <v>57</v>
      </c>
      <c r="M2" s="70"/>
    </row>
    <row r="3" spans="1:17" ht="15.75" customHeight="1">
      <c r="A3" s="75"/>
      <c r="B3" s="4"/>
      <c r="C3" s="4"/>
      <c r="D3" s="4"/>
      <c r="E3" s="4"/>
      <c r="F3" s="4"/>
      <c r="G3" s="4"/>
      <c r="H3" s="4"/>
      <c r="I3" s="4"/>
      <c r="J3" s="73" t="s">
        <v>56</v>
      </c>
      <c r="K3" s="72"/>
      <c r="L3" s="747">
        <v>38309</v>
      </c>
      <c r="M3" s="748"/>
    </row>
    <row r="4" spans="1:17" ht="15.75" customHeight="1">
      <c r="A4" s="749" t="s">
        <v>55</v>
      </c>
      <c r="B4" s="750"/>
      <c r="C4" s="750"/>
      <c r="D4" s="750"/>
      <c r="E4" s="750"/>
      <c r="F4" s="750"/>
      <c r="G4" s="750"/>
      <c r="H4" s="750"/>
      <c r="I4" s="751"/>
      <c r="J4" s="73" t="s">
        <v>54</v>
      </c>
      <c r="K4" s="72"/>
      <c r="L4" s="71" t="s">
        <v>53</v>
      </c>
      <c r="M4" s="70"/>
    </row>
    <row r="5" spans="1:17" ht="15.75" customHeight="1">
      <c r="A5" s="749"/>
      <c r="B5" s="752"/>
      <c r="C5" s="752"/>
      <c r="D5" s="752"/>
      <c r="E5" s="752"/>
      <c r="F5" s="752"/>
      <c r="G5" s="752"/>
      <c r="H5" s="752"/>
      <c r="I5" s="753"/>
      <c r="J5" s="73" t="s">
        <v>52</v>
      </c>
      <c r="K5" s="72"/>
      <c r="L5" s="71" t="s">
        <v>51</v>
      </c>
      <c r="M5" s="70"/>
    </row>
    <row r="6" spans="1:17" ht="15.75" customHeight="1">
      <c r="A6" s="74"/>
      <c r="B6" s="4"/>
      <c r="C6" s="4"/>
      <c r="D6" s="4"/>
      <c r="E6" s="4"/>
      <c r="F6" s="4"/>
      <c r="G6" s="4"/>
      <c r="H6" s="4"/>
      <c r="I6" s="4"/>
      <c r="J6" s="73" t="s">
        <v>50</v>
      </c>
      <c r="K6" s="72"/>
      <c r="L6" s="71" t="s">
        <v>49</v>
      </c>
      <c r="M6" s="70"/>
    </row>
    <row r="7" spans="1:17" ht="15.75" customHeight="1" thickBot="1">
      <c r="A7" s="69" t="s">
        <v>48</v>
      </c>
      <c r="B7" s="68"/>
      <c r="C7" s="68"/>
      <c r="D7" s="68"/>
      <c r="E7" s="68"/>
      <c r="F7" s="68"/>
      <c r="G7" s="68"/>
      <c r="H7" s="68"/>
      <c r="I7" s="68"/>
      <c r="J7" s="67" t="s">
        <v>47</v>
      </c>
      <c r="K7" s="66"/>
      <c r="L7" s="65" t="s">
        <v>46</v>
      </c>
      <c r="M7" s="64"/>
    </row>
    <row r="8" spans="1:17" ht="15.75" customHeight="1">
      <c r="A8" s="516"/>
      <c r="B8" s="506"/>
      <c r="C8" s="506"/>
      <c r="D8" s="506"/>
      <c r="E8" s="506"/>
      <c r="F8" s="506"/>
      <c r="G8" s="506"/>
      <c r="H8" s="506"/>
      <c r="I8" s="506"/>
      <c r="J8" s="506"/>
      <c r="K8" s="517"/>
      <c r="L8" s="518"/>
      <c r="M8" s="519"/>
      <c r="N8" s="5"/>
    </row>
    <row r="9" spans="1:17" ht="15.75" customHeight="1">
      <c r="A9" s="54"/>
      <c r="B9" s="53" t="s">
        <v>45</v>
      </c>
      <c r="C9" s="57" t="s">
        <v>501</v>
      </c>
      <c r="D9" s="520"/>
      <c r="E9" s="520"/>
      <c r="F9" s="520"/>
      <c r="G9" s="520"/>
      <c r="H9" s="520"/>
      <c r="I9" s="520"/>
      <c r="J9" s="520"/>
      <c r="K9" s="521"/>
      <c r="L9" s="54"/>
      <c r="M9" s="520"/>
      <c r="N9" s="5"/>
    </row>
    <row r="10" spans="1:17" ht="15.75" customHeight="1">
      <c r="A10" s="54"/>
      <c r="B10" s="53" t="s">
        <v>44</v>
      </c>
      <c r="C10" s="522" t="s">
        <v>502</v>
      </c>
      <c r="D10" s="54"/>
      <c r="E10" s="54"/>
      <c r="F10" s="54"/>
      <c r="G10" s="54"/>
      <c r="H10" s="54"/>
      <c r="I10" s="54"/>
      <c r="J10" s="54"/>
      <c r="K10" s="54"/>
      <c r="L10" s="54"/>
      <c r="M10" s="54"/>
      <c r="N10" s="5"/>
    </row>
    <row r="11" spans="1:17" ht="15.75" customHeight="1" thickBot="1">
      <c r="A11" s="518"/>
      <c r="B11" s="518"/>
      <c r="C11" s="518"/>
      <c r="D11" s="518"/>
      <c r="E11" s="518"/>
      <c r="F11" s="518"/>
      <c r="G11" s="518"/>
      <c r="H11" s="518"/>
      <c r="I11" s="518"/>
      <c r="J11" s="518"/>
      <c r="K11" s="518"/>
      <c r="L11" s="518"/>
      <c r="M11" s="518"/>
      <c r="N11" s="5"/>
    </row>
    <row r="12" spans="1:17" ht="15.75" customHeight="1" thickBot="1">
      <c r="A12" s="523" t="s">
        <v>43</v>
      </c>
      <c r="B12" s="524"/>
      <c r="C12" s="524"/>
      <c r="D12" s="524"/>
      <c r="E12" s="524"/>
      <c r="F12" s="524"/>
      <c r="G12" s="524"/>
      <c r="H12" s="524"/>
      <c r="I12" s="524"/>
      <c r="J12" s="524"/>
      <c r="K12" s="524"/>
      <c r="L12" s="524"/>
      <c r="M12" s="525"/>
    </row>
    <row r="13" spans="1:17" ht="14.1" customHeight="1" thickTop="1">
      <c r="A13" s="58"/>
      <c r="B13" s="53" t="s">
        <v>42</v>
      </c>
      <c r="C13" s="61">
        <v>1000</v>
      </c>
      <c r="D13" s="54"/>
      <c r="E13" s="53" t="s">
        <v>41</v>
      </c>
      <c r="F13" s="61">
        <v>4000</v>
      </c>
      <c r="G13" s="54"/>
      <c r="H13" s="53" t="s">
        <v>40</v>
      </c>
      <c r="I13" s="61" t="s">
        <v>39</v>
      </c>
      <c r="J13" s="54"/>
      <c r="K13" s="54"/>
      <c r="L13" s="53" t="s">
        <v>38</v>
      </c>
      <c r="M13" s="59">
        <v>3600</v>
      </c>
    </row>
    <row r="14" spans="1:17" ht="14.1" customHeight="1">
      <c r="A14" s="58"/>
      <c r="B14" s="53" t="s">
        <v>37</v>
      </c>
      <c r="C14" s="61" t="s">
        <v>36</v>
      </c>
      <c r="D14" s="54"/>
      <c r="E14" s="53" t="s">
        <v>35</v>
      </c>
      <c r="F14" s="56" t="s">
        <v>503</v>
      </c>
      <c r="G14" s="54"/>
      <c r="H14" s="53" t="s">
        <v>34</v>
      </c>
      <c r="I14" s="61">
        <v>123</v>
      </c>
      <c r="J14" s="54"/>
      <c r="K14" s="54"/>
      <c r="L14" s="53" t="s">
        <v>33</v>
      </c>
      <c r="M14" s="59">
        <v>3580</v>
      </c>
    </row>
    <row r="15" spans="1:17" ht="14.1" customHeight="1">
      <c r="A15" s="58"/>
      <c r="B15" s="53" t="s">
        <v>32</v>
      </c>
      <c r="C15" s="61" t="s">
        <v>134</v>
      </c>
      <c r="D15" s="54"/>
      <c r="E15" s="53" t="s">
        <v>31</v>
      </c>
      <c r="F15" s="63" t="s">
        <v>30</v>
      </c>
      <c r="G15" s="54"/>
      <c r="H15" s="53" t="s">
        <v>29</v>
      </c>
      <c r="I15" s="56" t="s">
        <v>14</v>
      </c>
      <c r="J15" s="54"/>
      <c r="K15" s="54"/>
      <c r="L15" s="53" t="s">
        <v>28</v>
      </c>
      <c r="M15" s="59" t="s">
        <v>22</v>
      </c>
      <c r="Q15" s="62"/>
    </row>
    <row r="16" spans="1:17" ht="14.1" customHeight="1">
      <c r="A16" s="58"/>
      <c r="B16" s="53" t="s">
        <v>27</v>
      </c>
      <c r="C16" s="61" t="s">
        <v>26</v>
      </c>
      <c r="D16" s="54"/>
      <c r="E16" s="53" t="s">
        <v>25</v>
      </c>
      <c r="F16" s="526">
        <v>40</v>
      </c>
      <c r="G16" s="54"/>
      <c r="H16" s="60" t="s">
        <v>23</v>
      </c>
      <c r="I16" s="55" t="s">
        <v>22</v>
      </c>
      <c r="J16" s="54"/>
      <c r="K16" s="54"/>
      <c r="L16" s="53" t="s">
        <v>21</v>
      </c>
      <c r="M16" s="59" t="s">
        <v>20</v>
      </c>
    </row>
    <row r="17" spans="1:19" ht="14.1" customHeight="1">
      <c r="A17" s="58"/>
      <c r="B17" s="53" t="s">
        <v>19</v>
      </c>
      <c r="C17" s="57" t="s">
        <v>504</v>
      </c>
      <c r="D17" s="54"/>
      <c r="E17" s="53"/>
      <c r="F17" s="56"/>
      <c r="G17" s="54"/>
      <c r="H17" s="53" t="s">
        <v>18</v>
      </c>
      <c r="I17" s="55" t="s">
        <v>14</v>
      </c>
      <c r="J17" s="54"/>
      <c r="K17" s="54"/>
      <c r="L17" s="53"/>
      <c r="M17" s="52"/>
    </row>
    <row r="18" spans="1:19" ht="14.1" customHeight="1" thickBot="1">
      <c r="A18" s="51"/>
      <c r="B18" s="49" t="s">
        <v>17</v>
      </c>
      <c r="C18" s="48">
        <v>95</v>
      </c>
      <c r="D18" s="47"/>
      <c r="E18" s="49" t="s">
        <v>16</v>
      </c>
      <c r="F18" s="48" t="s">
        <v>14</v>
      </c>
      <c r="G18" s="50"/>
      <c r="H18" s="49" t="s">
        <v>15</v>
      </c>
      <c r="I18" s="48">
        <v>91.5</v>
      </c>
      <c r="J18" s="47"/>
      <c r="K18" s="47"/>
      <c r="L18" s="47"/>
      <c r="M18" s="46"/>
    </row>
    <row r="19" spans="1:19" ht="15.75" customHeight="1">
      <c r="A19" s="5"/>
      <c r="B19" s="5"/>
      <c r="C19" s="4"/>
      <c r="D19" s="4"/>
      <c r="E19" s="4"/>
      <c r="F19" s="4"/>
      <c r="G19" s="4"/>
      <c r="H19" s="4"/>
      <c r="I19" s="4"/>
      <c r="J19" s="4"/>
      <c r="K19" s="4"/>
      <c r="L19" s="4"/>
      <c r="M19" s="4"/>
      <c r="N19" s="5"/>
    </row>
    <row r="20" spans="1:19" ht="15.75" customHeight="1" thickBot="1">
      <c r="A20" s="45"/>
      <c r="B20" s="45"/>
      <c r="C20" s="45"/>
      <c r="D20" s="45"/>
      <c r="E20" s="45"/>
      <c r="F20" s="45"/>
      <c r="G20" s="45"/>
      <c r="H20" s="45"/>
      <c r="I20" s="45"/>
      <c r="J20" s="45"/>
      <c r="K20" s="45"/>
      <c r="L20" s="45"/>
      <c r="M20" s="45"/>
    </row>
    <row r="21" spans="1:19" ht="15.75" customHeight="1">
      <c r="A21" s="754" t="s">
        <v>13</v>
      </c>
      <c r="B21" s="755"/>
      <c r="C21" s="755"/>
      <c r="D21" s="755"/>
      <c r="E21" s="755"/>
      <c r="F21" s="756">
        <v>0.14905492414921628</v>
      </c>
      <c r="G21" s="756"/>
      <c r="H21" s="756"/>
      <c r="I21" s="757"/>
      <c r="J21" s="20"/>
      <c r="K21" s="20"/>
      <c r="L21" s="20"/>
      <c r="M21" s="20"/>
    </row>
    <row r="22" spans="1:19" ht="15.75" customHeight="1">
      <c r="A22" s="727" t="s">
        <v>12</v>
      </c>
      <c r="B22" s="728"/>
      <c r="C22" s="728"/>
      <c r="D22" s="728"/>
      <c r="E22" s="728"/>
      <c r="F22" s="743">
        <v>0.10938277024814964</v>
      </c>
      <c r="G22" s="743"/>
      <c r="H22" s="743"/>
      <c r="I22" s="744"/>
      <c r="J22" s="44"/>
      <c r="K22" s="43"/>
      <c r="L22" s="43"/>
      <c r="M22" s="43"/>
    </row>
    <row r="23" spans="1:19" ht="15.75" customHeight="1">
      <c r="A23" s="727" t="s">
        <v>11</v>
      </c>
      <c r="B23" s="728"/>
      <c r="C23" s="728"/>
      <c r="D23" s="728"/>
      <c r="E23" s="728"/>
      <c r="F23" s="743">
        <v>0.51452912936717166</v>
      </c>
      <c r="G23" s="743"/>
      <c r="H23" s="743"/>
      <c r="I23" s="744"/>
      <c r="J23" s="14"/>
      <c r="K23" s="42"/>
      <c r="L23" s="42"/>
      <c r="M23" s="42"/>
      <c r="Q23" s="41"/>
    </row>
    <row r="24" spans="1:19" ht="15.75" customHeight="1">
      <c r="A24" s="31"/>
      <c r="B24" s="25"/>
      <c r="C24" s="25"/>
      <c r="D24" s="40"/>
      <c r="E24" s="40"/>
      <c r="F24" s="30"/>
      <c r="G24" s="29"/>
      <c r="H24" s="29"/>
      <c r="I24" s="33"/>
      <c r="J24" s="13"/>
      <c r="K24" s="39"/>
      <c r="L24" s="39"/>
      <c r="M24" s="13"/>
      <c r="N24" s="5"/>
      <c r="P24" s="38"/>
      <c r="S24" s="38"/>
    </row>
    <row r="25" spans="1:19" ht="15.75" customHeight="1">
      <c r="A25" s="745" t="s">
        <v>10</v>
      </c>
      <c r="B25" s="746"/>
      <c r="C25" s="746"/>
      <c r="D25" s="746"/>
      <c r="E25" s="746"/>
      <c r="F25" s="729">
        <v>2.5299999999999998</v>
      </c>
      <c r="G25" s="729"/>
      <c r="H25" s="729"/>
      <c r="I25" s="730"/>
      <c r="J25" s="27"/>
      <c r="K25" s="27"/>
      <c r="L25" s="27"/>
      <c r="M25" s="20"/>
      <c r="N25" s="5"/>
      <c r="Q25" s="37"/>
    </row>
    <row r="26" spans="1:19" ht="15.75" customHeight="1">
      <c r="A26" s="739" t="s">
        <v>9</v>
      </c>
      <c r="B26" s="740"/>
      <c r="C26" s="740"/>
      <c r="D26" s="740"/>
      <c r="E26" s="740"/>
      <c r="F26" s="729">
        <v>1.91</v>
      </c>
      <c r="G26" s="729"/>
      <c r="H26" s="729"/>
      <c r="I26" s="730"/>
      <c r="J26" s="35"/>
      <c r="K26" s="35"/>
      <c r="L26" s="35"/>
      <c r="M26" s="20"/>
      <c r="N26" s="5"/>
      <c r="P26" s="36"/>
    </row>
    <row r="27" spans="1:19" ht="15.75" customHeight="1">
      <c r="A27" s="739" t="s">
        <v>8</v>
      </c>
      <c r="B27" s="740"/>
      <c r="C27" s="740"/>
      <c r="D27" s="740"/>
      <c r="E27" s="740"/>
      <c r="F27" s="729">
        <v>1.1519999999999999</v>
      </c>
      <c r="G27" s="729"/>
      <c r="H27" s="729"/>
      <c r="I27" s="730"/>
      <c r="J27" s="35"/>
      <c r="K27" s="21"/>
      <c r="L27" s="21"/>
      <c r="M27" s="20"/>
      <c r="N27" s="5"/>
    </row>
    <row r="28" spans="1:19" ht="15.75" customHeight="1">
      <c r="A28" s="31"/>
      <c r="B28" s="25"/>
      <c r="C28" s="25"/>
      <c r="D28" s="34"/>
      <c r="E28" s="34"/>
      <c r="F28" s="30"/>
      <c r="G28" s="29"/>
      <c r="H28" s="29"/>
      <c r="I28" s="33"/>
      <c r="J28" s="21"/>
      <c r="K28" s="21"/>
      <c r="L28" s="20"/>
      <c r="M28" s="20"/>
      <c r="N28" s="5"/>
    </row>
    <row r="29" spans="1:19" ht="15.75" customHeight="1">
      <c r="A29" s="727" t="s">
        <v>7</v>
      </c>
      <c r="B29" s="728"/>
      <c r="C29" s="728"/>
      <c r="D29" s="728"/>
      <c r="E29" s="728"/>
      <c r="F29" s="741">
        <v>74.5</v>
      </c>
      <c r="G29" s="741"/>
      <c r="H29" s="741"/>
      <c r="I29" s="742"/>
      <c r="J29" s="20"/>
      <c r="K29" s="20"/>
      <c r="L29" s="20"/>
      <c r="M29" s="14"/>
      <c r="N29" s="5"/>
      <c r="P29" s="32"/>
    </row>
    <row r="30" spans="1:19" ht="15.75" customHeight="1">
      <c r="A30" s="31"/>
      <c r="B30" s="25"/>
      <c r="C30" s="25"/>
      <c r="D30" s="25"/>
      <c r="E30" s="25"/>
      <c r="F30" s="30"/>
      <c r="G30" s="29"/>
      <c r="H30" s="29"/>
      <c r="I30" s="28"/>
      <c r="J30" s="27"/>
      <c r="K30" s="27"/>
      <c r="L30" s="27"/>
      <c r="M30" s="13"/>
      <c r="N30" s="5"/>
    </row>
    <row r="31" spans="1:19" ht="15.75" customHeight="1">
      <c r="A31" s="727" t="s">
        <v>6</v>
      </c>
      <c r="B31" s="728"/>
      <c r="C31" s="728"/>
      <c r="D31" s="728"/>
      <c r="E31" s="728"/>
      <c r="F31" s="729">
        <v>4.3899999999999997</v>
      </c>
      <c r="G31" s="729"/>
      <c r="H31" s="729"/>
      <c r="I31" s="730"/>
      <c r="J31" s="20"/>
      <c r="K31" s="20"/>
      <c r="L31" s="20"/>
      <c r="M31" s="13"/>
      <c r="N31" s="5"/>
      <c r="P31" s="26"/>
    </row>
    <row r="32" spans="1:19" ht="15.75" customHeight="1">
      <c r="A32" s="727" t="s">
        <v>5</v>
      </c>
      <c r="B32" s="728"/>
      <c r="C32" s="728"/>
      <c r="D32" s="728"/>
      <c r="E32" s="728"/>
      <c r="F32" s="729">
        <v>3.24</v>
      </c>
      <c r="G32" s="729"/>
      <c r="H32" s="729"/>
      <c r="I32" s="730"/>
      <c r="J32" s="20"/>
      <c r="K32" s="20"/>
      <c r="L32" s="20"/>
      <c r="M32" s="13"/>
      <c r="N32" s="5"/>
    </row>
    <row r="33" spans="1:28" ht="15.75" customHeight="1">
      <c r="A33" s="727" t="s">
        <v>4</v>
      </c>
      <c r="B33" s="728"/>
      <c r="C33" s="728"/>
      <c r="D33" s="728"/>
      <c r="E33" s="728"/>
      <c r="F33" s="731">
        <v>0.106</v>
      </c>
      <c r="G33" s="731"/>
      <c r="H33" s="731"/>
      <c r="I33" s="732"/>
      <c r="J33" s="13"/>
      <c r="K33" s="13"/>
      <c r="L33" s="13"/>
      <c r="M33" s="13"/>
      <c r="N33" s="5"/>
      <c r="P33" s="26"/>
    </row>
    <row r="34" spans="1:28" ht="15.75" customHeight="1">
      <c r="A34" s="727" t="s">
        <v>3</v>
      </c>
      <c r="B34" s="728"/>
      <c r="C34" s="728"/>
      <c r="D34" s="728"/>
      <c r="E34" s="728"/>
      <c r="F34" s="733">
        <v>1.0999999999999999E-2</v>
      </c>
      <c r="G34" s="733"/>
      <c r="H34" s="733"/>
      <c r="I34" s="734"/>
      <c r="M34" s="13"/>
      <c r="N34" s="5"/>
    </row>
    <row r="35" spans="1:28" ht="15.75" customHeight="1" thickBot="1">
      <c r="A35" s="735" t="s">
        <v>2</v>
      </c>
      <c r="B35" s="736"/>
      <c r="C35" s="736"/>
      <c r="D35" s="736"/>
      <c r="E35" s="736"/>
      <c r="F35" s="737">
        <v>1.853</v>
      </c>
      <c r="G35" s="737"/>
      <c r="H35" s="737"/>
      <c r="I35" s="738"/>
      <c r="M35" s="13"/>
      <c r="N35" s="5"/>
      <c r="T35" s="24"/>
      <c r="U35" s="24"/>
      <c r="V35" s="18"/>
      <c r="W35" s="18"/>
      <c r="X35" s="18"/>
      <c r="Y35" s="18"/>
      <c r="Z35" s="23"/>
      <c r="AA35" s="22"/>
      <c r="AB35" s="19"/>
    </row>
    <row r="36" spans="1:28" ht="15.75" customHeight="1">
      <c r="A36" s="17"/>
      <c r="E36" s="21"/>
      <c r="F36" s="21"/>
      <c r="G36" s="21"/>
      <c r="H36" s="20"/>
      <c r="I36" s="20"/>
      <c r="M36" s="13"/>
      <c r="N36" s="5"/>
      <c r="T36" s="18"/>
      <c r="U36" s="18"/>
      <c r="V36" s="18"/>
      <c r="W36" s="18"/>
      <c r="X36" s="19"/>
      <c r="Y36" s="18"/>
      <c r="Z36" s="725"/>
      <c r="AA36" s="725"/>
      <c r="AB36" s="724"/>
    </row>
    <row r="37" spans="1:28" ht="15.75" customHeight="1">
      <c r="A37" s="17"/>
      <c r="E37" s="15"/>
      <c r="F37" s="15"/>
      <c r="G37" s="15"/>
      <c r="H37" s="14"/>
      <c r="I37" s="14"/>
      <c r="M37" s="13"/>
      <c r="N37" s="5"/>
      <c r="T37" s="18"/>
      <c r="U37" s="18"/>
      <c r="V37" s="18"/>
      <c r="W37" s="18"/>
      <c r="X37" s="18"/>
      <c r="Y37" s="18"/>
      <c r="Z37" s="725"/>
      <c r="AA37" s="725"/>
      <c r="AB37" s="724"/>
    </row>
    <row r="38" spans="1:28" ht="15.75" customHeight="1">
      <c r="A38" s="17"/>
      <c r="B38" s="13"/>
      <c r="C38" s="13"/>
      <c r="D38" s="16"/>
      <c r="E38" s="15"/>
      <c r="F38" s="15"/>
      <c r="G38" s="15"/>
      <c r="H38" s="14"/>
      <c r="I38" s="14"/>
      <c r="J38" s="13"/>
      <c r="K38" s="13"/>
      <c r="L38" s="13"/>
      <c r="M38" s="13"/>
      <c r="N38" s="5"/>
      <c r="T38" s="12"/>
      <c r="U38" s="12"/>
      <c r="V38" s="12"/>
      <c r="W38" s="12"/>
      <c r="X38" s="12"/>
      <c r="Y38" s="12"/>
      <c r="Z38" s="726"/>
      <c r="AA38" s="726"/>
      <c r="AB38" s="11"/>
    </row>
    <row r="39" spans="1:28" ht="15.75" customHeight="1">
      <c r="A39" s="5"/>
      <c r="B39" s="5"/>
      <c r="C39" s="5"/>
      <c r="D39" s="5"/>
      <c r="E39" s="5"/>
      <c r="F39" s="5"/>
      <c r="G39" s="5"/>
      <c r="H39" s="5"/>
      <c r="I39" s="5"/>
      <c r="J39" s="5"/>
      <c r="K39" s="5"/>
      <c r="L39" s="5"/>
      <c r="M39" s="5"/>
      <c r="N39" s="4"/>
    </row>
    <row r="40" spans="1:28" ht="15.75" customHeight="1">
      <c r="A40" s="10"/>
      <c r="B40" s="5"/>
      <c r="C40" s="9"/>
      <c r="D40" s="8"/>
      <c r="E40" s="5"/>
      <c r="F40" s="5"/>
      <c r="G40" s="5"/>
      <c r="H40" s="4"/>
      <c r="I40" s="3" t="s">
        <v>1</v>
      </c>
      <c r="J40" s="7" t="s">
        <v>760</v>
      </c>
      <c r="K40" s="6"/>
      <c r="L40" s="6"/>
      <c r="M40" s="6"/>
      <c r="N40" s="5"/>
    </row>
    <row r="41" spans="1:28" ht="15.75" customHeight="1">
      <c r="A41" s="5"/>
      <c r="B41" s="5"/>
      <c r="C41" s="5"/>
      <c r="D41" s="5"/>
      <c r="E41" s="5"/>
      <c r="F41" s="5"/>
      <c r="G41" s="5"/>
      <c r="H41" s="5"/>
      <c r="I41" s="5"/>
      <c r="J41" s="4"/>
      <c r="K41" s="4"/>
      <c r="L41" s="4"/>
      <c r="M41" s="4"/>
    </row>
    <row r="42" spans="1:28" ht="15.75" customHeight="1">
      <c r="A42" s="5"/>
      <c r="B42" s="5"/>
      <c r="C42" s="5"/>
      <c r="D42" s="5"/>
      <c r="E42" s="5"/>
      <c r="F42" s="5"/>
      <c r="G42" s="5"/>
      <c r="H42" s="4"/>
      <c r="I42" s="3" t="s">
        <v>0</v>
      </c>
      <c r="J42" s="2">
        <v>45512</v>
      </c>
      <c r="K42" s="2"/>
      <c r="L42" s="2"/>
      <c r="M42" s="2"/>
    </row>
    <row r="43" spans="1:28" ht="15.95" customHeight="1"/>
  </sheetData>
  <mergeCells count="31">
    <mergeCell ref="A22:E22"/>
    <mergeCell ref="F22:I22"/>
    <mergeCell ref="L3:M3"/>
    <mergeCell ref="A4:I4"/>
    <mergeCell ref="A5:I5"/>
    <mergeCell ref="A21:E21"/>
    <mergeCell ref="F21:I21"/>
    <mergeCell ref="A23:E23"/>
    <mergeCell ref="F23:I23"/>
    <mergeCell ref="A25:E25"/>
    <mergeCell ref="F25:I25"/>
    <mergeCell ref="A26:E26"/>
    <mergeCell ref="F26:I26"/>
    <mergeCell ref="A27:E27"/>
    <mergeCell ref="F27:I27"/>
    <mergeCell ref="A29:E29"/>
    <mergeCell ref="F29:I29"/>
    <mergeCell ref="A31:E31"/>
    <mergeCell ref="F31:I31"/>
    <mergeCell ref="AB36:AB37"/>
    <mergeCell ref="Z37:AA37"/>
    <mergeCell ref="Z38:AA38"/>
    <mergeCell ref="A32:E32"/>
    <mergeCell ref="F32:I32"/>
    <mergeCell ref="A33:E33"/>
    <mergeCell ref="F33:I33"/>
    <mergeCell ref="A34:E34"/>
    <mergeCell ref="F34:I34"/>
    <mergeCell ref="A35:E35"/>
    <mergeCell ref="F35:I35"/>
    <mergeCell ref="Z36:AA36"/>
  </mergeCells>
  <printOptions horizontalCentered="1" gridLinesSet="0"/>
  <pageMargins left="0.5" right="0.5" top="0.5" bottom="0.5" header="0.5" footer="0.5"/>
  <pageSetup scale="94" orientation="portrait"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B2E3-B27D-4241-AFC8-044306FDED24}">
  <sheetPr syncVertical="1" syncRef="A1" transitionEvaluation="1"/>
  <dimension ref="A1:Y54"/>
  <sheetViews>
    <sheetView showGridLines="0" zoomScaleNormal="100" workbookViewId="0">
      <selection activeCell="O12" sqref="O12"/>
    </sheetView>
  </sheetViews>
  <sheetFormatPr defaultColWidth="8.796875" defaultRowHeight="15.75"/>
  <cols>
    <col min="1" max="3" width="4.8984375" style="84" customWidth="1"/>
    <col min="4" max="4" width="5.796875" style="84" customWidth="1"/>
    <col min="5" max="5" width="4.8984375" style="84" customWidth="1"/>
    <col min="6" max="6" width="5.296875" style="84" customWidth="1"/>
    <col min="7" max="13" width="4.8984375" style="84" customWidth="1"/>
    <col min="14" max="14" width="5" style="84" customWidth="1"/>
    <col min="15" max="16384" width="8.796875" style="84"/>
  </cols>
  <sheetData>
    <row r="1" spans="1:17" ht="17.100000000000001" customHeight="1">
      <c r="A1" s="152" t="s">
        <v>62</v>
      </c>
      <c r="B1" s="151"/>
      <c r="C1" s="151"/>
      <c r="D1" s="151"/>
      <c r="E1" s="151"/>
      <c r="F1" s="151"/>
      <c r="G1" s="151"/>
      <c r="H1" s="151"/>
      <c r="I1" s="151"/>
      <c r="J1" s="150" t="s">
        <v>61</v>
      </c>
      <c r="K1" s="149"/>
      <c r="L1" s="800" t="s">
        <v>114</v>
      </c>
      <c r="M1" s="801"/>
      <c r="N1" s="133"/>
    </row>
    <row r="2" spans="1:17" ht="17.100000000000001" customHeight="1">
      <c r="A2" s="148" t="s">
        <v>59</v>
      </c>
      <c r="B2" s="147"/>
      <c r="C2" s="147"/>
      <c r="D2" s="147"/>
      <c r="E2" s="147"/>
      <c r="F2" s="147"/>
      <c r="G2" s="147"/>
      <c r="H2" s="147"/>
      <c r="I2" s="147"/>
      <c r="J2" s="141" t="s">
        <v>58</v>
      </c>
      <c r="K2" s="140"/>
      <c r="L2" s="146" t="s">
        <v>57</v>
      </c>
      <c r="M2" s="145"/>
      <c r="N2" s="133"/>
    </row>
    <row r="3" spans="1:17" ht="15.95" customHeight="1">
      <c r="A3" s="143"/>
      <c r="B3" s="135"/>
      <c r="C3" s="135"/>
      <c r="D3" s="135"/>
      <c r="E3" s="135"/>
      <c r="F3" s="135"/>
      <c r="G3" s="135"/>
      <c r="H3" s="135"/>
      <c r="I3" s="135"/>
      <c r="J3" s="141" t="s">
        <v>56</v>
      </c>
      <c r="K3" s="140"/>
      <c r="L3" s="802" t="s">
        <v>113</v>
      </c>
      <c r="M3" s="803"/>
      <c r="N3" s="133"/>
    </row>
    <row r="4" spans="1:17" ht="15.95" customHeight="1">
      <c r="A4" s="144"/>
      <c r="B4" s="135"/>
      <c r="C4" s="135"/>
      <c r="D4" s="135"/>
      <c r="E4" s="135"/>
      <c r="F4" s="135"/>
      <c r="G4" s="135"/>
      <c r="H4" s="135"/>
      <c r="I4" s="135"/>
      <c r="J4" s="141" t="s">
        <v>54</v>
      </c>
      <c r="K4" s="140"/>
      <c r="L4" s="804" t="s">
        <v>53</v>
      </c>
      <c r="M4" s="805"/>
      <c r="N4" s="133"/>
    </row>
    <row r="5" spans="1:17" ht="15.95" customHeight="1">
      <c r="A5" s="143"/>
      <c r="B5" s="135"/>
      <c r="C5" s="135"/>
      <c r="D5" s="135"/>
      <c r="E5" s="135"/>
      <c r="F5" s="135"/>
      <c r="G5" s="135"/>
      <c r="H5" s="135"/>
      <c r="I5" s="135"/>
      <c r="J5" s="141" t="s">
        <v>52</v>
      </c>
      <c r="K5" s="140"/>
      <c r="L5" s="804">
        <v>0</v>
      </c>
      <c r="M5" s="806"/>
      <c r="N5" s="133"/>
    </row>
    <row r="6" spans="1:17" ht="15.95" customHeight="1">
      <c r="A6" s="142" t="s">
        <v>112</v>
      </c>
      <c r="B6" s="135"/>
      <c r="C6" s="135"/>
      <c r="D6" s="135"/>
      <c r="E6" s="135"/>
      <c r="F6" s="135"/>
      <c r="G6" s="135"/>
      <c r="H6" s="135"/>
      <c r="I6" s="135"/>
      <c r="J6" s="141" t="s">
        <v>50</v>
      </c>
      <c r="K6" s="140"/>
      <c r="L6" s="804" t="s">
        <v>111</v>
      </c>
      <c r="M6" s="806"/>
      <c r="N6" s="133"/>
    </row>
    <row r="7" spans="1:17" ht="15.95" customHeight="1" thickBot="1">
      <c r="A7" s="139" t="s">
        <v>110</v>
      </c>
      <c r="B7" s="138"/>
      <c r="C7" s="138"/>
      <c r="D7" s="138"/>
      <c r="E7" s="138"/>
      <c r="F7" s="138"/>
      <c r="G7" s="138"/>
      <c r="H7" s="138"/>
      <c r="I7" s="138"/>
      <c r="J7" s="137" t="s">
        <v>47</v>
      </c>
      <c r="K7" s="136"/>
      <c r="L7" s="807" t="s">
        <v>109</v>
      </c>
      <c r="M7" s="808"/>
      <c r="N7" s="133"/>
    </row>
    <row r="8" spans="1:17" ht="6.75" customHeight="1">
      <c r="A8" s="516"/>
      <c r="B8" s="506"/>
      <c r="C8" s="506"/>
      <c r="D8" s="506"/>
      <c r="E8" s="506"/>
      <c r="F8" s="506"/>
      <c r="G8" s="506"/>
      <c r="H8" s="506"/>
      <c r="I8" s="506"/>
      <c r="J8" s="506"/>
      <c r="K8" s="517"/>
      <c r="L8" s="518"/>
      <c r="M8" s="519"/>
      <c r="N8" s="135"/>
    </row>
    <row r="9" spans="1:17" ht="12" customHeight="1">
      <c r="A9" s="54"/>
      <c r="B9" s="53" t="s">
        <v>45</v>
      </c>
      <c r="C9" s="57" t="s">
        <v>501</v>
      </c>
      <c r="D9" s="520"/>
      <c r="E9" s="520"/>
      <c r="F9" s="520"/>
      <c r="G9" s="520"/>
      <c r="H9" s="520"/>
      <c r="I9" s="520"/>
      <c r="J9" s="520"/>
      <c r="K9" s="521"/>
      <c r="L9" s="54"/>
      <c r="M9" s="520"/>
      <c r="N9" s="135"/>
    </row>
    <row r="10" spans="1:17" ht="12" customHeight="1">
      <c r="A10" s="54"/>
      <c r="B10" s="53" t="s">
        <v>44</v>
      </c>
      <c r="C10" s="522" t="s">
        <v>502</v>
      </c>
      <c r="D10" s="54"/>
      <c r="E10" s="54"/>
      <c r="F10" s="54"/>
      <c r="G10" s="54"/>
      <c r="H10" s="54"/>
      <c r="I10" s="54"/>
      <c r="J10" s="54"/>
      <c r="K10" s="54"/>
      <c r="L10" s="54"/>
      <c r="M10" s="54"/>
      <c r="N10" s="134"/>
    </row>
    <row r="11" spans="1:17" ht="6.75" customHeight="1" thickBot="1">
      <c r="A11" s="518"/>
      <c r="B11" s="518"/>
      <c r="C11" s="518"/>
      <c r="D11" s="518"/>
      <c r="E11" s="518"/>
      <c r="F11" s="518"/>
      <c r="G11" s="518"/>
      <c r="H11" s="518"/>
      <c r="I11" s="518"/>
      <c r="J11" s="518"/>
      <c r="K11" s="518"/>
      <c r="L11" s="518"/>
      <c r="M11" s="518"/>
      <c r="N11" s="134"/>
    </row>
    <row r="12" spans="1:17" ht="20.100000000000001" customHeight="1" thickBot="1">
      <c r="A12" s="523" t="s">
        <v>43</v>
      </c>
      <c r="B12" s="524"/>
      <c r="C12" s="524"/>
      <c r="D12" s="524"/>
      <c r="E12" s="524"/>
      <c r="F12" s="524"/>
      <c r="G12" s="524"/>
      <c r="H12" s="524"/>
      <c r="I12" s="524"/>
      <c r="J12" s="524"/>
      <c r="K12" s="524"/>
      <c r="L12" s="524"/>
      <c r="M12" s="525"/>
      <c r="N12" s="133"/>
    </row>
    <row r="13" spans="1:17" ht="12.95" customHeight="1" thickTop="1">
      <c r="A13" s="58"/>
      <c r="B13" s="53" t="s">
        <v>42</v>
      </c>
      <c r="C13" s="61">
        <v>1000</v>
      </c>
      <c r="D13" s="54"/>
      <c r="E13" s="53" t="s">
        <v>41</v>
      </c>
      <c r="F13" s="61">
        <v>4000</v>
      </c>
      <c r="G13" s="54"/>
      <c r="H13" s="53" t="s">
        <v>40</v>
      </c>
      <c r="I13" s="61" t="s">
        <v>39</v>
      </c>
      <c r="J13" s="54"/>
      <c r="K13" s="54"/>
      <c r="L13" s="53" t="s">
        <v>38</v>
      </c>
      <c r="M13" s="59">
        <v>3600</v>
      </c>
      <c r="N13" s="133"/>
    </row>
    <row r="14" spans="1:17" ht="12.95" customHeight="1">
      <c r="A14" s="58"/>
      <c r="B14" s="53" t="s">
        <v>37</v>
      </c>
      <c r="C14" s="61" t="s">
        <v>36</v>
      </c>
      <c r="D14" s="54"/>
      <c r="E14" s="53" t="s">
        <v>35</v>
      </c>
      <c r="F14" s="56" t="s">
        <v>503</v>
      </c>
      <c r="G14" s="54"/>
      <c r="H14" s="53" t="s">
        <v>34</v>
      </c>
      <c r="I14" s="61">
        <v>123</v>
      </c>
      <c r="J14" s="54"/>
      <c r="K14" s="54"/>
      <c r="L14" s="53" t="s">
        <v>33</v>
      </c>
      <c r="M14" s="59">
        <v>3580</v>
      </c>
      <c r="N14" s="133"/>
    </row>
    <row r="15" spans="1:17" ht="12.95" customHeight="1">
      <c r="A15" s="58"/>
      <c r="B15" s="53" t="s">
        <v>32</v>
      </c>
      <c r="C15" s="61" t="s">
        <v>134</v>
      </c>
      <c r="D15" s="54"/>
      <c r="E15" s="53" t="s">
        <v>31</v>
      </c>
      <c r="F15" s="63" t="s">
        <v>30</v>
      </c>
      <c r="G15" s="54"/>
      <c r="H15" s="53" t="s">
        <v>29</v>
      </c>
      <c r="I15" s="56" t="s">
        <v>14</v>
      </c>
      <c r="J15" s="54"/>
      <c r="K15" s="54"/>
      <c r="L15" s="53" t="s">
        <v>28</v>
      </c>
      <c r="M15" s="59" t="s">
        <v>22</v>
      </c>
      <c r="N15" s="133"/>
      <c r="Q15" s="62"/>
    </row>
    <row r="16" spans="1:17" ht="12.95" customHeight="1">
      <c r="A16" s="58"/>
      <c r="B16" s="53" t="s">
        <v>27</v>
      </c>
      <c r="C16" s="61" t="s">
        <v>26</v>
      </c>
      <c r="D16" s="54"/>
      <c r="E16" s="53" t="s">
        <v>25</v>
      </c>
      <c r="F16" s="526">
        <v>40</v>
      </c>
      <c r="G16" s="54"/>
      <c r="H16" s="60" t="s">
        <v>23</v>
      </c>
      <c r="I16" s="55" t="s">
        <v>22</v>
      </c>
      <c r="J16" s="54"/>
      <c r="K16" s="54"/>
      <c r="L16" s="53" t="s">
        <v>21</v>
      </c>
      <c r="M16" s="59" t="s">
        <v>20</v>
      </c>
      <c r="N16" s="133"/>
    </row>
    <row r="17" spans="1:25" ht="12.95" customHeight="1">
      <c r="A17" s="58"/>
      <c r="B17" s="53" t="s">
        <v>19</v>
      </c>
      <c r="C17" s="57" t="s">
        <v>504</v>
      </c>
      <c r="D17" s="54"/>
      <c r="E17" s="53"/>
      <c r="F17" s="56"/>
      <c r="G17" s="54"/>
      <c r="H17" s="53" t="s">
        <v>18</v>
      </c>
      <c r="I17" s="55" t="s">
        <v>14</v>
      </c>
      <c r="J17" s="54"/>
      <c r="K17" s="54"/>
      <c r="L17" s="53"/>
      <c r="M17" s="52"/>
      <c r="N17" s="133"/>
    </row>
    <row r="18" spans="1:25" ht="12.95" customHeight="1" thickBot="1">
      <c r="A18" s="51"/>
      <c r="B18" s="49" t="s">
        <v>17</v>
      </c>
      <c r="C18" s="48">
        <v>95</v>
      </c>
      <c r="D18" s="47"/>
      <c r="E18" s="49" t="s">
        <v>16</v>
      </c>
      <c r="F18" s="48" t="s">
        <v>14</v>
      </c>
      <c r="G18" s="50"/>
      <c r="H18" s="49" t="s">
        <v>15</v>
      </c>
      <c r="I18" s="48">
        <v>91.5</v>
      </c>
      <c r="J18" s="47"/>
      <c r="K18" s="47"/>
      <c r="L18" s="47"/>
      <c r="M18" s="46"/>
      <c r="N18" s="133"/>
    </row>
    <row r="19" spans="1:25" ht="16.5" thickBot="1"/>
    <row r="20" spans="1:25" ht="16.5" thickBot="1">
      <c r="A20" s="809" t="s">
        <v>108</v>
      </c>
      <c r="B20" s="810"/>
      <c r="C20" s="810"/>
      <c r="D20" s="810"/>
      <c r="E20" s="810"/>
      <c r="F20" s="810"/>
      <c r="G20" s="810"/>
      <c r="H20" s="810"/>
      <c r="I20" s="810"/>
      <c r="J20" s="810"/>
      <c r="K20" s="810"/>
      <c r="L20" s="810"/>
      <c r="M20" s="811"/>
    </row>
    <row r="21" spans="1:25" ht="16.5" thickTop="1">
      <c r="A21" s="132"/>
      <c r="B21" s="131"/>
      <c r="C21" s="108"/>
      <c r="D21" s="107" t="s">
        <v>107</v>
      </c>
      <c r="E21" s="130" t="s">
        <v>758</v>
      </c>
      <c r="F21" s="128"/>
      <c r="G21" s="108"/>
      <c r="H21" s="108"/>
      <c r="I21" s="107" t="s">
        <v>106</v>
      </c>
      <c r="J21" s="129">
        <v>0.14199999999999999</v>
      </c>
      <c r="K21" s="128"/>
      <c r="L21" s="128"/>
      <c r="M21" s="127"/>
    </row>
    <row r="22" spans="1:25" ht="16.5" thickBot="1">
      <c r="A22" s="106"/>
      <c r="B22" s="104"/>
      <c r="C22" s="104"/>
      <c r="D22" s="103" t="s">
        <v>105</v>
      </c>
      <c r="E22" s="126" t="s">
        <v>803</v>
      </c>
      <c r="F22" s="125"/>
      <c r="G22" s="104"/>
      <c r="H22" s="104"/>
      <c r="I22" s="104"/>
      <c r="J22" s="104"/>
      <c r="K22" s="104"/>
      <c r="L22" s="104"/>
      <c r="M22" s="124"/>
    </row>
    <row r="23" spans="1:25" ht="16.5" thickBot="1"/>
    <row r="24" spans="1:25" ht="16.5" thickBot="1">
      <c r="A24" s="809" t="s">
        <v>104</v>
      </c>
      <c r="B24" s="810"/>
      <c r="C24" s="810"/>
      <c r="D24" s="810"/>
      <c r="E24" s="810"/>
      <c r="F24" s="811"/>
      <c r="G24" s="123"/>
      <c r="H24" s="809" t="s">
        <v>103</v>
      </c>
      <c r="I24" s="810"/>
      <c r="J24" s="810"/>
      <c r="K24" s="810"/>
      <c r="L24" s="810"/>
      <c r="M24" s="811"/>
    </row>
    <row r="25" spans="1:25" ht="17.25" thickTop="1" thickBot="1">
      <c r="A25" s="111"/>
      <c r="B25" s="108"/>
      <c r="C25" s="107"/>
      <c r="D25" s="107"/>
      <c r="E25" s="107" t="s">
        <v>102</v>
      </c>
      <c r="F25" s="110">
        <v>1467</v>
      </c>
      <c r="G25" s="122"/>
      <c r="H25" s="108"/>
      <c r="I25" s="108"/>
      <c r="J25" s="109" t="s">
        <v>101</v>
      </c>
      <c r="K25" s="797" t="s">
        <v>96</v>
      </c>
      <c r="L25" s="798"/>
      <c r="M25" s="799"/>
    </row>
    <row r="26" spans="1:25" ht="17.25" thickTop="1" thickBot="1">
      <c r="A26" s="116"/>
      <c r="D26" s="114"/>
      <c r="E26" s="114" t="s">
        <v>100</v>
      </c>
      <c r="F26" s="121">
        <v>90</v>
      </c>
      <c r="G26" s="119"/>
      <c r="J26" s="120" t="s">
        <v>99</v>
      </c>
      <c r="K26" s="797" t="s">
        <v>96</v>
      </c>
      <c r="L26" s="798"/>
      <c r="M26" s="799"/>
    </row>
    <row r="27" spans="1:25" ht="16.5" thickTop="1">
      <c r="A27" s="116"/>
      <c r="D27" s="114"/>
      <c r="E27" s="114" t="s">
        <v>98</v>
      </c>
      <c r="F27" s="121">
        <v>90</v>
      </c>
      <c r="G27" s="119"/>
      <c r="J27" s="120" t="s">
        <v>97</v>
      </c>
      <c r="K27" s="797" t="s">
        <v>96</v>
      </c>
      <c r="L27" s="798"/>
      <c r="M27" s="799"/>
    </row>
    <row r="28" spans="1:25" ht="16.5" thickBot="1">
      <c r="A28" s="106"/>
      <c r="B28" s="104"/>
      <c r="C28" s="104"/>
      <c r="D28" s="103"/>
      <c r="E28" s="103" t="s">
        <v>95</v>
      </c>
      <c r="F28" s="105">
        <v>215</v>
      </c>
      <c r="G28" s="119"/>
      <c r="H28" s="104"/>
      <c r="I28" s="104"/>
      <c r="J28" s="118"/>
      <c r="K28" s="787"/>
      <c r="L28" s="787"/>
      <c r="M28" s="788"/>
    </row>
    <row r="29" spans="1:25" ht="16.5" thickBot="1"/>
    <row r="30" spans="1:25" ht="16.5" thickBot="1">
      <c r="A30" s="779" t="s">
        <v>94</v>
      </c>
      <c r="B30" s="780"/>
      <c r="C30" s="780"/>
      <c r="D30" s="780"/>
      <c r="E30" s="780"/>
      <c r="F30" s="780"/>
      <c r="G30" s="780"/>
      <c r="H30" s="780"/>
      <c r="I30" s="780"/>
      <c r="J30" s="780"/>
      <c r="K30" s="780"/>
      <c r="L30" s="780"/>
      <c r="M30" s="781"/>
    </row>
    <row r="31" spans="1:25" ht="16.5" thickTop="1">
      <c r="A31" s="789" t="s">
        <v>93</v>
      </c>
      <c r="B31" s="790"/>
      <c r="C31" s="790"/>
      <c r="D31" s="790"/>
      <c r="E31" s="790"/>
      <c r="F31" s="791"/>
      <c r="G31" s="117"/>
      <c r="H31" s="792" t="s">
        <v>92</v>
      </c>
      <c r="I31" s="790"/>
      <c r="J31" s="790"/>
      <c r="K31" s="790"/>
      <c r="L31" s="790"/>
      <c r="M31" s="793"/>
    </row>
    <row r="32" spans="1:25" ht="18.75">
      <c r="A32" s="116"/>
      <c r="B32" s="115"/>
      <c r="C32" s="114" t="s">
        <v>90</v>
      </c>
      <c r="D32" s="794" t="s">
        <v>91</v>
      </c>
      <c r="E32" s="794"/>
      <c r="F32" s="795"/>
      <c r="G32" s="112"/>
      <c r="J32" s="114" t="s">
        <v>90</v>
      </c>
      <c r="K32" s="794" t="s">
        <v>87</v>
      </c>
      <c r="L32" s="794"/>
      <c r="M32" s="796"/>
      <c r="S32"/>
      <c r="T32"/>
      <c r="U32"/>
      <c r="V32"/>
      <c r="W32"/>
      <c r="X32"/>
      <c r="Y32"/>
    </row>
    <row r="33" spans="1:25" ht="18.75">
      <c r="A33" s="116"/>
      <c r="B33" s="115"/>
      <c r="C33" s="114" t="s">
        <v>88</v>
      </c>
      <c r="D33" s="773" t="s">
        <v>89</v>
      </c>
      <c r="E33" s="773"/>
      <c r="F33" s="774"/>
      <c r="G33" s="112"/>
      <c r="J33" s="114" t="s">
        <v>88</v>
      </c>
      <c r="K33" s="773" t="s">
        <v>84</v>
      </c>
      <c r="L33" s="773"/>
      <c r="M33" s="775"/>
      <c r="S33"/>
      <c r="T33"/>
      <c r="U33"/>
      <c r="V33"/>
      <c r="W33"/>
      <c r="X33"/>
      <c r="Y33"/>
    </row>
    <row r="34" spans="1:25" ht="18.75">
      <c r="A34" s="116"/>
      <c r="B34" s="115"/>
      <c r="C34" s="114" t="s">
        <v>85</v>
      </c>
      <c r="D34" s="773" t="s">
        <v>86</v>
      </c>
      <c r="E34" s="773"/>
      <c r="F34" s="774"/>
      <c r="G34" s="112"/>
      <c r="J34" s="114" t="s">
        <v>85</v>
      </c>
      <c r="K34" s="773" t="s">
        <v>756</v>
      </c>
      <c r="L34" s="773"/>
      <c r="M34" s="775"/>
      <c r="S34"/>
      <c r="T34"/>
      <c r="U34"/>
      <c r="V34"/>
      <c r="W34"/>
      <c r="X34"/>
      <c r="Y34"/>
    </row>
    <row r="35" spans="1:25" ht="19.5" thickBot="1">
      <c r="A35" s="106"/>
      <c r="B35" s="113"/>
      <c r="C35" s="103" t="s">
        <v>82</v>
      </c>
      <c r="D35" s="776" t="s">
        <v>83</v>
      </c>
      <c r="E35" s="776"/>
      <c r="F35" s="777"/>
      <c r="G35" s="112"/>
      <c r="H35" s="104"/>
      <c r="I35" s="104"/>
      <c r="J35" s="103" t="s">
        <v>82</v>
      </c>
      <c r="K35" s="776" t="s">
        <v>757</v>
      </c>
      <c r="L35" s="776"/>
      <c r="M35" s="778"/>
      <c r="S35"/>
      <c r="T35"/>
      <c r="U35"/>
      <c r="V35"/>
      <c r="W35"/>
      <c r="X35"/>
      <c r="Y35"/>
    </row>
    <row r="36" spans="1:25" ht="19.5" thickBot="1">
      <c r="S36"/>
      <c r="T36"/>
      <c r="U36"/>
      <c r="V36"/>
      <c r="W36"/>
      <c r="X36"/>
      <c r="Y36"/>
    </row>
    <row r="37" spans="1:25" ht="19.5" thickBot="1">
      <c r="A37" s="779" t="s">
        <v>81</v>
      </c>
      <c r="B37" s="780"/>
      <c r="C37" s="780"/>
      <c r="D37" s="780"/>
      <c r="E37" s="780"/>
      <c r="F37" s="780"/>
      <c r="G37" s="780"/>
      <c r="H37" s="780"/>
      <c r="I37" s="780"/>
      <c r="J37" s="780"/>
      <c r="K37" s="780"/>
      <c r="L37" s="780"/>
      <c r="M37" s="781"/>
      <c r="P37" s="90"/>
      <c r="Q37" s="90"/>
      <c r="R37" s="90"/>
      <c r="S37"/>
      <c r="T37"/>
      <c r="U37"/>
      <c r="V37"/>
      <c r="W37"/>
      <c r="X37"/>
      <c r="Y37"/>
    </row>
    <row r="38" spans="1:25" ht="19.5" thickTop="1">
      <c r="A38" s="111"/>
      <c r="B38" s="110"/>
      <c r="C38" s="109" t="s">
        <v>80</v>
      </c>
      <c r="D38" s="782" t="s">
        <v>79</v>
      </c>
      <c r="E38" s="782"/>
      <c r="F38" s="782"/>
      <c r="G38" s="782"/>
      <c r="H38" s="108"/>
      <c r="I38" s="108"/>
      <c r="J38" s="107" t="s">
        <v>78</v>
      </c>
      <c r="K38" s="783" t="s">
        <v>759</v>
      </c>
      <c r="L38" s="783"/>
      <c r="M38" s="784"/>
      <c r="P38" s="90"/>
      <c r="Q38" s="90"/>
      <c r="R38" s="90"/>
      <c r="S38"/>
      <c r="T38"/>
      <c r="U38"/>
      <c r="V38"/>
      <c r="W38"/>
      <c r="X38"/>
      <c r="Y38"/>
    </row>
    <row r="39" spans="1:25" ht="19.5" thickBot="1">
      <c r="A39" s="106"/>
      <c r="B39" s="104"/>
      <c r="C39" s="105" t="s">
        <v>77</v>
      </c>
      <c r="D39" s="785" t="s">
        <v>76</v>
      </c>
      <c r="E39" s="785"/>
      <c r="F39" s="785"/>
      <c r="G39" s="785"/>
      <c r="H39" s="104"/>
      <c r="I39" s="104"/>
      <c r="J39" s="103" t="s">
        <v>75</v>
      </c>
      <c r="K39" s="785" t="s">
        <v>586</v>
      </c>
      <c r="L39" s="785"/>
      <c r="M39" s="786"/>
      <c r="O39" s="90"/>
      <c r="P39" s="90"/>
      <c r="Q39" s="90"/>
      <c r="R39" s="90"/>
      <c r="S39"/>
      <c r="T39"/>
      <c r="U39"/>
      <c r="V39"/>
      <c r="W39"/>
      <c r="X39"/>
      <c r="Y39"/>
    </row>
    <row r="40" spans="1:25" ht="19.5" thickBot="1">
      <c r="A40" s="102"/>
      <c r="B40" s="102"/>
      <c r="C40" s="102"/>
      <c r="D40" s="770" t="s">
        <v>74</v>
      </c>
      <c r="E40" s="771"/>
      <c r="F40" s="771"/>
      <c r="G40" s="771"/>
      <c r="H40" s="771"/>
      <c r="I40" s="771"/>
      <c r="J40" s="772"/>
      <c r="K40" s="102"/>
      <c r="L40" s="102"/>
      <c r="M40" s="102"/>
      <c r="O40" s="94"/>
      <c r="P40" s="94"/>
      <c r="Q40" s="94"/>
      <c r="R40" s="94"/>
      <c r="S40"/>
      <c r="T40"/>
      <c r="U40"/>
      <c r="V40"/>
      <c r="W40"/>
      <c r="X40"/>
      <c r="Y40"/>
    </row>
    <row r="41" spans="1:25" ht="18.75">
      <c r="D41" s="760" t="s">
        <v>73</v>
      </c>
      <c r="E41" s="761"/>
      <c r="F41" s="762"/>
      <c r="G41" s="101" t="s">
        <v>72</v>
      </c>
      <c r="H41" s="100" t="s">
        <v>71</v>
      </c>
      <c r="I41" s="99" t="s">
        <v>70</v>
      </c>
      <c r="J41" s="98" t="s">
        <v>69</v>
      </c>
      <c r="N41" s="94"/>
      <c r="O41" s="94"/>
      <c r="P41" s="94"/>
      <c r="Q41" s="94"/>
      <c r="R41" s="94"/>
      <c r="S41"/>
      <c r="T41"/>
      <c r="U41"/>
      <c r="V41"/>
      <c r="W41"/>
      <c r="X41"/>
      <c r="Y41"/>
    </row>
    <row r="42" spans="1:25" ht="18.75">
      <c r="D42" s="763" t="s">
        <v>68</v>
      </c>
      <c r="E42" s="764"/>
      <c r="F42" s="765"/>
      <c r="G42" s="97">
        <v>67.900000000000006</v>
      </c>
      <c r="H42" s="96">
        <v>94.7</v>
      </c>
      <c r="I42" s="96">
        <v>123</v>
      </c>
      <c r="J42" s="95" t="s">
        <v>14</v>
      </c>
      <c r="N42" s="94"/>
      <c r="O42" s="94"/>
      <c r="P42" s="94"/>
      <c r="Q42" s="94"/>
      <c r="R42" s="94"/>
      <c r="S42"/>
      <c r="T42"/>
      <c r="U42"/>
      <c r="V42"/>
      <c r="W42"/>
      <c r="X42"/>
      <c r="Y42"/>
    </row>
    <row r="43" spans="1:25" ht="18.75">
      <c r="D43" s="763" t="s">
        <v>67</v>
      </c>
      <c r="E43" s="764"/>
      <c r="F43" s="765"/>
      <c r="G43" s="97">
        <v>92.9</v>
      </c>
      <c r="H43" s="96">
        <v>94.6</v>
      </c>
      <c r="I43" s="96">
        <v>95.3</v>
      </c>
      <c r="J43" s="95" t="s">
        <v>14</v>
      </c>
      <c r="N43" s="94"/>
      <c r="O43" s="94"/>
      <c r="P43" s="94"/>
      <c r="Q43" s="94"/>
      <c r="R43" s="94"/>
      <c r="S43"/>
      <c r="T43"/>
      <c r="U43"/>
      <c r="V43"/>
      <c r="W43"/>
      <c r="X43"/>
      <c r="Y43"/>
    </row>
    <row r="44" spans="1:25" ht="18.75">
      <c r="D44" s="763" t="s">
        <v>66</v>
      </c>
      <c r="E44" s="764"/>
      <c r="F44" s="765"/>
      <c r="G44" s="97">
        <v>85.2</v>
      </c>
      <c r="H44" s="96">
        <v>90.1</v>
      </c>
      <c r="I44" s="96">
        <v>91.8</v>
      </c>
      <c r="J44" s="95" t="s">
        <v>14</v>
      </c>
      <c r="N44" s="94"/>
      <c r="O44" s="94"/>
      <c r="P44" s="94"/>
      <c r="Q44" s="94"/>
      <c r="R44" s="94"/>
      <c r="S44"/>
      <c r="T44"/>
      <c r="U44"/>
      <c r="V44"/>
      <c r="W44"/>
      <c r="X44"/>
      <c r="Y44"/>
    </row>
    <row r="45" spans="1:25" ht="16.5" thickBot="1">
      <c r="D45" s="766" t="s">
        <v>65</v>
      </c>
      <c r="E45" s="767"/>
      <c r="F45" s="768"/>
      <c r="G45" s="93" t="s">
        <v>14</v>
      </c>
      <c r="H45" s="92" t="s">
        <v>14</v>
      </c>
      <c r="I45" s="92" t="s">
        <v>14</v>
      </c>
      <c r="J45" s="91" t="s">
        <v>14</v>
      </c>
      <c r="O45" s="90"/>
      <c r="P45" s="90"/>
      <c r="Q45" s="90"/>
      <c r="R45" s="90"/>
      <c r="S45" s="90"/>
      <c r="T45" s="90"/>
      <c r="U45" s="90"/>
    </row>
    <row r="46" spans="1:25">
      <c r="A46" s="769" t="s">
        <v>64</v>
      </c>
      <c r="B46" s="769"/>
      <c r="C46" s="769"/>
      <c r="D46" s="769"/>
      <c r="E46" s="769"/>
      <c r="F46" s="769"/>
      <c r="G46" s="769"/>
      <c r="H46" s="769"/>
      <c r="I46" s="769"/>
      <c r="J46" s="769"/>
      <c r="K46" s="769"/>
      <c r="L46" s="769"/>
      <c r="M46" s="769"/>
      <c r="P46" s="90"/>
      <c r="Q46" s="90"/>
      <c r="R46" s="90"/>
      <c r="S46" s="90"/>
      <c r="T46" s="90"/>
    </row>
    <row r="48" spans="1:25" ht="18">
      <c r="J48" s="88" t="s">
        <v>1</v>
      </c>
      <c r="K48" s="758" t="s">
        <v>760</v>
      </c>
      <c r="L48" s="758"/>
      <c r="M48" s="758"/>
    </row>
    <row r="49" spans="1:13">
      <c r="K49" s="89"/>
      <c r="L49" s="89"/>
      <c r="M49" s="89"/>
    </row>
    <row r="50" spans="1:13">
      <c r="J50" s="88" t="s">
        <v>0</v>
      </c>
      <c r="K50" s="759">
        <v>45512</v>
      </c>
      <c r="L50" s="759"/>
      <c r="M50" s="759"/>
    </row>
    <row r="52" spans="1:13">
      <c r="A52" s="87"/>
    </row>
    <row r="53" spans="1:13">
      <c r="A53" s="86" t="s">
        <v>63</v>
      </c>
    </row>
    <row r="54" spans="1:13">
      <c r="A54" s="85"/>
    </row>
  </sheetData>
  <mergeCells count="38">
    <mergeCell ref="K25:M25"/>
    <mergeCell ref="K26:M26"/>
    <mergeCell ref="K27:M27"/>
    <mergeCell ref="L1:M1"/>
    <mergeCell ref="L3:M3"/>
    <mergeCell ref="L4:M4"/>
    <mergeCell ref="L5:M5"/>
    <mergeCell ref="L6:M6"/>
    <mergeCell ref="L7:M7"/>
    <mergeCell ref="A20:M20"/>
    <mergeCell ref="A24:F24"/>
    <mergeCell ref="H24:M24"/>
    <mergeCell ref="K28:M28"/>
    <mergeCell ref="A30:M30"/>
    <mergeCell ref="A31:F31"/>
    <mergeCell ref="H31:M31"/>
    <mergeCell ref="D32:F32"/>
    <mergeCell ref="K32:M32"/>
    <mergeCell ref="D40:J40"/>
    <mergeCell ref="D33:F33"/>
    <mergeCell ref="K33:M33"/>
    <mergeCell ref="D34:F34"/>
    <mergeCell ref="K34:M34"/>
    <mergeCell ref="D35:F35"/>
    <mergeCell ref="K35:M35"/>
    <mergeCell ref="A37:M37"/>
    <mergeCell ref="D38:G38"/>
    <mergeCell ref="K38:M38"/>
    <mergeCell ref="D39:G39"/>
    <mergeCell ref="K39:M39"/>
    <mergeCell ref="K48:M48"/>
    <mergeCell ref="K50:M50"/>
    <mergeCell ref="D41:F41"/>
    <mergeCell ref="D42:F42"/>
    <mergeCell ref="D43:F43"/>
    <mergeCell ref="D44:F44"/>
    <mergeCell ref="D45:F45"/>
    <mergeCell ref="A46:M46"/>
  </mergeCells>
  <printOptions horizontalCentered="1" gridLinesSet="0"/>
  <pageMargins left="0.5" right="0.5" top="0.5" bottom="0.5" header="0.5" footer="0.5"/>
  <pageSetup scale="89"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DesignSheet 80%V</vt:lpstr>
      <vt:lpstr>DesignSheet</vt:lpstr>
      <vt:lpstr>Data Sheet</vt:lpstr>
      <vt:lpstr>Performance Data Sheet</vt:lpstr>
      <vt:lpstr>STCurve</vt:lpstr>
      <vt:lpstr>Thermdam</vt:lpstr>
      <vt:lpstr>Performance</vt:lpstr>
      <vt:lpstr>StallTime</vt:lpstr>
      <vt:lpstr>Circuit Param</vt:lpstr>
      <vt:lpstr>Performance API</vt:lpstr>
      <vt:lpstr>'Circuit Param'!Print_Area</vt:lpstr>
      <vt:lpstr>'Data Sheet'!Print_Area</vt:lpstr>
      <vt:lpstr>DesignSheet!Print_Area</vt:lpstr>
      <vt:lpstr>'DesignSheet 80%V'!Print_Area</vt:lpstr>
      <vt:lpstr>Performance!Print_Area</vt:lpstr>
      <vt:lpstr>'Performance API'!Print_Area</vt:lpstr>
      <vt:lpstr>'Performance Data Sheet'!Print_Area</vt:lpstr>
      <vt:lpstr>StallTime!Print_Area</vt:lpstr>
      <vt:lpstr>STCurve!Print_Area</vt:lpstr>
      <vt:lpstr>Thermdam!Print_Area</vt:lpstr>
      <vt:lpstr>'Circuit Param'!Print_Area_MI</vt:lpstr>
      <vt:lpstr>'Performance API'!Print_Area_MI</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2024-08-08T18:09:03Z</dcterms:created>
  <dcterms:modified xsi:type="dcterms:W3CDTF">2025-11-12T16:09:10Z</dcterms:modified>
</cp:coreProperties>
</file>