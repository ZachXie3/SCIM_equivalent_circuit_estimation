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G:\DESPRO\BASE MV DESIGNS\TEAAC\"/>
    </mc:Choice>
  </mc:AlternateContent>
  <xr:revisionPtr revIDLastSave="0" documentId="13_ncr:1_{E3653B6F-B47E-42A1-AF76-D2EA5BEE284C}" xr6:coauthVersionLast="47" xr6:coauthVersionMax="47" xr10:uidLastSave="{00000000-0000-0000-0000-000000000000}"/>
  <bookViews>
    <workbookView xWindow="-120" yWindow="-120" windowWidth="29040" windowHeight="15720" firstSheet="2" activeTab="2" xr2:uid="{01A24588-00A0-4B4C-A8AB-699C0D7A968E}"/>
  </bookViews>
  <sheets>
    <sheet name="DesignSheet 0.80V" sheetId="11" r:id="rId1"/>
    <sheet name="DesignSheet" sheetId="3" r:id="rId2"/>
    <sheet name="Data Sheet" sheetId="4" r:id="rId3"/>
    <sheet name="Performance Data Sheet" sheetId="5" r:id="rId4"/>
    <sheet name="STCurve" sheetId="6" r:id="rId5"/>
    <sheet name="Thermdam" sheetId="7" r:id="rId6"/>
    <sheet name="Performance" sheetId="9" r:id="rId7"/>
    <sheet name="Circuit Param" sheetId="1" r:id="rId8"/>
    <sheet name="Performance API" sheetId="2" r:id="rId9"/>
    <sheet name="StallTime" sheetId="8" r:id="rId10"/>
    <sheet name="Test data" sheetId="10" r:id="rId11"/>
  </sheets>
  <definedNames>
    <definedName name="_Regression_Int" localSheetId="7" hidden="1">1</definedName>
    <definedName name="_Regression_Int" localSheetId="8" hidden="1">1</definedName>
    <definedName name="_Regression_Int" localSheetId="3" hidden="1">1</definedName>
    <definedName name="_xlnm.Print_Area" localSheetId="7">'Circuit Param'!$A$1:$M$42</definedName>
    <definedName name="_xlnm.Print_Area" localSheetId="2">'Data Sheet'!$A$1:$K$46</definedName>
    <definedName name="_xlnm.Print_Area" localSheetId="1">DesignSheet!$A$1:$J$69</definedName>
    <definedName name="_xlnm.Print_Area" localSheetId="0">'DesignSheet 0.80V'!$A$1:$J$69</definedName>
    <definedName name="_xlnm.Print_Area" localSheetId="6">Performance!$A$1:$F$43</definedName>
    <definedName name="_xlnm.Print_Area" localSheetId="8">'Performance API'!$A$1:$M$54</definedName>
    <definedName name="_xlnm.Print_Area" localSheetId="3">'Performance Data Sheet'!$A$1:$M$44</definedName>
    <definedName name="_xlnm.Print_Area" localSheetId="9">StallTime!$A$1:$G$40</definedName>
    <definedName name="_xlnm.Print_Area" localSheetId="4">STCurve!$A$1:$F$43</definedName>
    <definedName name="_xlnm.Print_Area" localSheetId="5">Thermdam!$A$1:$F$43</definedName>
    <definedName name="Print_Area_MI" localSheetId="7">'Circuit Param'!$A$8:$N$43</definedName>
    <definedName name="Print_Area_MI" localSheetId="8">'Performance API'!$A$10:$N$18</definedName>
    <definedName name="Print_Area_MI">'Performance Data Sheet'!$A$10:$N$42</definedName>
    <definedName name="thermal" localSheetId="7">#REF!</definedName>
    <definedName name="thermal">#REF!</definedName>
    <definedName name="transfer" localSheetId="7">#REF!</definedName>
    <definedName name="transfer">#REF!</definedName>
    <definedName name="unit_sht">"unit_sht"</definedName>
    <definedName name="vassvelo">#REF!</definedName>
    <definedName name="velcoity" localSheetId="7">#REF!</definedName>
    <definedName name="velcoity">#REF!</definedName>
    <definedName name="viscosity" localSheetId="7">#REF!</definedName>
    <definedName name="viscosity">#REF!</definedName>
    <definedName name="vollheatre" localSheetId="7">#REF!</definedName>
    <definedName name="vollheatre">#REF!</definedName>
    <definedName name="volumetri" localSheetId="7">#REF!</definedName>
    <definedName name="volumetri">#REF!</definedName>
    <definedName name="weight" localSheetId="7">#REF!</definedName>
    <definedName name="weight">#REF!</definedName>
    <definedName name="weights" localSheetId="7">#REF!</definedName>
    <definedName name="weights">#REF!</definedName>
    <definedName name="Z_852987ED_B4F5_11D1_ABEC_0000832EB49E_.wvu.PrintArea" localSheetId="6" hidden="1">Performance!$A$1:$F$43</definedName>
    <definedName name="Z_852987ED_B4F5_11D1_ABEC_0000832EB49E_.wvu.PrintArea" localSheetId="4" hidden="1">STCurve!$A$1:$F$43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9" i="7" l="1"/>
  <c r="J70" i="7"/>
  <c r="J71" i="7"/>
  <c r="J72" i="7"/>
  <c r="J73" i="7"/>
  <c r="J74" i="7"/>
  <c r="J75" i="7"/>
  <c r="J76" i="7"/>
  <c r="J77" i="7"/>
  <c r="J78" i="7"/>
  <c r="J79" i="7"/>
  <c r="J80" i="7"/>
  <c r="J81" i="7"/>
  <c r="I69" i="7"/>
  <c r="I70" i="7"/>
  <c r="I71" i="7"/>
  <c r="I72" i="7"/>
  <c r="I73" i="7"/>
  <c r="I74" i="7"/>
  <c r="I75" i="7"/>
  <c r="I76" i="7"/>
  <c r="I77" i="7"/>
  <c r="I78" i="7"/>
  <c r="I79" i="7"/>
  <c r="I80" i="7"/>
  <c r="I68" i="7"/>
  <c r="G69" i="7"/>
  <c r="G70" i="7"/>
  <c r="G71" i="7"/>
  <c r="G72" i="7"/>
  <c r="G73" i="7"/>
  <c r="G74" i="7"/>
  <c r="G75" i="7"/>
  <c r="G76" i="7"/>
  <c r="G77" i="7"/>
  <c r="G78" i="7"/>
  <c r="G79" i="7"/>
  <c r="G80" i="7"/>
  <c r="G68" i="7"/>
  <c r="J68" i="7"/>
  <c r="H68" i="7"/>
  <c r="H69" i="7"/>
  <c r="H70" i="7"/>
  <c r="H71" i="7"/>
  <c r="H72" i="7"/>
  <c r="H73" i="7"/>
  <c r="H74" i="7"/>
  <c r="H75" i="7"/>
  <c r="H76" i="7"/>
  <c r="H77" i="7"/>
  <c r="H78" i="7"/>
  <c r="H79" i="7"/>
  <c r="H80" i="7"/>
  <c r="H81" i="7"/>
  <c r="M52" i="11" l="1"/>
  <c r="M50" i="11"/>
  <c r="M53" i="11" s="1"/>
  <c r="M49" i="11"/>
  <c r="M48" i="11"/>
  <c r="M47" i="11"/>
  <c r="M46" i="11"/>
  <c r="M41" i="11"/>
  <c r="L41" i="11"/>
  <c r="N41" i="11" s="1"/>
  <c r="M40" i="11"/>
  <c r="N40" i="11" s="1"/>
  <c r="L40" i="11"/>
  <c r="M39" i="11"/>
  <c r="N39" i="11" s="1"/>
  <c r="L39" i="11"/>
  <c r="M38" i="11"/>
  <c r="N38" i="11" s="1"/>
  <c r="L38" i="11"/>
  <c r="P34" i="11"/>
  <c r="P33" i="11"/>
  <c r="M33" i="11"/>
  <c r="P32" i="11"/>
  <c r="M32" i="11"/>
  <c r="P31" i="11"/>
  <c r="M31" i="11"/>
  <c r="P30" i="11"/>
  <c r="M30" i="11"/>
  <c r="M29" i="11"/>
  <c r="I18" i="10"/>
  <c r="I17" i="10"/>
  <c r="I16" i="10"/>
  <c r="I15" i="10"/>
  <c r="I14" i="10"/>
  <c r="I13" i="10"/>
  <c r="I12" i="10"/>
  <c r="I11" i="10"/>
  <c r="I10" i="10"/>
  <c r="I9" i="10"/>
  <c r="I8" i="10"/>
  <c r="I7" i="10"/>
  <c r="I6" i="10"/>
  <c r="I5" i="10"/>
  <c r="I4" i="10"/>
  <c r="D43" i="9"/>
  <c r="F39" i="9"/>
  <c r="C39" i="9"/>
  <c r="C12" i="9"/>
  <c r="F9" i="9"/>
  <c r="F7" i="9"/>
  <c r="D7" i="9"/>
  <c r="B7" i="9"/>
  <c r="F6" i="9"/>
  <c r="B6" i="9"/>
  <c r="C76" i="7"/>
  <c r="C77" i="7" s="1"/>
  <c r="C78" i="7" s="1"/>
  <c r="B76" i="7"/>
  <c r="C75" i="7"/>
  <c r="C74" i="7"/>
  <c r="B74" i="7"/>
  <c r="A69" i="7"/>
  <c r="A70" i="7" s="1"/>
  <c r="E68" i="7"/>
  <c r="D66" i="7"/>
  <c r="F50" i="7"/>
  <c r="D43" i="7"/>
  <c r="F39" i="7"/>
  <c r="C39" i="7"/>
  <c r="F9" i="7"/>
  <c r="F7" i="7"/>
  <c r="D7" i="7"/>
  <c r="B7" i="7"/>
  <c r="F6" i="7"/>
  <c r="B6" i="7"/>
  <c r="D43" i="6"/>
  <c r="F39" i="6"/>
  <c r="C39" i="6"/>
  <c r="C12" i="6"/>
  <c r="F9" i="6"/>
  <c r="F7" i="6"/>
  <c r="D7" i="6"/>
  <c r="B7" i="6"/>
  <c r="F6" i="6"/>
  <c r="B6" i="6"/>
  <c r="M28" i="4"/>
  <c r="M18" i="4"/>
  <c r="M52" i="3"/>
  <c r="M50" i="3"/>
  <c r="M49" i="3"/>
  <c r="M48" i="3"/>
  <c r="M47" i="3"/>
  <c r="M53" i="3" s="1"/>
  <c r="M46" i="3"/>
  <c r="L41" i="3"/>
  <c r="N41" i="3" s="1"/>
  <c r="L40" i="3"/>
  <c r="N40" i="3" s="1"/>
  <c r="M39" i="3"/>
  <c r="N39" i="3" s="1"/>
  <c r="L39" i="3"/>
  <c r="M38" i="3"/>
  <c r="N38" i="3" s="1"/>
  <c r="L38" i="3"/>
  <c r="P34" i="3"/>
  <c r="P33" i="3"/>
  <c r="M33" i="3"/>
  <c r="P32" i="3"/>
  <c r="M32" i="3"/>
  <c r="P31" i="3"/>
  <c r="M31" i="3"/>
  <c r="P30" i="3"/>
  <c r="M30" i="3"/>
  <c r="M29" i="3"/>
  <c r="A71" i="7" l="1"/>
  <c r="C70" i="7"/>
  <c r="B70" i="7"/>
  <c r="B69" i="7"/>
  <c r="B75" i="7" s="1"/>
  <c r="C69" i="7"/>
  <c r="A72" i="7" l="1"/>
  <c r="C71" i="7"/>
  <c r="B71" i="7"/>
  <c r="A73" i="7" l="1"/>
  <c r="B73" i="7" s="1"/>
  <c r="B7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6993008D-BCC3-4BE1-B5C1-91B56C2A6FF7}">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079A9848-3F3A-4C6E-866C-92DFA3F2483F}">
      <text>
        <r>
          <rPr>
            <b/>
            <sz val="8"/>
            <color indexed="81"/>
            <rFont val="Tahoma"/>
            <family val="2"/>
          </rPr>
          <t>Choose Steel Type
from list or input name</t>
        </r>
      </text>
    </comment>
    <comment ref="D21" authorId="0" shapeId="0" xr:uid="{E4781912-1A41-4AAA-B52D-B65C11CB459D}">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<sst xmlns="http://schemas.openxmlformats.org/spreadsheetml/2006/main" count="1424" uniqueCount="829">
  <si>
    <t>TOSHIBA INTERNATIONAL CORPORATION</t>
  </si>
  <si>
    <t>INDEX</t>
  </si>
  <si>
    <t>MPCF-1109</t>
  </si>
  <si>
    <t>Industrial Division / Houston Motor Plant</t>
  </si>
  <si>
    <t>SHEET NO.</t>
  </si>
  <si>
    <t>1 of 1</t>
  </si>
  <si>
    <t>ISSUED</t>
  </si>
  <si>
    <t>EQUIVALENT CIRCUIT DATA</t>
  </si>
  <si>
    <t>SUPERSEDES</t>
  </si>
  <si>
    <t>NEW</t>
  </si>
  <si>
    <t>REVISION</t>
  </si>
  <si>
    <t>REV. 0</t>
  </si>
  <si>
    <t>WRITTEN BY</t>
  </si>
  <si>
    <t>MDC</t>
  </si>
  <si>
    <t xml:space="preserve">All Values are Presented in Ohms/Phase, Equivalent Wye Connection. </t>
  </si>
  <si>
    <t>APPROVED BY</t>
  </si>
  <si>
    <t>Paul Anderson</t>
  </si>
  <si>
    <t>CUSTOMER:</t>
  </si>
  <si>
    <t>ITT INDUSTRIES</t>
  </si>
  <si>
    <t>TIC SR No.:</t>
  </si>
  <si>
    <t>2292552.1</t>
  </si>
  <si>
    <t>MOTOR NAMEPLATE DATA</t>
  </si>
  <si>
    <t>H.P.:</t>
  </si>
  <si>
    <t>VOLTS:</t>
  </si>
  <si>
    <t>3 PH /</t>
  </si>
  <si>
    <t>60 Hz</t>
  </si>
  <si>
    <t>S. RPM:</t>
  </si>
  <si>
    <t>FRAME:</t>
  </si>
  <si>
    <t>5812USS</t>
  </si>
  <si>
    <t>ENCL:</t>
  </si>
  <si>
    <t>TEAAC</t>
  </si>
  <si>
    <t>FLAMPS:</t>
  </si>
  <si>
    <t>FLRPM:</t>
  </si>
  <si>
    <t>FORM:</t>
  </si>
  <si>
    <t>FCKNW4</t>
  </si>
  <si>
    <t>S.F.:</t>
  </si>
  <si>
    <t>1.0</t>
  </si>
  <si>
    <t>NEMA DESIGN:</t>
  </si>
  <si>
    <t>-</t>
  </si>
  <si>
    <t>INSUL CLASS:</t>
  </si>
  <si>
    <t>F</t>
  </si>
  <si>
    <t>TYPE:</t>
  </si>
  <si>
    <t>TIKE</t>
  </si>
  <si>
    <t>AMB.:</t>
  </si>
  <si>
    <t>CODE:</t>
  </si>
  <si>
    <t>G</t>
  </si>
  <si>
    <t>DUTY:</t>
  </si>
  <si>
    <t>Cont.</t>
  </si>
  <si>
    <t>MODEL No.:</t>
  </si>
  <si>
    <t>A1-10130506</t>
  </si>
  <si>
    <t>kW:</t>
  </si>
  <si>
    <t>NOM. EFF.:</t>
  </si>
  <si>
    <t>MIN. EFF.:</t>
  </si>
  <si>
    <t>P.F.:</t>
  </si>
  <si>
    <t>Primary Resistance (R1) :</t>
  </si>
  <si>
    <t>Secondary Resistance (R2) :</t>
  </si>
  <si>
    <t>Starting Resistance (R3) :</t>
  </si>
  <si>
    <t>Primary Reactance (X1) :</t>
  </si>
  <si>
    <t>Secondary Reactance (X2) :</t>
  </si>
  <si>
    <t>Starting Reactance (X3) :</t>
  </si>
  <si>
    <t>Magnetizing Reactance (Xm) :</t>
  </si>
  <si>
    <t>Transient Reactance :</t>
  </si>
  <si>
    <t>Sub Transient Reactance :</t>
  </si>
  <si>
    <t>Short Circuit Time Constant :</t>
  </si>
  <si>
    <t>Sub Transient Time Constant :</t>
  </si>
  <si>
    <t>Open Circuit Time Constant :</t>
  </si>
  <si>
    <t>CERTIFIED BY:</t>
  </si>
  <si>
    <t>JERRY R</t>
  </si>
  <si>
    <t>DATE:</t>
  </si>
  <si>
    <t>MPCF-1082</t>
  </si>
  <si>
    <t>2/14/02</t>
  </si>
  <si>
    <t>SQUIRREL CAGE INDUCTION MOTOR</t>
  </si>
  <si>
    <t>M. CAMPBELL</t>
  </si>
  <si>
    <t>API 541 PERFORMANCE SPECIFICATIONS</t>
  </si>
  <si>
    <t>P.A.A</t>
  </si>
  <si>
    <t>LOCKED ROTOR DATA</t>
  </si>
  <si>
    <t>AMPS AT RATED VOLTAGE:</t>
  </si>
  <si>
    <t>POWER FACTOR:</t>
  </si>
  <si>
    <t>AMPS AT 80% VOLTAGE:</t>
  </si>
  <si>
    <t>TORQUE VALUES</t>
  </si>
  <si>
    <t>CURVE NUMBERS</t>
  </si>
  <si>
    <t>FULL LOAD (LB.FT):</t>
  </si>
  <si>
    <t>SPEED-TORQUE CURVE:</t>
  </si>
  <si>
    <t>BS2900U REV3</t>
  </si>
  <si>
    <t>LOCKED ROTOR TORQUE (% OF FLT):</t>
  </si>
  <si>
    <t>SPEED-CURRENT CURVE:</t>
  </si>
  <si>
    <t>PULL UP TORQUE (% OF FLT):</t>
  </si>
  <si>
    <t>ACCELERATION CURVE:</t>
  </si>
  <si>
    <t>BREAKDOWN TORQUE (% OF FLT):</t>
  </si>
  <si>
    <t>LOCKED ROTOR WITHSTAND TIMES</t>
  </si>
  <si>
    <t>COLD CONDITION</t>
  </si>
  <si>
    <t>HOT CONDITION</t>
  </si>
  <si>
    <t>100% VOLTAGE:</t>
  </si>
  <si>
    <t>28 (s)</t>
  </si>
  <si>
    <t>15 (s)</t>
  </si>
  <si>
    <t>90% VOLTAGE:</t>
  </si>
  <si>
    <t>35 (s)</t>
  </si>
  <si>
    <t>18 (s)</t>
  </si>
  <si>
    <t>80% VOLTAGE:</t>
  </si>
  <si>
    <t>44 (s)</t>
  </si>
  <si>
    <t>23 (s)</t>
  </si>
  <si>
    <t>70% VOLTAGE:</t>
  </si>
  <si>
    <t>58 (s)</t>
  </si>
  <si>
    <t>30 (s)</t>
  </si>
  <si>
    <t>DESIGN DATA</t>
  </si>
  <si>
    <r>
      <t>MOTOR ROTOR wk</t>
    </r>
    <r>
      <rPr>
        <vertAlign val="superscript"/>
        <sz val="8"/>
        <rFont val="Univers"/>
        <family val="2"/>
      </rPr>
      <t xml:space="preserve">2 </t>
    </r>
    <r>
      <rPr>
        <sz val="8"/>
        <rFont val="Univers"/>
        <family val="2"/>
      </rPr>
      <t>(LB.FT</t>
    </r>
    <r>
      <rPr>
        <vertAlign val="superscript"/>
        <sz val="8"/>
        <rFont val="Univers"/>
        <family val="2"/>
      </rPr>
      <t>2</t>
    </r>
    <r>
      <rPr>
        <sz val="8"/>
        <rFont val="Univers"/>
        <family val="2"/>
      </rPr>
      <t>):</t>
    </r>
  </si>
  <si>
    <t>177.0</t>
  </si>
  <si>
    <t>NO LOAD CURRENT:</t>
  </si>
  <si>
    <t>AIR GAP:</t>
  </si>
  <si>
    <t>3.3 mm</t>
  </si>
  <si>
    <t>ACCELERATION TIME:</t>
  </si>
  <si>
    <t>2 / 2.5 / 4.5 (s)</t>
  </si>
  <si>
    <t>LOAD CHARACTERISTICS</t>
  </si>
  <si>
    <t>LOAD</t>
  </si>
  <si>
    <t>1/2</t>
  </si>
  <si>
    <t>3/4</t>
  </si>
  <si>
    <t>FULL</t>
  </si>
  <si>
    <t>SF</t>
  </si>
  <si>
    <t>AMPS (A)</t>
  </si>
  <si>
    <t>EFFICIENCY (%)</t>
  </si>
  <si>
    <t>POWER FACTOR (%)</t>
  </si>
  <si>
    <t>GUARENTEED EFFICIENCY (%)</t>
  </si>
  <si>
    <t>EFFICIENCY TO BE DETERMINED BY IEEE 112, METHOD B</t>
  </si>
  <si>
    <t>ALL CHARACTERISTICS ARE AVERAGE EXPECTED VALUES BASED UPON RATED VOLTAGE, FREQUENCY AND SINEWAVE POWER INPUT.</t>
  </si>
  <si>
    <t xml:space="preserve">                              TOSHIBA INTERNATIONAL CORPORATION</t>
  </si>
  <si>
    <t>Calc. Code:</t>
  </si>
  <si>
    <t>2-2-2-0-1-2</t>
  </si>
  <si>
    <t xml:space="preserve">             3-PHASE SQUIRREL CAGE INDUCTION MOTOR DESIGN SHEET</t>
  </si>
  <si>
    <t>B.L.-1  P.F.-1</t>
  </si>
  <si>
    <t>File:</t>
  </si>
  <si>
    <t>N:\DESPRO\RAT FILES\BS2900U_REV1.rat</t>
  </si>
  <si>
    <t>Date:</t>
  </si>
  <si>
    <t>Time:</t>
  </si>
  <si>
    <t>Pole</t>
  </si>
  <si>
    <t>HP</t>
  </si>
  <si>
    <t>RPM</t>
  </si>
  <si>
    <t>Form</t>
  </si>
  <si>
    <t>Voltage</t>
  </si>
  <si>
    <t>Frequency</t>
  </si>
  <si>
    <t>Temperature</t>
  </si>
  <si>
    <t>FLSpeed</t>
  </si>
  <si>
    <t>FLSlip</t>
  </si>
  <si>
    <t xml:space="preserve">Frame </t>
  </si>
  <si>
    <t>ECMNW4</t>
  </si>
  <si>
    <t>3581.0 / 3579.4</t>
  </si>
  <si>
    <t>0.0053 / 0.0057</t>
  </si>
  <si>
    <t>5811/12UDZ</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</si>
  <si>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</si>
  <si>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</si>
  <si>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</si>
  <si>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</si>
  <si>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</si>
  <si>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</si>
  <si>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</si>
  <si>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</si>
  <si>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</si>
  <si>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</si>
  <si>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</si>
  <si>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</si>
  <si>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</si>
  <si>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</si>
  <si>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16</t>
  </si>
  <si>
    <t>Cross Section Area</t>
  </si>
  <si>
    <t>Mean Value</t>
  </si>
  <si>
    <t>Core Length</t>
  </si>
  <si>
    <t>UB: 304.0</t>
  </si>
  <si>
    <t>UER: 1750.0</t>
  </si>
  <si>
    <t>Eff.T.W.St.</t>
  </si>
  <si>
    <t>WS</t>
  </si>
  <si>
    <t>OD</t>
  </si>
  <si>
    <t>Coil Pitch</t>
  </si>
  <si>
    <t>Eff.T.W.Rt.</t>
  </si>
  <si>
    <t>ID</t>
  </si>
  <si>
    <t>Slot Fill</t>
  </si>
  <si>
    <t>EBL: 50.0</t>
  </si>
  <si>
    <t>ERD1: 281.0</t>
  </si>
  <si>
    <t xml:space="preserve">St.Carter Fac. </t>
  </si>
  <si>
    <t>IS</t>
  </si>
  <si>
    <t>Core Depth</t>
  </si>
  <si>
    <t>Con./Slot</t>
  </si>
  <si>
    <t>ERT: 70.00</t>
  </si>
  <si>
    <t>Rt.Carter Fac.</t>
  </si>
  <si>
    <t>Eff.Core L.</t>
  </si>
  <si>
    <t>Wire Size 1</t>
  </si>
  <si>
    <t>(.064"x.204")x2</t>
  </si>
  <si>
    <t>ERH: 25.00</t>
  </si>
  <si>
    <t>Carter Factor</t>
  </si>
  <si>
    <t>Volts / Turn</t>
  </si>
  <si>
    <t>Slot Data</t>
  </si>
  <si>
    <t>Wire Size 2</t>
  </si>
  <si>
    <t>Short. Factor</t>
  </si>
  <si>
    <t>Number</t>
  </si>
  <si>
    <t>// Circuits</t>
  </si>
  <si>
    <t>Distrib. Factor</t>
  </si>
  <si>
    <t>AC</t>
  </si>
  <si>
    <t>Kind</t>
  </si>
  <si>
    <t>Open</t>
  </si>
  <si>
    <t>Trapeze</t>
  </si>
  <si>
    <t>Connection</t>
  </si>
  <si>
    <t>Wye</t>
  </si>
  <si>
    <t>Wind. Factor</t>
  </si>
  <si>
    <t>Skew</t>
  </si>
  <si>
    <t>MCL</t>
  </si>
  <si>
    <t>Reactance</t>
  </si>
  <si>
    <t>(Coeff.: 0.0452)</t>
  </si>
  <si>
    <t>Depth</t>
  </si>
  <si>
    <t>No.Cond./Ph.</t>
  </si>
  <si>
    <t>Running</t>
  </si>
  <si>
    <t>Start</t>
  </si>
  <si>
    <t>Width</t>
  </si>
  <si>
    <t>10.20 - 10.20</t>
  </si>
  <si>
    <t>Res.     (20°C)</t>
  </si>
  <si>
    <t>Stator Slot</t>
  </si>
  <si>
    <t>Opening</t>
  </si>
  <si>
    <t>(105°C)</t>
  </si>
  <si>
    <t>Rotor Slot</t>
  </si>
  <si>
    <t>Tip Depth</t>
  </si>
  <si>
    <t>Material</t>
  </si>
  <si>
    <t>CU</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</si>
  <si>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</si>
  <si>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</si>
  <si>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</si>
  <si>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</si>
  <si>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</si>
  <si>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</si>
  <si>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</si>
  <si>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</si>
  <si>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</si>
  <si>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</si>
  <si>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</si>
  <si>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</si>
  <si>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</si>
  <si>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</si>
  <si>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</si>
  <si>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</si>
  <si>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</si>
  <si>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6 x 10</t>
  </si>
  <si>
    <t>Wire 2</t>
  </si>
  <si>
    <t>Impedance</t>
  </si>
  <si>
    <t>Effective Depth (S=1)</t>
  </si>
  <si>
    <t>Magnetic Circuit Data</t>
  </si>
  <si>
    <t>Core Loss Data</t>
  </si>
  <si>
    <t>Res.=</t>
  </si>
  <si>
    <t>Length</t>
  </si>
  <si>
    <t>Section</t>
  </si>
  <si>
    <t>Density</t>
  </si>
  <si>
    <t>AT</t>
  </si>
  <si>
    <t>Volume</t>
  </si>
  <si>
    <t>Loss</t>
  </si>
  <si>
    <t>125RPM</t>
  </si>
  <si>
    <r>
      <t>Kline/in</t>
    </r>
    <r>
      <rPr>
        <i/>
        <vertAlign val="superscript"/>
        <sz val="10"/>
        <rFont val="Times New Roman"/>
        <family val="1"/>
      </rPr>
      <t>2</t>
    </r>
  </si>
  <si>
    <t>Reac.=</t>
  </si>
  <si>
    <t>Primary Core</t>
  </si>
  <si>
    <t>100RPM</t>
  </si>
  <si>
    <t>Excitation Data</t>
  </si>
  <si>
    <t>Tooth</t>
  </si>
  <si>
    <t>75RPM</t>
  </si>
  <si>
    <t>Excit.Amps</t>
  </si>
  <si>
    <t>27.476 / 24.466</t>
  </si>
  <si>
    <t>Second.Core</t>
  </si>
  <si>
    <t>Total</t>
  </si>
  <si>
    <t>50RPM</t>
  </si>
  <si>
    <t>Core Loss</t>
  </si>
  <si>
    <t>1.446 / 1.288</t>
  </si>
  <si>
    <t>Flux / Pole</t>
  </si>
  <si>
    <t>C.L.C.</t>
  </si>
  <si>
    <t>1.75 / 0.73</t>
  </si>
  <si>
    <t>25RPM</t>
  </si>
  <si>
    <t>NoLoad</t>
  </si>
  <si>
    <t>27.51 / 24.50</t>
  </si>
  <si>
    <t>S.F.C.</t>
  </si>
  <si>
    <t>Load Characteristics</t>
  </si>
  <si>
    <t>Temp. Rise @ 100%:</t>
  </si>
  <si>
    <t>56 / 56</t>
  </si>
  <si>
    <t>No Load Loss</t>
  </si>
  <si>
    <t>23821.5 / 21948.8</t>
  </si>
  <si>
    <t>W.Loss</t>
  </si>
  <si>
    <t>9023.2 / 3740.3</t>
  </si>
  <si>
    <t>Load (%)</t>
  </si>
  <si>
    <t>Primary Loss</t>
  </si>
  <si>
    <t>6303.7 / 6188.0</t>
  </si>
  <si>
    <t>S.Loss</t>
  </si>
  <si>
    <t>1004.9 / 416.6</t>
  </si>
  <si>
    <t>Current (A)</t>
  </si>
  <si>
    <t>40.82 / 41.82</t>
  </si>
  <si>
    <t>61.31 / 62.81</t>
  </si>
  <si>
    <t>85.06 / 87.14</t>
  </si>
  <si>
    <t>110.29 / 112.99</t>
  </si>
  <si>
    <t>136.59 / 139.94</t>
  </si>
  <si>
    <t>Second. Loss</t>
  </si>
  <si>
    <t>3697.1 / 4005.8</t>
  </si>
  <si>
    <t>Total C.Loss</t>
  </si>
  <si>
    <t>10028.2 / 4156.9</t>
  </si>
  <si>
    <t xml:space="preserve">Efficiency </t>
  </si>
  <si>
    <t>0.872 / 0.865</t>
  </si>
  <si>
    <t>0.927 / 0.920</t>
  </si>
  <si>
    <t>0.945 / 0.938</t>
  </si>
  <si>
    <t>0.953 / 0.946</t>
  </si>
  <si>
    <t>0.956 / 0.949</t>
  </si>
  <si>
    <t>Frict.&amp; Wind.</t>
  </si>
  <si>
    <t>13500.0 / 17384.1</t>
  </si>
  <si>
    <t>Stray Loss</t>
  </si>
  <si>
    <t>Eff.</t>
  </si>
  <si>
    <t>P.F.</t>
  </si>
  <si>
    <t>0.681 / 0.669</t>
  </si>
  <si>
    <t>0.852 / 0.838</t>
  </si>
  <si>
    <t>0.904 / 0.889</t>
  </si>
  <si>
    <t>0.922 / 0.907</t>
  </si>
  <si>
    <t>0.928 / 0.912</t>
  </si>
  <si>
    <t>Starting Data</t>
  </si>
  <si>
    <t>Slip</t>
  </si>
  <si>
    <t>PF</t>
  </si>
  <si>
    <t>PF.</t>
  </si>
  <si>
    <t>0.0014 / 0.0018</t>
  </si>
  <si>
    <t>0.0027 / 0.0031</t>
  </si>
  <si>
    <t>0.0040 / 0.0044</t>
  </si>
  <si>
    <t>0.0066 / 0.0070</t>
  </si>
  <si>
    <t xml:space="preserve">LRA </t>
  </si>
  <si>
    <t>714.7 / 733.3</t>
  </si>
  <si>
    <t>Current</t>
  </si>
  <si>
    <t>3595.0 / 3593.4</t>
  </si>
  <si>
    <t>3590.4 / 3588.8</t>
  </si>
  <si>
    <t>3585.7 / 3584.2</t>
  </si>
  <si>
    <t>3576.2 / 3574.6</t>
  </si>
  <si>
    <t>%</t>
  </si>
  <si>
    <t>648.0 / 664.9</t>
  </si>
  <si>
    <t>L (Inv., MH)</t>
  </si>
  <si>
    <t>LRT (kg.m)</t>
  </si>
  <si>
    <t>234.6 / 220.2</t>
  </si>
  <si>
    <t>(No Load)</t>
  </si>
  <si>
    <t>Correlated to: BS2900U REV1 5 TEST LABS.dat</t>
  </si>
  <si>
    <t>128.5 / 120.6</t>
  </si>
  <si>
    <t>Design Parameters (Full Load)</t>
  </si>
  <si>
    <t>Magnetic Pull  &amp; Thrust</t>
  </si>
  <si>
    <t>BDT (kW)</t>
  </si>
  <si>
    <t>IM/IW</t>
  </si>
  <si>
    <t>I*R1/E</t>
  </si>
  <si>
    <t>Rosenberg</t>
  </si>
  <si>
    <t>330.6 / 298.7</t>
  </si>
  <si>
    <t>IW*X/E</t>
  </si>
  <si>
    <t>I*R2/E</t>
  </si>
  <si>
    <t>Schwisky</t>
  </si>
  <si>
    <t>Amps</t>
  </si>
  <si>
    <r>
      <t>HP</t>
    </r>
    <r>
      <rPr>
        <vertAlign val="superscript"/>
        <sz val="10"/>
        <rFont val="Arial"/>
        <family val="2"/>
      </rPr>
      <t>0.95</t>
    </r>
  </si>
  <si>
    <t>SUM</t>
  </si>
  <si>
    <t>Friction/OP.</t>
  </si>
  <si>
    <t>Tsurumi</t>
  </si>
  <si>
    <t>Max. Output</t>
  </si>
  <si>
    <r>
      <t>HP</t>
    </r>
    <r>
      <rPr>
        <vertAlign val="superscript"/>
        <sz val="10"/>
        <rFont val="Arial"/>
        <family val="2"/>
      </rPr>
      <t>1.5</t>
    </r>
  </si>
  <si>
    <t>IH/I</t>
  </si>
  <si>
    <t>Thrust (1mm)</t>
  </si>
  <si>
    <r>
      <t>(RPM/1000)</t>
    </r>
    <r>
      <rPr>
        <vertAlign val="superscript"/>
        <sz val="10"/>
        <rFont val="Arial"/>
        <family val="2"/>
      </rPr>
      <t>2.4</t>
    </r>
  </si>
  <si>
    <t>Efficiency</t>
  </si>
  <si>
    <t>Thrust (3 mm)</t>
  </si>
  <si>
    <r>
      <t>(RPM/1000)</t>
    </r>
    <r>
      <rPr>
        <vertAlign val="superscript"/>
        <sz val="10"/>
        <rFont val="Arial"/>
        <family val="2"/>
      </rPr>
      <t>1.8</t>
    </r>
  </si>
  <si>
    <t>Single Cage Data</t>
  </si>
  <si>
    <t>Miscellaneous Data</t>
  </si>
  <si>
    <t>A</t>
  </si>
  <si>
    <t>Slot Number</t>
  </si>
  <si>
    <t>Slit Width</t>
  </si>
  <si>
    <t>T.M.Wid.Low.</t>
  </si>
  <si>
    <t>Watt Rad.</t>
  </si>
  <si>
    <t>Coil Cur. Density</t>
  </si>
  <si>
    <t>k</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</si>
  <si>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</si>
  <si>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</si>
  <si>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</si>
  <si>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3.40 / 3.48</t>
  </si>
  <si>
    <t>Hz</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</si>
  <si>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</si>
  <si>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</si>
  <si>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</si>
  <si>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</si>
  <si>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Load Inertia</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</si>
  <si>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</si>
  <si>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</si>
  <si>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4.33 / 4.44</t>
  </si>
  <si>
    <t>LB:  -</t>
  </si>
  <si>
    <t>Up. Sl. Wid.</t>
  </si>
  <si>
    <t>L.S.Depth</t>
  </si>
  <si>
    <t>X2S</t>
  </si>
  <si>
    <t>IMC</t>
  </si>
  <si>
    <t>ER Cur. Den.</t>
  </si>
  <si>
    <t>Up. Sl. Dep.</t>
  </si>
  <si>
    <t>T.M.Wid.Up.</t>
  </si>
  <si>
    <t>X3S</t>
  </si>
  <si>
    <t>Coil Pitch Ct.</t>
  </si>
  <si>
    <t>UER: 4.56 / 4.67</t>
  </si>
  <si>
    <t>LER:  -</t>
  </si>
  <si>
    <t>S-T Curve Data (Custom Values)</t>
  </si>
  <si>
    <t>Torque (%)</t>
  </si>
  <si>
    <t>Current (%)</t>
  </si>
  <si>
    <t>Current(%)</t>
  </si>
  <si>
    <t>Acceleration Data (FV / 0.93 / 0.80 V)</t>
  </si>
  <si>
    <t>Load Type:</t>
  </si>
  <si>
    <t>Custom</t>
  </si>
  <si>
    <t>Load Inertia:</t>
  </si>
  <si>
    <t>2.0 kg.m²</t>
  </si>
  <si>
    <t>Accel. Time:</t>
  </si>
  <si>
    <t>1.7 / 2.1 / 3.7 (s)</t>
  </si>
  <si>
    <t>Rated Torque:</t>
  </si>
  <si>
    <t>182.6 kg.m</t>
  </si>
  <si>
    <t>Load</t>
  </si>
  <si>
    <t>Torque 93%</t>
  </si>
  <si>
    <t>LRA 93%</t>
  </si>
  <si>
    <t>Torque 80%</t>
  </si>
  <si>
    <t>LRA 80%</t>
  </si>
  <si>
    <t>INDUCTION MOTOR DATA SHEET</t>
  </si>
  <si>
    <t>BS2900U_REV1</t>
  </si>
  <si>
    <t>HRW / Model Number:</t>
  </si>
  <si>
    <t>9003TCQL11F-C</t>
  </si>
  <si>
    <t>Type: TIKE - Form: ECMNW4 - 2 Pole - 900 HP - 4000 V - 60 Hz - 5811/12UDZ - Class F</t>
  </si>
  <si>
    <t>Motor Type Selection</t>
  </si>
  <si>
    <t>Electrical Steel Table</t>
  </si>
  <si>
    <t>Motor Parameters</t>
  </si>
  <si>
    <t>PERFORMANCE</t>
  </si>
  <si>
    <t>DESIGN</t>
  </si>
  <si>
    <t>TEST</t>
  </si>
  <si>
    <t>EPACT</t>
  </si>
  <si>
    <t>M22 - 26Ga.</t>
  </si>
  <si>
    <t>NCB1 - 26Ga.</t>
  </si>
  <si>
    <t>NL &amp; Impedance Test</t>
  </si>
  <si>
    <t>EQP-III</t>
  </si>
  <si>
    <t>M36 - 26Ga.</t>
  </si>
  <si>
    <t>No load amps</t>
  </si>
  <si>
    <t>Exp.Prf.</t>
  </si>
  <si>
    <t>Stack length</t>
  </si>
  <si>
    <t>No load watts</t>
  </si>
  <si>
    <t>Exp.Prf.-EQPIII</t>
  </si>
  <si>
    <t>M43 - 26Ga.</t>
  </si>
  <si>
    <t>Number of turns per coil</t>
  </si>
  <si>
    <t>Impedance amps</t>
  </si>
  <si>
    <t>f</t>
  </si>
  <si>
    <t>Prem. Eff.</t>
  </si>
  <si>
    <t>M45 - 26Ga.</t>
  </si>
  <si>
    <t>Wire 1 (size &amp; number)</t>
  </si>
  <si>
    <t>Impedance volts</t>
  </si>
  <si>
    <t>Standard Eff.</t>
  </si>
  <si>
    <t>M54 - 26Ga.</t>
  </si>
  <si>
    <t>Wire 2 (size &amp; number)</t>
  </si>
  <si>
    <t>Impedance watts</t>
  </si>
  <si>
    <t>OWP</t>
  </si>
  <si>
    <t>TIPA Lam</t>
  </si>
  <si>
    <r>
      <t xml:space="preserve">Slot fill - </t>
    </r>
    <r>
      <rPr>
        <i/>
        <sz val="9"/>
        <color indexed="8"/>
        <rFont val="Times New Roman"/>
        <family val="1"/>
      </rPr>
      <t>circle/square method (%)</t>
    </r>
  </si>
  <si>
    <t>Temperature Rise (°C)</t>
  </si>
  <si>
    <t>Dry Kiln</t>
  </si>
  <si>
    <t>2 x Wye</t>
  </si>
  <si>
    <t>Winding</t>
  </si>
  <si>
    <t>80/115</t>
  </si>
  <si>
    <t>56 / 74</t>
  </si>
  <si>
    <t>Allowance for ins. depth</t>
  </si>
  <si>
    <t xml:space="preserve">Bearing  PS/OS </t>
  </si>
  <si>
    <t>Allowance for ins. width</t>
  </si>
  <si>
    <t>Slot/Wire arrangement</t>
  </si>
  <si>
    <t>26 x 2</t>
  </si>
  <si>
    <t>Nameplate Data</t>
  </si>
  <si>
    <t>Effective cross section for coil</t>
  </si>
  <si>
    <t>FLC (A)</t>
  </si>
  <si>
    <t>Coil grouping</t>
  </si>
  <si>
    <t>Coil pitch (slot number)</t>
  </si>
  <si>
    <t>CODE</t>
  </si>
  <si>
    <t>Method of coil connection</t>
  </si>
  <si>
    <t>S. F.</t>
  </si>
  <si>
    <t>Method of Connection</t>
  </si>
  <si>
    <t>Resistance per phase @ 20 °C</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</si>
  <si>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</si>
  <si>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</si>
  <si>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</si>
  <si>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</si>
  <si>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</si>
  <si>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</si>
  <si>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</si>
  <si>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</si>
  <si>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</si>
  <si>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</si>
  <si>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</si>
  <si>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</si>
  <si>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348 / 2257</t>
  </si>
  <si>
    <t>444 / 467</t>
  </si>
  <si>
    <t>Stator Slot Shape                                      (Reference)</t>
  </si>
  <si>
    <t>Performance</t>
  </si>
  <si>
    <t>LRC (A)</t>
  </si>
  <si>
    <t xml:space="preserve"> - </t>
  </si>
  <si>
    <t>LRT (%)</t>
  </si>
  <si>
    <t>BDT (%)</t>
  </si>
  <si>
    <t>SLIP (%)</t>
  </si>
  <si>
    <t>IEEE-B</t>
  </si>
  <si>
    <t>Eff. (%)</t>
  </si>
  <si>
    <t>Rotor Slot Shape                                       (Reference)</t>
  </si>
  <si>
    <t>PF (%)</t>
  </si>
  <si>
    <t>Losses (Watts)</t>
  </si>
  <si>
    <t>Core</t>
  </si>
  <si>
    <t>F &amp; W</t>
  </si>
  <si>
    <t xml:space="preserve">Stray </t>
  </si>
  <si>
    <t>End Ring                                                   (Reference)</t>
  </si>
  <si>
    <t>Note</t>
  </si>
  <si>
    <t>LINK: BS2900U_REV1.RAT AND BS2900U REV1 5 TEST LABS.dat</t>
  </si>
  <si>
    <t>Approved</t>
  </si>
  <si>
    <t>Design</t>
  </si>
  <si>
    <t>Jerry R</t>
  </si>
  <si>
    <t>Date</t>
  </si>
  <si>
    <t>REV3. REDESIGNED USING 6 LAB RESULTS</t>
  </si>
  <si>
    <t>JROD 10/10/2025</t>
  </si>
  <si>
    <t>MPCF-1033</t>
  </si>
  <si>
    <t>7/31/13</t>
  </si>
  <si>
    <t>11/8/96</t>
  </si>
  <si>
    <t>PERFORMANCE SPECIFICATIONS</t>
  </si>
  <si>
    <t>PAA</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</si>
  <si>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</si>
  <si>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</si>
  <si>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</si>
  <si>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</si>
  <si>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</si>
  <si>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</si>
  <si>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</si>
  <si>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</si>
  <si>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</si>
  <si>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</si>
  <si>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</si>
  <si>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</si>
  <si>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</si>
  <si>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</si>
  <si>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</si>
  <si>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</si>
  <si>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xml:space="preserve">THE DECLARED LOCKED ROTOR CURRENT HAS A TOLERANCE OF 20%.  </t>
  </si>
  <si>
    <t>* TEMPERATURE RISE WILL BE CONSISTENT WITH INSULATION, AMBIENT AND SERVICE FACTOR AS</t>
  </si>
  <si>
    <t>DEFINED BY NEMA-MG-12  OR  -20.</t>
  </si>
  <si>
    <t>** BEARINGS ARE THE ONLY RECOMMENDED SPARE PART(S).</t>
  </si>
  <si>
    <t>6205ZZ</t>
  </si>
  <si>
    <t>TEFC</t>
  </si>
  <si>
    <t>6206UU</t>
  </si>
  <si>
    <t>ODP</t>
  </si>
  <si>
    <t>6207ZZ</t>
  </si>
  <si>
    <t>B</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</si>
  <si>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</si>
  <si>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</si>
  <si>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</si>
  <si>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</si>
  <si>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</si>
  <si>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</si>
  <si>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</si>
  <si>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</si>
  <si>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</si>
  <si>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</si>
  <si>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</si>
  <si>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</si>
  <si>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</si>
  <si>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</si>
  <si>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</si>
  <si>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</si>
  <si>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</si>
  <si>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</si>
  <si>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</si>
  <si>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</si>
  <si>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</si>
  <si>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</si>
  <si>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</si>
  <si>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</si>
  <si>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</si>
  <si>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</si>
  <si>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</si>
  <si>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</si>
  <si>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</si>
  <si>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</si>
  <si>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</si>
  <si>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</si>
  <si>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</si>
  <si>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</si>
  <si>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</si>
  <si>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</si>
  <si>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</si>
  <si>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Model #:</t>
  </si>
  <si>
    <t>FLAmps:</t>
  </si>
  <si>
    <t>Enclosure:</t>
  </si>
  <si>
    <t>Voltage:</t>
  </si>
  <si>
    <t>Frame:</t>
  </si>
  <si>
    <t>Pole:</t>
  </si>
  <si>
    <t>Frequency:</t>
  </si>
  <si>
    <t>3 PH / 60 Hz</t>
  </si>
  <si>
    <t>Ins. Class:</t>
  </si>
  <si>
    <t>HP:</t>
  </si>
  <si>
    <t>Rotor Inertia:</t>
  </si>
  <si>
    <t>177.0 lb-ft²</t>
  </si>
  <si>
    <t>12.0 lb-ft²</t>
  </si>
  <si>
    <t>BS2900U_REV3</t>
  </si>
  <si>
    <t>Locked Rotor Amps:</t>
  </si>
  <si>
    <t>Locked Rotor Torque:</t>
  </si>
  <si>
    <t>Starting at:</t>
  </si>
  <si>
    <t>FV / 0.93 / 0.80 (V)</t>
  </si>
  <si>
    <t>Breakdown Torque:</t>
  </si>
  <si>
    <t>2 / 2.5 / 4 (s)</t>
  </si>
  <si>
    <t>1320 lb-ft</t>
  </si>
  <si>
    <t>Comments:</t>
  </si>
  <si>
    <t>PROJECT</t>
  </si>
  <si>
    <t>D.E.Curve #:</t>
  </si>
  <si>
    <t>Prepared by:</t>
  </si>
  <si>
    <t>Checked by:</t>
  </si>
  <si>
    <t>Closed Load</t>
  </si>
  <si>
    <t>Thermal Limit &amp; Acceleration Curves</t>
  </si>
  <si>
    <t>Design Values (For Reference Only)</t>
  </si>
  <si>
    <t xml:space="preserve"> </t>
  </si>
  <si>
    <t>Cold</t>
  </si>
  <si>
    <t>Hot</t>
  </si>
  <si>
    <t>CURRENT (%)</t>
  </si>
  <si>
    <t>Accel. Time</t>
  </si>
  <si>
    <t>Rating:</t>
  </si>
  <si>
    <t>2 Pole - 900.0 HP - 3600 RPM - 4000 V - 60 Hz</t>
  </si>
  <si>
    <t>Starting Performance</t>
  </si>
  <si>
    <t>Load Type: Custom - 12.0 lb-ft²</t>
  </si>
  <si>
    <t>Motor</t>
  </si>
  <si>
    <t xml:space="preserve">Load </t>
  </si>
  <si>
    <t>Accel.</t>
  </si>
  <si>
    <t xml:space="preserve"> Line</t>
  </si>
  <si>
    <t>Stator</t>
  </si>
  <si>
    <t>Rotor</t>
  </si>
  <si>
    <t>Speed Increment</t>
  </si>
  <si>
    <t>Time (s)</t>
  </si>
  <si>
    <t>kW / s</t>
  </si>
  <si>
    <t>0~360</t>
  </si>
  <si>
    <t>120.1</t>
  </si>
  <si>
    <t>9.9</t>
  </si>
  <si>
    <t>0.152</t>
  </si>
  <si>
    <t>731.7</t>
  </si>
  <si>
    <t>42.4</t>
  </si>
  <si>
    <t>202.2</t>
  </si>
  <si>
    <t>360~720</t>
  </si>
  <si>
    <t>8.8</t>
  </si>
  <si>
    <t>0.150</t>
  </si>
  <si>
    <t>728.9</t>
  </si>
  <si>
    <t>41.6</t>
  </si>
  <si>
    <t>180.2</t>
  </si>
  <si>
    <t>720~1080</t>
  </si>
  <si>
    <t>9.6</t>
  </si>
  <si>
    <t>725.7</t>
  </si>
  <si>
    <t>161.3</t>
  </si>
  <si>
    <t>1080~1440</t>
  </si>
  <si>
    <t>120.0</t>
  </si>
  <si>
    <t>12.6</t>
  </si>
  <si>
    <t>0.156</t>
  </si>
  <si>
    <t>722.1</t>
  </si>
  <si>
    <t>42.3</t>
  </si>
  <si>
    <t>145.0</t>
  </si>
  <si>
    <t>1440~1800</t>
  </si>
  <si>
    <t>20.0</t>
  </si>
  <si>
    <t>0.167</t>
  </si>
  <si>
    <t>717.9</t>
  </si>
  <si>
    <t>45.0</t>
  </si>
  <si>
    <t>133.6</t>
  </si>
  <si>
    <t>1800~2160</t>
  </si>
  <si>
    <t>31.5</t>
  </si>
  <si>
    <t>0.189</t>
  </si>
  <si>
    <t>713.4</t>
  </si>
  <si>
    <t>50.3</t>
  </si>
  <si>
    <t>125.8</t>
  </si>
  <si>
    <t>2160~2530</t>
  </si>
  <si>
    <t>122.1</t>
  </si>
  <si>
    <t>39.5</t>
  </si>
  <si>
    <t>0.209</t>
  </si>
  <si>
    <t>708.2</t>
  </si>
  <si>
    <t>54.7</t>
  </si>
  <si>
    <t>107.9</t>
  </si>
  <si>
    <t>2530~2901</t>
  </si>
  <si>
    <t>129.3</t>
  </si>
  <si>
    <t>52.9</t>
  </si>
  <si>
    <t>0.226</t>
  </si>
  <si>
    <t>701.0</t>
  </si>
  <si>
    <t>58.2</t>
  </si>
  <si>
    <t>89.6</t>
  </si>
  <si>
    <t>2901~3086</t>
  </si>
  <si>
    <t>142.9</t>
  </si>
  <si>
    <t>68.8</t>
  </si>
  <si>
    <t>0.116</t>
  </si>
  <si>
    <t>691.6</t>
  </si>
  <si>
    <t>29.2</t>
  </si>
  <si>
    <t>65.3</t>
  </si>
  <si>
    <t>3086~3271</t>
  </si>
  <si>
    <t>172.6</t>
  </si>
  <si>
    <t>78.0</t>
  </si>
  <si>
    <t>0.091</t>
  </si>
  <si>
    <t>674.2</t>
  </si>
  <si>
    <t>22.2</t>
  </si>
  <si>
    <t>3271~3456</t>
  </si>
  <si>
    <t>244.4</t>
  </si>
  <si>
    <t>87.5</t>
  </si>
  <si>
    <t>0.055</t>
  </si>
  <si>
    <t>614.2</t>
  </si>
  <si>
    <t>12.5</t>
  </si>
  <si>
    <t>20.9</t>
  </si>
  <si>
    <t>3456~3571</t>
  </si>
  <si>
    <t>226.0</t>
  </si>
  <si>
    <t>93.5</t>
  </si>
  <si>
    <t>0.040</t>
  </si>
  <si>
    <t>378.8</t>
  </si>
  <si>
    <t>6.7</t>
  </si>
  <si>
    <t>16.5</t>
  </si>
  <si>
    <t>3571~3581</t>
  </si>
  <si>
    <t>128.5</t>
  </si>
  <si>
    <t>96.0</t>
  </si>
  <si>
    <t>0.014</t>
  </si>
  <si>
    <t>111.0</t>
  </si>
  <si>
    <t>0.1</t>
  </si>
  <si>
    <t>4.7</t>
  </si>
  <si>
    <t>Acceleration Time:  1.7 s</t>
  </si>
  <si>
    <t>Energy</t>
  </si>
  <si>
    <t>First Start</t>
  </si>
  <si>
    <t>Second Start</t>
  </si>
  <si>
    <t>Stator Winding Rise</t>
  </si>
  <si>
    <t>447 kW / s</t>
  </si>
  <si>
    <t>6°C</t>
  </si>
  <si>
    <t>11°C</t>
  </si>
  <si>
    <t>Rotor Bar Rise</t>
  </si>
  <si>
    <t>1142 kW / s</t>
  </si>
  <si>
    <t>41°C</t>
  </si>
  <si>
    <t>82°C</t>
  </si>
  <si>
    <t>End Ring Rise</t>
  </si>
  <si>
    <t>153 kW / s</t>
  </si>
  <si>
    <t>15°C</t>
  </si>
  <si>
    <t>30°C</t>
  </si>
  <si>
    <t>Locked Rotor Thermal Capability</t>
  </si>
  <si>
    <t>Cold Condition</t>
  </si>
  <si>
    <t>Rate of Rise</t>
  </si>
  <si>
    <t>Power</t>
  </si>
  <si>
    <t>Rise Limit</t>
  </si>
  <si>
    <t>Max Time</t>
  </si>
  <si>
    <t>Stator Copper</t>
  </si>
  <si>
    <t>3.9°C / s</t>
  </si>
  <si>
    <t>311.7 kW</t>
  </si>
  <si>
    <t>160°C</t>
  </si>
  <si>
    <t>41.3 s</t>
  </si>
  <si>
    <t>Rotor Bar</t>
  </si>
  <si>
    <t>25.5°C / s</t>
  </si>
  <si>
    <t>710.6 kW</t>
  </si>
  <si>
    <t>260°C</t>
  </si>
  <si>
    <t>10.2 s</t>
  </si>
  <si>
    <t>Rotor ER</t>
  </si>
  <si>
    <t>9.3°C / s</t>
  </si>
  <si>
    <t>95.1 kW</t>
  </si>
  <si>
    <t>180°C</t>
  </si>
  <si>
    <t>19.3 s</t>
  </si>
  <si>
    <t>Hot Condition</t>
  </si>
  <si>
    <t>Hot Temp.</t>
  </si>
  <si>
    <t>Ambient</t>
  </si>
  <si>
    <t>Max.Time</t>
  </si>
  <si>
    <t>56°C    +</t>
  </si>
  <si>
    <t>104°C    +</t>
  </si>
  <si>
    <t>40°C</t>
  </si>
  <si>
    <t>=    200°C</t>
  </si>
  <si>
    <t>26.8 s</t>
  </si>
  <si>
    <t>73°C    +</t>
  </si>
  <si>
    <t>187°C   +</t>
  </si>
  <si>
    <t>=    300°C</t>
  </si>
  <si>
    <t>7.4 s</t>
  </si>
  <si>
    <t>107°C   +</t>
  </si>
  <si>
    <t>=    220°C</t>
  </si>
  <si>
    <t>11.5 s</t>
  </si>
  <si>
    <t>Cold Stall Time:</t>
  </si>
  <si>
    <t>Hot Stall Time:</t>
  </si>
  <si>
    <t>Performance Curve</t>
  </si>
  <si>
    <t>Input Watts</t>
  </si>
  <si>
    <t>LABS USED FOR CORRELATIONS.</t>
  </si>
  <si>
    <t>LAB</t>
  </si>
  <si>
    <t>3884B</t>
  </si>
  <si>
    <t>3893B</t>
  </si>
  <si>
    <t>AVERAGE</t>
  </si>
  <si>
    <t xml:space="preserve">FLA </t>
  </si>
  <si>
    <t>NOT USED FOR CORRELTAIONS</t>
  </si>
  <si>
    <t>EFF</t>
  </si>
  <si>
    <t>NL AMPS</t>
  </si>
  <si>
    <t>WATTS</t>
  </si>
  <si>
    <t>LRT</t>
  </si>
  <si>
    <t>LRA</t>
  </si>
  <si>
    <t>BDT</t>
  </si>
  <si>
    <t xml:space="preserve">PRI </t>
  </si>
  <si>
    <t>SEC</t>
  </si>
  <si>
    <t>CORE</t>
  </si>
  <si>
    <t>F&amp;W</t>
  </si>
  <si>
    <t>STRAY</t>
  </si>
  <si>
    <t>TEMP RISE</t>
  </si>
  <si>
    <t>3569.3 / 3567.7</t>
  </si>
  <si>
    <t>0.0085 / 0.0090</t>
  </si>
  <si>
    <t>17.360 / 15.458</t>
  </si>
  <si>
    <t>1.241 / 1.105</t>
  </si>
  <si>
    <t>17.40 / 15.50</t>
  </si>
  <si>
    <t>88 / 80</t>
  </si>
  <si>
    <t>20504.5 / 18892.6</t>
  </si>
  <si>
    <t>6285.9 / 2605.6</t>
  </si>
  <si>
    <t>9613.6 / 9437.2</t>
  </si>
  <si>
    <t>601.5 / 249.3</t>
  </si>
  <si>
    <t>39.61 / 40.97</t>
  </si>
  <si>
    <t>69.66 / 72.05</t>
  </si>
  <si>
    <t>101.97 / 105.47</t>
  </si>
  <si>
    <t>136.20 / 140.88</t>
  </si>
  <si>
    <t>172.59 / 178.53</t>
  </si>
  <si>
    <t>6173.9 / 6689.3</t>
  </si>
  <si>
    <t>6887.4 / 2855.0</t>
  </si>
  <si>
    <t>0.886 / 0.871</t>
  </si>
  <si>
    <t>0.932 / 0.917</t>
  </si>
  <si>
    <t>0.946 / 0.930</t>
  </si>
  <si>
    <t>0.950 / 0.933</t>
  </si>
  <si>
    <t>0.863 / 0.849</t>
  </si>
  <si>
    <t>0.942 / 0.927</t>
  </si>
  <si>
    <t>0.937 / 0.921</t>
  </si>
  <si>
    <t>0.924 / 0.909</t>
  </si>
  <si>
    <t>0.0022 / 0.0026</t>
  </si>
  <si>
    <t>0.0042 / 0.0046</t>
  </si>
  <si>
    <t>0.0063 / 0.0067</t>
  </si>
  <si>
    <t>0.0107 / 0.0112</t>
  </si>
  <si>
    <t>568.1 / 582.9</t>
  </si>
  <si>
    <t>3592.2 / 3590.7</t>
  </si>
  <si>
    <t>3585.0 / 3583.4</t>
  </si>
  <si>
    <t>3577.4 / 3575.8</t>
  </si>
  <si>
    <t>3561.3 / 3559.8</t>
  </si>
  <si>
    <t>417.1 / 428.0</t>
  </si>
  <si>
    <t>148.3 / 139.1</t>
  </si>
  <si>
    <t>80.9 / 75.9</t>
  </si>
  <si>
    <t>212.7 / 192.1</t>
  </si>
  <si>
    <t>4.20 / 4.34</t>
  </si>
  <si>
    <t>UB: 5.60 / 5.79</t>
  </si>
  <si>
    <t>UER: 5.89 / 6.09</t>
  </si>
  <si>
    <t>S-T Curve Data</t>
  </si>
  <si>
    <t>583 A</t>
  </si>
  <si>
    <t>733 A</t>
  </si>
  <si>
    <t>Run BS2900U_REV1.rat</t>
  </si>
  <si>
    <t>for 85dBA reference LAB 3982 A1-10130506:</t>
  </si>
  <si>
    <t>Typical Design 87 dBA</t>
  </si>
  <si>
    <t>140-4653-01 O-FAN AL/430/55/CCW</t>
  </si>
  <si>
    <t>Reference N2503MTR01 A1-10138469</t>
  </si>
  <si>
    <t xml:space="preserve">135-N213-112316 TOP HAT </t>
  </si>
  <si>
    <t>135-N201-121SS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</si>
</sst>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General_)"/>
    <numFmt numFmtId="165" formatCode="m/d/yy"/>
    <numFmt numFmtId="166" formatCode="General&quot;°C&quot;"/>
    <numFmt numFmtId="167" formatCode="0.0"/>
    <numFmt numFmtId="168" formatCode="0.000\ &quot;Ohms/Phase&quot;"/>
    <numFmt numFmtId="169" formatCode="0.00000\ &quot;Ohm&quot;"/>
    <numFmt numFmtId="170" formatCode="@\ &quot;ohm&quot;"/>
    <numFmt numFmtId="171" formatCode="0.00\ &quot;Ohms/Phase&quot;"/>
    <numFmt numFmtId="172" formatCode="0.0000\ &quot;Ohm&quot;"/>
    <numFmt numFmtId="173" formatCode="&quot;#,##0.00&quot;\ @\ &quot;ohm&quot;"/>
    <numFmt numFmtId="174" formatCode="0.0\ &quot;Ohms/Phase&quot;"/>
    <numFmt numFmtId="175" formatCode="0.0000\ &quot;Ohms&quot;"/>
    <numFmt numFmtId="176" formatCode="0.00\ &quot;Ohms&quot;"/>
    <numFmt numFmtId="177" formatCode="0.000"/>
    <numFmt numFmtId="178" formatCode="0.0000"/>
    <numFmt numFmtId="179" formatCode=".0"/>
    <numFmt numFmtId="180" formatCode="0.0%"/>
    <numFmt numFmtId="181" formatCode="\ 0.0\ \A"/>
    <numFmt numFmtId="182" formatCode="0.00000"/>
    <numFmt numFmtId="183" formatCode=".0000"/>
  </numFmts>
  <fonts count="89">
    <font>
      <sz val="14"/>
      <color theme="1"/>
      <name val="Calibri"/>
      <family val="2"/>
      <scheme val="minor"/>
    </font>
    <font>
      <sz val="10"/>
      <name val="Helv"/>
    </font>
    <font>
      <sz val="14"/>
      <name val="Univers (W1)"/>
      <family val="2"/>
    </font>
    <font>
      <sz val="8"/>
      <name val="Univers (W1)"/>
      <family val="2"/>
    </font>
    <font>
      <sz val="10"/>
      <name val="Univers (W1)"/>
      <family val="2"/>
    </font>
    <font>
      <sz val="12"/>
      <name val="Univers (W1)"/>
    </font>
    <font>
      <b/>
      <sz val="12"/>
      <name val="Univers (W1)"/>
    </font>
    <font>
      <sz val="12"/>
      <name val="Univers (W1)"/>
      <family val="2"/>
    </font>
    <font>
      <sz val="10"/>
      <name val="Univers (W1)"/>
    </font>
    <font>
      <i/>
      <sz val="10"/>
      <name val="Script"/>
      <family val="4"/>
      <charset val="255"/>
    </font>
    <font>
      <sz val="12"/>
      <name val="Helv"/>
    </font>
    <font>
      <sz val="9"/>
      <name val="Univers (W1)"/>
      <family val="2"/>
    </font>
    <font>
      <sz val="13"/>
      <name val="Univers (W1)"/>
      <family val="2"/>
    </font>
    <font>
      <sz val="11"/>
      <color theme="1"/>
      <name val="Calibri"/>
      <family val="2"/>
      <scheme val="minor"/>
    </font>
    <font>
      <sz val="12"/>
      <name val="Univers"/>
      <family val="2"/>
    </font>
    <font>
      <sz val="9"/>
      <name val="Univers"/>
      <family val="2"/>
    </font>
    <font>
      <sz val="9"/>
      <name val="Helv"/>
    </font>
    <font>
      <sz val="9"/>
      <name val="Univers (W1)"/>
    </font>
    <font>
      <sz val="11"/>
      <name val="Univers (W1)"/>
      <family val="2"/>
    </font>
    <font>
      <sz val="11"/>
      <name val="Univers (W1)"/>
    </font>
    <font>
      <b/>
      <sz val="13"/>
      <name val="Univers (W1)"/>
      <family val="2"/>
    </font>
    <font>
      <sz val="12"/>
      <name val="Lucida Handwriting"/>
      <family val="4"/>
    </font>
    <font>
      <sz val="15"/>
      <name val="Univers (W1)"/>
      <family val="2"/>
    </font>
    <font>
      <sz val="10"/>
      <name val="Univers"/>
      <family val="2"/>
    </font>
    <font>
      <sz val="8"/>
      <name val="Univers"/>
      <family val="2"/>
    </font>
    <font>
      <sz val="11"/>
      <name val="Univers"/>
      <family val="2"/>
    </font>
    <font>
      <sz val="10"/>
      <name val="Arial"/>
      <family val="2"/>
    </font>
    <font>
      <vertAlign val="superscript"/>
      <sz val="8"/>
      <name val="Univers"/>
      <family val="2"/>
    </font>
    <font>
      <sz val="8"/>
      <name val="Helv"/>
    </font>
    <font>
      <b/>
      <sz val="12"/>
      <name val="Helv"/>
    </font>
    <font>
      <sz val="8"/>
      <name val="Times New Roman"/>
      <family val="1"/>
    </font>
    <font>
      <sz val="7"/>
      <name val="Univers (W1)"/>
    </font>
    <font>
      <b/>
      <sz val="14"/>
      <name val="Times New Roman"/>
      <family val="1"/>
    </font>
    <font>
      <i/>
      <sz val="10"/>
      <name val="Times New Roman"/>
      <family val="1"/>
    </font>
    <font>
      <i/>
      <sz val="9"/>
      <name val="Times New Roman"/>
      <family val="1"/>
    </font>
    <font>
      <sz val="10"/>
      <name val="Times New Roman"/>
      <family val="1"/>
    </font>
    <font>
      <b/>
      <i/>
      <sz val="10"/>
      <name val="Times New Roman"/>
      <family val="1"/>
    </font>
    <font>
      <b/>
      <sz val="10"/>
      <name val="Times New Roman"/>
      <family val="1"/>
    </font>
    <font>
      <i/>
      <vertAlign val="superscript"/>
      <sz val="10"/>
      <name val="Times New Roman"/>
      <family val="1"/>
    </font>
    <font>
      <sz val="10"/>
      <color theme="1"/>
      <name val="Times New Roman"/>
      <family val="1"/>
    </font>
    <font>
      <b/>
      <sz val="10"/>
      <color indexed="12"/>
      <name val="Arial"/>
      <family val="2"/>
    </font>
    <font>
      <sz val="10"/>
      <color theme="3"/>
      <name val="Times New Roman"/>
      <family val="1"/>
    </font>
    <font>
      <vertAlign val="superscript"/>
      <sz val="10"/>
      <name val="Arial"/>
      <family val="2"/>
    </font>
    <font>
      <sz val="12"/>
      <name val="Arial"/>
      <family val="2"/>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20"/>
      <color indexed="8"/>
      <name val="WP Greek Century"/>
      <charset val="2"/>
    </font>
    <font>
      <sz val="10"/>
      <color indexed="8"/>
      <name val="WP Greek Century"/>
      <charset val="2"/>
    </font>
    <font>
      <b/>
      <i/>
      <sz val="12"/>
      <color indexed="8"/>
      <name val="Brush Script MT"/>
      <family val="4"/>
    </font>
    <font>
      <b/>
      <i/>
      <sz val="12"/>
      <color indexed="8"/>
      <name val="Bradley Hand ITC"/>
      <family val="4"/>
    </font>
    <font>
      <b/>
      <sz val="8"/>
      <color indexed="81"/>
      <name val="Tahoma"/>
      <family val="2"/>
    </font>
    <font>
      <sz val="8"/>
      <color indexed="81"/>
      <name val="Tahoma"/>
      <family val="2"/>
    </font>
    <font>
      <sz val="12"/>
      <name val="Script"/>
      <family val="4"/>
      <charset val="255"/>
    </font>
    <font>
      <b/>
      <sz val="10"/>
      <name val="Univers (W1)"/>
      <family val="2"/>
    </font>
    <font>
      <sz val="14"/>
      <name val="Times New Roman"/>
      <family val="1"/>
    </font>
    <font>
      <b/>
      <u/>
      <sz val="22"/>
      <name val="Times New Roman"/>
      <family val="1"/>
    </font>
    <font>
      <b/>
      <u/>
      <sz val="16"/>
      <name val="Times New Roman"/>
      <family val="1"/>
    </font>
    <font>
      <b/>
      <i/>
      <sz val="14"/>
      <name val="Times New Roman"/>
      <family val="1"/>
    </font>
    <font>
      <sz val="12"/>
      <name val="Times New Roman"/>
      <family val="1"/>
    </font>
    <font>
      <b/>
      <i/>
      <u/>
      <sz val="14"/>
      <name val="Times New Roman"/>
      <family val="1"/>
    </font>
    <font>
      <sz val="10"/>
      <color indexed="9"/>
      <name val="Arial"/>
      <family val="2"/>
    </font>
    <font>
      <sz val="10"/>
      <color indexed="8"/>
      <name val="Arial"/>
      <family val="2"/>
    </font>
    <font>
      <i/>
      <sz val="12"/>
      <name val="Times New Roman"/>
      <family val="1"/>
    </font>
    <font>
      <b/>
      <i/>
      <sz val="12"/>
      <name val="Times New Roman"/>
      <family val="1"/>
    </font>
    <font>
      <sz val="10"/>
      <color indexed="10"/>
      <name val="Arial"/>
      <family val="2"/>
    </font>
    <font>
      <sz val="11"/>
      <name val="Times New Roman"/>
      <family val="1"/>
    </font>
  </fonts>
  <fills count="7">
    <fill>
      <patternFill patternType="none"/>
    </fill>
    <fill>
      <patternFill patternType="gray125"/>
    </fill>
    <fill>
      <patternFill patternType="solid">
        <fgColor theme="6" tint="0.59996337778862885"/>
        <bgColor indexed="64"/>
      </patternFill>
    </fill>
    <fill>
      <patternFill patternType="solid">
        <fgColor rgb="FFFFFF99"/>
        <bgColor indexed="64"/>
      </patternFill>
    </fill>
    <fill>
      <patternFill patternType="solid">
        <fgColor theme="9" tint="0.59996337778862885"/>
        <bgColor indexed="64"/>
      </patternFill>
    </fill>
    <fill>
      <patternFill patternType="solid">
        <fgColor indexed="9"/>
        <bgColor indexed="64"/>
      </patternFill>
    </fill>
    <fill>
      <patternFill patternType="solid">
        <fgColor theme="6" tint="0.79998168889431442"/>
        <bgColor indexed="64"/>
      </patternFill>
    </fill>
  </fills>
  <borders count="15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8"/>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style="medium">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style="hair">
        <color indexed="23"/>
      </left>
      <right style="medium">
        <color indexed="64"/>
      </right>
      <top style="hair">
        <color indexed="23"/>
      </top>
      <bottom style="hair">
        <color indexed="55"/>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right style="thin">
        <color indexed="64"/>
      </right>
      <top style="medium">
        <color indexed="64"/>
      </top>
      <bottom style="double">
        <color indexed="64"/>
      </bottom>
      <diagonal/>
    </border>
    <border>
      <left style="medium">
        <color indexed="64"/>
      </left>
      <right/>
      <top style="dashed">
        <color indexed="64"/>
      </top>
      <bottom style="dashed">
        <color indexed="64"/>
      </bottom>
      <diagonal/>
    </border>
    <border>
      <left style="medium">
        <color indexed="64"/>
      </left>
      <right/>
      <top style="dashed">
        <color indexed="64"/>
      </top>
      <bottom/>
      <diagonal/>
    </border>
    <border>
      <left style="medium">
        <color indexed="64"/>
      </left>
      <right/>
      <top/>
      <bottom style="dashed">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double">
        <color indexed="64"/>
      </bottom>
      <diagonal/>
    </border>
  </borders>
  <cellStyleXfs count="13">
    <xf numFmtId="0" fontId="0" fillId="0" borderId="0"/>
    <xf numFmtId="0" fontId="1" fillId="0" borderId="0"/>
    <xf numFmtId="164" fontId="10" fillId="0" borderId="0"/>
    <xf numFmtId="0" fontId="13" fillId="0" borderId="0"/>
    <xf numFmtId="0" fontId="10" fillId="0" borderId="0"/>
    <xf numFmtId="0" fontId="10" fillId="0" borderId="0"/>
    <xf numFmtId="0" fontId="26" fillId="0" borderId="0"/>
    <xf numFmtId="0" fontId="26" fillId="0" borderId="0"/>
    <xf numFmtId="0" fontId="5" fillId="0" borderId="0"/>
    <xf numFmtId="0" fontId="26" fillId="0" borderId="0"/>
    <xf numFmtId="0" fontId="5" fillId="0" borderId="0"/>
    <xf numFmtId="0" fontId="5" fillId="0" borderId="0"/>
    <xf numFmtId="0" fontId="26" fillId="0" borderId="0"/>
  </cellStyleXfs>
  <cellXfs count="827">
    <xf numFmtId="0" fontId="0" fillId="0" borderId="0" xfId="0"/>
    <xf numFmtId="164" fontId="2" fillId="0" borderId="1" xfId="1" applyNumberFormat="1" applyFont="1" applyBorder="1" applyAlignment="1">
      <alignment horizontal="centerContinuous"/>
    </xf>
    <xf numFmtId="164" fontId="2" fillId="0" borderId="2" xfId="1" applyNumberFormat="1" applyFont="1" applyBorder="1" applyAlignment="1">
      <alignment horizontal="centerContinuous"/>
    </xf>
    <xf numFmtId="164" fontId="3" fillId="0" borderId="3" xfId="1" applyNumberFormat="1" applyFont="1" applyBorder="1" applyAlignment="1">
      <alignment horizontal="left"/>
    </xf>
    <xf numFmtId="164" fontId="4" fillId="0" borderId="4" xfId="1" applyNumberFormat="1" applyFont="1" applyBorder="1"/>
    <xf numFmtId="164" fontId="3" fillId="0" borderId="5" xfId="1" applyNumberFormat="1" applyFont="1" applyBorder="1" applyAlignment="1">
      <alignment horizontal="centerContinuous"/>
    </xf>
    <xf numFmtId="164" fontId="4" fillId="0" borderId="6" xfId="1" applyNumberFormat="1" applyFont="1" applyBorder="1" applyAlignment="1">
      <alignment horizontal="centerContinuous"/>
    </xf>
    <xf numFmtId="164" fontId="1" fillId="0" borderId="0" xfId="1" applyNumberFormat="1"/>
    <xf numFmtId="164" fontId="2" fillId="0" borderId="7" xfId="1" applyNumberFormat="1" applyFont="1" applyBorder="1" applyAlignment="1">
      <alignment horizontal="centerContinuous"/>
    </xf>
    <xf numFmtId="164" fontId="2" fillId="0" borderId="0" xfId="1" applyNumberFormat="1" applyFont="1" applyAlignment="1">
      <alignment horizontal="centerContinuous"/>
    </xf>
    <xf numFmtId="164" fontId="3" fillId="0" borderId="8" xfId="1" applyNumberFormat="1" applyFont="1" applyBorder="1" applyAlignment="1">
      <alignment horizontal="left"/>
    </xf>
    <xf numFmtId="164" fontId="4" fillId="0" borderId="9" xfId="1" applyNumberFormat="1" applyFont="1" applyBorder="1"/>
    <xf numFmtId="164" fontId="3" fillId="0" borderId="10" xfId="1" applyNumberFormat="1" applyFont="1" applyBorder="1" applyAlignment="1">
      <alignment horizontal="centerContinuous"/>
    </xf>
    <xf numFmtId="164" fontId="4" fillId="0" borderId="11" xfId="1" applyNumberFormat="1" applyFont="1" applyBorder="1" applyAlignment="1">
      <alignment horizontal="centerContinuous"/>
    </xf>
    <xf numFmtId="164" fontId="4" fillId="0" borderId="7" xfId="1" applyNumberFormat="1" applyFont="1" applyBorder="1" applyAlignment="1">
      <alignment horizontal="centerContinuous"/>
    </xf>
    <xf numFmtId="164" fontId="4" fillId="0" borderId="0" xfId="1" applyNumberFormat="1" applyFont="1" applyAlignment="1">
      <alignment horizontal="centerContinuous"/>
    </xf>
    <xf numFmtId="164" fontId="7" fillId="0" borderId="7" xfId="1" applyNumberFormat="1" applyFont="1" applyBorder="1" applyAlignment="1">
      <alignment horizontal="centerContinuous"/>
    </xf>
    <xf numFmtId="164" fontId="8" fillId="0" borderId="15" xfId="1" applyNumberFormat="1" applyFont="1" applyBorder="1" applyAlignment="1">
      <alignment horizontal="centerContinuous"/>
    </xf>
    <xf numFmtId="164" fontId="4" fillId="0" borderId="16" xfId="1" applyNumberFormat="1" applyFont="1" applyBorder="1" applyAlignment="1">
      <alignment horizontal="centerContinuous"/>
    </xf>
    <xf numFmtId="164" fontId="3" fillId="0" borderId="15" xfId="1" applyNumberFormat="1" applyFont="1" applyBorder="1" applyAlignment="1">
      <alignment horizontal="left"/>
    </xf>
    <xf numFmtId="164" fontId="4" fillId="0" borderId="17" xfId="1" applyNumberFormat="1" applyFont="1" applyBorder="1"/>
    <xf numFmtId="164" fontId="9" fillId="0" borderId="16" xfId="1" applyNumberFormat="1" applyFont="1" applyBorder="1" applyAlignment="1">
      <alignment horizontal="centerContinuous"/>
    </xf>
    <xf numFmtId="164" fontId="4" fillId="0" borderId="18" xfId="1" applyNumberFormat="1" applyFont="1" applyBorder="1" applyAlignment="1">
      <alignment horizontal="centerContinuous"/>
    </xf>
    <xf numFmtId="164" fontId="7" fillId="0" borderId="0" xfId="2" applyFont="1" applyAlignment="1">
      <alignment horizontal="centerContinuous"/>
    </xf>
    <xf numFmtId="164" fontId="4" fillId="0" borderId="0" xfId="2" applyFont="1" applyAlignment="1">
      <alignment horizontal="centerContinuous"/>
    </xf>
    <xf numFmtId="164" fontId="3" fillId="0" borderId="0" xfId="2" applyFont="1" applyAlignment="1">
      <alignment horizontal="left"/>
    </xf>
    <xf numFmtId="164" fontId="4" fillId="0" borderId="0" xfId="2" applyFont="1"/>
    <xf numFmtId="164" fontId="3" fillId="0" borderId="0" xfId="2" applyFont="1" applyAlignment="1">
      <alignment horizontal="centerContinuous"/>
    </xf>
    <xf numFmtId="164" fontId="4" fillId="0" borderId="0" xfId="1" applyNumberFormat="1" applyFont="1"/>
    <xf numFmtId="164" fontId="11" fillId="0" borderId="0" xfId="2" applyFont="1"/>
    <xf numFmtId="164" fontId="11" fillId="0" borderId="0" xfId="2" applyFont="1" applyAlignment="1">
      <alignment horizontal="right"/>
    </xf>
    <xf numFmtId="164" fontId="11" fillId="0" borderId="0" xfId="2" applyFont="1" applyAlignment="1" applyProtection="1">
      <alignment horizontal="left"/>
      <protection locked="0"/>
    </xf>
    <xf numFmtId="164" fontId="11" fillId="0" borderId="0" xfId="2" applyFont="1" applyAlignment="1">
      <alignment horizontal="centerContinuous"/>
    </xf>
    <xf numFmtId="164" fontId="11" fillId="0" borderId="0" xfId="2" applyFont="1" applyAlignment="1">
      <alignment horizontal="left"/>
    </xf>
    <xf numFmtId="49" fontId="11" fillId="0" borderId="0" xfId="2" quotePrefix="1" applyNumberFormat="1" applyFont="1" applyAlignment="1" applyProtection="1">
      <alignment horizontal="left"/>
      <protection locked="0"/>
    </xf>
    <xf numFmtId="164" fontId="12" fillId="0" borderId="19" xfId="2" applyFont="1" applyBorder="1" applyAlignment="1">
      <alignment horizontal="centerContinuous"/>
    </xf>
    <xf numFmtId="164" fontId="7" fillId="0" borderId="20" xfId="2" applyFont="1" applyBorder="1" applyAlignment="1">
      <alignment horizontal="centerContinuous"/>
    </xf>
    <xf numFmtId="164" fontId="7" fillId="0" borderId="21" xfId="2" applyFont="1" applyBorder="1" applyAlignment="1">
      <alignment horizontal="centerContinuous"/>
    </xf>
    <xf numFmtId="164" fontId="11" fillId="0" borderId="7" xfId="2" applyFont="1" applyBorder="1"/>
    <xf numFmtId="164" fontId="11" fillId="0" borderId="0" xfId="2" applyFont="1" applyAlignment="1" applyProtection="1">
      <alignment horizontal="center"/>
      <protection locked="0"/>
    </xf>
    <xf numFmtId="164" fontId="11" fillId="0" borderId="14" xfId="2" applyFont="1" applyBorder="1" applyAlignment="1" applyProtection="1">
      <alignment horizontal="center"/>
      <protection locked="0"/>
    </xf>
    <xf numFmtId="164" fontId="11" fillId="0" borderId="0" xfId="2" applyFont="1" applyAlignment="1">
      <alignment horizontal="center"/>
    </xf>
    <xf numFmtId="49" fontId="11" fillId="0" borderId="0" xfId="2" quotePrefix="1" applyNumberFormat="1" applyFont="1" applyAlignment="1">
      <alignment horizontal="center"/>
    </xf>
    <xf numFmtId="0" fontId="13" fillId="0" borderId="0" xfId="3"/>
    <xf numFmtId="166" fontId="11" fillId="0" borderId="0" xfId="2" applyNumberFormat="1" applyFont="1" applyAlignment="1" applyProtection="1">
      <alignment horizontal="center"/>
      <protection locked="0"/>
    </xf>
    <xf numFmtId="164" fontId="11" fillId="0" borderId="0" xfId="2" quotePrefix="1" applyFont="1" applyAlignment="1">
      <alignment horizontal="right"/>
    </xf>
    <xf numFmtId="164" fontId="11" fillId="0" borderId="0" xfId="2" quotePrefix="1" applyFont="1" applyAlignment="1" applyProtection="1">
      <alignment horizontal="center"/>
      <protection locked="0"/>
    </xf>
    <xf numFmtId="164" fontId="11" fillId="0" borderId="14" xfId="2" applyFont="1" applyBorder="1"/>
    <xf numFmtId="164" fontId="11" fillId="0" borderId="15" xfId="2" applyFont="1" applyBorder="1"/>
    <xf numFmtId="164" fontId="11" fillId="0" borderId="16" xfId="2" applyFont="1" applyBorder="1" applyAlignment="1">
      <alignment horizontal="right"/>
    </xf>
    <xf numFmtId="167" fontId="11" fillId="0" borderId="16" xfId="2" quotePrefix="1" applyNumberFormat="1" applyFont="1" applyBorder="1" applyAlignment="1" applyProtection="1">
      <alignment horizontal="center"/>
      <protection locked="0"/>
    </xf>
    <xf numFmtId="164" fontId="11" fillId="0" borderId="16" xfId="2" applyFont="1" applyBorder="1"/>
    <xf numFmtId="167" fontId="11" fillId="0" borderId="16" xfId="2" applyNumberFormat="1" applyFont="1" applyBorder="1"/>
    <xf numFmtId="164" fontId="11" fillId="0" borderId="18" xfId="2" applyFont="1" applyBorder="1"/>
    <xf numFmtId="164" fontId="12" fillId="0" borderId="0" xfId="1" applyNumberFormat="1" applyFont="1" applyAlignment="1">
      <alignment horizontal="center"/>
    </xf>
    <xf numFmtId="164" fontId="11" fillId="0" borderId="0" xfId="1" applyNumberFormat="1" applyFont="1" applyAlignment="1">
      <alignment horizontal="center"/>
    </xf>
    <xf numFmtId="164" fontId="14" fillId="0" borderId="24" xfId="1" applyNumberFormat="1" applyFont="1" applyBorder="1" applyAlignment="1">
      <alignment horizontal="right"/>
    </xf>
    <xf numFmtId="167" fontId="11" fillId="0" borderId="0" xfId="1" applyNumberFormat="1" applyFont="1" applyAlignment="1">
      <alignment horizontal="center"/>
    </xf>
    <xf numFmtId="167" fontId="11" fillId="0" borderId="0" xfId="1" quotePrefix="1" applyNumberFormat="1" applyFont="1" applyAlignment="1">
      <alignment horizontal="center"/>
    </xf>
    <xf numFmtId="1" fontId="11" fillId="0" borderId="0" xfId="1" applyNumberFormat="1" applyFont="1" applyAlignment="1">
      <alignment horizontal="center"/>
    </xf>
    <xf numFmtId="1" fontId="11" fillId="0" borderId="0" xfId="1" quotePrefix="1" applyNumberFormat="1" applyFont="1" applyAlignment="1">
      <alignment horizontal="center"/>
    </xf>
    <xf numFmtId="169" fontId="1" fillId="0" borderId="0" xfId="1" applyNumberFormat="1"/>
    <xf numFmtId="164" fontId="15" fillId="0" borderId="23" xfId="1" applyNumberFormat="1" applyFont="1" applyBorder="1" applyAlignment="1">
      <alignment horizontal="right"/>
    </xf>
    <xf numFmtId="167" fontId="14" fillId="0" borderId="24" xfId="1" applyNumberFormat="1" applyFont="1" applyBorder="1" applyAlignment="1">
      <alignment horizontal="right"/>
    </xf>
    <xf numFmtId="0" fontId="5" fillId="0" borderId="24" xfId="1" applyFont="1" applyBorder="1" applyAlignment="1">
      <alignment horizontal="left"/>
    </xf>
    <xf numFmtId="0" fontId="5" fillId="0" borderId="24" xfId="1" applyFont="1" applyBorder="1" applyAlignment="1">
      <alignment horizontal="center"/>
    </xf>
    <xf numFmtId="0" fontId="11" fillId="0" borderId="13" xfId="1" applyFont="1" applyBorder="1"/>
    <xf numFmtId="164" fontId="11" fillId="0" borderId="0" xfId="1" applyNumberFormat="1" applyFont="1"/>
    <xf numFmtId="164" fontId="11" fillId="0" borderId="0" xfId="1" applyNumberFormat="1" applyFont="1" applyAlignment="1">
      <alignment horizontal="centerContinuous"/>
    </xf>
    <xf numFmtId="170" fontId="1" fillId="0" borderId="0" xfId="1" applyNumberFormat="1"/>
    <xf numFmtId="164" fontId="16" fillId="0" borderId="0" xfId="1" applyNumberFormat="1" applyFont="1" applyAlignment="1">
      <alignment horizontal="center"/>
    </xf>
    <xf numFmtId="172" fontId="1" fillId="0" borderId="0" xfId="1" applyNumberFormat="1"/>
    <xf numFmtId="39" fontId="11" fillId="0" borderId="0" xfId="1" applyNumberFormat="1" applyFont="1" applyAlignment="1">
      <alignment horizontal="center"/>
    </xf>
    <xf numFmtId="173" fontId="1" fillId="0" borderId="0" xfId="1" applyNumberFormat="1"/>
    <xf numFmtId="164" fontId="17" fillId="0" borderId="0" xfId="1" applyNumberFormat="1" applyFont="1" applyAlignment="1">
      <alignment horizontal="center"/>
    </xf>
    <xf numFmtId="1" fontId="14" fillId="0" borderId="24" xfId="1" applyNumberFormat="1" applyFont="1" applyBorder="1" applyAlignment="1">
      <alignment horizontal="right"/>
    </xf>
    <xf numFmtId="175" fontId="1" fillId="0" borderId="0" xfId="1" applyNumberFormat="1"/>
    <xf numFmtId="0" fontId="16" fillId="0" borderId="13" xfId="1" applyFont="1" applyBorder="1" applyAlignment="1">
      <alignment horizontal="center"/>
    </xf>
    <xf numFmtId="176" fontId="1" fillId="0" borderId="0" xfId="1" applyNumberFormat="1"/>
    <xf numFmtId="164" fontId="12" fillId="0" borderId="0" xfId="4" applyNumberFormat="1" applyFont="1" applyAlignment="1">
      <alignment horizontal="centerContinuous"/>
    </xf>
    <xf numFmtId="164" fontId="7" fillId="0" borderId="0" xfId="4" applyNumberFormat="1" applyFont="1" applyAlignment="1">
      <alignment horizontal="centerContinuous"/>
    </xf>
    <xf numFmtId="164" fontId="11" fillId="0" borderId="0" xfId="4" quotePrefix="1" applyNumberFormat="1" applyFont="1" applyAlignment="1">
      <alignment horizontal="center"/>
    </xf>
    <xf numFmtId="179" fontId="11" fillId="0" borderId="0" xfId="4" quotePrefix="1" applyNumberFormat="1" applyFont="1" applyAlignment="1">
      <alignment horizontal="centerContinuous"/>
    </xf>
    <xf numFmtId="164" fontId="11" fillId="0" borderId="0" xfId="4" applyNumberFormat="1" applyFont="1" applyAlignment="1">
      <alignment horizontal="centerContinuous"/>
    </xf>
    <xf numFmtId="164" fontId="11" fillId="0" borderId="0" xfId="1" applyNumberFormat="1" applyFont="1" applyAlignment="1">
      <alignment horizontal="left"/>
    </xf>
    <xf numFmtId="1" fontId="17" fillId="0" borderId="0" xfId="1" applyNumberFormat="1" applyFont="1" applyAlignment="1">
      <alignment horizontal="center"/>
    </xf>
    <xf numFmtId="164" fontId="17" fillId="0" borderId="0" xfId="1" applyNumberFormat="1" applyFont="1"/>
    <xf numFmtId="164" fontId="18" fillId="0" borderId="0" xfId="4" applyNumberFormat="1" applyFont="1" applyAlignment="1">
      <alignment horizontal="center"/>
    </xf>
    <xf numFmtId="164" fontId="7" fillId="0" borderId="0" xfId="4" applyNumberFormat="1" applyFont="1" applyAlignment="1">
      <alignment horizontal="center"/>
    </xf>
    <xf numFmtId="164" fontId="20" fillId="0" borderId="0" xfId="1" applyNumberFormat="1" applyFont="1" applyAlignment="1">
      <alignment horizontal="left"/>
    </xf>
    <xf numFmtId="1" fontId="1" fillId="0" borderId="0" xfId="1" applyNumberFormat="1" applyAlignment="1">
      <alignment horizontal="center"/>
    </xf>
    <xf numFmtId="1" fontId="7" fillId="0" borderId="0" xfId="1" applyNumberFormat="1" applyFont="1" applyAlignment="1">
      <alignment horizontal="center"/>
    </xf>
    <xf numFmtId="164" fontId="20" fillId="0" borderId="0" xfId="1" applyNumberFormat="1" applyFont="1" applyAlignment="1">
      <alignment horizontal="right"/>
    </xf>
    <xf numFmtId="164" fontId="7" fillId="0" borderId="28" xfId="1" applyNumberFormat="1" applyFont="1" applyBorder="1" applyAlignment="1">
      <alignment horizontal="centerContinuous"/>
    </xf>
    <xf numFmtId="164" fontId="7" fillId="0" borderId="0" xfId="2" applyFont="1"/>
    <xf numFmtId="14" fontId="7" fillId="0" borderId="28" xfId="1" quotePrefix="1" applyNumberFormat="1" applyFont="1" applyBorder="1" applyAlignment="1">
      <alignment horizontal="centerContinuous"/>
    </xf>
    <xf numFmtId="164" fontId="2" fillId="0" borderId="1" xfId="5" applyNumberFormat="1" applyFont="1" applyBorder="1" applyAlignment="1">
      <alignment horizontal="centerContinuous"/>
    </xf>
    <xf numFmtId="164" fontId="2" fillId="0" borderId="2" xfId="5" applyNumberFormat="1" applyFont="1" applyBorder="1" applyAlignment="1">
      <alignment horizontal="centerContinuous"/>
    </xf>
    <xf numFmtId="164" fontId="3" fillId="0" borderId="3" xfId="5" applyNumberFormat="1" applyFont="1" applyBorder="1" applyAlignment="1">
      <alignment horizontal="left"/>
    </xf>
    <xf numFmtId="164" fontId="4" fillId="0" borderId="4" xfId="5" applyNumberFormat="1" applyFont="1" applyBorder="1"/>
    <xf numFmtId="164" fontId="7" fillId="0" borderId="0" xfId="5" applyNumberFormat="1" applyFont="1"/>
    <xf numFmtId="164" fontId="10" fillId="0" borderId="0" xfId="5" applyNumberFormat="1"/>
    <xf numFmtId="164" fontId="2" fillId="0" borderId="7" xfId="5" applyNumberFormat="1" applyFont="1" applyBorder="1" applyAlignment="1">
      <alignment horizontal="centerContinuous"/>
    </xf>
    <xf numFmtId="164" fontId="2" fillId="0" borderId="0" xfId="5" applyNumberFormat="1" applyFont="1" applyAlignment="1">
      <alignment horizontal="centerContinuous"/>
    </xf>
    <xf numFmtId="164" fontId="3" fillId="0" borderId="8" xfId="5" applyNumberFormat="1" applyFont="1" applyBorder="1" applyAlignment="1">
      <alignment horizontal="left"/>
    </xf>
    <xf numFmtId="164" fontId="4" fillId="0" borderId="9" xfId="5" applyNumberFormat="1" applyFont="1" applyBorder="1"/>
    <xf numFmtId="164" fontId="3" fillId="0" borderId="10" xfId="5" applyNumberFormat="1" applyFont="1" applyBorder="1" applyAlignment="1">
      <alignment horizontal="centerContinuous"/>
    </xf>
    <xf numFmtId="164" fontId="4" fillId="0" borderId="11" xfId="5" applyNumberFormat="1" applyFont="1" applyBorder="1" applyAlignment="1">
      <alignment horizontal="centerContinuous"/>
    </xf>
    <xf numFmtId="164" fontId="4" fillId="0" borderId="7" xfId="5" applyNumberFormat="1" applyFont="1" applyBorder="1" applyAlignment="1">
      <alignment horizontal="centerContinuous"/>
    </xf>
    <xf numFmtId="164" fontId="4" fillId="0" borderId="0" xfId="5" applyNumberFormat="1" applyFont="1" applyAlignment="1">
      <alignment horizontal="centerContinuous"/>
    </xf>
    <xf numFmtId="164" fontId="22" fillId="0" borderId="7" xfId="5" applyNumberFormat="1" applyFont="1" applyBorder="1" applyAlignment="1">
      <alignment horizontal="centerContinuous"/>
    </xf>
    <xf numFmtId="164" fontId="7" fillId="0" borderId="7" xfId="5" applyNumberFormat="1" applyFont="1" applyBorder="1" applyAlignment="1">
      <alignment horizontal="centerContinuous"/>
    </xf>
    <xf numFmtId="164" fontId="7" fillId="0" borderId="15" xfId="5" applyNumberFormat="1" applyFont="1" applyBorder="1" applyAlignment="1">
      <alignment horizontal="centerContinuous"/>
    </xf>
    <xf numFmtId="164" fontId="4" fillId="0" borderId="16" xfId="5" applyNumberFormat="1" applyFont="1" applyBorder="1" applyAlignment="1">
      <alignment horizontal="centerContinuous"/>
    </xf>
    <xf numFmtId="164" fontId="3" fillId="0" borderId="15" xfId="5" applyNumberFormat="1" applyFont="1" applyBorder="1" applyAlignment="1">
      <alignment horizontal="left"/>
    </xf>
    <xf numFmtId="164" fontId="4" fillId="0" borderId="17" xfId="5" applyNumberFormat="1" applyFont="1" applyBorder="1"/>
    <xf numFmtId="164" fontId="4" fillId="0" borderId="0" xfId="5" applyNumberFormat="1" applyFont="1"/>
    <xf numFmtId="164" fontId="16" fillId="0" borderId="34" xfId="5" applyNumberFormat="1" applyFont="1" applyBorder="1"/>
    <xf numFmtId="164" fontId="16" fillId="0" borderId="35" xfId="5" applyNumberFormat="1" applyFont="1" applyBorder="1"/>
    <xf numFmtId="164" fontId="10" fillId="0" borderId="35" xfId="5" applyNumberFormat="1" applyBorder="1"/>
    <xf numFmtId="164" fontId="15" fillId="0" borderId="35" xfId="5" applyNumberFormat="1" applyFont="1" applyBorder="1" applyAlignment="1">
      <alignment horizontal="right"/>
    </xf>
    <xf numFmtId="0" fontId="15" fillId="0" borderId="35" xfId="5" applyFont="1" applyBorder="1"/>
    <xf numFmtId="164" fontId="15" fillId="0" borderId="35" xfId="5" applyNumberFormat="1" applyFont="1" applyBorder="1"/>
    <xf numFmtId="180" fontId="15" fillId="0" borderId="35" xfId="5" quotePrefix="1" applyNumberFormat="1" applyFont="1" applyBorder="1" applyAlignment="1">
      <alignment horizontal="center"/>
    </xf>
    <xf numFmtId="164" fontId="10" fillId="0" borderId="36" xfId="5" applyNumberFormat="1" applyBorder="1"/>
    <xf numFmtId="164" fontId="10" fillId="0" borderId="15" xfId="5" applyNumberFormat="1" applyBorder="1"/>
    <xf numFmtId="164" fontId="10" fillId="0" borderId="16" xfId="5" applyNumberFormat="1" applyBorder="1"/>
    <xf numFmtId="164" fontId="15" fillId="0" borderId="16" xfId="5" applyNumberFormat="1" applyFont="1" applyBorder="1" applyAlignment="1">
      <alignment horizontal="right"/>
    </xf>
    <xf numFmtId="0" fontId="15" fillId="0" borderId="16" xfId="5" applyFont="1" applyBorder="1"/>
    <xf numFmtId="164" fontId="15" fillId="0" borderId="16" xfId="5" applyNumberFormat="1" applyFont="1" applyBorder="1"/>
    <xf numFmtId="164" fontId="10" fillId="0" borderId="18" xfId="5" applyNumberFormat="1" applyBorder="1"/>
    <xf numFmtId="164" fontId="14" fillId="0" borderId="37" xfId="5" applyNumberFormat="1" applyFont="1" applyBorder="1" applyAlignment="1">
      <alignment horizontal="center"/>
    </xf>
    <xf numFmtId="164" fontId="10" fillId="0" borderId="34" xfId="5" applyNumberFormat="1" applyBorder="1"/>
    <xf numFmtId="164" fontId="23" fillId="0" borderId="35" xfId="5" applyNumberFormat="1" applyFont="1" applyBorder="1" applyAlignment="1">
      <alignment horizontal="right"/>
    </xf>
    <xf numFmtId="164" fontId="15" fillId="0" borderId="37" xfId="5" applyNumberFormat="1" applyFont="1" applyBorder="1" applyAlignment="1">
      <alignment horizontal="right"/>
    </xf>
    <xf numFmtId="164" fontId="24" fillId="0" borderId="35" xfId="5" applyNumberFormat="1" applyFont="1" applyBorder="1" applyAlignment="1">
      <alignment horizontal="right"/>
    </xf>
    <xf numFmtId="164" fontId="10" fillId="0" borderId="7" xfId="5" applyNumberFormat="1" applyBorder="1"/>
    <xf numFmtId="164" fontId="15" fillId="0" borderId="0" xfId="5" applyNumberFormat="1" applyFont="1" applyAlignment="1">
      <alignment horizontal="right"/>
    </xf>
    <xf numFmtId="164" fontId="23" fillId="0" borderId="0" xfId="5" applyNumberFormat="1" applyFont="1" applyAlignment="1">
      <alignment horizontal="right"/>
    </xf>
    <xf numFmtId="164" fontId="10" fillId="0" borderId="37" xfId="5" applyNumberFormat="1" applyBorder="1"/>
    <xf numFmtId="164" fontId="24" fillId="0" borderId="0" xfId="5" applyNumberFormat="1" applyFont="1" applyAlignment="1">
      <alignment horizontal="right"/>
    </xf>
    <xf numFmtId="164" fontId="23" fillId="0" borderId="16" xfId="5" applyNumberFormat="1" applyFont="1" applyBorder="1" applyAlignment="1">
      <alignment horizontal="right"/>
    </xf>
    <xf numFmtId="164" fontId="24" fillId="0" borderId="16" xfId="5" applyNumberFormat="1" applyFont="1" applyBorder="1" applyAlignment="1">
      <alignment horizontal="right"/>
    </xf>
    <xf numFmtId="164" fontId="10" fillId="0" borderId="43" xfId="5" applyNumberFormat="1" applyBorder="1"/>
    <xf numFmtId="164" fontId="10" fillId="0" borderId="0" xfId="5" applyNumberFormat="1" applyAlignment="1">
      <alignment horizontal="right"/>
    </xf>
    <xf numFmtId="164" fontId="10" fillId="0" borderId="46" xfId="5" applyNumberFormat="1" applyBorder="1"/>
    <xf numFmtId="164" fontId="10" fillId="0" borderId="16" xfId="5" applyNumberFormat="1" applyBorder="1" applyAlignment="1">
      <alignment horizontal="right"/>
    </xf>
    <xf numFmtId="0" fontId="26" fillId="0" borderId="0" xfId="6"/>
    <xf numFmtId="164" fontId="10" fillId="0" borderId="0" xfId="5" applyNumberFormat="1" applyAlignment="1">
      <alignment horizontal="center"/>
    </xf>
    <xf numFmtId="0" fontId="26" fillId="0" borderId="0" xfId="7"/>
    <xf numFmtId="164" fontId="10" fillId="0" borderId="49" xfId="5" quotePrefix="1" applyNumberFormat="1" applyBorder="1" applyAlignment="1">
      <alignment horizontal="center"/>
    </xf>
    <xf numFmtId="164" fontId="10" fillId="0" borderId="50" xfId="5" quotePrefix="1" applyNumberFormat="1" applyBorder="1" applyAlignment="1">
      <alignment horizontal="center"/>
    </xf>
    <xf numFmtId="164" fontId="10" fillId="0" borderId="50" xfId="5" applyNumberFormat="1" applyBorder="1" applyAlignment="1">
      <alignment horizontal="center"/>
    </xf>
    <xf numFmtId="164" fontId="10" fillId="0" borderId="51" xfId="5" applyNumberFormat="1" applyBorder="1" applyAlignment="1">
      <alignment horizontal="center"/>
    </xf>
    <xf numFmtId="167" fontId="15" fillId="0" borderId="52" xfId="5" applyNumberFormat="1" applyFont="1" applyBorder="1" applyAlignment="1">
      <alignment horizontal="center"/>
    </xf>
    <xf numFmtId="167" fontId="15" fillId="0" borderId="53" xfId="5" applyNumberFormat="1" applyFont="1" applyBorder="1" applyAlignment="1">
      <alignment horizontal="center"/>
    </xf>
    <xf numFmtId="167" fontId="15" fillId="0" borderId="54" xfId="5" applyNumberFormat="1" applyFont="1" applyBorder="1" applyAlignment="1">
      <alignment horizontal="center"/>
    </xf>
    <xf numFmtId="167" fontId="15" fillId="0" borderId="55" xfId="5" quotePrefix="1" applyNumberFormat="1" applyFont="1" applyBorder="1" applyAlignment="1">
      <alignment horizontal="center"/>
    </xf>
    <xf numFmtId="167" fontId="15" fillId="0" borderId="56" xfId="5" quotePrefix="1" applyNumberFormat="1" applyFont="1" applyBorder="1" applyAlignment="1">
      <alignment horizontal="center"/>
    </xf>
    <xf numFmtId="167" fontId="15" fillId="0" borderId="57" xfId="5" quotePrefix="1" applyNumberFormat="1" applyFont="1" applyBorder="1" applyAlignment="1">
      <alignment horizontal="center"/>
    </xf>
    <xf numFmtId="164" fontId="29" fillId="0" borderId="0" xfId="5" applyNumberFormat="1" applyFont="1" applyAlignment="1">
      <alignment horizontal="right"/>
    </xf>
    <xf numFmtId="0" fontId="7" fillId="0" borderId="0" xfId="8" applyFont="1"/>
    <xf numFmtId="164" fontId="28" fillId="0" borderId="0" xfId="5" applyNumberFormat="1" applyFont="1"/>
    <xf numFmtId="0" fontId="30" fillId="0" borderId="0" xfId="9" applyFont="1"/>
    <xf numFmtId="164" fontId="31" fillId="0" borderId="0" xfId="5" applyNumberFormat="1" applyFont="1" applyAlignment="1">
      <alignment horizontal="left"/>
    </xf>
    <xf numFmtId="164" fontId="11" fillId="0" borderId="0" xfId="5" applyNumberFormat="1" applyFont="1" applyAlignment="1">
      <alignment horizontal="left"/>
    </xf>
    <xf numFmtId="0" fontId="32" fillId="0" borderId="0" xfId="7" applyFont="1" applyAlignment="1">
      <alignment horizontal="centerContinuous"/>
    </xf>
    <xf numFmtId="0" fontId="26" fillId="0" borderId="0" xfId="7" applyAlignment="1">
      <alignment horizontal="centerContinuous"/>
    </xf>
    <xf numFmtId="0" fontId="33" fillId="0" borderId="0" xfId="7" applyFont="1" applyAlignment="1">
      <alignment horizontal="centerContinuous"/>
    </xf>
    <xf numFmtId="0" fontId="34" fillId="0" borderId="0" xfId="7" applyFont="1" applyAlignment="1">
      <alignment horizontal="center"/>
    </xf>
    <xf numFmtId="0" fontId="33" fillId="0" borderId="0" xfId="7" applyFont="1" applyAlignment="1">
      <alignment horizontal="right"/>
    </xf>
    <xf numFmtId="0" fontId="33" fillId="0" borderId="0" xfId="7" applyFont="1"/>
    <xf numFmtId="0" fontId="35" fillId="0" borderId="0" xfId="7" applyFont="1"/>
    <xf numFmtId="14" fontId="33" fillId="0" borderId="0" xfId="7" applyNumberFormat="1" applyFont="1" applyAlignment="1">
      <alignment horizontal="center"/>
    </xf>
    <xf numFmtId="19" fontId="33" fillId="0" borderId="0" xfId="7" applyNumberFormat="1" applyFont="1"/>
    <xf numFmtId="0" fontId="36" fillId="0" borderId="58" xfId="7" applyFont="1" applyBorder="1" applyAlignment="1">
      <alignment horizontal="center"/>
    </xf>
    <xf numFmtId="0" fontId="36" fillId="0" borderId="59" xfId="7" applyFont="1" applyBorder="1" applyAlignment="1">
      <alignment horizontal="center"/>
    </xf>
    <xf numFmtId="0" fontId="35" fillId="0" borderId="60" xfId="7" applyFont="1" applyBorder="1" applyAlignment="1">
      <alignment horizontal="center"/>
    </xf>
    <xf numFmtId="2" fontId="35" fillId="0" borderId="60" xfId="7" applyNumberFormat="1" applyFont="1" applyBorder="1" applyAlignment="1">
      <alignment horizontal="center"/>
    </xf>
    <xf numFmtId="1" fontId="35" fillId="0" borderId="60" xfId="7" applyNumberFormat="1" applyFont="1" applyBorder="1" applyAlignment="1">
      <alignment horizontal="center"/>
    </xf>
    <xf numFmtId="1" fontId="35" fillId="0" borderId="61" xfId="7" applyNumberFormat="1" applyFont="1" applyBorder="1" applyAlignment="1">
      <alignment horizontal="center"/>
    </xf>
    <xf numFmtId="167" fontId="35" fillId="0" borderId="60" xfId="7" applyNumberFormat="1" applyFont="1" applyBorder="1" applyAlignment="1">
      <alignment horizontal="center"/>
    </xf>
    <xf numFmtId="177" fontId="35" fillId="0" borderId="60" xfId="7" applyNumberFormat="1" applyFont="1" applyBorder="1" applyAlignment="1">
      <alignment horizontal="center"/>
    </xf>
    <xf numFmtId="0" fontId="36" fillId="0" borderId="3" xfId="7" applyFont="1" applyBorder="1"/>
    <xf numFmtId="0" fontId="33" fillId="0" borderId="5" xfId="7" applyFont="1" applyBorder="1" applyAlignment="1">
      <alignment horizontal="center"/>
    </xf>
    <xf numFmtId="0" fontId="33" fillId="0" borderId="6" xfId="7" applyFont="1" applyBorder="1" applyAlignment="1">
      <alignment horizontal="center"/>
    </xf>
    <xf numFmtId="0" fontId="36" fillId="0" borderId="3" xfId="7" applyFont="1" applyBorder="1" applyAlignment="1">
      <alignment horizontal="left"/>
    </xf>
    <xf numFmtId="0" fontId="35" fillId="2" borderId="0" xfId="7" applyFont="1" applyFill="1"/>
    <xf numFmtId="0" fontId="35" fillId="0" borderId="2" xfId="7" applyFont="1" applyBorder="1"/>
    <xf numFmtId="0" fontId="35" fillId="0" borderId="22" xfId="7" applyFont="1" applyBorder="1"/>
    <xf numFmtId="0" fontId="36" fillId="0" borderId="0" xfId="7" applyFont="1"/>
    <xf numFmtId="0" fontId="35" fillId="0" borderId="0" xfId="7" applyFont="1" applyAlignment="1">
      <alignment horizontal="centerContinuous"/>
    </xf>
    <xf numFmtId="0" fontId="35" fillId="0" borderId="6" xfId="7" applyFont="1" applyBorder="1" applyAlignment="1">
      <alignment horizontal="centerContinuous"/>
    </xf>
    <xf numFmtId="0" fontId="26" fillId="0" borderId="7" xfId="7" applyBorder="1"/>
    <xf numFmtId="0" fontId="33" fillId="0" borderId="53" xfId="7" applyFont="1" applyBorder="1" applyAlignment="1">
      <alignment horizontal="center"/>
    </xf>
    <xf numFmtId="0" fontId="33" fillId="0" borderId="54" xfId="7" applyFont="1" applyBorder="1" applyAlignment="1">
      <alignment horizontal="center"/>
    </xf>
    <xf numFmtId="0" fontId="35" fillId="0" borderId="53" xfId="7" applyFont="1" applyBorder="1" applyAlignment="1">
      <alignment horizontal="centerContinuous"/>
    </xf>
    <xf numFmtId="0" fontId="33" fillId="0" borderId="52" xfId="7" applyFont="1" applyBorder="1" applyAlignment="1">
      <alignment horizontal="right"/>
    </xf>
    <xf numFmtId="177" fontId="35" fillId="0" borderId="53" xfId="7" applyNumberFormat="1" applyFont="1" applyBorder="1" applyAlignment="1">
      <alignment horizontal="center"/>
    </xf>
    <xf numFmtId="0" fontId="33" fillId="0" borderId="61" xfId="7" applyFont="1" applyBorder="1" applyAlignment="1">
      <alignment horizontal="center"/>
    </xf>
    <xf numFmtId="2" fontId="35" fillId="0" borderId="53" xfId="7" applyNumberFormat="1" applyFont="1" applyBorder="1" applyAlignment="1">
      <alignment horizontal="center"/>
    </xf>
    <xf numFmtId="0" fontId="35" fillId="0" borderId="54" xfId="7" applyFont="1" applyBorder="1" applyAlignment="1">
      <alignment horizontal="center"/>
    </xf>
    <xf numFmtId="0" fontId="33" fillId="0" borderId="52" xfId="7" applyFont="1" applyBorder="1"/>
    <xf numFmtId="0" fontId="35" fillId="0" borderId="53" xfId="7" applyFont="1" applyBorder="1" applyAlignment="1">
      <alignment horizontal="center"/>
    </xf>
    <xf numFmtId="0" fontId="33" fillId="0" borderId="59" xfId="7" applyFont="1" applyBorder="1" applyAlignment="1">
      <alignment horizontal="center"/>
    </xf>
    <xf numFmtId="0" fontId="35" fillId="0" borderId="0" xfId="7" applyFont="1" applyAlignment="1">
      <alignment horizontal="center"/>
    </xf>
    <xf numFmtId="0" fontId="33" fillId="0" borderId="12" xfId="7" applyFont="1" applyBorder="1" applyAlignment="1">
      <alignment horizontal="centerContinuous"/>
    </xf>
    <xf numFmtId="0" fontId="35" fillId="0" borderId="13" xfId="7" applyFont="1" applyBorder="1" applyAlignment="1">
      <alignment horizontal="centerContinuous"/>
    </xf>
    <xf numFmtId="167" fontId="35" fillId="0" borderId="62" xfId="7" applyNumberFormat="1" applyFont="1" applyBorder="1" applyAlignment="1">
      <alignment horizontal="center"/>
    </xf>
    <xf numFmtId="2" fontId="35" fillId="0" borderId="54" xfId="7" applyNumberFormat="1" applyFont="1" applyBorder="1" applyAlignment="1">
      <alignment horizontal="center"/>
    </xf>
    <xf numFmtId="0" fontId="35" fillId="0" borderId="46" xfId="7" applyFont="1" applyBorder="1" applyAlignment="1">
      <alignment horizontal="left"/>
    </xf>
    <xf numFmtId="0" fontId="35" fillId="0" borderId="14" xfId="7" applyFont="1" applyBorder="1" applyAlignment="1">
      <alignment horizontal="left"/>
    </xf>
    <xf numFmtId="0" fontId="35" fillId="0" borderId="63" xfId="7" applyFont="1" applyBorder="1" applyAlignment="1">
      <alignment horizontal="left"/>
    </xf>
    <xf numFmtId="0" fontId="35" fillId="0" borderId="11" xfId="7" applyFont="1" applyBorder="1" applyAlignment="1">
      <alignment horizontal="left"/>
    </xf>
    <xf numFmtId="180" fontId="35" fillId="3" borderId="53" xfId="7" applyNumberFormat="1" applyFont="1" applyFill="1" applyBorder="1" applyAlignment="1">
      <alignment horizontal="center"/>
    </xf>
    <xf numFmtId="0" fontId="35" fillId="0" borderId="53" xfId="7" applyFont="1" applyBorder="1" applyAlignment="1">
      <alignment horizontal="left"/>
    </xf>
    <xf numFmtId="0" fontId="35" fillId="0" borderId="54" xfId="7" applyFont="1" applyBorder="1" applyAlignment="1">
      <alignment horizontal="left"/>
    </xf>
    <xf numFmtId="167" fontId="35" fillId="0" borderId="53" xfId="7" applyNumberFormat="1" applyFont="1" applyBorder="1" applyAlignment="1">
      <alignment horizontal="center"/>
    </xf>
    <xf numFmtId="0" fontId="33" fillId="0" borderId="64" xfId="7" applyFont="1" applyBorder="1" applyAlignment="1">
      <alignment horizontal="right"/>
    </xf>
    <xf numFmtId="2" fontId="35" fillId="0" borderId="17" xfId="7" applyNumberFormat="1" applyFont="1" applyBorder="1" applyAlignment="1">
      <alignment horizontal="center"/>
    </xf>
    <xf numFmtId="2" fontId="35" fillId="0" borderId="18" xfId="7" applyNumberFormat="1" applyFont="1" applyBorder="1" applyAlignment="1">
      <alignment horizontal="center"/>
    </xf>
    <xf numFmtId="0" fontId="36" fillId="0" borderId="1" xfId="7" applyFont="1" applyBorder="1"/>
    <xf numFmtId="167" fontId="35" fillId="0" borderId="2" xfId="7" applyNumberFormat="1" applyFont="1" applyBorder="1" applyAlignment="1">
      <alignment horizontal="center"/>
    </xf>
    <xf numFmtId="167" fontId="35" fillId="0" borderId="22" xfId="7" applyNumberFormat="1" applyFont="1" applyBorder="1" applyAlignment="1">
      <alignment horizontal="center"/>
    </xf>
    <xf numFmtId="0" fontId="33" fillId="0" borderId="65" xfId="7" applyFont="1" applyBorder="1" applyAlignment="1">
      <alignment horizontal="center"/>
    </xf>
    <xf numFmtId="167" fontId="37" fillId="0" borderId="53" xfId="7" applyNumberFormat="1" applyFont="1" applyBorder="1" applyAlignment="1">
      <alignment horizontal="center"/>
    </xf>
    <xf numFmtId="167" fontId="35" fillId="0" borderId="54" xfId="7" applyNumberFormat="1" applyFont="1" applyBorder="1" applyAlignment="1">
      <alignment horizontal="center"/>
    </xf>
    <xf numFmtId="0" fontId="36" fillId="0" borderId="2" xfId="7" applyFont="1" applyBorder="1" applyAlignment="1">
      <alignment horizontal="centerContinuous"/>
    </xf>
    <xf numFmtId="0" fontId="36" fillId="0" borderId="22" xfId="7" applyFont="1" applyBorder="1" applyAlignment="1">
      <alignment horizontal="centerContinuous"/>
    </xf>
    <xf numFmtId="0" fontId="26" fillId="0" borderId="52" xfId="7" applyBorder="1"/>
    <xf numFmtId="0" fontId="33" fillId="0" borderId="54" xfId="7" applyFont="1" applyBorder="1" applyAlignment="1">
      <alignment horizontal="centerContinuous"/>
    </xf>
    <xf numFmtId="182" fontId="35" fillId="0" borderId="53" xfId="7" applyNumberFormat="1" applyFont="1" applyBorder="1" applyAlignment="1">
      <alignment horizontal="center"/>
    </xf>
    <xf numFmtId="177" fontId="35" fillId="0" borderId="54" xfId="7" applyNumberFormat="1" applyFont="1" applyBorder="1" applyAlignment="1">
      <alignment horizontal="center"/>
    </xf>
    <xf numFmtId="178" fontId="35" fillId="0" borderId="53" xfId="7" applyNumberFormat="1" applyFont="1" applyBorder="1" applyAlignment="1">
      <alignment horizontal="center"/>
    </xf>
    <xf numFmtId="178" fontId="35" fillId="0" borderId="54" xfId="7" applyNumberFormat="1" applyFont="1" applyBorder="1" applyAlignment="1">
      <alignment horizontal="center"/>
    </xf>
    <xf numFmtId="0" fontId="33" fillId="0" borderId="7" xfId="7" applyFont="1" applyBorder="1"/>
    <xf numFmtId="0" fontId="35" fillId="0" borderId="14" xfId="7" applyFont="1" applyBorder="1" applyAlignment="1">
      <alignment horizontal="center"/>
    </xf>
    <xf numFmtId="0" fontId="33" fillId="0" borderId="55" xfId="7" applyFont="1" applyBorder="1" applyAlignment="1">
      <alignment horizontal="right"/>
    </xf>
    <xf numFmtId="2" fontId="35" fillId="0" borderId="56" xfId="7" applyNumberFormat="1" applyFont="1" applyBorder="1" applyAlignment="1">
      <alignment horizontal="center"/>
    </xf>
    <xf numFmtId="2" fontId="35" fillId="0" borderId="57" xfId="7" applyNumberFormat="1" applyFont="1" applyBorder="1" applyAlignment="1">
      <alignment horizontal="center"/>
    </xf>
    <xf numFmtId="177" fontId="35" fillId="0" borderId="56" xfId="7" applyNumberFormat="1" applyFont="1" applyBorder="1" applyAlignment="1">
      <alignment horizontal="center"/>
    </xf>
    <xf numFmtId="177" fontId="35" fillId="0" borderId="57" xfId="7" applyNumberFormat="1" applyFont="1" applyBorder="1" applyAlignment="1">
      <alignment horizontal="center"/>
    </xf>
    <xf numFmtId="0" fontId="35" fillId="0" borderId="14" xfId="7" applyFont="1" applyBorder="1"/>
    <xf numFmtId="0" fontId="33" fillId="0" borderId="2" xfId="7" applyFont="1" applyBorder="1" applyAlignment="1">
      <alignment horizontal="centerContinuous"/>
    </xf>
    <xf numFmtId="0" fontId="35" fillId="0" borderId="2" xfId="7" applyFont="1" applyBorder="1" applyAlignment="1">
      <alignment horizontal="centerContinuous"/>
    </xf>
    <xf numFmtId="0" fontId="35" fillId="0" borderId="5" xfId="7" applyFont="1" applyBorder="1"/>
    <xf numFmtId="0" fontId="36" fillId="0" borderId="66" xfId="7" applyFont="1" applyBorder="1"/>
    <xf numFmtId="0" fontId="35" fillId="0" borderId="52" xfId="7" applyFont="1" applyBorder="1"/>
    <xf numFmtId="0" fontId="35" fillId="0" borderId="12" xfId="7" applyFont="1" applyBorder="1" applyAlignment="1">
      <alignment horizontal="right"/>
    </xf>
    <xf numFmtId="2" fontId="35" fillId="0" borderId="13" xfId="7" applyNumberFormat="1" applyFont="1" applyBorder="1" applyAlignment="1">
      <alignment horizontal="center"/>
    </xf>
    <xf numFmtId="167" fontId="26" fillId="0" borderId="0" xfId="7" applyNumberFormat="1"/>
    <xf numFmtId="0" fontId="35" fillId="0" borderId="55" xfId="7" applyFont="1" applyBorder="1"/>
    <xf numFmtId="0" fontId="35" fillId="0" borderId="30" xfId="7" applyFont="1" applyBorder="1" applyAlignment="1">
      <alignment horizontal="right"/>
    </xf>
    <xf numFmtId="2" fontId="35" fillId="0" borderId="27" xfId="7" applyNumberFormat="1" applyFont="1" applyBorder="1" applyAlignment="1">
      <alignment horizontal="center"/>
    </xf>
    <xf numFmtId="2" fontId="26" fillId="0" borderId="53" xfId="7" applyNumberFormat="1" applyBorder="1" applyAlignment="1">
      <alignment horizontal="center"/>
    </xf>
    <xf numFmtId="167" fontId="26" fillId="0" borderId="54" xfId="7" applyNumberFormat="1" applyBorder="1" applyAlignment="1">
      <alignment horizontal="center"/>
    </xf>
    <xf numFmtId="167" fontId="26" fillId="0" borderId="53" xfId="7" applyNumberFormat="1" applyBorder="1" applyAlignment="1">
      <alignment horizontal="center"/>
    </xf>
    <xf numFmtId="0" fontId="26" fillId="0" borderId="5" xfId="7" applyBorder="1"/>
    <xf numFmtId="0" fontId="35" fillId="0" borderId="6" xfId="7" applyFont="1" applyBorder="1"/>
    <xf numFmtId="0" fontId="35" fillId="0" borderId="13" xfId="7" applyFont="1" applyBorder="1" applyAlignment="1">
      <alignment horizontal="center"/>
    </xf>
    <xf numFmtId="0" fontId="33" fillId="0" borderId="53" xfId="7" applyFont="1" applyBorder="1" applyAlignment="1">
      <alignment horizontal="right"/>
    </xf>
    <xf numFmtId="0" fontId="33" fillId="0" borderId="0" xfId="7" applyFont="1" applyAlignment="1">
      <alignment horizontal="center"/>
    </xf>
    <xf numFmtId="0" fontId="33" fillId="0" borderId="55" xfId="7" applyFont="1" applyBorder="1"/>
    <xf numFmtId="178" fontId="35" fillId="0" borderId="0" xfId="7" applyNumberFormat="1" applyFont="1" applyAlignment="1">
      <alignment horizontal="center"/>
    </xf>
    <xf numFmtId="177" fontId="26" fillId="0" borderId="56" xfId="7" applyNumberFormat="1" applyBorder="1" applyAlignment="1">
      <alignment horizontal="center"/>
    </xf>
    <xf numFmtId="2" fontId="26" fillId="0" borderId="56" xfId="7" applyNumberFormat="1" applyBorder="1" applyAlignment="1">
      <alignment horizontal="center"/>
    </xf>
    <xf numFmtId="167" fontId="26" fillId="0" borderId="57" xfId="7" applyNumberFormat="1" applyBorder="1" applyAlignment="1">
      <alignment horizontal="center"/>
    </xf>
    <xf numFmtId="0" fontId="35" fillId="0" borderId="2" xfId="7" applyFont="1" applyBorder="1" applyAlignment="1">
      <alignment horizontal="right"/>
    </xf>
    <xf numFmtId="49" fontId="35" fillId="0" borderId="2" xfId="7" applyNumberFormat="1" applyFont="1" applyBorder="1" applyAlignment="1">
      <alignment horizontal="center"/>
    </xf>
    <xf numFmtId="0" fontId="33" fillId="0" borderId="49" xfId="7" applyFont="1" applyBorder="1" applyAlignment="1">
      <alignment horizontal="right"/>
    </xf>
    <xf numFmtId="167" fontId="35" fillId="0" borderId="51" xfId="7" applyNumberFormat="1" applyFont="1" applyBorder="1" applyAlignment="1">
      <alignment horizontal="center"/>
    </xf>
    <xf numFmtId="2" fontId="39" fillId="0" borderId="53" xfId="7" applyNumberFormat="1" applyFont="1" applyBorder="1" applyAlignment="1">
      <alignment horizontal="center"/>
    </xf>
    <xf numFmtId="2" fontId="39" fillId="0" borderId="54" xfId="7" applyNumberFormat="1" applyFont="1" applyBorder="1" applyAlignment="1">
      <alignment horizontal="center"/>
    </xf>
    <xf numFmtId="167" fontId="35" fillId="0" borderId="57" xfId="7" applyNumberFormat="1" applyFont="1" applyBorder="1" applyAlignment="1">
      <alignment horizontal="center"/>
    </xf>
    <xf numFmtId="0" fontId="40" fillId="0" borderId="0" xfId="7" applyFont="1"/>
    <xf numFmtId="177" fontId="39" fillId="0" borderId="53" xfId="7" applyNumberFormat="1" applyFont="1" applyBorder="1" applyAlignment="1">
      <alignment horizontal="center"/>
    </xf>
    <xf numFmtId="177" fontId="39" fillId="0" borderId="54" xfId="7" applyNumberFormat="1" applyFont="1" applyBorder="1" applyAlignment="1">
      <alignment horizontal="center"/>
    </xf>
    <xf numFmtId="0" fontId="33" fillId="0" borderId="67" xfId="7" applyFont="1" applyBorder="1" applyAlignment="1">
      <alignment horizontal="right"/>
    </xf>
    <xf numFmtId="167" fontId="35" fillId="0" borderId="68" xfId="7" applyNumberFormat="1" applyFont="1" applyBorder="1" applyAlignment="1">
      <alignment horizontal="center"/>
    </xf>
    <xf numFmtId="178" fontId="26" fillId="0" borderId="0" xfId="7" applyNumberFormat="1"/>
    <xf numFmtId="0" fontId="33" fillId="0" borderId="50" xfId="7" applyFont="1" applyBorder="1" applyAlignment="1">
      <alignment horizontal="center"/>
    </xf>
    <xf numFmtId="0" fontId="33" fillId="0" borderId="51" xfId="7" applyFont="1" applyBorder="1" applyAlignment="1">
      <alignment horizontal="center"/>
    </xf>
    <xf numFmtId="178" fontId="39" fillId="0" borderId="53" xfId="7" applyNumberFormat="1" applyFont="1" applyBorder="1" applyAlignment="1">
      <alignment horizontal="center"/>
    </xf>
    <xf numFmtId="178" fontId="39" fillId="0" borderId="54" xfId="7" applyNumberFormat="1" applyFont="1" applyBorder="1" applyAlignment="1">
      <alignment horizontal="center"/>
    </xf>
    <xf numFmtId="0" fontId="33" fillId="0" borderId="69" xfId="7" applyFont="1" applyBorder="1" applyAlignment="1">
      <alignment horizontal="right"/>
    </xf>
    <xf numFmtId="167" fontId="35" fillId="0" borderId="45" xfId="7" applyNumberFormat="1" applyFont="1" applyBorder="1" applyAlignment="1">
      <alignment horizontal="center"/>
    </xf>
    <xf numFmtId="0" fontId="35" fillId="0" borderId="70" xfId="7" applyFont="1" applyBorder="1" applyAlignment="1">
      <alignment horizontal="center"/>
    </xf>
    <xf numFmtId="0" fontId="35" fillId="0" borderId="47" xfId="7" applyFont="1" applyBorder="1" applyAlignment="1">
      <alignment horizontal="center"/>
    </xf>
    <xf numFmtId="167" fontId="39" fillId="0" borderId="53" xfId="7" applyNumberFormat="1" applyFont="1" applyBorder="1" applyAlignment="1">
      <alignment horizontal="center"/>
    </xf>
    <xf numFmtId="167" fontId="39" fillId="0" borderId="54" xfId="7" applyNumberFormat="1" applyFont="1" applyBorder="1" applyAlignment="1">
      <alignment horizontal="center"/>
    </xf>
    <xf numFmtId="0" fontId="33" fillId="0" borderId="71" xfId="7" applyFont="1" applyBorder="1" applyAlignment="1">
      <alignment horizontal="right"/>
    </xf>
    <xf numFmtId="167" fontId="35" fillId="0" borderId="9" xfId="7" applyNumberFormat="1" applyFont="1" applyBorder="1" applyAlignment="1">
      <alignment horizontal="center"/>
    </xf>
    <xf numFmtId="0" fontId="35" fillId="0" borderId="63" xfId="7" applyFont="1" applyBorder="1" applyAlignment="1">
      <alignment horizontal="center"/>
    </xf>
    <xf numFmtId="0" fontId="35" fillId="0" borderId="11" xfId="7" applyFont="1" applyBorder="1" applyAlignment="1">
      <alignment horizontal="center"/>
    </xf>
    <xf numFmtId="2" fontId="35" fillId="0" borderId="47" xfId="7" applyNumberFormat="1" applyFont="1" applyBorder="1" applyAlignment="1">
      <alignment horizontal="center"/>
    </xf>
    <xf numFmtId="177" fontId="39" fillId="0" borderId="56" xfId="7" applyNumberFormat="1" applyFont="1" applyBorder="1" applyAlignment="1">
      <alignment horizontal="center"/>
    </xf>
    <xf numFmtId="177" fontId="41" fillId="0" borderId="30" xfId="7" applyNumberFormat="1" applyFont="1" applyBorder="1" applyAlignment="1">
      <alignment horizontal="center"/>
    </xf>
    <xf numFmtId="177" fontId="41" fillId="0" borderId="26" xfId="7" applyNumberFormat="1" applyFont="1" applyBorder="1" applyAlignment="1">
      <alignment horizontal="center"/>
    </xf>
    <xf numFmtId="177" fontId="41" fillId="0" borderId="27" xfId="7" applyNumberFormat="1" applyFont="1" applyBorder="1" applyAlignment="1">
      <alignment horizontal="center"/>
    </xf>
    <xf numFmtId="0" fontId="36" fillId="0" borderId="49" xfId="7" applyFont="1" applyBorder="1"/>
    <xf numFmtId="0" fontId="35" fillId="0" borderId="29" xfId="7" applyFont="1" applyBorder="1"/>
    <xf numFmtId="0" fontId="35" fillId="0" borderId="51" xfId="7" applyFont="1" applyBorder="1"/>
    <xf numFmtId="167" fontId="35" fillId="0" borderId="70" xfId="7" applyNumberFormat="1" applyFont="1" applyBorder="1" applyAlignment="1">
      <alignment horizontal="center"/>
    </xf>
    <xf numFmtId="177" fontId="35" fillId="0" borderId="70" xfId="7" applyNumberFormat="1" applyFont="1" applyBorder="1" applyAlignment="1">
      <alignment horizontal="center"/>
    </xf>
    <xf numFmtId="0" fontId="33" fillId="0" borderId="53" xfId="7" applyFont="1" applyBorder="1"/>
    <xf numFmtId="0" fontId="33" fillId="0" borderId="72" xfId="7" applyFont="1" applyBorder="1" applyAlignment="1">
      <alignment horizontal="right"/>
    </xf>
    <xf numFmtId="167" fontId="35" fillId="0" borderId="46" xfId="7" applyNumberFormat="1" applyFont="1" applyBorder="1" applyAlignment="1">
      <alignment horizontal="center"/>
    </xf>
    <xf numFmtId="0" fontId="35" fillId="0" borderId="46" xfId="7" applyFont="1" applyBorder="1" applyAlignment="1">
      <alignment horizontal="center"/>
    </xf>
    <xf numFmtId="1" fontId="35" fillId="0" borderId="63" xfId="7" applyNumberFormat="1" applyFont="1" applyBorder="1" applyAlignment="1">
      <alignment horizontal="center"/>
    </xf>
    <xf numFmtId="0" fontId="26" fillId="0" borderId="0" xfId="7" applyAlignment="1">
      <alignment horizontal="right"/>
    </xf>
    <xf numFmtId="167" fontId="26" fillId="0" borderId="0" xfId="7" applyNumberFormat="1" applyAlignment="1">
      <alignment horizontal="left"/>
    </xf>
    <xf numFmtId="0" fontId="33" fillId="0" borderId="70" xfId="7" applyFont="1" applyBorder="1" applyAlignment="1">
      <alignment horizontal="right"/>
    </xf>
    <xf numFmtId="2" fontId="35" fillId="0" borderId="14" xfId="7" applyNumberFormat="1" applyFont="1" applyBorder="1" applyAlignment="1">
      <alignment horizontal="center"/>
    </xf>
    <xf numFmtId="0" fontId="33" fillId="0" borderId="46" xfId="7" applyFont="1" applyBorder="1" applyAlignment="1">
      <alignment horizontal="right"/>
    </xf>
    <xf numFmtId="2" fontId="26" fillId="0" borderId="0" xfId="7" applyNumberFormat="1" applyAlignment="1">
      <alignment horizontal="left"/>
    </xf>
    <xf numFmtId="0" fontId="35" fillId="0" borderId="56" xfId="7" applyFont="1" applyBorder="1" applyAlignment="1">
      <alignment horizontal="center"/>
    </xf>
    <xf numFmtId="0" fontId="33" fillId="0" borderId="56" xfId="7" applyFont="1" applyBorder="1"/>
    <xf numFmtId="0" fontId="33" fillId="0" borderId="63" xfId="7" applyFont="1" applyBorder="1" applyAlignment="1">
      <alignment horizontal="right"/>
    </xf>
    <xf numFmtId="0" fontId="35" fillId="0" borderId="18" xfId="7" applyFont="1" applyBorder="1" applyAlignment="1">
      <alignment horizontal="center"/>
    </xf>
    <xf numFmtId="0" fontId="26" fillId="0" borderId="0" xfId="7" applyAlignment="1">
      <alignment horizontal="left"/>
    </xf>
    <xf numFmtId="0" fontId="33" fillId="0" borderId="0" xfId="7" applyFont="1" applyAlignment="1">
      <alignment horizontal="left"/>
    </xf>
    <xf numFmtId="2" fontId="35" fillId="0" borderId="10" xfId="7" applyNumberFormat="1" applyFont="1" applyBorder="1" applyAlignment="1">
      <alignment horizontal="centerContinuous"/>
    </xf>
    <xf numFmtId="0" fontId="35" fillId="0" borderId="11" xfId="7" applyFont="1" applyBorder="1" applyAlignment="1">
      <alignment horizontal="centerContinuous"/>
    </xf>
    <xf numFmtId="1" fontId="26" fillId="0" borderId="0" xfId="7" applyNumberFormat="1" applyAlignment="1">
      <alignment horizontal="left"/>
    </xf>
    <xf numFmtId="0" fontId="35" fillId="0" borderId="10" xfId="7" applyFont="1" applyBorder="1" applyAlignment="1">
      <alignment horizontal="center"/>
    </xf>
    <xf numFmtId="0" fontId="33" fillId="0" borderId="56" xfId="7" applyFont="1" applyBorder="1" applyAlignment="1">
      <alignment horizontal="right"/>
    </xf>
    <xf numFmtId="0" fontId="35" fillId="0" borderId="16" xfId="7" applyFont="1" applyBorder="1" applyAlignment="1">
      <alignment horizontal="center"/>
    </xf>
    <xf numFmtId="0" fontId="30" fillId="0" borderId="3" xfId="7" applyFont="1" applyBorder="1"/>
    <xf numFmtId="0" fontId="30" fillId="0" borderId="5" xfId="7" applyFont="1" applyBorder="1"/>
    <xf numFmtId="0" fontId="30" fillId="0" borderId="6" xfId="7" applyFont="1" applyBorder="1"/>
    <xf numFmtId="0" fontId="33" fillId="0" borderId="52" xfId="7" applyFont="1" applyBorder="1" applyAlignment="1">
      <alignment horizontal="center"/>
    </xf>
    <xf numFmtId="0" fontId="30" fillId="0" borderId="7" xfId="7" applyFont="1" applyBorder="1"/>
    <xf numFmtId="0" fontId="30" fillId="0" borderId="0" xfId="7" applyFont="1"/>
    <xf numFmtId="0" fontId="30" fillId="0" borderId="14" xfId="7" applyFont="1" applyBorder="1"/>
    <xf numFmtId="2" fontId="33" fillId="0" borderId="72" xfId="7" quotePrefix="1" applyNumberFormat="1" applyFont="1" applyBorder="1" applyAlignment="1">
      <alignment horizontal="center"/>
    </xf>
    <xf numFmtId="167" fontId="35" fillId="0" borderId="73" xfId="7" applyNumberFormat="1" applyFont="1" applyBorder="1" applyAlignment="1">
      <alignment horizontal="center"/>
    </xf>
    <xf numFmtId="2" fontId="33" fillId="0" borderId="46" xfId="7" quotePrefix="1" applyNumberFormat="1" applyFont="1" applyBorder="1" applyAlignment="1">
      <alignment horizontal="center"/>
    </xf>
    <xf numFmtId="177" fontId="33" fillId="0" borderId="72" xfId="7" quotePrefix="1" applyNumberFormat="1" applyFont="1" applyBorder="1" applyAlignment="1">
      <alignment horizontal="center"/>
    </xf>
    <xf numFmtId="2" fontId="33" fillId="0" borderId="46" xfId="7" applyNumberFormat="1" applyFont="1" applyBorder="1" applyAlignment="1">
      <alignment horizontal="center"/>
    </xf>
    <xf numFmtId="2" fontId="33" fillId="0" borderId="74" xfId="7" applyNumberFormat="1" applyFont="1" applyBorder="1" applyAlignment="1">
      <alignment horizontal="center"/>
    </xf>
    <xf numFmtId="167" fontId="35" fillId="0" borderId="74" xfId="7" applyNumberFormat="1" applyFont="1" applyBorder="1" applyAlignment="1">
      <alignment horizontal="center"/>
    </xf>
    <xf numFmtId="167" fontId="35" fillId="0" borderId="75" xfId="7" applyNumberFormat="1" applyFont="1" applyBorder="1" applyAlignment="1">
      <alignment horizontal="center"/>
    </xf>
    <xf numFmtId="2" fontId="36" fillId="0" borderId="10" xfId="7" applyNumberFormat="1" applyFont="1" applyBorder="1" applyAlignment="1">
      <alignment horizontal="left"/>
    </xf>
    <xf numFmtId="167" fontId="37" fillId="0" borderId="10" xfId="7" applyNumberFormat="1" applyFont="1" applyBorder="1" applyAlignment="1">
      <alignment horizontal="left"/>
    </xf>
    <xf numFmtId="2" fontId="33" fillId="0" borderId="0" xfId="7" applyNumberFormat="1" applyFont="1" applyAlignment="1">
      <alignment horizontal="right"/>
    </xf>
    <xf numFmtId="167" fontId="35" fillId="0" borderId="0" xfId="7" applyNumberFormat="1" applyFont="1" applyAlignment="1">
      <alignment horizontal="centerContinuous"/>
    </xf>
    <xf numFmtId="2" fontId="33" fillId="0" borderId="64" xfId="7" quotePrefix="1" applyNumberFormat="1" applyFont="1" applyBorder="1" applyAlignment="1">
      <alignment horizontal="center"/>
    </xf>
    <xf numFmtId="167" fontId="35" fillId="0" borderId="76" xfId="7" applyNumberFormat="1" applyFont="1" applyBorder="1" applyAlignment="1">
      <alignment horizontal="center"/>
    </xf>
    <xf numFmtId="2" fontId="33" fillId="0" borderId="16" xfId="7" applyNumberFormat="1" applyFont="1" applyBorder="1" applyAlignment="1">
      <alignment horizontal="right"/>
    </xf>
    <xf numFmtId="167" fontId="35" fillId="0" borderId="16" xfId="7" applyNumberFormat="1" applyFont="1" applyBorder="1" applyAlignment="1">
      <alignment horizontal="centerContinuous"/>
    </xf>
    <xf numFmtId="0" fontId="30" fillId="0" borderId="15" xfId="7" applyFont="1" applyBorder="1"/>
    <xf numFmtId="0" fontId="30" fillId="0" borderId="16" xfId="7" applyFont="1" applyBorder="1"/>
    <xf numFmtId="0" fontId="30" fillId="0" borderId="18" xfId="7" applyFont="1" applyBorder="1"/>
    <xf numFmtId="0" fontId="43" fillId="4" borderId="0" xfId="7" applyFont="1" applyFill="1"/>
    <xf numFmtId="0" fontId="30" fillId="4" borderId="0" xfId="7" applyFont="1" applyFill="1"/>
    <xf numFmtId="167" fontId="35" fillId="0" borderId="0" xfId="7" applyNumberFormat="1" applyFont="1" applyAlignment="1">
      <alignment horizontal="center"/>
    </xf>
    <xf numFmtId="0" fontId="45" fillId="0" borderId="0" xfId="10" applyFont="1"/>
    <xf numFmtId="0" fontId="46" fillId="0" borderId="0" xfId="10" applyFont="1"/>
    <xf numFmtId="0" fontId="47" fillId="5" borderId="0" xfId="10" applyFont="1" applyFill="1" applyAlignment="1">
      <alignment horizontal="center"/>
    </xf>
    <xf numFmtId="0" fontId="48" fillId="5" borderId="0" xfId="10" applyFont="1" applyFill="1" applyAlignment="1">
      <alignment horizontal="right"/>
    </xf>
    <xf numFmtId="0" fontId="49" fillId="5" borderId="0" xfId="10" applyFont="1" applyFill="1"/>
    <xf numFmtId="0" fontId="50" fillId="5" borderId="0" xfId="10" applyFont="1" applyFill="1"/>
    <xf numFmtId="0" fontId="51" fillId="0" borderId="77" xfId="10" applyFont="1" applyBorder="1" applyAlignment="1">
      <alignment horizontal="left" vertical="center"/>
    </xf>
    <xf numFmtId="0" fontId="51" fillId="0" borderId="78" xfId="10" applyFont="1" applyBorder="1" applyAlignment="1">
      <alignment vertical="center"/>
    </xf>
    <xf numFmtId="0" fontId="5" fillId="0" borderId="78" xfId="10" applyBorder="1"/>
    <xf numFmtId="0" fontId="51" fillId="0" borderId="79" xfId="10" applyFont="1" applyBorder="1" applyAlignment="1">
      <alignment horizontal="right" vertical="center"/>
    </xf>
    <xf numFmtId="0" fontId="52" fillId="0" borderId="0" xfId="10" applyFont="1"/>
    <xf numFmtId="0" fontId="53" fillId="0" borderId="77" xfId="10" applyFont="1" applyBorder="1"/>
    <xf numFmtId="0" fontId="52" fillId="0" borderId="79" xfId="10" applyFont="1" applyBorder="1"/>
    <xf numFmtId="0" fontId="53" fillId="0" borderId="79" xfId="10" applyFont="1" applyBorder="1"/>
    <xf numFmtId="0" fontId="54" fillId="0" borderId="0" xfId="10" applyFont="1"/>
    <xf numFmtId="0" fontId="55" fillId="5" borderId="5" xfId="10" applyFont="1" applyFill="1" applyBorder="1" applyAlignment="1">
      <alignment horizontal="center"/>
    </xf>
    <xf numFmtId="0" fontId="55" fillId="5" borderId="4" xfId="10" applyFont="1" applyFill="1" applyBorder="1" applyAlignment="1">
      <alignment horizontal="center"/>
    </xf>
    <xf numFmtId="0" fontId="55" fillId="5" borderId="0" xfId="10" quotePrefix="1" applyFont="1" applyFill="1" applyAlignment="1">
      <alignment horizontal="left"/>
    </xf>
    <xf numFmtId="0" fontId="56" fillId="5" borderId="80" xfId="10" applyFont="1" applyFill="1" applyBorder="1" applyAlignment="1">
      <alignment horizontal="right"/>
    </xf>
    <xf numFmtId="0" fontId="55" fillId="5" borderId="81" xfId="10" applyFont="1" applyFill="1" applyBorder="1" applyAlignment="1">
      <alignment horizontal="center"/>
    </xf>
    <xf numFmtId="0" fontId="55" fillId="5" borderId="14" xfId="10" applyFont="1" applyFill="1" applyBorder="1" applyAlignment="1">
      <alignment horizontal="center"/>
    </xf>
    <xf numFmtId="0" fontId="53" fillId="0" borderId="7" xfId="10" applyFont="1" applyBorder="1"/>
    <xf numFmtId="0" fontId="52" fillId="0" borderId="14" xfId="10" applyFont="1" applyBorder="1"/>
    <xf numFmtId="0" fontId="53" fillId="0" borderId="14" xfId="10" applyFont="1" applyBorder="1"/>
    <xf numFmtId="0" fontId="57" fillId="5" borderId="90" xfId="10" applyFont="1" applyFill="1" applyBorder="1"/>
    <xf numFmtId="0" fontId="57" fillId="5" borderId="91" xfId="10" applyFont="1" applyFill="1" applyBorder="1"/>
    <xf numFmtId="0" fontId="60" fillId="5" borderId="91" xfId="10" applyFont="1" applyFill="1" applyBorder="1"/>
    <xf numFmtId="0" fontId="60" fillId="5" borderId="92" xfId="10" applyFont="1" applyFill="1" applyBorder="1"/>
    <xf numFmtId="167" fontId="59" fillId="5" borderId="87" xfId="10" applyNumberFormat="1" applyFont="1" applyFill="1" applyBorder="1" applyAlignment="1">
      <alignment horizontal="center"/>
    </xf>
    <xf numFmtId="0" fontId="59" fillId="5" borderId="93" xfId="10" applyFont="1" applyFill="1" applyBorder="1" applyAlignment="1">
      <alignment horizontal="center"/>
    </xf>
    <xf numFmtId="0" fontId="57" fillId="5" borderId="94" xfId="10" applyFont="1" applyFill="1" applyBorder="1"/>
    <xf numFmtId="0" fontId="57" fillId="5" borderId="95" xfId="10" applyFont="1" applyFill="1" applyBorder="1"/>
    <xf numFmtId="0" fontId="60" fillId="5" borderId="95" xfId="10" applyFont="1" applyFill="1" applyBorder="1"/>
    <xf numFmtId="0" fontId="60" fillId="5" borderId="96" xfId="10" applyFont="1" applyFill="1" applyBorder="1"/>
    <xf numFmtId="1" fontId="59" fillId="5" borderId="87" xfId="10" applyNumberFormat="1" applyFont="1" applyFill="1" applyBorder="1" applyAlignment="1">
      <alignment horizontal="center"/>
    </xf>
    <xf numFmtId="0" fontId="59" fillId="5" borderId="97" xfId="10" applyFont="1" applyFill="1" applyBorder="1" applyAlignment="1">
      <alignment horizontal="center"/>
    </xf>
    <xf numFmtId="0" fontId="61" fillId="5" borderId="91" xfId="10" applyFont="1" applyFill="1" applyBorder="1"/>
    <xf numFmtId="0" fontId="62" fillId="5" borderId="92" xfId="10" applyFont="1" applyFill="1" applyBorder="1" applyAlignment="1">
      <alignment horizontal="left"/>
    </xf>
    <xf numFmtId="0" fontId="59" fillId="5" borderId="87" xfId="10" applyFont="1" applyFill="1" applyBorder="1" applyAlignment="1">
      <alignment horizontal="center"/>
    </xf>
    <xf numFmtId="0" fontId="53" fillId="0" borderId="15" xfId="10" applyFont="1" applyBorder="1"/>
    <xf numFmtId="0" fontId="53" fillId="0" borderId="18" xfId="10" applyFont="1" applyBorder="1"/>
    <xf numFmtId="0" fontId="57" fillId="5" borderId="99" xfId="10" applyFont="1" applyFill="1" applyBorder="1"/>
    <xf numFmtId="0" fontId="57" fillId="5" borderId="100" xfId="10" applyFont="1" applyFill="1" applyBorder="1"/>
    <xf numFmtId="0" fontId="61" fillId="5" borderId="100" xfId="10" applyFont="1" applyFill="1" applyBorder="1"/>
    <xf numFmtId="0" fontId="59" fillId="5" borderId="101" xfId="10" applyFont="1" applyFill="1" applyBorder="1" applyAlignment="1">
      <alignment horizontal="center"/>
    </xf>
    <xf numFmtId="0" fontId="59" fillId="5" borderId="102" xfId="10" applyFont="1" applyFill="1" applyBorder="1" applyAlignment="1">
      <alignment horizontal="center"/>
    </xf>
    <xf numFmtId="0" fontId="57" fillId="5" borderId="86" xfId="10" quotePrefix="1" applyFont="1" applyFill="1" applyBorder="1" applyAlignment="1">
      <alignment horizontal="left"/>
    </xf>
    <xf numFmtId="0" fontId="54" fillId="0" borderId="92" xfId="10" applyFont="1" applyBorder="1"/>
    <xf numFmtId="0" fontId="52" fillId="0" borderId="18" xfId="10" applyFont="1" applyBorder="1"/>
    <xf numFmtId="0" fontId="57" fillId="5" borderId="106" xfId="10" quotePrefix="1" applyFont="1" applyFill="1" applyBorder="1" applyAlignment="1">
      <alignment horizontal="left"/>
    </xf>
    <xf numFmtId="0" fontId="57" fillId="5" borderId="83" xfId="10" applyFont="1" applyFill="1" applyBorder="1"/>
    <xf numFmtId="0" fontId="60" fillId="5" borderId="83" xfId="10" applyFont="1" applyFill="1" applyBorder="1"/>
    <xf numFmtId="0" fontId="64" fillId="5" borderId="83" xfId="10" applyFont="1" applyFill="1" applyBorder="1" applyAlignment="1">
      <alignment horizontal="right"/>
    </xf>
    <xf numFmtId="49" fontId="59" fillId="5" borderId="83" xfId="10" applyNumberFormat="1" applyFont="1" applyFill="1" applyBorder="1" applyAlignment="1">
      <alignment horizontal="center"/>
    </xf>
    <xf numFmtId="0" fontId="59" fillId="5" borderId="107" xfId="10" applyFont="1" applyFill="1" applyBorder="1" applyAlignment="1">
      <alignment horizontal="center"/>
    </xf>
    <xf numFmtId="0" fontId="57" fillId="5" borderId="87" xfId="10" applyFont="1" applyFill="1" applyBorder="1"/>
    <xf numFmtId="0" fontId="60" fillId="5" borderId="87" xfId="10" applyFont="1" applyFill="1" applyBorder="1"/>
    <xf numFmtId="0" fontId="57" fillId="5" borderId="92" xfId="10" applyFont="1" applyFill="1" applyBorder="1" applyAlignment="1">
      <alignment horizontal="left"/>
    </xf>
    <xf numFmtId="0" fontId="57" fillId="5" borderId="108" xfId="10" quotePrefix="1" applyFont="1" applyFill="1" applyBorder="1" applyAlignment="1">
      <alignment horizontal="left"/>
    </xf>
    <xf numFmtId="0" fontId="57" fillId="5" borderId="101" xfId="10" applyFont="1" applyFill="1" applyBorder="1"/>
    <xf numFmtId="0" fontId="60" fillId="5" borderId="101" xfId="10" applyFont="1" applyFill="1" applyBorder="1"/>
    <xf numFmtId="0" fontId="57" fillId="5" borderId="86" xfId="10" applyFont="1" applyFill="1" applyBorder="1" applyAlignment="1">
      <alignment horizontal="left"/>
    </xf>
    <xf numFmtId="0" fontId="52" fillId="5" borderId="109" xfId="10" applyFont="1" applyFill="1" applyBorder="1"/>
    <xf numFmtId="0" fontId="52" fillId="5" borderId="92" xfId="10" applyFont="1" applyFill="1" applyBorder="1"/>
    <xf numFmtId="0" fontId="57" fillId="5" borderId="86" xfId="10" applyFont="1" applyFill="1" applyBorder="1"/>
    <xf numFmtId="0" fontId="52" fillId="5" borderId="91" xfId="10" applyFont="1" applyFill="1" applyBorder="1"/>
    <xf numFmtId="0" fontId="57" fillId="5" borderId="109" xfId="10" applyFont="1" applyFill="1" applyBorder="1"/>
    <xf numFmtId="0" fontId="64" fillId="5" borderId="92" xfId="10" applyFont="1" applyFill="1" applyBorder="1" applyAlignment="1">
      <alignment horizontal="right"/>
    </xf>
    <xf numFmtId="0" fontId="57" fillId="5" borderId="82" xfId="10" quotePrefix="1" applyFont="1" applyFill="1" applyBorder="1" applyAlignment="1">
      <alignment horizontal="left"/>
    </xf>
    <xf numFmtId="0" fontId="54" fillId="0" borderId="116" xfId="10" applyFont="1" applyBorder="1"/>
    <xf numFmtId="0" fontId="57" fillId="5" borderId="109" xfId="10" quotePrefix="1" applyFont="1" applyFill="1" applyBorder="1" applyAlignment="1">
      <alignment horizontal="left"/>
    </xf>
    <xf numFmtId="0" fontId="52" fillId="5" borderId="87" xfId="10" applyFont="1" applyFill="1" applyBorder="1"/>
    <xf numFmtId="0" fontId="57" fillId="5" borderId="117" xfId="10" applyFont="1" applyFill="1" applyBorder="1" applyAlignment="1">
      <alignment horizontal="left"/>
    </xf>
    <xf numFmtId="0" fontId="57" fillId="5" borderId="91" xfId="10" quotePrefix="1" applyFont="1" applyFill="1" applyBorder="1" applyAlignment="1">
      <alignment horizontal="center"/>
    </xf>
    <xf numFmtId="0" fontId="52" fillId="5" borderId="92" xfId="10" quotePrefix="1" applyFont="1" applyFill="1" applyBorder="1" applyAlignment="1">
      <alignment horizontal="center"/>
    </xf>
    <xf numFmtId="0" fontId="57" fillId="5" borderId="118" xfId="10" applyFont="1" applyFill="1" applyBorder="1"/>
    <xf numFmtId="0" fontId="54" fillId="0" borderId="119" xfId="10" applyFont="1" applyBorder="1"/>
    <xf numFmtId="0" fontId="59" fillId="0" borderId="119" xfId="10" applyFont="1" applyBorder="1" applyAlignment="1">
      <alignment horizontal="center"/>
    </xf>
    <xf numFmtId="0" fontId="59" fillId="0" borderId="120" xfId="10" applyFont="1" applyBorder="1" applyAlignment="1">
      <alignment horizontal="center"/>
    </xf>
    <xf numFmtId="0" fontId="57" fillId="5" borderId="121" xfId="10" applyFont="1" applyFill="1" applyBorder="1" applyAlignment="1">
      <alignment horizontal="center"/>
    </xf>
    <xf numFmtId="0" fontId="57" fillId="5" borderId="100" xfId="10" quotePrefix="1" applyFont="1" applyFill="1" applyBorder="1" applyAlignment="1">
      <alignment horizontal="center"/>
    </xf>
    <xf numFmtId="0" fontId="52" fillId="5" borderId="122" xfId="10" quotePrefix="1" applyFont="1" applyFill="1" applyBorder="1" applyAlignment="1">
      <alignment horizontal="center"/>
    </xf>
    <xf numFmtId="0" fontId="59" fillId="0" borderId="92" xfId="10" applyFont="1" applyBorder="1" applyAlignment="1">
      <alignment horizontal="center"/>
    </xf>
    <xf numFmtId="0" fontId="59" fillId="0" borderId="97" xfId="10" applyFont="1" applyBorder="1" applyAlignment="1">
      <alignment horizontal="center"/>
    </xf>
    <xf numFmtId="0" fontId="59" fillId="0" borderId="15" xfId="10" applyFont="1" applyBorder="1"/>
    <xf numFmtId="0" fontId="65" fillId="0" borderId="18" xfId="10" applyFont="1" applyBorder="1"/>
    <xf numFmtId="0" fontId="48" fillId="0" borderId="125" xfId="10" applyFont="1" applyBorder="1" applyAlignment="1">
      <alignment horizontal="left"/>
    </xf>
    <xf numFmtId="0" fontId="48" fillId="0" borderId="44" xfId="10" applyFont="1" applyBorder="1" applyAlignment="1">
      <alignment horizontal="left"/>
    </xf>
    <xf numFmtId="0" fontId="67" fillId="5" borderId="126" xfId="10" applyFont="1" applyFill="1" applyBorder="1" applyAlignment="1">
      <alignment horizontal="center"/>
    </xf>
    <xf numFmtId="167" fontId="59" fillId="0" borderId="92" xfId="10" applyNumberFormat="1" applyFont="1" applyBorder="1" applyAlignment="1">
      <alignment horizontal="center"/>
    </xf>
    <xf numFmtId="0" fontId="57" fillId="5" borderId="127" xfId="10" applyFont="1" applyFill="1" applyBorder="1" applyAlignment="1">
      <alignment horizontal="left"/>
    </xf>
    <xf numFmtId="0" fontId="52" fillId="5" borderId="128" xfId="10" applyFont="1" applyFill="1" applyBorder="1"/>
    <xf numFmtId="0" fontId="52" fillId="5" borderId="129" xfId="10" applyFont="1" applyFill="1" applyBorder="1"/>
    <xf numFmtId="0" fontId="59" fillId="5" borderId="130" xfId="10" applyFont="1" applyFill="1" applyBorder="1" applyAlignment="1">
      <alignment horizontal="center"/>
    </xf>
    <xf numFmtId="0" fontId="54" fillId="0" borderId="101" xfId="10" applyFont="1" applyBorder="1"/>
    <xf numFmtId="0" fontId="54" fillId="0" borderId="102" xfId="10" applyFont="1" applyBorder="1"/>
    <xf numFmtId="0" fontId="54" fillId="0" borderId="110" xfId="10" applyFont="1" applyBorder="1"/>
    <xf numFmtId="0" fontId="57" fillId="5" borderId="119" xfId="10" applyFont="1" applyFill="1" applyBorder="1"/>
    <xf numFmtId="0" fontId="64" fillId="5" borderId="87" xfId="10" applyFont="1" applyFill="1" applyBorder="1" applyAlignment="1">
      <alignment horizontal="right" shrinkToFit="1"/>
    </xf>
    <xf numFmtId="0" fontId="59" fillId="5" borderId="131" xfId="10" applyFont="1" applyFill="1" applyBorder="1" applyAlignment="1">
      <alignment horizontal="center"/>
    </xf>
    <xf numFmtId="2" fontId="54" fillId="0" borderId="0" xfId="10" applyNumberFormat="1" applyFont="1"/>
    <xf numFmtId="0" fontId="57" fillId="5" borderId="106" xfId="10" applyFont="1" applyFill="1" applyBorder="1"/>
    <xf numFmtId="0" fontId="57" fillId="5" borderId="80" xfId="10" applyFont="1" applyFill="1" applyBorder="1"/>
    <xf numFmtId="0" fontId="64" fillId="5" borderId="87" xfId="10" applyFont="1" applyFill="1" applyBorder="1" applyAlignment="1">
      <alignment horizontal="right"/>
    </xf>
    <xf numFmtId="2" fontId="59" fillId="5" borderId="87" xfId="10" applyNumberFormat="1" applyFont="1" applyFill="1" applyBorder="1" applyAlignment="1">
      <alignment horizontal="center"/>
    </xf>
    <xf numFmtId="0" fontId="64" fillId="5" borderId="80" xfId="10" applyFont="1" applyFill="1" applyBorder="1" applyAlignment="1">
      <alignment horizontal="right"/>
    </xf>
    <xf numFmtId="0" fontId="64" fillId="5" borderId="87" xfId="10" applyFont="1" applyFill="1" applyBorder="1"/>
    <xf numFmtId="0" fontId="68" fillId="0" borderId="0" xfId="10" applyFont="1"/>
    <xf numFmtId="0" fontId="57" fillId="5" borderId="132" xfId="10" applyFont="1" applyFill="1" applyBorder="1"/>
    <xf numFmtId="0" fontId="57" fillId="5" borderId="133" xfId="10" applyFont="1" applyFill="1" applyBorder="1"/>
    <xf numFmtId="0" fontId="57" fillId="5" borderId="134" xfId="10" applyFont="1" applyFill="1" applyBorder="1"/>
    <xf numFmtId="0" fontId="64" fillId="5" borderId="134" xfId="10" applyFont="1" applyFill="1" applyBorder="1"/>
    <xf numFmtId="167" fontId="59" fillId="5" borderId="134" xfId="10" applyNumberFormat="1" applyFont="1" applyFill="1" applyBorder="1" applyAlignment="1">
      <alignment horizontal="center"/>
    </xf>
    <xf numFmtId="0" fontId="57" fillId="5" borderId="96" xfId="10" applyFont="1" applyFill="1" applyBorder="1"/>
    <xf numFmtId="0" fontId="57" fillId="5" borderId="126" xfId="10" applyFont="1" applyFill="1" applyBorder="1" applyAlignment="1">
      <alignment horizontal="left"/>
    </xf>
    <xf numFmtId="0" fontId="57" fillId="5" borderId="96" xfId="10" applyFont="1" applyFill="1" applyBorder="1" applyAlignment="1">
      <alignment horizontal="left"/>
    </xf>
    <xf numFmtId="1" fontId="59" fillId="5" borderId="83" xfId="10" applyNumberFormat="1" applyFont="1" applyFill="1" applyBorder="1" applyAlignment="1">
      <alignment horizontal="center"/>
    </xf>
    <xf numFmtId="0" fontId="69" fillId="0" borderId="0" xfId="10" quotePrefix="1" applyFont="1" applyAlignment="1">
      <alignment horizontal="left"/>
    </xf>
    <xf numFmtId="0" fontId="54" fillId="0" borderId="0" xfId="11" applyFont="1"/>
    <xf numFmtId="0" fontId="57" fillId="5" borderId="0" xfId="10" applyFont="1" applyFill="1"/>
    <xf numFmtId="0" fontId="57" fillId="5" borderId="109" xfId="10" applyFont="1" applyFill="1" applyBorder="1" applyAlignment="1">
      <alignment horizontal="left"/>
    </xf>
    <xf numFmtId="167" fontId="59" fillId="5" borderId="93" xfId="10" applyNumberFormat="1" applyFont="1" applyFill="1" applyBorder="1" applyAlignment="1">
      <alignment horizontal="center"/>
    </xf>
    <xf numFmtId="1" fontId="54" fillId="0" borderId="0" xfId="10" applyNumberFormat="1" applyFont="1"/>
    <xf numFmtId="0" fontId="57" fillId="5" borderId="10" xfId="10" applyFont="1" applyFill="1" applyBorder="1"/>
    <xf numFmtId="0" fontId="57" fillId="5" borderId="130" xfId="10" applyFont="1" applyFill="1" applyBorder="1" applyAlignment="1">
      <alignment horizontal="left"/>
    </xf>
    <xf numFmtId="0" fontId="57" fillId="5" borderId="122" xfId="10" applyFont="1" applyFill="1" applyBorder="1" applyAlignment="1">
      <alignment horizontal="left"/>
    </xf>
    <xf numFmtId="1" fontId="59" fillId="5" borderId="101" xfId="10" applyNumberFormat="1" applyFont="1" applyFill="1" applyBorder="1" applyAlignment="1">
      <alignment horizontal="center"/>
    </xf>
    <xf numFmtId="0" fontId="48" fillId="5" borderId="103" xfId="10" applyFont="1" applyFill="1" applyBorder="1" applyAlignment="1">
      <alignment horizontal="left"/>
    </xf>
    <xf numFmtId="0" fontId="48" fillId="5" borderId="104" xfId="10" applyFont="1" applyFill="1" applyBorder="1" applyAlignment="1">
      <alignment horizontal="left"/>
    </xf>
    <xf numFmtId="0" fontId="48" fillId="5" borderId="105" xfId="10" applyFont="1" applyFill="1" applyBorder="1" applyAlignment="1">
      <alignment horizontal="left"/>
    </xf>
    <xf numFmtId="0" fontId="50" fillId="5" borderId="106" xfId="10" applyFont="1" applyFill="1" applyBorder="1"/>
    <xf numFmtId="0" fontId="54" fillId="5" borderId="95" xfId="10" applyFont="1" applyFill="1" applyBorder="1" applyAlignment="1">
      <alignment horizontal="left"/>
    </xf>
    <xf numFmtId="0" fontId="54" fillId="5" borderId="107" xfId="10" applyFont="1" applyFill="1" applyBorder="1" applyAlignment="1">
      <alignment horizontal="left"/>
    </xf>
    <xf numFmtId="0" fontId="50" fillId="5" borderId="91" xfId="10" applyFont="1" applyFill="1" applyBorder="1" applyAlignment="1">
      <alignment horizontal="left"/>
    </xf>
    <xf numFmtId="0" fontId="50" fillId="5" borderId="97" xfId="10" applyFont="1" applyFill="1" applyBorder="1" applyAlignment="1">
      <alignment horizontal="left"/>
    </xf>
    <xf numFmtId="0" fontId="70" fillId="0" borderId="0" xfId="10" applyFont="1"/>
    <xf numFmtId="0" fontId="57" fillId="0" borderId="135" xfId="10" applyFont="1" applyBorder="1"/>
    <xf numFmtId="0" fontId="57" fillId="5" borderId="138" xfId="10" applyFont="1" applyFill="1" applyBorder="1"/>
    <xf numFmtId="0" fontId="72" fillId="5" borderId="139" xfId="10" applyFont="1" applyFill="1" applyBorder="1" applyAlignment="1">
      <alignment horizontal="center" shrinkToFit="1"/>
    </xf>
    <xf numFmtId="0" fontId="50" fillId="5" borderId="7" xfId="10" applyFont="1" applyFill="1" applyBorder="1"/>
    <xf numFmtId="0" fontId="57" fillId="5" borderId="140" xfId="10" applyFont="1" applyFill="1" applyBorder="1"/>
    <xf numFmtId="0" fontId="57" fillId="5" borderId="16" xfId="10" applyFont="1" applyFill="1" applyBorder="1"/>
    <xf numFmtId="14" fontId="52" fillId="5" borderId="143" xfId="10" applyNumberFormat="1" applyFont="1" applyFill="1" applyBorder="1" applyAlignment="1">
      <alignment horizontal="center"/>
    </xf>
    <xf numFmtId="0" fontId="50" fillId="0" borderId="16" xfId="10" applyFont="1" applyBorder="1"/>
    <xf numFmtId="0" fontId="50" fillId="5" borderId="144" xfId="10" applyFont="1" applyFill="1" applyBorder="1" applyAlignment="1">
      <alignment horizontal="left"/>
    </xf>
    <xf numFmtId="0" fontId="50" fillId="5" borderId="145" xfId="10" applyFont="1" applyFill="1" applyBorder="1" applyAlignment="1">
      <alignment horizontal="left"/>
    </xf>
    <xf numFmtId="0" fontId="50" fillId="0" borderId="0" xfId="10" applyFont="1"/>
    <xf numFmtId="164" fontId="2" fillId="0" borderId="1" xfId="2" applyFont="1" applyBorder="1" applyAlignment="1">
      <alignment horizontal="centerContinuous"/>
    </xf>
    <xf numFmtId="164" fontId="2" fillId="0" borderId="2" xfId="2" applyFont="1" applyBorder="1" applyAlignment="1">
      <alignment horizontal="centerContinuous"/>
    </xf>
    <xf numFmtId="164" fontId="3" fillId="0" borderId="3" xfId="2" applyFont="1" applyBorder="1" applyAlignment="1">
      <alignment horizontal="left"/>
    </xf>
    <xf numFmtId="164" fontId="4" fillId="0" borderId="4" xfId="2" applyFont="1" applyBorder="1"/>
    <xf numFmtId="164" fontId="3" fillId="0" borderId="5" xfId="2" applyFont="1" applyBorder="1" applyAlignment="1">
      <alignment horizontal="centerContinuous"/>
    </xf>
    <xf numFmtId="164" fontId="4" fillId="0" borderId="6" xfId="2" applyFont="1" applyBorder="1" applyAlignment="1">
      <alignment horizontal="centerContinuous"/>
    </xf>
    <xf numFmtId="164" fontId="10" fillId="0" borderId="0" xfId="2"/>
    <xf numFmtId="164" fontId="2" fillId="0" borderId="7" xfId="2" applyFont="1" applyBorder="1" applyAlignment="1">
      <alignment horizontal="centerContinuous"/>
    </xf>
    <xf numFmtId="164" fontId="2" fillId="0" borderId="0" xfId="2" applyFont="1" applyAlignment="1">
      <alignment horizontal="centerContinuous"/>
    </xf>
    <xf numFmtId="164" fontId="3" fillId="0" borderId="8" xfId="2" applyFont="1" applyBorder="1" applyAlignment="1">
      <alignment horizontal="left"/>
    </xf>
    <xf numFmtId="164" fontId="4" fillId="0" borderId="9" xfId="2" applyFont="1" applyBorder="1"/>
    <xf numFmtId="164" fontId="3" fillId="0" borderId="10" xfId="2" applyFont="1" applyBorder="1" applyAlignment="1">
      <alignment horizontal="centerContinuous"/>
    </xf>
    <xf numFmtId="164" fontId="4" fillId="0" borderId="11" xfId="2" applyFont="1" applyBorder="1" applyAlignment="1">
      <alignment horizontal="centerContinuous"/>
    </xf>
    <xf numFmtId="164" fontId="4" fillId="0" borderId="7" xfId="2" applyFont="1" applyBorder="1" applyAlignment="1">
      <alignment horizontal="centerContinuous"/>
    </xf>
    <xf numFmtId="164" fontId="3" fillId="0" borderId="10" xfId="2" quotePrefix="1" applyFont="1" applyBorder="1" applyAlignment="1">
      <alignment horizontal="centerContinuous"/>
    </xf>
    <xf numFmtId="164" fontId="22" fillId="0" borderId="7" xfId="2" applyFont="1" applyBorder="1" applyAlignment="1">
      <alignment horizontal="centerContinuous"/>
    </xf>
    <xf numFmtId="164" fontId="7" fillId="0" borderId="7" xfId="2" applyFont="1" applyBorder="1" applyAlignment="1">
      <alignment horizontal="centerContinuous"/>
    </xf>
    <xf numFmtId="164" fontId="7" fillId="0" borderId="15" xfId="2" applyFont="1" applyBorder="1" applyAlignment="1">
      <alignment horizontal="centerContinuous"/>
    </xf>
    <xf numFmtId="164" fontId="4" fillId="0" borderId="16" xfId="2" applyFont="1" applyBorder="1" applyAlignment="1">
      <alignment horizontal="centerContinuous"/>
    </xf>
    <xf numFmtId="164" fontId="3" fillId="0" borderId="15" xfId="2" applyFont="1" applyBorder="1" applyAlignment="1">
      <alignment horizontal="left"/>
    </xf>
    <xf numFmtId="164" fontId="4" fillId="0" borderId="17" xfId="2" applyFont="1" applyBorder="1"/>
    <xf numFmtId="164" fontId="75" fillId="0" borderId="16" xfId="2" applyFont="1" applyBorder="1" applyAlignment="1">
      <alignment horizontal="centerContinuous"/>
    </xf>
    <xf numFmtId="164" fontId="4" fillId="0" borderId="18" xfId="2" applyFont="1" applyBorder="1" applyAlignment="1">
      <alignment horizontal="centerContinuous"/>
    </xf>
    <xf numFmtId="164" fontId="76" fillId="0" borderId="7" xfId="2" quotePrefix="1" applyFont="1" applyBorder="1" applyAlignment="1">
      <alignment horizontal="left"/>
    </xf>
    <xf numFmtId="164" fontId="4" fillId="0" borderId="0" xfId="2" quotePrefix="1" applyFont="1" applyAlignment="1">
      <alignment horizontal="right"/>
    </xf>
    <xf numFmtId="164" fontId="4" fillId="0" borderId="48" xfId="2" applyFont="1" applyBorder="1"/>
    <xf numFmtId="164" fontId="76" fillId="0" borderId="0" xfId="2" applyFont="1" applyAlignment="1">
      <alignment horizontal="left"/>
    </xf>
    <xf numFmtId="164" fontId="4" fillId="0" borderId="0" xfId="2" applyFont="1" applyAlignment="1">
      <alignment horizontal="right"/>
    </xf>
    <xf numFmtId="164" fontId="4" fillId="0" borderId="48" xfId="2" applyFont="1" applyBorder="1" applyAlignment="1">
      <alignment horizontal="right"/>
    </xf>
    <xf numFmtId="164" fontId="76" fillId="0" borderId="0" xfId="2" quotePrefix="1" applyFont="1" applyAlignment="1">
      <alignment horizontal="left"/>
    </xf>
    <xf numFmtId="164" fontId="4" fillId="0" borderId="14" xfId="2" applyFont="1" applyBorder="1"/>
    <xf numFmtId="164" fontId="10" fillId="0" borderId="7" xfId="2" applyBorder="1"/>
    <xf numFmtId="164" fontId="11" fillId="0" borderId="48" xfId="2" applyFont="1" applyBorder="1" applyAlignment="1" applyProtection="1">
      <alignment horizontal="center"/>
      <protection locked="0"/>
    </xf>
    <xf numFmtId="1" fontId="11" fillId="0" borderId="48" xfId="2" applyNumberFormat="1" applyFont="1" applyBorder="1" applyAlignment="1">
      <alignment horizontal="center"/>
    </xf>
    <xf numFmtId="164" fontId="11" fillId="0" borderId="48" xfId="2" applyFont="1" applyBorder="1"/>
    <xf numFmtId="164" fontId="11" fillId="0" borderId="17" xfId="2" applyFont="1" applyBorder="1"/>
    <xf numFmtId="164" fontId="11" fillId="0" borderId="17" xfId="2" applyFont="1" applyBorder="1" applyAlignment="1">
      <alignment horizontal="left"/>
    </xf>
    <xf numFmtId="164" fontId="12" fillId="0" borderId="31" xfId="2" applyFont="1" applyBorder="1" applyAlignment="1">
      <alignment horizontal="centerContinuous"/>
    </xf>
    <xf numFmtId="164" fontId="7" fillId="0" borderId="32" xfId="2" applyFont="1" applyBorder="1" applyAlignment="1">
      <alignment horizontal="centerContinuous"/>
    </xf>
    <xf numFmtId="164" fontId="10" fillId="0" borderId="146" xfId="2" applyBorder="1"/>
    <xf numFmtId="164" fontId="7" fillId="0" borderId="33" xfId="2" applyFont="1" applyBorder="1" applyAlignment="1">
      <alignment horizontal="centerContinuous"/>
    </xf>
    <xf numFmtId="164" fontId="76" fillId="0" borderId="7" xfId="2" applyFont="1" applyBorder="1" applyAlignment="1">
      <alignment horizontal="left"/>
    </xf>
    <xf numFmtId="164" fontId="10" fillId="0" borderId="48" xfId="2" applyBorder="1"/>
    <xf numFmtId="167" fontId="11" fillId="0" borderId="0" xfId="2" applyNumberFormat="1" applyFont="1" applyAlignment="1" applyProtection="1">
      <alignment horizontal="center"/>
      <protection locked="0"/>
    </xf>
    <xf numFmtId="164" fontId="11" fillId="0" borderId="7" xfId="2" applyFont="1" applyBorder="1" applyAlignment="1">
      <alignment horizontal="left"/>
    </xf>
    <xf numFmtId="164" fontId="10" fillId="0" borderId="17" xfId="2" applyBorder="1"/>
    <xf numFmtId="164" fontId="7" fillId="0" borderId="0" xfId="2" applyFont="1" applyAlignment="1">
      <alignment horizontal="left"/>
    </xf>
    <xf numFmtId="164" fontId="7" fillId="0" borderId="31" xfId="2" applyFont="1" applyBorder="1"/>
    <xf numFmtId="164" fontId="4" fillId="0" borderId="32" xfId="2" applyFont="1" applyBorder="1" applyAlignment="1">
      <alignment horizontal="left"/>
    </xf>
    <xf numFmtId="164" fontId="4" fillId="0" borderId="33" xfId="2" applyFont="1" applyBorder="1" applyAlignment="1">
      <alignment horizontal="left"/>
    </xf>
    <xf numFmtId="164" fontId="11" fillId="0" borderId="7" xfId="2" quotePrefix="1" applyFont="1" applyBorder="1" applyAlignment="1">
      <alignment horizontal="left"/>
    </xf>
    <xf numFmtId="164" fontId="11" fillId="0" borderId="14" xfId="2" applyFont="1" applyBorder="1" applyAlignment="1">
      <alignment horizontal="left"/>
    </xf>
    <xf numFmtId="164" fontId="17" fillId="0" borderId="147" xfId="2" applyFont="1" applyBorder="1"/>
    <xf numFmtId="164" fontId="11" fillId="0" borderId="0" xfId="2" quotePrefix="1" applyFont="1" applyAlignment="1">
      <alignment horizontal="left"/>
    </xf>
    <xf numFmtId="164" fontId="11" fillId="0" borderId="148" xfId="2" quotePrefix="1" applyFont="1" applyBorder="1" applyAlignment="1">
      <alignment horizontal="left"/>
    </xf>
    <xf numFmtId="164" fontId="11" fillId="0" borderId="149" xfId="2" quotePrefix="1" applyFont="1" applyBorder="1" applyAlignment="1">
      <alignment horizontal="left"/>
    </xf>
    <xf numFmtId="164" fontId="11" fillId="0" borderId="15" xfId="2" applyFont="1" applyBorder="1" applyAlignment="1">
      <alignment horizontal="left"/>
    </xf>
    <xf numFmtId="164" fontId="11" fillId="0" borderId="16" xfId="2" applyFont="1" applyBorder="1" applyAlignment="1">
      <alignment horizontal="left"/>
    </xf>
    <xf numFmtId="164" fontId="11" fillId="0" borderId="18" xfId="2" applyFont="1" applyBorder="1" applyAlignment="1">
      <alignment horizontal="left"/>
    </xf>
    <xf numFmtId="164" fontId="4" fillId="0" borderId="0" xfId="2" applyFont="1" applyAlignment="1">
      <alignment horizontal="left"/>
    </xf>
    <xf numFmtId="164" fontId="20" fillId="0" borderId="0" xfId="2" applyFont="1" applyAlignment="1">
      <alignment horizontal="right"/>
    </xf>
    <xf numFmtId="164" fontId="10" fillId="0" borderId="0" xfId="2" applyAlignment="1">
      <alignment horizontal="right"/>
    </xf>
    <xf numFmtId="0" fontId="77" fillId="0" borderId="85" xfId="6" applyFont="1" applyBorder="1"/>
    <xf numFmtId="0" fontId="77" fillId="0" borderId="44" xfId="6" applyFont="1" applyBorder="1"/>
    <xf numFmtId="0" fontId="77" fillId="0" borderId="45" xfId="6" applyFont="1" applyBorder="1"/>
    <xf numFmtId="0" fontId="78" fillId="0" borderId="106" xfId="6" applyFont="1" applyBorder="1" applyAlignment="1">
      <alignment horizontal="centerContinuous"/>
    </xf>
    <xf numFmtId="0" fontId="77" fillId="0" borderId="0" xfId="6" applyFont="1" applyAlignment="1">
      <alignment horizontal="centerContinuous"/>
    </xf>
    <xf numFmtId="0" fontId="77" fillId="0" borderId="48" xfId="6" applyFont="1" applyBorder="1" applyAlignment="1">
      <alignment horizontal="centerContinuous"/>
    </xf>
    <xf numFmtId="0" fontId="79" fillId="0" borderId="106" xfId="6" applyFont="1" applyBorder="1" applyAlignment="1">
      <alignment horizontal="centerContinuous"/>
    </xf>
    <xf numFmtId="0" fontId="77" fillId="0" borderId="106" xfId="6" applyFont="1" applyBorder="1"/>
    <xf numFmtId="0" fontId="77" fillId="0" borderId="0" xfId="6" applyFont="1"/>
    <xf numFmtId="0" fontId="77" fillId="0" borderId="48" xfId="6" applyFont="1" applyBorder="1"/>
    <xf numFmtId="0" fontId="80" fillId="0" borderId="53" xfId="6" applyFont="1" applyBorder="1" applyAlignment="1">
      <alignment horizontal="right"/>
    </xf>
    <xf numFmtId="0" fontId="77" fillId="0" borderId="53" xfId="6" applyFont="1" applyBorder="1" applyAlignment="1">
      <alignment horizontal="center"/>
    </xf>
    <xf numFmtId="14" fontId="77" fillId="0" borderId="53" xfId="6" applyNumberFormat="1" applyFont="1" applyBorder="1" applyAlignment="1">
      <alignment horizontal="center"/>
    </xf>
    <xf numFmtId="0" fontId="81" fillId="0" borderId="53" xfId="6" applyFont="1" applyBorder="1" applyAlignment="1">
      <alignment horizontal="center"/>
    </xf>
    <xf numFmtId="0" fontId="80" fillId="0" borderId="0" xfId="6" applyFont="1" applyAlignment="1">
      <alignment horizontal="right"/>
    </xf>
    <xf numFmtId="0" fontId="77" fillId="0" borderId="0" xfId="6" applyFont="1" applyAlignment="1">
      <alignment horizontal="center"/>
    </xf>
    <xf numFmtId="9" fontId="77" fillId="0" borderId="0" xfId="6" applyNumberFormat="1" applyFont="1" applyAlignment="1">
      <alignment horizontal="center"/>
    </xf>
    <xf numFmtId="0" fontId="77" fillId="0" borderId="0" xfId="6" applyFont="1" applyAlignment="1">
      <alignment horizontal="left"/>
    </xf>
    <xf numFmtId="0" fontId="80" fillId="0" borderId="106" xfId="6" applyFont="1" applyBorder="1" applyAlignment="1">
      <alignment horizontal="right"/>
    </xf>
    <xf numFmtId="0" fontId="77" fillId="0" borderId="10" xfId="6" applyFont="1" applyBorder="1"/>
    <xf numFmtId="49" fontId="77" fillId="0" borderId="10" xfId="6" applyNumberFormat="1" applyFont="1" applyBorder="1"/>
    <xf numFmtId="0" fontId="77" fillId="0" borderId="108" xfId="6" applyFont="1" applyBorder="1"/>
    <xf numFmtId="0" fontId="80" fillId="0" borderId="12" xfId="6" applyFont="1" applyBorder="1" applyAlignment="1">
      <alignment horizontal="right"/>
    </xf>
    <xf numFmtId="0" fontId="77" fillId="0" borderId="150" xfId="6" applyFont="1" applyBorder="1"/>
    <xf numFmtId="167" fontId="33" fillId="0" borderId="0" xfId="7" quotePrefix="1" applyNumberFormat="1" applyFont="1" applyAlignment="1">
      <alignment horizontal="center"/>
    </xf>
    <xf numFmtId="167" fontId="35" fillId="0" borderId="0" xfId="12" applyNumberFormat="1" applyFont="1" applyAlignment="1">
      <alignment horizontal="center"/>
    </xf>
    <xf numFmtId="167" fontId="33" fillId="0" borderId="0" xfId="7" applyNumberFormat="1" applyFont="1" applyAlignment="1">
      <alignment horizontal="center"/>
    </xf>
    <xf numFmtId="0" fontId="83" fillId="0" borderId="0" xfId="6" applyFont="1"/>
    <xf numFmtId="0" fontId="84" fillId="0" borderId="0" xfId="6" applyFont="1"/>
    <xf numFmtId="0" fontId="35" fillId="0" borderId="53" xfId="6" applyFont="1" applyBorder="1" applyAlignment="1">
      <alignment horizontal="center"/>
    </xf>
    <xf numFmtId="1" fontId="35" fillId="5" borderId="53" xfId="6" applyNumberFormat="1" applyFont="1" applyFill="1" applyBorder="1" applyAlignment="1">
      <alignment horizontal="center"/>
    </xf>
    <xf numFmtId="2" fontId="35" fillId="5" borderId="53" xfId="6" applyNumberFormat="1" applyFont="1" applyFill="1" applyBorder="1" applyAlignment="1">
      <alignment horizontal="center"/>
    </xf>
    <xf numFmtId="0" fontId="35" fillId="5" borderId="53" xfId="6" applyFont="1" applyFill="1" applyBorder="1" applyAlignment="1">
      <alignment horizontal="center"/>
    </xf>
    <xf numFmtId="0" fontId="32" fillId="0" borderId="0" xfId="6" applyFont="1" applyAlignment="1">
      <alignment horizontal="right"/>
    </xf>
    <xf numFmtId="0" fontId="44" fillId="0" borderId="0" xfId="6" applyFont="1"/>
    <xf numFmtId="0" fontId="81" fillId="0" borderId="0" xfId="6" applyFont="1"/>
    <xf numFmtId="0" fontId="85" fillId="0" borderId="70" xfId="6" applyFont="1" applyBorder="1" applyAlignment="1">
      <alignment horizontal="center"/>
    </xf>
    <xf numFmtId="0" fontId="85" fillId="0" borderId="63" xfId="6" applyFont="1" applyBorder="1" applyAlignment="1">
      <alignment horizontal="center"/>
    </xf>
    <xf numFmtId="0" fontId="85" fillId="0" borderId="53" xfId="6" applyFont="1" applyBorder="1" applyAlignment="1">
      <alignment horizontal="center"/>
    </xf>
    <xf numFmtId="0" fontId="85" fillId="0" borderId="53" xfId="6" applyFont="1" applyBorder="1" applyAlignment="1">
      <alignment horizontal="right"/>
    </xf>
    <xf numFmtId="0" fontId="81" fillId="0" borderId="24" xfId="6" applyFont="1" applyBorder="1" applyAlignment="1">
      <alignment horizontal="center"/>
    </xf>
    <xf numFmtId="0" fontId="81" fillId="0" borderId="150" xfId="6" quotePrefix="1" applyFont="1" applyBorder="1" applyAlignment="1">
      <alignment horizontal="center"/>
    </xf>
    <xf numFmtId="0" fontId="81" fillId="0" borderId="150" xfId="6" applyFont="1" applyBorder="1" applyAlignment="1">
      <alignment horizontal="center"/>
    </xf>
    <xf numFmtId="0" fontId="85" fillId="0" borderId="0" xfId="6" applyFont="1" applyAlignment="1">
      <alignment horizontal="right"/>
    </xf>
    <xf numFmtId="0" fontId="77" fillId="0" borderId="85" xfId="7" applyFont="1" applyBorder="1"/>
    <xf numFmtId="0" fontId="77" fillId="0" borderId="44" xfId="7" applyFont="1" applyBorder="1"/>
    <xf numFmtId="0" fontId="77" fillId="0" borderId="45" xfId="7" applyFont="1" applyBorder="1"/>
    <xf numFmtId="0" fontId="78" fillId="0" borderId="106" xfId="7" applyFont="1" applyBorder="1" applyAlignment="1">
      <alignment horizontal="centerContinuous"/>
    </xf>
    <xf numFmtId="0" fontId="77" fillId="0" borderId="0" xfId="7" applyFont="1" applyAlignment="1">
      <alignment horizontal="centerContinuous"/>
    </xf>
    <xf numFmtId="0" fontId="77" fillId="0" borderId="48" xfId="7" applyFont="1" applyBorder="1" applyAlignment="1">
      <alignment horizontal="centerContinuous"/>
    </xf>
    <xf numFmtId="0" fontId="79" fillId="0" borderId="106" xfId="7" applyFont="1" applyBorder="1" applyAlignment="1">
      <alignment horizontal="centerContinuous"/>
    </xf>
    <xf numFmtId="0" fontId="77" fillId="0" borderId="106" xfId="7" applyFont="1" applyBorder="1"/>
    <xf numFmtId="0" fontId="77" fillId="0" borderId="0" xfId="7" applyFont="1"/>
    <xf numFmtId="0" fontId="77" fillId="0" borderId="48" xfId="7" applyFont="1" applyBorder="1"/>
    <xf numFmtId="0" fontId="87" fillId="0" borderId="0" xfId="7" applyFont="1"/>
    <xf numFmtId="0" fontId="35" fillId="0" borderId="61" xfId="7" applyFont="1" applyBorder="1" applyAlignment="1">
      <alignment horizontal="center"/>
    </xf>
    <xf numFmtId="0" fontId="35" fillId="0" borderId="79" xfId="7" applyFont="1" applyBorder="1" applyAlignment="1">
      <alignment horizontal="center"/>
    </xf>
    <xf numFmtId="167" fontId="33" fillId="0" borderId="151" xfId="7" quotePrefix="1" applyNumberFormat="1" applyFont="1" applyBorder="1" applyAlignment="1">
      <alignment horizontal="center"/>
    </xf>
    <xf numFmtId="167" fontId="35" fillId="0" borderId="63" xfId="7" applyNumberFormat="1" applyFont="1" applyBorder="1" applyAlignment="1">
      <alignment horizontal="center"/>
    </xf>
    <xf numFmtId="167" fontId="35" fillId="0" borderId="152" xfId="7" applyNumberFormat="1" applyFont="1" applyBorder="1" applyAlignment="1">
      <alignment horizontal="center"/>
    </xf>
    <xf numFmtId="167" fontId="33" fillId="0" borderId="153" xfId="7" quotePrefix="1" applyNumberFormat="1" applyFont="1" applyBorder="1" applyAlignment="1">
      <alignment horizontal="center"/>
    </xf>
    <xf numFmtId="167" fontId="35" fillId="0" borderId="150" xfId="7" applyNumberFormat="1" applyFont="1" applyBorder="1" applyAlignment="1">
      <alignment horizontal="center"/>
    </xf>
    <xf numFmtId="167" fontId="33" fillId="0" borderId="60" xfId="7" quotePrefix="1" applyNumberFormat="1" applyFont="1" applyBorder="1" applyAlignment="1">
      <alignment horizontal="center"/>
    </xf>
    <xf numFmtId="167" fontId="35" fillId="0" borderId="154" xfId="7" applyNumberFormat="1" applyFont="1" applyBorder="1" applyAlignment="1">
      <alignment horizontal="center"/>
    </xf>
    <xf numFmtId="167" fontId="35" fillId="0" borderId="56" xfId="7" applyNumberFormat="1" applyFont="1" applyBorder="1" applyAlignment="1">
      <alignment horizontal="center"/>
    </xf>
    <xf numFmtId="0" fontId="26" fillId="0" borderId="155" xfId="7" applyBorder="1"/>
    <xf numFmtId="0" fontId="26" fillId="0" borderId="155" xfId="7" applyBorder="1" applyAlignment="1">
      <alignment horizontal="center"/>
    </xf>
    <xf numFmtId="0" fontId="26" fillId="6" borderId="155" xfId="7" applyFill="1" applyBorder="1" applyAlignment="1">
      <alignment horizontal="center"/>
    </xf>
    <xf numFmtId="0" fontId="26" fillId="0" borderId="0" xfId="7" applyAlignment="1">
      <alignment horizontal="center" vertical="center"/>
    </xf>
    <xf numFmtId="0" fontId="26" fillId="0" borderId="0" xfId="7" applyAlignment="1">
      <alignment horizontal="center"/>
    </xf>
    <xf numFmtId="167" fontId="26" fillId="0" borderId="0" xfId="7" applyNumberFormat="1" applyAlignment="1">
      <alignment horizontal="center" vertical="center"/>
    </xf>
    <xf numFmtId="2" fontId="26" fillId="0" borderId="0" xfId="6" applyNumberFormat="1"/>
    <xf numFmtId="167" fontId="26" fillId="0" borderId="0" xfId="6" applyNumberFormat="1"/>
    <xf numFmtId="0" fontId="88" fillId="0" borderId="9" xfId="6" applyFont="1" applyBorder="1" applyAlignment="1">
      <alignment horizontal="center"/>
    </xf>
    <xf numFmtId="0" fontId="54" fillId="0" borderId="130" xfId="10" applyFont="1" applyBorder="1" applyAlignment="1">
      <alignment horizontal="left"/>
    </xf>
    <xf numFmtId="0" fontId="54" fillId="0" borderId="100" xfId="10" applyFont="1" applyBorder="1" applyAlignment="1">
      <alignment horizontal="left"/>
    </xf>
    <xf numFmtId="14" fontId="52" fillId="5" borderId="141" xfId="10" applyNumberFormat="1" applyFont="1" applyFill="1" applyBorder="1" applyAlignment="1">
      <alignment horizontal="center"/>
    </xf>
    <xf numFmtId="14" fontId="52" fillId="5" borderId="142" xfId="10" applyNumberFormat="1" applyFont="1" applyFill="1" applyBorder="1" applyAlignment="1">
      <alignment horizontal="center"/>
    </xf>
    <xf numFmtId="0" fontId="54" fillId="0" borderId="7" xfId="10" applyFont="1" applyBorder="1" applyAlignment="1">
      <alignment horizontal="center"/>
    </xf>
    <xf numFmtId="0" fontId="54" fillId="0" borderId="0" xfId="10" applyFont="1" applyAlignment="1">
      <alignment horizontal="center"/>
    </xf>
    <xf numFmtId="0" fontId="54" fillId="0" borderId="48" xfId="10" applyFont="1" applyBorder="1" applyAlignment="1">
      <alignment horizontal="center"/>
    </xf>
    <xf numFmtId="0" fontId="54" fillId="0" borderId="8" xfId="10" applyFont="1" applyBorder="1" applyAlignment="1">
      <alignment horizontal="center"/>
    </xf>
    <xf numFmtId="0" fontId="54" fillId="0" borderId="10" xfId="10" applyFont="1" applyBorder="1" applyAlignment="1">
      <alignment horizontal="center"/>
    </xf>
    <xf numFmtId="0" fontId="54" fillId="0" borderId="9" xfId="10" applyFont="1" applyBorder="1" applyAlignment="1">
      <alignment horizontal="center"/>
    </xf>
    <xf numFmtId="0" fontId="48" fillId="0" borderId="125" xfId="10" applyFont="1" applyBorder="1" applyAlignment="1">
      <alignment horizontal="left"/>
    </xf>
    <xf numFmtId="0" fontId="48" fillId="0" borderId="44" xfId="10" applyFont="1" applyBorder="1" applyAlignment="1">
      <alignment horizontal="left"/>
    </xf>
    <xf numFmtId="0" fontId="48" fillId="0" borderId="45" xfId="10" applyFont="1" applyBorder="1" applyAlignment="1">
      <alignment horizontal="left"/>
    </xf>
    <xf numFmtId="0" fontId="54" fillId="0" borderId="15" xfId="10" applyFont="1" applyBorder="1" applyAlignment="1">
      <alignment horizontal="center"/>
    </xf>
    <xf numFmtId="0" fontId="54" fillId="0" borderId="16" xfId="10" applyFont="1" applyBorder="1" applyAlignment="1">
      <alignment horizontal="center"/>
    </xf>
    <xf numFmtId="0" fontId="54" fillId="0" borderId="17" xfId="10" applyFont="1" applyBorder="1" applyAlignment="1">
      <alignment horizontal="center"/>
    </xf>
    <xf numFmtId="0" fontId="71" fillId="5" borderId="136" xfId="10" applyFont="1" applyFill="1" applyBorder="1" applyAlignment="1">
      <alignment horizontal="center"/>
    </xf>
    <xf numFmtId="0" fontId="71" fillId="5" borderId="137" xfId="10" applyFont="1" applyFill="1" applyBorder="1" applyAlignment="1">
      <alignment horizontal="center"/>
    </xf>
    <xf numFmtId="0" fontId="48" fillId="5" borderId="85" xfId="10" applyFont="1" applyFill="1" applyBorder="1" applyAlignment="1">
      <alignment horizontal="left"/>
    </xf>
    <xf numFmtId="0" fontId="48" fillId="5" borderId="44" xfId="10" applyFont="1" applyFill="1" applyBorder="1" applyAlignment="1">
      <alignment horizontal="left"/>
    </xf>
    <xf numFmtId="0" fontId="48" fillId="5" borderId="47" xfId="10" applyFont="1" applyFill="1" applyBorder="1" applyAlignment="1">
      <alignment horizontal="left"/>
    </xf>
    <xf numFmtId="0" fontId="57" fillId="5" borderId="98" xfId="10" quotePrefix="1" applyFont="1" applyFill="1" applyBorder="1" applyAlignment="1">
      <alignment horizontal="left"/>
    </xf>
    <xf numFmtId="0" fontId="57" fillId="5" borderId="91" xfId="10" quotePrefix="1" applyFont="1" applyFill="1" applyBorder="1" applyAlignment="1">
      <alignment horizontal="left"/>
    </xf>
    <xf numFmtId="0" fontId="57" fillId="5" borderId="92" xfId="10" quotePrefix="1" applyFont="1" applyFill="1" applyBorder="1" applyAlignment="1">
      <alignment horizontal="left"/>
    </xf>
    <xf numFmtId="2" fontId="59" fillId="5" borderId="88" xfId="10" applyNumberFormat="1" applyFont="1" applyFill="1" applyBorder="1" applyAlignment="1">
      <alignment horizontal="center"/>
    </xf>
    <xf numFmtId="2" fontId="59" fillId="5" borderId="89" xfId="10" applyNumberFormat="1" applyFont="1" applyFill="1" applyBorder="1" applyAlignment="1">
      <alignment horizontal="center"/>
    </xf>
    <xf numFmtId="0" fontId="59" fillId="5" borderId="88" xfId="10" applyFont="1" applyFill="1" applyBorder="1" applyAlignment="1">
      <alignment horizontal="center"/>
    </xf>
    <xf numFmtId="0" fontId="59" fillId="5" borderId="89" xfId="10" applyFont="1" applyFill="1" applyBorder="1" applyAlignment="1">
      <alignment horizontal="center"/>
    </xf>
    <xf numFmtId="0" fontId="48" fillId="0" borderId="103" xfId="10" applyFont="1" applyBorder="1" applyAlignment="1">
      <alignment horizontal="left"/>
    </xf>
    <xf numFmtId="0" fontId="48" fillId="0" borderId="104" xfId="10" applyFont="1" applyBorder="1" applyAlignment="1">
      <alignment horizontal="left"/>
    </xf>
    <xf numFmtId="0" fontId="48" fillId="0" borderId="105" xfId="10" applyFont="1" applyBorder="1" applyAlignment="1">
      <alignment horizontal="left"/>
    </xf>
    <xf numFmtId="167" fontId="59" fillId="5" borderId="88" xfId="10" applyNumberFormat="1" applyFont="1" applyFill="1" applyBorder="1" applyAlignment="1">
      <alignment horizontal="center"/>
    </xf>
    <xf numFmtId="167" fontId="59" fillId="5" borderId="89" xfId="10" applyNumberFormat="1" applyFont="1" applyFill="1" applyBorder="1" applyAlignment="1">
      <alignment horizontal="center"/>
    </xf>
    <xf numFmtId="0" fontId="57" fillId="5" borderId="110" xfId="10" applyFont="1" applyFill="1" applyBorder="1" applyAlignment="1">
      <alignment horizontal="center"/>
    </xf>
    <xf numFmtId="0" fontId="57" fillId="5" borderId="111" xfId="10" applyFont="1" applyFill="1" applyBorder="1" applyAlignment="1">
      <alignment horizontal="center"/>
    </xf>
    <xf numFmtId="0" fontId="57" fillId="5" borderId="106" xfId="10" applyFont="1" applyFill="1" applyBorder="1" applyAlignment="1">
      <alignment horizontal="center"/>
    </xf>
    <xf numFmtId="0" fontId="57" fillId="5" borderId="0" xfId="10" applyFont="1" applyFill="1" applyAlignment="1">
      <alignment horizontal="center"/>
    </xf>
    <xf numFmtId="0" fontId="57" fillId="5" borderId="108" xfId="10" applyFont="1" applyFill="1" applyBorder="1" applyAlignment="1">
      <alignment horizontal="center"/>
    </xf>
    <xf numFmtId="0" fontId="57" fillId="5" borderId="10" xfId="10" applyFont="1" applyFill="1" applyBorder="1" applyAlignment="1">
      <alignment horizontal="center"/>
    </xf>
    <xf numFmtId="0" fontId="57" fillId="5" borderId="112" xfId="10" applyFont="1" applyFill="1" applyBorder="1" applyAlignment="1">
      <alignment horizontal="left"/>
    </xf>
    <xf numFmtId="0" fontId="57" fillId="5" borderId="113" xfId="10" applyFont="1" applyFill="1" applyBorder="1" applyAlignment="1">
      <alignment horizontal="left"/>
    </xf>
    <xf numFmtId="0" fontId="57" fillId="5" borderId="114" xfId="10" applyFont="1" applyFill="1" applyBorder="1" applyAlignment="1">
      <alignment horizontal="left"/>
    </xf>
    <xf numFmtId="0" fontId="59" fillId="5" borderId="115" xfId="10" applyFont="1" applyFill="1" applyBorder="1" applyAlignment="1">
      <alignment horizontal="center"/>
    </xf>
    <xf numFmtId="0" fontId="59" fillId="0" borderId="115" xfId="10" applyFont="1" applyBorder="1" applyAlignment="1">
      <alignment horizontal="center"/>
    </xf>
    <xf numFmtId="0" fontId="59" fillId="0" borderId="89" xfId="10" applyFont="1" applyBorder="1" applyAlignment="1">
      <alignment horizontal="center"/>
    </xf>
    <xf numFmtId="0" fontId="57" fillId="5" borderId="98" xfId="10" applyFont="1" applyFill="1" applyBorder="1" applyAlignment="1">
      <alignment horizontal="left"/>
    </xf>
    <xf numFmtId="0" fontId="57" fillId="5" borderId="91" xfId="10" applyFont="1" applyFill="1" applyBorder="1" applyAlignment="1">
      <alignment horizontal="left"/>
    </xf>
    <xf numFmtId="0" fontId="57" fillId="5" borderId="92" xfId="10" applyFont="1" applyFill="1" applyBorder="1" applyAlignment="1">
      <alignment horizontal="left"/>
    </xf>
    <xf numFmtId="0" fontId="59" fillId="0" borderId="88" xfId="10" applyFont="1" applyBorder="1" applyAlignment="1">
      <alignment horizontal="center"/>
    </xf>
    <xf numFmtId="183" fontId="59" fillId="5" borderId="88" xfId="10" applyNumberFormat="1" applyFont="1" applyFill="1" applyBorder="1" applyAlignment="1">
      <alignment horizontal="center"/>
    </xf>
    <xf numFmtId="183" fontId="59" fillId="5" borderId="89" xfId="10" applyNumberFormat="1" applyFont="1" applyFill="1" applyBorder="1" applyAlignment="1">
      <alignment horizontal="center"/>
    </xf>
    <xf numFmtId="1" fontId="59" fillId="5" borderId="88" xfId="10" applyNumberFormat="1" applyFont="1" applyFill="1" applyBorder="1" applyAlignment="1">
      <alignment horizontal="center"/>
    </xf>
    <xf numFmtId="1" fontId="59" fillId="5" borderId="89" xfId="10" applyNumberFormat="1" applyFont="1" applyFill="1" applyBorder="1" applyAlignment="1">
      <alignment horizontal="center"/>
    </xf>
    <xf numFmtId="1" fontId="59" fillId="5" borderId="123" xfId="10" applyNumberFormat="1" applyFont="1" applyFill="1" applyBorder="1" applyAlignment="1">
      <alignment horizontal="center"/>
    </xf>
    <xf numFmtId="1" fontId="59" fillId="5" borderId="124" xfId="10" applyNumberFormat="1" applyFont="1" applyFill="1" applyBorder="1" applyAlignment="1">
      <alignment horizontal="center"/>
    </xf>
    <xf numFmtId="0" fontId="57" fillId="0" borderId="98" xfId="10" applyFont="1" applyBorder="1" applyAlignment="1">
      <alignment horizontal="left"/>
    </xf>
    <xf numFmtId="0" fontId="57" fillId="0" borderId="91" xfId="10" applyFont="1" applyBorder="1" applyAlignment="1">
      <alignment horizontal="left"/>
    </xf>
    <xf numFmtId="0" fontId="57" fillId="0" borderId="92" xfId="10" applyFont="1" applyBorder="1" applyAlignment="1">
      <alignment horizontal="left"/>
    </xf>
    <xf numFmtId="167" fontId="59" fillId="0" borderId="88" xfId="10" applyNumberFormat="1" applyFont="1" applyBorder="1" applyAlignment="1">
      <alignment horizontal="center"/>
    </xf>
    <xf numFmtId="167" fontId="59" fillId="0" borderId="89" xfId="10" applyNumberFormat="1" applyFont="1" applyBorder="1" applyAlignment="1">
      <alignment horizontal="center"/>
    </xf>
    <xf numFmtId="0" fontId="57" fillId="0" borderId="86" xfId="10" applyFont="1" applyBorder="1" applyAlignment="1">
      <alignment horizontal="left"/>
    </xf>
    <xf numFmtId="0" fontId="57" fillId="0" borderId="87" xfId="10" applyFont="1" applyBorder="1" applyAlignment="1">
      <alignment horizontal="left"/>
    </xf>
    <xf numFmtId="2" fontId="59" fillId="0" borderId="88" xfId="10" applyNumberFormat="1" applyFont="1" applyBorder="1" applyAlignment="1">
      <alignment horizontal="center"/>
    </xf>
    <xf numFmtId="2" fontId="59" fillId="0" borderId="89" xfId="10" applyNumberFormat="1" applyFont="1" applyBorder="1" applyAlignment="1">
      <alignment horizontal="center"/>
    </xf>
    <xf numFmtId="0" fontId="44" fillId="0" borderId="0" xfId="10" applyFont="1" applyAlignment="1">
      <alignment horizontal="center"/>
    </xf>
    <xf numFmtId="0" fontId="47" fillId="5" borderId="0" xfId="10" applyFont="1" applyFill="1" applyAlignment="1">
      <alignment horizontal="center"/>
    </xf>
    <xf numFmtId="0" fontId="49" fillId="5" borderId="16" xfId="10" applyFont="1" applyFill="1" applyBorder="1" applyAlignment="1">
      <alignment horizontal="center"/>
    </xf>
    <xf numFmtId="0" fontId="55" fillId="5" borderId="3" xfId="10" applyFont="1" applyFill="1" applyBorder="1" applyAlignment="1">
      <alignment horizontal="left"/>
    </xf>
    <xf numFmtId="0" fontId="55" fillId="5" borderId="5" xfId="10" applyFont="1" applyFill="1" applyBorder="1" applyAlignment="1">
      <alignment horizontal="left"/>
    </xf>
    <xf numFmtId="0" fontId="57" fillId="0" borderId="82" xfId="10" applyFont="1" applyBorder="1" applyAlignment="1">
      <alignment horizontal="left"/>
    </xf>
    <xf numFmtId="0" fontId="57" fillId="0" borderId="83" xfId="10" applyFont="1" applyBorder="1" applyAlignment="1">
      <alignment horizontal="left"/>
    </xf>
    <xf numFmtId="0" fontId="58" fillId="5" borderId="84" xfId="10" applyFont="1" applyFill="1" applyBorder="1" applyAlignment="1">
      <alignment horizontal="center"/>
    </xf>
    <xf numFmtId="0" fontId="58" fillId="5" borderId="80" xfId="10" applyFont="1" applyFill="1" applyBorder="1" applyAlignment="1">
      <alignment horizontal="center"/>
    </xf>
    <xf numFmtId="164" fontId="21" fillId="0" borderId="28" xfId="2" applyFont="1" applyBorder="1" applyAlignment="1" applyProtection="1">
      <alignment horizontal="center"/>
      <protection locked="0"/>
    </xf>
    <xf numFmtId="14" fontId="5" fillId="0" borderId="28" xfId="2" quotePrefix="1" applyNumberFormat="1" applyFont="1" applyBorder="1" applyAlignment="1" applyProtection="1">
      <alignment horizontal="center"/>
      <protection locked="0"/>
    </xf>
    <xf numFmtId="0" fontId="77" fillId="0" borderId="12" xfId="6" applyFont="1" applyBorder="1" applyAlignment="1">
      <alignment horizontal="center"/>
    </xf>
    <xf numFmtId="0" fontId="77" fillId="0" borderId="24" xfId="6" applyFont="1" applyBorder="1" applyAlignment="1">
      <alignment horizontal="center"/>
    </xf>
    <xf numFmtId="0" fontId="77" fillId="0" borderId="150" xfId="6" applyFont="1" applyBorder="1" applyAlignment="1">
      <alignment horizontal="center"/>
    </xf>
    <xf numFmtId="0" fontId="79" fillId="0" borderId="106" xfId="6" applyFont="1" applyBorder="1" applyAlignment="1">
      <alignment horizontal="center"/>
    </xf>
    <xf numFmtId="0" fontId="79" fillId="0" borderId="0" xfId="6" applyFont="1" applyAlignment="1">
      <alignment horizontal="center"/>
    </xf>
    <xf numFmtId="0" fontId="79" fillId="0" borderId="48" xfId="6" applyFont="1" applyBorder="1" applyAlignment="1">
      <alignment horizontal="center"/>
    </xf>
    <xf numFmtId="0" fontId="82" fillId="0" borderId="106" xfId="6" applyFont="1" applyBorder="1" applyAlignment="1">
      <alignment horizontal="center"/>
    </xf>
    <xf numFmtId="0" fontId="82" fillId="0" borderId="0" xfId="6" applyFont="1" applyAlignment="1">
      <alignment horizontal="center"/>
    </xf>
    <xf numFmtId="0" fontId="82" fillId="0" borderId="48" xfId="6" applyFont="1" applyBorder="1" applyAlignment="1">
      <alignment horizontal="center"/>
    </xf>
    <xf numFmtId="0" fontId="82" fillId="0" borderId="106" xfId="7" applyFont="1" applyBorder="1" applyAlignment="1">
      <alignment horizontal="center"/>
    </xf>
    <xf numFmtId="0" fontId="82" fillId="0" borderId="0" xfId="7" applyFont="1" applyAlignment="1">
      <alignment horizontal="center"/>
    </xf>
    <xf numFmtId="0" fontId="82" fillId="0" borderId="48" xfId="7" applyFont="1" applyBorder="1" applyAlignment="1">
      <alignment horizontal="center"/>
    </xf>
    <xf numFmtId="164" fontId="14" fillId="0" borderId="25" xfId="1" applyNumberFormat="1" applyFont="1" applyBorder="1" applyAlignment="1">
      <alignment horizontal="right"/>
    </xf>
    <xf numFmtId="164" fontId="14" fillId="0" borderId="26" xfId="1" applyNumberFormat="1" applyFont="1" applyBorder="1" applyAlignment="1">
      <alignment horizontal="right"/>
    </xf>
    <xf numFmtId="177" fontId="5" fillId="0" borderId="26" xfId="1" applyNumberFormat="1" applyFont="1" applyBorder="1" applyAlignment="1">
      <alignment horizontal="center"/>
    </xf>
    <xf numFmtId="177" fontId="5" fillId="0" borderId="27" xfId="1" applyNumberFormat="1" applyFont="1" applyBorder="1" applyAlignment="1">
      <alignment horizontal="center"/>
    </xf>
    <xf numFmtId="164" fontId="5" fillId="0" borderId="0" xfId="4" applyNumberFormat="1" applyFont="1" applyAlignment="1">
      <alignment horizontal="center"/>
    </xf>
    <xf numFmtId="164" fontId="5" fillId="0" borderId="0" xfId="4" applyNumberFormat="1" applyFont="1" applyAlignment="1">
      <alignment horizontal="center" wrapText="1"/>
    </xf>
    <xf numFmtId="164" fontId="19" fillId="0" borderId="0" xfId="4" applyNumberFormat="1" applyFont="1" applyAlignment="1">
      <alignment horizontal="center"/>
    </xf>
    <xf numFmtId="164" fontId="14" fillId="0" borderId="23" xfId="1" applyNumberFormat="1" applyFont="1" applyBorder="1" applyAlignment="1">
      <alignment horizontal="right"/>
    </xf>
    <xf numFmtId="164" fontId="14" fillId="0" borderId="24" xfId="1" applyNumberFormat="1" applyFont="1" applyBorder="1" applyAlignment="1">
      <alignment horizontal="right"/>
    </xf>
    <xf numFmtId="171" fontId="5" fillId="0" borderId="24" xfId="1" applyNumberFormat="1" applyFont="1" applyBorder="1" applyAlignment="1">
      <alignment horizontal="center"/>
    </xf>
    <xf numFmtId="171" fontId="5" fillId="0" borderId="13" xfId="1" applyNumberFormat="1" applyFont="1" applyBorder="1" applyAlignment="1">
      <alignment horizontal="center"/>
    </xf>
    <xf numFmtId="177" fontId="5" fillId="0" borderId="24" xfId="1" applyNumberFormat="1" applyFont="1" applyBorder="1" applyAlignment="1">
      <alignment horizontal="center"/>
    </xf>
    <xf numFmtId="177" fontId="5" fillId="0" borderId="13" xfId="1" applyNumberFormat="1" applyFont="1" applyBorder="1" applyAlignment="1">
      <alignment horizontal="center"/>
    </xf>
    <xf numFmtId="178" fontId="5" fillId="0" borderId="24" xfId="1" applyNumberFormat="1" applyFont="1" applyBorder="1" applyAlignment="1">
      <alignment horizontal="center"/>
    </xf>
    <xf numFmtId="178" fontId="5" fillId="0" borderId="13" xfId="1" applyNumberFormat="1" applyFont="1" applyBorder="1" applyAlignment="1">
      <alignment horizontal="center"/>
    </xf>
    <xf numFmtId="39" fontId="14" fillId="0" borderId="23" xfId="1" applyNumberFormat="1" applyFont="1" applyBorder="1" applyAlignment="1">
      <alignment horizontal="right"/>
    </xf>
    <xf numFmtId="39" fontId="14" fillId="0" borderId="24" xfId="1" applyNumberFormat="1" applyFont="1" applyBorder="1" applyAlignment="1">
      <alignment horizontal="right"/>
    </xf>
    <xf numFmtId="174" fontId="5" fillId="0" borderId="24" xfId="1" applyNumberFormat="1" applyFont="1" applyBorder="1" applyAlignment="1">
      <alignment horizontal="center"/>
    </xf>
    <xf numFmtId="174" fontId="5" fillId="0" borderId="13" xfId="1" applyNumberFormat="1" applyFont="1" applyBorder="1" applyAlignment="1">
      <alignment horizontal="center"/>
    </xf>
    <xf numFmtId="168" fontId="5" fillId="0" borderId="24" xfId="1" applyNumberFormat="1" applyFont="1" applyBorder="1" applyAlignment="1">
      <alignment horizontal="center"/>
    </xf>
    <xf numFmtId="168" fontId="5" fillId="0" borderId="13" xfId="1" applyNumberFormat="1" applyFont="1" applyBorder="1" applyAlignment="1">
      <alignment horizontal="center"/>
    </xf>
    <xf numFmtId="167" fontId="14" fillId="0" borderId="23" xfId="1" applyNumberFormat="1" applyFont="1" applyBorder="1" applyAlignment="1">
      <alignment horizontal="right" vertical="center"/>
    </xf>
    <xf numFmtId="167" fontId="14" fillId="0" borderId="24" xfId="1" applyNumberFormat="1" applyFont="1" applyBorder="1" applyAlignment="1">
      <alignment horizontal="right" vertical="center"/>
    </xf>
    <xf numFmtId="165" fontId="3" fillId="0" borderId="12" xfId="1" quotePrefix="1" applyNumberFormat="1" applyFont="1" applyBorder="1" applyAlignment="1">
      <alignment horizontal="center"/>
    </xf>
    <xf numFmtId="165" fontId="3" fillId="0" borderId="13" xfId="1" quotePrefix="1" applyNumberFormat="1" applyFont="1" applyBorder="1" applyAlignment="1">
      <alignment horizontal="center"/>
    </xf>
    <xf numFmtId="164" fontId="5" fillId="0" borderId="7" xfId="1" applyNumberFormat="1" applyFont="1" applyBorder="1" applyAlignment="1">
      <alignment horizontal="center"/>
    </xf>
    <xf numFmtId="164" fontId="6" fillId="0" borderId="0" xfId="1" applyNumberFormat="1" applyFont="1" applyAlignment="1">
      <alignment horizontal="center"/>
    </xf>
    <xf numFmtId="164" fontId="6" fillId="0" borderId="14" xfId="1" applyNumberFormat="1" applyFont="1" applyBorder="1" applyAlignment="1">
      <alignment horizontal="center"/>
    </xf>
    <xf numFmtId="164" fontId="5" fillId="0" borderId="0" xfId="1" applyNumberFormat="1" applyFont="1" applyAlignment="1">
      <alignment horizontal="center"/>
    </xf>
    <xf numFmtId="164" fontId="5" fillId="0" borderId="14" xfId="1" applyNumberFormat="1" applyFont="1" applyBorder="1" applyAlignment="1">
      <alignment horizontal="center"/>
    </xf>
    <xf numFmtId="164" fontId="14" fillId="0" borderId="3" xfId="1" applyNumberFormat="1" applyFont="1" applyBorder="1" applyAlignment="1">
      <alignment horizontal="right"/>
    </xf>
    <xf numFmtId="164" fontId="14" fillId="0" borderId="5" xfId="1" applyNumberFormat="1" applyFont="1" applyBorder="1" applyAlignment="1">
      <alignment horizontal="right"/>
    </xf>
    <xf numFmtId="168" fontId="5" fillId="0" borderId="2" xfId="1" applyNumberFormat="1" applyFont="1" applyBorder="1" applyAlignment="1">
      <alignment horizontal="center"/>
    </xf>
    <xf numFmtId="168" fontId="5" fillId="0" borderId="22" xfId="1" applyNumberFormat="1" applyFont="1" applyBorder="1" applyAlignment="1">
      <alignment horizontal="center"/>
    </xf>
    <xf numFmtId="0" fontId="21" fillId="0" borderId="28" xfId="8" applyFont="1" applyBorder="1" applyAlignment="1" applyProtection="1">
      <alignment horizontal="center"/>
      <protection locked="0"/>
    </xf>
    <xf numFmtId="14" fontId="5" fillId="0" borderId="28" xfId="8" quotePrefix="1" applyNumberFormat="1" applyBorder="1" applyAlignment="1" applyProtection="1">
      <alignment horizontal="center"/>
      <protection locked="0"/>
    </xf>
    <xf numFmtId="164" fontId="15" fillId="0" borderId="3" xfId="5" applyNumberFormat="1" applyFont="1" applyBorder="1" applyAlignment="1">
      <alignment horizontal="right"/>
    </xf>
    <xf numFmtId="164" fontId="15" fillId="0" borderId="5" xfId="5" applyNumberFormat="1" applyFont="1" applyBorder="1" applyAlignment="1">
      <alignment horizontal="right"/>
    </xf>
    <xf numFmtId="164" fontId="15" fillId="0" borderId="6" xfId="5" applyNumberFormat="1" applyFont="1" applyBorder="1" applyAlignment="1">
      <alignment horizontal="right"/>
    </xf>
    <xf numFmtId="164" fontId="15" fillId="0" borderId="23" xfId="5" applyNumberFormat="1" applyFont="1" applyBorder="1" applyAlignment="1">
      <alignment horizontal="right"/>
    </xf>
    <xf numFmtId="164" fontId="15" fillId="0" borderId="24" xfId="5" applyNumberFormat="1" applyFont="1" applyBorder="1" applyAlignment="1">
      <alignment horizontal="right"/>
    </xf>
    <xf numFmtId="164" fontId="15" fillId="0" borderId="13" xfId="5" applyNumberFormat="1" applyFont="1" applyBorder="1" applyAlignment="1">
      <alignment horizontal="right"/>
    </xf>
    <xf numFmtId="164" fontId="24" fillId="0" borderId="25" xfId="5" applyNumberFormat="1" applyFont="1" applyBorder="1" applyAlignment="1">
      <alignment horizontal="right"/>
    </xf>
    <xf numFmtId="164" fontId="24" fillId="0" borderId="26" xfId="5" applyNumberFormat="1" applyFont="1" applyBorder="1" applyAlignment="1">
      <alignment horizontal="right"/>
    </xf>
    <xf numFmtId="164" fontId="24" fillId="0" borderId="27" xfId="5" applyNumberFormat="1" applyFont="1" applyBorder="1" applyAlignment="1">
      <alignment horizontal="right"/>
    </xf>
    <xf numFmtId="164" fontId="28" fillId="0" borderId="0" xfId="5" applyNumberFormat="1" applyFont="1" applyAlignment="1">
      <alignment horizontal="center"/>
    </xf>
    <xf numFmtId="164" fontId="10" fillId="0" borderId="15" xfId="5" applyNumberFormat="1" applyBorder="1" applyAlignment="1">
      <alignment horizontal="center"/>
    </xf>
    <xf numFmtId="164" fontId="10" fillId="0" borderId="16" xfId="5" applyNumberFormat="1" applyBorder="1" applyAlignment="1">
      <alignment horizontal="center"/>
    </xf>
    <xf numFmtId="164" fontId="10" fillId="0" borderId="18" xfId="5" applyNumberFormat="1" applyBorder="1" applyAlignment="1">
      <alignment horizontal="center"/>
    </xf>
    <xf numFmtId="0" fontId="25" fillId="0" borderId="0" xfId="5" applyFont="1" applyAlignment="1">
      <alignment horizontal="left"/>
    </xf>
    <xf numFmtId="0" fontId="25" fillId="0" borderId="48" xfId="5" applyFont="1" applyBorder="1" applyAlignment="1">
      <alignment horizontal="left"/>
    </xf>
    <xf numFmtId="0" fontId="25" fillId="0" borderId="14" xfId="5" applyFont="1" applyBorder="1" applyAlignment="1">
      <alignment horizontal="left"/>
    </xf>
    <xf numFmtId="0" fontId="25" fillId="0" borderId="16" xfId="5" applyFont="1" applyBorder="1" applyAlignment="1">
      <alignment horizontal="left"/>
    </xf>
    <xf numFmtId="0" fontId="25" fillId="0" borderId="17" xfId="5" applyFont="1" applyBorder="1" applyAlignment="1">
      <alignment horizontal="left"/>
    </xf>
    <xf numFmtId="0" fontId="25" fillId="0" borderId="18" xfId="5" applyFont="1" applyBorder="1" applyAlignment="1">
      <alignment horizontal="left"/>
    </xf>
    <xf numFmtId="164" fontId="10" fillId="0" borderId="31" xfId="5" applyNumberFormat="1" applyBorder="1" applyAlignment="1">
      <alignment horizontal="center"/>
    </xf>
    <xf numFmtId="164" fontId="10" fillId="0" borderId="32" xfId="5" applyNumberFormat="1" applyBorder="1" applyAlignment="1">
      <alignment horizontal="center"/>
    </xf>
    <xf numFmtId="164" fontId="10" fillId="0" borderId="33" xfId="5" applyNumberFormat="1" applyBorder="1" applyAlignment="1">
      <alignment horizontal="center"/>
    </xf>
    <xf numFmtId="49" fontId="15" fillId="0" borderId="35" xfId="5" applyNumberFormat="1" applyFont="1" applyBorder="1" applyAlignment="1">
      <alignment horizontal="left"/>
    </xf>
    <xf numFmtId="181" fontId="15" fillId="0" borderId="35" xfId="5" applyNumberFormat="1" applyFont="1" applyBorder="1" applyAlignment="1">
      <alignment horizontal="left"/>
    </xf>
    <xf numFmtId="181" fontId="15" fillId="0" borderId="36" xfId="5" applyNumberFormat="1" applyFont="1" applyBorder="1" applyAlignment="1">
      <alignment horizontal="left"/>
    </xf>
    <xf numFmtId="0" fontId="15" fillId="0" borderId="16" xfId="5" applyFont="1" applyBorder="1" applyAlignment="1">
      <alignment horizontal="left"/>
    </xf>
    <xf numFmtId="0" fontId="15" fillId="0" borderId="18" xfId="5" applyFont="1" applyBorder="1" applyAlignment="1">
      <alignment horizontal="left"/>
    </xf>
    <xf numFmtId="164" fontId="15" fillId="0" borderId="16" xfId="5" applyNumberFormat="1" applyFont="1" applyBorder="1" applyAlignment="1">
      <alignment horizontal="center"/>
    </xf>
    <xf numFmtId="164" fontId="15" fillId="0" borderId="18" xfId="5" applyNumberFormat="1" applyFont="1" applyBorder="1" applyAlignment="1">
      <alignment horizontal="center"/>
    </xf>
    <xf numFmtId="164" fontId="23" fillId="0" borderId="41" xfId="5" applyNumberFormat="1" applyFont="1" applyBorder="1" applyAlignment="1">
      <alignment horizontal="center"/>
    </xf>
    <xf numFmtId="164" fontId="23" fillId="0" borderId="39" xfId="5" applyNumberFormat="1" applyFont="1" applyBorder="1" applyAlignment="1">
      <alignment horizontal="center"/>
    </xf>
    <xf numFmtId="164" fontId="23" fillId="0" borderId="42" xfId="5" applyNumberFormat="1" applyFont="1" applyBorder="1" applyAlignment="1">
      <alignment horizontal="center"/>
    </xf>
    <xf numFmtId="164" fontId="23" fillId="0" borderId="38" xfId="5" applyNumberFormat="1" applyFont="1" applyBorder="1" applyAlignment="1">
      <alignment horizontal="center"/>
    </xf>
    <xf numFmtId="164" fontId="23" fillId="0" borderId="40" xfId="5" applyNumberFormat="1" applyFont="1" applyBorder="1" applyAlignment="1">
      <alignment horizontal="center"/>
    </xf>
    <xf numFmtId="0" fontId="25" fillId="0" borderId="44" xfId="5" applyFont="1" applyBorder="1" applyAlignment="1">
      <alignment horizontal="left"/>
    </xf>
    <xf numFmtId="0" fontId="25" fillId="0" borderId="45" xfId="5" applyFont="1" applyBorder="1" applyAlignment="1">
      <alignment horizontal="left"/>
    </xf>
    <xf numFmtId="0" fontId="25" fillId="0" borderId="47" xfId="5" applyFont="1" applyBorder="1" applyAlignment="1">
      <alignment horizontal="left"/>
    </xf>
    <xf numFmtId="0" fontId="15" fillId="0" borderId="38" xfId="5" applyFont="1" applyBorder="1" applyAlignment="1">
      <alignment horizontal="center"/>
    </xf>
    <xf numFmtId="0" fontId="15" fillId="0" borderId="39" xfId="5" applyFont="1" applyBorder="1" applyAlignment="1">
      <alignment horizontal="center"/>
    </xf>
    <xf numFmtId="0" fontId="15" fillId="0" borderId="40" xfId="5" applyFont="1" applyBorder="1" applyAlignment="1">
      <alignment horizontal="center"/>
    </xf>
    <xf numFmtId="164" fontId="3" fillId="0" borderId="29" xfId="5" applyNumberFormat="1" applyFont="1" applyBorder="1" applyAlignment="1">
      <alignment horizontal="center"/>
    </xf>
    <xf numFmtId="164" fontId="3" fillId="0" borderId="6" xfId="5" applyNumberFormat="1" applyFont="1" applyBorder="1" applyAlignment="1">
      <alignment horizontal="center"/>
    </xf>
    <xf numFmtId="164" fontId="3" fillId="0" borderId="12" xfId="5" quotePrefix="1" applyNumberFormat="1" applyFont="1" applyBorder="1" applyAlignment="1">
      <alignment horizontal="center"/>
    </xf>
    <xf numFmtId="164" fontId="10" fillId="0" borderId="13" xfId="5" applyNumberFormat="1" applyBorder="1" applyAlignment="1">
      <alignment horizontal="center"/>
    </xf>
    <xf numFmtId="164" fontId="3" fillId="0" borderId="12" xfId="5" applyNumberFormat="1" applyFont="1" applyBorder="1" applyAlignment="1">
      <alignment horizontal="center"/>
    </xf>
    <xf numFmtId="164" fontId="3" fillId="0" borderId="13" xfId="5" quotePrefix="1" applyNumberFormat="1" applyFont="1" applyBorder="1" applyAlignment="1">
      <alignment horizontal="center"/>
    </xf>
    <xf numFmtId="164" fontId="3" fillId="0" borderId="13" xfId="5" applyNumberFormat="1" applyFont="1" applyBorder="1" applyAlignment="1">
      <alignment horizontal="center"/>
    </xf>
    <xf numFmtId="164" fontId="23" fillId="0" borderId="30" xfId="5" applyNumberFormat="1" applyFont="1" applyBorder="1" applyAlignment="1">
      <alignment horizontal="center"/>
    </xf>
    <xf numFmtId="164" fontId="23" fillId="0" borderId="27" xfId="5" applyNumberFormat="1" applyFont="1" applyBorder="1" applyAlignment="1">
      <alignment horizontal="center"/>
    </xf>
    <xf numFmtId="164" fontId="14" fillId="0" borderId="31" xfId="5" applyNumberFormat="1" applyFont="1" applyBorder="1" applyAlignment="1">
      <alignment horizontal="center"/>
    </xf>
    <xf numFmtId="164" fontId="14" fillId="0" borderId="32" xfId="5" applyNumberFormat="1" applyFont="1" applyBorder="1" applyAlignment="1">
      <alignment horizontal="center"/>
    </xf>
    <xf numFmtId="164" fontId="14" fillId="0" borderId="33" xfId="5" applyNumberFormat="1" applyFont="1" applyBorder="1" applyAlignment="1">
      <alignment horizontal="center"/>
    </xf>
    <xf numFmtId="0" fontId="81" fillId="0" borderId="12" xfId="6" applyFont="1" applyBorder="1" applyAlignment="1">
      <alignment horizontal="right"/>
    </xf>
    <xf numFmtId="0" fontId="81" fillId="0" borderId="24" xfId="6" applyFont="1" applyBorder="1" applyAlignment="1">
      <alignment horizontal="right"/>
    </xf>
    <xf numFmtId="0" fontId="51" fillId="0" borderId="0" xfId="6" applyFont="1" applyAlignment="1">
      <alignment horizontal="center"/>
    </xf>
    <xf numFmtId="0" fontId="85" fillId="0" borderId="0" xfId="6" applyFont="1" applyAlignment="1">
      <alignment horizontal="right"/>
    </xf>
    <xf numFmtId="0" fontId="81" fillId="0" borderId="53" xfId="6" applyFont="1" applyBorder="1" applyAlignment="1">
      <alignment horizontal="center"/>
    </xf>
    <xf numFmtId="0" fontId="51" fillId="0" borderId="12" xfId="6" applyFont="1" applyBorder="1" applyAlignment="1">
      <alignment horizontal="center"/>
    </xf>
    <xf numFmtId="0" fontId="51" fillId="0" borderId="24" xfId="6" applyFont="1" applyBorder="1" applyAlignment="1">
      <alignment horizontal="center"/>
    </xf>
    <xf numFmtId="0" fontId="51" fillId="0" borderId="150" xfId="6" applyFont="1" applyBorder="1" applyAlignment="1">
      <alignment horizontal="center"/>
    </xf>
    <xf numFmtId="0" fontId="85" fillId="0" borderId="53" xfId="6" applyFont="1" applyBorder="1" applyAlignment="1">
      <alignment horizontal="center"/>
    </xf>
    <xf numFmtId="0" fontId="32" fillId="0" borderId="0" xfId="6" applyFont="1" applyAlignment="1">
      <alignment horizontal="center"/>
    </xf>
    <xf numFmtId="0" fontId="86" fillId="0" borderId="12" xfId="6" applyFont="1" applyBorder="1" applyAlignment="1">
      <alignment horizontal="center"/>
    </xf>
    <xf numFmtId="0" fontId="26" fillId="6" borderId="35" xfId="7" applyFill="1" applyBorder="1" applyAlignment="1">
      <alignment horizontal="center" vertical="center" textRotation="180"/>
    </xf>
    <xf numFmtId="0" fontId="26" fillId="6" borderId="0" xfId="7" applyFill="1" applyAlignment="1">
      <alignment horizontal="center" vertical="center" textRotation="180"/>
    </xf>
  </cellXfs>
  <cellStyles count="13">
    <cellStyle name="Normal" xfId="0" builtinId="0"/>
    <cellStyle name="Normal 2" xfId="10" xr:uid="{C2BB065F-5016-4DF9-85A4-122D5505DF6F}"/>
    <cellStyle name="Normal 2 2" xfId="7" xr:uid="{D644AD11-59C9-4E45-B5D5-259E6EE5B65F}"/>
    <cellStyle name="Normal 3" xfId="6" xr:uid="{9CF020FB-5825-4FC4-B01A-A655DB10D04A}"/>
    <cellStyle name="Normal 4" xfId="2" xr:uid="{33A38442-F95C-4E62-9AC4-28BA1D513B71}"/>
    <cellStyle name="Normal 4 2" xfId="8" xr:uid="{BB005882-3AED-4E4F-9971-6F5660050B17}"/>
    <cellStyle name="Normal 5" xfId="3" xr:uid="{7B15568E-B69D-48FE-8F52-5AE7497AB5D8}"/>
    <cellStyle name="Normal 5 2" xfId="9" xr:uid="{9616F4FB-315B-4BA2-9EF5-38CCB80FEE45}"/>
    <cellStyle name="Normal 6" xfId="12" xr:uid="{F20DCB3D-660B-4BE6-BA81-B254CD5FFFED}"/>
    <cellStyle name="Normal_MPCF1082 2" xfId="5" xr:uid="{5FDF48B2-D6AA-4D6A-BED6-F1EBAF7314E3}"/>
    <cellStyle name="Normal_MPCF1109" xfId="1" xr:uid="{DA7C91FD-AACD-45E2-A3CA-FCC6A6BA33E4}"/>
    <cellStyle name="Normal_OPTEST" xfId="11" xr:uid="{5F4D87CF-7FA6-4C65-B982-60DCD0C48D9C}"/>
    <cellStyle name="Normal_Rev. 1" xfId="4" xr:uid="{F39C5DB7-B5B7-4DB9-A668-EACB8466C0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 0.80V'!$A$59:$A$68,'DesignSheet 0.80V'!$D$59:$D$62)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0.80V'!$B$59:$B$68,'DesignSheet 0.80V'!$E$59:$E$62)</c:f>
              <c:numCache>
                <c:formatCode>0.0</c:formatCode>
                <c:ptCount val="14"/>
                <c:pt idx="0">
                  <c:v>0</c:v>
                </c:pt>
                <c:pt idx="1">
                  <c:v>115.01202362316049</c:v>
                </c:pt>
                <c:pt idx="2">
                  <c:v>214.53889583773841</c:v>
                </c:pt>
                <c:pt idx="3">
                  <c:v>161.50346320836732</c:v>
                </c:pt>
                <c:pt idx="4">
                  <c:v>133.05618772734911</c:v>
                </c:pt>
                <c:pt idx="5">
                  <c:v>119.54839698107502</c:v>
                </c:pt>
                <c:pt idx="6">
                  <c:v>108.54344351232167</c:v>
                </c:pt>
                <c:pt idx="7">
                  <c:v>103.37863881233119</c:v>
                </c:pt>
                <c:pt idx="8">
                  <c:v>99.152485916308748</c:v>
                </c:pt>
                <c:pt idx="9">
                  <c:v>95.091446269397508</c:v>
                </c:pt>
                <c:pt idx="10">
                  <c:v>91.216488622372395</c:v>
                </c:pt>
                <c:pt idx="11">
                  <c:v>87.622179146170183</c:v>
                </c:pt>
                <c:pt idx="12">
                  <c:v>84.354113979435269</c:v>
                </c:pt>
                <c:pt idx="13">
                  <c:v>81.412753888723529</c:v>
                </c:pt>
              </c:numCache>
            </c:numRef>
          </c:yVal>
          <c:smooth val="1"/>
          <c:extLst>
            <c:ext xmlns:c16="http://schemas.microsoft.com/office/drawing/2014/chart" uri="{C3380CC4-5D6E-409C-BE32-E72D297353CC}">
              <c16:uniqueId val="{00000000-03F5-4107-8742-C65CBDD19A89}"/>
            </c:ext>
          </c:extLst>
        </c:ser>
        <c:dLbls>
          <c:showLegendKey val="0"/>
          <c:showVal val="0"/>
          <c:showCatName val="0"/>
          <c:showSerName val="0"/>
          <c:showPercent val="0"/>
          <c:showBubbleSize val="0"/>
        </c:dLbls>
        <c:axId val="2107044792"/>
        <c:axId val="1"/>
      </c:scatterChart>
      <c:scatterChart>
        <c:scatterStyle val="lineMarker"/>
        <c:varyColors val="0"/>
        <c:ser>
          <c:idx val="1"/>
          <c:order val="1"/>
          <c:spPr>
            <a:ln w="12700">
              <a:solidFill>
                <a:srgbClr val="000000"/>
              </a:solidFill>
              <a:prstDash val="sysDash"/>
            </a:ln>
          </c:spPr>
          <c:marker>
            <c:symbol val="none"/>
          </c:marker>
          <c:xVal>
            <c:numRef>
              <c:f>('DesignSheet 0.80V'!$A$59:$A$68,'DesignSheet 0.80V'!$D$59:$D$62)</c:f>
              <c:numCache>
                <c:formatCode>0.000</c:formatCode>
                <c:ptCount val="14"/>
                <c:pt idx="0" formatCode="0.00">
                  <c:v>0</c:v>
                </c:pt>
                <c:pt idx="1">
                  <c:v>0.01</c:v>
                </c:pt>
                <c:pt idx="2">
                  <c:v>0.05</c:v>
                </c:pt>
                <c:pt idx="3" formatCode="0.00">
                  <c:v>0.1</c:v>
                </c:pt>
                <c:pt idx="4" formatCode="0.00">
                  <c:v>0.15</c:v>
                </c:pt>
                <c:pt idx="5" formatCode="0.00">
                  <c:v>0.2</c:v>
                </c:pt>
                <c:pt idx="6" formatCode="0.00">
                  <c:v>0.3</c:v>
                </c:pt>
                <c:pt idx="7" formatCode="0.00">
                  <c:v>0.4</c:v>
                </c:pt>
                <c:pt idx="8" formatCode="0.00">
                  <c:v>0.5</c:v>
                </c:pt>
                <c:pt idx="9" formatCode="0.00">
                  <c:v>0.6</c:v>
                </c:pt>
                <c:pt idx="10" formatCode="0.00">
                  <c:v>0.7</c:v>
                </c:pt>
                <c:pt idx="11" formatCode="0.00">
                  <c:v>0.8</c:v>
                </c:pt>
                <c:pt idx="12" formatCode="0.00">
                  <c:v>0.9</c:v>
                </c:pt>
                <c:pt idx="13" formatCode="0.00">
                  <c:v>1</c:v>
                </c:pt>
              </c:numCache>
            </c:numRef>
          </c:xVal>
          <c:yVal>
            <c:numRef>
              <c:f>('DesignSheet 0.80V'!$C$59:$C$68,'DesignSheet 0.80V'!$F$59:$F$62)</c:f>
              <c:numCache>
                <c:formatCode>0.0</c:formatCode>
                <c:ptCount val="14"/>
                <c:pt idx="0">
                  <c:v>0</c:v>
                </c:pt>
                <c:pt idx="1">
                  <c:v>152.92433166503906</c:v>
                </c:pt>
                <c:pt idx="2">
                  <c:v>453.46044921875</c:v>
                </c:pt>
                <c:pt idx="3">
                  <c:v>528.88946533203125</c:v>
                </c:pt>
                <c:pt idx="4">
                  <c:v>548.529296875</c:v>
                </c:pt>
                <c:pt idx="5">
                  <c:v>556.39080810546875</c:v>
                </c:pt>
                <c:pt idx="6">
                  <c:v>563.45733642578125</c:v>
                </c:pt>
                <c:pt idx="7">
                  <c:v>567.84759521484375</c:v>
                </c:pt>
                <c:pt idx="8">
                  <c:v>571.6580810546875</c:v>
                </c:pt>
                <c:pt idx="9">
                  <c:v>575.11285400390625</c:v>
                </c:pt>
                <c:pt idx="10">
                  <c:v>578.1939697265625</c:v>
                </c:pt>
                <c:pt idx="11">
                  <c:v>580.90185546875</c:v>
                </c:pt>
                <c:pt idx="12">
                  <c:v>583.26947021484375</c:v>
                </c:pt>
                <c:pt idx="13">
                  <c:v>585.34393310546875</c:v>
                </c:pt>
              </c:numCache>
            </c:numRef>
          </c:yVal>
          <c:smooth val="1"/>
          <c:extLst>
            <c:ext xmlns:c16="http://schemas.microsoft.com/office/drawing/2014/chart" uri="{C3380CC4-5D6E-409C-BE32-E72D297353CC}">
              <c16:uniqueId val="{00000001-03F5-4107-8742-C65CBDD19A89}"/>
            </c:ext>
          </c:extLst>
        </c:ser>
        <c:dLbls>
          <c:showLegendKey val="0"/>
          <c:showVal val="0"/>
          <c:showCatName val="0"/>
          <c:showSerName val="0"/>
          <c:showPercent val="0"/>
          <c:showBubbleSize val="0"/>
        </c:dLbls>
        <c:axId val="3"/>
        <c:axId val="4"/>
      </c:scatterChart>
      <c:valAx>
        <c:axId val="2107044792"/>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2107044792"/>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964642350740643"/>
          <c:y val="2.1013255695979179E-2"/>
        </c:manualLayout>
      </c:layout>
      <c:overlay val="0"/>
      <c:spPr>
        <a:noFill/>
        <a:ln w="25400">
          <a:noFill/>
        </a:ln>
      </c:spPr>
    </c:title>
    <c:autoTitleDeleted val="0"/>
    <c:plotArea>
      <c:layout>
        <c:manualLayout>
          <c:layoutTarget val="inner"/>
          <c:xMode val="edge"/>
          <c:yMode val="edge"/>
          <c:x val="0.16982326707498097"/>
          <c:y val="0.1134708694282645"/>
          <c:w val="0.67929306829992386"/>
          <c:h val="0.68082521656958694"/>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157.04400644116546</c:v>
                </c:pt>
                <c:pt idx="2">
                  <c:v>295</c:v>
                </c:pt>
                <c:pt idx="3">
                  <c:v>193.78967114362311</c:v>
                </c:pt>
                <c:pt idx="4">
                  <c:v>151.41916369889555</c:v>
                </c:pt>
                <c:pt idx="5">
                  <c:v>134.44616713254499</c:v>
                </c:pt>
                <c:pt idx="6">
                  <c:v>124.13881799241939</c:v>
                </c:pt>
                <c:pt idx="7">
                  <c:v>120</c:v>
                </c:pt>
                <c:pt idx="8">
                  <c:v>120.03155069628426</c:v>
                </c:pt>
                <c:pt idx="9">
                  <c:v>120.04209458685628</c:v>
                </c:pt>
                <c:pt idx="10">
                  <c:v>120.05618911523686</c:v>
                </c:pt>
                <c:pt idx="11">
                  <c:v>120.07848365900892</c:v>
                </c:pt>
                <c:pt idx="12">
                  <c:v>120.10485098150394</c:v>
                </c:pt>
                <c:pt idx="13">
                  <c:v>120</c:v>
                </c:pt>
              </c:numCache>
            </c:numRef>
          </c:yVal>
          <c:smooth val="1"/>
          <c:extLst>
            <c:ext xmlns:c16="http://schemas.microsoft.com/office/drawing/2014/chart" uri="{C3380CC4-5D6E-409C-BE32-E72D297353CC}">
              <c16:uniqueId val="{00000000-6C17-4599-86F3-848D69E3A6E2}"/>
            </c:ext>
          </c:extLst>
        </c:ser>
        <c:ser>
          <c:idx val="2"/>
          <c:order val="2"/>
          <c:spPr>
            <a:ln w="12700">
              <a:pattFill prst="pct75">
                <a:fgClr>
                  <a:srgbClr val="000000"/>
                </a:fgClr>
                <a:bgClr>
                  <a:srgbClr val="FFFFFF"/>
                </a:bgClr>
              </a:patt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DesignSheet!$A$100:$A$113</c:f>
              <c:numCache>
                <c:formatCode>0.0</c:formatCode>
                <c:ptCount val="14"/>
                <c:pt idx="0">
                  <c:v>97</c:v>
                </c:pt>
                <c:pt idx="1">
                  <c:v>95.080001831054688</c:v>
                </c:pt>
                <c:pt idx="2">
                  <c:v>91.900001525878906</c:v>
                </c:pt>
                <c:pt idx="3">
                  <c:v>83.128570556640625</c:v>
                </c:pt>
                <c:pt idx="4">
                  <c:v>72.842857360839844</c:v>
                </c:pt>
                <c:pt idx="5">
                  <c:v>64.668571472167969</c:v>
                </c:pt>
                <c:pt idx="6">
                  <c:v>41.068572998046875</c:v>
                </c:pt>
                <c:pt idx="7">
                  <c:v>38</c:v>
                </c:pt>
                <c:pt idx="8">
                  <c:v>25</c:v>
                </c:pt>
                <c:pt idx="9">
                  <c:v>14.999999046325684</c:v>
                </c:pt>
                <c:pt idx="10">
                  <c:v>10.100000381469727</c:v>
                </c:pt>
                <c:pt idx="11">
                  <c:v>9.1000003814697266</c:v>
                </c:pt>
                <c:pt idx="12">
                  <c:v>8.399998664855957</c:v>
                </c:pt>
                <c:pt idx="13">
                  <c:v>11.5</c:v>
                </c:pt>
              </c:numCache>
            </c:numRef>
          </c:yVal>
          <c:smooth val="1"/>
          <c:extLst>
            <c:ext xmlns:c16="http://schemas.microsoft.com/office/drawing/2014/chart" uri="{C3380CC4-5D6E-409C-BE32-E72D297353CC}">
              <c16:uniqueId val="{00000001-6C17-4599-86F3-848D69E3A6E2}"/>
            </c:ext>
          </c:extLst>
        </c:ser>
        <c:ser>
          <c:idx val="3"/>
          <c:order val="3"/>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DesignSheet!$B$100:$B$113</c:f>
              <c:numCache>
                <c:formatCode>0.0</c:formatCode>
                <c:ptCount val="14"/>
                <c:pt idx="0">
                  <c:v>0</c:v>
                </c:pt>
                <c:pt idx="1">
                  <c:v>135.82736317936315</c:v>
                </c:pt>
                <c:pt idx="2">
                  <c:v>255.14550392460825</c:v>
                </c:pt>
                <c:pt idx="3">
                  <c:v>167.60869062744709</c:v>
                </c:pt>
                <c:pt idx="4">
                  <c:v>130.96243257779815</c:v>
                </c:pt>
                <c:pt idx="5">
                  <c:v>116.28249162018207</c:v>
                </c:pt>
                <c:pt idx="6">
                  <c:v>107.36766433080339</c:v>
                </c:pt>
                <c:pt idx="7">
                  <c:v>103.78800159645081</c:v>
                </c:pt>
                <c:pt idx="8">
                  <c:v>103.81528706974039</c:v>
                </c:pt>
                <c:pt idx="9">
                  <c:v>103.82440642260282</c:v>
                </c:pt>
                <c:pt idx="10">
                  <c:v>103.83660075262438</c:v>
                </c:pt>
                <c:pt idx="11">
                  <c:v>103.85588204717145</c:v>
                </c:pt>
                <c:pt idx="12">
                  <c:v>103.87868702799098</c:v>
                </c:pt>
                <c:pt idx="13">
                  <c:v>103.78800159645081</c:v>
                </c:pt>
              </c:numCache>
            </c:numRef>
          </c:yVal>
          <c:smooth val="1"/>
          <c:extLst>
            <c:ext xmlns:c16="http://schemas.microsoft.com/office/drawing/2014/chart" uri="{C3380CC4-5D6E-409C-BE32-E72D297353CC}">
              <c16:uniqueId val="{00000002-6C17-4599-86F3-848D69E3A6E2}"/>
            </c:ext>
          </c:extLst>
        </c:ser>
        <c:ser>
          <c:idx val="5"/>
          <c:order val="5"/>
          <c:spPr>
            <a:ln w="12700">
              <a:solidFill>
                <a:srgbClr val="000000"/>
              </a:solidFill>
              <a:prstDash val="solid"/>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DesignSheet!$D$100:$D$113</c:f>
              <c:numCache>
                <c:formatCode>0.0</c:formatCode>
                <c:ptCount val="14"/>
                <c:pt idx="0">
                  <c:v>0</c:v>
                </c:pt>
                <c:pt idx="1">
                  <c:v>100.50816705787673</c:v>
                </c:pt>
                <c:pt idx="2">
                  <c:v>188.80000562667851</c:v>
                </c:pt>
                <c:pt idx="3">
                  <c:v>124.0253943212447</c:v>
                </c:pt>
                <c:pt idx="4">
                  <c:v>96.908264606841286</c:v>
                </c:pt>
                <c:pt idx="5">
                  <c:v>86.045549439357146</c:v>
                </c:pt>
                <c:pt idx="6">
                  <c:v>79.448845141197538</c:v>
                </c:pt>
                <c:pt idx="7">
                  <c:v>76.800002288818376</c:v>
                </c:pt>
                <c:pt idx="8">
                  <c:v>76.820192719107595</c:v>
                </c:pt>
                <c:pt idx="9">
                  <c:v>76.826940766183711</c:v>
                </c:pt>
                <c:pt idx="10">
                  <c:v>76.835964203952628</c:v>
                </c:pt>
                <c:pt idx="11">
                  <c:v>76.850231782502831</c:v>
                </c:pt>
                <c:pt idx="12">
                  <c:v>76.867106783005752</c:v>
                </c:pt>
                <c:pt idx="13">
                  <c:v>76.800002288818376</c:v>
                </c:pt>
              </c:numCache>
            </c:numRef>
          </c:yVal>
          <c:smooth val="1"/>
          <c:extLst>
            <c:ext xmlns:c16="http://schemas.microsoft.com/office/drawing/2014/chart" uri="{C3380CC4-5D6E-409C-BE32-E72D297353CC}">
              <c16:uniqueId val="{00000003-6C17-4599-86F3-848D69E3A6E2}"/>
            </c:ext>
          </c:extLst>
        </c:ser>
        <c:dLbls>
          <c:showLegendKey val="0"/>
          <c:showVal val="0"/>
          <c:showCatName val="0"/>
          <c:showSerName val="0"/>
          <c:showPercent val="0"/>
          <c:showBubbleSize val="0"/>
        </c:dLbls>
        <c:axId val="1192687296"/>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0.24348856508731842</c:v>
                </c:pt>
                <c:pt idx="1">
                  <c:v>168.99800109863281</c:v>
                </c:pt>
                <c:pt idx="2">
                  <c:v>501.40765380859375</c:v>
                </c:pt>
                <c:pt idx="3">
                  <c:v>585.61541748046875</c:v>
                </c:pt>
                <c:pt idx="4">
                  <c:v>607.5997314453125</c:v>
                </c:pt>
                <c:pt idx="5">
                  <c:v>616.3992919921875</c:v>
                </c:pt>
                <c:pt idx="6">
                  <c:v>624.29315185546875</c:v>
                </c:pt>
                <c:pt idx="7">
                  <c:v>629.18438720703125</c:v>
                </c:pt>
                <c:pt idx="8">
                  <c:v>633.42730712890625</c:v>
                </c:pt>
                <c:pt idx="9">
                  <c:v>637.274658203125</c:v>
                </c:pt>
                <c:pt idx="10">
                  <c:v>640.70672607421875</c:v>
                </c:pt>
                <c:pt idx="11">
                  <c:v>643.72344970703125</c:v>
                </c:pt>
                <c:pt idx="12">
                  <c:v>646.361328125</c:v>
                </c:pt>
                <c:pt idx="13">
                  <c:v>648.672607421875</c:v>
                </c:pt>
              </c:numCache>
            </c:numRef>
          </c:yVal>
          <c:smooth val="1"/>
          <c:extLst>
            <c:ext xmlns:c16="http://schemas.microsoft.com/office/drawing/2014/chart" uri="{C3380CC4-5D6E-409C-BE32-E72D297353CC}">
              <c16:uniqueId val="{00000004-6C17-4599-86F3-848D69E3A6E2}"/>
            </c:ext>
          </c:extLst>
        </c:ser>
        <c:ser>
          <c:idx val="4"/>
          <c:order val="4"/>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DesignSheet!$C$100:$C$113</c:f>
              <c:numCache>
                <c:formatCode>0.0</c:formatCode>
                <c:ptCount val="14"/>
                <c:pt idx="0">
                  <c:v>25.588212966918945</c:v>
                </c:pt>
                <c:pt idx="1">
                  <c:v>157.16813659667969</c:v>
                </c:pt>
                <c:pt idx="2">
                  <c:v>466.30911254882813</c:v>
                </c:pt>
                <c:pt idx="3">
                  <c:v>544.622314453125</c:v>
                </c:pt>
                <c:pt idx="4">
                  <c:v>565.0677490234375</c:v>
                </c:pt>
                <c:pt idx="5">
                  <c:v>573.2513427734375</c:v>
                </c:pt>
                <c:pt idx="6">
                  <c:v>580.5926513671875</c:v>
                </c:pt>
                <c:pt idx="7">
                  <c:v>585.1414794921875</c:v>
                </c:pt>
                <c:pt idx="8">
                  <c:v>589.08740234375</c:v>
                </c:pt>
                <c:pt idx="9">
                  <c:v>592.66546630859375</c:v>
                </c:pt>
                <c:pt idx="10">
                  <c:v>595.85723876953125</c:v>
                </c:pt>
                <c:pt idx="11">
                  <c:v>598.662841796875</c:v>
                </c:pt>
                <c:pt idx="12">
                  <c:v>601.11602783203125</c:v>
                </c:pt>
                <c:pt idx="13">
                  <c:v>603.2655029296875</c:v>
                </c:pt>
              </c:numCache>
            </c:numRef>
          </c:yVal>
          <c:smooth val="1"/>
          <c:extLst>
            <c:ext xmlns:c16="http://schemas.microsoft.com/office/drawing/2014/chart" uri="{C3380CC4-5D6E-409C-BE32-E72D297353CC}">
              <c16:uniqueId val="{00000005-6C17-4599-86F3-848D69E3A6E2}"/>
            </c:ext>
          </c:extLst>
        </c:ser>
        <c:ser>
          <c:idx val="6"/>
          <c:order val="6"/>
          <c:spPr>
            <a:ln w="12700">
              <a:solidFill>
                <a:srgbClr val="000000"/>
              </a:solidFill>
              <a:prstDash val="sysDash"/>
            </a:ln>
          </c:spPr>
          <c:marker>
            <c:symbol val="none"/>
          </c:marker>
          <c:xVal>
            <c:numRef>
              <c:f>(DesignSheet!$A$59:$A$68,DesignSheet!$D$59:$D$62)</c:f>
              <c:numCache>
                <c:formatCode>0.000</c:formatCode>
                <c:ptCount val="14"/>
                <c:pt idx="0" formatCode="0.00">
                  <c:v>0</c:v>
                </c:pt>
                <c:pt idx="1">
                  <c:v>7.9999994486570358E-3</c:v>
                </c:pt>
                <c:pt idx="2">
                  <c:v>3.9999999105930328E-2</c:v>
                </c:pt>
                <c:pt idx="3" formatCode="0.00">
                  <c:v>9.1428570449352264E-2</c:v>
                </c:pt>
                <c:pt idx="4" formatCode="0.00">
                  <c:v>0.1428571492433548</c:v>
                </c:pt>
                <c:pt idx="5" formatCode="0.00">
                  <c:v>0.19428572058677673</c:v>
                </c:pt>
                <c:pt idx="6" formatCode="0.00">
                  <c:v>0.29714286327362061</c:v>
                </c:pt>
                <c:pt idx="7" formatCode="0.00">
                  <c:v>0.40000000596046448</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DesignSheet!$E$100:$E$113</c:f>
              <c:numCache>
                <c:formatCode>0.0</c:formatCode>
                <c:ptCount val="14"/>
                <c:pt idx="0">
                  <c:v>20.470571517944336</c:v>
                </c:pt>
                <c:pt idx="1">
                  <c:v>135.19841003417969</c:v>
                </c:pt>
                <c:pt idx="2">
                  <c:v>401.12612915039063</c:v>
                </c:pt>
                <c:pt idx="3">
                  <c:v>468.49234008789063</c:v>
                </c:pt>
                <c:pt idx="4">
                  <c:v>486.07980346679688</c:v>
                </c:pt>
                <c:pt idx="5">
                  <c:v>493.11944580078125</c:v>
                </c:pt>
                <c:pt idx="6">
                  <c:v>499.43453979492188</c:v>
                </c:pt>
                <c:pt idx="7">
                  <c:v>503.34750366210938</c:v>
                </c:pt>
                <c:pt idx="8">
                  <c:v>506.74185180664063</c:v>
                </c:pt>
                <c:pt idx="9">
                  <c:v>509.81973266601563</c:v>
                </c:pt>
                <c:pt idx="10">
                  <c:v>512.56536865234375</c:v>
                </c:pt>
                <c:pt idx="11">
                  <c:v>514.978759765625</c:v>
                </c:pt>
                <c:pt idx="12">
                  <c:v>517.08905029296875</c:v>
                </c:pt>
                <c:pt idx="13">
                  <c:v>518.9381103515625</c:v>
                </c:pt>
              </c:numCache>
            </c:numRef>
          </c:yVal>
          <c:smooth val="1"/>
          <c:extLst>
            <c:ext xmlns:c16="http://schemas.microsoft.com/office/drawing/2014/chart" uri="{C3380CC4-5D6E-409C-BE32-E72D297353CC}">
              <c16:uniqueId val="{00000006-6C17-4599-86F3-848D69E3A6E2}"/>
            </c:ext>
          </c:extLst>
        </c:ser>
        <c:dLbls>
          <c:showLegendKey val="0"/>
          <c:showVal val="0"/>
          <c:showCatName val="0"/>
          <c:showSerName val="0"/>
          <c:showPercent val="0"/>
          <c:showBubbleSize val="0"/>
        </c:dLbls>
        <c:axId val="3"/>
        <c:axId val="4"/>
      </c:scatterChart>
      <c:valAx>
        <c:axId val="119268729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751078528976983"/>
              <c:y val="0.8909565716050199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391649319697107E-2"/>
              <c:y val="0.2899812523434570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192687296"/>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683199082873269"/>
              <c:y val="0.2563603079026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smoothMarker"/>
        <c:varyColors val="0"/>
        <c:ser>
          <c:idx val="0"/>
          <c:order val="2"/>
          <c:tx>
            <c:v>Torque (100%  V)</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157.04400644116546</c:v>
                </c:pt>
                <c:pt idx="2">
                  <c:v>295</c:v>
                </c:pt>
                <c:pt idx="3">
                  <c:v>193.78967114362311</c:v>
                </c:pt>
                <c:pt idx="4">
                  <c:v>151.41916369889555</c:v>
                </c:pt>
                <c:pt idx="5">
                  <c:v>134.44616713254499</c:v>
                </c:pt>
                <c:pt idx="6">
                  <c:v>124.13881799241939</c:v>
                </c:pt>
                <c:pt idx="7">
                  <c:v>120</c:v>
                </c:pt>
                <c:pt idx="8">
                  <c:v>120.03155069628426</c:v>
                </c:pt>
                <c:pt idx="9">
                  <c:v>120.04209458685628</c:v>
                </c:pt>
                <c:pt idx="10">
                  <c:v>120.05618911523686</c:v>
                </c:pt>
                <c:pt idx="11">
                  <c:v>120.07848365900892</c:v>
                </c:pt>
                <c:pt idx="12">
                  <c:v>120.10485098150394</c:v>
                </c:pt>
                <c:pt idx="13">
                  <c:v>120</c:v>
                </c:pt>
              </c:numCache>
            </c:numRef>
          </c:yVal>
          <c:smooth val="1"/>
          <c:extLst>
            <c:ext xmlns:c16="http://schemas.microsoft.com/office/drawing/2014/chart" uri="{C3380CC4-5D6E-409C-BE32-E72D297353CC}">
              <c16:uniqueId val="{00000000-00E7-419C-8503-DE88EDB1022D}"/>
            </c:ext>
          </c:extLst>
        </c:ser>
        <c:dLbls>
          <c:showLegendKey val="0"/>
          <c:showVal val="0"/>
          <c:showCatName val="0"/>
          <c:showSerName val="0"/>
          <c:showPercent val="0"/>
          <c:showBubbleSize val="0"/>
        </c:dLbls>
        <c:axId val="2106897656"/>
        <c:axId val="1"/>
      </c:scatterChart>
      <c:scatterChart>
        <c:scatterStyle val="lineMarker"/>
        <c:varyColors val="0"/>
        <c:ser>
          <c:idx val="2"/>
          <c:order val="0"/>
          <c:tx>
            <c:v>Load Curve (Open Valve)</c:v>
          </c:tx>
          <c:spPr>
            <a:ln w="25400">
              <a:solidFill>
                <a:srgbClr val="0070C0"/>
              </a:solidFill>
              <a:prstDash val="lgDashDot"/>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97</c:v>
                </c:pt>
                <c:pt idx="1">
                  <c:v>94.599998474121094</c:v>
                </c:pt>
                <c:pt idx="2">
                  <c:v>91</c:v>
                </c:pt>
                <c:pt idx="3">
                  <c:v>81.548576354980469</c:v>
                </c:pt>
                <c:pt idx="4">
                  <c:v>71.400001525878906</c:v>
                </c:pt>
                <c:pt idx="5">
                  <c:v>63.799999237060547</c:v>
                </c:pt>
                <c:pt idx="6">
                  <c:v>50.371429443359375</c:v>
                </c:pt>
                <c:pt idx="7">
                  <c:v>38</c:v>
                </c:pt>
                <c:pt idx="8">
                  <c:v>25</c:v>
                </c:pt>
                <c:pt idx="9">
                  <c:v>14.999999046325684</c:v>
                </c:pt>
                <c:pt idx="10">
                  <c:v>10.100000381469727</c:v>
                </c:pt>
                <c:pt idx="11">
                  <c:v>9.1000003814697266</c:v>
                </c:pt>
                <c:pt idx="12">
                  <c:v>8.399998664855957</c:v>
                </c:pt>
                <c:pt idx="13">
                  <c:v>11.5</c:v>
                </c:pt>
              </c:numCache>
            </c:numRef>
          </c:yVal>
          <c:smooth val="1"/>
          <c:extLst>
            <c:ext xmlns:c16="http://schemas.microsoft.com/office/drawing/2014/chart" uri="{C3380CC4-5D6E-409C-BE32-E72D297353CC}">
              <c16:uniqueId val="{00000001-00E7-419C-8503-DE88EDB1022D}"/>
            </c:ext>
          </c:extLst>
        </c:ser>
        <c:ser>
          <c:idx val="7"/>
          <c:order val="1"/>
          <c:tx>
            <c:v>Load Curve (Closed Valve)</c:v>
          </c:tx>
          <c:spPr>
            <a:ln w="25400">
              <a:solidFill>
                <a:srgbClr val="FF0000"/>
              </a:solidFill>
              <a:prstDash val="lgDashDot"/>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STCurve!$I$54:$I$67</c:f>
              <c:numCache>
                <c:formatCode>0.0</c:formatCode>
                <c:ptCount val="14"/>
                <c:pt idx="0">
                  <c:v>39.799999999999997</c:v>
                </c:pt>
                <c:pt idx="1">
                  <c:v>37.200000000000003</c:v>
                </c:pt>
                <c:pt idx="2">
                  <c:v>34.6</c:v>
                </c:pt>
                <c:pt idx="3">
                  <c:v>30.7</c:v>
                </c:pt>
                <c:pt idx="4">
                  <c:v>28.8</c:v>
                </c:pt>
                <c:pt idx="5">
                  <c:v>25</c:v>
                </c:pt>
                <c:pt idx="6">
                  <c:v>19.600000000000001</c:v>
                </c:pt>
                <c:pt idx="7">
                  <c:v>14.2</c:v>
                </c:pt>
                <c:pt idx="8">
                  <c:v>9.6</c:v>
                </c:pt>
                <c:pt idx="9">
                  <c:v>7.3</c:v>
                </c:pt>
                <c:pt idx="10">
                  <c:v>6.5</c:v>
                </c:pt>
                <c:pt idx="11">
                  <c:v>6.1</c:v>
                </c:pt>
                <c:pt idx="12">
                  <c:v>7.3</c:v>
                </c:pt>
                <c:pt idx="13">
                  <c:v>11.5</c:v>
                </c:pt>
              </c:numCache>
            </c:numRef>
          </c:yVal>
          <c:smooth val="1"/>
          <c:extLst>
            <c:ext xmlns:c16="http://schemas.microsoft.com/office/drawing/2014/chart" uri="{C3380CC4-5D6E-409C-BE32-E72D297353CC}">
              <c16:uniqueId val="{00000002-00E7-419C-8503-DE88EDB1022D}"/>
            </c:ext>
          </c:extLst>
        </c:ser>
        <c:ser>
          <c:idx val="3"/>
          <c:order val="4"/>
          <c:tx>
            <c:v>Torque (93% V)</c:v>
          </c:tx>
          <c:spPr>
            <a:ln w="25400">
              <a:solidFill>
                <a:srgbClr val="7030A0"/>
              </a:solidFill>
              <a:prstDash val="solid"/>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STCurve!$E$54:$E$67</c:f>
              <c:numCache>
                <c:formatCode>0.0</c:formatCode>
                <c:ptCount val="14"/>
                <c:pt idx="0">
                  <c:v>0</c:v>
                </c:pt>
                <c:pt idx="1">
                  <c:v>135.82736317936315</c:v>
                </c:pt>
                <c:pt idx="2">
                  <c:v>255.14550392460825</c:v>
                </c:pt>
                <c:pt idx="3">
                  <c:v>167.60869062744709</c:v>
                </c:pt>
                <c:pt idx="4">
                  <c:v>130.96243257779815</c:v>
                </c:pt>
                <c:pt idx="5">
                  <c:v>116.28249162018207</c:v>
                </c:pt>
                <c:pt idx="6">
                  <c:v>107.36766433080339</c:v>
                </c:pt>
                <c:pt idx="7">
                  <c:v>103.78800159645081</c:v>
                </c:pt>
                <c:pt idx="8">
                  <c:v>103.81528706974039</c:v>
                </c:pt>
                <c:pt idx="9">
                  <c:v>103.82440642260282</c:v>
                </c:pt>
                <c:pt idx="10">
                  <c:v>103.83660075262438</c:v>
                </c:pt>
                <c:pt idx="11">
                  <c:v>103.85588204717145</c:v>
                </c:pt>
                <c:pt idx="12">
                  <c:v>103.87868702799098</c:v>
                </c:pt>
                <c:pt idx="13">
                  <c:v>103.78800159645081</c:v>
                </c:pt>
              </c:numCache>
            </c:numRef>
          </c:yVal>
          <c:smooth val="1"/>
          <c:extLst>
            <c:ext xmlns:c16="http://schemas.microsoft.com/office/drawing/2014/chart" uri="{C3380CC4-5D6E-409C-BE32-E72D297353CC}">
              <c16:uniqueId val="{00000003-00E7-419C-8503-DE88EDB1022D}"/>
            </c:ext>
          </c:extLst>
        </c:ser>
        <c:ser>
          <c:idx val="5"/>
          <c:order val="6"/>
          <c:tx>
            <c:v>Torque (80% V)</c:v>
          </c:tx>
          <c:spPr>
            <a:ln w="25400">
              <a:solidFill>
                <a:srgbClr val="00B0F0"/>
              </a:solidFill>
              <a:prstDash val="solid"/>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STCurve!$G$54:$G$67</c:f>
              <c:numCache>
                <c:formatCode>0.0</c:formatCode>
                <c:ptCount val="14"/>
                <c:pt idx="0">
                  <c:v>0</c:v>
                </c:pt>
                <c:pt idx="1">
                  <c:v>100.50816705787673</c:v>
                </c:pt>
                <c:pt idx="2">
                  <c:v>188.80000562667851</c:v>
                </c:pt>
                <c:pt idx="3">
                  <c:v>124.0253943212447</c:v>
                </c:pt>
                <c:pt idx="4">
                  <c:v>96.908264606841286</c:v>
                </c:pt>
                <c:pt idx="5">
                  <c:v>86.045549439357146</c:v>
                </c:pt>
                <c:pt idx="6">
                  <c:v>79.448845141197538</c:v>
                </c:pt>
                <c:pt idx="7">
                  <c:v>76.800002288818376</c:v>
                </c:pt>
                <c:pt idx="8">
                  <c:v>76.820192719107595</c:v>
                </c:pt>
                <c:pt idx="9">
                  <c:v>76.826940766183711</c:v>
                </c:pt>
                <c:pt idx="10">
                  <c:v>76.835964203952628</c:v>
                </c:pt>
                <c:pt idx="11">
                  <c:v>76.850231782502831</c:v>
                </c:pt>
                <c:pt idx="12">
                  <c:v>76.867106783005752</c:v>
                </c:pt>
                <c:pt idx="13">
                  <c:v>76.800002288818376</c:v>
                </c:pt>
              </c:numCache>
            </c:numRef>
          </c:yVal>
          <c:smooth val="1"/>
          <c:extLst>
            <c:ext xmlns:c16="http://schemas.microsoft.com/office/drawing/2014/chart" uri="{C3380CC4-5D6E-409C-BE32-E72D297353CC}">
              <c16:uniqueId val="{00000004-00E7-419C-8503-DE88EDB1022D}"/>
            </c:ext>
          </c:extLst>
        </c:ser>
        <c:dLbls>
          <c:showLegendKey val="0"/>
          <c:showVal val="0"/>
          <c:showCatName val="0"/>
          <c:showSerName val="0"/>
          <c:showPercent val="0"/>
          <c:showBubbleSize val="0"/>
        </c:dLbls>
        <c:axId val="2106897656"/>
        <c:axId val="1"/>
      </c:scatterChart>
      <c:scatterChart>
        <c:scatterStyle val="lineMarker"/>
        <c:varyColors val="0"/>
        <c:ser>
          <c:idx val="1"/>
          <c:order val="3"/>
          <c:tx>
            <c:v>Current (100%  V)</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0.24348856508731842</c:v>
                </c:pt>
                <c:pt idx="1">
                  <c:v>168.99800109863281</c:v>
                </c:pt>
                <c:pt idx="2">
                  <c:v>501.40765380859375</c:v>
                </c:pt>
                <c:pt idx="3">
                  <c:v>585.61541748046875</c:v>
                </c:pt>
                <c:pt idx="4">
                  <c:v>607.5997314453125</c:v>
                </c:pt>
                <c:pt idx="5">
                  <c:v>616.3992919921875</c:v>
                </c:pt>
                <c:pt idx="6">
                  <c:v>624.29315185546875</c:v>
                </c:pt>
                <c:pt idx="7">
                  <c:v>629.18438720703125</c:v>
                </c:pt>
                <c:pt idx="8">
                  <c:v>633.42730712890625</c:v>
                </c:pt>
                <c:pt idx="9">
                  <c:v>637.274658203125</c:v>
                </c:pt>
                <c:pt idx="10">
                  <c:v>640.70672607421875</c:v>
                </c:pt>
                <c:pt idx="11">
                  <c:v>643.72344970703125</c:v>
                </c:pt>
                <c:pt idx="12">
                  <c:v>646.361328125</c:v>
                </c:pt>
                <c:pt idx="13">
                  <c:v>648.672607421875</c:v>
                </c:pt>
              </c:numCache>
            </c:numRef>
          </c:yVal>
          <c:smooth val="1"/>
          <c:extLst>
            <c:ext xmlns:c16="http://schemas.microsoft.com/office/drawing/2014/chart" uri="{C3380CC4-5D6E-409C-BE32-E72D297353CC}">
              <c16:uniqueId val="{00000005-00E7-419C-8503-DE88EDB1022D}"/>
            </c:ext>
          </c:extLst>
        </c:ser>
        <c:ser>
          <c:idx val="4"/>
          <c:order val="5"/>
          <c:tx>
            <c:v>Current (93% V)</c:v>
          </c:tx>
          <c:spPr>
            <a:ln w="25400">
              <a:solidFill>
                <a:srgbClr val="7030A0"/>
              </a:solidFill>
              <a:prstDash val="lg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STCurve!$F$54:$F$67</c:f>
              <c:numCache>
                <c:formatCode>0.0</c:formatCode>
                <c:ptCount val="14"/>
                <c:pt idx="0">
                  <c:v>25.588212966918945</c:v>
                </c:pt>
                <c:pt idx="1">
                  <c:v>157.16813659667969</c:v>
                </c:pt>
                <c:pt idx="2">
                  <c:v>466.30911254882813</c:v>
                </c:pt>
                <c:pt idx="3">
                  <c:v>544.622314453125</c:v>
                </c:pt>
                <c:pt idx="4">
                  <c:v>565.0677490234375</c:v>
                </c:pt>
                <c:pt idx="5">
                  <c:v>573.2513427734375</c:v>
                </c:pt>
                <c:pt idx="6">
                  <c:v>580.5926513671875</c:v>
                </c:pt>
                <c:pt idx="7">
                  <c:v>585.1414794921875</c:v>
                </c:pt>
                <c:pt idx="8">
                  <c:v>589.08740234375</c:v>
                </c:pt>
                <c:pt idx="9">
                  <c:v>592.66546630859375</c:v>
                </c:pt>
                <c:pt idx="10">
                  <c:v>595.85723876953125</c:v>
                </c:pt>
                <c:pt idx="11">
                  <c:v>598.662841796875</c:v>
                </c:pt>
                <c:pt idx="12">
                  <c:v>601.11602783203125</c:v>
                </c:pt>
                <c:pt idx="13">
                  <c:v>603.2655029296875</c:v>
                </c:pt>
              </c:numCache>
            </c:numRef>
          </c:yVal>
          <c:smooth val="1"/>
          <c:extLst>
            <c:ext xmlns:c16="http://schemas.microsoft.com/office/drawing/2014/chart" uri="{C3380CC4-5D6E-409C-BE32-E72D297353CC}">
              <c16:uniqueId val="{00000006-00E7-419C-8503-DE88EDB1022D}"/>
            </c:ext>
          </c:extLst>
        </c:ser>
        <c:ser>
          <c:idx val="6"/>
          <c:order val="7"/>
          <c:tx>
            <c:v>Current (80% V)</c:v>
          </c:tx>
          <c:spPr>
            <a:ln w="25400">
              <a:solidFill>
                <a:srgbClr val="00B0F0"/>
              </a:solidFill>
              <a:prstDash val="lgDash"/>
            </a:ln>
            <a:effectLst/>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STCurve!$H$54:$H$67</c:f>
              <c:numCache>
                <c:formatCode>0.0</c:formatCode>
                <c:ptCount val="14"/>
                <c:pt idx="0">
                  <c:v>20.470571517944336</c:v>
                </c:pt>
                <c:pt idx="1">
                  <c:v>135.19841003417969</c:v>
                </c:pt>
                <c:pt idx="2">
                  <c:v>401.12612915039063</c:v>
                </c:pt>
                <c:pt idx="3">
                  <c:v>468.49234008789063</c:v>
                </c:pt>
                <c:pt idx="4">
                  <c:v>486.07980346679688</c:v>
                </c:pt>
                <c:pt idx="5">
                  <c:v>493.11944580078125</c:v>
                </c:pt>
                <c:pt idx="6">
                  <c:v>499.43453979492188</c:v>
                </c:pt>
                <c:pt idx="7">
                  <c:v>503.34750366210938</c:v>
                </c:pt>
                <c:pt idx="8">
                  <c:v>506.74185180664063</c:v>
                </c:pt>
                <c:pt idx="9">
                  <c:v>509.81973266601563</c:v>
                </c:pt>
                <c:pt idx="10">
                  <c:v>512.56536865234375</c:v>
                </c:pt>
                <c:pt idx="11">
                  <c:v>514.978759765625</c:v>
                </c:pt>
                <c:pt idx="12">
                  <c:v>517.08905029296875</c:v>
                </c:pt>
                <c:pt idx="13">
                  <c:v>518.9381103515625</c:v>
                </c:pt>
              </c:numCache>
            </c:numRef>
          </c:yVal>
          <c:smooth val="1"/>
          <c:extLst>
            <c:ext xmlns:c16="http://schemas.microsoft.com/office/drawing/2014/chart" uri="{C3380CC4-5D6E-409C-BE32-E72D297353CC}">
              <c16:uniqueId val="{00000007-00E7-419C-8503-DE88EDB1022D}"/>
            </c:ext>
          </c:extLst>
        </c:ser>
        <c:dLbls>
          <c:showLegendKey val="0"/>
          <c:showVal val="0"/>
          <c:showCatName val="0"/>
          <c:showSerName val="0"/>
          <c:showPercent val="0"/>
          <c:showBubbleSize val="0"/>
        </c:dLbls>
        <c:axId val="3"/>
        <c:axId val="4"/>
      </c:scatterChart>
      <c:valAx>
        <c:axId val="2106897656"/>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18"/>
              <c:y val="0.8170228993114990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2106897656"/>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105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b"/>
      <c:layout>
        <c:manualLayout>
          <c:xMode val="edge"/>
          <c:yMode val="edge"/>
          <c:x val="2.6222222222222227E-2"/>
          <c:y val="0.86533112708737492"/>
          <c:w val="0.93585964912280706"/>
          <c:h val="0.12017611928943665"/>
        </c:manualLayout>
      </c:layout>
      <c:overlay val="0"/>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648.67256637168146</c:v>
                </c:pt>
                <c:pt idx="1">
                  <c:v>600</c:v>
                </c:pt>
                <c:pt idx="2">
                  <c:v>500</c:v>
                </c:pt>
                <c:pt idx="3">
                  <c:v>400</c:v>
                </c:pt>
              </c:numCache>
            </c:numRef>
          </c:xVal>
          <c:yVal>
            <c:numRef>
              <c:f>Thermdam!$B$68:$B$71</c:f>
              <c:numCache>
                <c:formatCode>0.00</c:formatCode>
                <c:ptCount val="4"/>
                <c:pt idx="0">
                  <c:v>27.518127986363005</c:v>
                </c:pt>
                <c:pt idx="1">
                  <c:v>32.163807023226816</c:v>
                </c:pt>
                <c:pt idx="2">
                  <c:v>46.315882113446612</c:v>
                </c:pt>
                <c:pt idx="3">
                  <c:v>72.368565802260335</c:v>
                </c:pt>
              </c:numCache>
            </c:numRef>
          </c:yVal>
          <c:smooth val="1"/>
          <c:extLst>
            <c:ext xmlns:c16="http://schemas.microsoft.com/office/drawing/2014/chart" uri="{C3380CC4-5D6E-409C-BE32-E72D297353CC}">
              <c16:uniqueId val="{00000000-769F-4D33-A570-9190DA23FC44}"/>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648.67256637168146</c:v>
                </c:pt>
                <c:pt idx="1">
                  <c:v>600</c:v>
                </c:pt>
                <c:pt idx="2">
                  <c:v>500</c:v>
                </c:pt>
                <c:pt idx="3">
                  <c:v>400</c:v>
                </c:pt>
              </c:numCache>
            </c:numRef>
          </c:xVal>
          <c:yVal>
            <c:numRef>
              <c:f>Thermdam!$C$68:$C$71</c:f>
              <c:numCache>
                <c:formatCode>0.00</c:formatCode>
                <c:ptCount val="4"/>
                <c:pt idx="0">
                  <c:v>15</c:v>
                </c:pt>
                <c:pt idx="1">
                  <c:v>17.532337431800979</c:v>
                </c:pt>
                <c:pt idx="2">
                  <c:v>25.24656590179341</c:v>
                </c:pt>
                <c:pt idx="3">
                  <c:v>39.447759221552204</c:v>
                </c:pt>
              </c:numCache>
            </c:numRef>
          </c:yVal>
          <c:smooth val="1"/>
          <c:extLst>
            <c:ext xmlns:c16="http://schemas.microsoft.com/office/drawing/2014/chart" uri="{C3380CC4-5D6E-409C-BE32-E72D297353CC}">
              <c16:uniqueId val="{00000001-769F-4D33-A570-9190DA23FC44}"/>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300</c:v>
                </c:pt>
                <c:pt idx="1">
                  <c:v>200</c:v>
                </c:pt>
                <c:pt idx="2">
                  <c:v>295</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72.526762142468868</c:v>
                </c:pt>
                <c:pt idx="3">
                  <c:v>194.80374924223307</c:v>
                </c:pt>
                <c:pt idx="4">
                  <c:v>300.19697861823317</c:v>
                </c:pt>
                <c:pt idx="5" formatCode="0">
                  <c:v>700</c:v>
                </c:pt>
                <c:pt idx="6" formatCode="0">
                  <c:v>1400</c:v>
                </c:pt>
                <c:pt idx="7" formatCode="General">
                  <c:v>10000</c:v>
                </c:pt>
              </c:numCache>
            </c:numRef>
          </c:yVal>
          <c:smooth val="1"/>
          <c:extLst>
            <c:ext xmlns:c16="http://schemas.microsoft.com/office/drawing/2014/chart" uri="{C3380CC4-5D6E-409C-BE32-E72D297353CC}">
              <c16:uniqueId val="{00000002-769F-4D33-A570-9190DA23FC44}"/>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648.67256637168146</c:v>
                </c:pt>
                <c:pt idx="1">
                  <c:v>647.52212389380531</c:v>
                </c:pt>
                <c:pt idx="2">
                  <c:v>645.04424778761063</c:v>
                </c:pt>
                <c:pt idx="3">
                  <c:v>642.21238938053102</c:v>
                </c:pt>
                <c:pt idx="4">
                  <c:v>639.02654867256638</c:v>
                </c:pt>
                <c:pt idx="5">
                  <c:v>635.30973451327429</c:v>
                </c:pt>
                <c:pt idx="6">
                  <c:v>631.32743362831854</c:v>
                </c:pt>
                <c:pt idx="7">
                  <c:v>626.72566371681421</c:v>
                </c:pt>
                <c:pt idx="8">
                  <c:v>620.35398230088492</c:v>
                </c:pt>
                <c:pt idx="9">
                  <c:v>612.0353982300885</c:v>
                </c:pt>
                <c:pt idx="10">
                  <c:v>596.63716814159295</c:v>
                </c:pt>
                <c:pt idx="11">
                  <c:v>543.53982300884957</c:v>
                </c:pt>
                <c:pt idx="12">
                  <c:v>335.22123893805309</c:v>
                </c:pt>
                <c:pt idx="13">
                  <c:v>120</c:v>
                </c:pt>
              </c:numCache>
            </c:numRef>
          </c:xVal>
          <c:yVal>
            <c:numRef>
              <c:f>Thermdam!$F$68:$F$81</c:f>
              <c:numCache>
                <c:formatCode>0.00</c:formatCode>
                <c:ptCount val="14"/>
                <c:pt idx="0">
                  <c:v>1E-4</c:v>
                </c:pt>
                <c:pt idx="1">
                  <c:v>0.17674418041276643</c:v>
                </c:pt>
                <c:pt idx="2">
                  <c:v>0.35116277471660745</c:v>
                </c:pt>
                <c:pt idx="3">
                  <c:v>0.52790697245630547</c:v>
                </c:pt>
                <c:pt idx="4">
                  <c:v>0.70930234241385437</c:v>
                </c:pt>
                <c:pt idx="5">
                  <c:v>0.90348838398969811</c:v>
                </c:pt>
                <c:pt idx="6">
                  <c:v>1.1232558381098579</c:v>
                </c:pt>
                <c:pt idx="7">
                  <c:v>1.3662791533192717</c:v>
                </c:pt>
                <c:pt idx="8">
                  <c:v>1.629069794512167</c:v>
                </c:pt>
                <c:pt idx="9">
                  <c:v>1.7639535809066609</c:v>
                </c:pt>
                <c:pt idx="10">
                  <c:v>1.8697674889587923</c:v>
                </c:pt>
                <c:pt idx="11">
                  <c:v>1.9337209163579929</c:v>
                </c:pt>
                <c:pt idx="12">
                  <c:v>1.9802324999210479</c:v>
                </c:pt>
                <c:pt idx="13">
                  <c:v>1.996511637337389</c:v>
                </c:pt>
              </c:numCache>
            </c:numRef>
          </c:yVal>
          <c:smooth val="1"/>
          <c:extLst>
            <c:ext xmlns:c16="http://schemas.microsoft.com/office/drawing/2014/chart" uri="{C3380CC4-5D6E-409C-BE32-E72D297353CC}">
              <c16:uniqueId val="{00000003-769F-4D33-A570-9190DA23FC44}"/>
            </c:ext>
          </c:extLst>
        </c:ser>
        <c:ser>
          <c:idx val="4"/>
          <c:order val="4"/>
          <c:marker>
            <c:symbol val="none"/>
          </c:marker>
          <c:xVal>
            <c:numRef>
              <c:f>Thermdam!$G$68:$G$81</c:f>
              <c:numCache>
                <c:formatCode>General</c:formatCode>
                <c:ptCount val="14"/>
                <c:pt idx="0">
                  <c:v>603.26548672566378</c:v>
                </c:pt>
                <c:pt idx="1">
                  <c:v>602.19557522123898</c:v>
                </c:pt>
                <c:pt idx="2">
                  <c:v>599.89115044247797</c:v>
                </c:pt>
                <c:pt idx="3">
                  <c:v>597.25752212389386</c:v>
                </c:pt>
                <c:pt idx="4">
                  <c:v>594.29469026548679</c:v>
                </c:pt>
                <c:pt idx="5">
                  <c:v>590.8380530973451</c:v>
                </c:pt>
                <c:pt idx="6">
                  <c:v>587.13451327433631</c:v>
                </c:pt>
                <c:pt idx="7">
                  <c:v>582.85486725663725</c:v>
                </c:pt>
                <c:pt idx="8">
                  <c:v>576.92920353982299</c:v>
                </c:pt>
                <c:pt idx="9">
                  <c:v>569.19292035398234</c:v>
                </c:pt>
                <c:pt idx="10">
                  <c:v>554.8725663716815</c:v>
                </c:pt>
                <c:pt idx="11">
                  <c:v>505.49203539823014</c:v>
                </c:pt>
                <c:pt idx="12">
                  <c:v>311.75575221238938</c:v>
                </c:pt>
                <c:pt idx="13">
                  <c:v>120</c:v>
                </c:pt>
              </c:numCache>
            </c:numRef>
          </c:xVal>
          <c:yVal>
            <c:numRef>
              <c:f>Thermdam!$H$68:$H$81</c:f>
              <c:numCache>
                <c:formatCode>0.00</c:formatCode>
                <c:ptCount val="14"/>
                <c:pt idx="0">
                  <c:v>1E-4</c:v>
                </c:pt>
                <c:pt idx="1">
                  <c:v>0.22093022551595803</c:v>
                </c:pt>
                <c:pt idx="2">
                  <c:v>0.43895346839575933</c:v>
                </c:pt>
                <c:pt idx="3">
                  <c:v>0.65988371557038183</c:v>
                </c:pt>
                <c:pt idx="4">
                  <c:v>0.88662792801731793</c:v>
                </c:pt>
                <c:pt idx="5">
                  <c:v>1.1293604799871226</c:v>
                </c:pt>
                <c:pt idx="6">
                  <c:v>1.4040697976373222</c:v>
                </c:pt>
                <c:pt idx="7">
                  <c:v>1.7078489416490896</c:v>
                </c:pt>
                <c:pt idx="8">
                  <c:v>2.0363372431402089</c:v>
                </c:pt>
                <c:pt idx="9">
                  <c:v>2.204941976133326</c:v>
                </c:pt>
                <c:pt idx="10">
                  <c:v>2.3372093611984903</c:v>
                </c:pt>
                <c:pt idx="11">
                  <c:v>2.417151145447491</c:v>
                </c:pt>
                <c:pt idx="12">
                  <c:v>2.47529062490131</c:v>
                </c:pt>
                <c:pt idx="13">
                  <c:v>2.495639546671736</c:v>
                </c:pt>
              </c:numCache>
            </c:numRef>
          </c:yVal>
          <c:smooth val="1"/>
          <c:extLst>
            <c:ext xmlns:c16="http://schemas.microsoft.com/office/drawing/2014/chart" uri="{C3380CC4-5D6E-409C-BE32-E72D297353CC}">
              <c16:uniqueId val="{00000004-769F-4D33-A570-9190DA23FC44}"/>
            </c:ext>
          </c:extLst>
        </c:ser>
        <c:ser>
          <c:idx val="5"/>
          <c:order val="5"/>
          <c:marker>
            <c:symbol val="none"/>
          </c:marker>
          <c:xVal>
            <c:numRef>
              <c:f>Thermdam!$I$68:$I$81</c:f>
              <c:numCache>
                <c:formatCode>General</c:formatCode>
                <c:ptCount val="14"/>
                <c:pt idx="0">
                  <c:v>518.93805309734523</c:v>
                </c:pt>
                <c:pt idx="1">
                  <c:v>518.01769911504425</c:v>
                </c:pt>
                <c:pt idx="2">
                  <c:v>516.0353982300885</c:v>
                </c:pt>
                <c:pt idx="3">
                  <c:v>513.76991150442484</c:v>
                </c:pt>
                <c:pt idx="4">
                  <c:v>511.22123893805315</c:v>
                </c:pt>
                <c:pt idx="5">
                  <c:v>508.24778761061947</c:v>
                </c:pt>
                <c:pt idx="6">
                  <c:v>505.06194690265488</c:v>
                </c:pt>
                <c:pt idx="7">
                  <c:v>501.38053097345141</c:v>
                </c:pt>
                <c:pt idx="8">
                  <c:v>496.28318584070797</c:v>
                </c:pt>
                <c:pt idx="9">
                  <c:v>489.62831858407083</c:v>
                </c:pt>
                <c:pt idx="10">
                  <c:v>477.30973451327441</c:v>
                </c:pt>
                <c:pt idx="11">
                  <c:v>434.83185840707966</c:v>
                </c:pt>
                <c:pt idx="12">
                  <c:v>268.17699115044246</c:v>
                </c:pt>
                <c:pt idx="13">
                  <c:v>120</c:v>
                </c:pt>
              </c:numCache>
            </c:numRef>
          </c:xVal>
          <c:yVal>
            <c:numRef>
              <c:f>Thermdam!$J$68:$J$81</c:f>
              <c:numCache>
                <c:formatCode>0.0</c:formatCode>
                <c:ptCount val="14"/>
                <c:pt idx="0" formatCode="0.00">
                  <c:v>1E-4</c:v>
                </c:pt>
                <c:pt idx="1">
                  <c:v>0.35348836082553287</c:v>
                </c:pt>
                <c:pt idx="2">
                  <c:v>0.7023255494332149</c:v>
                </c:pt>
                <c:pt idx="3">
                  <c:v>1.0558139449126109</c:v>
                </c:pt>
                <c:pt idx="4">
                  <c:v>1.4186046848277087</c:v>
                </c:pt>
                <c:pt idx="5">
                  <c:v>1.8069767679793962</c:v>
                </c:pt>
                <c:pt idx="6">
                  <c:v>2.2465116762197157</c:v>
                </c:pt>
                <c:pt idx="7">
                  <c:v>2.7325583066385435</c:v>
                </c:pt>
                <c:pt idx="8">
                  <c:v>3.2581395890243341</c:v>
                </c:pt>
                <c:pt idx="9">
                  <c:v>3.5279071618133218</c:v>
                </c:pt>
                <c:pt idx="10">
                  <c:v>3.7395349779175846</c:v>
                </c:pt>
                <c:pt idx="11">
                  <c:v>3.8674418327159858</c:v>
                </c:pt>
                <c:pt idx="12">
                  <c:v>3.9604649998420958</c:v>
                </c:pt>
                <c:pt idx="13">
                  <c:v>3.993023274674778</c:v>
                </c:pt>
              </c:numCache>
            </c:numRef>
          </c:yVal>
          <c:smooth val="1"/>
          <c:extLst>
            <c:ext xmlns:c16="http://schemas.microsoft.com/office/drawing/2014/chart" uri="{C3380CC4-5D6E-409C-BE32-E72D297353CC}">
              <c16:uniqueId val="{00000005-769F-4D33-A570-9190DA23FC44}"/>
            </c:ext>
          </c:extLst>
        </c:ser>
        <c:dLbls>
          <c:showLegendKey val="0"/>
          <c:showVal val="0"/>
          <c:showCatName val="0"/>
          <c:showSerName val="0"/>
          <c:showPercent val="0"/>
          <c:showBubbleSize val="0"/>
        </c:dLbls>
        <c:axId val="1704579232"/>
        <c:axId val="1"/>
      </c:scatterChart>
      <c:valAx>
        <c:axId val="1704579232"/>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704579232"/>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86.568336486816406</c:v>
                </c:pt>
                <c:pt idx="2">
                  <c:v>92.044746398925781</c:v>
                </c:pt>
                <c:pt idx="3">
                  <c:v>93.825950622558594</c:v>
                </c:pt>
                <c:pt idx="4">
                  <c:v>94.58251953125</c:v>
                </c:pt>
                <c:pt idx="5">
                  <c:v>94.908256530761719</c:v>
                </c:pt>
              </c:numCache>
            </c:numRef>
          </c:yVal>
          <c:smooth val="1"/>
          <c:extLst>
            <c:ext xmlns:c16="http://schemas.microsoft.com/office/drawing/2014/chart" uri="{C3380CC4-5D6E-409C-BE32-E72D297353CC}">
              <c16:uniqueId val="{00000000-475B-4305-BE22-1189C5DBA843}"/>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66.949073791503906</c:v>
                </c:pt>
                <c:pt idx="1">
                  <c:v>83.845840454101563</c:v>
                </c:pt>
                <c:pt idx="2">
                  <c:v>88.931434631347656</c:v>
                </c:pt>
                <c:pt idx="3">
                  <c:v>90.716514587402344</c:v>
                </c:pt>
                <c:pt idx="4">
                  <c:v>91.244255065917969</c:v>
                </c:pt>
              </c:numCache>
            </c:numRef>
          </c:yVal>
          <c:smooth val="1"/>
          <c:extLst>
            <c:ext xmlns:c16="http://schemas.microsoft.com/office/drawing/2014/chart" uri="{C3380CC4-5D6E-409C-BE32-E72D297353CC}">
              <c16:uniqueId val="{00000001-475B-4305-BE22-1189C5DBA843}"/>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79.79231195420175</c:v>
                </c:pt>
                <c:pt idx="2">
                  <c:v>64.461874010730412</c:v>
                </c:pt>
                <c:pt idx="3">
                  <c:v>48.87812435424479</c:v>
                </c:pt>
                <c:pt idx="4">
                  <c:v>33.015522608039326</c:v>
                </c:pt>
                <c:pt idx="5">
                  <c:v>17.143910225870162</c:v>
                </c:pt>
              </c:numCache>
            </c:numRef>
          </c:yVal>
          <c:smooth val="1"/>
          <c:extLst>
            <c:ext xmlns:c16="http://schemas.microsoft.com/office/drawing/2014/chart" uri="{C3380CC4-5D6E-409C-BE32-E72D297353CC}">
              <c16:uniqueId val="{00000002-475B-4305-BE22-1189C5DBA843}"/>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1.2193777777777779</c:v>
                </c:pt>
                <c:pt idx="1">
                  <c:v>10.776929266346611</c:v>
                </c:pt>
                <c:pt idx="2">
                  <c:v>20.271462674484468</c:v>
                </c:pt>
                <c:pt idx="3">
                  <c:v>29.829937804516192</c:v>
                </c:pt>
                <c:pt idx="4">
                  <c:v>39.455104158533317</c:v>
                </c:pt>
                <c:pt idx="5">
                  <c:v>49.149609910508829</c:v>
                </c:pt>
              </c:numCache>
            </c:numRef>
          </c:yVal>
          <c:smooth val="1"/>
          <c:extLst>
            <c:ext xmlns:c16="http://schemas.microsoft.com/office/drawing/2014/chart" uri="{C3380CC4-5D6E-409C-BE32-E72D297353CC}">
              <c16:uniqueId val="{00000003-475B-4305-BE22-1189C5DBA843}"/>
            </c:ext>
          </c:extLst>
        </c:ser>
        <c:dLbls>
          <c:showLegendKey val="0"/>
          <c:showVal val="0"/>
          <c:showCatName val="0"/>
          <c:showSerName val="0"/>
          <c:showPercent val="0"/>
          <c:showBubbleSize val="0"/>
        </c:dLbls>
        <c:axId val="1712970744"/>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28.191058740317107</c:v>
                </c:pt>
                <c:pt idx="1">
                  <c:v>41.822990417480469</c:v>
                </c:pt>
                <c:pt idx="2">
                  <c:v>62.815700531005859</c:v>
                </c:pt>
                <c:pt idx="3">
                  <c:v>87.148857116699219</c:v>
                </c:pt>
                <c:pt idx="4">
                  <c:v>113.00078582763672</c:v>
                </c:pt>
                <c:pt idx="5">
                  <c:v>139.9520263671875</c:v>
                </c:pt>
              </c:numCache>
            </c:numRef>
          </c:yVal>
          <c:smooth val="1"/>
          <c:extLst>
            <c:ext xmlns:c16="http://schemas.microsoft.com/office/drawing/2014/chart" uri="{C3380CC4-5D6E-409C-BE32-E72D297353CC}">
              <c16:uniqueId val="{00000004-475B-4305-BE22-1189C5DBA843}"/>
            </c:ext>
          </c:extLst>
        </c:ser>
        <c:dLbls>
          <c:showLegendKey val="0"/>
          <c:showVal val="0"/>
          <c:showCatName val="0"/>
          <c:showSerName val="0"/>
          <c:showPercent val="0"/>
          <c:showBubbleSize val="0"/>
        </c:dLbls>
        <c:axId val="3"/>
        <c:axId val="4"/>
      </c:scatterChart>
      <c:valAx>
        <c:axId val="1712970744"/>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712970744"/>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20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20"/>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94D8D050-14D2-4105-80C6-80D44843F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56</xdr:row>
      <xdr:rowOff>9525</xdr:rowOff>
    </xdr:from>
    <xdr:to>
      <xdr:col>9</xdr:col>
      <xdr:colOff>809625</xdr:colOff>
      <xdr:row>67</xdr:row>
      <xdr:rowOff>180975</xdr:rowOff>
    </xdr:to>
    <xdr:graphicFrame macro="">
      <xdr:nvGraphicFramePr>
        <xdr:cNvPr id="2" name="Chart 1">
          <a:extLst>
            <a:ext uri="{FF2B5EF4-FFF2-40B4-BE49-F238E27FC236}">
              <a16:creationId xmlns:a16="http://schemas.microsoft.com/office/drawing/2014/main" id="{9407D689-6113-4C8D-AC4A-6DBA08F12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152400</xdr:colOff>
      <xdr:row>43</xdr:row>
      <xdr:rowOff>0</xdr:rowOff>
    </xdr:from>
    <xdr:to>
      <xdr:col>9</xdr:col>
      <xdr:colOff>361950</xdr:colOff>
      <xdr:row>43</xdr:row>
      <xdr:rowOff>0</xdr:rowOff>
    </xdr:to>
    <xdr:sp macro="" textlink="">
      <xdr:nvSpPr>
        <xdr:cNvPr id="2" name="Rectangle 1">
          <a:extLst>
            <a:ext uri="{FF2B5EF4-FFF2-40B4-BE49-F238E27FC236}">
              <a16:creationId xmlns:a16="http://schemas.microsoft.com/office/drawing/2014/main" id="{F2EFCECF-D125-4316-A210-6CC0E90720A9}"/>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3" name="Rectangle 2">
          <a:extLst>
            <a:ext uri="{FF2B5EF4-FFF2-40B4-BE49-F238E27FC236}">
              <a16:creationId xmlns:a16="http://schemas.microsoft.com/office/drawing/2014/main" id="{46436724-FC5C-467B-8539-F94C388DCA87}"/>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4" name="Rectangle 3">
          <a:extLst>
            <a:ext uri="{FF2B5EF4-FFF2-40B4-BE49-F238E27FC236}">
              <a16:creationId xmlns:a16="http://schemas.microsoft.com/office/drawing/2014/main" id="{65DFF44D-D5F2-440D-B180-691AC19A9C90}"/>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5" name="Rectangle 4">
          <a:extLst>
            <a:ext uri="{FF2B5EF4-FFF2-40B4-BE49-F238E27FC236}">
              <a16:creationId xmlns:a16="http://schemas.microsoft.com/office/drawing/2014/main" id="{2E381C11-2A40-4C33-B6E1-808AC546FE4E}"/>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6" name="Rectangle 5">
          <a:extLst>
            <a:ext uri="{FF2B5EF4-FFF2-40B4-BE49-F238E27FC236}">
              <a16:creationId xmlns:a16="http://schemas.microsoft.com/office/drawing/2014/main" id="{0E231A80-3A54-42E8-9AE5-7989E76C2C4B}"/>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114300</xdr:colOff>
      <xdr:row>42</xdr:row>
      <xdr:rowOff>141817</xdr:rowOff>
    </xdr:from>
    <xdr:to>
      <xdr:col>3</xdr:col>
      <xdr:colOff>411594</xdr:colOff>
      <xdr:row>43</xdr:row>
      <xdr:rowOff>37042</xdr:rowOff>
    </xdr:to>
    <xdr:sp macro="" textlink="">
      <xdr:nvSpPr>
        <xdr:cNvPr id="7" name="Radius">
          <a:extLst>
            <a:ext uri="{FF2B5EF4-FFF2-40B4-BE49-F238E27FC236}">
              <a16:creationId xmlns:a16="http://schemas.microsoft.com/office/drawing/2014/main" id="{5A48B6E0-307C-4E68-A66D-886C6C95EB04}"/>
            </a:ext>
          </a:extLst>
        </xdr:cNvPr>
        <xdr:cNvSpPr txBox="1">
          <a:spLocks noChangeArrowheads="1"/>
        </xdr:cNvSpPr>
      </xdr:nvSpPr>
      <xdr:spPr bwMode="auto">
        <a:xfrm>
          <a:off x="1809750" y="9809692"/>
          <a:ext cx="297294"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281.0</a:t>
          </a:r>
        </a:p>
      </xdr:txBody>
    </xdr:sp>
    <xdr:clientData/>
  </xdr:twoCellAnchor>
  <xdr:twoCellAnchor>
    <xdr:from>
      <xdr:col>3</xdr:col>
      <xdr:colOff>260289</xdr:colOff>
      <xdr:row>40</xdr:row>
      <xdr:rowOff>145294</xdr:rowOff>
    </xdr:from>
    <xdr:to>
      <xdr:col>3</xdr:col>
      <xdr:colOff>547399</xdr:colOff>
      <xdr:row>41</xdr:row>
      <xdr:rowOff>9222</xdr:rowOff>
    </xdr:to>
    <xdr:sp macro="" textlink="">
      <xdr:nvSpPr>
        <xdr:cNvPr id="8" name="Height">
          <a:extLst>
            <a:ext uri="{FF2B5EF4-FFF2-40B4-BE49-F238E27FC236}">
              <a16:creationId xmlns:a16="http://schemas.microsoft.com/office/drawing/2014/main" id="{96DCC7B8-FA84-4C5A-B361-F110873EF8C7}"/>
            </a:ext>
          </a:extLst>
        </xdr:cNvPr>
        <xdr:cNvSpPr txBox="1">
          <a:spLocks noChangeArrowheads="1"/>
        </xdr:cNvSpPr>
      </xdr:nvSpPr>
      <xdr:spPr bwMode="auto">
        <a:xfrm>
          <a:off x="1955739" y="9355969"/>
          <a:ext cx="287110" cy="92528"/>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25.0</a:t>
          </a:r>
        </a:p>
      </xdr:txBody>
    </xdr:sp>
    <xdr:clientData/>
  </xdr:twoCellAnchor>
  <xdr:twoCellAnchor>
    <xdr:from>
      <xdr:col>2</xdr:col>
      <xdr:colOff>28575</xdr:colOff>
      <xdr:row>41</xdr:row>
      <xdr:rowOff>104775</xdr:rowOff>
    </xdr:from>
    <xdr:to>
      <xdr:col>2</xdr:col>
      <xdr:colOff>278186</xdr:colOff>
      <xdr:row>41</xdr:row>
      <xdr:rowOff>219075</xdr:rowOff>
    </xdr:to>
    <xdr:sp macro="" textlink="">
      <xdr:nvSpPr>
        <xdr:cNvPr id="9" name="Clear">
          <a:extLst>
            <a:ext uri="{FF2B5EF4-FFF2-40B4-BE49-F238E27FC236}">
              <a16:creationId xmlns:a16="http://schemas.microsoft.com/office/drawing/2014/main" id="{204E8459-D5A7-4A3E-95CD-417E4A372A53}"/>
            </a:ext>
          </a:extLst>
        </xdr:cNvPr>
        <xdr:cNvSpPr txBox="1">
          <a:spLocks noChangeArrowheads="1"/>
        </xdr:cNvSpPr>
      </xdr:nvSpPr>
      <xdr:spPr bwMode="auto">
        <a:xfrm>
          <a:off x="1228725" y="9544050"/>
          <a:ext cx="249611"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50.0</a:t>
          </a:r>
        </a:p>
      </xdr:txBody>
    </xdr:sp>
    <xdr:clientData/>
  </xdr:twoCellAnchor>
  <xdr:twoCellAnchor>
    <xdr:from>
      <xdr:col>2</xdr:col>
      <xdr:colOff>361133</xdr:colOff>
      <xdr:row>42</xdr:row>
      <xdr:rowOff>51557</xdr:rowOff>
    </xdr:from>
    <xdr:to>
      <xdr:col>3</xdr:col>
      <xdr:colOff>74686</xdr:colOff>
      <xdr:row>42</xdr:row>
      <xdr:rowOff>156332</xdr:rowOff>
    </xdr:to>
    <xdr:sp macro="" textlink="">
      <xdr:nvSpPr>
        <xdr:cNvPr id="10" name="Thickness">
          <a:extLst>
            <a:ext uri="{FF2B5EF4-FFF2-40B4-BE49-F238E27FC236}">
              <a16:creationId xmlns:a16="http://schemas.microsoft.com/office/drawing/2014/main" id="{B0913808-0AF8-4AFF-AE13-BB9F421B7E87}"/>
            </a:ext>
          </a:extLst>
        </xdr:cNvPr>
        <xdr:cNvSpPr txBox="1">
          <a:spLocks noChangeArrowheads="1"/>
        </xdr:cNvSpPr>
      </xdr:nvSpPr>
      <xdr:spPr bwMode="auto">
        <a:xfrm>
          <a:off x="1561283" y="9719432"/>
          <a:ext cx="20885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70.0</a:t>
          </a:r>
        </a:p>
      </xdr:txBody>
    </xdr:sp>
    <xdr:clientData/>
  </xdr:twoCellAnchor>
  <xdr:twoCellAnchor>
    <xdr:from>
      <xdr:col>3</xdr:col>
      <xdr:colOff>200025</xdr:colOff>
      <xdr:row>35</xdr:row>
      <xdr:rowOff>123825</xdr:rowOff>
    </xdr:from>
    <xdr:to>
      <xdr:col>3</xdr:col>
      <xdr:colOff>506791</xdr:colOff>
      <xdr:row>36</xdr:row>
      <xdr:rowOff>28575</xdr:rowOff>
    </xdr:to>
    <xdr:sp macro="" textlink="">
      <xdr:nvSpPr>
        <xdr:cNvPr id="11" name="Depth2">
          <a:extLst>
            <a:ext uri="{FF2B5EF4-FFF2-40B4-BE49-F238E27FC236}">
              <a16:creationId xmlns:a16="http://schemas.microsoft.com/office/drawing/2014/main" id="{B5E56D08-3A59-44A3-83A5-E3C838D8CF00}"/>
            </a:ext>
          </a:extLst>
        </xdr:cNvPr>
        <xdr:cNvSpPr txBox="1">
          <a:spLocks noChangeArrowheads="1"/>
        </xdr:cNvSpPr>
      </xdr:nvSpPr>
      <xdr:spPr bwMode="auto">
        <a:xfrm>
          <a:off x="1895475" y="8191500"/>
          <a:ext cx="306766"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36.41</a:t>
          </a:r>
        </a:p>
      </xdr:txBody>
    </xdr:sp>
    <xdr:clientData/>
  </xdr:twoCellAnchor>
  <xdr:twoCellAnchor>
    <xdr:from>
      <xdr:col>1</xdr:col>
      <xdr:colOff>190500</xdr:colOff>
      <xdr:row>33</xdr:row>
      <xdr:rowOff>180975</xdr:rowOff>
    </xdr:from>
    <xdr:to>
      <xdr:col>2</xdr:col>
      <xdr:colOff>9525</xdr:colOff>
      <xdr:row>34</xdr:row>
      <xdr:rowOff>66675</xdr:rowOff>
    </xdr:to>
    <xdr:sp macro="" textlink="">
      <xdr:nvSpPr>
        <xdr:cNvPr id="12" name="Tip2">
          <a:extLst>
            <a:ext uri="{FF2B5EF4-FFF2-40B4-BE49-F238E27FC236}">
              <a16:creationId xmlns:a16="http://schemas.microsoft.com/office/drawing/2014/main" id="{F8AA4864-2B6A-48E5-BACC-1E5691E6437A}"/>
            </a:ext>
          </a:extLst>
        </xdr:cNvPr>
        <xdr:cNvSpPr txBox="1">
          <a:spLocks noChangeArrowheads="1"/>
        </xdr:cNvSpPr>
      </xdr:nvSpPr>
      <xdr:spPr bwMode="auto">
        <a:xfrm>
          <a:off x="981075" y="7791450"/>
          <a:ext cx="228600"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161925</xdr:colOff>
      <xdr:row>33</xdr:row>
      <xdr:rowOff>38100</xdr:rowOff>
    </xdr:from>
    <xdr:to>
      <xdr:col>2</xdr:col>
      <xdr:colOff>487829</xdr:colOff>
      <xdr:row>33</xdr:row>
      <xdr:rowOff>180975</xdr:rowOff>
    </xdr:to>
    <xdr:sp macro="" textlink="">
      <xdr:nvSpPr>
        <xdr:cNvPr id="13" name="Opening">
          <a:extLst>
            <a:ext uri="{FF2B5EF4-FFF2-40B4-BE49-F238E27FC236}">
              <a16:creationId xmlns:a16="http://schemas.microsoft.com/office/drawing/2014/main" id="{8CDF27EE-36C2-4359-8D06-FA38AB8FB07D}"/>
            </a:ext>
          </a:extLst>
        </xdr:cNvPr>
        <xdr:cNvSpPr txBox="1">
          <a:spLocks noChangeArrowheads="1"/>
        </xdr:cNvSpPr>
      </xdr:nvSpPr>
      <xdr:spPr bwMode="auto">
        <a:xfrm>
          <a:off x="1362075" y="7648575"/>
          <a:ext cx="325904" cy="1428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144780</xdr:colOff>
      <xdr:row>36</xdr:row>
      <xdr:rowOff>190500</xdr:rowOff>
    </xdr:from>
    <xdr:to>
      <xdr:col>3</xdr:col>
      <xdr:colOff>91</xdr:colOff>
      <xdr:row>37</xdr:row>
      <xdr:rowOff>66675</xdr:rowOff>
    </xdr:to>
    <xdr:sp macro="" textlink="">
      <xdr:nvSpPr>
        <xdr:cNvPr id="14" name="Width3">
          <a:extLst>
            <a:ext uri="{FF2B5EF4-FFF2-40B4-BE49-F238E27FC236}">
              <a16:creationId xmlns:a16="http://schemas.microsoft.com/office/drawing/2014/main" id="{1F79F9A0-B196-4F5A-A8EB-BFBD4A4D89C9}"/>
            </a:ext>
          </a:extLst>
        </xdr:cNvPr>
        <xdr:cNvSpPr txBox="1">
          <a:spLocks noChangeArrowheads="1"/>
        </xdr:cNvSpPr>
      </xdr:nvSpPr>
      <xdr:spPr bwMode="auto">
        <a:xfrm>
          <a:off x="1344930" y="8486775"/>
          <a:ext cx="350611"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14.12</a:t>
          </a:r>
        </a:p>
      </xdr:txBody>
    </xdr:sp>
    <xdr:clientData/>
  </xdr:twoCellAnchor>
  <xdr:twoCellAnchor>
    <xdr:from>
      <xdr:col>2</xdr:col>
      <xdr:colOff>161925</xdr:colOff>
      <xdr:row>34</xdr:row>
      <xdr:rowOff>161925</xdr:rowOff>
    </xdr:from>
    <xdr:to>
      <xdr:col>2</xdr:col>
      <xdr:colOff>487829</xdr:colOff>
      <xdr:row>35</xdr:row>
      <xdr:rowOff>66675</xdr:rowOff>
    </xdr:to>
    <xdr:sp macro="" textlink="">
      <xdr:nvSpPr>
        <xdr:cNvPr id="15" name="Width2">
          <a:extLst>
            <a:ext uri="{FF2B5EF4-FFF2-40B4-BE49-F238E27FC236}">
              <a16:creationId xmlns:a16="http://schemas.microsoft.com/office/drawing/2014/main" id="{2E925095-9530-4F6E-BB5C-AD6BDFCC2FE4}"/>
            </a:ext>
          </a:extLst>
        </xdr:cNvPr>
        <xdr:cNvSpPr txBox="1">
          <a:spLocks noChangeArrowheads="1"/>
        </xdr:cNvSpPr>
      </xdr:nvSpPr>
      <xdr:spPr bwMode="auto">
        <a:xfrm>
          <a:off x="1362075" y="8001000"/>
          <a:ext cx="325904" cy="1333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4.72</a:t>
          </a:r>
        </a:p>
      </xdr:txBody>
    </xdr:sp>
    <xdr:clientData/>
  </xdr:twoCellAnchor>
  <xdr:twoCellAnchor>
    <xdr:from>
      <xdr:col>1</xdr:col>
      <xdr:colOff>390525</xdr:colOff>
      <xdr:row>33</xdr:row>
      <xdr:rowOff>171450</xdr:rowOff>
    </xdr:from>
    <xdr:to>
      <xdr:col>3</xdr:col>
      <xdr:colOff>352425</xdr:colOff>
      <xdr:row>37</xdr:row>
      <xdr:rowOff>209550</xdr:rowOff>
    </xdr:to>
    <xdr:grpSp>
      <xdr:nvGrpSpPr>
        <xdr:cNvPr id="16" name="Group 190">
          <a:extLst>
            <a:ext uri="{FF2B5EF4-FFF2-40B4-BE49-F238E27FC236}">
              <a16:creationId xmlns:a16="http://schemas.microsoft.com/office/drawing/2014/main" id="{09C76C47-0E3B-402E-866A-53AECE843254}"/>
            </a:ext>
          </a:extLst>
        </xdr:cNvPr>
        <xdr:cNvGrpSpPr>
          <a:grpSpLocks/>
        </xdr:cNvGrpSpPr>
      </xdr:nvGrpSpPr>
      <xdr:grpSpPr bwMode="auto">
        <a:xfrm>
          <a:off x="1181100" y="7781925"/>
          <a:ext cx="866775" cy="952500"/>
          <a:chOff x="120" y="793"/>
          <a:chExt cx="91" cy="100"/>
        </a:xfrm>
      </xdr:grpSpPr>
      <xdr:sp macro="" textlink="">
        <xdr:nvSpPr>
          <xdr:cNvPr id="17" name="Line 100">
            <a:extLst>
              <a:ext uri="{FF2B5EF4-FFF2-40B4-BE49-F238E27FC236}">
                <a16:creationId xmlns:a16="http://schemas.microsoft.com/office/drawing/2014/main" id="{7BA914EF-34FD-22BC-9F59-4936942D2B3B}"/>
              </a:ext>
            </a:extLst>
          </xdr:cNvPr>
          <xdr:cNvSpPr>
            <a:spLocks noChangeShapeType="1"/>
          </xdr:cNvSpPr>
        </xdr:nvSpPr>
        <xdr:spPr bwMode="auto">
          <a:xfrm>
            <a:off x="139" y="813"/>
            <a:ext cx="3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149">
            <a:extLst>
              <a:ext uri="{FF2B5EF4-FFF2-40B4-BE49-F238E27FC236}">
                <a16:creationId xmlns:a16="http://schemas.microsoft.com/office/drawing/2014/main" id="{67011B71-5DC5-79DD-A674-3D07808A5440}"/>
              </a:ext>
            </a:extLst>
          </xdr:cNvPr>
          <xdr:cNvSpPr>
            <a:spLocks noChangeShapeType="1"/>
          </xdr:cNvSpPr>
        </xdr:nvSpPr>
        <xdr:spPr bwMode="auto">
          <a:xfrm>
            <a:off x="128"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150">
            <a:extLst>
              <a:ext uri="{FF2B5EF4-FFF2-40B4-BE49-F238E27FC236}">
                <a16:creationId xmlns:a16="http://schemas.microsoft.com/office/drawing/2014/main" id="{73A326E5-03A2-8D9F-11D9-75EC98F438FD}"/>
              </a:ext>
            </a:extLst>
          </xdr:cNvPr>
          <xdr:cNvSpPr>
            <a:spLocks noChangeShapeType="1"/>
          </xdr:cNvSpPr>
        </xdr:nvSpPr>
        <xdr:spPr bwMode="auto">
          <a:xfrm flipH="1">
            <a:off x="164" y="793"/>
            <a:ext cx="1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51">
            <a:extLst>
              <a:ext uri="{FF2B5EF4-FFF2-40B4-BE49-F238E27FC236}">
                <a16:creationId xmlns:a16="http://schemas.microsoft.com/office/drawing/2014/main" id="{75E7DB94-1F34-5523-D475-E9322D4297F7}"/>
              </a:ext>
            </a:extLst>
          </xdr:cNvPr>
          <xdr:cNvSpPr>
            <a:spLocks noChangeShapeType="1"/>
          </xdr:cNvSpPr>
        </xdr:nvSpPr>
        <xdr:spPr bwMode="auto">
          <a:xfrm flipH="1">
            <a:off x="127" y="879"/>
            <a:ext cx="19"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1" name="Line 152">
            <a:extLst>
              <a:ext uri="{FF2B5EF4-FFF2-40B4-BE49-F238E27FC236}">
                <a16:creationId xmlns:a16="http://schemas.microsoft.com/office/drawing/2014/main" id="{CD22D360-7435-7DB0-5380-A4048A77CAE3}"/>
              </a:ext>
            </a:extLst>
          </xdr:cNvPr>
          <xdr:cNvSpPr>
            <a:spLocks noChangeShapeType="1"/>
          </xdr:cNvSpPr>
        </xdr:nvSpPr>
        <xdr:spPr bwMode="auto">
          <a:xfrm>
            <a:off x="147" y="880"/>
            <a:ext cx="37"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2" name="Line 156">
            <a:extLst>
              <a:ext uri="{FF2B5EF4-FFF2-40B4-BE49-F238E27FC236}">
                <a16:creationId xmlns:a16="http://schemas.microsoft.com/office/drawing/2014/main" id="{62816E07-59D5-EF62-0E69-7AB29E649026}"/>
              </a:ext>
            </a:extLst>
          </xdr:cNvPr>
          <xdr:cNvSpPr>
            <a:spLocks noChangeShapeType="1"/>
          </xdr:cNvSpPr>
        </xdr:nvSpPr>
        <xdr:spPr bwMode="auto">
          <a:xfrm flipV="1">
            <a:off x="194" y="8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157">
            <a:extLst>
              <a:ext uri="{FF2B5EF4-FFF2-40B4-BE49-F238E27FC236}">
                <a16:creationId xmlns:a16="http://schemas.microsoft.com/office/drawing/2014/main" id="{64A2FEF7-8536-9B39-4DFD-67AB29AF01E2}"/>
              </a:ext>
            </a:extLst>
          </xdr:cNvPr>
          <xdr:cNvSpPr>
            <a:spLocks noChangeShapeType="1"/>
          </xdr:cNvSpPr>
        </xdr:nvSpPr>
        <xdr:spPr bwMode="auto">
          <a:xfrm flipV="1">
            <a:off x="204" y="794"/>
            <a:ext cx="0" cy="3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4" name="Line 158">
            <a:extLst>
              <a:ext uri="{FF2B5EF4-FFF2-40B4-BE49-F238E27FC236}">
                <a16:creationId xmlns:a16="http://schemas.microsoft.com/office/drawing/2014/main" id="{6FF0491B-C335-559D-5FE8-0DC01DFC8995}"/>
              </a:ext>
            </a:extLst>
          </xdr:cNvPr>
          <xdr:cNvSpPr>
            <a:spLocks noChangeShapeType="1"/>
          </xdr:cNvSpPr>
        </xdr:nvSpPr>
        <xdr:spPr bwMode="auto">
          <a:xfrm>
            <a:off x="204" y="849"/>
            <a:ext cx="0" cy="4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5" name="Line 159">
            <a:extLst>
              <a:ext uri="{FF2B5EF4-FFF2-40B4-BE49-F238E27FC236}">
                <a16:creationId xmlns:a16="http://schemas.microsoft.com/office/drawing/2014/main" id="{A451B729-ADDE-7359-5700-B8954B33449A}"/>
              </a:ext>
            </a:extLst>
          </xdr:cNvPr>
          <xdr:cNvSpPr>
            <a:spLocks noChangeShapeType="1"/>
          </xdr:cNvSpPr>
        </xdr:nvSpPr>
        <xdr:spPr bwMode="auto">
          <a:xfrm>
            <a:off x="194" y="793"/>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160">
            <a:extLst>
              <a:ext uri="{FF2B5EF4-FFF2-40B4-BE49-F238E27FC236}">
                <a16:creationId xmlns:a16="http://schemas.microsoft.com/office/drawing/2014/main" id="{C7903F37-C283-972A-1567-FA8090E313EA}"/>
              </a:ext>
            </a:extLst>
          </xdr:cNvPr>
          <xdr:cNvSpPr>
            <a:spLocks noChangeShapeType="1"/>
          </xdr:cNvSpPr>
        </xdr:nvSpPr>
        <xdr:spPr bwMode="auto">
          <a:xfrm flipH="1">
            <a:off x="120" y="804"/>
            <a:ext cx="2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161">
            <a:extLst>
              <a:ext uri="{FF2B5EF4-FFF2-40B4-BE49-F238E27FC236}">
                <a16:creationId xmlns:a16="http://schemas.microsoft.com/office/drawing/2014/main" id="{F18C0152-4DAE-B4AD-A6CC-5989C2370A4C}"/>
              </a:ext>
            </a:extLst>
          </xdr:cNvPr>
          <xdr:cNvSpPr>
            <a:spLocks noChangeShapeType="1"/>
          </xdr:cNvSpPr>
        </xdr:nvSpPr>
        <xdr:spPr bwMode="auto">
          <a:xfrm flipV="1">
            <a:off x="127" y="874"/>
            <a:ext cx="0" cy="1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162">
            <a:extLst>
              <a:ext uri="{FF2B5EF4-FFF2-40B4-BE49-F238E27FC236}">
                <a16:creationId xmlns:a16="http://schemas.microsoft.com/office/drawing/2014/main" id="{42C69EC0-7734-5EC4-A233-F1E19F68603A}"/>
              </a:ext>
            </a:extLst>
          </xdr:cNvPr>
          <xdr:cNvSpPr>
            <a:spLocks noChangeShapeType="1"/>
          </xdr:cNvSpPr>
        </xdr:nvSpPr>
        <xdr:spPr bwMode="auto">
          <a:xfrm flipV="1">
            <a:off x="184" y="871"/>
            <a:ext cx="0" cy="2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163">
            <a:extLst>
              <a:ext uri="{FF2B5EF4-FFF2-40B4-BE49-F238E27FC236}">
                <a16:creationId xmlns:a16="http://schemas.microsoft.com/office/drawing/2014/main" id="{2A82D411-45AD-DC5D-9B39-BF9CF3FE708B}"/>
              </a:ext>
            </a:extLst>
          </xdr:cNvPr>
          <xdr:cNvSpPr>
            <a:spLocks noChangeShapeType="1"/>
          </xdr:cNvSpPr>
        </xdr:nvSpPr>
        <xdr:spPr bwMode="auto">
          <a:xfrm flipV="1">
            <a:off x="137" y="804"/>
            <a:ext cx="1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164">
            <a:extLst>
              <a:ext uri="{FF2B5EF4-FFF2-40B4-BE49-F238E27FC236}">
                <a16:creationId xmlns:a16="http://schemas.microsoft.com/office/drawing/2014/main" id="{503834BC-7991-8E27-970C-6E1B8C8CB754}"/>
              </a:ext>
            </a:extLst>
          </xdr:cNvPr>
          <xdr:cNvSpPr>
            <a:spLocks noChangeShapeType="1"/>
          </xdr:cNvSpPr>
        </xdr:nvSpPr>
        <xdr:spPr bwMode="auto">
          <a:xfrm flipH="1">
            <a:off x="127" y="813"/>
            <a:ext cx="10"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165">
            <a:extLst>
              <a:ext uri="{FF2B5EF4-FFF2-40B4-BE49-F238E27FC236}">
                <a16:creationId xmlns:a16="http://schemas.microsoft.com/office/drawing/2014/main" id="{D1035A65-599B-6FB4-E8E4-C2FBE8187A1B}"/>
              </a:ext>
            </a:extLst>
          </xdr:cNvPr>
          <xdr:cNvSpPr>
            <a:spLocks noChangeShapeType="1"/>
          </xdr:cNvSpPr>
        </xdr:nvSpPr>
        <xdr:spPr bwMode="auto">
          <a:xfrm flipV="1">
            <a:off x="147"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166">
            <a:extLst>
              <a:ext uri="{FF2B5EF4-FFF2-40B4-BE49-F238E27FC236}">
                <a16:creationId xmlns:a16="http://schemas.microsoft.com/office/drawing/2014/main" id="{79F81E88-AB2D-853D-C3CE-D4D6554AE3DB}"/>
              </a:ext>
            </a:extLst>
          </xdr:cNvPr>
          <xdr:cNvSpPr>
            <a:spLocks noChangeShapeType="1"/>
          </xdr:cNvSpPr>
        </xdr:nvSpPr>
        <xdr:spPr bwMode="auto">
          <a:xfrm>
            <a:off x="164"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168">
            <a:extLst>
              <a:ext uri="{FF2B5EF4-FFF2-40B4-BE49-F238E27FC236}">
                <a16:creationId xmlns:a16="http://schemas.microsoft.com/office/drawing/2014/main" id="{43793CDE-BE47-F667-52E5-FC6A8D769F6A}"/>
              </a:ext>
            </a:extLst>
          </xdr:cNvPr>
          <xdr:cNvSpPr>
            <a:spLocks noChangeShapeType="1"/>
          </xdr:cNvSpPr>
        </xdr:nvSpPr>
        <xdr:spPr bwMode="auto">
          <a:xfrm>
            <a:off x="132" y="793"/>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169">
            <a:extLst>
              <a:ext uri="{FF2B5EF4-FFF2-40B4-BE49-F238E27FC236}">
                <a16:creationId xmlns:a16="http://schemas.microsoft.com/office/drawing/2014/main" id="{19765D67-D036-ABEC-903A-40E72C03CA55}"/>
              </a:ext>
            </a:extLst>
          </xdr:cNvPr>
          <xdr:cNvSpPr>
            <a:spLocks noChangeShapeType="1"/>
          </xdr:cNvSpPr>
        </xdr:nvSpPr>
        <xdr:spPr bwMode="auto">
          <a:xfrm flipH="1" flipV="1">
            <a:off x="132"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170">
            <a:extLst>
              <a:ext uri="{FF2B5EF4-FFF2-40B4-BE49-F238E27FC236}">
                <a16:creationId xmlns:a16="http://schemas.microsoft.com/office/drawing/2014/main" id="{B3BEE1B6-FA08-D7BF-4A66-139DA81EACA0}"/>
              </a:ext>
            </a:extLst>
          </xdr:cNvPr>
          <xdr:cNvSpPr>
            <a:spLocks noChangeShapeType="1"/>
          </xdr:cNvSpPr>
        </xdr:nvSpPr>
        <xdr:spPr bwMode="auto">
          <a:xfrm flipV="1">
            <a:off x="130" y="793"/>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171">
            <a:extLst>
              <a:ext uri="{FF2B5EF4-FFF2-40B4-BE49-F238E27FC236}">
                <a16:creationId xmlns:a16="http://schemas.microsoft.com/office/drawing/2014/main" id="{1CE50BCD-E73B-D320-D555-040BA50D2803}"/>
              </a:ext>
            </a:extLst>
          </xdr:cNvPr>
          <xdr:cNvSpPr>
            <a:spLocks noChangeShapeType="1"/>
          </xdr:cNvSpPr>
        </xdr:nvSpPr>
        <xdr:spPr bwMode="auto">
          <a:xfrm flipV="1">
            <a:off x="132"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172">
            <a:extLst>
              <a:ext uri="{FF2B5EF4-FFF2-40B4-BE49-F238E27FC236}">
                <a16:creationId xmlns:a16="http://schemas.microsoft.com/office/drawing/2014/main" id="{9970FC5E-5CAD-91CF-F6AF-5FDCEC5ED204}"/>
              </a:ext>
            </a:extLst>
          </xdr:cNvPr>
          <xdr:cNvSpPr>
            <a:spLocks noChangeShapeType="1"/>
          </xdr:cNvSpPr>
        </xdr:nvSpPr>
        <xdr:spPr bwMode="auto">
          <a:xfrm flipH="1" flipV="1">
            <a:off x="130" y="800"/>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173">
            <a:extLst>
              <a:ext uri="{FF2B5EF4-FFF2-40B4-BE49-F238E27FC236}">
                <a16:creationId xmlns:a16="http://schemas.microsoft.com/office/drawing/2014/main" id="{87B8F03C-DF0D-34DB-5E4C-FAA27A24F43C}"/>
              </a:ext>
            </a:extLst>
          </xdr:cNvPr>
          <xdr:cNvSpPr>
            <a:spLocks noChangeShapeType="1"/>
          </xdr:cNvSpPr>
        </xdr:nvSpPr>
        <xdr:spPr bwMode="auto">
          <a:xfrm>
            <a:off x="173" y="813"/>
            <a:ext cx="11" cy="7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174">
            <a:extLst>
              <a:ext uri="{FF2B5EF4-FFF2-40B4-BE49-F238E27FC236}">
                <a16:creationId xmlns:a16="http://schemas.microsoft.com/office/drawing/2014/main" id="{1D847388-4C03-6C2B-994A-3D8EA8C71C81}"/>
              </a:ext>
            </a:extLst>
          </xdr:cNvPr>
          <xdr:cNvSpPr>
            <a:spLocks noChangeShapeType="1"/>
          </xdr:cNvSpPr>
        </xdr:nvSpPr>
        <xdr:spPr bwMode="auto">
          <a:xfrm>
            <a:off x="164" y="805"/>
            <a:ext cx="9"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175">
            <a:extLst>
              <a:ext uri="{FF2B5EF4-FFF2-40B4-BE49-F238E27FC236}">
                <a16:creationId xmlns:a16="http://schemas.microsoft.com/office/drawing/2014/main" id="{4B9C879C-7082-7B18-535A-6660F7C6E34C}"/>
              </a:ext>
            </a:extLst>
          </xdr:cNvPr>
          <xdr:cNvSpPr>
            <a:spLocks noChangeShapeType="1"/>
          </xdr:cNvSpPr>
        </xdr:nvSpPr>
        <xdr:spPr bwMode="auto">
          <a:xfrm>
            <a:off x="127" y="893"/>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176">
            <a:extLst>
              <a:ext uri="{FF2B5EF4-FFF2-40B4-BE49-F238E27FC236}">
                <a16:creationId xmlns:a16="http://schemas.microsoft.com/office/drawing/2014/main" id="{8F1AB457-37A0-33A3-9463-CDD6D05EFF34}"/>
              </a:ext>
            </a:extLst>
          </xdr:cNvPr>
          <xdr:cNvSpPr>
            <a:spLocks noChangeShapeType="1"/>
          </xdr:cNvSpPr>
        </xdr:nvSpPr>
        <xdr:spPr bwMode="auto">
          <a:xfrm>
            <a:off x="147" y="796"/>
            <a:ext cx="1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177">
            <a:extLst>
              <a:ext uri="{FF2B5EF4-FFF2-40B4-BE49-F238E27FC236}">
                <a16:creationId xmlns:a16="http://schemas.microsoft.com/office/drawing/2014/main" id="{69A7DD79-7870-C021-0A9A-05F38A933093}"/>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178">
            <a:extLst>
              <a:ext uri="{FF2B5EF4-FFF2-40B4-BE49-F238E27FC236}">
                <a16:creationId xmlns:a16="http://schemas.microsoft.com/office/drawing/2014/main" id="{41DC77C3-138A-1B56-33BC-3CF1B96A0A3E}"/>
              </a:ext>
            </a:extLst>
          </xdr:cNvPr>
          <xdr:cNvSpPr>
            <a:spLocks noChangeShapeType="1"/>
          </xdr:cNvSpPr>
        </xdr:nvSpPr>
        <xdr:spPr bwMode="auto">
          <a:xfrm flipH="1" flipV="1">
            <a:off x="147"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179">
            <a:extLst>
              <a:ext uri="{FF2B5EF4-FFF2-40B4-BE49-F238E27FC236}">
                <a16:creationId xmlns:a16="http://schemas.microsoft.com/office/drawing/2014/main" id="{45CF8F78-7525-9FC9-3652-F9EE3A3DDCB6}"/>
              </a:ext>
            </a:extLst>
          </xdr:cNvPr>
          <xdr:cNvSpPr>
            <a:spLocks noChangeShapeType="1"/>
          </xdr:cNvSpPr>
        </xdr:nvSpPr>
        <xdr:spPr bwMode="auto">
          <a:xfrm flipH="1">
            <a:off x="147"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180">
            <a:extLst>
              <a:ext uri="{FF2B5EF4-FFF2-40B4-BE49-F238E27FC236}">
                <a16:creationId xmlns:a16="http://schemas.microsoft.com/office/drawing/2014/main" id="{DE5DAB0B-D663-02EB-69D3-47050F925532}"/>
              </a:ext>
            </a:extLst>
          </xdr:cNvPr>
          <xdr:cNvSpPr>
            <a:spLocks noChangeShapeType="1"/>
          </xdr:cNvSpPr>
        </xdr:nvSpPr>
        <xdr:spPr bwMode="auto">
          <a:xfrm flipV="1">
            <a:off x="161" y="796"/>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181">
            <a:extLst>
              <a:ext uri="{FF2B5EF4-FFF2-40B4-BE49-F238E27FC236}">
                <a16:creationId xmlns:a16="http://schemas.microsoft.com/office/drawing/2014/main" id="{8786F3A4-78E2-299C-F29B-E45AC16A6C56}"/>
              </a:ext>
            </a:extLst>
          </xdr:cNvPr>
          <xdr:cNvSpPr>
            <a:spLocks noChangeShapeType="1"/>
          </xdr:cNvSpPr>
        </xdr:nvSpPr>
        <xdr:spPr bwMode="auto">
          <a:xfrm>
            <a:off x="161" y="794"/>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82">
            <a:extLst>
              <a:ext uri="{FF2B5EF4-FFF2-40B4-BE49-F238E27FC236}">
                <a16:creationId xmlns:a16="http://schemas.microsoft.com/office/drawing/2014/main" id="{80CAE9C7-A28D-2254-79F5-E86D99D5ABE4}"/>
              </a:ext>
            </a:extLst>
          </xdr:cNvPr>
          <xdr:cNvSpPr>
            <a:spLocks noChangeShapeType="1"/>
          </xdr:cNvSpPr>
        </xdr:nvSpPr>
        <xdr:spPr bwMode="auto">
          <a:xfrm flipH="1" flipV="1">
            <a:off x="139" y="813"/>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83">
            <a:extLst>
              <a:ext uri="{FF2B5EF4-FFF2-40B4-BE49-F238E27FC236}">
                <a16:creationId xmlns:a16="http://schemas.microsoft.com/office/drawing/2014/main" id="{A45D3046-6EB8-CE31-35A0-769C3B84265F}"/>
              </a:ext>
            </a:extLst>
          </xdr:cNvPr>
          <xdr:cNvSpPr>
            <a:spLocks noChangeShapeType="1"/>
          </xdr:cNvSpPr>
        </xdr:nvSpPr>
        <xdr:spPr bwMode="auto">
          <a:xfrm flipV="1">
            <a:off x="168" y="813"/>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84">
            <a:extLst>
              <a:ext uri="{FF2B5EF4-FFF2-40B4-BE49-F238E27FC236}">
                <a16:creationId xmlns:a16="http://schemas.microsoft.com/office/drawing/2014/main" id="{15E90E0A-D6A7-0AB9-3FF1-A7901D93A921}"/>
              </a:ext>
            </a:extLst>
          </xdr:cNvPr>
          <xdr:cNvSpPr>
            <a:spLocks noChangeShapeType="1"/>
          </xdr:cNvSpPr>
        </xdr:nvSpPr>
        <xdr:spPr bwMode="auto">
          <a:xfrm flipH="1" flipV="1">
            <a:off x="168" y="811"/>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85">
            <a:extLst>
              <a:ext uri="{FF2B5EF4-FFF2-40B4-BE49-F238E27FC236}">
                <a16:creationId xmlns:a16="http://schemas.microsoft.com/office/drawing/2014/main" id="{AF1F4F17-688E-FE0B-5E92-BC533DEB26F4}"/>
              </a:ext>
            </a:extLst>
          </xdr:cNvPr>
          <xdr:cNvSpPr>
            <a:spLocks noChangeShapeType="1"/>
          </xdr:cNvSpPr>
        </xdr:nvSpPr>
        <xdr:spPr bwMode="auto">
          <a:xfrm flipV="1">
            <a:off x="139" y="811"/>
            <a:ext cx="4"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123825</xdr:colOff>
      <xdr:row>29</xdr:row>
      <xdr:rowOff>85725</xdr:rowOff>
    </xdr:from>
    <xdr:to>
      <xdr:col>3</xdr:col>
      <xdr:colOff>411649</xdr:colOff>
      <xdr:row>29</xdr:row>
      <xdr:rowOff>202266</xdr:rowOff>
    </xdr:to>
    <xdr:sp macro="" textlink="">
      <xdr:nvSpPr>
        <xdr:cNvPr id="51" name="Depth">
          <a:extLst>
            <a:ext uri="{FF2B5EF4-FFF2-40B4-BE49-F238E27FC236}">
              <a16:creationId xmlns:a16="http://schemas.microsoft.com/office/drawing/2014/main" id="{C7C3460F-1F62-449B-946B-37E8C04369EF}"/>
            </a:ext>
          </a:extLst>
        </xdr:cNvPr>
        <xdr:cNvSpPr txBox="1">
          <a:spLocks noChangeArrowheads="1"/>
        </xdr:cNvSpPr>
      </xdr:nvSpPr>
      <xdr:spPr bwMode="auto">
        <a:xfrm>
          <a:off x="1819275" y="6781800"/>
          <a:ext cx="287824"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62.5</a:t>
          </a:r>
        </a:p>
      </xdr:txBody>
    </xdr:sp>
    <xdr:clientData/>
  </xdr:twoCellAnchor>
  <xdr:twoCellAnchor>
    <xdr:from>
      <xdr:col>1</xdr:col>
      <xdr:colOff>38100</xdr:colOff>
      <xdr:row>31</xdr:row>
      <xdr:rowOff>0</xdr:rowOff>
    </xdr:from>
    <xdr:to>
      <xdr:col>2</xdr:col>
      <xdr:colOff>11505</xdr:colOff>
      <xdr:row>31</xdr:row>
      <xdr:rowOff>104775</xdr:rowOff>
    </xdr:to>
    <xdr:sp macro="" textlink="">
      <xdr:nvSpPr>
        <xdr:cNvPr id="52" name="Tip">
          <a:extLst>
            <a:ext uri="{FF2B5EF4-FFF2-40B4-BE49-F238E27FC236}">
              <a16:creationId xmlns:a16="http://schemas.microsoft.com/office/drawing/2014/main" id="{CC42E215-7FEF-4706-AA67-41A8466A7AEB}"/>
            </a:ext>
          </a:extLst>
        </xdr:cNvPr>
        <xdr:cNvSpPr txBox="1">
          <a:spLocks noChangeArrowheads="1"/>
        </xdr:cNvSpPr>
      </xdr:nvSpPr>
      <xdr:spPr bwMode="auto">
        <a:xfrm>
          <a:off x="828675" y="7153275"/>
          <a:ext cx="38298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144780</xdr:colOff>
      <xdr:row>26</xdr:row>
      <xdr:rowOff>200025</xdr:rowOff>
    </xdr:from>
    <xdr:to>
      <xdr:col>3</xdr:col>
      <xdr:colOff>47743</xdr:colOff>
      <xdr:row>27</xdr:row>
      <xdr:rowOff>66675</xdr:rowOff>
    </xdr:to>
    <xdr:sp macro="" textlink="">
      <xdr:nvSpPr>
        <xdr:cNvPr id="53" name="Width">
          <a:extLst>
            <a:ext uri="{FF2B5EF4-FFF2-40B4-BE49-F238E27FC236}">
              <a16:creationId xmlns:a16="http://schemas.microsoft.com/office/drawing/2014/main" id="{923D6800-BB1B-4F86-B952-E0F75BE772B8}"/>
            </a:ext>
          </a:extLst>
        </xdr:cNvPr>
        <xdr:cNvSpPr txBox="1">
          <a:spLocks noChangeArrowheads="1"/>
        </xdr:cNvSpPr>
      </xdr:nvSpPr>
      <xdr:spPr bwMode="auto">
        <a:xfrm>
          <a:off x="1344930" y="6210300"/>
          <a:ext cx="398263"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14.5</a:t>
          </a:r>
        </a:p>
      </xdr:txBody>
    </xdr:sp>
    <xdr:clientData/>
  </xdr:twoCellAnchor>
  <xdr:twoCellAnchor>
    <xdr:from>
      <xdr:col>1</xdr:col>
      <xdr:colOff>333375</xdr:colOff>
      <xdr:row>27</xdr:row>
      <xdr:rowOff>57150</xdr:rowOff>
    </xdr:from>
    <xdr:to>
      <xdr:col>3</xdr:col>
      <xdr:colOff>371475</xdr:colOff>
      <xdr:row>31</xdr:row>
      <xdr:rowOff>219075</xdr:rowOff>
    </xdr:to>
    <xdr:grpSp>
      <xdr:nvGrpSpPr>
        <xdr:cNvPr id="54" name="Group 254">
          <a:extLst>
            <a:ext uri="{FF2B5EF4-FFF2-40B4-BE49-F238E27FC236}">
              <a16:creationId xmlns:a16="http://schemas.microsoft.com/office/drawing/2014/main" id="{B5274E71-D6B9-49B9-9C1E-D4FC237C8413}"/>
            </a:ext>
          </a:extLst>
        </xdr:cNvPr>
        <xdr:cNvGrpSpPr>
          <a:grpSpLocks/>
        </xdr:cNvGrpSpPr>
      </xdr:nvGrpSpPr>
      <xdr:grpSpPr bwMode="auto">
        <a:xfrm>
          <a:off x="1123950" y="6296025"/>
          <a:ext cx="942975" cy="1076325"/>
          <a:chOff x="118" y="637"/>
          <a:chExt cx="99" cy="113"/>
        </a:xfrm>
      </xdr:grpSpPr>
      <xdr:sp macro="" textlink="">
        <xdr:nvSpPr>
          <xdr:cNvPr id="55" name="Line 229">
            <a:extLst>
              <a:ext uri="{FF2B5EF4-FFF2-40B4-BE49-F238E27FC236}">
                <a16:creationId xmlns:a16="http://schemas.microsoft.com/office/drawing/2014/main" id="{004C815C-1A02-06ED-E6A9-0EA70D0E6BC2}"/>
              </a:ext>
            </a:extLst>
          </xdr:cNvPr>
          <xdr:cNvSpPr>
            <a:spLocks noChangeShapeType="1"/>
          </xdr:cNvSpPr>
        </xdr:nvSpPr>
        <xdr:spPr bwMode="auto">
          <a:xfrm flipH="1">
            <a:off x="182" y="651"/>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230">
            <a:extLst>
              <a:ext uri="{FF2B5EF4-FFF2-40B4-BE49-F238E27FC236}">
                <a16:creationId xmlns:a16="http://schemas.microsoft.com/office/drawing/2014/main" id="{3F644422-E51D-4447-2D59-5A9C7B19B856}"/>
              </a:ext>
            </a:extLst>
          </xdr:cNvPr>
          <xdr:cNvSpPr>
            <a:spLocks noChangeShapeType="1"/>
          </xdr:cNvSpPr>
        </xdr:nvSpPr>
        <xdr:spPr bwMode="auto">
          <a:xfrm flipH="1">
            <a:off x="134" y="652"/>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231">
            <a:extLst>
              <a:ext uri="{FF2B5EF4-FFF2-40B4-BE49-F238E27FC236}">
                <a16:creationId xmlns:a16="http://schemas.microsoft.com/office/drawing/2014/main" id="{C0472B0D-DDE5-83FF-6571-25C970FD062E}"/>
              </a:ext>
            </a:extLst>
          </xdr:cNvPr>
          <xdr:cNvSpPr>
            <a:spLocks noChangeShapeType="1"/>
          </xdr:cNvSpPr>
        </xdr:nvSpPr>
        <xdr:spPr bwMode="auto">
          <a:xfrm>
            <a:off x="183"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232">
            <a:extLst>
              <a:ext uri="{FF2B5EF4-FFF2-40B4-BE49-F238E27FC236}">
                <a16:creationId xmlns:a16="http://schemas.microsoft.com/office/drawing/2014/main" id="{4767F77D-C9F2-C574-066D-78E1DD4708D7}"/>
              </a:ext>
            </a:extLst>
          </xdr:cNvPr>
          <xdr:cNvSpPr>
            <a:spLocks noChangeShapeType="1"/>
          </xdr:cNvSpPr>
        </xdr:nvSpPr>
        <xdr:spPr bwMode="auto">
          <a:xfrm>
            <a:off x="136" y="652"/>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33">
            <a:extLst>
              <a:ext uri="{FF2B5EF4-FFF2-40B4-BE49-F238E27FC236}">
                <a16:creationId xmlns:a16="http://schemas.microsoft.com/office/drawing/2014/main" id="{E1F11733-B40F-D5E0-A792-6F1EA9E57312}"/>
              </a:ext>
            </a:extLst>
          </xdr:cNvPr>
          <xdr:cNvSpPr>
            <a:spLocks noChangeShapeType="1"/>
          </xdr:cNvSpPr>
        </xdr:nvSpPr>
        <xdr:spPr bwMode="auto">
          <a:xfrm>
            <a:off x="130" y="724"/>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34">
            <a:extLst>
              <a:ext uri="{FF2B5EF4-FFF2-40B4-BE49-F238E27FC236}">
                <a16:creationId xmlns:a16="http://schemas.microsoft.com/office/drawing/2014/main" id="{82074CA5-3F84-8788-E8A9-4A1AEBACB469}"/>
              </a:ext>
            </a:extLst>
          </xdr:cNvPr>
          <xdr:cNvSpPr>
            <a:spLocks noChangeShapeType="1"/>
          </xdr:cNvSpPr>
        </xdr:nvSpPr>
        <xdr:spPr bwMode="auto">
          <a:xfrm flipH="1">
            <a:off x="190" y="72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235">
            <a:extLst>
              <a:ext uri="{FF2B5EF4-FFF2-40B4-BE49-F238E27FC236}">
                <a16:creationId xmlns:a16="http://schemas.microsoft.com/office/drawing/2014/main" id="{D21AF6E1-0BF1-F7D3-1C01-F8C5AD4F1FDA}"/>
              </a:ext>
            </a:extLst>
          </xdr:cNvPr>
          <xdr:cNvSpPr>
            <a:spLocks noChangeShapeType="1"/>
          </xdr:cNvSpPr>
        </xdr:nvSpPr>
        <xdr:spPr bwMode="auto">
          <a:xfrm>
            <a:off x="130"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36">
            <a:extLst>
              <a:ext uri="{FF2B5EF4-FFF2-40B4-BE49-F238E27FC236}">
                <a16:creationId xmlns:a16="http://schemas.microsoft.com/office/drawing/2014/main" id="{9A73FCD7-70EB-47DE-E7D7-A8E0FCC8AE6C}"/>
              </a:ext>
            </a:extLst>
          </xdr:cNvPr>
          <xdr:cNvSpPr>
            <a:spLocks noChangeShapeType="1"/>
          </xdr:cNvSpPr>
        </xdr:nvSpPr>
        <xdr:spPr bwMode="auto">
          <a:xfrm>
            <a:off x="182" y="729"/>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237">
            <a:extLst>
              <a:ext uri="{FF2B5EF4-FFF2-40B4-BE49-F238E27FC236}">
                <a16:creationId xmlns:a16="http://schemas.microsoft.com/office/drawing/2014/main" id="{310F8BE3-D1B5-26FB-B93E-D625E7A1BDCA}"/>
              </a:ext>
            </a:extLst>
          </xdr:cNvPr>
          <xdr:cNvSpPr>
            <a:spLocks noChangeShapeType="1"/>
          </xdr:cNvSpPr>
        </xdr:nvSpPr>
        <xdr:spPr bwMode="auto">
          <a:xfrm>
            <a:off x="137" y="731"/>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238">
            <a:extLst>
              <a:ext uri="{FF2B5EF4-FFF2-40B4-BE49-F238E27FC236}">
                <a16:creationId xmlns:a16="http://schemas.microsoft.com/office/drawing/2014/main" id="{B5C9178E-D4AB-0497-2986-78BD9933957F}"/>
              </a:ext>
            </a:extLst>
          </xdr:cNvPr>
          <xdr:cNvSpPr>
            <a:spLocks noChangeShapeType="1"/>
          </xdr:cNvSpPr>
        </xdr:nvSpPr>
        <xdr:spPr bwMode="auto">
          <a:xfrm>
            <a:off x="182" y="739"/>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239">
            <a:extLst>
              <a:ext uri="{FF2B5EF4-FFF2-40B4-BE49-F238E27FC236}">
                <a16:creationId xmlns:a16="http://schemas.microsoft.com/office/drawing/2014/main" id="{C12E1840-4ECF-2AB9-1CDF-C8A81B7EBB97}"/>
              </a:ext>
            </a:extLst>
          </xdr:cNvPr>
          <xdr:cNvSpPr>
            <a:spLocks noChangeShapeType="1"/>
          </xdr:cNvSpPr>
        </xdr:nvSpPr>
        <xdr:spPr bwMode="auto">
          <a:xfrm flipH="1">
            <a:off x="121" y="739"/>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240">
            <a:extLst>
              <a:ext uri="{FF2B5EF4-FFF2-40B4-BE49-F238E27FC236}">
                <a16:creationId xmlns:a16="http://schemas.microsoft.com/office/drawing/2014/main" id="{34FDBCC1-1193-E42E-ECE0-C72B7C2116FF}"/>
              </a:ext>
            </a:extLst>
          </xdr:cNvPr>
          <xdr:cNvSpPr>
            <a:spLocks noChangeShapeType="1"/>
          </xdr:cNvSpPr>
        </xdr:nvSpPr>
        <xdr:spPr bwMode="auto">
          <a:xfrm>
            <a:off x="190" y="653"/>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241">
            <a:extLst>
              <a:ext uri="{FF2B5EF4-FFF2-40B4-BE49-F238E27FC236}">
                <a16:creationId xmlns:a16="http://schemas.microsoft.com/office/drawing/2014/main" id="{7F2D6566-3968-F803-1F8C-DB23EA162773}"/>
              </a:ext>
            </a:extLst>
          </xdr:cNvPr>
          <xdr:cNvSpPr>
            <a:spLocks noChangeShapeType="1"/>
          </xdr:cNvSpPr>
        </xdr:nvSpPr>
        <xdr:spPr bwMode="auto">
          <a:xfrm flipV="1">
            <a:off x="200" y="654"/>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8" name="Line 242">
            <a:extLst>
              <a:ext uri="{FF2B5EF4-FFF2-40B4-BE49-F238E27FC236}">
                <a16:creationId xmlns:a16="http://schemas.microsoft.com/office/drawing/2014/main" id="{81EE4A03-63F5-BD40-F880-85725EAC7123}"/>
              </a:ext>
            </a:extLst>
          </xdr:cNvPr>
          <xdr:cNvSpPr>
            <a:spLocks noChangeShapeType="1"/>
          </xdr:cNvSpPr>
        </xdr:nvSpPr>
        <xdr:spPr bwMode="auto">
          <a:xfrm>
            <a:off x="200" y="708"/>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9" name="Line 243">
            <a:extLst>
              <a:ext uri="{FF2B5EF4-FFF2-40B4-BE49-F238E27FC236}">
                <a16:creationId xmlns:a16="http://schemas.microsoft.com/office/drawing/2014/main" id="{2A1D9DEE-9AA5-7E66-750E-546636856452}"/>
              </a:ext>
            </a:extLst>
          </xdr:cNvPr>
          <xdr:cNvSpPr>
            <a:spLocks noChangeShapeType="1"/>
          </xdr:cNvSpPr>
        </xdr:nvSpPr>
        <xdr:spPr bwMode="auto">
          <a:xfrm flipV="1">
            <a:off x="124" y="740"/>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0" name="Line 244">
            <a:extLst>
              <a:ext uri="{FF2B5EF4-FFF2-40B4-BE49-F238E27FC236}">
                <a16:creationId xmlns:a16="http://schemas.microsoft.com/office/drawing/2014/main" id="{BA35BCCD-09E3-ACDE-E5CB-F79436475948}"/>
              </a:ext>
            </a:extLst>
          </xdr:cNvPr>
          <xdr:cNvSpPr>
            <a:spLocks noChangeShapeType="1"/>
          </xdr:cNvSpPr>
        </xdr:nvSpPr>
        <xdr:spPr bwMode="auto">
          <a:xfrm>
            <a:off x="122" y="714"/>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1" name="Line 245">
            <a:extLst>
              <a:ext uri="{FF2B5EF4-FFF2-40B4-BE49-F238E27FC236}">
                <a16:creationId xmlns:a16="http://schemas.microsoft.com/office/drawing/2014/main" id="{4B519444-9709-2673-B11A-816BE184CB12}"/>
              </a:ext>
            </a:extLst>
          </xdr:cNvPr>
          <xdr:cNvSpPr>
            <a:spLocks noChangeShapeType="1"/>
          </xdr:cNvSpPr>
        </xdr:nvSpPr>
        <xdr:spPr bwMode="auto">
          <a:xfrm>
            <a:off x="118" y="724"/>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246">
            <a:extLst>
              <a:ext uri="{FF2B5EF4-FFF2-40B4-BE49-F238E27FC236}">
                <a16:creationId xmlns:a16="http://schemas.microsoft.com/office/drawing/2014/main" id="{679847D6-19AC-55A6-CF44-07EE53D5853A}"/>
              </a:ext>
            </a:extLst>
          </xdr:cNvPr>
          <xdr:cNvSpPr>
            <a:spLocks noChangeShapeType="1"/>
          </xdr:cNvSpPr>
        </xdr:nvSpPr>
        <xdr:spPr bwMode="auto">
          <a:xfrm flipV="1">
            <a:off x="183" y="637"/>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247">
            <a:extLst>
              <a:ext uri="{FF2B5EF4-FFF2-40B4-BE49-F238E27FC236}">
                <a16:creationId xmlns:a16="http://schemas.microsoft.com/office/drawing/2014/main" id="{071E3AA5-47EC-2BEB-F9DC-F1C99CDD5DA2}"/>
              </a:ext>
            </a:extLst>
          </xdr:cNvPr>
          <xdr:cNvSpPr>
            <a:spLocks noChangeShapeType="1"/>
          </xdr:cNvSpPr>
        </xdr:nvSpPr>
        <xdr:spPr bwMode="auto">
          <a:xfrm flipV="1">
            <a:off x="135" y="63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48">
            <a:extLst>
              <a:ext uri="{FF2B5EF4-FFF2-40B4-BE49-F238E27FC236}">
                <a16:creationId xmlns:a16="http://schemas.microsoft.com/office/drawing/2014/main" id="{FC5F5960-8EBC-15B5-70E2-4934B1A56EA8}"/>
              </a:ext>
            </a:extLst>
          </xdr:cNvPr>
          <xdr:cNvSpPr>
            <a:spLocks noChangeShapeType="1"/>
          </xdr:cNvSpPr>
        </xdr:nvSpPr>
        <xdr:spPr bwMode="auto">
          <a:xfrm>
            <a:off x="144" y="643"/>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5" name="Line 249">
            <a:extLst>
              <a:ext uri="{FF2B5EF4-FFF2-40B4-BE49-F238E27FC236}">
                <a16:creationId xmlns:a16="http://schemas.microsoft.com/office/drawing/2014/main" id="{305BF450-0A4A-38D9-4FAA-AD1BF32BEF90}"/>
              </a:ext>
            </a:extLst>
          </xdr:cNvPr>
          <xdr:cNvSpPr>
            <a:spLocks noChangeShapeType="1"/>
          </xdr:cNvSpPr>
        </xdr:nvSpPr>
        <xdr:spPr bwMode="auto">
          <a:xfrm flipH="1">
            <a:off x="139" y="643"/>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76" name="Line 250">
            <a:extLst>
              <a:ext uri="{FF2B5EF4-FFF2-40B4-BE49-F238E27FC236}">
                <a16:creationId xmlns:a16="http://schemas.microsoft.com/office/drawing/2014/main" id="{75DB874B-7340-DD01-304A-5288EA3B8DB7}"/>
              </a:ext>
            </a:extLst>
          </xdr:cNvPr>
          <xdr:cNvSpPr>
            <a:spLocks noChangeShapeType="1"/>
          </xdr:cNvSpPr>
        </xdr:nvSpPr>
        <xdr:spPr bwMode="auto">
          <a:xfrm>
            <a:off x="130" y="724"/>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51">
            <a:extLst>
              <a:ext uri="{FF2B5EF4-FFF2-40B4-BE49-F238E27FC236}">
                <a16:creationId xmlns:a16="http://schemas.microsoft.com/office/drawing/2014/main" id="{870326B3-2474-23A1-FD79-96EF96195810}"/>
              </a:ext>
            </a:extLst>
          </xdr:cNvPr>
          <xdr:cNvSpPr>
            <a:spLocks noChangeShapeType="1"/>
          </xdr:cNvSpPr>
        </xdr:nvSpPr>
        <xdr:spPr bwMode="auto">
          <a:xfrm>
            <a:off x="182" y="730"/>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252">
            <a:extLst>
              <a:ext uri="{FF2B5EF4-FFF2-40B4-BE49-F238E27FC236}">
                <a16:creationId xmlns:a16="http://schemas.microsoft.com/office/drawing/2014/main" id="{45CCE4D5-69B8-0AF4-0BBF-90B48E3943C5}"/>
              </a:ext>
            </a:extLst>
          </xdr:cNvPr>
          <xdr:cNvSpPr>
            <a:spLocks noChangeShapeType="1"/>
          </xdr:cNvSpPr>
        </xdr:nvSpPr>
        <xdr:spPr bwMode="auto">
          <a:xfrm flipV="1">
            <a:off x="190" y="722"/>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253">
            <a:extLst>
              <a:ext uri="{FF2B5EF4-FFF2-40B4-BE49-F238E27FC236}">
                <a16:creationId xmlns:a16="http://schemas.microsoft.com/office/drawing/2014/main" id="{6A4AF6F9-82BD-50B7-36D0-7DCB29A09D6C}"/>
              </a:ext>
            </a:extLst>
          </xdr:cNvPr>
          <xdr:cNvSpPr>
            <a:spLocks noChangeShapeType="1"/>
          </xdr:cNvSpPr>
        </xdr:nvSpPr>
        <xdr:spPr bwMode="auto">
          <a:xfrm>
            <a:off x="183" y="723"/>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152400</xdr:colOff>
      <xdr:row>44</xdr:row>
      <xdr:rowOff>0</xdr:rowOff>
    </xdr:from>
    <xdr:to>
      <xdr:col>9</xdr:col>
      <xdr:colOff>361950</xdr:colOff>
      <xdr:row>44</xdr:row>
      <xdr:rowOff>0</xdr:rowOff>
    </xdr:to>
    <xdr:sp macro="" textlink="">
      <xdr:nvSpPr>
        <xdr:cNvPr id="80" name="Rectangle 255">
          <a:extLst>
            <a:ext uri="{FF2B5EF4-FFF2-40B4-BE49-F238E27FC236}">
              <a16:creationId xmlns:a16="http://schemas.microsoft.com/office/drawing/2014/main" id="{0DE824AF-3634-4F5A-A44A-471788B8DFFE}"/>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81" name="Rectangle 256">
          <a:extLst>
            <a:ext uri="{FF2B5EF4-FFF2-40B4-BE49-F238E27FC236}">
              <a16:creationId xmlns:a16="http://schemas.microsoft.com/office/drawing/2014/main" id="{EF7B7E92-B6E3-4CD3-9293-B7911775FDCC}"/>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82" name="Rectangle 257">
          <a:extLst>
            <a:ext uri="{FF2B5EF4-FFF2-40B4-BE49-F238E27FC236}">
              <a16:creationId xmlns:a16="http://schemas.microsoft.com/office/drawing/2014/main" id="{9EAEC949-66E8-4C54-9155-F6E56B480CE2}"/>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83" name="Rectangle 258">
          <a:extLst>
            <a:ext uri="{FF2B5EF4-FFF2-40B4-BE49-F238E27FC236}">
              <a16:creationId xmlns:a16="http://schemas.microsoft.com/office/drawing/2014/main" id="{1A544639-D23E-4DAD-9BE1-F6E12B4A09AB}"/>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84" name="Rectangle 259">
          <a:extLst>
            <a:ext uri="{FF2B5EF4-FFF2-40B4-BE49-F238E27FC236}">
              <a16:creationId xmlns:a16="http://schemas.microsoft.com/office/drawing/2014/main" id="{D8F1EB4A-6DA7-4C79-926C-9D8C3704E82F}"/>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133350</xdr:colOff>
      <xdr:row>39</xdr:row>
      <xdr:rowOff>180975</xdr:rowOff>
    </xdr:from>
    <xdr:to>
      <xdr:col>3</xdr:col>
      <xdr:colOff>342900</xdr:colOff>
      <xdr:row>43</xdr:row>
      <xdr:rowOff>0</xdr:rowOff>
    </xdr:to>
    <xdr:grpSp>
      <xdr:nvGrpSpPr>
        <xdr:cNvPr id="85" name="Group 3">
          <a:extLst>
            <a:ext uri="{FF2B5EF4-FFF2-40B4-BE49-F238E27FC236}">
              <a16:creationId xmlns:a16="http://schemas.microsoft.com/office/drawing/2014/main" id="{91720575-0437-4A12-A854-F33CB7B581F3}"/>
            </a:ext>
          </a:extLst>
        </xdr:cNvPr>
        <xdr:cNvGrpSpPr>
          <a:grpSpLocks/>
        </xdr:cNvGrpSpPr>
      </xdr:nvGrpSpPr>
      <xdr:grpSpPr bwMode="auto">
        <a:xfrm>
          <a:off x="923925" y="9163050"/>
          <a:ext cx="1114425" cy="733425"/>
          <a:chOff x="921807" y="9129183"/>
          <a:chExt cx="1110192" cy="729192"/>
        </a:xfrm>
      </xdr:grpSpPr>
      <xdr:grpSp>
        <xdr:nvGrpSpPr>
          <xdr:cNvPr id="86" name="Group 112">
            <a:extLst>
              <a:ext uri="{FF2B5EF4-FFF2-40B4-BE49-F238E27FC236}">
                <a16:creationId xmlns:a16="http://schemas.microsoft.com/office/drawing/2014/main" id="{F2F07B85-8EBD-1A21-11A2-F6965C0A8BF3}"/>
              </a:ext>
            </a:extLst>
          </xdr:cNvPr>
          <xdr:cNvGrpSpPr>
            <a:grpSpLocks/>
          </xdr:cNvGrpSpPr>
        </xdr:nvGrpSpPr>
        <xdr:grpSpPr bwMode="auto">
          <a:xfrm>
            <a:off x="921807" y="9129183"/>
            <a:ext cx="887941" cy="729192"/>
            <a:chOff x="13440000" y="15720000"/>
            <a:chExt cx="1904539" cy="1540000"/>
          </a:xfrm>
        </xdr:grpSpPr>
        <xdr:grpSp>
          <xdr:nvGrpSpPr>
            <xdr:cNvPr id="97" name="Group 113">
              <a:extLst>
                <a:ext uri="{FF2B5EF4-FFF2-40B4-BE49-F238E27FC236}">
                  <a16:creationId xmlns:a16="http://schemas.microsoft.com/office/drawing/2014/main" id="{7B0518CB-3571-1D2B-DADB-80AD4BED14B4}"/>
                </a:ext>
              </a:extLst>
            </xdr:cNvPr>
            <xdr:cNvGrpSpPr>
              <a:grpSpLocks/>
            </xdr:cNvGrpSpPr>
          </xdr:nvGrpSpPr>
          <xdr:grpSpPr bwMode="auto">
            <a:xfrm>
              <a:off x="13440000" y="15720000"/>
              <a:ext cx="1904539" cy="1540000"/>
              <a:chOff x="13440000" y="15720000"/>
              <a:chExt cx="1904539" cy="1540000"/>
            </a:xfrm>
          </xdr:grpSpPr>
          <xdr:sp macro="" textlink="">
            <xdr:nvSpPr>
              <xdr:cNvPr id="99" name="Line 114">
                <a:extLst>
                  <a:ext uri="{FF2B5EF4-FFF2-40B4-BE49-F238E27FC236}">
                    <a16:creationId xmlns:a16="http://schemas.microsoft.com/office/drawing/2014/main" id="{774FFEF3-116F-BA0A-352B-5698BF833C54}"/>
                  </a:ext>
                </a:extLst>
              </xdr:cNvPr>
              <xdr:cNvSpPr>
                <a:spLocks noChangeShapeType="1"/>
              </xdr:cNvSpPr>
            </xdr:nvSpPr>
            <xdr:spPr bwMode="auto">
              <a:xfrm flipV="1">
                <a:off x="13440000" y="1572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15">
                <a:extLst>
                  <a:ext uri="{FF2B5EF4-FFF2-40B4-BE49-F238E27FC236}">
                    <a16:creationId xmlns:a16="http://schemas.microsoft.com/office/drawing/2014/main" id="{5F655203-508F-359A-8F4A-F8A0FC31E144}"/>
                  </a:ext>
                </a:extLst>
              </xdr:cNvPr>
              <xdr:cNvSpPr>
                <a:spLocks noChangeShapeType="1"/>
              </xdr:cNvSpPr>
            </xdr:nvSpPr>
            <xdr:spPr bwMode="auto">
              <a:xfrm>
                <a:off x="14060000" y="15720000"/>
                <a:ext cx="0" cy="154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16">
                <a:extLst>
                  <a:ext uri="{FF2B5EF4-FFF2-40B4-BE49-F238E27FC236}">
                    <a16:creationId xmlns:a16="http://schemas.microsoft.com/office/drawing/2014/main" id="{9B9B4DED-6154-F0BB-65CA-A703471FF929}"/>
                  </a:ext>
                </a:extLst>
              </xdr:cNvPr>
              <xdr:cNvSpPr>
                <a:spLocks noChangeShapeType="1"/>
              </xdr:cNvSpPr>
            </xdr:nvSpPr>
            <xdr:spPr bwMode="auto">
              <a:xfrm flipV="1">
                <a:off x="14059999" y="15818346"/>
                <a:ext cx="1284540" cy="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17">
                <a:extLst>
                  <a:ext uri="{FF2B5EF4-FFF2-40B4-BE49-F238E27FC236}">
                    <a16:creationId xmlns:a16="http://schemas.microsoft.com/office/drawing/2014/main" id="{9CF1CA36-BFEB-C8F6-77D8-2AE1F7F52080}"/>
                  </a:ext>
                </a:extLst>
              </xdr:cNvPr>
              <xdr:cNvSpPr>
                <a:spLocks noChangeShapeType="1"/>
              </xdr:cNvSpPr>
            </xdr:nvSpPr>
            <xdr:spPr bwMode="auto">
              <a:xfrm flipH="1">
                <a:off x="15340000" y="15820000"/>
                <a:ext cx="0" cy="820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18">
                <a:extLst>
                  <a:ext uri="{FF2B5EF4-FFF2-40B4-BE49-F238E27FC236}">
                    <a16:creationId xmlns:a16="http://schemas.microsoft.com/office/drawing/2014/main" id="{8A0C0C7C-8047-87E1-F707-1761DC865D89}"/>
                  </a:ext>
                </a:extLst>
              </xdr:cNvPr>
              <xdr:cNvSpPr>
                <a:spLocks noChangeShapeType="1"/>
              </xdr:cNvSpPr>
            </xdr:nvSpPr>
            <xdr:spPr bwMode="auto">
              <a:xfrm>
                <a:off x="14060000" y="16259998"/>
                <a:ext cx="644580" cy="74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19">
                <a:extLst>
                  <a:ext uri="{FF2B5EF4-FFF2-40B4-BE49-F238E27FC236}">
                    <a16:creationId xmlns:a16="http://schemas.microsoft.com/office/drawing/2014/main" id="{4EF1CD4F-B59D-936A-76B7-78E325C6E0B4}"/>
                  </a:ext>
                </a:extLst>
              </xdr:cNvPr>
              <xdr:cNvSpPr>
                <a:spLocks noChangeShapeType="1"/>
              </xdr:cNvSpPr>
            </xdr:nvSpPr>
            <xdr:spPr bwMode="auto">
              <a:xfrm>
                <a:off x="14686237" y="15818346"/>
                <a:ext cx="13764" cy="8216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8" name="Line 120">
              <a:extLst>
                <a:ext uri="{FF2B5EF4-FFF2-40B4-BE49-F238E27FC236}">
                  <a16:creationId xmlns:a16="http://schemas.microsoft.com/office/drawing/2014/main" id="{8B2BC1B7-C8F8-9F8C-1F1B-8EF092ACF704}"/>
                </a:ext>
              </a:extLst>
            </xdr:cNvPr>
            <xdr:cNvSpPr>
              <a:spLocks noChangeShapeType="1"/>
            </xdr:cNvSpPr>
          </xdr:nvSpPr>
          <xdr:spPr bwMode="auto">
            <a:xfrm flipH="1" flipV="1">
              <a:off x="14720000" y="16640000"/>
              <a:ext cx="620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nvGrpSpPr>
          <xdr:cNvPr id="87" name="Group 2">
            <a:extLst>
              <a:ext uri="{FF2B5EF4-FFF2-40B4-BE49-F238E27FC236}">
                <a16:creationId xmlns:a16="http://schemas.microsoft.com/office/drawing/2014/main" id="{DA9BF721-C2A5-FE4A-0A0E-FC471CDA0BA4}"/>
              </a:ext>
            </a:extLst>
          </xdr:cNvPr>
          <xdr:cNvGrpSpPr>
            <a:grpSpLocks/>
          </xdr:cNvGrpSpPr>
        </xdr:nvGrpSpPr>
        <xdr:grpSpPr bwMode="auto">
          <a:xfrm>
            <a:off x="1214967" y="9175750"/>
            <a:ext cx="817032" cy="597957"/>
            <a:chOff x="1214967" y="9175750"/>
            <a:chExt cx="817032" cy="597957"/>
          </a:xfrm>
        </xdr:grpSpPr>
        <xdr:sp macro="" textlink="">
          <xdr:nvSpPr>
            <xdr:cNvPr id="88" name="Line 121">
              <a:extLst>
                <a:ext uri="{FF2B5EF4-FFF2-40B4-BE49-F238E27FC236}">
                  <a16:creationId xmlns:a16="http://schemas.microsoft.com/office/drawing/2014/main" id="{E273E0FF-F7DA-BB16-B010-F4AD3B3C36D2}"/>
                </a:ext>
              </a:extLst>
            </xdr:cNvPr>
            <xdr:cNvSpPr>
              <a:spLocks noChangeShapeType="1"/>
            </xdr:cNvSpPr>
          </xdr:nvSpPr>
          <xdr:spPr bwMode="auto">
            <a:xfrm flipV="1">
              <a:off x="1214967" y="9479492"/>
              <a:ext cx="276225"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grpSp>
          <xdr:nvGrpSpPr>
            <xdr:cNvPr id="89" name="Group 1">
              <a:extLst>
                <a:ext uri="{FF2B5EF4-FFF2-40B4-BE49-F238E27FC236}">
                  <a16:creationId xmlns:a16="http://schemas.microsoft.com/office/drawing/2014/main" id="{FED8DD25-B662-7D15-6E44-44861655122D}"/>
                </a:ext>
              </a:extLst>
            </xdr:cNvPr>
            <xdr:cNvGrpSpPr>
              <a:grpSpLocks/>
            </xdr:cNvGrpSpPr>
          </xdr:nvGrpSpPr>
          <xdr:grpSpPr bwMode="auto">
            <a:xfrm>
              <a:off x="1500717" y="9175750"/>
              <a:ext cx="531282" cy="597957"/>
              <a:chOff x="1500717" y="9175750"/>
              <a:chExt cx="531282" cy="597957"/>
            </a:xfrm>
          </xdr:grpSpPr>
          <xdr:sp macro="" textlink="">
            <xdr:nvSpPr>
              <xdr:cNvPr id="90" name="Line 102">
                <a:extLst>
                  <a:ext uri="{FF2B5EF4-FFF2-40B4-BE49-F238E27FC236}">
                    <a16:creationId xmlns:a16="http://schemas.microsoft.com/office/drawing/2014/main" id="{E137A0E4-AA98-8ECC-7AB1-274AEFA3F4AB}"/>
                  </a:ext>
                </a:extLst>
              </xdr:cNvPr>
              <xdr:cNvSpPr>
                <a:spLocks noChangeShapeType="1"/>
              </xdr:cNvSpPr>
            </xdr:nvSpPr>
            <xdr:spPr bwMode="auto">
              <a:xfrm flipH="1">
                <a:off x="1841499" y="95599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03">
                <a:extLst>
                  <a:ext uri="{FF2B5EF4-FFF2-40B4-BE49-F238E27FC236}">
                    <a16:creationId xmlns:a16="http://schemas.microsoft.com/office/drawing/2014/main" id="{06A4EFC9-D36F-5626-A8C6-E6597C8F50BA}"/>
                  </a:ext>
                </a:extLst>
              </xdr:cNvPr>
              <xdr:cNvSpPr>
                <a:spLocks noChangeShapeType="1"/>
              </xdr:cNvSpPr>
            </xdr:nvSpPr>
            <xdr:spPr bwMode="auto">
              <a:xfrm flipV="1">
                <a:off x="1500717" y="9584267"/>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04">
                <a:extLst>
                  <a:ext uri="{FF2B5EF4-FFF2-40B4-BE49-F238E27FC236}">
                    <a16:creationId xmlns:a16="http://schemas.microsoft.com/office/drawing/2014/main" id="{0BC9F040-B8B3-1987-3FF6-F50CAE3AA382}"/>
                  </a:ext>
                </a:extLst>
              </xdr:cNvPr>
              <xdr:cNvSpPr>
                <a:spLocks noChangeShapeType="1"/>
              </xdr:cNvSpPr>
            </xdr:nvSpPr>
            <xdr:spPr bwMode="auto">
              <a:xfrm flipV="1">
                <a:off x="1807633" y="9593792"/>
                <a:ext cx="0" cy="13229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05">
                <a:extLst>
                  <a:ext uri="{FF2B5EF4-FFF2-40B4-BE49-F238E27FC236}">
                    <a16:creationId xmlns:a16="http://schemas.microsoft.com/office/drawing/2014/main" id="{CEFF8356-677A-4A6F-0A69-40730746E52B}"/>
                  </a:ext>
                </a:extLst>
              </xdr:cNvPr>
              <xdr:cNvSpPr>
                <a:spLocks noChangeShapeType="1"/>
              </xdr:cNvSpPr>
            </xdr:nvSpPr>
            <xdr:spPr bwMode="auto">
              <a:xfrm flipV="1">
                <a:off x="1510242" y="9630833"/>
                <a:ext cx="287866"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4" name="Line 106">
                <a:extLst>
                  <a:ext uri="{FF2B5EF4-FFF2-40B4-BE49-F238E27FC236}">
                    <a16:creationId xmlns:a16="http://schemas.microsoft.com/office/drawing/2014/main" id="{2569E2C4-50ED-2621-1472-9A653CF87142}"/>
                  </a:ext>
                </a:extLst>
              </xdr:cNvPr>
              <xdr:cNvSpPr>
                <a:spLocks noChangeShapeType="1"/>
              </xdr:cNvSpPr>
            </xdr:nvSpPr>
            <xdr:spPr bwMode="auto">
              <a:xfrm flipV="1">
                <a:off x="1940982" y="9572624"/>
                <a:ext cx="1059" cy="201083"/>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95" name="Line 107">
                <a:extLst>
                  <a:ext uri="{FF2B5EF4-FFF2-40B4-BE49-F238E27FC236}">
                    <a16:creationId xmlns:a16="http://schemas.microsoft.com/office/drawing/2014/main" id="{E0C71711-6CE0-D0F4-1915-FBFA1D35CFAA}"/>
                  </a:ext>
                </a:extLst>
              </xdr:cNvPr>
              <xdr:cNvSpPr>
                <a:spLocks noChangeShapeType="1"/>
              </xdr:cNvSpPr>
            </xdr:nvSpPr>
            <xdr:spPr bwMode="auto">
              <a:xfrm flipV="1">
                <a:off x="1942041" y="9191624"/>
                <a:ext cx="5292" cy="352426"/>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sp macro="" textlink="">
            <xdr:nvSpPr>
              <xdr:cNvPr id="96" name="Line 102">
                <a:extLst>
                  <a:ext uri="{FF2B5EF4-FFF2-40B4-BE49-F238E27FC236}">
                    <a16:creationId xmlns:a16="http://schemas.microsoft.com/office/drawing/2014/main" id="{ABE2F627-6F13-F414-A48A-EF7FE55E3712}"/>
                  </a:ext>
                </a:extLst>
              </xdr:cNvPr>
              <xdr:cNvSpPr>
                <a:spLocks noChangeShapeType="1"/>
              </xdr:cNvSpPr>
            </xdr:nvSpPr>
            <xdr:spPr bwMode="auto">
              <a:xfrm flipH="1">
                <a:off x="1825625" y="9175750"/>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clientData/>
  </xdr:twoCellAnchor>
  <xdr:twoCellAnchor>
    <xdr:from>
      <xdr:col>3</xdr:col>
      <xdr:colOff>622935</xdr:colOff>
      <xdr:row>29</xdr:row>
      <xdr:rowOff>0</xdr:rowOff>
    </xdr:from>
    <xdr:to>
      <xdr:col>4</xdr:col>
      <xdr:colOff>695462</xdr:colOff>
      <xdr:row>29</xdr:row>
      <xdr:rowOff>161925</xdr:rowOff>
    </xdr:to>
    <xdr:sp macro="" textlink="">
      <xdr:nvSpPr>
        <xdr:cNvPr id="105" name="Text 219">
          <a:extLst>
            <a:ext uri="{FF2B5EF4-FFF2-40B4-BE49-F238E27FC236}">
              <a16:creationId xmlns:a16="http://schemas.microsoft.com/office/drawing/2014/main" id="{C42E117F-7492-4733-9ED7-9CCA4C8AFFD3}"/>
            </a:ext>
          </a:extLst>
        </xdr:cNvPr>
        <xdr:cNvSpPr txBox="1">
          <a:spLocks noChangeArrowheads="1"/>
        </xdr:cNvSpPr>
      </xdr:nvSpPr>
      <xdr:spPr bwMode="auto">
        <a:xfrm>
          <a:off x="2318385" y="6696075"/>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311-</a:t>
          </a:r>
        </a:p>
      </xdr:txBody>
    </xdr:sp>
    <xdr:clientData/>
  </xdr:twoCellAnchor>
  <xdr:twoCellAnchor>
    <xdr:from>
      <xdr:col>3</xdr:col>
      <xdr:colOff>622935</xdr:colOff>
      <xdr:row>35</xdr:row>
      <xdr:rowOff>9525</xdr:rowOff>
    </xdr:from>
    <xdr:to>
      <xdr:col>4</xdr:col>
      <xdr:colOff>695462</xdr:colOff>
      <xdr:row>35</xdr:row>
      <xdr:rowOff>171450</xdr:rowOff>
    </xdr:to>
    <xdr:sp macro="" textlink="">
      <xdr:nvSpPr>
        <xdr:cNvPr id="106" name="Text 219">
          <a:extLst>
            <a:ext uri="{FF2B5EF4-FFF2-40B4-BE49-F238E27FC236}">
              <a16:creationId xmlns:a16="http://schemas.microsoft.com/office/drawing/2014/main" id="{24D36F52-9EAA-4B6F-B06C-0B9790473581}"/>
            </a:ext>
          </a:extLst>
        </xdr:cNvPr>
        <xdr:cNvSpPr txBox="1">
          <a:spLocks noChangeArrowheads="1"/>
        </xdr:cNvSpPr>
      </xdr:nvSpPr>
      <xdr:spPr bwMode="auto">
        <a:xfrm>
          <a:off x="2318385" y="807720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a:t>
          </a:r>
        </a:p>
      </xdr:txBody>
    </xdr:sp>
    <xdr:clientData/>
  </xdr:twoCellAnchor>
  <xdr:twoCellAnchor>
    <xdr:from>
      <xdr:col>3</xdr:col>
      <xdr:colOff>622935</xdr:colOff>
      <xdr:row>40</xdr:row>
      <xdr:rowOff>180975</xdr:rowOff>
    </xdr:from>
    <xdr:to>
      <xdr:col>4</xdr:col>
      <xdr:colOff>695462</xdr:colOff>
      <xdr:row>41</xdr:row>
      <xdr:rowOff>114300</xdr:rowOff>
    </xdr:to>
    <xdr:sp macro="" textlink="">
      <xdr:nvSpPr>
        <xdr:cNvPr id="107" name="Text 219">
          <a:extLst>
            <a:ext uri="{FF2B5EF4-FFF2-40B4-BE49-F238E27FC236}">
              <a16:creationId xmlns:a16="http://schemas.microsoft.com/office/drawing/2014/main" id="{C740B2B5-D5DF-4509-8FC0-F2DA1830520B}"/>
            </a:ext>
          </a:extLst>
        </xdr:cNvPr>
        <xdr:cNvSpPr txBox="1">
          <a:spLocks noChangeArrowheads="1"/>
        </xdr:cNvSpPr>
      </xdr:nvSpPr>
      <xdr:spPr bwMode="auto">
        <a:xfrm>
          <a:off x="2318385" y="9391650"/>
          <a:ext cx="910727"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a:t>
          </a:r>
        </a:p>
      </xdr:txBody>
    </xdr:sp>
    <xdr:clientData/>
  </xdr:twoCellAnchor>
  <xdr:twoCellAnchor>
    <xdr:from>
      <xdr:col>9</xdr:col>
      <xdr:colOff>152400</xdr:colOff>
      <xdr:row>43</xdr:row>
      <xdr:rowOff>0</xdr:rowOff>
    </xdr:from>
    <xdr:to>
      <xdr:col>9</xdr:col>
      <xdr:colOff>361950</xdr:colOff>
      <xdr:row>43</xdr:row>
      <xdr:rowOff>0</xdr:rowOff>
    </xdr:to>
    <xdr:sp macro="" textlink="">
      <xdr:nvSpPr>
        <xdr:cNvPr id="108" name="Rectangle 107">
          <a:extLst>
            <a:ext uri="{FF2B5EF4-FFF2-40B4-BE49-F238E27FC236}">
              <a16:creationId xmlns:a16="http://schemas.microsoft.com/office/drawing/2014/main" id="{B5D87ED5-A7A5-4353-AC90-847013E1FFA2}"/>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109" name="Rectangle 108">
          <a:extLst>
            <a:ext uri="{FF2B5EF4-FFF2-40B4-BE49-F238E27FC236}">
              <a16:creationId xmlns:a16="http://schemas.microsoft.com/office/drawing/2014/main" id="{E38D6F45-0A37-467B-9BEC-33357C26ACBA}"/>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110" name="Rectangle 109">
          <a:extLst>
            <a:ext uri="{FF2B5EF4-FFF2-40B4-BE49-F238E27FC236}">
              <a16:creationId xmlns:a16="http://schemas.microsoft.com/office/drawing/2014/main" id="{CF93F105-5638-4588-8C3D-74E3C78B58A0}"/>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111" name="Rectangle 110">
          <a:extLst>
            <a:ext uri="{FF2B5EF4-FFF2-40B4-BE49-F238E27FC236}">
              <a16:creationId xmlns:a16="http://schemas.microsoft.com/office/drawing/2014/main" id="{660CEF1F-BD11-4E0C-A98C-064F8C267BC5}"/>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112" name="Rectangle 111">
          <a:extLst>
            <a:ext uri="{FF2B5EF4-FFF2-40B4-BE49-F238E27FC236}">
              <a16:creationId xmlns:a16="http://schemas.microsoft.com/office/drawing/2014/main" id="{6C478C66-8EE7-41D6-888C-E13E75B07C9B}"/>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152400</xdr:colOff>
      <xdr:row>44</xdr:row>
      <xdr:rowOff>0</xdr:rowOff>
    </xdr:from>
    <xdr:to>
      <xdr:col>9</xdr:col>
      <xdr:colOff>361950</xdr:colOff>
      <xdr:row>44</xdr:row>
      <xdr:rowOff>0</xdr:rowOff>
    </xdr:to>
    <xdr:sp macro="" textlink="">
      <xdr:nvSpPr>
        <xdr:cNvPr id="113" name="Rectangle 255">
          <a:extLst>
            <a:ext uri="{FF2B5EF4-FFF2-40B4-BE49-F238E27FC236}">
              <a16:creationId xmlns:a16="http://schemas.microsoft.com/office/drawing/2014/main" id="{06185861-61AE-495E-B7E5-EE3A08853102}"/>
            </a:ext>
          </a:extLst>
        </xdr:cNvPr>
        <xdr:cNvSpPr>
          <a:spLocks noChangeArrowheads="1"/>
        </xdr:cNvSpPr>
      </xdr:nvSpPr>
      <xdr:spPr bwMode="auto">
        <a:xfrm>
          <a:off x="5495925" y="101060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44</xdr:row>
      <xdr:rowOff>0</xdr:rowOff>
    </xdr:from>
    <xdr:to>
      <xdr:col>9</xdr:col>
      <xdr:colOff>333375</xdr:colOff>
      <xdr:row>44</xdr:row>
      <xdr:rowOff>0</xdr:rowOff>
    </xdr:to>
    <xdr:sp macro="" textlink="">
      <xdr:nvSpPr>
        <xdr:cNvPr id="114" name="Rectangle 256">
          <a:extLst>
            <a:ext uri="{FF2B5EF4-FFF2-40B4-BE49-F238E27FC236}">
              <a16:creationId xmlns:a16="http://schemas.microsoft.com/office/drawing/2014/main" id="{453BF471-A27A-4DB6-A4CC-C28F1B608A86}"/>
            </a:ext>
          </a:extLst>
        </xdr:cNvPr>
        <xdr:cNvSpPr>
          <a:spLocks noChangeArrowheads="1"/>
        </xdr:cNvSpPr>
      </xdr:nvSpPr>
      <xdr:spPr bwMode="auto">
        <a:xfrm>
          <a:off x="5362575"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44</xdr:row>
      <xdr:rowOff>0</xdr:rowOff>
    </xdr:from>
    <xdr:to>
      <xdr:col>9</xdr:col>
      <xdr:colOff>342900</xdr:colOff>
      <xdr:row>44</xdr:row>
      <xdr:rowOff>0</xdr:rowOff>
    </xdr:to>
    <xdr:sp macro="" textlink="">
      <xdr:nvSpPr>
        <xdr:cNvPr id="115" name="Rectangle 257">
          <a:extLst>
            <a:ext uri="{FF2B5EF4-FFF2-40B4-BE49-F238E27FC236}">
              <a16:creationId xmlns:a16="http://schemas.microsoft.com/office/drawing/2014/main" id="{8CBDE0FA-968C-41E2-960C-FB6C3D2B976D}"/>
            </a:ext>
          </a:extLst>
        </xdr:cNvPr>
        <xdr:cNvSpPr>
          <a:spLocks noChangeArrowheads="1"/>
        </xdr:cNvSpPr>
      </xdr:nvSpPr>
      <xdr:spPr bwMode="auto">
        <a:xfrm>
          <a:off x="5372100" y="1010602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409575</xdr:colOff>
      <xdr:row>44</xdr:row>
      <xdr:rowOff>0</xdr:rowOff>
    </xdr:to>
    <xdr:sp macro="" textlink="">
      <xdr:nvSpPr>
        <xdr:cNvPr id="116" name="Rectangle 258">
          <a:extLst>
            <a:ext uri="{FF2B5EF4-FFF2-40B4-BE49-F238E27FC236}">
              <a16:creationId xmlns:a16="http://schemas.microsoft.com/office/drawing/2014/main" id="{749FAFAF-C708-4DD1-8096-295B4C67EBCC}"/>
            </a:ext>
          </a:extLst>
        </xdr:cNvPr>
        <xdr:cNvSpPr>
          <a:spLocks noChangeArrowheads="1"/>
        </xdr:cNvSpPr>
      </xdr:nvSpPr>
      <xdr:spPr bwMode="auto">
        <a:xfrm>
          <a:off x="5343525" y="1010602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44</xdr:row>
      <xdr:rowOff>0</xdr:rowOff>
    </xdr:from>
    <xdr:to>
      <xdr:col>9</xdr:col>
      <xdr:colOff>361950</xdr:colOff>
      <xdr:row>44</xdr:row>
      <xdr:rowOff>0</xdr:rowOff>
    </xdr:to>
    <xdr:sp macro="" textlink="">
      <xdr:nvSpPr>
        <xdr:cNvPr id="117" name="Rectangle 259">
          <a:extLst>
            <a:ext uri="{FF2B5EF4-FFF2-40B4-BE49-F238E27FC236}">
              <a16:creationId xmlns:a16="http://schemas.microsoft.com/office/drawing/2014/main" id="{87CE87DB-42B2-4618-B179-343D0C80DD0A}"/>
            </a:ext>
          </a:extLst>
        </xdr:cNvPr>
        <xdr:cNvSpPr>
          <a:spLocks noChangeArrowheads="1"/>
        </xdr:cNvSpPr>
      </xdr:nvSpPr>
      <xdr:spPr bwMode="auto">
        <a:xfrm>
          <a:off x="5486400" y="1010602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152400</xdr:colOff>
      <xdr:row>42</xdr:row>
      <xdr:rowOff>0</xdr:rowOff>
    </xdr:from>
    <xdr:to>
      <xdr:col>9</xdr:col>
      <xdr:colOff>361950</xdr:colOff>
      <xdr:row>42</xdr:row>
      <xdr:rowOff>0</xdr:rowOff>
    </xdr:to>
    <xdr:sp macro="" textlink="">
      <xdr:nvSpPr>
        <xdr:cNvPr id="118" name="Rectangle 117">
          <a:extLst>
            <a:ext uri="{FF2B5EF4-FFF2-40B4-BE49-F238E27FC236}">
              <a16:creationId xmlns:a16="http://schemas.microsoft.com/office/drawing/2014/main" id="{5024F608-A75E-4A81-9718-5A0C62426634}"/>
            </a:ext>
          </a:extLst>
        </xdr:cNvPr>
        <xdr:cNvSpPr>
          <a:spLocks noChangeArrowheads="1"/>
        </xdr:cNvSpPr>
      </xdr:nvSpPr>
      <xdr:spPr bwMode="auto">
        <a:xfrm>
          <a:off x="5495925" y="96678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42</xdr:row>
      <xdr:rowOff>0</xdr:rowOff>
    </xdr:from>
    <xdr:to>
      <xdr:col>9</xdr:col>
      <xdr:colOff>333375</xdr:colOff>
      <xdr:row>42</xdr:row>
      <xdr:rowOff>0</xdr:rowOff>
    </xdr:to>
    <xdr:sp macro="" textlink="">
      <xdr:nvSpPr>
        <xdr:cNvPr id="119" name="Rectangle 118">
          <a:extLst>
            <a:ext uri="{FF2B5EF4-FFF2-40B4-BE49-F238E27FC236}">
              <a16:creationId xmlns:a16="http://schemas.microsoft.com/office/drawing/2014/main" id="{7C570A40-066B-43DB-959D-A957D710772B}"/>
            </a:ext>
          </a:extLst>
        </xdr:cNvPr>
        <xdr:cNvSpPr>
          <a:spLocks noChangeArrowheads="1"/>
        </xdr:cNvSpPr>
      </xdr:nvSpPr>
      <xdr:spPr bwMode="auto">
        <a:xfrm>
          <a:off x="5362575" y="96678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42</xdr:row>
      <xdr:rowOff>0</xdr:rowOff>
    </xdr:from>
    <xdr:to>
      <xdr:col>9</xdr:col>
      <xdr:colOff>342900</xdr:colOff>
      <xdr:row>42</xdr:row>
      <xdr:rowOff>0</xdr:rowOff>
    </xdr:to>
    <xdr:sp macro="" textlink="">
      <xdr:nvSpPr>
        <xdr:cNvPr id="120" name="Rectangle 119">
          <a:extLst>
            <a:ext uri="{FF2B5EF4-FFF2-40B4-BE49-F238E27FC236}">
              <a16:creationId xmlns:a16="http://schemas.microsoft.com/office/drawing/2014/main" id="{0188DA85-070F-4B2B-9A64-A58F03566E55}"/>
            </a:ext>
          </a:extLst>
        </xdr:cNvPr>
        <xdr:cNvSpPr>
          <a:spLocks noChangeArrowheads="1"/>
        </xdr:cNvSpPr>
      </xdr:nvSpPr>
      <xdr:spPr bwMode="auto">
        <a:xfrm>
          <a:off x="5372100" y="96678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42</xdr:row>
      <xdr:rowOff>0</xdr:rowOff>
    </xdr:from>
    <xdr:to>
      <xdr:col>9</xdr:col>
      <xdr:colOff>409575</xdr:colOff>
      <xdr:row>42</xdr:row>
      <xdr:rowOff>0</xdr:rowOff>
    </xdr:to>
    <xdr:sp macro="" textlink="">
      <xdr:nvSpPr>
        <xdr:cNvPr id="121" name="Rectangle 120">
          <a:extLst>
            <a:ext uri="{FF2B5EF4-FFF2-40B4-BE49-F238E27FC236}">
              <a16:creationId xmlns:a16="http://schemas.microsoft.com/office/drawing/2014/main" id="{A736ACAE-A2E3-490C-AF1F-F4F23AAF4511}"/>
            </a:ext>
          </a:extLst>
        </xdr:cNvPr>
        <xdr:cNvSpPr>
          <a:spLocks noChangeArrowheads="1"/>
        </xdr:cNvSpPr>
      </xdr:nvSpPr>
      <xdr:spPr bwMode="auto">
        <a:xfrm>
          <a:off x="5343525" y="96678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42</xdr:row>
      <xdr:rowOff>0</xdr:rowOff>
    </xdr:from>
    <xdr:to>
      <xdr:col>9</xdr:col>
      <xdr:colOff>361950</xdr:colOff>
      <xdr:row>42</xdr:row>
      <xdr:rowOff>0</xdr:rowOff>
    </xdr:to>
    <xdr:sp macro="" textlink="">
      <xdr:nvSpPr>
        <xdr:cNvPr id="122" name="Rectangle 121">
          <a:extLst>
            <a:ext uri="{FF2B5EF4-FFF2-40B4-BE49-F238E27FC236}">
              <a16:creationId xmlns:a16="http://schemas.microsoft.com/office/drawing/2014/main" id="{BAC065E9-E064-4ECA-9654-560A5503D38A}"/>
            </a:ext>
          </a:extLst>
        </xdr:cNvPr>
        <xdr:cNvSpPr>
          <a:spLocks noChangeArrowheads="1"/>
        </xdr:cNvSpPr>
      </xdr:nvSpPr>
      <xdr:spPr bwMode="auto">
        <a:xfrm>
          <a:off x="5486400" y="96678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152400</xdr:colOff>
      <xdr:row>43</xdr:row>
      <xdr:rowOff>0</xdr:rowOff>
    </xdr:from>
    <xdr:to>
      <xdr:col>9</xdr:col>
      <xdr:colOff>361950</xdr:colOff>
      <xdr:row>43</xdr:row>
      <xdr:rowOff>0</xdr:rowOff>
    </xdr:to>
    <xdr:sp macro="" textlink="">
      <xdr:nvSpPr>
        <xdr:cNvPr id="128" name="Rectangle 127">
          <a:extLst>
            <a:ext uri="{FF2B5EF4-FFF2-40B4-BE49-F238E27FC236}">
              <a16:creationId xmlns:a16="http://schemas.microsoft.com/office/drawing/2014/main" id="{8894B330-D2CF-4BF5-9D4D-72ED705D0662}"/>
            </a:ext>
          </a:extLst>
        </xdr:cNvPr>
        <xdr:cNvSpPr>
          <a:spLocks noChangeArrowheads="1"/>
        </xdr:cNvSpPr>
      </xdr:nvSpPr>
      <xdr:spPr bwMode="auto">
        <a:xfrm>
          <a:off x="5495925" y="9896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19050</xdr:colOff>
      <xdr:row>43</xdr:row>
      <xdr:rowOff>0</xdr:rowOff>
    </xdr:from>
    <xdr:to>
      <xdr:col>9</xdr:col>
      <xdr:colOff>333375</xdr:colOff>
      <xdr:row>43</xdr:row>
      <xdr:rowOff>0</xdr:rowOff>
    </xdr:to>
    <xdr:sp macro="" textlink="">
      <xdr:nvSpPr>
        <xdr:cNvPr id="129" name="Rectangle 128">
          <a:extLst>
            <a:ext uri="{FF2B5EF4-FFF2-40B4-BE49-F238E27FC236}">
              <a16:creationId xmlns:a16="http://schemas.microsoft.com/office/drawing/2014/main" id="{9E505AD3-7C34-48A3-9628-3E643A969604}"/>
            </a:ext>
          </a:extLst>
        </xdr:cNvPr>
        <xdr:cNvSpPr>
          <a:spLocks noChangeArrowheads="1"/>
        </xdr:cNvSpPr>
      </xdr:nvSpPr>
      <xdr:spPr bwMode="auto">
        <a:xfrm>
          <a:off x="5362575"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28575</xdr:colOff>
      <xdr:row>43</xdr:row>
      <xdr:rowOff>0</xdr:rowOff>
    </xdr:from>
    <xdr:to>
      <xdr:col>9</xdr:col>
      <xdr:colOff>342900</xdr:colOff>
      <xdr:row>43</xdr:row>
      <xdr:rowOff>0</xdr:rowOff>
    </xdr:to>
    <xdr:sp macro="" textlink="">
      <xdr:nvSpPr>
        <xdr:cNvPr id="130" name="Rectangle 129">
          <a:extLst>
            <a:ext uri="{FF2B5EF4-FFF2-40B4-BE49-F238E27FC236}">
              <a16:creationId xmlns:a16="http://schemas.microsoft.com/office/drawing/2014/main" id="{4164FFBD-ACCC-461E-B18C-A4051DB35D78}"/>
            </a:ext>
          </a:extLst>
        </xdr:cNvPr>
        <xdr:cNvSpPr>
          <a:spLocks noChangeArrowheads="1"/>
        </xdr:cNvSpPr>
      </xdr:nvSpPr>
      <xdr:spPr bwMode="auto">
        <a:xfrm>
          <a:off x="5372100" y="9896475"/>
          <a:ext cx="314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409575</xdr:colOff>
      <xdr:row>43</xdr:row>
      <xdr:rowOff>0</xdr:rowOff>
    </xdr:to>
    <xdr:sp macro="" textlink="">
      <xdr:nvSpPr>
        <xdr:cNvPr id="131" name="Rectangle 130">
          <a:extLst>
            <a:ext uri="{FF2B5EF4-FFF2-40B4-BE49-F238E27FC236}">
              <a16:creationId xmlns:a16="http://schemas.microsoft.com/office/drawing/2014/main" id="{B0D86AB2-AAA5-4684-81D9-4C835264BDA5}"/>
            </a:ext>
          </a:extLst>
        </xdr:cNvPr>
        <xdr:cNvSpPr>
          <a:spLocks noChangeArrowheads="1"/>
        </xdr:cNvSpPr>
      </xdr:nvSpPr>
      <xdr:spPr bwMode="auto">
        <a:xfrm>
          <a:off x="5343525" y="9896475"/>
          <a:ext cx="409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142875</xdr:colOff>
      <xdr:row>43</xdr:row>
      <xdr:rowOff>0</xdr:rowOff>
    </xdr:from>
    <xdr:to>
      <xdr:col>9</xdr:col>
      <xdr:colOff>361950</xdr:colOff>
      <xdr:row>43</xdr:row>
      <xdr:rowOff>0</xdr:rowOff>
    </xdr:to>
    <xdr:sp macro="" textlink="">
      <xdr:nvSpPr>
        <xdr:cNvPr id="132" name="Rectangle 131">
          <a:extLst>
            <a:ext uri="{FF2B5EF4-FFF2-40B4-BE49-F238E27FC236}">
              <a16:creationId xmlns:a16="http://schemas.microsoft.com/office/drawing/2014/main" id="{2DD80509-FC42-46BA-8504-5EE158524D76}"/>
            </a:ext>
          </a:extLst>
        </xdr:cNvPr>
        <xdr:cNvSpPr>
          <a:spLocks noChangeArrowheads="1"/>
        </xdr:cNvSpPr>
      </xdr:nvSpPr>
      <xdr:spPr bwMode="auto">
        <a:xfrm>
          <a:off x="5486400" y="9896475"/>
          <a:ext cx="2190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800100</xdr:colOff>
      <xdr:row>15</xdr:row>
      <xdr:rowOff>161925</xdr:rowOff>
    </xdr:from>
    <xdr:to>
      <xdr:col>5</xdr:col>
      <xdr:colOff>657225</xdr:colOff>
      <xdr:row>37</xdr:row>
      <xdr:rowOff>180975</xdr:rowOff>
    </xdr:to>
    <xdr:graphicFrame macro="">
      <xdr:nvGraphicFramePr>
        <xdr:cNvPr id="2" name="Chart 1">
          <a:extLst>
            <a:ext uri="{FF2B5EF4-FFF2-40B4-BE49-F238E27FC236}">
              <a16:creationId xmlns:a16="http://schemas.microsoft.com/office/drawing/2014/main" id="{6CAD0A44-2876-42B9-92EA-B11146CF3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314325</xdr:colOff>
      <xdr:row>11</xdr:row>
      <xdr:rowOff>0</xdr:rowOff>
    </xdr:from>
    <xdr:to>
      <xdr:col>5</xdr:col>
      <xdr:colOff>590550</xdr:colOff>
      <xdr:row>38</xdr:row>
      <xdr:rowOff>9525</xdr:rowOff>
    </xdr:to>
    <xdr:graphicFrame macro="">
      <xdr:nvGraphicFramePr>
        <xdr:cNvPr id="2" name="Chart 1">
          <a:extLst>
            <a:ext uri="{FF2B5EF4-FFF2-40B4-BE49-F238E27FC236}">
              <a16:creationId xmlns:a16="http://schemas.microsoft.com/office/drawing/2014/main" id="{954BF03F-5860-451A-81E6-18F1D5510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0.63994</cdr:x>
      <cdr:y>0.64877</cdr:y>
    </cdr:from>
    <cdr:to>
      <cdr:x>0.87554</cdr:x>
      <cdr:y>0.66922</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0.63994</cdr:x>
      <cdr:y>0.54311</cdr:y>
    </cdr:from>
    <cdr:to>
      <cdr:x>0.92227</cdr:x>
      <cdr:y>0.56823</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0.24078</cdr:x>
      <cdr:y>0.83677</cdr:y>
    </cdr:from>
    <cdr:to>
      <cdr:x>0.48597</cdr:x>
      <cdr:y>0.86166</cdr:y>
    </cdr:to>
    <cdr:sp macro="" textlink="">
      <cdr:nvSpPr>
        <cdr:cNvPr id="5135" name="Acceleration"/>
        <cdr:cNvSpPr txBox="1">
          <a:spLocks xmlns:a="http://schemas.openxmlformats.org/drawingml/2006/main" noChangeArrowheads="1"/>
        </cdr:cNvSpPr>
      </cdr:nvSpPr>
      <cdr:spPr bwMode="auto">
        <a:xfrm xmlns:a="http://schemas.openxmlformats.org/drawingml/2006/main">
          <a:off x="1408165" y="5387898"/>
          <a:ext cx="1433957" cy="16026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a:t>
          </a:r>
        </a:p>
      </cdr:txBody>
    </cdr:sp>
  </cdr:relSizeAnchor>
  <cdr:relSizeAnchor xmlns:cdr="http://schemas.openxmlformats.org/drawingml/2006/chartDrawing">
    <cdr:from>
      <cdr:x>0.29956</cdr:x>
      <cdr:y>0.36108</cdr:y>
    </cdr:from>
    <cdr:to>
      <cdr:x>0.6237</cdr:x>
      <cdr:y>0.38818</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0.62346</cdr:x>
      <cdr:y>0.19384</cdr:y>
    </cdr:from>
    <cdr:to>
      <cdr:x>0.94834</cdr:x>
      <cdr:y>0.22242</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a:lstStyle xmlns:a="http://schemas.openxmlformats.org/drawingml/2006/main"/>
        <a:p xmlns:a="http://schemas.openxmlformats.org/drawingml/2006/main">
          <a:r>
            <a:rPr lang="en-US"/>
            <a:t>LOAD TYPE: CUSTOM</a:t>
          </a:r>
        </a:p>
      </cdr:txBody>
    </cdr:sp>
  </cdr:relSizeAnchor>
  <cdr:relSizeAnchor xmlns:cdr="http://schemas.openxmlformats.org/drawingml/2006/chartDrawing">
    <cdr:from>
      <cdr:x>0.21173</cdr:x>
      <cdr:y>0.78254</cdr:y>
    </cdr:from>
    <cdr:to>
      <cdr:x>0.48597</cdr:x>
      <cdr:y>0.80841</cdr:y>
    </cdr:to>
    <cdr:sp macro="" textlink="">
      <cdr:nvSpPr>
        <cdr:cNvPr id="2" name="Acceleration">
          <a:extLst xmlns:a="http://schemas.openxmlformats.org/drawingml/2006/main">
            <a:ext uri="{FF2B5EF4-FFF2-40B4-BE49-F238E27FC236}">
              <a16:creationId xmlns:a16="http://schemas.microsoft.com/office/drawing/2014/main" id="{013FCFF4-9E9D-2E63-9A32-6F851359B140}"/>
            </a:ext>
          </a:extLst>
        </cdr:cNvPr>
        <cdr:cNvSpPr txBox="1">
          <a:spLocks xmlns:a="http://schemas.openxmlformats.org/drawingml/2006/main" noChangeArrowheads="1"/>
        </cdr:cNvSpPr>
      </cdr:nvSpPr>
      <cdr:spPr bwMode="auto">
        <a:xfrm xmlns:a="http://schemas.openxmlformats.org/drawingml/2006/main">
          <a:off x="1238251" y="5038725"/>
          <a:ext cx="1603872" cy="16653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93%V</a:t>
          </a:r>
        </a:p>
      </cdr:txBody>
    </cdr:sp>
  </cdr:relSizeAnchor>
  <cdr:relSizeAnchor xmlns:cdr="http://schemas.openxmlformats.org/drawingml/2006/chartDrawing">
    <cdr:from>
      <cdr:x>0.2101</cdr:x>
      <cdr:y>0.73817</cdr:y>
    </cdr:from>
    <cdr:to>
      <cdr:x>0.48434</cdr:x>
      <cdr:y>0.76403</cdr:y>
    </cdr:to>
    <cdr:sp macro="" textlink="">
      <cdr:nvSpPr>
        <cdr:cNvPr id="3" name="Acceleration">
          <a:extLst xmlns:a="http://schemas.openxmlformats.org/drawingml/2006/main">
            <a:ext uri="{FF2B5EF4-FFF2-40B4-BE49-F238E27FC236}">
              <a16:creationId xmlns:a16="http://schemas.microsoft.com/office/drawing/2014/main" id="{B9A17EF2-60B7-2C0F-4C2C-3DBD4B400B92}"/>
            </a:ext>
          </a:extLst>
        </cdr:cNvPr>
        <cdr:cNvSpPr txBox="1">
          <a:spLocks xmlns:a="http://schemas.openxmlformats.org/drawingml/2006/main" noChangeArrowheads="1"/>
        </cdr:cNvSpPr>
      </cdr:nvSpPr>
      <cdr:spPr bwMode="auto">
        <a:xfrm xmlns:a="http://schemas.openxmlformats.org/drawingml/2006/main">
          <a:off x="1228726" y="4752975"/>
          <a:ext cx="1603872" cy="16653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80%V</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333375</xdr:colOff>
      <xdr:row>16</xdr:row>
      <xdr:rowOff>19050</xdr:rowOff>
    </xdr:from>
    <xdr:to>
      <xdr:col>5</xdr:col>
      <xdr:colOff>904875</xdr:colOff>
      <xdr:row>37</xdr:row>
      <xdr:rowOff>47625</xdr:rowOff>
    </xdr:to>
    <xdr:graphicFrame macro="">
      <xdr:nvGraphicFramePr>
        <xdr:cNvPr id="2" name="Chart 1">
          <a:extLst>
            <a:ext uri="{FF2B5EF4-FFF2-40B4-BE49-F238E27FC236}">
              <a16:creationId xmlns:a16="http://schemas.microsoft.com/office/drawing/2014/main" id="{CAB0084C-F2EC-4C77-8EB4-FF6800EAD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581025</xdr:colOff>
      <xdr:row>16</xdr:row>
      <xdr:rowOff>85725</xdr:rowOff>
    </xdr:from>
    <xdr:to>
      <xdr:col>0</xdr:col>
      <xdr:colOff>1104900</xdr:colOff>
      <xdr:row>17</xdr:row>
      <xdr:rowOff>57150</xdr:rowOff>
    </xdr:to>
    <xdr:sp macro="" textlink="">
      <xdr:nvSpPr>
        <xdr:cNvPr id="3" name="RPM11">
          <a:extLst>
            <a:ext uri="{FF2B5EF4-FFF2-40B4-BE49-F238E27FC236}">
              <a16:creationId xmlns:a16="http://schemas.microsoft.com/office/drawing/2014/main" id="{4AA59BD8-EFE1-441E-9B55-D81438A2337C}"/>
            </a:ext>
          </a:extLst>
        </xdr:cNvPr>
        <xdr:cNvSpPr txBox="1">
          <a:spLocks noChangeArrowheads="1"/>
        </xdr:cNvSpPr>
      </xdr:nvSpPr>
      <xdr:spPr bwMode="auto">
        <a:xfrm>
          <a:off x="581025" y="39814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3600</a:t>
          </a:r>
        </a:p>
      </xdr:txBody>
    </xdr:sp>
    <xdr:clientData/>
  </xdr:twoCellAnchor>
  <xdr:twoCellAnchor>
    <xdr:from>
      <xdr:col>0</xdr:col>
      <xdr:colOff>571500</xdr:colOff>
      <xdr:row>18</xdr:row>
      <xdr:rowOff>28575</xdr:rowOff>
    </xdr:from>
    <xdr:to>
      <xdr:col>0</xdr:col>
      <xdr:colOff>1095375</xdr:colOff>
      <xdr:row>19</xdr:row>
      <xdr:rowOff>0</xdr:rowOff>
    </xdr:to>
    <xdr:sp macro="" textlink="">
      <xdr:nvSpPr>
        <xdr:cNvPr id="4" name="RPM10">
          <a:extLst>
            <a:ext uri="{FF2B5EF4-FFF2-40B4-BE49-F238E27FC236}">
              <a16:creationId xmlns:a16="http://schemas.microsoft.com/office/drawing/2014/main" id="{2EB54BEE-6EF0-40C9-A28A-0AEE23A54162}"/>
            </a:ext>
          </a:extLst>
        </xdr:cNvPr>
        <xdr:cNvSpPr txBox="1">
          <a:spLocks noChangeArrowheads="1"/>
        </xdr:cNvSpPr>
      </xdr:nvSpPr>
      <xdr:spPr bwMode="auto">
        <a:xfrm>
          <a:off x="571500" y="44005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3597</a:t>
          </a:r>
        </a:p>
      </xdr:txBody>
    </xdr:sp>
    <xdr:clientData/>
  </xdr:twoCellAnchor>
  <xdr:twoCellAnchor>
    <xdr:from>
      <xdr:col>0</xdr:col>
      <xdr:colOff>561975</xdr:colOff>
      <xdr:row>19</xdr:row>
      <xdr:rowOff>200025</xdr:rowOff>
    </xdr:from>
    <xdr:to>
      <xdr:col>0</xdr:col>
      <xdr:colOff>1085850</xdr:colOff>
      <xdr:row>20</xdr:row>
      <xdr:rowOff>171450</xdr:rowOff>
    </xdr:to>
    <xdr:sp macro="" textlink="">
      <xdr:nvSpPr>
        <xdr:cNvPr id="5" name="RPM9">
          <a:extLst>
            <a:ext uri="{FF2B5EF4-FFF2-40B4-BE49-F238E27FC236}">
              <a16:creationId xmlns:a16="http://schemas.microsoft.com/office/drawing/2014/main" id="{3408A1C4-1A87-4A1F-B895-1CC96631D3A2}"/>
            </a:ext>
          </a:extLst>
        </xdr:cNvPr>
        <xdr:cNvSpPr txBox="1">
          <a:spLocks noChangeArrowheads="1"/>
        </xdr:cNvSpPr>
      </xdr:nvSpPr>
      <xdr:spPr bwMode="auto">
        <a:xfrm>
          <a:off x="561975" y="481012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3594</a:t>
          </a:r>
        </a:p>
      </xdr:txBody>
    </xdr:sp>
    <xdr:clientData/>
  </xdr:twoCellAnchor>
  <xdr:twoCellAnchor>
    <xdr:from>
      <xdr:col>0</xdr:col>
      <xdr:colOff>561975</xdr:colOff>
      <xdr:row>21</xdr:row>
      <xdr:rowOff>133350</xdr:rowOff>
    </xdr:from>
    <xdr:to>
      <xdr:col>0</xdr:col>
      <xdr:colOff>1085850</xdr:colOff>
      <xdr:row>22</xdr:row>
      <xdr:rowOff>104775</xdr:rowOff>
    </xdr:to>
    <xdr:sp macro="" textlink="">
      <xdr:nvSpPr>
        <xdr:cNvPr id="6" name="RPM8">
          <a:extLst>
            <a:ext uri="{FF2B5EF4-FFF2-40B4-BE49-F238E27FC236}">
              <a16:creationId xmlns:a16="http://schemas.microsoft.com/office/drawing/2014/main" id="{D86CBB33-4C7F-43D6-A210-B96B7C1BE62C}"/>
            </a:ext>
          </a:extLst>
        </xdr:cNvPr>
        <xdr:cNvSpPr txBox="1">
          <a:spLocks noChangeArrowheads="1"/>
        </xdr:cNvSpPr>
      </xdr:nvSpPr>
      <xdr:spPr bwMode="auto">
        <a:xfrm>
          <a:off x="561975" y="52197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3591</a:t>
          </a:r>
        </a:p>
      </xdr:txBody>
    </xdr:sp>
    <xdr:clientData/>
  </xdr:twoCellAnchor>
  <xdr:twoCellAnchor>
    <xdr:from>
      <xdr:col>0</xdr:col>
      <xdr:colOff>571500</xdr:colOff>
      <xdr:row>23</xdr:row>
      <xdr:rowOff>66675</xdr:rowOff>
    </xdr:from>
    <xdr:to>
      <xdr:col>0</xdr:col>
      <xdr:colOff>1095375</xdr:colOff>
      <xdr:row>24</xdr:row>
      <xdr:rowOff>38100</xdr:rowOff>
    </xdr:to>
    <xdr:sp macro="" textlink="">
      <xdr:nvSpPr>
        <xdr:cNvPr id="7" name="RPM7">
          <a:extLst>
            <a:ext uri="{FF2B5EF4-FFF2-40B4-BE49-F238E27FC236}">
              <a16:creationId xmlns:a16="http://schemas.microsoft.com/office/drawing/2014/main" id="{4687C1D4-C7B4-4284-8301-E87D4ED32EDE}"/>
            </a:ext>
          </a:extLst>
        </xdr:cNvPr>
        <xdr:cNvSpPr txBox="1">
          <a:spLocks noChangeArrowheads="1"/>
        </xdr:cNvSpPr>
      </xdr:nvSpPr>
      <xdr:spPr bwMode="auto">
        <a:xfrm>
          <a:off x="571500" y="562927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3588</a:t>
          </a:r>
        </a:p>
      </xdr:txBody>
    </xdr:sp>
    <xdr:clientData/>
  </xdr:twoCellAnchor>
  <xdr:twoCellAnchor>
    <xdr:from>
      <xdr:col>0</xdr:col>
      <xdr:colOff>571500</xdr:colOff>
      <xdr:row>25</xdr:row>
      <xdr:rowOff>0</xdr:rowOff>
    </xdr:from>
    <xdr:to>
      <xdr:col>0</xdr:col>
      <xdr:colOff>1095375</xdr:colOff>
      <xdr:row>25</xdr:row>
      <xdr:rowOff>209550</xdr:rowOff>
    </xdr:to>
    <xdr:sp macro="" textlink="">
      <xdr:nvSpPr>
        <xdr:cNvPr id="8" name="RPM6">
          <a:extLst>
            <a:ext uri="{FF2B5EF4-FFF2-40B4-BE49-F238E27FC236}">
              <a16:creationId xmlns:a16="http://schemas.microsoft.com/office/drawing/2014/main" id="{1B4D05D6-FF6D-4CE0-A41D-ED1BAE7E64DC}"/>
            </a:ext>
          </a:extLst>
        </xdr:cNvPr>
        <xdr:cNvSpPr txBox="1">
          <a:spLocks noChangeArrowheads="1"/>
        </xdr:cNvSpPr>
      </xdr:nvSpPr>
      <xdr:spPr bwMode="auto">
        <a:xfrm>
          <a:off x="571500" y="60388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3585</a:t>
          </a:r>
        </a:p>
      </xdr:txBody>
    </xdr:sp>
    <xdr:clientData/>
  </xdr:twoCellAnchor>
  <xdr:twoCellAnchor>
    <xdr:from>
      <xdr:col>0</xdr:col>
      <xdr:colOff>561975</xdr:colOff>
      <xdr:row>26</xdr:row>
      <xdr:rowOff>171450</xdr:rowOff>
    </xdr:from>
    <xdr:to>
      <xdr:col>0</xdr:col>
      <xdr:colOff>1085850</xdr:colOff>
      <xdr:row>27</xdr:row>
      <xdr:rowOff>142875</xdr:rowOff>
    </xdr:to>
    <xdr:sp macro="" textlink="">
      <xdr:nvSpPr>
        <xdr:cNvPr id="9" name="RPM5">
          <a:extLst>
            <a:ext uri="{FF2B5EF4-FFF2-40B4-BE49-F238E27FC236}">
              <a16:creationId xmlns:a16="http://schemas.microsoft.com/office/drawing/2014/main" id="{A8CC0C13-6541-4A93-900B-8022D720D760}"/>
            </a:ext>
          </a:extLst>
        </xdr:cNvPr>
        <xdr:cNvSpPr txBox="1">
          <a:spLocks noChangeArrowheads="1"/>
        </xdr:cNvSpPr>
      </xdr:nvSpPr>
      <xdr:spPr bwMode="auto">
        <a:xfrm>
          <a:off x="561975" y="644842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3582</a:t>
          </a:r>
        </a:p>
      </xdr:txBody>
    </xdr:sp>
    <xdr:clientData/>
  </xdr:twoCellAnchor>
  <xdr:twoCellAnchor>
    <xdr:from>
      <xdr:col>0</xdr:col>
      <xdr:colOff>552450</xdr:colOff>
      <xdr:row>28</xdr:row>
      <xdr:rowOff>104775</xdr:rowOff>
    </xdr:from>
    <xdr:to>
      <xdr:col>0</xdr:col>
      <xdr:colOff>1076325</xdr:colOff>
      <xdr:row>29</xdr:row>
      <xdr:rowOff>76200</xdr:rowOff>
    </xdr:to>
    <xdr:sp macro="" textlink="">
      <xdr:nvSpPr>
        <xdr:cNvPr id="10" name="RPM4">
          <a:extLst>
            <a:ext uri="{FF2B5EF4-FFF2-40B4-BE49-F238E27FC236}">
              <a16:creationId xmlns:a16="http://schemas.microsoft.com/office/drawing/2014/main" id="{2491D697-6703-48DE-A22D-BCD0B0EC3E8B}"/>
            </a:ext>
          </a:extLst>
        </xdr:cNvPr>
        <xdr:cNvSpPr txBox="1">
          <a:spLocks noChangeArrowheads="1"/>
        </xdr:cNvSpPr>
      </xdr:nvSpPr>
      <xdr:spPr bwMode="auto">
        <a:xfrm>
          <a:off x="552450" y="68580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3579</a:t>
          </a:r>
        </a:p>
      </xdr:txBody>
    </xdr:sp>
    <xdr:clientData/>
  </xdr:twoCellAnchor>
  <xdr:twoCellAnchor>
    <xdr:from>
      <xdr:col>0</xdr:col>
      <xdr:colOff>552450</xdr:colOff>
      <xdr:row>30</xdr:row>
      <xdr:rowOff>47625</xdr:rowOff>
    </xdr:from>
    <xdr:to>
      <xdr:col>0</xdr:col>
      <xdr:colOff>1076325</xdr:colOff>
      <xdr:row>31</xdr:row>
      <xdr:rowOff>19050</xdr:rowOff>
    </xdr:to>
    <xdr:sp macro="" textlink="">
      <xdr:nvSpPr>
        <xdr:cNvPr id="11" name="RPM3">
          <a:extLst>
            <a:ext uri="{FF2B5EF4-FFF2-40B4-BE49-F238E27FC236}">
              <a16:creationId xmlns:a16="http://schemas.microsoft.com/office/drawing/2014/main" id="{0A11FBCA-FB3A-404E-967E-F1D26E2438BA}"/>
            </a:ext>
          </a:extLst>
        </xdr:cNvPr>
        <xdr:cNvSpPr txBox="1">
          <a:spLocks noChangeArrowheads="1"/>
        </xdr:cNvSpPr>
      </xdr:nvSpPr>
      <xdr:spPr bwMode="auto">
        <a:xfrm>
          <a:off x="552450" y="727710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3576</a:t>
          </a:r>
        </a:p>
      </xdr:txBody>
    </xdr:sp>
    <xdr:clientData/>
  </xdr:twoCellAnchor>
  <xdr:twoCellAnchor>
    <xdr:from>
      <xdr:col>0</xdr:col>
      <xdr:colOff>552450</xdr:colOff>
      <xdr:row>31</xdr:row>
      <xdr:rowOff>219075</xdr:rowOff>
    </xdr:from>
    <xdr:to>
      <xdr:col>0</xdr:col>
      <xdr:colOff>1076325</xdr:colOff>
      <xdr:row>32</xdr:row>
      <xdr:rowOff>190500</xdr:rowOff>
    </xdr:to>
    <xdr:sp macro="" textlink="">
      <xdr:nvSpPr>
        <xdr:cNvPr id="12" name="RPM2">
          <a:extLst>
            <a:ext uri="{FF2B5EF4-FFF2-40B4-BE49-F238E27FC236}">
              <a16:creationId xmlns:a16="http://schemas.microsoft.com/office/drawing/2014/main" id="{1166FFFF-0FF8-4170-AEF0-75A4ACD454FC}"/>
            </a:ext>
          </a:extLst>
        </xdr:cNvPr>
        <xdr:cNvSpPr txBox="1">
          <a:spLocks noChangeArrowheads="1"/>
        </xdr:cNvSpPr>
      </xdr:nvSpPr>
      <xdr:spPr bwMode="auto">
        <a:xfrm>
          <a:off x="552450" y="7686675"/>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3573</a:t>
          </a:r>
        </a:p>
      </xdr:txBody>
    </xdr:sp>
    <xdr:clientData/>
  </xdr:twoCellAnchor>
  <xdr:twoCellAnchor>
    <xdr:from>
      <xdr:col>0</xdr:col>
      <xdr:colOff>561975</xdr:colOff>
      <xdr:row>33</xdr:row>
      <xdr:rowOff>152400</xdr:rowOff>
    </xdr:from>
    <xdr:to>
      <xdr:col>0</xdr:col>
      <xdr:colOff>1085850</xdr:colOff>
      <xdr:row>34</xdr:row>
      <xdr:rowOff>123825</xdr:rowOff>
    </xdr:to>
    <xdr:sp macro="" textlink="">
      <xdr:nvSpPr>
        <xdr:cNvPr id="13" name="RPM1">
          <a:extLst>
            <a:ext uri="{FF2B5EF4-FFF2-40B4-BE49-F238E27FC236}">
              <a16:creationId xmlns:a16="http://schemas.microsoft.com/office/drawing/2014/main" id="{5713D693-D745-4C9C-8016-14EA6C7F3C95}"/>
            </a:ext>
          </a:extLst>
        </xdr:cNvPr>
        <xdr:cNvSpPr txBox="1">
          <a:spLocks noChangeArrowheads="1"/>
        </xdr:cNvSpPr>
      </xdr:nvSpPr>
      <xdr:spPr bwMode="auto">
        <a:xfrm>
          <a:off x="561975" y="8096250"/>
          <a:ext cx="523875" cy="2095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3570</a:t>
          </a:r>
        </a:p>
      </xdr:txBody>
    </xdr:sp>
    <xdr:clientData/>
  </xdr:twoCellAnchor>
  <xdr:twoCellAnchor>
    <xdr:from>
      <xdr:col>0</xdr:col>
      <xdr:colOff>190500</xdr:colOff>
      <xdr:row>24</xdr:row>
      <xdr:rowOff>133350</xdr:rowOff>
    </xdr:from>
    <xdr:to>
      <xdr:col>0</xdr:col>
      <xdr:colOff>400050</xdr:colOff>
      <xdr:row>27</xdr:row>
      <xdr:rowOff>0</xdr:rowOff>
    </xdr:to>
    <xdr:sp macro="" textlink="">
      <xdr:nvSpPr>
        <xdr:cNvPr id="14" name="RPM">
          <a:extLst>
            <a:ext uri="{FF2B5EF4-FFF2-40B4-BE49-F238E27FC236}">
              <a16:creationId xmlns:a16="http://schemas.microsoft.com/office/drawing/2014/main" id="{33D5B3A4-A830-45D7-9FF1-5FC2AF7E9F33}"/>
            </a:ext>
          </a:extLst>
        </xdr:cNvPr>
        <xdr:cNvSpPr txBox="1">
          <a:spLocks noChangeArrowheads="1"/>
        </xdr:cNvSpPr>
      </xdr:nvSpPr>
      <xdr:spPr bwMode="auto">
        <a:xfrm>
          <a:off x="190500" y="5934075"/>
          <a:ext cx="209550" cy="581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352424</xdr:colOff>
      <xdr:row>16</xdr:row>
      <xdr:rowOff>85726</xdr:rowOff>
    </xdr:from>
    <xdr:to>
      <xdr:col>5</xdr:col>
      <xdr:colOff>828674</xdr:colOff>
      <xdr:row>17</xdr:row>
      <xdr:rowOff>9526</xdr:rowOff>
    </xdr:to>
    <xdr:sp macro="" textlink="">
      <xdr:nvSpPr>
        <xdr:cNvPr id="15" name="Watts11">
          <a:extLst>
            <a:ext uri="{FF2B5EF4-FFF2-40B4-BE49-F238E27FC236}">
              <a16:creationId xmlns:a16="http://schemas.microsoft.com/office/drawing/2014/main" id="{1F4753A4-B71E-45A7-A39C-EC54CE951C16}"/>
            </a:ext>
          </a:extLst>
        </xdr:cNvPr>
        <xdr:cNvSpPr txBox="1">
          <a:spLocks noChangeArrowheads="1"/>
        </xdr:cNvSpPr>
      </xdr:nvSpPr>
      <xdr:spPr bwMode="auto">
        <a:xfrm>
          <a:off x="5924549" y="39814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5</xdr:col>
      <xdr:colOff>381000</xdr:colOff>
      <xdr:row>25</xdr:row>
      <xdr:rowOff>0</xdr:rowOff>
    </xdr:from>
    <xdr:to>
      <xdr:col>5</xdr:col>
      <xdr:colOff>918308</xdr:colOff>
      <xdr:row>25</xdr:row>
      <xdr:rowOff>170021</xdr:rowOff>
    </xdr:to>
    <xdr:sp macro="" textlink="">
      <xdr:nvSpPr>
        <xdr:cNvPr id="16" name="Watts6">
          <a:extLst>
            <a:ext uri="{FF2B5EF4-FFF2-40B4-BE49-F238E27FC236}">
              <a16:creationId xmlns:a16="http://schemas.microsoft.com/office/drawing/2014/main" id="{A178DEA5-352B-4C27-AF75-23FE02DA3464}"/>
            </a:ext>
          </a:extLst>
        </xdr:cNvPr>
        <xdr:cNvSpPr txBox="1">
          <a:spLocks noChangeArrowheads="1"/>
        </xdr:cNvSpPr>
      </xdr:nvSpPr>
      <xdr:spPr bwMode="auto">
        <a:xfrm>
          <a:off x="5953125" y="6038850"/>
          <a:ext cx="537308" cy="17002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900</a:t>
          </a:r>
        </a:p>
      </xdr:txBody>
    </xdr:sp>
    <xdr:clientData/>
  </xdr:twoCellAnchor>
  <xdr:twoCellAnchor>
    <xdr:from>
      <xdr:col>5</xdr:col>
      <xdr:colOff>371474</xdr:colOff>
      <xdr:row>26</xdr:row>
      <xdr:rowOff>180976</xdr:rowOff>
    </xdr:from>
    <xdr:to>
      <xdr:col>5</xdr:col>
      <xdr:colOff>847724</xdr:colOff>
      <xdr:row>27</xdr:row>
      <xdr:rowOff>104776</xdr:rowOff>
    </xdr:to>
    <xdr:sp macro="" textlink="">
      <xdr:nvSpPr>
        <xdr:cNvPr id="17" name="Watts5">
          <a:extLst>
            <a:ext uri="{FF2B5EF4-FFF2-40B4-BE49-F238E27FC236}">
              <a16:creationId xmlns:a16="http://schemas.microsoft.com/office/drawing/2014/main" id="{1861603F-F8EA-4EC4-9F04-55C665EBB342}"/>
            </a:ext>
          </a:extLst>
        </xdr:cNvPr>
        <xdr:cNvSpPr txBox="1">
          <a:spLocks noChangeArrowheads="1"/>
        </xdr:cNvSpPr>
      </xdr:nvSpPr>
      <xdr:spPr bwMode="auto">
        <a:xfrm>
          <a:off x="5943599" y="64579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720</a:t>
          </a:r>
        </a:p>
      </xdr:txBody>
    </xdr:sp>
    <xdr:clientData/>
  </xdr:twoCellAnchor>
  <xdr:twoCellAnchor>
    <xdr:from>
      <xdr:col>5</xdr:col>
      <xdr:colOff>380999</xdr:colOff>
      <xdr:row>28</xdr:row>
      <xdr:rowOff>114301</xdr:rowOff>
    </xdr:from>
    <xdr:to>
      <xdr:col>5</xdr:col>
      <xdr:colOff>857249</xdr:colOff>
      <xdr:row>29</xdr:row>
      <xdr:rowOff>38101</xdr:rowOff>
    </xdr:to>
    <xdr:sp macro="" textlink="">
      <xdr:nvSpPr>
        <xdr:cNvPr id="18" name="Watts4">
          <a:extLst>
            <a:ext uri="{FF2B5EF4-FFF2-40B4-BE49-F238E27FC236}">
              <a16:creationId xmlns:a16="http://schemas.microsoft.com/office/drawing/2014/main" id="{AAF62F1B-3358-48C9-97FB-25BB6B576528}"/>
            </a:ext>
          </a:extLst>
        </xdr:cNvPr>
        <xdr:cNvSpPr txBox="1">
          <a:spLocks noChangeArrowheads="1"/>
        </xdr:cNvSpPr>
      </xdr:nvSpPr>
      <xdr:spPr bwMode="auto">
        <a:xfrm>
          <a:off x="5953124" y="686752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540</a:t>
          </a:r>
        </a:p>
      </xdr:txBody>
    </xdr:sp>
    <xdr:clientData/>
  </xdr:twoCellAnchor>
  <xdr:twoCellAnchor>
    <xdr:from>
      <xdr:col>5</xdr:col>
      <xdr:colOff>371474</xdr:colOff>
      <xdr:row>30</xdr:row>
      <xdr:rowOff>38101</xdr:rowOff>
    </xdr:from>
    <xdr:to>
      <xdr:col>5</xdr:col>
      <xdr:colOff>847724</xdr:colOff>
      <xdr:row>30</xdr:row>
      <xdr:rowOff>200026</xdr:rowOff>
    </xdr:to>
    <xdr:sp macro="" textlink="">
      <xdr:nvSpPr>
        <xdr:cNvPr id="19" name="Watts3">
          <a:extLst>
            <a:ext uri="{FF2B5EF4-FFF2-40B4-BE49-F238E27FC236}">
              <a16:creationId xmlns:a16="http://schemas.microsoft.com/office/drawing/2014/main" id="{00AA46DE-9622-45C7-89B3-0CD87CB35E97}"/>
            </a:ext>
          </a:extLst>
        </xdr:cNvPr>
        <xdr:cNvSpPr txBox="1">
          <a:spLocks noChangeArrowheads="1"/>
        </xdr:cNvSpPr>
      </xdr:nvSpPr>
      <xdr:spPr bwMode="auto">
        <a:xfrm>
          <a:off x="5943599" y="72675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360</a:t>
          </a:r>
        </a:p>
      </xdr:txBody>
    </xdr:sp>
    <xdr:clientData/>
  </xdr:twoCellAnchor>
  <xdr:twoCellAnchor>
    <xdr:from>
      <xdr:col>5</xdr:col>
      <xdr:colOff>371474</xdr:colOff>
      <xdr:row>31</xdr:row>
      <xdr:rowOff>219076</xdr:rowOff>
    </xdr:from>
    <xdr:to>
      <xdr:col>5</xdr:col>
      <xdr:colOff>847724</xdr:colOff>
      <xdr:row>32</xdr:row>
      <xdr:rowOff>142876</xdr:rowOff>
    </xdr:to>
    <xdr:sp macro="" textlink="">
      <xdr:nvSpPr>
        <xdr:cNvPr id="20" name="Watts2">
          <a:extLst>
            <a:ext uri="{FF2B5EF4-FFF2-40B4-BE49-F238E27FC236}">
              <a16:creationId xmlns:a16="http://schemas.microsoft.com/office/drawing/2014/main" id="{227E6B3E-E380-458E-8567-1FF523F6220D}"/>
            </a:ext>
          </a:extLst>
        </xdr:cNvPr>
        <xdr:cNvSpPr txBox="1">
          <a:spLocks noChangeArrowheads="1"/>
        </xdr:cNvSpPr>
      </xdr:nvSpPr>
      <xdr:spPr bwMode="auto">
        <a:xfrm>
          <a:off x="5943599" y="76866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a:t>
          </a:r>
        </a:p>
      </xdr:txBody>
    </xdr:sp>
    <xdr:clientData/>
  </xdr:twoCellAnchor>
  <xdr:twoCellAnchor>
    <xdr:from>
      <xdr:col>5</xdr:col>
      <xdr:colOff>828675</xdr:colOff>
      <xdr:row>22</xdr:row>
      <xdr:rowOff>190500</xdr:rowOff>
    </xdr:from>
    <xdr:to>
      <xdr:col>5</xdr:col>
      <xdr:colOff>1047750</xdr:colOff>
      <xdr:row>28</xdr:row>
      <xdr:rowOff>85725</xdr:rowOff>
    </xdr:to>
    <xdr:sp macro="" textlink="">
      <xdr:nvSpPr>
        <xdr:cNvPr id="21" name="Input Watts">
          <a:extLst>
            <a:ext uri="{FF2B5EF4-FFF2-40B4-BE49-F238E27FC236}">
              <a16:creationId xmlns:a16="http://schemas.microsoft.com/office/drawing/2014/main" id="{8749F18D-29B6-4E50-96E6-86BBFD9D4800}"/>
            </a:ext>
          </a:extLst>
        </xdr:cNvPr>
        <xdr:cNvSpPr txBox="1">
          <a:spLocks noChangeArrowheads="1"/>
        </xdr:cNvSpPr>
      </xdr:nvSpPr>
      <xdr:spPr bwMode="auto">
        <a:xfrm>
          <a:off x="6400800" y="5514975"/>
          <a:ext cx="219075" cy="1323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371474</xdr:colOff>
      <xdr:row>23</xdr:row>
      <xdr:rowOff>66676</xdr:rowOff>
    </xdr:from>
    <xdr:to>
      <xdr:col>5</xdr:col>
      <xdr:colOff>847724</xdr:colOff>
      <xdr:row>23</xdr:row>
      <xdr:rowOff>228601</xdr:rowOff>
    </xdr:to>
    <xdr:sp macro="" textlink="">
      <xdr:nvSpPr>
        <xdr:cNvPr id="22" name="Watts7">
          <a:extLst>
            <a:ext uri="{FF2B5EF4-FFF2-40B4-BE49-F238E27FC236}">
              <a16:creationId xmlns:a16="http://schemas.microsoft.com/office/drawing/2014/main" id="{3FDBA50B-98B7-4C9A-8E91-61CE1A44BAEB}"/>
            </a:ext>
          </a:extLst>
        </xdr:cNvPr>
        <xdr:cNvSpPr txBox="1">
          <a:spLocks noChangeArrowheads="1"/>
        </xdr:cNvSpPr>
      </xdr:nvSpPr>
      <xdr:spPr bwMode="auto">
        <a:xfrm>
          <a:off x="5943599" y="562927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1080</a:t>
          </a:r>
        </a:p>
      </xdr:txBody>
    </xdr:sp>
    <xdr:clientData/>
  </xdr:twoCellAnchor>
  <xdr:twoCellAnchor>
    <xdr:from>
      <xdr:col>5</xdr:col>
      <xdr:colOff>371474</xdr:colOff>
      <xdr:row>21</xdr:row>
      <xdr:rowOff>133351</xdr:rowOff>
    </xdr:from>
    <xdr:to>
      <xdr:col>5</xdr:col>
      <xdr:colOff>847724</xdr:colOff>
      <xdr:row>22</xdr:row>
      <xdr:rowOff>57151</xdr:rowOff>
    </xdr:to>
    <xdr:sp macro="" textlink="">
      <xdr:nvSpPr>
        <xdr:cNvPr id="23" name="Watts8">
          <a:extLst>
            <a:ext uri="{FF2B5EF4-FFF2-40B4-BE49-F238E27FC236}">
              <a16:creationId xmlns:a16="http://schemas.microsoft.com/office/drawing/2014/main" id="{45B51EA8-7269-4A7F-9349-66155C29289E}"/>
            </a:ext>
          </a:extLst>
        </xdr:cNvPr>
        <xdr:cNvSpPr txBox="1">
          <a:spLocks noChangeArrowheads="1"/>
        </xdr:cNvSpPr>
      </xdr:nvSpPr>
      <xdr:spPr bwMode="auto">
        <a:xfrm>
          <a:off x="5943599" y="521970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1260</a:t>
          </a:r>
        </a:p>
      </xdr:txBody>
    </xdr:sp>
    <xdr:clientData/>
  </xdr:twoCellAnchor>
  <xdr:twoCellAnchor>
    <xdr:from>
      <xdr:col>5</xdr:col>
      <xdr:colOff>361949</xdr:colOff>
      <xdr:row>19</xdr:row>
      <xdr:rowOff>200026</xdr:rowOff>
    </xdr:from>
    <xdr:to>
      <xdr:col>5</xdr:col>
      <xdr:colOff>838199</xdr:colOff>
      <xdr:row>20</xdr:row>
      <xdr:rowOff>123826</xdr:rowOff>
    </xdr:to>
    <xdr:sp macro="" textlink="">
      <xdr:nvSpPr>
        <xdr:cNvPr id="24" name="Watts9">
          <a:extLst>
            <a:ext uri="{FF2B5EF4-FFF2-40B4-BE49-F238E27FC236}">
              <a16:creationId xmlns:a16="http://schemas.microsoft.com/office/drawing/2014/main" id="{914A8D3B-BB71-433D-97D7-BD898F9CB75B}"/>
            </a:ext>
          </a:extLst>
        </xdr:cNvPr>
        <xdr:cNvSpPr txBox="1">
          <a:spLocks noChangeArrowheads="1"/>
        </xdr:cNvSpPr>
      </xdr:nvSpPr>
      <xdr:spPr bwMode="auto">
        <a:xfrm>
          <a:off x="5934074" y="4810126"/>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1440</a:t>
          </a:r>
        </a:p>
      </xdr:txBody>
    </xdr:sp>
    <xdr:clientData/>
  </xdr:twoCellAnchor>
  <xdr:twoCellAnchor>
    <xdr:from>
      <xdr:col>5</xdr:col>
      <xdr:colOff>361949</xdr:colOff>
      <xdr:row>18</xdr:row>
      <xdr:rowOff>28576</xdr:rowOff>
    </xdr:from>
    <xdr:to>
      <xdr:col>5</xdr:col>
      <xdr:colOff>838199</xdr:colOff>
      <xdr:row>18</xdr:row>
      <xdr:rowOff>190501</xdr:rowOff>
    </xdr:to>
    <xdr:sp macro="" textlink="">
      <xdr:nvSpPr>
        <xdr:cNvPr id="25" name="Watts10">
          <a:extLst>
            <a:ext uri="{FF2B5EF4-FFF2-40B4-BE49-F238E27FC236}">
              <a16:creationId xmlns:a16="http://schemas.microsoft.com/office/drawing/2014/main" id="{30BF4BAD-7495-48E2-A989-3C6649E34BD6}"/>
            </a:ext>
          </a:extLst>
        </xdr:cNvPr>
        <xdr:cNvSpPr txBox="1">
          <a:spLocks noChangeArrowheads="1"/>
        </xdr:cNvSpPr>
      </xdr:nvSpPr>
      <xdr:spPr bwMode="auto">
        <a:xfrm>
          <a:off x="5934074" y="4400551"/>
          <a:ext cx="476250" cy="161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1620</a:t>
          </a:r>
        </a:p>
      </xdr:txBody>
    </xdr:sp>
    <xdr:clientData/>
  </xdr:twoCellAnchor>
  <xdr:twoCellAnchor>
    <xdr:from>
      <xdr:col>2</xdr:col>
      <xdr:colOff>1053465</xdr:colOff>
      <xdr:row>16</xdr:row>
      <xdr:rowOff>182880</xdr:rowOff>
    </xdr:from>
    <xdr:to>
      <xdr:col>3</xdr:col>
      <xdr:colOff>283777</xdr:colOff>
      <xdr:row>17</xdr:row>
      <xdr:rowOff>95568</xdr:rowOff>
    </xdr:to>
    <xdr:sp macro="" textlink="" fLocksText="0">
      <xdr:nvSpPr>
        <xdr:cNvPr id="26" name="Text Box 26">
          <a:extLst>
            <a:ext uri="{FF2B5EF4-FFF2-40B4-BE49-F238E27FC236}">
              <a16:creationId xmlns:a16="http://schemas.microsoft.com/office/drawing/2014/main" id="{8D59CD9A-A933-485A-9FED-EE588090A2D3}"/>
            </a:ext>
          </a:extLst>
        </xdr:cNvPr>
        <xdr:cNvSpPr txBox="1">
          <a:spLocks noChangeArrowheads="1"/>
        </xdr:cNvSpPr>
      </xdr:nvSpPr>
      <xdr:spPr bwMode="auto">
        <a:xfrm>
          <a:off x="3282315" y="4078605"/>
          <a:ext cx="344737" cy="150813"/>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946785</xdr:colOff>
      <xdr:row>18</xdr:row>
      <xdr:rowOff>192405</xdr:rowOff>
    </xdr:from>
    <xdr:to>
      <xdr:col>4</xdr:col>
      <xdr:colOff>169604</xdr:colOff>
      <xdr:row>19</xdr:row>
      <xdr:rowOff>133437</xdr:rowOff>
    </xdr:to>
    <xdr:sp macro="" textlink="" fLocksText="0">
      <xdr:nvSpPr>
        <xdr:cNvPr id="27" name="Text Box 27">
          <a:extLst>
            <a:ext uri="{FF2B5EF4-FFF2-40B4-BE49-F238E27FC236}">
              <a16:creationId xmlns:a16="http://schemas.microsoft.com/office/drawing/2014/main" id="{1B647DFF-97BF-43AB-9B6E-33874BBFB528}"/>
            </a:ext>
          </a:extLst>
        </xdr:cNvPr>
        <xdr:cNvSpPr txBox="1">
          <a:spLocks noChangeArrowheads="1"/>
        </xdr:cNvSpPr>
      </xdr:nvSpPr>
      <xdr:spPr bwMode="auto">
        <a:xfrm>
          <a:off x="4290060" y="4564380"/>
          <a:ext cx="337244" cy="179157"/>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1</xdr:col>
      <xdr:colOff>714375</xdr:colOff>
      <xdr:row>21</xdr:row>
      <xdr:rowOff>200025</xdr:rowOff>
    </xdr:from>
    <xdr:to>
      <xdr:col>1</xdr:col>
      <xdr:colOff>1055421</xdr:colOff>
      <xdr:row>22</xdr:row>
      <xdr:rowOff>103287</xdr:rowOff>
    </xdr:to>
    <xdr:sp macro="" textlink="" fLocksText="0">
      <xdr:nvSpPr>
        <xdr:cNvPr id="28" name="Speed">
          <a:extLst>
            <a:ext uri="{FF2B5EF4-FFF2-40B4-BE49-F238E27FC236}">
              <a16:creationId xmlns:a16="http://schemas.microsoft.com/office/drawing/2014/main" id="{7A3018FD-27F6-4762-9077-272AC2402547}"/>
            </a:ext>
          </a:extLst>
        </xdr:cNvPr>
        <xdr:cNvSpPr txBox="1">
          <a:spLocks noChangeArrowheads="1"/>
        </xdr:cNvSpPr>
      </xdr:nvSpPr>
      <xdr:spPr bwMode="auto">
        <a:xfrm>
          <a:off x="1828800" y="5286375"/>
          <a:ext cx="341046" cy="141387"/>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782955</xdr:colOff>
      <xdr:row>28</xdr:row>
      <xdr:rowOff>200025</xdr:rowOff>
    </xdr:from>
    <xdr:to>
      <xdr:col>2</xdr:col>
      <xdr:colOff>102986</xdr:colOff>
      <xdr:row>29</xdr:row>
      <xdr:rowOff>114300</xdr:rowOff>
    </xdr:to>
    <xdr:sp macro="" textlink="" fLocksText="0">
      <xdr:nvSpPr>
        <xdr:cNvPr id="29" name="Amps">
          <a:extLst>
            <a:ext uri="{FF2B5EF4-FFF2-40B4-BE49-F238E27FC236}">
              <a16:creationId xmlns:a16="http://schemas.microsoft.com/office/drawing/2014/main" id="{77777CC0-1845-4687-953D-EBE2CFF3311D}"/>
            </a:ext>
          </a:extLst>
        </xdr:cNvPr>
        <xdr:cNvSpPr txBox="1">
          <a:spLocks noChangeArrowheads="1"/>
        </xdr:cNvSpPr>
      </xdr:nvSpPr>
      <xdr:spPr bwMode="auto">
        <a:xfrm>
          <a:off x="1897380" y="6953250"/>
          <a:ext cx="434456" cy="152400"/>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64770</xdr:colOff>
      <xdr:row>32</xdr:row>
      <xdr:rowOff>144780</xdr:rowOff>
    </xdr:from>
    <xdr:to>
      <xdr:col>2</xdr:col>
      <xdr:colOff>565979</xdr:colOff>
      <xdr:row>33</xdr:row>
      <xdr:rowOff>66976</xdr:rowOff>
    </xdr:to>
    <xdr:sp macro="" textlink="" fLocksText="0">
      <xdr:nvSpPr>
        <xdr:cNvPr id="30" name="Watts">
          <a:extLst>
            <a:ext uri="{FF2B5EF4-FFF2-40B4-BE49-F238E27FC236}">
              <a16:creationId xmlns:a16="http://schemas.microsoft.com/office/drawing/2014/main" id="{6F906737-62A8-4ED1-A1C0-008C317A0BCC}"/>
            </a:ext>
          </a:extLst>
        </xdr:cNvPr>
        <xdr:cNvSpPr txBox="1">
          <a:spLocks noChangeArrowheads="1"/>
        </xdr:cNvSpPr>
      </xdr:nvSpPr>
      <xdr:spPr bwMode="auto">
        <a:xfrm>
          <a:off x="2293620" y="7850505"/>
          <a:ext cx="501209" cy="160321"/>
        </a:xfrm>
        <a:prstGeom prst="rect">
          <a:avLst/>
        </a:prstGeom>
        <a:noFill/>
        <a:ln>
          <a:noFill/>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361950</xdr:colOff>
      <xdr:row>33</xdr:row>
      <xdr:rowOff>142875</xdr:rowOff>
    </xdr:from>
    <xdr:to>
      <xdr:col>5</xdr:col>
      <xdr:colOff>752475</xdr:colOff>
      <xdr:row>34</xdr:row>
      <xdr:rowOff>104775</xdr:rowOff>
    </xdr:to>
    <xdr:sp macro="" textlink="">
      <xdr:nvSpPr>
        <xdr:cNvPr id="31" name="Watts1">
          <a:extLst>
            <a:ext uri="{FF2B5EF4-FFF2-40B4-BE49-F238E27FC236}">
              <a16:creationId xmlns:a16="http://schemas.microsoft.com/office/drawing/2014/main" id="{95876AA1-1A49-4F8B-BC2F-4871C1472916}"/>
            </a:ext>
          </a:extLst>
        </xdr:cNvPr>
        <xdr:cNvSpPr txBox="1">
          <a:spLocks noChangeArrowheads="1"/>
        </xdr:cNvSpPr>
      </xdr:nvSpPr>
      <xdr:spPr bwMode="auto">
        <a:xfrm>
          <a:off x="5934075" y="8086725"/>
          <a:ext cx="390525"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4DA07-16A1-49CD-B6E0-2574C1FE74B6}">
  <sheetPr>
    <pageSetUpPr fitToPage="1"/>
  </sheetPr>
  <dimension ref="A1:P71"/>
  <sheetViews>
    <sheetView topLeftCell="A7" zoomScale="95" workbookViewId="0">
      <selection activeCell="H40" sqref="H40"/>
    </sheetView>
  </sheetViews>
  <sheetFormatPr defaultRowHeight="12.75"/>
  <cols>
    <col min="1" max="6" width="8.59765625" style="149" customWidth="1"/>
    <col min="7" max="7" width="8.69921875" style="149" customWidth="1"/>
    <col min="8" max="8" width="8.8984375" style="149" customWidth="1"/>
    <col min="9" max="10" width="8.59765625" style="149" customWidth="1"/>
    <col min="11" max="11" width="8.796875" style="149"/>
    <col min="12" max="12" width="9.3984375" style="149" bestFit="1" customWidth="1"/>
    <col min="13" max="13" width="6.296875" style="149" bestFit="1" customWidth="1"/>
    <col min="14" max="256" width="8.796875" style="149"/>
    <col min="257" max="262" width="8.59765625" style="149" customWidth="1"/>
    <col min="263" max="263" width="8.69921875" style="149" customWidth="1"/>
    <col min="264" max="264" width="8.8984375" style="149" customWidth="1"/>
    <col min="265" max="266" width="8.59765625" style="149" customWidth="1"/>
    <col min="267" max="267" width="8.796875" style="149"/>
    <col min="268" max="268" width="9.3984375" style="149" bestFit="1" customWidth="1"/>
    <col min="269" max="269" width="6.296875" style="149" bestFit="1" customWidth="1"/>
    <col min="270" max="512" width="8.796875" style="149"/>
    <col min="513" max="518" width="8.59765625" style="149" customWidth="1"/>
    <col min="519" max="519" width="8.69921875" style="149" customWidth="1"/>
    <col min="520" max="520" width="8.8984375" style="149" customWidth="1"/>
    <col min="521" max="522" width="8.59765625" style="149" customWidth="1"/>
    <col min="523" max="523" width="8.796875" style="149"/>
    <col min="524" max="524" width="9.3984375" style="149" bestFit="1" customWidth="1"/>
    <col min="525" max="525" width="6.296875" style="149" bestFit="1" customWidth="1"/>
    <col min="526" max="768" width="8.796875" style="149"/>
    <col min="769" max="774" width="8.59765625" style="149" customWidth="1"/>
    <col min="775" max="775" width="8.69921875" style="149" customWidth="1"/>
    <col min="776" max="776" width="8.8984375" style="149" customWidth="1"/>
    <col min="777" max="778" width="8.59765625" style="149" customWidth="1"/>
    <col min="779" max="779" width="8.796875" style="149"/>
    <col min="780" max="780" width="9.3984375" style="149" bestFit="1" customWidth="1"/>
    <col min="781" max="781" width="6.296875" style="149" bestFit="1" customWidth="1"/>
    <col min="782" max="1024" width="8.796875" style="149"/>
    <col min="1025" max="1030" width="8.59765625" style="149" customWidth="1"/>
    <col min="1031" max="1031" width="8.69921875" style="149" customWidth="1"/>
    <col min="1032" max="1032" width="8.8984375" style="149" customWidth="1"/>
    <col min="1033" max="1034" width="8.59765625" style="149" customWidth="1"/>
    <col min="1035" max="1035" width="8.796875" style="149"/>
    <col min="1036" max="1036" width="9.3984375" style="149" bestFit="1" customWidth="1"/>
    <col min="1037" max="1037" width="6.296875" style="149" bestFit="1" customWidth="1"/>
    <col min="1038" max="1280" width="8.796875" style="149"/>
    <col min="1281" max="1286" width="8.59765625" style="149" customWidth="1"/>
    <col min="1287" max="1287" width="8.69921875" style="149" customWidth="1"/>
    <col min="1288" max="1288" width="8.8984375" style="149" customWidth="1"/>
    <col min="1289" max="1290" width="8.59765625" style="149" customWidth="1"/>
    <col min="1291" max="1291" width="8.796875" style="149"/>
    <col min="1292" max="1292" width="9.3984375" style="149" bestFit="1" customWidth="1"/>
    <col min="1293" max="1293" width="6.296875" style="149" bestFit="1" customWidth="1"/>
    <col min="1294" max="1536" width="8.796875" style="149"/>
    <col min="1537" max="1542" width="8.59765625" style="149" customWidth="1"/>
    <col min="1543" max="1543" width="8.69921875" style="149" customWidth="1"/>
    <col min="1544" max="1544" width="8.8984375" style="149" customWidth="1"/>
    <col min="1545" max="1546" width="8.59765625" style="149" customWidth="1"/>
    <col min="1547" max="1547" width="8.796875" style="149"/>
    <col min="1548" max="1548" width="9.3984375" style="149" bestFit="1" customWidth="1"/>
    <col min="1549" max="1549" width="6.296875" style="149" bestFit="1" customWidth="1"/>
    <col min="1550" max="1792" width="8.796875" style="149"/>
    <col min="1793" max="1798" width="8.59765625" style="149" customWidth="1"/>
    <col min="1799" max="1799" width="8.69921875" style="149" customWidth="1"/>
    <col min="1800" max="1800" width="8.8984375" style="149" customWidth="1"/>
    <col min="1801" max="1802" width="8.59765625" style="149" customWidth="1"/>
    <col min="1803" max="1803" width="8.796875" style="149"/>
    <col min="1804" max="1804" width="9.3984375" style="149" bestFit="1" customWidth="1"/>
    <col min="1805" max="1805" width="6.296875" style="149" bestFit="1" customWidth="1"/>
    <col min="1806" max="2048" width="8.796875" style="149"/>
    <col min="2049" max="2054" width="8.59765625" style="149" customWidth="1"/>
    <col min="2055" max="2055" width="8.69921875" style="149" customWidth="1"/>
    <col min="2056" max="2056" width="8.8984375" style="149" customWidth="1"/>
    <col min="2057" max="2058" width="8.59765625" style="149" customWidth="1"/>
    <col min="2059" max="2059" width="8.796875" style="149"/>
    <col min="2060" max="2060" width="9.3984375" style="149" bestFit="1" customWidth="1"/>
    <col min="2061" max="2061" width="6.296875" style="149" bestFit="1" customWidth="1"/>
    <col min="2062" max="2304" width="8.796875" style="149"/>
    <col min="2305" max="2310" width="8.59765625" style="149" customWidth="1"/>
    <col min="2311" max="2311" width="8.69921875" style="149" customWidth="1"/>
    <col min="2312" max="2312" width="8.8984375" style="149" customWidth="1"/>
    <col min="2313" max="2314" width="8.59765625" style="149" customWidth="1"/>
    <col min="2315" max="2315" width="8.796875" style="149"/>
    <col min="2316" max="2316" width="9.3984375" style="149" bestFit="1" customWidth="1"/>
    <col min="2317" max="2317" width="6.296875" style="149" bestFit="1" customWidth="1"/>
    <col min="2318" max="2560" width="8.796875" style="149"/>
    <col min="2561" max="2566" width="8.59765625" style="149" customWidth="1"/>
    <col min="2567" max="2567" width="8.69921875" style="149" customWidth="1"/>
    <col min="2568" max="2568" width="8.8984375" style="149" customWidth="1"/>
    <col min="2569" max="2570" width="8.59765625" style="149" customWidth="1"/>
    <col min="2571" max="2571" width="8.796875" style="149"/>
    <col min="2572" max="2572" width="9.3984375" style="149" bestFit="1" customWidth="1"/>
    <col min="2573" max="2573" width="6.296875" style="149" bestFit="1" customWidth="1"/>
    <col min="2574" max="2816" width="8.796875" style="149"/>
    <col min="2817" max="2822" width="8.59765625" style="149" customWidth="1"/>
    <col min="2823" max="2823" width="8.69921875" style="149" customWidth="1"/>
    <col min="2824" max="2824" width="8.8984375" style="149" customWidth="1"/>
    <col min="2825" max="2826" width="8.59765625" style="149" customWidth="1"/>
    <col min="2827" max="2827" width="8.796875" style="149"/>
    <col min="2828" max="2828" width="9.3984375" style="149" bestFit="1" customWidth="1"/>
    <col min="2829" max="2829" width="6.296875" style="149" bestFit="1" customWidth="1"/>
    <col min="2830" max="3072" width="8.796875" style="149"/>
    <col min="3073" max="3078" width="8.59765625" style="149" customWidth="1"/>
    <col min="3079" max="3079" width="8.69921875" style="149" customWidth="1"/>
    <col min="3080" max="3080" width="8.8984375" style="149" customWidth="1"/>
    <col min="3081" max="3082" width="8.59765625" style="149" customWidth="1"/>
    <col min="3083" max="3083" width="8.796875" style="149"/>
    <col min="3084" max="3084" width="9.3984375" style="149" bestFit="1" customWidth="1"/>
    <col min="3085" max="3085" width="6.296875" style="149" bestFit="1" customWidth="1"/>
    <col min="3086" max="3328" width="8.796875" style="149"/>
    <col min="3329" max="3334" width="8.59765625" style="149" customWidth="1"/>
    <col min="3335" max="3335" width="8.69921875" style="149" customWidth="1"/>
    <col min="3336" max="3336" width="8.8984375" style="149" customWidth="1"/>
    <col min="3337" max="3338" width="8.59765625" style="149" customWidth="1"/>
    <col min="3339" max="3339" width="8.796875" style="149"/>
    <col min="3340" max="3340" width="9.3984375" style="149" bestFit="1" customWidth="1"/>
    <col min="3341" max="3341" width="6.296875" style="149" bestFit="1" customWidth="1"/>
    <col min="3342" max="3584" width="8.796875" style="149"/>
    <col min="3585" max="3590" width="8.59765625" style="149" customWidth="1"/>
    <col min="3591" max="3591" width="8.69921875" style="149" customWidth="1"/>
    <col min="3592" max="3592" width="8.8984375" style="149" customWidth="1"/>
    <col min="3593" max="3594" width="8.59765625" style="149" customWidth="1"/>
    <col min="3595" max="3595" width="8.796875" style="149"/>
    <col min="3596" max="3596" width="9.3984375" style="149" bestFit="1" customWidth="1"/>
    <col min="3597" max="3597" width="6.296875" style="149" bestFit="1" customWidth="1"/>
    <col min="3598" max="3840" width="8.796875" style="149"/>
    <col min="3841" max="3846" width="8.59765625" style="149" customWidth="1"/>
    <col min="3847" max="3847" width="8.69921875" style="149" customWidth="1"/>
    <col min="3848" max="3848" width="8.8984375" style="149" customWidth="1"/>
    <col min="3849" max="3850" width="8.59765625" style="149" customWidth="1"/>
    <col min="3851" max="3851" width="8.796875" style="149"/>
    <col min="3852" max="3852" width="9.3984375" style="149" bestFit="1" customWidth="1"/>
    <col min="3853" max="3853" width="6.296875" style="149" bestFit="1" customWidth="1"/>
    <col min="3854" max="4096" width="8.796875" style="149"/>
    <col min="4097" max="4102" width="8.59765625" style="149" customWidth="1"/>
    <col min="4103" max="4103" width="8.69921875" style="149" customWidth="1"/>
    <col min="4104" max="4104" width="8.8984375" style="149" customWidth="1"/>
    <col min="4105" max="4106" width="8.59765625" style="149" customWidth="1"/>
    <col min="4107" max="4107" width="8.796875" style="149"/>
    <col min="4108" max="4108" width="9.3984375" style="149" bestFit="1" customWidth="1"/>
    <col min="4109" max="4109" width="6.296875" style="149" bestFit="1" customWidth="1"/>
    <col min="4110" max="4352" width="8.796875" style="149"/>
    <col min="4353" max="4358" width="8.59765625" style="149" customWidth="1"/>
    <col min="4359" max="4359" width="8.69921875" style="149" customWidth="1"/>
    <col min="4360" max="4360" width="8.8984375" style="149" customWidth="1"/>
    <col min="4361" max="4362" width="8.59765625" style="149" customWidth="1"/>
    <col min="4363" max="4363" width="8.796875" style="149"/>
    <col min="4364" max="4364" width="9.3984375" style="149" bestFit="1" customWidth="1"/>
    <col min="4365" max="4365" width="6.296875" style="149" bestFit="1" customWidth="1"/>
    <col min="4366" max="4608" width="8.796875" style="149"/>
    <col min="4609" max="4614" width="8.59765625" style="149" customWidth="1"/>
    <col min="4615" max="4615" width="8.69921875" style="149" customWidth="1"/>
    <col min="4616" max="4616" width="8.8984375" style="149" customWidth="1"/>
    <col min="4617" max="4618" width="8.59765625" style="149" customWidth="1"/>
    <col min="4619" max="4619" width="8.796875" style="149"/>
    <col min="4620" max="4620" width="9.3984375" style="149" bestFit="1" customWidth="1"/>
    <col min="4621" max="4621" width="6.296875" style="149" bestFit="1" customWidth="1"/>
    <col min="4622" max="4864" width="8.796875" style="149"/>
    <col min="4865" max="4870" width="8.59765625" style="149" customWidth="1"/>
    <col min="4871" max="4871" width="8.69921875" style="149" customWidth="1"/>
    <col min="4872" max="4872" width="8.8984375" style="149" customWidth="1"/>
    <col min="4873" max="4874" width="8.59765625" style="149" customWidth="1"/>
    <col min="4875" max="4875" width="8.796875" style="149"/>
    <col min="4876" max="4876" width="9.3984375" style="149" bestFit="1" customWidth="1"/>
    <col min="4877" max="4877" width="6.296875" style="149" bestFit="1" customWidth="1"/>
    <col min="4878" max="5120" width="8.796875" style="149"/>
    <col min="5121" max="5126" width="8.59765625" style="149" customWidth="1"/>
    <col min="5127" max="5127" width="8.69921875" style="149" customWidth="1"/>
    <col min="5128" max="5128" width="8.8984375" style="149" customWidth="1"/>
    <col min="5129" max="5130" width="8.59765625" style="149" customWidth="1"/>
    <col min="5131" max="5131" width="8.796875" style="149"/>
    <col min="5132" max="5132" width="9.3984375" style="149" bestFit="1" customWidth="1"/>
    <col min="5133" max="5133" width="6.296875" style="149" bestFit="1" customWidth="1"/>
    <col min="5134" max="5376" width="8.796875" style="149"/>
    <col min="5377" max="5382" width="8.59765625" style="149" customWidth="1"/>
    <col min="5383" max="5383" width="8.69921875" style="149" customWidth="1"/>
    <col min="5384" max="5384" width="8.8984375" style="149" customWidth="1"/>
    <col min="5385" max="5386" width="8.59765625" style="149" customWidth="1"/>
    <col min="5387" max="5387" width="8.796875" style="149"/>
    <col min="5388" max="5388" width="9.3984375" style="149" bestFit="1" customWidth="1"/>
    <col min="5389" max="5389" width="6.296875" style="149" bestFit="1" customWidth="1"/>
    <col min="5390" max="5632" width="8.796875" style="149"/>
    <col min="5633" max="5638" width="8.59765625" style="149" customWidth="1"/>
    <col min="5639" max="5639" width="8.69921875" style="149" customWidth="1"/>
    <col min="5640" max="5640" width="8.8984375" style="149" customWidth="1"/>
    <col min="5641" max="5642" width="8.59765625" style="149" customWidth="1"/>
    <col min="5643" max="5643" width="8.796875" style="149"/>
    <col min="5644" max="5644" width="9.3984375" style="149" bestFit="1" customWidth="1"/>
    <col min="5645" max="5645" width="6.296875" style="149" bestFit="1" customWidth="1"/>
    <col min="5646" max="5888" width="8.796875" style="149"/>
    <col min="5889" max="5894" width="8.59765625" style="149" customWidth="1"/>
    <col min="5895" max="5895" width="8.69921875" style="149" customWidth="1"/>
    <col min="5896" max="5896" width="8.8984375" style="149" customWidth="1"/>
    <col min="5897" max="5898" width="8.59765625" style="149" customWidth="1"/>
    <col min="5899" max="5899" width="8.796875" style="149"/>
    <col min="5900" max="5900" width="9.3984375" style="149" bestFit="1" customWidth="1"/>
    <col min="5901" max="5901" width="6.296875" style="149" bestFit="1" customWidth="1"/>
    <col min="5902" max="6144" width="8.796875" style="149"/>
    <col min="6145" max="6150" width="8.59765625" style="149" customWidth="1"/>
    <col min="6151" max="6151" width="8.69921875" style="149" customWidth="1"/>
    <col min="6152" max="6152" width="8.8984375" style="149" customWidth="1"/>
    <col min="6153" max="6154" width="8.59765625" style="149" customWidth="1"/>
    <col min="6155" max="6155" width="8.796875" style="149"/>
    <col min="6156" max="6156" width="9.3984375" style="149" bestFit="1" customWidth="1"/>
    <col min="6157" max="6157" width="6.296875" style="149" bestFit="1" customWidth="1"/>
    <col min="6158" max="6400" width="8.796875" style="149"/>
    <col min="6401" max="6406" width="8.59765625" style="149" customWidth="1"/>
    <col min="6407" max="6407" width="8.69921875" style="149" customWidth="1"/>
    <col min="6408" max="6408" width="8.8984375" style="149" customWidth="1"/>
    <col min="6409" max="6410" width="8.59765625" style="149" customWidth="1"/>
    <col min="6411" max="6411" width="8.796875" style="149"/>
    <col min="6412" max="6412" width="9.3984375" style="149" bestFit="1" customWidth="1"/>
    <col min="6413" max="6413" width="6.296875" style="149" bestFit="1" customWidth="1"/>
    <col min="6414" max="6656" width="8.796875" style="149"/>
    <col min="6657" max="6662" width="8.59765625" style="149" customWidth="1"/>
    <col min="6663" max="6663" width="8.69921875" style="149" customWidth="1"/>
    <col min="6664" max="6664" width="8.8984375" style="149" customWidth="1"/>
    <col min="6665" max="6666" width="8.59765625" style="149" customWidth="1"/>
    <col min="6667" max="6667" width="8.796875" style="149"/>
    <col min="6668" max="6668" width="9.3984375" style="149" bestFit="1" customWidth="1"/>
    <col min="6669" max="6669" width="6.296875" style="149" bestFit="1" customWidth="1"/>
    <col min="6670" max="6912" width="8.796875" style="149"/>
    <col min="6913" max="6918" width="8.59765625" style="149" customWidth="1"/>
    <col min="6919" max="6919" width="8.69921875" style="149" customWidth="1"/>
    <col min="6920" max="6920" width="8.8984375" style="149" customWidth="1"/>
    <col min="6921" max="6922" width="8.59765625" style="149" customWidth="1"/>
    <col min="6923" max="6923" width="8.796875" style="149"/>
    <col min="6924" max="6924" width="9.3984375" style="149" bestFit="1" customWidth="1"/>
    <col min="6925" max="6925" width="6.296875" style="149" bestFit="1" customWidth="1"/>
    <col min="6926" max="7168" width="8.796875" style="149"/>
    <col min="7169" max="7174" width="8.59765625" style="149" customWidth="1"/>
    <col min="7175" max="7175" width="8.69921875" style="149" customWidth="1"/>
    <col min="7176" max="7176" width="8.8984375" style="149" customWidth="1"/>
    <col min="7177" max="7178" width="8.59765625" style="149" customWidth="1"/>
    <col min="7179" max="7179" width="8.796875" style="149"/>
    <col min="7180" max="7180" width="9.3984375" style="149" bestFit="1" customWidth="1"/>
    <col min="7181" max="7181" width="6.296875" style="149" bestFit="1" customWidth="1"/>
    <col min="7182" max="7424" width="8.796875" style="149"/>
    <col min="7425" max="7430" width="8.59765625" style="149" customWidth="1"/>
    <col min="7431" max="7431" width="8.69921875" style="149" customWidth="1"/>
    <col min="7432" max="7432" width="8.8984375" style="149" customWidth="1"/>
    <col min="7433" max="7434" width="8.59765625" style="149" customWidth="1"/>
    <col min="7435" max="7435" width="8.796875" style="149"/>
    <col min="7436" max="7436" width="9.3984375" style="149" bestFit="1" customWidth="1"/>
    <col min="7437" max="7437" width="6.296875" style="149" bestFit="1" customWidth="1"/>
    <col min="7438" max="7680" width="8.796875" style="149"/>
    <col min="7681" max="7686" width="8.59765625" style="149" customWidth="1"/>
    <col min="7687" max="7687" width="8.69921875" style="149" customWidth="1"/>
    <col min="7688" max="7688" width="8.8984375" style="149" customWidth="1"/>
    <col min="7689" max="7690" width="8.59765625" style="149" customWidth="1"/>
    <col min="7691" max="7691" width="8.796875" style="149"/>
    <col min="7692" max="7692" width="9.3984375" style="149" bestFit="1" customWidth="1"/>
    <col min="7693" max="7693" width="6.296875" style="149" bestFit="1" customWidth="1"/>
    <col min="7694" max="7936" width="8.796875" style="149"/>
    <col min="7937" max="7942" width="8.59765625" style="149" customWidth="1"/>
    <col min="7943" max="7943" width="8.69921875" style="149" customWidth="1"/>
    <col min="7944" max="7944" width="8.8984375" style="149" customWidth="1"/>
    <col min="7945" max="7946" width="8.59765625" style="149" customWidth="1"/>
    <col min="7947" max="7947" width="8.796875" style="149"/>
    <col min="7948" max="7948" width="9.3984375" style="149" bestFit="1" customWidth="1"/>
    <col min="7949" max="7949" width="6.296875" style="149" bestFit="1" customWidth="1"/>
    <col min="7950" max="8192" width="8.796875" style="149"/>
    <col min="8193" max="8198" width="8.59765625" style="149" customWidth="1"/>
    <col min="8199" max="8199" width="8.69921875" style="149" customWidth="1"/>
    <col min="8200" max="8200" width="8.8984375" style="149" customWidth="1"/>
    <col min="8201" max="8202" width="8.59765625" style="149" customWidth="1"/>
    <col min="8203" max="8203" width="8.796875" style="149"/>
    <col min="8204" max="8204" width="9.3984375" style="149" bestFit="1" customWidth="1"/>
    <col min="8205" max="8205" width="6.296875" style="149" bestFit="1" customWidth="1"/>
    <col min="8206" max="8448" width="8.796875" style="149"/>
    <col min="8449" max="8454" width="8.59765625" style="149" customWidth="1"/>
    <col min="8455" max="8455" width="8.69921875" style="149" customWidth="1"/>
    <col min="8456" max="8456" width="8.8984375" style="149" customWidth="1"/>
    <col min="8457" max="8458" width="8.59765625" style="149" customWidth="1"/>
    <col min="8459" max="8459" width="8.796875" style="149"/>
    <col min="8460" max="8460" width="9.3984375" style="149" bestFit="1" customWidth="1"/>
    <col min="8461" max="8461" width="6.296875" style="149" bestFit="1" customWidth="1"/>
    <col min="8462" max="8704" width="8.796875" style="149"/>
    <col min="8705" max="8710" width="8.59765625" style="149" customWidth="1"/>
    <col min="8711" max="8711" width="8.69921875" style="149" customWidth="1"/>
    <col min="8712" max="8712" width="8.8984375" style="149" customWidth="1"/>
    <col min="8713" max="8714" width="8.59765625" style="149" customWidth="1"/>
    <col min="8715" max="8715" width="8.796875" style="149"/>
    <col min="8716" max="8716" width="9.3984375" style="149" bestFit="1" customWidth="1"/>
    <col min="8717" max="8717" width="6.296875" style="149" bestFit="1" customWidth="1"/>
    <col min="8718" max="8960" width="8.796875" style="149"/>
    <col min="8961" max="8966" width="8.59765625" style="149" customWidth="1"/>
    <col min="8967" max="8967" width="8.69921875" style="149" customWidth="1"/>
    <col min="8968" max="8968" width="8.8984375" style="149" customWidth="1"/>
    <col min="8969" max="8970" width="8.59765625" style="149" customWidth="1"/>
    <col min="8971" max="8971" width="8.796875" style="149"/>
    <col min="8972" max="8972" width="9.3984375" style="149" bestFit="1" customWidth="1"/>
    <col min="8973" max="8973" width="6.296875" style="149" bestFit="1" customWidth="1"/>
    <col min="8974" max="9216" width="8.796875" style="149"/>
    <col min="9217" max="9222" width="8.59765625" style="149" customWidth="1"/>
    <col min="9223" max="9223" width="8.69921875" style="149" customWidth="1"/>
    <col min="9224" max="9224" width="8.8984375" style="149" customWidth="1"/>
    <col min="9225" max="9226" width="8.59765625" style="149" customWidth="1"/>
    <col min="9227" max="9227" width="8.796875" style="149"/>
    <col min="9228" max="9228" width="9.3984375" style="149" bestFit="1" customWidth="1"/>
    <col min="9229" max="9229" width="6.296875" style="149" bestFit="1" customWidth="1"/>
    <col min="9230" max="9472" width="8.796875" style="149"/>
    <col min="9473" max="9478" width="8.59765625" style="149" customWidth="1"/>
    <col min="9479" max="9479" width="8.69921875" style="149" customWidth="1"/>
    <col min="9480" max="9480" width="8.8984375" style="149" customWidth="1"/>
    <col min="9481" max="9482" width="8.59765625" style="149" customWidth="1"/>
    <col min="9483" max="9483" width="8.796875" style="149"/>
    <col min="9484" max="9484" width="9.3984375" style="149" bestFit="1" customWidth="1"/>
    <col min="9485" max="9485" width="6.296875" style="149" bestFit="1" customWidth="1"/>
    <col min="9486" max="9728" width="8.796875" style="149"/>
    <col min="9729" max="9734" width="8.59765625" style="149" customWidth="1"/>
    <col min="9735" max="9735" width="8.69921875" style="149" customWidth="1"/>
    <col min="9736" max="9736" width="8.8984375" style="149" customWidth="1"/>
    <col min="9737" max="9738" width="8.59765625" style="149" customWidth="1"/>
    <col min="9739" max="9739" width="8.796875" style="149"/>
    <col min="9740" max="9740" width="9.3984375" style="149" bestFit="1" customWidth="1"/>
    <col min="9741" max="9741" width="6.296875" style="149" bestFit="1" customWidth="1"/>
    <col min="9742" max="9984" width="8.796875" style="149"/>
    <col min="9985" max="9990" width="8.59765625" style="149" customWidth="1"/>
    <col min="9991" max="9991" width="8.69921875" style="149" customWidth="1"/>
    <col min="9992" max="9992" width="8.8984375" style="149" customWidth="1"/>
    <col min="9993" max="9994" width="8.59765625" style="149" customWidth="1"/>
    <col min="9995" max="9995" width="8.796875" style="149"/>
    <col min="9996" max="9996" width="9.3984375" style="149" bestFit="1" customWidth="1"/>
    <col min="9997" max="9997" width="6.296875" style="149" bestFit="1" customWidth="1"/>
    <col min="9998" max="10240" width="8.796875" style="149"/>
    <col min="10241" max="10246" width="8.59765625" style="149" customWidth="1"/>
    <col min="10247" max="10247" width="8.69921875" style="149" customWidth="1"/>
    <col min="10248" max="10248" width="8.8984375" style="149" customWidth="1"/>
    <col min="10249" max="10250" width="8.59765625" style="149" customWidth="1"/>
    <col min="10251" max="10251" width="8.796875" style="149"/>
    <col min="10252" max="10252" width="9.3984375" style="149" bestFit="1" customWidth="1"/>
    <col min="10253" max="10253" width="6.296875" style="149" bestFit="1" customWidth="1"/>
    <col min="10254" max="10496" width="8.796875" style="149"/>
    <col min="10497" max="10502" width="8.59765625" style="149" customWidth="1"/>
    <col min="10503" max="10503" width="8.69921875" style="149" customWidth="1"/>
    <col min="10504" max="10504" width="8.8984375" style="149" customWidth="1"/>
    <col min="10505" max="10506" width="8.59765625" style="149" customWidth="1"/>
    <col min="10507" max="10507" width="8.796875" style="149"/>
    <col min="10508" max="10508" width="9.3984375" style="149" bestFit="1" customWidth="1"/>
    <col min="10509" max="10509" width="6.296875" style="149" bestFit="1" customWidth="1"/>
    <col min="10510" max="10752" width="8.796875" style="149"/>
    <col min="10753" max="10758" width="8.59765625" style="149" customWidth="1"/>
    <col min="10759" max="10759" width="8.69921875" style="149" customWidth="1"/>
    <col min="10760" max="10760" width="8.8984375" style="149" customWidth="1"/>
    <col min="10761" max="10762" width="8.59765625" style="149" customWidth="1"/>
    <col min="10763" max="10763" width="8.796875" style="149"/>
    <col min="10764" max="10764" width="9.3984375" style="149" bestFit="1" customWidth="1"/>
    <col min="10765" max="10765" width="6.296875" style="149" bestFit="1" customWidth="1"/>
    <col min="10766" max="11008" width="8.796875" style="149"/>
    <col min="11009" max="11014" width="8.59765625" style="149" customWidth="1"/>
    <col min="11015" max="11015" width="8.69921875" style="149" customWidth="1"/>
    <col min="11016" max="11016" width="8.8984375" style="149" customWidth="1"/>
    <col min="11017" max="11018" width="8.59765625" style="149" customWidth="1"/>
    <col min="11019" max="11019" width="8.796875" style="149"/>
    <col min="11020" max="11020" width="9.3984375" style="149" bestFit="1" customWidth="1"/>
    <col min="11021" max="11021" width="6.296875" style="149" bestFit="1" customWidth="1"/>
    <col min="11022" max="11264" width="8.796875" style="149"/>
    <col min="11265" max="11270" width="8.59765625" style="149" customWidth="1"/>
    <col min="11271" max="11271" width="8.69921875" style="149" customWidth="1"/>
    <col min="11272" max="11272" width="8.8984375" style="149" customWidth="1"/>
    <col min="11273" max="11274" width="8.59765625" style="149" customWidth="1"/>
    <col min="11275" max="11275" width="8.796875" style="149"/>
    <col min="11276" max="11276" width="9.3984375" style="149" bestFit="1" customWidth="1"/>
    <col min="11277" max="11277" width="6.296875" style="149" bestFit="1" customWidth="1"/>
    <col min="11278" max="11520" width="8.796875" style="149"/>
    <col min="11521" max="11526" width="8.59765625" style="149" customWidth="1"/>
    <col min="11527" max="11527" width="8.69921875" style="149" customWidth="1"/>
    <col min="11528" max="11528" width="8.8984375" style="149" customWidth="1"/>
    <col min="11529" max="11530" width="8.59765625" style="149" customWidth="1"/>
    <col min="11531" max="11531" width="8.796875" style="149"/>
    <col min="11532" max="11532" width="9.3984375" style="149" bestFit="1" customWidth="1"/>
    <col min="11533" max="11533" width="6.296875" style="149" bestFit="1" customWidth="1"/>
    <col min="11534" max="11776" width="8.796875" style="149"/>
    <col min="11777" max="11782" width="8.59765625" style="149" customWidth="1"/>
    <col min="11783" max="11783" width="8.69921875" style="149" customWidth="1"/>
    <col min="11784" max="11784" width="8.8984375" style="149" customWidth="1"/>
    <col min="11785" max="11786" width="8.59765625" style="149" customWidth="1"/>
    <col min="11787" max="11787" width="8.796875" style="149"/>
    <col min="11788" max="11788" width="9.3984375" style="149" bestFit="1" customWidth="1"/>
    <col min="11789" max="11789" width="6.296875" style="149" bestFit="1" customWidth="1"/>
    <col min="11790" max="12032" width="8.796875" style="149"/>
    <col min="12033" max="12038" width="8.59765625" style="149" customWidth="1"/>
    <col min="12039" max="12039" width="8.69921875" style="149" customWidth="1"/>
    <col min="12040" max="12040" width="8.8984375" style="149" customWidth="1"/>
    <col min="12041" max="12042" width="8.59765625" style="149" customWidth="1"/>
    <col min="12043" max="12043" width="8.796875" style="149"/>
    <col min="12044" max="12044" width="9.3984375" style="149" bestFit="1" customWidth="1"/>
    <col min="12045" max="12045" width="6.296875" style="149" bestFit="1" customWidth="1"/>
    <col min="12046" max="12288" width="8.796875" style="149"/>
    <col min="12289" max="12294" width="8.59765625" style="149" customWidth="1"/>
    <col min="12295" max="12295" width="8.69921875" style="149" customWidth="1"/>
    <col min="12296" max="12296" width="8.8984375" style="149" customWidth="1"/>
    <col min="12297" max="12298" width="8.59765625" style="149" customWidth="1"/>
    <col min="12299" max="12299" width="8.796875" style="149"/>
    <col min="12300" max="12300" width="9.3984375" style="149" bestFit="1" customWidth="1"/>
    <col min="12301" max="12301" width="6.296875" style="149" bestFit="1" customWidth="1"/>
    <col min="12302" max="12544" width="8.796875" style="149"/>
    <col min="12545" max="12550" width="8.59765625" style="149" customWidth="1"/>
    <col min="12551" max="12551" width="8.69921875" style="149" customWidth="1"/>
    <col min="12552" max="12552" width="8.8984375" style="149" customWidth="1"/>
    <col min="12553" max="12554" width="8.59765625" style="149" customWidth="1"/>
    <col min="12555" max="12555" width="8.796875" style="149"/>
    <col min="12556" max="12556" width="9.3984375" style="149" bestFit="1" customWidth="1"/>
    <col min="12557" max="12557" width="6.296875" style="149" bestFit="1" customWidth="1"/>
    <col min="12558" max="12800" width="8.796875" style="149"/>
    <col min="12801" max="12806" width="8.59765625" style="149" customWidth="1"/>
    <col min="12807" max="12807" width="8.69921875" style="149" customWidth="1"/>
    <col min="12808" max="12808" width="8.8984375" style="149" customWidth="1"/>
    <col min="12809" max="12810" width="8.59765625" style="149" customWidth="1"/>
    <col min="12811" max="12811" width="8.796875" style="149"/>
    <col min="12812" max="12812" width="9.3984375" style="149" bestFit="1" customWidth="1"/>
    <col min="12813" max="12813" width="6.296875" style="149" bestFit="1" customWidth="1"/>
    <col min="12814" max="13056" width="8.796875" style="149"/>
    <col min="13057" max="13062" width="8.59765625" style="149" customWidth="1"/>
    <col min="13063" max="13063" width="8.69921875" style="149" customWidth="1"/>
    <col min="13064" max="13064" width="8.8984375" style="149" customWidth="1"/>
    <col min="13065" max="13066" width="8.59765625" style="149" customWidth="1"/>
    <col min="13067" max="13067" width="8.796875" style="149"/>
    <col min="13068" max="13068" width="9.3984375" style="149" bestFit="1" customWidth="1"/>
    <col min="13069" max="13069" width="6.296875" style="149" bestFit="1" customWidth="1"/>
    <col min="13070" max="13312" width="8.796875" style="149"/>
    <col min="13313" max="13318" width="8.59765625" style="149" customWidth="1"/>
    <col min="13319" max="13319" width="8.69921875" style="149" customWidth="1"/>
    <col min="13320" max="13320" width="8.8984375" style="149" customWidth="1"/>
    <col min="13321" max="13322" width="8.59765625" style="149" customWidth="1"/>
    <col min="13323" max="13323" width="8.796875" style="149"/>
    <col min="13324" max="13324" width="9.3984375" style="149" bestFit="1" customWidth="1"/>
    <col min="13325" max="13325" width="6.296875" style="149" bestFit="1" customWidth="1"/>
    <col min="13326" max="13568" width="8.796875" style="149"/>
    <col min="13569" max="13574" width="8.59765625" style="149" customWidth="1"/>
    <col min="13575" max="13575" width="8.69921875" style="149" customWidth="1"/>
    <col min="13576" max="13576" width="8.8984375" style="149" customWidth="1"/>
    <col min="13577" max="13578" width="8.59765625" style="149" customWidth="1"/>
    <col min="13579" max="13579" width="8.796875" style="149"/>
    <col min="13580" max="13580" width="9.3984375" style="149" bestFit="1" customWidth="1"/>
    <col min="13581" max="13581" width="6.296875" style="149" bestFit="1" customWidth="1"/>
    <col min="13582" max="13824" width="8.796875" style="149"/>
    <col min="13825" max="13830" width="8.59765625" style="149" customWidth="1"/>
    <col min="13831" max="13831" width="8.69921875" style="149" customWidth="1"/>
    <col min="13832" max="13832" width="8.8984375" style="149" customWidth="1"/>
    <col min="13833" max="13834" width="8.59765625" style="149" customWidth="1"/>
    <col min="13835" max="13835" width="8.796875" style="149"/>
    <col min="13836" max="13836" width="9.3984375" style="149" bestFit="1" customWidth="1"/>
    <col min="13837" max="13837" width="6.296875" style="149" bestFit="1" customWidth="1"/>
    <col min="13838" max="14080" width="8.796875" style="149"/>
    <col min="14081" max="14086" width="8.59765625" style="149" customWidth="1"/>
    <col min="14087" max="14087" width="8.69921875" style="149" customWidth="1"/>
    <col min="14088" max="14088" width="8.8984375" style="149" customWidth="1"/>
    <col min="14089" max="14090" width="8.59765625" style="149" customWidth="1"/>
    <col min="14091" max="14091" width="8.796875" style="149"/>
    <col min="14092" max="14092" width="9.3984375" style="149" bestFit="1" customWidth="1"/>
    <col min="14093" max="14093" width="6.296875" style="149" bestFit="1" customWidth="1"/>
    <col min="14094" max="14336" width="8.796875" style="149"/>
    <col min="14337" max="14342" width="8.59765625" style="149" customWidth="1"/>
    <col min="14343" max="14343" width="8.69921875" style="149" customWidth="1"/>
    <col min="14344" max="14344" width="8.8984375" style="149" customWidth="1"/>
    <col min="14345" max="14346" width="8.59765625" style="149" customWidth="1"/>
    <col min="14347" max="14347" width="8.796875" style="149"/>
    <col min="14348" max="14348" width="9.3984375" style="149" bestFit="1" customWidth="1"/>
    <col min="14349" max="14349" width="6.296875" style="149" bestFit="1" customWidth="1"/>
    <col min="14350" max="14592" width="8.796875" style="149"/>
    <col min="14593" max="14598" width="8.59765625" style="149" customWidth="1"/>
    <col min="14599" max="14599" width="8.69921875" style="149" customWidth="1"/>
    <col min="14600" max="14600" width="8.8984375" style="149" customWidth="1"/>
    <col min="14601" max="14602" width="8.59765625" style="149" customWidth="1"/>
    <col min="14603" max="14603" width="8.796875" style="149"/>
    <col min="14604" max="14604" width="9.3984375" style="149" bestFit="1" customWidth="1"/>
    <col min="14605" max="14605" width="6.296875" style="149" bestFit="1" customWidth="1"/>
    <col min="14606" max="14848" width="8.796875" style="149"/>
    <col min="14849" max="14854" width="8.59765625" style="149" customWidth="1"/>
    <col min="14855" max="14855" width="8.69921875" style="149" customWidth="1"/>
    <col min="14856" max="14856" width="8.8984375" style="149" customWidth="1"/>
    <col min="14857" max="14858" width="8.59765625" style="149" customWidth="1"/>
    <col min="14859" max="14859" width="8.796875" style="149"/>
    <col min="14860" max="14860" width="9.3984375" style="149" bestFit="1" customWidth="1"/>
    <col min="14861" max="14861" width="6.296875" style="149" bestFit="1" customWidth="1"/>
    <col min="14862" max="15104" width="8.796875" style="149"/>
    <col min="15105" max="15110" width="8.59765625" style="149" customWidth="1"/>
    <col min="15111" max="15111" width="8.69921875" style="149" customWidth="1"/>
    <col min="15112" max="15112" width="8.8984375" style="149" customWidth="1"/>
    <col min="15113" max="15114" width="8.59765625" style="149" customWidth="1"/>
    <col min="15115" max="15115" width="8.796875" style="149"/>
    <col min="15116" max="15116" width="9.3984375" style="149" bestFit="1" customWidth="1"/>
    <col min="15117" max="15117" width="6.296875" style="149" bestFit="1" customWidth="1"/>
    <col min="15118" max="15360" width="8.796875" style="149"/>
    <col min="15361" max="15366" width="8.59765625" style="149" customWidth="1"/>
    <col min="15367" max="15367" width="8.69921875" style="149" customWidth="1"/>
    <col min="15368" max="15368" width="8.8984375" style="149" customWidth="1"/>
    <col min="15369" max="15370" width="8.59765625" style="149" customWidth="1"/>
    <col min="15371" max="15371" width="8.796875" style="149"/>
    <col min="15372" max="15372" width="9.3984375" style="149" bestFit="1" customWidth="1"/>
    <col min="15373" max="15373" width="6.296875" style="149" bestFit="1" customWidth="1"/>
    <col min="15374" max="15616" width="8.796875" style="149"/>
    <col min="15617" max="15622" width="8.59765625" style="149" customWidth="1"/>
    <col min="15623" max="15623" width="8.69921875" style="149" customWidth="1"/>
    <col min="15624" max="15624" width="8.8984375" style="149" customWidth="1"/>
    <col min="15625" max="15626" width="8.59765625" style="149" customWidth="1"/>
    <col min="15627" max="15627" width="8.796875" style="149"/>
    <col min="15628" max="15628" width="9.3984375" style="149" bestFit="1" customWidth="1"/>
    <col min="15629" max="15629" width="6.296875" style="149" bestFit="1" customWidth="1"/>
    <col min="15630" max="15872" width="8.796875" style="149"/>
    <col min="15873" max="15878" width="8.59765625" style="149" customWidth="1"/>
    <col min="15879" max="15879" width="8.69921875" style="149" customWidth="1"/>
    <col min="15880" max="15880" width="8.8984375" style="149" customWidth="1"/>
    <col min="15881" max="15882" width="8.59765625" style="149" customWidth="1"/>
    <col min="15883" max="15883" width="8.796875" style="149"/>
    <col min="15884" max="15884" width="9.3984375" style="149" bestFit="1" customWidth="1"/>
    <col min="15885" max="15885" width="6.296875" style="149" bestFit="1" customWidth="1"/>
    <col min="15886" max="16128" width="8.796875" style="149"/>
    <col min="16129" max="16134" width="8.59765625" style="149" customWidth="1"/>
    <col min="16135" max="16135" width="8.69921875" style="149" customWidth="1"/>
    <col min="16136" max="16136" width="8.8984375" style="149" customWidth="1"/>
    <col min="16137" max="16138" width="8.59765625" style="149" customWidth="1"/>
    <col min="16139" max="16139" width="8.796875" style="149"/>
    <col min="16140" max="16140" width="9.3984375" style="149" bestFit="1" customWidth="1"/>
    <col min="16141" max="16141" width="6.296875" style="149" bestFit="1" customWidth="1"/>
    <col min="16142" max="16384" width="8.796875" style="149"/>
  </cols>
  <sheetData>
    <row r="1" spans="1:10" ht="18.75">
      <c r="A1" s="166" t="s">
        <v>124</v>
      </c>
      <c r="B1" s="167"/>
      <c r="C1" s="167"/>
      <c r="D1" s="167"/>
      <c r="E1" s="167"/>
      <c r="F1" s="167"/>
      <c r="G1" s="167"/>
      <c r="H1" s="167"/>
      <c r="I1" s="168" t="s">
        <v>125</v>
      </c>
      <c r="J1" s="168" t="s">
        <v>126</v>
      </c>
    </row>
    <row r="2" spans="1:10" ht="18.75">
      <c r="A2" s="166" t="s">
        <v>127</v>
      </c>
      <c r="B2" s="167"/>
      <c r="C2" s="167"/>
      <c r="D2" s="167"/>
      <c r="E2" s="167"/>
      <c r="F2" s="167"/>
      <c r="G2" s="167"/>
      <c r="H2" s="167"/>
      <c r="I2" s="167"/>
      <c r="J2" s="169" t="s">
        <v>128</v>
      </c>
    </row>
    <row r="3" spans="1:10" ht="15" customHeight="1" thickBot="1">
      <c r="A3" s="170" t="s">
        <v>129</v>
      </c>
      <c r="B3" s="171" t="s">
        <v>130</v>
      </c>
      <c r="C3" s="172"/>
      <c r="D3" s="170"/>
      <c r="E3" s="172"/>
      <c r="F3" s="172"/>
      <c r="G3" s="170" t="s">
        <v>131</v>
      </c>
      <c r="H3" s="173">
        <v>45943</v>
      </c>
      <c r="I3" s="170" t="s">
        <v>132</v>
      </c>
      <c r="J3" s="174">
        <v>0.50614583333333329</v>
      </c>
    </row>
    <row r="4" spans="1:10" ht="15" customHeight="1" thickBot="1">
      <c r="A4" s="175" t="s">
        <v>133</v>
      </c>
      <c r="B4" s="175" t="s">
        <v>134</v>
      </c>
      <c r="C4" s="175" t="s">
        <v>135</v>
      </c>
      <c r="D4" s="175" t="s">
        <v>136</v>
      </c>
      <c r="E4" s="176" t="s">
        <v>137</v>
      </c>
      <c r="F4" s="175" t="s">
        <v>138</v>
      </c>
      <c r="G4" s="175" t="s">
        <v>139</v>
      </c>
      <c r="H4" s="175" t="s">
        <v>140</v>
      </c>
      <c r="I4" s="175" t="s">
        <v>141</v>
      </c>
      <c r="J4" s="175" t="s">
        <v>142</v>
      </c>
    </row>
    <row r="5" spans="1:10" ht="15" customHeight="1" thickBot="1">
      <c r="A5" s="177">
        <v>2</v>
      </c>
      <c r="B5" s="178">
        <v>900.00003272662536</v>
      </c>
      <c r="C5" s="179">
        <v>3600</v>
      </c>
      <c r="D5" s="177" t="s">
        <v>143</v>
      </c>
      <c r="E5" s="180">
        <v>3200</v>
      </c>
      <c r="F5" s="179">
        <v>60</v>
      </c>
      <c r="G5" s="177">
        <v>105</v>
      </c>
      <c r="H5" s="181" t="s">
        <v>778</v>
      </c>
      <c r="I5" s="182" t="s">
        <v>779</v>
      </c>
      <c r="J5" s="177" t="s">
        <v>146</v>
      </c>
    </row>
    <row r="6" spans="1:10" ht="15" customHeight="1" thickBot="1">
      <c r="A6" s="183" t="s">
        <v>147</v>
      </c>
      <c r="B6" s="184"/>
      <c r="C6" s="185"/>
      <c r="D6" s="186" t="s">
        <v>148</v>
      </c>
      <c r="E6" s="187"/>
      <c r="F6" s="188"/>
      <c r="G6" s="189"/>
      <c r="H6" s="190" t="s">
        <v>149</v>
      </c>
      <c r="I6" s="191"/>
      <c r="J6" s="192"/>
    </row>
    <row r="7" spans="1:10" ht="15" customHeight="1" thickBot="1">
      <c r="A7" s="193"/>
      <c r="B7" s="194" t="s">
        <v>150</v>
      </c>
      <c r="C7" s="195" t="s">
        <v>151</v>
      </c>
      <c r="D7" s="193"/>
      <c r="E7" s="196"/>
      <c r="F7" s="194" t="s">
        <v>152</v>
      </c>
      <c r="G7" s="195" t="s">
        <v>153</v>
      </c>
      <c r="H7" s="197" t="s">
        <v>154</v>
      </c>
      <c r="I7" s="198">
        <v>24.543671874999998</v>
      </c>
      <c r="J7" s="199" t="s">
        <v>155</v>
      </c>
    </row>
    <row r="8" spans="1:10" ht="15" customHeight="1">
      <c r="A8" s="197" t="s">
        <v>156</v>
      </c>
      <c r="B8" s="200">
        <v>3.2999999523162842</v>
      </c>
      <c r="C8" s="201"/>
      <c r="D8" s="202"/>
      <c r="E8" s="203"/>
      <c r="F8" s="194"/>
      <c r="G8" s="195"/>
      <c r="H8" s="197" t="s">
        <v>157</v>
      </c>
      <c r="I8" s="198">
        <v>30.456888323673823</v>
      </c>
      <c r="J8" s="204" t="s">
        <v>158</v>
      </c>
    </row>
    <row r="9" spans="1:10" ht="15" customHeight="1" thickBot="1">
      <c r="A9" s="197" t="s">
        <v>159</v>
      </c>
      <c r="B9" s="200">
        <v>0.93000000715255737</v>
      </c>
      <c r="C9" s="201"/>
      <c r="D9" s="197" t="s">
        <v>160</v>
      </c>
      <c r="E9" s="205" t="s">
        <v>161</v>
      </c>
      <c r="F9" s="206" t="s">
        <v>162</v>
      </c>
      <c r="G9" s="207"/>
      <c r="H9" s="197" t="s">
        <v>163</v>
      </c>
      <c r="I9" s="200">
        <v>27.500280099336912</v>
      </c>
      <c r="J9" s="208">
        <v>767.22225889496406</v>
      </c>
    </row>
    <row r="10" spans="1:10" ht="15" customHeight="1">
      <c r="A10" s="197" t="s">
        <v>164</v>
      </c>
      <c r="B10" s="200">
        <v>465</v>
      </c>
      <c r="C10" s="209">
        <v>465</v>
      </c>
      <c r="D10" s="202"/>
      <c r="E10" s="203"/>
      <c r="F10" s="210" t="s">
        <v>165</v>
      </c>
      <c r="G10" s="211" t="s">
        <v>166</v>
      </c>
      <c r="H10" s="197" t="s">
        <v>167</v>
      </c>
      <c r="I10" s="198">
        <v>14.338922976528664</v>
      </c>
      <c r="J10" s="204" t="s">
        <v>168</v>
      </c>
    </row>
    <row r="11" spans="1:10" ht="15" customHeight="1" thickBot="1">
      <c r="A11" s="197" t="s">
        <v>169</v>
      </c>
      <c r="B11" s="200">
        <v>670</v>
      </c>
      <c r="C11" s="209">
        <v>368.40000009536743</v>
      </c>
      <c r="D11" s="197" t="s">
        <v>170</v>
      </c>
      <c r="E11" s="198">
        <v>0.62493749999999992</v>
      </c>
      <c r="F11" s="212"/>
      <c r="G11" s="213"/>
      <c r="H11" s="197" t="s">
        <v>171</v>
      </c>
      <c r="I11" s="198">
        <v>30.038756689833033</v>
      </c>
      <c r="J11" s="208">
        <v>41047.037850954679</v>
      </c>
    </row>
    <row r="12" spans="1:10" ht="15" customHeight="1">
      <c r="A12" s="197" t="s">
        <v>172</v>
      </c>
      <c r="B12" s="200">
        <v>375</v>
      </c>
      <c r="C12" s="209">
        <v>185</v>
      </c>
      <c r="D12" s="197" t="s">
        <v>173</v>
      </c>
      <c r="E12" s="214" t="s">
        <v>38</v>
      </c>
      <c r="F12" s="215" t="s">
        <v>174</v>
      </c>
      <c r="G12" s="216" t="s">
        <v>175</v>
      </c>
      <c r="H12" s="197" t="s">
        <v>176</v>
      </c>
      <c r="I12" s="198">
        <v>1.1789163438632333</v>
      </c>
      <c r="J12" s="204" t="s">
        <v>177</v>
      </c>
    </row>
    <row r="13" spans="1:10" ht="15" customHeight="1" thickBot="1">
      <c r="A13" s="197" t="s">
        <v>178</v>
      </c>
      <c r="B13" s="200">
        <v>85</v>
      </c>
      <c r="C13" s="209">
        <v>55.290000200271606</v>
      </c>
      <c r="D13" s="197" t="s">
        <v>179</v>
      </c>
      <c r="E13" s="217">
        <v>26</v>
      </c>
      <c r="F13" s="215"/>
      <c r="G13" s="216" t="s">
        <v>180</v>
      </c>
      <c r="H13" s="197" t="s">
        <v>181</v>
      </c>
      <c r="I13" s="198">
        <v>1.0139197383619514</v>
      </c>
      <c r="J13" s="208">
        <v>136.19869995117188</v>
      </c>
    </row>
    <row r="14" spans="1:10" ht="15" customHeight="1" thickBot="1">
      <c r="A14" s="218" t="s">
        <v>182</v>
      </c>
      <c r="B14" s="219">
        <v>376.64999389648438</v>
      </c>
      <c r="C14" s="220">
        <v>376.64999389648438</v>
      </c>
      <c r="D14" s="197" t="s">
        <v>183</v>
      </c>
      <c r="E14" s="203" t="s">
        <v>184</v>
      </c>
      <c r="F14" s="203"/>
      <c r="G14" s="216" t="s">
        <v>185</v>
      </c>
      <c r="H14" s="170" t="s">
        <v>186</v>
      </c>
      <c r="I14" s="198">
        <v>1.1953265509204378</v>
      </c>
      <c r="J14" s="204" t="s">
        <v>187</v>
      </c>
    </row>
    <row r="15" spans="1:10" ht="15" customHeight="1" thickBot="1">
      <c r="A15" s="221" t="s">
        <v>188</v>
      </c>
      <c r="B15" s="222"/>
      <c r="C15" s="223"/>
      <c r="D15" s="197" t="s">
        <v>189</v>
      </c>
      <c r="E15" s="203" t="s">
        <v>38</v>
      </c>
      <c r="F15" s="203"/>
      <c r="G15" s="216"/>
      <c r="H15" s="197" t="s">
        <v>190</v>
      </c>
      <c r="I15" s="198">
        <v>0.83141460458883965</v>
      </c>
      <c r="J15" s="208">
        <v>17.765144935021034</v>
      </c>
    </row>
    <row r="16" spans="1:10" ht="15" customHeight="1">
      <c r="A16" s="197" t="s">
        <v>191</v>
      </c>
      <c r="B16" s="203">
        <v>48</v>
      </c>
      <c r="C16" s="201">
        <v>38</v>
      </c>
      <c r="D16" s="197" t="s">
        <v>192</v>
      </c>
      <c r="E16" s="203">
        <v>2</v>
      </c>
      <c r="F16" s="203"/>
      <c r="G16" s="216"/>
      <c r="H16" s="197" t="s">
        <v>193</v>
      </c>
      <c r="I16" s="198">
        <v>0.9554364713800827</v>
      </c>
      <c r="J16" s="224" t="s">
        <v>194</v>
      </c>
    </row>
    <row r="17" spans="1:16" ht="15" customHeight="1" thickBot="1">
      <c r="A17" s="197" t="s">
        <v>195</v>
      </c>
      <c r="B17" s="203" t="s">
        <v>196</v>
      </c>
      <c r="C17" s="201" t="s">
        <v>197</v>
      </c>
      <c r="D17" s="170" t="s">
        <v>198</v>
      </c>
      <c r="E17" s="203" t="s">
        <v>199</v>
      </c>
      <c r="F17" s="203"/>
      <c r="G17" s="216"/>
      <c r="H17" s="197" t="s">
        <v>200</v>
      </c>
      <c r="I17" s="198">
        <v>0.79436383606222771</v>
      </c>
      <c r="J17" s="208">
        <v>721.40106353391116</v>
      </c>
    </row>
    <row r="18" spans="1:16" ht="15" customHeight="1">
      <c r="A18" s="197" t="s">
        <v>201</v>
      </c>
      <c r="B18" s="203" t="s">
        <v>38</v>
      </c>
      <c r="C18" s="209">
        <v>0</v>
      </c>
      <c r="D18" s="197" t="s">
        <v>202</v>
      </c>
      <c r="E18" s="225">
        <v>1160</v>
      </c>
      <c r="F18" s="217">
        <v>635</v>
      </c>
      <c r="G18" s="226"/>
      <c r="H18" s="221" t="s">
        <v>203</v>
      </c>
      <c r="I18" s="227" t="s">
        <v>204</v>
      </c>
      <c r="J18" s="228"/>
    </row>
    <row r="19" spans="1:16" ht="15" customHeight="1">
      <c r="A19" s="197" t="s">
        <v>205</v>
      </c>
      <c r="B19" s="200">
        <v>62.5</v>
      </c>
      <c r="C19" s="209">
        <v>36.409999847412109</v>
      </c>
      <c r="D19" s="197" t="s">
        <v>206</v>
      </c>
      <c r="E19" s="217">
        <v>208</v>
      </c>
      <c r="F19" s="203"/>
      <c r="G19" s="201"/>
      <c r="H19" s="229"/>
      <c r="I19" s="194" t="s">
        <v>207</v>
      </c>
      <c r="J19" s="230" t="s">
        <v>208</v>
      </c>
    </row>
    <row r="20" spans="1:16" ht="15" customHeight="1">
      <c r="A20" s="197" t="s">
        <v>209</v>
      </c>
      <c r="B20" s="200" t="s">
        <v>210</v>
      </c>
      <c r="C20" s="209"/>
      <c r="D20" s="197" t="s">
        <v>211</v>
      </c>
      <c r="E20" s="231">
        <v>0.12949849901285387</v>
      </c>
      <c r="F20" s="203"/>
      <c r="G20" s="201"/>
      <c r="H20" s="197" t="s">
        <v>212</v>
      </c>
      <c r="I20" s="198">
        <v>18.533136367797852</v>
      </c>
      <c r="J20" s="232">
        <v>18.533136367797852</v>
      </c>
    </row>
    <row r="21" spans="1:16" ht="15" customHeight="1">
      <c r="A21" s="197" t="s">
        <v>213</v>
      </c>
      <c r="B21" s="200">
        <v>14.5</v>
      </c>
      <c r="C21" s="209">
        <v>3</v>
      </c>
      <c r="D21" s="197" t="s">
        <v>214</v>
      </c>
      <c r="E21" s="233">
        <v>0.1727494711782471</v>
      </c>
      <c r="F21" s="233">
        <v>0.10655777156352997</v>
      </c>
      <c r="G21" s="234">
        <v>1.4263725268028288E-2</v>
      </c>
      <c r="H21" s="197" t="s">
        <v>215</v>
      </c>
      <c r="I21" s="198">
        <v>16.804136276245117</v>
      </c>
      <c r="J21" s="232">
        <v>14.80540657043457</v>
      </c>
    </row>
    <row r="22" spans="1:16" ht="15" customHeight="1">
      <c r="A22" s="197" t="s">
        <v>216</v>
      </c>
      <c r="B22" s="200">
        <v>2.8299999237060547</v>
      </c>
      <c r="C22" s="209">
        <v>3</v>
      </c>
      <c r="D22" s="197" t="s">
        <v>217</v>
      </c>
      <c r="E22" s="203" t="s">
        <v>218</v>
      </c>
      <c r="F22" s="203" t="s">
        <v>218</v>
      </c>
      <c r="G22" s="201" t="s">
        <v>218</v>
      </c>
      <c r="H22" s="197" t="s">
        <v>219</v>
      </c>
      <c r="I22" s="198">
        <v>4.1274876594543457</v>
      </c>
      <c r="J22" s="232">
        <v>4.0328984260559082</v>
      </c>
    </row>
    <row r="23" spans="1:16" ht="15" customHeight="1">
      <c r="A23" s="197" t="s">
        <v>220</v>
      </c>
      <c r="B23" s="200">
        <v>10.043671607971191</v>
      </c>
      <c r="C23" s="209">
        <v>10.316610336303711</v>
      </c>
      <c r="D23" s="197" t="s">
        <v>221</v>
      </c>
      <c r="E23" s="198">
        <v>1.7419999837875366</v>
      </c>
      <c r="F23" s="198">
        <v>1.7419999837875366</v>
      </c>
      <c r="G23" s="232">
        <v>1.7419999837875366</v>
      </c>
      <c r="H23" s="197" t="s">
        <v>222</v>
      </c>
      <c r="I23" s="198">
        <v>25.731873940080206</v>
      </c>
      <c r="J23" s="195" t="s">
        <v>223</v>
      </c>
    </row>
    <row r="24" spans="1:16" ht="15" customHeight="1">
      <c r="A24" s="197" t="s">
        <v>224</v>
      </c>
      <c r="B24" s="200">
        <v>0</v>
      </c>
      <c r="C24" s="209">
        <v>0.80000001192092896</v>
      </c>
      <c r="D24" s="197" t="s">
        <v>225</v>
      </c>
      <c r="E24" s="198">
        <v>8.8900003433227539</v>
      </c>
      <c r="F24" s="198">
        <v>8.8900003433227539</v>
      </c>
      <c r="G24" s="232">
        <v>8.8900003433227539</v>
      </c>
      <c r="H24" s="197" t="s">
        <v>226</v>
      </c>
      <c r="I24" s="198">
        <v>7.1922226603197199</v>
      </c>
      <c r="J24" s="232">
        <v>7.0273994920655118</v>
      </c>
    </row>
    <row r="25" spans="1:16" ht="15" customHeight="1">
      <c r="A25" s="197" t="s">
        <v>227</v>
      </c>
      <c r="B25" s="203" t="s">
        <v>38</v>
      </c>
      <c r="C25" s="209">
        <v>4.7199997901916504</v>
      </c>
      <c r="D25" s="235" t="s">
        <v>228</v>
      </c>
      <c r="E25" s="205"/>
      <c r="F25" s="205"/>
      <c r="G25" s="236"/>
      <c r="H25" s="197" t="s">
        <v>229</v>
      </c>
      <c r="I25" s="198">
        <v>0.29357096552848816</v>
      </c>
      <c r="J25" s="232">
        <v>0.73758935928344727</v>
      </c>
    </row>
    <row r="26" spans="1:16" ht="15" customHeight="1">
      <c r="A26" s="197" t="s">
        <v>230</v>
      </c>
      <c r="B26" s="205" t="s">
        <v>231</v>
      </c>
      <c r="C26" s="236" t="s">
        <v>232</v>
      </c>
      <c r="D26" s="197" t="s">
        <v>233</v>
      </c>
      <c r="E26" s="200">
        <v>208.85702754610153</v>
      </c>
      <c r="F26" s="200">
        <v>72.40158519607543</v>
      </c>
      <c r="G26" s="209">
        <v>26.449351062353312</v>
      </c>
      <c r="H26" s="197" t="s">
        <v>234</v>
      </c>
      <c r="I26" s="198">
        <v>3.2696266174316406</v>
      </c>
      <c r="J26" s="232">
        <v>3.1676318645477295</v>
      </c>
    </row>
    <row r="27" spans="1:16" ht="15" customHeight="1" thickBot="1">
      <c r="A27" s="197" t="s">
        <v>235</v>
      </c>
      <c r="B27" s="203" t="s">
        <v>236</v>
      </c>
      <c r="C27" s="201" t="s">
        <v>236</v>
      </c>
      <c r="D27" s="237" t="s">
        <v>237</v>
      </c>
      <c r="E27" s="238" t="s">
        <v>38</v>
      </c>
      <c r="F27" s="238" t="s">
        <v>38</v>
      </c>
      <c r="G27" s="239" t="s">
        <v>38</v>
      </c>
      <c r="H27" s="237" t="s">
        <v>238</v>
      </c>
      <c r="I27" s="240">
        <v>3.2827794551849365</v>
      </c>
      <c r="J27" s="241">
        <v>3.2523729801177979</v>
      </c>
    </row>
    <row r="28" spans="1:16" ht="15" customHeight="1">
      <c r="A28" s="202" t="s">
        <v>239</v>
      </c>
      <c r="B28" s="172"/>
      <c r="C28" s="242"/>
      <c r="D28" s="221" t="s">
        <v>240</v>
      </c>
      <c r="E28" s="243"/>
      <c r="F28" s="244"/>
      <c r="G28" s="245"/>
      <c r="H28" s="189"/>
      <c r="I28" s="246" t="s">
        <v>241</v>
      </c>
      <c r="J28" s="189"/>
    </row>
    <row r="29" spans="1:16" ht="15" customHeight="1">
      <c r="A29" s="247"/>
      <c r="B29" s="248" t="s">
        <v>242</v>
      </c>
      <c r="C29" s="249">
        <v>33.371993281235319</v>
      </c>
      <c r="D29" s="247"/>
      <c r="E29" s="194" t="s">
        <v>243</v>
      </c>
      <c r="F29" s="194" t="s">
        <v>244</v>
      </c>
      <c r="G29" s="194" t="s">
        <v>245</v>
      </c>
      <c r="H29" s="195" t="s">
        <v>246</v>
      </c>
      <c r="I29" s="194" t="s">
        <v>247</v>
      </c>
      <c r="J29" s="195" t="s">
        <v>248</v>
      </c>
      <c r="M29" s="250" t="str">
        <f>RIGHT(F$41,SEARCH("/",F$41,1)-1)</f>
        <v xml:space="preserve"> 3559.8</v>
      </c>
      <c r="N29" s="149" t="s">
        <v>249</v>
      </c>
      <c r="P29" s="194" t="s">
        <v>250</v>
      </c>
    </row>
    <row r="30" spans="1:16" ht="15" customHeight="1" thickBot="1">
      <c r="A30" s="251"/>
      <c r="B30" s="252" t="s">
        <v>251</v>
      </c>
      <c r="C30" s="253">
        <v>33.399128783152655</v>
      </c>
      <c r="D30" s="197" t="s">
        <v>252</v>
      </c>
      <c r="E30" s="254">
        <v>52.621632500000004</v>
      </c>
      <c r="F30" s="254">
        <v>640.30498962402351</v>
      </c>
      <c r="G30" s="254">
        <v>13.110769555627257</v>
      </c>
      <c r="H30" s="255">
        <v>278.89256628032052</v>
      </c>
      <c r="I30" s="217">
        <v>58838.590756323378</v>
      </c>
      <c r="J30" s="226">
        <v>3237.3067909928877</v>
      </c>
      <c r="M30" s="250" t="str">
        <f>RIGHT(E$41,SEARCH("/",E$41,1)-1)</f>
        <v xml:space="preserve"> 3567.7</v>
      </c>
      <c r="N30" s="149" t="s">
        <v>253</v>
      </c>
      <c r="P30" s="256">
        <f>G30*6.4516</f>
        <v>84.58544086508482</v>
      </c>
    </row>
    <row r="31" spans="1:16" ht="15" customHeight="1">
      <c r="A31" s="183" t="s">
        <v>254</v>
      </c>
      <c r="B31" s="257"/>
      <c r="C31" s="258"/>
      <c r="D31" s="197" t="s">
        <v>255</v>
      </c>
      <c r="E31" s="254">
        <v>6.25</v>
      </c>
      <c r="F31" s="254">
        <v>907.9077239617543</v>
      </c>
      <c r="G31" s="254">
        <v>9.2464145228843861</v>
      </c>
      <c r="H31" s="255">
        <v>11.807148256554077</v>
      </c>
      <c r="I31" s="217">
        <v>11348.846549521928</v>
      </c>
      <c r="J31" s="226">
        <v>354.64390771960848</v>
      </c>
      <c r="M31" s="250" t="str">
        <f>RIGHT(D$41,SEARCH("/",D$41,1)-1)</f>
        <v xml:space="preserve"> 3575.8</v>
      </c>
      <c r="N31" s="149" t="s">
        <v>256</v>
      </c>
      <c r="P31" s="256">
        <f>G31*6.4516</f>
        <v>59.654167935840903</v>
      </c>
    </row>
    <row r="32" spans="1:16" ht="15" customHeight="1">
      <c r="A32" s="202" t="s">
        <v>257</v>
      </c>
      <c r="B32" s="198" t="s">
        <v>780</v>
      </c>
      <c r="C32" s="259"/>
      <c r="D32" s="197" t="s">
        <v>259</v>
      </c>
      <c r="E32" s="254">
        <v>23.214779336458562</v>
      </c>
      <c r="F32" s="254">
        <v>648.76706099554383</v>
      </c>
      <c r="G32" s="254">
        <v>12.939761694122963</v>
      </c>
      <c r="H32" s="255">
        <v>117.6171886936653</v>
      </c>
      <c r="I32" s="260" t="s">
        <v>260</v>
      </c>
      <c r="J32" s="226">
        <v>3591.950698712496</v>
      </c>
      <c r="M32" s="250" t="str">
        <f>RIGHT(C$41,SEARCH("/",C$41,1)-1)</f>
        <v xml:space="preserve"> 3583.4</v>
      </c>
      <c r="N32" s="149" t="s">
        <v>261</v>
      </c>
      <c r="P32" s="256">
        <f>G32*6.4516</f>
        <v>83.482166545803707</v>
      </c>
    </row>
    <row r="33" spans="1:16" ht="15" customHeight="1">
      <c r="A33" s="202" t="s">
        <v>262</v>
      </c>
      <c r="B33" s="198" t="s">
        <v>781</v>
      </c>
      <c r="C33" s="261" t="s">
        <v>264</v>
      </c>
      <c r="D33" s="197" t="s">
        <v>255</v>
      </c>
      <c r="E33" s="254">
        <v>3.6409999847412111</v>
      </c>
      <c r="F33" s="254">
        <v>738.29273183822806</v>
      </c>
      <c r="G33" s="254">
        <v>11.370681035118643</v>
      </c>
      <c r="H33" s="255">
        <v>12.784157743516378</v>
      </c>
      <c r="I33" s="260" t="s">
        <v>265</v>
      </c>
      <c r="J33" s="209" t="s">
        <v>266</v>
      </c>
      <c r="M33" s="250" t="str">
        <f>RIGHT(B$41,SEARCH("/",B$41,1)-1)</f>
        <v xml:space="preserve"> 3590.7</v>
      </c>
      <c r="N33" s="149" t="s">
        <v>267</v>
      </c>
      <c r="P33" s="256">
        <f>G33*6.4516</f>
        <v>73.359085766171447</v>
      </c>
    </row>
    <row r="34" spans="1:16" ht="15" customHeight="1" thickBot="1">
      <c r="A34" s="262" t="s">
        <v>268</v>
      </c>
      <c r="B34" s="240" t="s">
        <v>782</v>
      </c>
      <c r="C34" s="263">
        <v>8.3948911642788744</v>
      </c>
      <c r="D34" s="237" t="s">
        <v>156</v>
      </c>
      <c r="E34" s="264">
        <v>0.32999999523162843</v>
      </c>
      <c r="F34" s="265">
        <v>1995.8101862733499</v>
      </c>
      <c r="G34" s="265">
        <v>4.2062572994249132</v>
      </c>
      <c r="H34" s="266">
        <v>1104.5878748923503</v>
      </c>
      <c r="I34" s="260" t="s">
        <v>270</v>
      </c>
      <c r="J34" s="209">
        <v>6.0500001907348633</v>
      </c>
      <c r="P34" s="256">
        <f>G34*6.4516</f>
        <v>27.137089592969769</v>
      </c>
    </row>
    <row r="35" spans="1:16" ht="15" customHeight="1">
      <c r="A35" s="221" t="s">
        <v>271</v>
      </c>
      <c r="B35" s="188"/>
      <c r="C35" s="188"/>
      <c r="D35" s="267" t="s">
        <v>272</v>
      </c>
      <c r="E35" s="268" t="s">
        <v>783</v>
      </c>
      <c r="F35" s="189"/>
      <c r="G35" s="269" t="s">
        <v>274</v>
      </c>
      <c r="H35" s="270" t="s">
        <v>784</v>
      </c>
      <c r="I35" s="197" t="s">
        <v>276</v>
      </c>
      <c r="J35" s="226" t="s">
        <v>785</v>
      </c>
    </row>
    <row r="36" spans="1:16" ht="15" customHeight="1">
      <c r="A36" s="202" t="s">
        <v>278</v>
      </c>
      <c r="B36" s="194">
        <v>25</v>
      </c>
      <c r="C36" s="194">
        <v>50</v>
      </c>
      <c r="D36" s="194">
        <v>75</v>
      </c>
      <c r="E36" s="194">
        <v>100</v>
      </c>
      <c r="F36" s="195">
        <v>125</v>
      </c>
      <c r="G36" s="197" t="s">
        <v>279</v>
      </c>
      <c r="H36" s="226" t="s">
        <v>786</v>
      </c>
      <c r="I36" s="197" t="s">
        <v>281</v>
      </c>
      <c r="J36" s="226" t="s">
        <v>787</v>
      </c>
    </row>
    <row r="37" spans="1:16" ht="15" customHeight="1" thickBot="1">
      <c r="A37" s="197" t="s">
        <v>283</v>
      </c>
      <c r="B37" s="271" t="s">
        <v>788</v>
      </c>
      <c r="C37" s="271" t="s">
        <v>789</v>
      </c>
      <c r="D37" s="271" t="s">
        <v>790</v>
      </c>
      <c r="E37" s="271" t="s">
        <v>791</v>
      </c>
      <c r="F37" s="272" t="s">
        <v>792</v>
      </c>
      <c r="G37" s="197" t="s">
        <v>289</v>
      </c>
      <c r="H37" s="226" t="s">
        <v>793</v>
      </c>
      <c r="I37" s="237" t="s">
        <v>291</v>
      </c>
      <c r="J37" s="273" t="s">
        <v>794</v>
      </c>
      <c r="O37" s="274"/>
    </row>
    <row r="38" spans="1:16" ht="15" customHeight="1" thickBot="1">
      <c r="A38" s="197" t="s">
        <v>293</v>
      </c>
      <c r="B38" s="275" t="s">
        <v>795</v>
      </c>
      <c r="C38" s="275" t="s">
        <v>796</v>
      </c>
      <c r="D38" s="275" t="s">
        <v>797</v>
      </c>
      <c r="E38" s="275" t="s">
        <v>798</v>
      </c>
      <c r="F38" s="276" t="s">
        <v>798</v>
      </c>
      <c r="G38" s="262" t="s">
        <v>299</v>
      </c>
      <c r="H38" s="273" t="s">
        <v>300</v>
      </c>
      <c r="I38" s="277" t="s">
        <v>301</v>
      </c>
      <c r="J38" s="278">
        <v>11566.71875</v>
      </c>
      <c r="L38" s="149" t="str">
        <f>LEFT(E38,SEARCH("/",E38,1)-1)</f>
        <v xml:space="preserve">0.950 </v>
      </c>
      <c r="M38" s="149" t="str">
        <f>RIGHT(E38,SEARCH("/",E38,1)-1)</f>
        <v xml:space="preserve"> 0.933</v>
      </c>
      <c r="N38" s="279">
        <f>M38/L38</f>
        <v>0.98210526315789481</v>
      </c>
      <c r="O38" s="274" t="s">
        <v>302</v>
      </c>
    </row>
    <row r="39" spans="1:16" ht="15" customHeight="1">
      <c r="A39" s="197" t="s">
        <v>303</v>
      </c>
      <c r="B39" s="275" t="s">
        <v>799</v>
      </c>
      <c r="C39" s="275" t="s">
        <v>796</v>
      </c>
      <c r="D39" s="275" t="s">
        <v>800</v>
      </c>
      <c r="E39" s="275" t="s">
        <v>801</v>
      </c>
      <c r="F39" s="276" t="s">
        <v>802</v>
      </c>
      <c r="G39" s="221" t="s">
        <v>309</v>
      </c>
      <c r="H39" s="188"/>
      <c r="I39" s="280" t="s">
        <v>310</v>
      </c>
      <c r="J39" s="281" t="s">
        <v>311</v>
      </c>
      <c r="L39" s="149" t="str">
        <f>LEFT(E39,SEARCH("/",E39,1)-1)</f>
        <v xml:space="preserve">0.937 </v>
      </c>
      <c r="M39" s="149" t="str">
        <f>RIGHT(E39,SEARCH("/",E39,1)-1)</f>
        <v xml:space="preserve"> 0.921</v>
      </c>
      <c r="N39" s="279">
        <f>M39/L39</f>
        <v>0.98292422625400211</v>
      </c>
      <c r="O39" s="274" t="s">
        <v>312</v>
      </c>
    </row>
    <row r="40" spans="1:16" ht="15" customHeight="1">
      <c r="A40" s="197" t="s">
        <v>310</v>
      </c>
      <c r="B40" s="282" t="s">
        <v>803</v>
      </c>
      <c r="C40" s="282" t="s">
        <v>804</v>
      </c>
      <c r="D40" s="282" t="s">
        <v>805</v>
      </c>
      <c r="E40" s="282" t="s">
        <v>779</v>
      </c>
      <c r="F40" s="283" t="s">
        <v>806</v>
      </c>
      <c r="G40" s="284" t="s">
        <v>317</v>
      </c>
      <c r="H40" s="285" t="s">
        <v>807</v>
      </c>
      <c r="I40" s="286"/>
      <c r="J40" s="287"/>
      <c r="L40" s="149" t="str">
        <f>LEFT(E37,SEARCH("/",E37,1)-1)</f>
        <v xml:space="preserve">136.20 </v>
      </c>
      <c r="M40" s="149" t="str">
        <f>RIGHT(E37,SEARCH("/",E37,1)-1)</f>
        <v xml:space="preserve"> 140.88</v>
      </c>
      <c r="N40" s="279">
        <f>M40/L40</f>
        <v>1.0343612334801762</v>
      </c>
      <c r="O40" s="274" t="s">
        <v>319</v>
      </c>
    </row>
    <row r="41" spans="1:16" ht="15" customHeight="1">
      <c r="A41" s="197" t="s">
        <v>135</v>
      </c>
      <c r="B41" s="288" t="s">
        <v>808</v>
      </c>
      <c r="C41" s="288" t="s">
        <v>809</v>
      </c>
      <c r="D41" s="288" t="s">
        <v>810</v>
      </c>
      <c r="E41" s="288" t="s">
        <v>778</v>
      </c>
      <c r="F41" s="289" t="s">
        <v>811</v>
      </c>
      <c r="G41" s="290" t="s">
        <v>324</v>
      </c>
      <c r="H41" s="291" t="s">
        <v>812</v>
      </c>
      <c r="I41" s="292"/>
      <c r="J41" s="293"/>
      <c r="L41" s="149" t="str">
        <f>LEFT(E41,SEARCH("/",E41,1)-1)</f>
        <v xml:space="preserve">3569.3 </v>
      </c>
      <c r="M41" s="149" t="str">
        <f>RIGHT(E41,SEARCH("/",E41,1)-1)</f>
        <v xml:space="preserve"> 3567.7</v>
      </c>
      <c r="N41" s="279">
        <f>M41/L41</f>
        <v>0.99955173283276821</v>
      </c>
      <c r="O41" s="274" t="s">
        <v>135</v>
      </c>
    </row>
    <row r="42" spans="1:16" ht="15" customHeight="1">
      <c r="A42" s="197" t="s">
        <v>326</v>
      </c>
      <c r="B42" s="275">
        <v>7.5916185796382756</v>
      </c>
      <c r="C42" s="275">
        <v>7.5916185796382756</v>
      </c>
      <c r="D42" s="275">
        <v>7.5916185796382756</v>
      </c>
      <c r="E42" s="275">
        <v>7.5916185796382756</v>
      </c>
      <c r="F42" s="276">
        <v>7.5916185796382756</v>
      </c>
      <c r="G42" s="284" t="s">
        <v>327</v>
      </c>
      <c r="H42" s="285" t="s">
        <v>813</v>
      </c>
      <c r="I42" s="286"/>
      <c r="J42" s="294">
        <v>0.22679174393911816</v>
      </c>
    </row>
    <row r="43" spans="1:16" ht="15" customHeight="1" thickBot="1">
      <c r="A43" s="237" t="s">
        <v>329</v>
      </c>
      <c r="B43" s="295">
        <v>7.5916185796382756</v>
      </c>
      <c r="C43" s="296"/>
      <c r="D43" s="297" t="s">
        <v>330</v>
      </c>
      <c r="E43" s="297"/>
      <c r="F43" s="298"/>
      <c r="G43" s="290" t="s">
        <v>324</v>
      </c>
      <c r="H43" s="291" t="s">
        <v>814</v>
      </c>
      <c r="I43" s="292"/>
      <c r="J43" s="293"/>
    </row>
    <row r="44" spans="1:16" ht="15" customHeight="1">
      <c r="A44" s="299" t="s">
        <v>332</v>
      </c>
      <c r="B44" s="300"/>
      <c r="C44" s="172"/>
      <c r="D44" s="172"/>
      <c r="E44" s="299" t="s">
        <v>333</v>
      </c>
      <c r="F44" s="301"/>
      <c r="G44" s="284" t="s">
        <v>334</v>
      </c>
      <c r="H44" s="302">
        <v>1440.1795185375624</v>
      </c>
      <c r="I44" s="303">
        <v>3.6901222281739816E-2</v>
      </c>
      <c r="J44" s="294">
        <v>0.64349530508789621</v>
      </c>
    </row>
    <row r="45" spans="1:16" ht="15" customHeight="1">
      <c r="A45" s="197" t="s">
        <v>335</v>
      </c>
      <c r="B45" s="198">
        <v>0.13301338255405426</v>
      </c>
      <c r="C45" s="304" t="s">
        <v>336</v>
      </c>
      <c r="D45" s="232">
        <v>1.281740702688694E-2</v>
      </c>
      <c r="E45" s="197" t="s">
        <v>337</v>
      </c>
      <c r="F45" s="226">
        <v>187.5928660581221</v>
      </c>
      <c r="G45" s="305" t="s">
        <v>324</v>
      </c>
      <c r="H45" s="306" t="s">
        <v>815</v>
      </c>
      <c r="I45" s="307"/>
      <c r="J45" s="236"/>
    </row>
    <row r="46" spans="1:16" ht="15" customHeight="1">
      <c r="A46" s="197" t="s">
        <v>339</v>
      </c>
      <c r="B46" s="198">
        <v>0.23096264898777008</v>
      </c>
      <c r="C46" s="304" t="s">
        <v>340</v>
      </c>
      <c r="D46" s="232">
        <v>8.534691296517849E-3</v>
      </c>
      <c r="E46" s="197" t="s">
        <v>341</v>
      </c>
      <c r="F46" s="226">
        <v>348.14382255107108</v>
      </c>
      <c r="G46" s="290" t="s">
        <v>342</v>
      </c>
      <c r="H46" s="308">
        <v>388.88279579791151</v>
      </c>
      <c r="I46" s="292"/>
      <c r="J46" s="293"/>
      <c r="L46" s="309" t="s">
        <v>343</v>
      </c>
      <c r="M46" s="310">
        <f>B5^0.95</f>
        <v>640.51661373893785</v>
      </c>
    </row>
    <row r="47" spans="1:16" ht="15" customHeight="1">
      <c r="A47" s="197" t="s">
        <v>344</v>
      </c>
      <c r="B47" s="198">
        <v>0.36397603154182434</v>
      </c>
      <c r="C47" s="304" t="s">
        <v>345</v>
      </c>
      <c r="D47" s="232">
        <v>2.0107237622141838E-2</v>
      </c>
      <c r="E47" s="197" t="s">
        <v>346</v>
      </c>
      <c r="F47" s="226">
        <v>147.70470968972924</v>
      </c>
      <c r="G47" s="311" t="s">
        <v>347</v>
      </c>
      <c r="H47" s="302">
        <v>1388.0650609551114</v>
      </c>
      <c r="I47" s="303">
        <v>3.5498137959514495E-2</v>
      </c>
      <c r="J47" s="312">
        <v>0.65681077856400449</v>
      </c>
      <c r="L47" s="309" t="s">
        <v>348</v>
      </c>
      <c r="M47" s="310">
        <f>B5^1.5</f>
        <v>27000.001472698143</v>
      </c>
    </row>
    <row r="48" spans="1:16" ht="15" customHeight="1">
      <c r="A48" s="197" t="s">
        <v>349</v>
      </c>
      <c r="B48" s="198">
        <v>9.0555241331458092E-3</v>
      </c>
      <c r="C48" s="304" t="s">
        <v>260</v>
      </c>
      <c r="D48" s="232">
        <v>5.0514861941337585E-2</v>
      </c>
      <c r="E48" s="197" t="s">
        <v>350</v>
      </c>
      <c r="F48" s="226">
        <v>37.203330810415871</v>
      </c>
      <c r="G48" s="313" t="s">
        <v>324</v>
      </c>
      <c r="H48" s="306">
        <v>206.74188419437274</v>
      </c>
      <c r="I48" s="307"/>
      <c r="J48" s="236"/>
      <c r="L48" s="309" t="s">
        <v>351</v>
      </c>
      <c r="M48" s="314">
        <f>IF(A5="",0,(7200/(1000*A5))^2.4)</f>
        <v>21.633460842025631</v>
      </c>
    </row>
    <row r="49" spans="1:13" ht="15" customHeight="1" thickBot="1">
      <c r="A49" s="251"/>
      <c r="B49" s="315"/>
      <c r="C49" s="316" t="s">
        <v>352</v>
      </c>
      <c r="D49" s="241">
        <v>0.94948512315750122</v>
      </c>
      <c r="E49" s="237" t="s">
        <v>353</v>
      </c>
      <c r="F49" s="273">
        <v>93.604877378019637</v>
      </c>
      <c r="G49" s="317" t="s">
        <v>342</v>
      </c>
      <c r="H49" s="308">
        <v>381.28191175518015</v>
      </c>
      <c r="I49" s="292"/>
      <c r="J49" s="318"/>
      <c r="L49" s="309" t="s">
        <v>354</v>
      </c>
      <c r="M49" s="314">
        <f>IF(A5="",0,(7200/(1000*A5))^1.8)</f>
        <v>10.031006258647469</v>
      </c>
    </row>
    <row r="50" spans="1:13" ht="15" customHeight="1">
      <c r="A50" s="221" t="s">
        <v>355</v>
      </c>
      <c r="B50" s="188"/>
      <c r="C50" s="188"/>
      <c r="D50" s="188"/>
      <c r="E50" s="188"/>
      <c r="F50" s="189"/>
      <c r="G50" s="221" t="s">
        <v>356</v>
      </c>
      <c r="H50" s="188"/>
      <c r="I50" s="245"/>
      <c r="J50" s="258"/>
      <c r="L50" s="309" t="s">
        <v>357</v>
      </c>
      <c r="M50" s="319">
        <f>IF(A5=2,27,24)</f>
        <v>27</v>
      </c>
    </row>
    <row r="51" spans="1:13" ht="15" customHeight="1">
      <c r="A51" s="197" t="s">
        <v>358</v>
      </c>
      <c r="B51" s="203">
        <v>38</v>
      </c>
      <c r="C51" s="260" t="s">
        <v>359</v>
      </c>
      <c r="D51" s="200" t="s">
        <v>38</v>
      </c>
      <c r="E51" s="260" t="s">
        <v>360</v>
      </c>
      <c r="F51" s="209" t="s">
        <v>38</v>
      </c>
      <c r="G51" s="260" t="s">
        <v>361</v>
      </c>
      <c r="H51" s="233">
        <v>0.10951905223012585</v>
      </c>
      <c r="I51" s="320" t="s">
        <v>362</v>
      </c>
      <c r="J51" s="242"/>
      <c r="L51" s="309" t="s">
        <v>363</v>
      </c>
      <c r="M51" s="319">
        <v>6.8500000000000005E-2</v>
      </c>
    </row>
    <row r="52" spans="1:13" ht="15" customHeight="1">
      <c r="A52" s="197" t="s">
        <v>205</v>
      </c>
      <c r="B52" s="200">
        <v>36.409999847412109</v>
      </c>
      <c r="C52" s="260" t="s">
        <v>364</v>
      </c>
      <c r="D52" s="200" t="s">
        <v>38</v>
      </c>
      <c r="E52" s="260" t="s">
        <v>365</v>
      </c>
      <c r="F52" s="209" t="s">
        <v>38</v>
      </c>
      <c r="G52" s="260" t="s">
        <v>366</v>
      </c>
      <c r="H52" s="200">
        <v>54966.016828458021</v>
      </c>
      <c r="I52" s="321" t="s">
        <v>816</v>
      </c>
      <c r="J52" s="322"/>
      <c r="L52" s="309" t="s">
        <v>368</v>
      </c>
      <c r="M52" s="323">
        <f>F5</f>
        <v>60</v>
      </c>
    </row>
    <row r="53" spans="1:13" ht="15" customHeight="1">
      <c r="A53" s="197" t="s">
        <v>213</v>
      </c>
      <c r="B53" s="200">
        <v>3</v>
      </c>
      <c r="C53" s="260" t="s">
        <v>369</v>
      </c>
      <c r="D53" s="200" t="s">
        <v>38</v>
      </c>
      <c r="E53" s="260" t="s">
        <v>370</v>
      </c>
      <c r="F53" s="209" t="s">
        <v>38</v>
      </c>
      <c r="G53" s="260" t="s">
        <v>371</v>
      </c>
      <c r="H53" s="198">
        <v>29.839634627025486</v>
      </c>
      <c r="I53" s="320" t="s">
        <v>372</v>
      </c>
      <c r="J53" s="242"/>
      <c r="L53" s="309" t="s">
        <v>373</v>
      </c>
      <c r="M53" s="250">
        <f>IF(F5=60,M50*M46/M48-M51*M47/M49,IF(F5&lt;&gt;60,(60/M52)^2*(M50*M46/M48-M51*M47/M49),0))</f>
        <v>615.02907284660466</v>
      </c>
    </row>
    <row r="54" spans="1:13" ht="15" customHeight="1">
      <c r="A54" s="197" t="s">
        <v>216</v>
      </c>
      <c r="B54" s="200">
        <v>3</v>
      </c>
      <c r="C54" s="260" t="s">
        <v>374</v>
      </c>
      <c r="D54" s="200" t="s">
        <v>38</v>
      </c>
      <c r="E54" s="260" t="s">
        <v>370</v>
      </c>
      <c r="F54" s="209" t="s">
        <v>38</v>
      </c>
      <c r="G54" s="260" t="s">
        <v>375</v>
      </c>
      <c r="H54" s="217">
        <v>181804.5</v>
      </c>
      <c r="I54" s="324" t="s">
        <v>817</v>
      </c>
      <c r="J54" s="293" t="s">
        <v>377</v>
      </c>
    </row>
    <row r="55" spans="1:13" ht="15" customHeight="1">
      <c r="A55" s="197" t="s">
        <v>378</v>
      </c>
      <c r="B55" s="200">
        <v>14.119999885559082</v>
      </c>
      <c r="C55" s="260" t="s">
        <v>379</v>
      </c>
      <c r="D55" s="200" t="s">
        <v>38</v>
      </c>
      <c r="E55" s="260" t="s">
        <v>380</v>
      </c>
      <c r="F55" s="209" t="s">
        <v>38</v>
      </c>
      <c r="G55" s="260" t="s">
        <v>381</v>
      </c>
      <c r="H55" s="200">
        <v>1</v>
      </c>
      <c r="I55" s="320" t="s">
        <v>382</v>
      </c>
      <c r="J55" s="242"/>
    </row>
    <row r="56" spans="1:13" ht="15" customHeight="1" thickBot="1">
      <c r="A56" s="237" t="s">
        <v>383</v>
      </c>
      <c r="B56" s="238" t="s">
        <v>38</v>
      </c>
      <c r="C56" s="325" t="s">
        <v>384</v>
      </c>
      <c r="D56" s="238" t="s">
        <v>38</v>
      </c>
      <c r="E56" s="325" t="s">
        <v>385</v>
      </c>
      <c r="F56" s="239" t="s">
        <v>38</v>
      </c>
      <c r="G56" s="325" t="s">
        <v>386</v>
      </c>
      <c r="H56" s="240">
        <v>0.68740624999999989</v>
      </c>
      <c r="I56" s="326" t="s">
        <v>818</v>
      </c>
      <c r="J56" s="318" t="s">
        <v>388</v>
      </c>
    </row>
    <row r="57" spans="1:13" ht="15" customHeight="1">
      <c r="A57" s="183" t="s">
        <v>819</v>
      </c>
      <c r="B57" s="245"/>
      <c r="C57" s="245"/>
      <c r="D57" s="245"/>
      <c r="E57" s="245"/>
      <c r="F57" s="258"/>
      <c r="G57" s="327"/>
      <c r="H57" s="328"/>
      <c r="I57" s="328"/>
      <c r="J57" s="329"/>
    </row>
    <row r="58" spans="1:13" ht="15" customHeight="1">
      <c r="A58" s="330" t="s">
        <v>310</v>
      </c>
      <c r="B58" s="194" t="s">
        <v>390</v>
      </c>
      <c r="C58" s="195" t="s">
        <v>342</v>
      </c>
      <c r="D58" s="194" t="s">
        <v>310</v>
      </c>
      <c r="E58" s="194" t="s">
        <v>390</v>
      </c>
      <c r="F58" s="195" t="s">
        <v>342</v>
      </c>
      <c r="G58" s="331"/>
      <c r="H58" s="332"/>
      <c r="I58" s="332"/>
      <c r="J58" s="333"/>
    </row>
    <row r="59" spans="1:13" ht="15" customHeight="1">
      <c r="A59" s="334">
        <v>0</v>
      </c>
      <c r="B59" s="306">
        <v>0</v>
      </c>
      <c r="C59" s="335">
        <v>0</v>
      </c>
      <c r="D59" s="336">
        <v>0.7</v>
      </c>
      <c r="E59" s="306">
        <v>91.216488622372395</v>
      </c>
      <c r="F59" s="335">
        <v>578.1939697265625</v>
      </c>
      <c r="G59" s="331"/>
      <c r="H59" s="332"/>
      <c r="I59" s="332"/>
      <c r="J59" s="333"/>
    </row>
    <row r="60" spans="1:13" ht="15" customHeight="1">
      <c r="A60" s="337">
        <v>0.01</v>
      </c>
      <c r="B60" s="306">
        <v>115.01202362316049</v>
      </c>
      <c r="C60" s="335">
        <v>152.92433166503906</v>
      </c>
      <c r="D60" s="336">
        <v>0.8</v>
      </c>
      <c r="E60" s="306">
        <v>87.622179146170183</v>
      </c>
      <c r="F60" s="335">
        <v>580.90185546875</v>
      </c>
      <c r="G60" s="331"/>
      <c r="H60" s="332"/>
      <c r="I60" s="332"/>
      <c r="J60" s="333"/>
    </row>
    <row r="61" spans="1:13" ht="15" customHeight="1">
      <c r="A61" s="337">
        <v>0.05</v>
      </c>
      <c r="B61" s="306">
        <v>214.53889583773841</v>
      </c>
      <c r="C61" s="335">
        <v>453.46044921875</v>
      </c>
      <c r="D61" s="336">
        <v>0.9</v>
      </c>
      <c r="E61" s="306">
        <v>84.354113979435269</v>
      </c>
      <c r="F61" s="335">
        <v>583.26947021484375</v>
      </c>
      <c r="G61" s="331"/>
      <c r="H61" s="332"/>
      <c r="I61" s="332"/>
      <c r="J61" s="333"/>
    </row>
    <row r="62" spans="1:13" ht="15" customHeight="1">
      <c r="A62" s="334">
        <v>0.1</v>
      </c>
      <c r="B62" s="306">
        <v>161.50346320836732</v>
      </c>
      <c r="C62" s="335">
        <v>528.88946533203125</v>
      </c>
      <c r="D62" s="338">
        <v>1</v>
      </c>
      <c r="E62" s="306">
        <v>81.412753888723529</v>
      </c>
      <c r="F62" s="335">
        <v>585.34393310546875</v>
      </c>
      <c r="G62" s="331"/>
      <c r="H62" s="332"/>
      <c r="I62" s="332"/>
      <c r="J62" s="333"/>
    </row>
    <row r="63" spans="1:13" ht="15" customHeight="1">
      <c r="A63" s="334">
        <v>0.15</v>
      </c>
      <c r="B63" s="306">
        <v>133.05618772734911</v>
      </c>
      <c r="C63" s="335">
        <v>548.529296875</v>
      </c>
      <c r="D63" s="338"/>
      <c r="E63" s="306"/>
      <c r="F63" s="335"/>
      <c r="G63" s="331"/>
      <c r="H63" s="332"/>
      <c r="I63" s="332"/>
      <c r="J63" s="333"/>
    </row>
    <row r="64" spans="1:13" ht="15" customHeight="1">
      <c r="A64" s="334">
        <v>0.2</v>
      </c>
      <c r="B64" s="306">
        <v>119.54839698107502</v>
      </c>
      <c r="C64" s="335">
        <v>556.39080810546875</v>
      </c>
      <c r="D64" s="338"/>
      <c r="E64" s="306"/>
      <c r="F64" s="335"/>
      <c r="G64" s="331"/>
      <c r="H64" s="332"/>
      <c r="I64" s="332"/>
      <c r="J64" s="333"/>
    </row>
    <row r="65" spans="1:10" ht="15" customHeight="1">
      <c r="A65" s="334">
        <v>0.3</v>
      </c>
      <c r="B65" s="306">
        <v>108.54344351232167</v>
      </c>
      <c r="C65" s="335">
        <v>563.45733642578125</v>
      </c>
      <c r="D65" s="338"/>
      <c r="E65" s="306"/>
      <c r="F65" s="335"/>
      <c r="G65" s="331"/>
      <c r="H65" s="332"/>
      <c r="I65" s="332"/>
      <c r="J65" s="333"/>
    </row>
    <row r="66" spans="1:10" ht="15" customHeight="1">
      <c r="A66" s="334">
        <v>0.4</v>
      </c>
      <c r="B66" s="306">
        <v>103.37863881233119</v>
      </c>
      <c r="C66" s="335">
        <v>567.84759521484375</v>
      </c>
      <c r="D66" s="338"/>
      <c r="E66" s="306"/>
      <c r="F66" s="335"/>
      <c r="G66" s="331"/>
      <c r="H66" s="332"/>
      <c r="I66" s="332"/>
      <c r="J66" s="333"/>
    </row>
    <row r="67" spans="1:10" ht="15" customHeight="1">
      <c r="A67" s="334">
        <v>0.5</v>
      </c>
      <c r="B67" s="306">
        <v>99.152485916308748</v>
      </c>
      <c r="C67" s="335">
        <v>571.6580810546875</v>
      </c>
      <c r="D67" s="338"/>
      <c r="E67" s="306"/>
      <c r="F67" s="335"/>
      <c r="G67" s="331"/>
      <c r="H67" s="332"/>
      <c r="I67" s="332"/>
      <c r="J67" s="333"/>
    </row>
    <row r="68" spans="1:10" ht="15" customHeight="1" thickBot="1">
      <c r="A68" s="346">
        <v>0.6</v>
      </c>
      <c r="B68" s="340">
        <v>95.091446269397508</v>
      </c>
      <c r="C68" s="347">
        <v>575.11285400390625</v>
      </c>
      <c r="D68" s="339"/>
      <c r="E68" s="340"/>
      <c r="F68" s="347"/>
      <c r="G68" s="350"/>
      <c r="H68" s="351"/>
      <c r="I68" s="351"/>
      <c r="J68" s="352"/>
    </row>
    <row r="69" spans="1:10" ht="15" customHeight="1">
      <c r="A69" s="353"/>
      <c r="B69" s="354"/>
      <c r="C69" s="332"/>
      <c r="D69" s="332"/>
      <c r="E69" s="332"/>
      <c r="F69" s="332"/>
      <c r="G69" s="332"/>
      <c r="H69" s="332"/>
      <c r="I69" s="332"/>
      <c r="J69" s="332"/>
    </row>
    <row r="70" spans="1:10" ht="15" customHeight="1">
      <c r="A70" s="332"/>
      <c r="B70" s="332"/>
      <c r="C70" s="332"/>
      <c r="D70" s="332"/>
      <c r="E70" s="332"/>
      <c r="F70" s="332"/>
      <c r="G70" s="332"/>
      <c r="H70" s="332"/>
      <c r="I70" s="332"/>
      <c r="J70" s="332"/>
    </row>
    <row r="71" spans="1:10">
      <c r="A71" s="172"/>
      <c r="B71" s="172"/>
      <c r="C71" s="172"/>
      <c r="D71" s="172"/>
      <c r="E71" s="172"/>
      <c r="F71" s="172"/>
      <c r="G71" s="172"/>
      <c r="H71" s="172"/>
      <c r="I71" s="172"/>
      <c r="J71" s="172"/>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8CAA-930F-4FA9-995F-255A35269863}">
  <sheetPr>
    <pageSetUpPr fitToPage="1"/>
  </sheetPr>
  <dimension ref="A1:P113"/>
  <sheetViews>
    <sheetView topLeftCell="A33" zoomScale="95" zoomScaleNormal="95" workbookViewId="0">
      <selection activeCell="G52" sqref="G52"/>
    </sheetView>
  </sheetViews>
  <sheetFormatPr defaultRowHeight="12.75"/>
  <cols>
    <col min="1" max="6" width="8.59765625" style="149" customWidth="1"/>
    <col min="7" max="7" width="8.69921875" style="149" customWidth="1"/>
    <col min="8" max="8" width="8.8984375" style="149" customWidth="1"/>
    <col min="9" max="10" width="8.59765625" style="149" customWidth="1"/>
    <col min="11" max="11" width="8.796875" style="149"/>
    <col min="12" max="12" width="9.3984375" style="149" bestFit="1" customWidth="1"/>
    <col min="13" max="13" width="6.296875" style="149" bestFit="1" customWidth="1"/>
    <col min="14" max="256" width="8.796875" style="149"/>
    <col min="257" max="262" width="8.59765625" style="149" customWidth="1"/>
    <col min="263" max="263" width="8.69921875" style="149" customWidth="1"/>
    <col min="264" max="264" width="8.8984375" style="149" customWidth="1"/>
    <col min="265" max="266" width="8.59765625" style="149" customWidth="1"/>
    <col min="267" max="267" width="8.796875" style="149"/>
    <col min="268" max="268" width="9.3984375" style="149" bestFit="1" customWidth="1"/>
    <col min="269" max="269" width="6.296875" style="149" bestFit="1" customWidth="1"/>
    <col min="270" max="512" width="8.796875" style="149"/>
    <col min="513" max="518" width="8.59765625" style="149" customWidth="1"/>
    <col min="519" max="519" width="8.69921875" style="149" customWidth="1"/>
    <col min="520" max="520" width="8.8984375" style="149" customWidth="1"/>
    <col min="521" max="522" width="8.59765625" style="149" customWidth="1"/>
    <col min="523" max="523" width="8.796875" style="149"/>
    <col min="524" max="524" width="9.3984375" style="149" bestFit="1" customWidth="1"/>
    <col min="525" max="525" width="6.296875" style="149" bestFit="1" customWidth="1"/>
    <col min="526" max="768" width="8.796875" style="149"/>
    <col min="769" max="774" width="8.59765625" style="149" customWidth="1"/>
    <col min="775" max="775" width="8.69921875" style="149" customWidth="1"/>
    <col min="776" max="776" width="8.8984375" style="149" customWidth="1"/>
    <col min="777" max="778" width="8.59765625" style="149" customWidth="1"/>
    <col min="779" max="779" width="8.796875" style="149"/>
    <col min="780" max="780" width="9.3984375" style="149" bestFit="1" customWidth="1"/>
    <col min="781" max="781" width="6.296875" style="149" bestFit="1" customWidth="1"/>
    <col min="782" max="1024" width="8.796875" style="149"/>
    <col min="1025" max="1030" width="8.59765625" style="149" customWidth="1"/>
    <col min="1031" max="1031" width="8.69921875" style="149" customWidth="1"/>
    <col min="1032" max="1032" width="8.8984375" style="149" customWidth="1"/>
    <col min="1033" max="1034" width="8.59765625" style="149" customWidth="1"/>
    <col min="1035" max="1035" width="8.796875" style="149"/>
    <col min="1036" max="1036" width="9.3984375" style="149" bestFit="1" customWidth="1"/>
    <col min="1037" max="1037" width="6.296875" style="149" bestFit="1" customWidth="1"/>
    <col min="1038" max="1280" width="8.796875" style="149"/>
    <col min="1281" max="1286" width="8.59765625" style="149" customWidth="1"/>
    <col min="1287" max="1287" width="8.69921875" style="149" customWidth="1"/>
    <col min="1288" max="1288" width="8.8984375" style="149" customWidth="1"/>
    <col min="1289" max="1290" width="8.59765625" style="149" customWidth="1"/>
    <col min="1291" max="1291" width="8.796875" style="149"/>
    <col min="1292" max="1292" width="9.3984375" style="149" bestFit="1" customWidth="1"/>
    <col min="1293" max="1293" width="6.296875" style="149" bestFit="1" customWidth="1"/>
    <col min="1294" max="1536" width="8.796875" style="149"/>
    <col min="1537" max="1542" width="8.59765625" style="149" customWidth="1"/>
    <col min="1543" max="1543" width="8.69921875" style="149" customWidth="1"/>
    <col min="1544" max="1544" width="8.8984375" style="149" customWidth="1"/>
    <col min="1545" max="1546" width="8.59765625" style="149" customWidth="1"/>
    <col min="1547" max="1547" width="8.796875" style="149"/>
    <col min="1548" max="1548" width="9.3984375" style="149" bestFit="1" customWidth="1"/>
    <col min="1549" max="1549" width="6.296875" style="149" bestFit="1" customWidth="1"/>
    <col min="1550" max="1792" width="8.796875" style="149"/>
    <col min="1793" max="1798" width="8.59765625" style="149" customWidth="1"/>
    <col min="1799" max="1799" width="8.69921875" style="149" customWidth="1"/>
    <col min="1800" max="1800" width="8.8984375" style="149" customWidth="1"/>
    <col min="1801" max="1802" width="8.59765625" style="149" customWidth="1"/>
    <col min="1803" max="1803" width="8.796875" style="149"/>
    <col min="1804" max="1804" width="9.3984375" style="149" bestFit="1" customWidth="1"/>
    <col min="1805" max="1805" width="6.296875" style="149" bestFit="1" customWidth="1"/>
    <col min="1806" max="2048" width="8.796875" style="149"/>
    <col min="2049" max="2054" width="8.59765625" style="149" customWidth="1"/>
    <col min="2055" max="2055" width="8.69921875" style="149" customWidth="1"/>
    <col min="2056" max="2056" width="8.8984375" style="149" customWidth="1"/>
    <col min="2057" max="2058" width="8.59765625" style="149" customWidth="1"/>
    <col min="2059" max="2059" width="8.796875" style="149"/>
    <col min="2060" max="2060" width="9.3984375" style="149" bestFit="1" customWidth="1"/>
    <col min="2061" max="2061" width="6.296875" style="149" bestFit="1" customWidth="1"/>
    <col min="2062" max="2304" width="8.796875" style="149"/>
    <col min="2305" max="2310" width="8.59765625" style="149" customWidth="1"/>
    <col min="2311" max="2311" width="8.69921875" style="149" customWidth="1"/>
    <col min="2312" max="2312" width="8.8984375" style="149" customWidth="1"/>
    <col min="2313" max="2314" width="8.59765625" style="149" customWidth="1"/>
    <col min="2315" max="2315" width="8.796875" style="149"/>
    <col min="2316" max="2316" width="9.3984375" style="149" bestFit="1" customWidth="1"/>
    <col min="2317" max="2317" width="6.296875" style="149" bestFit="1" customWidth="1"/>
    <col min="2318" max="2560" width="8.796875" style="149"/>
    <col min="2561" max="2566" width="8.59765625" style="149" customWidth="1"/>
    <col min="2567" max="2567" width="8.69921875" style="149" customWidth="1"/>
    <col min="2568" max="2568" width="8.8984375" style="149" customWidth="1"/>
    <col min="2569" max="2570" width="8.59765625" style="149" customWidth="1"/>
    <col min="2571" max="2571" width="8.796875" style="149"/>
    <col min="2572" max="2572" width="9.3984375" style="149" bestFit="1" customWidth="1"/>
    <col min="2573" max="2573" width="6.296875" style="149" bestFit="1" customWidth="1"/>
    <col min="2574" max="2816" width="8.796875" style="149"/>
    <col min="2817" max="2822" width="8.59765625" style="149" customWidth="1"/>
    <col min="2823" max="2823" width="8.69921875" style="149" customWidth="1"/>
    <col min="2824" max="2824" width="8.8984375" style="149" customWidth="1"/>
    <col min="2825" max="2826" width="8.59765625" style="149" customWidth="1"/>
    <col min="2827" max="2827" width="8.796875" style="149"/>
    <col min="2828" max="2828" width="9.3984375" style="149" bestFit="1" customWidth="1"/>
    <col min="2829" max="2829" width="6.296875" style="149" bestFit="1" customWidth="1"/>
    <col min="2830" max="3072" width="8.796875" style="149"/>
    <col min="3073" max="3078" width="8.59765625" style="149" customWidth="1"/>
    <col min="3079" max="3079" width="8.69921875" style="149" customWidth="1"/>
    <col min="3080" max="3080" width="8.8984375" style="149" customWidth="1"/>
    <col min="3081" max="3082" width="8.59765625" style="149" customWidth="1"/>
    <col min="3083" max="3083" width="8.796875" style="149"/>
    <col min="3084" max="3084" width="9.3984375" style="149" bestFit="1" customWidth="1"/>
    <col min="3085" max="3085" width="6.296875" style="149" bestFit="1" customWidth="1"/>
    <col min="3086" max="3328" width="8.796875" style="149"/>
    <col min="3329" max="3334" width="8.59765625" style="149" customWidth="1"/>
    <col min="3335" max="3335" width="8.69921875" style="149" customWidth="1"/>
    <col min="3336" max="3336" width="8.8984375" style="149" customWidth="1"/>
    <col min="3337" max="3338" width="8.59765625" style="149" customWidth="1"/>
    <col min="3339" max="3339" width="8.796875" style="149"/>
    <col min="3340" max="3340" width="9.3984375" style="149" bestFit="1" customWidth="1"/>
    <col min="3341" max="3341" width="6.296875" style="149" bestFit="1" customWidth="1"/>
    <col min="3342" max="3584" width="8.796875" style="149"/>
    <col min="3585" max="3590" width="8.59765625" style="149" customWidth="1"/>
    <col min="3591" max="3591" width="8.69921875" style="149" customWidth="1"/>
    <col min="3592" max="3592" width="8.8984375" style="149" customWidth="1"/>
    <col min="3593" max="3594" width="8.59765625" style="149" customWidth="1"/>
    <col min="3595" max="3595" width="8.796875" style="149"/>
    <col min="3596" max="3596" width="9.3984375" style="149" bestFit="1" customWidth="1"/>
    <col min="3597" max="3597" width="6.296875" style="149" bestFit="1" customWidth="1"/>
    <col min="3598" max="3840" width="8.796875" style="149"/>
    <col min="3841" max="3846" width="8.59765625" style="149" customWidth="1"/>
    <col min="3847" max="3847" width="8.69921875" style="149" customWidth="1"/>
    <col min="3848" max="3848" width="8.8984375" style="149" customWidth="1"/>
    <col min="3849" max="3850" width="8.59765625" style="149" customWidth="1"/>
    <col min="3851" max="3851" width="8.796875" style="149"/>
    <col min="3852" max="3852" width="9.3984375" style="149" bestFit="1" customWidth="1"/>
    <col min="3853" max="3853" width="6.296875" style="149" bestFit="1" customWidth="1"/>
    <col min="3854" max="4096" width="8.796875" style="149"/>
    <col min="4097" max="4102" width="8.59765625" style="149" customWidth="1"/>
    <col min="4103" max="4103" width="8.69921875" style="149" customWidth="1"/>
    <col min="4104" max="4104" width="8.8984375" style="149" customWidth="1"/>
    <col min="4105" max="4106" width="8.59765625" style="149" customWidth="1"/>
    <col min="4107" max="4107" width="8.796875" style="149"/>
    <col min="4108" max="4108" width="9.3984375" style="149" bestFit="1" customWidth="1"/>
    <col min="4109" max="4109" width="6.296875" style="149" bestFit="1" customWidth="1"/>
    <col min="4110" max="4352" width="8.796875" style="149"/>
    <col min="4353" max="4358" width="8.59765625" style="149" customWidth="1"/>
    <col min="4359" max="4359" width="8.69921875" style="149" customWidth="1"/>
    <col min="4360" max="4360" width="8.8984375" style="149" customWidth="1"/>
    <col min="4361" max="4362" width="8.59765625" style="149" customWidth="1"/>
    <col min="4363" max="4363" width="8.796875" style="149"/>
    <col min="4364" max="4364" width="9.3984375" style="149" bestFit="1" customWidth="1"/>
    <col min="4365" max="4365" width="6.296875" style="149" bestFit="1" customWidth="1"/>
    <col min="4366" max="4608" width="8.796875" style="149"/>
    <col min="4609" max="4614" width="8.59765625" style="149" customWidth="1"/>
    <col min="4615" max="4615" width="8.69921875" style="149" customWidth="1"/>
    <col min="4616" max="4616" width="8.8984375" style="149" customWidth="1"/>
    <col min="4617" max="4618" width="8.59765625" style="149" customWidth="1"/>
    <col min="4619" max="4619" width="8.796875" style="149"/>
    <col min="4620" max="4620" width="9.3984375" style="149" bestFit="1" customWidth="1"/>
    <col min="4621" max="4621" width="6.296875" style="149" bestFit="1" customWidth="1"/>
    <col min="4622" max="4864" width="8.796875" style="149"/>
    <col min="4865" max="4870" width="8.59765625" style="149" customWidth="1"/>
    <col min="4871" max="4871" width="8.69921875" style="149" customWidth="1"/>
    <col min="4872" max="4872" width="8.8984375" style="149" customWidth="1"/>
    <col min="4873" max="4874" width="8.59765625" style="149" customWidth="1"/>
    <col min="4875" max="4875" width="8.796875" style="149"/>
    <col min="4876" max="4876" width="9.3984375" style="149" bestFit="1" customWidth="1"/>
    <col min="4877" max="4877" width="6.296875" style="149" bestFit="1" customWidth="1"/>
    <col min="4878" max="5120" width="8.796875" style="149"/>
    <col min="5121" max="5126" width="8.59765625" style="149" customWidth="1"/>
    <col min="5127" max="5127" width="8.69921875" style="149" customWidth="1"/>
    <col min="5128" max="5128" width="8.8984375" style="149" customWidth="1"/>
    <col min="5129" max="5130" width="8.59765625" style="149" customWidth="1"/>
    <col min="5131" max="5131" width="8.796875" style="149"/>
    <col min="5132" max="5132" width="9.3984375" style="149" bestFit="1" customWidth="1"/>
    <col min="5133" max="5133" width="6.296875" style="149" bestFit="1" customWidth="1"/>
    <col min="5134" max="5376" width="8.796875" style="149"/>
    <col min="5377" max="5382" width="8.59765625" style="149" customWidth="1"/>
    <col min="5383" max="5383" width="8.69921875" style="149" customWidth="1"/>
    <col min="5384" max="5384" width="8.8984375" style="149" customWidth="1"/>
    <col min="5385" max="5386" width="8.59765625" style="149" customWidth="1"/>
    <col min="5387" max="5387" width="8.796875" style="149"/>
    <col min="5388" max="5388" width="9.3984375" style="149" bestFit="1" customWidth="1"/>
    <col min="5389" max="5389" width="6.296875" style="149" bestFit="1" customWidth="1"/>
    <col min="5390" max="5632" width="8.796875" style="149"/>
    <col min="5633" max="5638" width="8.59765625" style="149" customWidth="1"/>
    <col min="5639" max="5639" width="8.69921875" style="149" customWidth="1"/>
    <col min="5640" max="5640" width="8.8984375" style="149" customWidth="1"/>
    <col min="5641" max="5642" width="8.59765625" style="149" customWidth="1"/>
    <col min="5643" max="5643" width="8.796875" style="149"/>
    <col min="5644" max="5644" width="9.3984375" style="149" bestFit="1" customWidth="1"/>
    <col min="5645" max="5645" width="6.296875" style="149" bestFit="1" customWidth="1"/>
    <col min="5646" max="5888" width="8.796875" style="149"/>
    <col min="5889" max="5894" width="8.59765625" style="149" customWidth="1"/>
    <col min="5895" max="5895" width="8.69921875" style="149" customWidth="1"/>
    <col min="5896" max="5896" width="8.8984375" style="149" customWidth="1"/>
    <col min="5897" max="5898" width="8.59765625" style="149" customWidth="1"/>
    <col min="5899" max="5899" width="8.796875" style="149"/>
    <col min="5900" max="5900" width="9.3984375" style="149" bestFit="1" customWidth="1"/>
    <col min="5901" max="5901" width="6.296875" style="149" bestFit="1" customWidth="1"/>
    <col min="5902" max="6144" width="8.796875" style="149"/>
    <col min="6145" max="6150" width="8.59765625" style="149" customWidth="1"/>
    <col min="6151" max="6151" width="8.69921875" style="149" customWidth="1"/>
    <col min="6152" max="6152" width="8.8984375" style="149" customWidth="1"/>
    <col min="6153" max="6154" width="8.59765625" style="149" customWidth="1"/>
    <col min="6155" max="6155" width="8.796875" style="149"/>
    <col min="6156" max="6156" width="9.3984375" style="149" bestFit="1" customWidth="1"/>
    <col min="6157" max="6157" width="6.296875" style="149" bestFit="1" customWidth="1"/>
    <col min="6158" max="6400" width="8.796875" style="149"/>
    <col min="6401" max="6406" width="8.59765625" style="149" customWidth="1"/>
    <col min="6407" max="6407" width="8.69921875" style="149" customWidth="1"/>
    <col min="6408" max="6408" width="8.8984375" style="149" customWidth="1"/>
    <col min="6409" max="6410" width="8.59765625" style="149" customWidth="1"/>
    <col min="6411" max="6411" width="8.796875" style="149"/>
    <col min="6412" max="6412" width="9.3984375" style="149" bestFit="1" customWidth="1"/>
    <col min="6413" max="6413" width="6.296875" style="149" bestFit="1" customWidth="1"/>
    <col min="6414" max="6656" width="8.796875" style="149"/>
    <col min="6657" max="6662" width="8.59765625" style="149" customWidth="1"/>
    <col min="6663" max="6663" width="8.69921875" style="149" customWidth="1"/>
    <col min="6664" max="6664" width="8.8984375" style="149" customWidth="1"/>
    <col min="6665" max="6666" width="8.59765625" style="149" customWidth="1"/>
    <col min="6667" max="6667" width="8.796875" style="149"/>
    <col min="6668" max="6668" width="9.3984375" style="149" bestFit="1" customWidth="1"/>
    <col min="6669" max="6669" width="6.296875" style="149" bestFit="1" customWidth="1"/>
    <col min="6670" max="6912" width="8.796875" style="149"/>
    <col min="6913" max="6918" width="8.59765625" style="149" customWidth="1"/>
    <col min="6919" max="6919" width="8.69921875" style="149" customWidth="1"/>
    <col min="6920" max="6920" width="8.8984375" style="149" customWidth="1"/>
    <col min="6921" max="6922" width="8.59765625" style="149" customWidth="1"/>
    <col min="6923" max="6923" width="8.796875" style="149"/>
    <col min="6924" max="6924" width="9.3984375" style="149" bestFit="1" customWidth="1"/>
    <col min="6925" max="6925" width="6.296875" style="149" bestFit="1" customWidth="1"/>
    <col min="6926" max="7168" width="8.796875" style="149"/>
    <col min="7169" max="7174" width="8.59765625" style="149" customWidth="1"/>
    <col min="7175" max="7175" width="8.69921875" style="149" customWidth="1"/>
    <col min="7176" max="7176" width="8.8984375" style="149" customWidth="1"/>
    <col min="7177" max="7178" width="8.59765625" style="149" customWidth="1"/>
    <col min="7179" max="7179" width="8.796875" style="149"/>
    <col min="7180" max="7180" width="9.3984375" style="149" bestFit="1" customWidth="1"/>
    <col min="7181" max="7181" width="6.296875" style="149" bestFit="1" customWidth="1"/>
    <col min="7182" max="7424" width="8.796875" style="149"/>
    <col min="7425" max="7430" width="8.59765625" style="149" customWidth="1"/>
    <col min="7431" max="7431" width="8.69921875" style="149" customWidth="1"/>
    <col min="7432" max="7432" width="8.8984375" style="149" customWidth="1"/>
    <col min="7433" max="7434" width="8.59765625" style="149" customWidth="1"/>
    <col min="7435" max="7435" width="8.796875" style="149"/>
    <col min="7436" max="7436" width="9.3984375" style="149" bestFit="1" customWidth="1"/>
    <col min="7437" max="7437" width="6.296875" style="149" bestFit="1" customWidth="1"/>
    <col min="7438" max="7680" width="8.796875" style="149"/>
    <col min="7681" max="7686" width="8.59765625" style="149" customWidth="1"/>
    <col min="7687" max="7687" width="8.69921875" style="149" customWidth="1"/>
    <col min="7688" max="7688" width="8.8984375" style="149" customWidth="1"/>
    <col min="7689" max="7690" width="8.59765625" style="149" customWidth="1"/>
    <col min="7691" max="7691" width="8.796875" style="149"/>
    <col min="7692" max="7692" width="9.3984375" style="149" bestFit="1" customWidth="1"/>
    <col min="7693" max="7693" width="6.296875" style="149" bestFit="1" customWidth="1"/>
    <col min="7694" max="7936" width="8.796875" style="149"/>
    <col min="7937" max="7942" width="8.59765625" style="149" customWidth="1"/>
    <col min="7943" max="7943" width="8.69921875" style="149" customWidth="1"/>
    <col min="7944" max="7944" width="8.8984375" style="149" customWidth="1"/>
    <col min="7945" max="7946" width="8.59765625" style="149" customWidth="1"/>
    <col min="7947" max="7947" width="8.796875" style="149"/>
    <col min="7948" max="7948" width="9.3984375" style="149" bestFit="1" customWidth="1"/>
    <col min="7949" max="7949" width="6.296875" style="149" bestFit="1" customWidth="1"/>
    <col min="7950" max="8192" width="8.796875" style="149"/>
    <col min="8193" max="8198" width="8.59765625" style="149" customWidth="1"/>
    <col min="8199" max="8199" width="8.69921875" style="149" customWidth="1"/>
    <col min="8200" max="8200" width="8.8984375" style="149" customWidth="1"/>
    <col min="8201" max="8202" width="8.59765625" style="149" customWidth="1"/>
    <col min="8203" max="8203" width="8.796875" style="149"/>
    <col min="8204" max="8204" width="9.3984375" style="149" bestFit="1" customWidth="1"/>
    <col min="8205" max="8205" width="6.296875" style="149" bestFit="1" customWidth="1"/>
    <col min="8206" max="8448" width="8.796875" style="149"/>
    <col min="8449" max="8454" width="8.59765625" style="149" customWidth="1"/>
    <col min="8455" max="8455" width="8.69921875" style="149" customWidth="1"/>
    <col min="8456" max="8456" width="8.8984375" style="149" customWidth="1"/>
    <col min="8457" max="8458" width="8.59765625" style="149" customWidth="1"/>
    <col min="8459" max="8459" width="8.796875" style="149"/>
    <col min="8460" max="8460" width="9.3984375" style="149" bestFit="1" customWidth="1"/>
    <col min="8461" max="8461" width="6.296875" style="149" bestFit="1" customWidth="1"/>
    <col min="8462" max="8704" width="8.796875" style="149"/>
    <col min="8705" max="8710" width="8.59765625" style="149" customWidth="1"/>
    <col min="8711" max="8711" width="8.69921875" style="149" customWidth="1"/>
    <col min="8712" max="8712" width="8.8984375" style="149" customWidth="1"/>
    <col min="8713" max="8714" width="8.59765625" style="149" customWidth="1"/>
    <col min="8715" max="8715" width="8.796875" style="149"/>
    <col min="8716" max="8716" width="9.3984375" style="149" bestFit="1" customWidth="1"/>
    <col min="8717" max="8717" width="6.296875" style="149" bestFit="1" customWidth="1"/>
    <col min="8718" max="8960" width="8.796875" style="149"/>
    <col min="8961" max="8966" width="8.59765625" style="149" customWidth="1"/>
    <col min="8967" max="8967" width="8.69921875" style="149" customWidth="1"/>
    <col min="8968" max="8968" width="8.8984375" style="149" customWidth="1"/>
    <col min="8969" max="8970" width="8.59765625" style="149" customWidth="1"/>
    <col min="8971" max="8971" width="8.796875" style="149"/>
    <col min="8972" max="8972" width="9.3984375" style="149" bestFit="1" customWidth="1"/>
    <col min="8973" max="8973" width="6.296875" style="149" bestFit="1" customWidth="1"/>
    <col min="8974" max="9216" width="8.796875" style="149"/>
    <col min="9217" max="9222" width="8.59765625" style="149" customWidth="1"/>
    <col min="9223" max="9223" width="8.69921875" style="149" customWidth="1"/>
    <col min="9224" max="9224" width="8.8984375" style="149" customWidth="1"/>
    <col min="9225" max="9226" width="8.59765625" style="149" customWidth="1"/>
    <col min="9227" max="9227" width="8.796875" style="149"/>
    <col min="9228" max="9228" width="9.3984375" style="149" bestFit="1" customWidth="1"/>
    <col min="9229" max="9229" width="6.296875" style="149" bestFit="1" customWidth="1"/>
    <col min="9230" max="9472" width="8.796875" style="149"/>
    <col min="9473" max="9478" width="8.59765625" style="149" customWidth="1"/>
    <col min="9479" max="9479" width="8.69921875" style="149" customWidth="1"/>
    <col min="9480" max="9480" width="8.8984375" style="149" customWidth="1"/>
    <col min="9481" max="9482" width="8.59765625" style="149" customWidth="1"/>
    <col min="9483" max="9483" width="8.796875" style="149"/>
    <col min="9484" max="9484" width="9.3984375" style="149" bestFit="1" customWidth="1"/>
    <col min="9485" max="9485" width="6.296875" style="149" bestFit="1" customWidth="1"/>
    <col min="9486" max="9728" width="8.796875" style="149"/>
    <col min="9729" max="9734" width="8.59765625" style="149" customWidth="1"/>
    <col min="9735" max="9735" width="8.69921875" style="149" customWidth="1"/>
    <col min="9736" max="9736" width="8.8984375" style="149" customWidth="1"/>
    <col min="9737" max="9738" width="8.59765625" style="149" customWidth="1"/>
    <col min="9739" max="9739" width="8.796875" style="149"/>
    <col min="9740" max="9740" width="9.3984375" style="149" bestFit="1" customWidth="1"/>
    <col min="9741" max="9741" width="6.296875" style="149" bestFit="1" customWidth="1"/>
    <col min="9742" max="9984" width="8.796875" style="149"/>
    <col min="9985" max="9990" width="8.59765625" style="149" customWidth="1"/>
    <col min="9991" max="9991" width="8.69921875" style="149" customWidth="1"/>
    <col min="9992" max="9992" width="8.8984375" style="149" customWidth="1"/>
    <col min="9993" max="9994" width="8.59765625" style="149" customWidth="1"/>
    <col min="9995" max="9995" width="8.796875" style="149"/>
    <col min="9996" max="9996" width="9.3984375" style="149" bestFit="1" customWidth="1"/>
    <col min="9997" max="9997" width="6.296875" style="149" bestFit="1" customWidth="1"/>
    <col min="9998" max="10240" width="8.796875" style="149"/>
    <col min="10241" max="10246" width="8.59765625" style="149" customWidth="1"/>
    <col min="10247" max="10247" width="8.69921875" style="149" customWidth="1"/>
    <col min="10248" max="10248" width="8.8984375" style="149" customWidth="1"/>
    <col min="10249" max="10250" width="8.59765625" style="149" customWidth="1"/>
    <col min="10251" max="10251" width="8.796875" style="149"/>
    <col min="10252" max="10252" width="9.3984375" style="149" bestFit="1" customWidth="1"/>
    <col min="10253" max="10253" width="6.296875" style="149" bestFit="1" customWidth="1"/>
    <col min="10254" max="10496" width="8.796875" style="149"/>
    <col min="10497" max="10502" width="8.59765625" style="149" customWidth="1"/>
    <col min="10503" max="10503" width="8.69921875" style="149" customWidth="1"/>
    <col min="10504" max="10504" width="8.8984375" style="149" customWidth="1"/>
    <col min="10505" max="10506" width="8.59765625" style="149" customWidth="1"/>
    <col min="10507" max="10507" width="8.796875" style="149"/>
    <col min="10508" max="10508" width="9.3984375" style="149" bestFit="1" customWidth="1"/>
    <col min="10509" max="10509" width="6.296875" style="149" bestFit="1" customWidth="1"/>
    <col min="10510" max="10752" width="8.796875" style="149"/>
    <col min="10753" max="10758" width="8.59765625" style="149" customWidth="1"/>
    <col min="10759" max="10759" width="8.69921875" style="149" customWidth="1"/>
    <col min="10760" max="10760" width="8.8984375" style="149" customWidth="1"/>
    <col min="10761" max="10762" width="8.59765625" style="149" customWidth="1"/>
    <col min="10763" max="10763" width="8.796875" style="149"/>
    <col min="10764" max="10764" width="9.3984375" style="149" bestFit="1" customWidth="1"/>
    <col min="10765" max="10765" width="6.296875" style="149" bestFit="1" customWidth="1"/>
    <col min="10766" max="11008" width="8.796875" style="149"/>
    <col min="11009" max="11014" width="8.59765625" style="149" customWidth="1"/>
    <col min="11015" max="11015" width="8.69921875" style="149" customWidth="1"/>
    <col min="11016" max="11016" width="8.8984375" style="149" customWidth="1"/>
    <col min="11017" max="11018" width="8.59765625" style="149" customWidth="1"/>
    <col min="11019" max="11019" width="8.796875" style="149"/>
    <col min="11020" max="11020" width="9.3984375" style="149" bestFit="1" customWidth="1"/>
    <col min="11021" max="11021" width="6.296875" style="149" bestFit="1" customWidth="1"/>
    <col min="11022" max="11264" width="8.796875" style="149"/>
    <col min="11265" max="11270" width="8.59765625" style="149" customWidth="1"/>
    <col min="11271" max="11271" width="8.69921875" style="149" customWidth="1"/>
    <col min="11272" max="11272" width="8.8984375" style="149" customWidth="1"/>
    <col min="11273" max="11274" width="8.59765625" style="149" customWidth="1"/>
    <col min="11275" max="11275" width="8.796875" style="149"/>
    <col min="11276" max="11276" width="9.3984375" style="149" bestFit="1" customWidth="1"/>
    <col min="11277" max="11277" width="6.296875" style="149" bestFit="1" customWidth="1"/>
    <col min="11278" max="11520" width="8.796875" style="149"/>
    <col min="11521" max="11526" width="8.59765625" style="149" customWidth="1"/>
    <col min="11527" max="11527" width="8.69921875" style="149" customWidth="1"/>
    <col min="11528" max="11528" width="8.8984375" style="149" customWidth="1"/>
    <col min="11529" max="11530" width="8.59765625" style="149" customWidth="1"/>
    <col min="11531" max="11531" width="8.796875" style="149"/>
    <col min="11532" max="11532" width="9.3984375" style="149" bestFit="1" customWidth="1"/>
    <col min="11533" max="11533" width="6.296875" style="149" bestFit="1" customWidth="1"/>
    <col min="11534" max="11776" width="8.796875" style="149"/>
    <col min="11777" max="11782" width="8.59765625" style="149" customWidth="1"/>
    <col min="11783" max="11783" width="8.69921875" style="149" customWidth="1"/>
    <col min="11784" max="11784" width="8.8984375" style="149" customWidth="1"/>
    <col min="11785" max="11786" width="8.59765625" style="149" customWidth="1"/>
    <col min="11787" max="11787" width="8.796875" style="149"/>
    <col min="11788" max="11788" width="9.3984375" style="149" bestFit="1" customWidth="1"/>
    <col min="11789" max="11789" width="6.296875" style="149" bestFit="1" customWidth="1"/>
    <col min="11790" max="12032" width="8.796875" style="149"/>
    <col min="12033" max="12038" width="8.59765625" style="149" customWidth="1"/>
    <col min="12039" max="12039" width="8.69921875" style="149" customWidth="1"/>
    <col min="12040" max="12040" width="8.8984375" style="149" customWidth="1"/>
    <col min="12041" max="12042" width="8.59765625" style="149" customWidth="1"/>
    <col min="12043" max="12043" width="8.796875" style="149"/>
    <col min="12044" max="12044" width="9.3984375" style="149" bestFit="1" customWidth="1"/>
    <col min="12045" max="12045" width="6.296875" style="149" bestFit="1" customWidth="1"/>
    <col min="12046" max="12288" width="8.796875" style="149"/>
    <col min="12289" max="12294" width="8.59765625" style="149" customWidth="1"/>
    <col min="12295" max="12295" width="8.69921875" style="149" customWidth="1"/>
    <col min="12296" max="12296" width="8.8984375" style="149" customWidth="1"/>
    <col min="12297" max="12298" width="8.59765625" style="149" customWidth="1"/>
    <col min="12299" max="12299" width="8.796875" style="149"/>
    <col min="12300" max="12300" width="9.3984375" style="149" bestFit="1" customWidth="1"/>
    <col min="12301" max="12301" width="6.296875" style="149" bestFit="1" customWidth="1"/>
    <col min="12302" max="12544" width="8.796875" style="149"/>
    <col min="12545" max="12550" width="8.59765625" style="149" customWidth="1"/>
    <col min="12551" max="12551" width="8.69921875" style="149" customWidth="1"/>
    <col min="12552" max="12552" width="8.8984375" style="149" customWidth="1"/>
    <col min="12553" max="12554" width="8.59765625" style="149" customWidth="1"/>
    <col min="12555" max="12555" width="8.796875" style="149"/>
    <col min="12556" max="12556" width="9.3984375" style="149" bestFit="1" customWidth="1"/>
    <col min="12557" max="12557" width="6.296875" style="149" bestFit="1" customWidth="1"/>
    <col min="12558" max="12800" width="8.796875" style="149"/>
    <col min="12801" max="12806" width="8.59765625" style="149" customWidth="1"/>
    <col min="12807" max="12807" width="8.69921875" style="149" customWidth="1"/>
    <col min="12808" max="12808" width="8.8984375" style="149" customWidth="1"/>
    <col min="12809" max="12810" width="8.59765625" style="149" customWidth="1"/>
    <col min="12811" max="12811" width="8.796875" style="149"/>
    <col min="12812" max="12812" width="9.3984375" style="149" bestFit="1" customWidth="1"/>
    <col min="12813" max="12813" width="6.296875" style="149" bestFit="1" customWidth="1"/>
    <col min="12814" max="13056" width="8.796875" style="149"/>
    <col min="13057" max="13062" width="8.59765625" style="149" customWidth="1"/>
    <col min="13063" max="13063" width="8.69921875" style="149" customWidth="1"/>
    <col min="13064" max="13064" width="8.8984375" style="149" customWidth="1"/>
    <col min="13065" max="13066" width="8.59765625" style="149" customWidth="1"/>
    <col min="13067" max="13067" width="8.796875" style="149"/>
    <col min="13068" max="13068" width="9.3984375" style="149" bestFit="1" customWidth="1"/>
    <col min="13069" max="13069" width="6.296875" style="149" bestFit="1" customWidth="1"/>
    <col min="13070" max="13312" width="8.796875" style="149"/>
    <col min="13313" max="13318" width="8.59765625" style="149" customWidth="1"/>
    <col min="13319" max="13319" width="8.69921875" style="149" customWidth="1"/>
    <col min="13320" max="13320" width="8.8984375" style="149" customWidth="1"/>
    <col min="13321" max="13322" width="8.59765625" style="149" customWidth="1"/>
    <col min="13323" max="13323" width="8.796875" style="149"/>
    <col min="13324" max="13324" width="9.3984375" style="149" bestFit="1" customWidth="1"/>
    <col min="13325" max="13325" width="6.296875" style="149" bestFit="1" customWidth="1"/>
    <col min="13326" max="13568" width="8.796875" style="149"/>
    <col min="13569" max="13574" width="8.59765625" style="149" customWidth="1"/>
    <col min="13575" max="13575" width="8.69921875" style="149" customWidth="1"/>
    <col min="13576" max="13576" width="8.8984375" style="149" customWidth="1"/>
    <col min="13577" max="13578" width="8.59765625" style="149" customWidth="1"/>
    <col min="13579" max="13579" width="8.796875" style="149"/>
    <col min="13580" max="13580" width="9.3984375" style="149" bestFit="1" customWidth="1"/>
    <col min="13581" max="13581" width="6.296875" style="149" bestFit="1" customWidth="1"/>
    <col min="13582" max="13824" width="8.796875" style="149"/>
    <col min="13825" max="13830" width="8.59765625" style="149" customWidth="1"/>
    <col min="13831" max="13831" width="8.69921875" style="149" customWidth="1"/>
    <col min="13832" max="13832" width="8.8984375" style="149" customWidth="1"/>
    <col min="13833" max="13834" width="8.59765625" style="149" customWidth="1"/>
    <col min="13835" max="13835" width="8.796875" style="149"/>
    <col min="13836" max="13836" width="9.3984375" style="149" bestFit="1" customWidth="1"/>
    <col min="13837" max="13837" width="6.296875" style="149" bestFit="1" customWidth="1"/>
    <col min="13838" max="14080" width="8.796875" style="149"/>
    <col min="14081" max="14086" width="8.59765625" style="149" customWidth="1"/>
    <col min="14087" max="14087" width="8.69921875" style="149" customWidth="1"/>
    <col min="14088" max="14088" width="8.8984375" style="149" customWidth="1"/>
    <col min="14089" max="14090" width="8.59765625" style="149" customWidth="1"/>
    <col min="14091" max="14091" width="8.796875" style="149"/>
    <col min="14092" max="14092" width="9.3984375" style="149" bestFit="1" customWidth="1"/>
    <col min="14093" max="14093" width="6.296875" style="149" bestFit="1" customWidth="1"/>
    <col min="14094" max="14336" width="8.796875" style="149"/>
    <col min="14337" max="14342" width="8.59765625" style="149" customWidth="1"/>
    <col min="14343" max="14343" width="8.69921875" style="149" customWidth="1"/>
    <col min="14344" max="14344" width="8.8984375" style="149" customWidth="1"/>
    <col min="14345" max="14346" width="8.59765625" style="149" customWidth="1"/>
    <col min="14347" max="14347" width="8.796875" style="149"/>
    <col min="14348" max="14348" width="9.3984375" style="149" bestFit="1" customWidth="1"/>
    <col min="14349" max="14349" width="6.296875" style="149" bestFit="1" customWidth="1"/>
    <col min="14350" max="14592" width="8.796875" style="149"/>
    <col min="14593" max="14598" width="8.59765625" style="149" customWidth="1"/>
    <col min="14599" max="14599" width="8.69921875" style="149" customWidth="1"/>
    <col min="14600" max="14600" width="8.8984375" style="149" customWidth="1"/>
    <col min="14601" max="14602" width="8.59765625" style="149" customWidth="1"/>
    <col min="14603" max="14603" width="8.796875" style="149"/>
    <col min="14604" max="14604" width="9.3984375" style="149" bestFit="1" customWidth="1"/>
    <col min="14605" max="14605" width="6.296875" style="149" bestFit="1" customWidth="1"/>
    <col min="14606" max="14848" width="8.796875" style="149"/>
    <col min="14849" max="14854" width="8.59765625" style="149" customWidth="1"/>
    <col min="14855" max="14855" width="8.69921875" style="149" customWidth="1"/>
    <col min="14856" max="14856" width="8.8984375" style="149" customWidth="1"/>
    <col min="14857" max="14858" width="8.59765625" style="149" customWidth="1"/>
    <col min="14859" max="14859" width="8.796875" style="149"/>
    <col min="14860" max="14860" width="9.3984375" style="149" bestFit="1" customWidth="1"/>
    <col min="14861" max="14861" width="6.296875" style="149" bestFit="1" customWidth="1"/>
    <col min="14862" max="15104" width="8.796875" style="149"/>
    <col min="15105" max="15110" width="8.59765625" style="149" customWidth="1"/>
    <col min="15111" max="15111" width="8.69921875" style="149" customWidth="1"/>
    <col min="15112" max="15112" width="8.8984375" style="149" customWidth="1"/>
    <col min="15113" max="15114" width="8.59765625" style="149" customWidth="1"/>
    <col min="15115" max="15115" width="8.796875" style="149"/>
    <col min="15116" max="15116" width="9.3984375" style="149" bestFit="1" customWidth="1"/>
    <col min="15117" max="15117" width="6.296875" style="149" bestFit="1" customWidth="1"/>
    <col min="15118" max="15360" width="8.796875" style="149"/>
    <col min="15361" max="15366" width="8.59765625" style="149" customWidth="1"/>
    <col min="15367" max="15367" width="8.69921875" style="149" customWidth="1"/>
    <col min="15368" max="15368" width="8.8984375" style="149" customWidth="1"/>
    <col min="15369" max="15370" width="8.59765625" style="149" customWidth="1"/>
    <col min="15371" max="15371" width="8.796875" style="149"/>
    <col min="15372" max="15372" width="9.3984375" style="149" bestFit="1" customWidth="1"/>
    <col min="15373" max="15373" width="6.296875" style="149" bestFit="1" customWidth="1"/>
    <col min="15374" max="15616" width="8.796875" style="149"/>
    <col min="15617" max="15622" width="8.59765625" style="149" customWidth="1"/>
    <col min="15623" max="15623" width="8.69921875" style="149" customWidth="1"/>
    <col min="15624" max="15624" width="8.8984375" style="149" customWidth="1"/>
    <col min="15625" max="15626" width="8.59765625" style="149" customWidth="1"/>
    <col min="15627" max="15627" width="8.796875" style="149"/>
    <col min="15628" max="15628" width="9.3984375" style="149" bestFit="1" customWidth="1"/>
    <col min="15629" max="15629" width="6.296875" style="149" bestFit="1" customWidth="1"/>
    <col min="15630" max="15872" width="8.796875" style="149"/>
    <col min="15873" max="15878" width="8.59765625" style="149" customWidth="1"/>
    <col min="15879" max="15879" width="8.69921875" style="149" customWidth="1"/>
    <col min="15880" max="15880" width="8.8984375" style="149" customWidth="1"/>
    <col min="15881" max="15882" width="8.59765625" style="149" customWidth="1"/>
    <col min="15883" max="15883" width="8.796875" style="149"/>
    <col min="15884" max="15884" width="9.3984375" style="149" bestFit="1" customWidth="1"/>
    <col min="15885" max="15885" width="6.296875" style="149" bestFit="1" customWidth="1"/>
    <col min="15886" max="16128" width="8.796875" style="149"/>
    <col min="16129" max="16134" width="8.59765625" style="149" customWidth="1"/>
    <col min="16135" max="16135" width="8.69921875" style="149" customWidth="1"/>
    <col min="16136" max="16136" width="8.8984375" style="149" customWidth="1"/>
    <col min="16137" max="16138" width="8.59765625" style="149" customWidth="1"/>
    <col min="16139" max="16139" width="8.796875" style="149"/>
    <col min="16140" max="16140" width="9.3984375" style="149" bestFit="1" customWidth="1"/>
    <col min="16141" max="16141" width="6.296875" style="149" bestFit="1" customWidth="1"/>
    <col min="16142" max="16384" width="8.796875" style="149"/>
  </cols>
  <sheetData>
    <row r="1" spans="1:10" ht="18.75">
      <c r="A1" s="166" t="s">
        <v>124</v>
      </c>
      <c r="B1" s="167"/>
      <c r="C1" s="167"/>
      <c r="D1" s="167"/>
      <c r="E1" s="167"/>
      <c r="F1" s="167"/>
      <c r="G1" s="167"/>
      <c r="H1" s="167"/>
      <c r="I1" s="168" t="s">
        <v>125</v>
      </c>
      <c r="J1" s="168" t="s">
        <v>126</v>
      </c>
    </row>
    <row r="2" spans="1:10" ht="18.75">
      <c r="A2" s="166" t="s">
        <v>127</v>
      </c>
      <c r="B2" s="167"/>
      <c r="C2" s="167"/>
      <c r="D2" s="167"/>
      <c r="E2" s="167"/>
      <c r="F2" s="167"/>
      <c r="G2" s="167"/>
      <c r="H2" s="167"/>
      <c r="I2" s="167"/>
      <c r="J2" s="169" t="s">
        <v>128</v>
      </c>
    </row>
    <row r="3" spans="1:10" ht="15" customHeight="1" thickBot="1">
      <c r="A3" s="170" t="s">
        <v>129</v>
      </c>
      <c r="B3" s="171" t="s">
        <v>130</v>
      </c>
      <c r="C3" s="172"/>
      <c r="D3" s="170"/>
      <c r="E3" s="172"/>
      <c r="F3" s="172"/>
      <c r="G3" s="170" t="s">
        <v>131</v>
      </c>
      <c r="H3" s="173">
        <v>45943</v>
      </c>
      <c r="I3" s="170" t="s">
        <v>132</v>
      </c>
      <c r="J3" s="174">
        <v>0.37597222222222221</v>
      </c>
    </row>
    <row r="4" spans="1:10" ht="15" customHeight="1" thickBot="1">
      <c r="A4" s="175" t="s">
        <v>133</v>
      </c>
      <c r="B4" s="175" t="s">
        <v>134</v>
      </c>
      <c r="C4" s="175" t="s">
        <v>135</v>
      </c>
      <c r="D4" s="175" t="s">
        <v>136</v>
      </c>
      <c r="E4" s="176" t="s">
        <v>137</v>
      </c>
      <c r="F4" s="175" t="s">
        <v>138</v>
      </c>
      <c r="G4" s="175" t="s">
        <v>139</v>
      </c>
      <c r="H4" s="175" t="s">
        <v>140</v>
      </c>
      <c r="I4" s="175" t="s">
        <v>141</v>
      </c>
      <c r="J4" s="175" t="s">
        <v>142</v>
      </c>
    </row>
    <row r="5" spans="1:10" ht="15" customHeight="1" thickBot="1">
      <c r="A5" s="177">
        <v>2</v>
      </c>
      <c r="B5" s="178">
        <v>900.00003272662536</v>
      </c>
      <c r="C5" s="179">
        <v>3600</v>
      </c>
      <c r="D5" s="177" t="s">
        <v>143</v>
      </c>
      <c r="E5" s="180">
        <v>4000</v>
      </c>
      <c r="F5" s="179">
        <v>60</v>
      </c>
      <c r="G5" s="177">
        <v>105</v>
      </c>
      <c r="H5" s="181" t="s">
        <v>144</v>
      </c>
      <c r="I5" s="182" t="s">
        <v>145</v>
      </c>
      <c r="J5" s="177" t="s">
        <v>146</v>
      </c>
    </row>
    <row r="6" spans="1:10" ht="15" customHeight="1" thickBot="1">
      <c r="A6" s="183" t="s">
        <v>147</v>
      </c>
      <c r="B6" s="184"/>
      <c r="C6" s="185"/>
      <c r="D6" s="186" t="s">
        <v>148</v>
      </c>
      <c r="E6" s="187"/>
      <c r="F6" s="188"/>
      <c r="G6" s="189"/>
      <c r="H6" s="190" t="s">
        <v>149</v>
      </c>
      <c r="I6" s="191"/>
      <c r="J6" s="192"/>
    </row>
    <row r="7" spans="1:10" ht="15" customHeight="1" thickBot="1">
      <c r="A7" s="193"/>
      <c r="B7" s="194" t="s">
        <v>150</v>
      </c>
      <c r="C7" s="195" t="s">
        <v>151</v>
      </c>
      <c r="D7" s="193"/>
      <c r="E7" s="196"/>
      <c r="F7" s="194" t="s">
        <v>152</v>
      </c>
      <c r="G7" s="195" t="s">
        <v>153</v>
      </c>
      <c r="H7" s="197" t="s">
        <v>154</v>
      </c>
      <c r="I7" s="198">
        <v>24.543671874999998</v>
      </c>
      <c r="J7" s="199" t="s">
        <v>155</v>
      </c>
    </row>
    <row r="8" spans="1:10" ht="15" customHeight="1">
      <c r="A8" s="197" t="s">
        <v>156</v>
      </c>
      <c r="B8" s="200">
        <v>3.2999999523162842</v>
      </c>
      <c r="C8" s="201"/>
      <c r="D8" s="202"/>
      <c r="E8" s="203"/>
      <c r="F8" s="194"/>
      <c r="G8" s="195"/>
      <c r="H8" s="197" t="s">
        <v>157</v>
      </c>
      <c r="I8" s="198">
        <v>30.456888323673823</v>
      </c>
      <c r="J8" s="204" t="s">
        <v>158</v>
      </c>
    </row>
    <row r="9" spans="1:10" ht="15" customHeight="1" thickBot="1">
      <c r="A9" s="197" t="s">
        <v>159</v>
      </c>
      <c r="B9" s="200">
        <v>0.93000000715255737</v>
      </c>
      <c r="C9" s="201"/>
      <c r="D9" s="197" t="s">
        <v>160</v>
      </c>
      <c r="E9" s="205" t="s">
        <v>161</v>
      </c>
      <c r="F9" s="206" t="s">
        <v>162</v>
      </c>
      <c r="G9" s="207"/>
      <c r="H9" s="197" t="s">
        <v>163</v>
      </c>
      <c r="I9" s="200">
        <v>27.500280099336912</v>
      </c>
      <c r="J9" s="208">
        <v>617.27367437918656</v>
      </c>
    </row>
    <row r="10" spans="1:10" ht="15" customHeight="1">
      <c r="A10" s="197" t="s">
        <v>164</v>
      </c>
      <c r="B10" s="200">
        <v>465</v>
      </c>
      <c r="C10" s="209">
        <v>465</v>
      </c>
      <c r="D10" s="202"/>
      <c r="E10" s="203"/>
      <c r="F10" s="210" t="s">
        <v>165</v>
      </c>
      <c r="G10" s="211" t="s">
        <v>166</v>
      </c>
      <c r="H10" s="197" t="s">
        <v>167</v>
      </c>
      <c r="I10" s="198">
        <v>14.338922976528664</v>
      </c>
      <c r="J10" s="204" t="s">
        <v>168</v>
      </c>
    </row>
    <row r="11" spans="1:10" ht="15" customHeight="1" thickBot="1">
      <c r="A11" s="197" t="s">
        <v>169</v>
      </c>
      <c r="B11" s="200">
        <v>670</v>
      </c>
      <c r="C11" s="209">
        <v>368.40000009536743</v>
      </c>
      <c r="D11" s="197" t="s">
        <v>170</v>
      </c>
      <c r="E11" s="198">
        <v>0.62493749999999992</v>
      </c>
      <c r="F11" s="212"/>
      <c r="G11" s="213"/>
      <c r="H11" s="197" t="s">
        <v>171</v>
      </c>
      <c r="I11" s="198">
        <v>30.038756689833033</v>
      </c>
      <c r="J11" s="208">
        <v>26914.734019017618</v>
      </c>
    </row>
    <row r="12" spans="1:10" ht="15" customHeight="1">
      <c r="A12" s="197" t="s">
        <v>172</v>
      </c>
      <c r="B12" s="200">
        <v>375</v>
      </c>
      <c r="C12" s="209">
        <v>185</v>
      </c>
      <c r="D12" s="197" t="s">
        <v>173</v>
      </c>
      <c r="E12" s="214" t="s">
        <v>38</v>
      </c>
      <c r="F12" s="215" t="s">
        <v>174</v>
      </c>
      <c r="G12" s="216" t="s">
        <v>175</v>
      </c>
      <c r="H12" s="197" t="s">
        <v>176</v>
      </c>
      <c r="I12" s="198">
        <v>1.1789163438632333</v>
      </c>
      <c r="J12" s="204" t="s">
        <v>177</v>
      </c>
    </row>
    <row r="13" spans="1:10" ht="15" customHeight="1" thickBot="1">
      <c r="A13" s="197" t="s">
        <v>178</v>
      </c>
      <c r="B13" s="200">
        <v>85</v>
      </c>
      <c r="C13" s="209">
        <v>55.290000200271606</v>
      </c>
      <c r="D13" s="197" t="s">
        <v>179</v>
      </c>
      <c r="E13" s="217">
        <v>26</v>
      </c>
      <c r="F13" s="215"/>
      <c r="G13" s="216" t="s">
        <v>180</v>
      </c>
      <c r="H13" s="197" t="s">
        <v>181</v>
      </c>
      <c r="I13" s="198">
        <v>1.0139197383619514</v>
      </c>
      <c r="J13" s="208">
        <v>110.28770446777344</v>
      </c>
    </row>
    <row r="14" spans="1:10" ht="15" customHeight="1" thickBot="1">
      <c r="A14" s="218" t="s">
        <v>182</v>
      </c>
      <c r="B14" s="219">
        <v>376.64999389648438</v>
      </c>
      <c r="C14" s="220">
        <v>376.64999389648438</v>
      </c>
      <c r="D14" s="197" t="s">
        <v>183</v>
      </c>
      <c r="E14" s="203" t="s">
        <v>184</v>
      </c>
      <c r="F14" s="203"/>
      <c r="G14" s="216" t="s">
        <v>185</v>
      </c>
      <c r="H14" s="170" t="s">
        <v>186</v>
      </c>
      <c r="I14" s="198">
        <v>1.1953265509204378</v>
      </c>
      <c r="J14" s="204" t="s">
        <v>187</v>
      </c>
    </row>
    <row r="15" spans="1:10" ht="15" customHeight="1" thickBot="1">
      <c r="A15" s="221" t="s">
        <v>188</v>
      </c>
      <c r="B15" s="222"/>
      <c r="C15" s="223"/>
      <c r="D15" s="197" t="s">
        <v>189</v>
      </c>
      <c r="E15" s="203" t="s">
        <v>38</v>
      </c>
      <c r="F15" s="203"/>
      <c r="G15" s="216"/>
      <c r="H15" s="197" t="s">
        <v>190</v>
      </c>
      <c r="I15" s="198">
        <v>0.83141460458883965</v>
      </c>
      <c r="J15" s="208">
        <v>22.20643028846154</v>
      </c>
    </row>
    <row r="16" spans="1:10" ht="15" customHeight="1">
      <c r="A16" s="197" t="s">
        <v>191</v>
      </c>
      <c r="B16" s="203">
        <v>48</v>
      </c>
      <c r="C16" s="201">
        <v>38</v>
      </c>
      <c r="D16" s="197" t="s">
        <v>192</v>
      </c>
      <c r="E16" s="203">
        <v>2</v>
      </c>
      <c r="F16" s="203"/>
      <c r="G16" s="216"/>
      <c r="H16" s="197" t="s">
        <v>193</v>
      </c>
      <c r="I16" s="198">
        <v>0.9554364713800827</v>
      </c>
      <c r="J16" s="224" t="s">
        <v>194</v>
      </c>
    </row>
    <row r="17" spans="1:16" ht="15" customHeight="1" thickBot="1">
      <c r="A17" s="197" t="s">
        <v>195</v>
      </c>
      <c r="B17" s="203" t="s">
        <v>196</v>
      </c>
      <c r="C17" s="201" t="s">
        <v>197</v>
      </c>
      <c r="D17" s="170" t="s">
        <v>198</v>
      </c>
      <c r="E17" s="203" t="s">
        <v>199</v>
      </c>
      <c r="F17" s="203"/>
      <c r="G17" s="216"/>
      <c r="H17" s="197" t="s">
        <v>200</v>
      </c>
      <c r="I17" s="198">
        <v>0.79436383606222771</v>
      </c>
      <c r="J17" s="208">
        <v>584.15878658378404</v>
      </c>
    </row>
    <row r="18" spans="1:16" ht="15" customHeight="1">
      <c r="A18" s="197" t="s">
        <v>201</v>
      </c>
      <c r="B18" s="203" t="s">
        <v>38</v>
      </c>
      <c r="C18" s="209">
        <v>0</v>
      </c>
      <c r="D18" s="197" t="s">
        <v>202</v>
      </c>
      <c r="E18" s="225">
        <v>1160</v>
      </c>
      <c r="F18" s="217">
        <v>635</v>
      </c>
      <c r="G18" s="226"/>
      <c r="H18" s="221" t="s">
        <v>203</v>
      </c>
      <c r="I18" s="227" t="s">
        <v>204</v>
      </c>
      <c r="J18" s="228"/>
    </row>
    <row r="19" spans="1:16" ht="15" customHeight="1">
      <c r="A19" s="197" t="s">
        <v>205</v>
      </c>
      <c r="B19" s="200">
        <v>62.5</v>
      </c>
      <c r="C19" s="209">
        <v>36.409999847412109</v>
      </c>
      <c r="D19" s="197" t="s">
        <v>206</v>
      </c>
      <c r="E19" s="217">
        <v>208</v>
      </c>
      <c r="F19" s="203"/>
      <c r="G19" s="201"/>
      <c r="H19" s="229"/>
      <c r="I19" s="194" t="s">
        <v>207</v>
      </c>
      <c r="J19" s="230" t="s">
        <v>208</v>
      </c>
    </row>
    <row r="20" spans="1:16" ht="15" customHeight="1">
      <c r="A20" s="197" t="s">
        <v>209</v>
      </c>
      <c r="B20" s="200" t="s">
        <v>210</v>
      </c>
      <c r="C20" s="209"/>
      <c r="D20" s="197" t="s">
        <v>211</v>
      </c>
      <c r="E20" s="231">
        <v>0.12949849901285387</v>
      </c>
      <c r="F20" s="203"/>
      <c r="G20" s="201"/>
      <c r="H20" s="197" t="s">
        <v>212</v>
      </c>
      <c r="I20" s="198">
        <v>18.533136367797852</v>
      </c>
      <c r="J20" s="232">
        <v>18.533136367797852</v>
      </c>
    </row>
    <row r="21" spans="1:16" ht="15" customHeight="1">
      <c r="A21" s="197" t="s">
        <v>213</v>
      </c>
      <c r="B21" s="200">
        <v>14.5</v>
      </c>
      <c r="C21" s="209">
        <v>3</v>
      </c>
      <c r="D21" s="197" t="s">
        <v>214</v>
      </c>
      <c r="E21" s="233">
        <v>0.1727494711782471</v>
      </c>
      <c r="F21" s="233">
        <v>0.10655777156352997</v>
      </c>
      <c r="G21" s="234">
        <v>1.4263725268028288E-2</v>
      </c>
      <c r="H21" s="197" t="s">
        <v>215</v>
      </c>
      <c r="I21" s="198">
        <v>16.804136276245117</v>
      </c>
      <c r="J21" s="232">
        <v>14.80540657043457</v>
      </c>
    </row>
    <row r="22" spans="1:16" ht="15" customHeight="1">
      <c r="A22" s="197" t="s">
        <v>216</v>
      </c>
      <c r="B22" s="200">
        <v>2.8299999237060547</v>
      </c>
      <c r="C22" s="209">
        <v>3</v>
      </c>
      <c r="D22" s="197" t="s">
        <v>217</v>
      </c>
      <c r="E22" s="203" t="s">
        <v>218</v>
      </c>
      <c r="F22" s="203" t="s">
        <v>218</v>
      </c>
      <c r="G22" s="201" t="s">
        <v>218</v>
      </c>
      <c r="H22" s="197" t="s">
        <v>219</v>
      </c>
      <c r="I22" s="198">
        <v>4.1274876594543457</v>
      </c>
      <c r="J22" s="232">
        <v>3.8597710132598877</v>
      </c>
    </row>
    <row r="23" spans="1:16" ht="15" customHeight="1">
      <c r="A23" s="197" t="s">
        <v>220</v>
      </c>
      <c r="B23" s="200">
        <v>10.043671607971191</v>
      </c>
      <c r="C23" s="209">
        <v>10.316610336303711</v>
      </c>
      <c r="D23" s="197" t="s">
        <v>221</v>
      </c>
      <c r="E23" s="198">
        <v>1.7419999837875366</v>
      </c>
      <c r="F23" s="198">
        <v>1.7419999837875366</v>
      </c>
      <c r="G23" s="232">
        <v>1.7419999837875366</v>
      </c>
      <c r="H23" s="197" t="s">
        <v>222</v>
      </c>
      <c r="I23" s="198">
        <v>25.731873940080206</v>
      </c>
      <c r="J23" s="195" t="s">
        <v>223</v>
      </c>
    </row>
    <row r="24" spans="1:16" ht="15" customHeight="1">
      <c r="A24" s="197" t="s">
        <v>224</v>
      </c>
      <c r="B24" s="200">
        <v>0</v>
      </c>
      <c r="C24" s="209">
        <v>0.80000001192092896</v>
      </c>
      <c r="D24" s="197" t="s">
        <v>225</v>
      </c>
      <c r="E24" s="198">
        <v>8.8900003433227539</v>
      </c>
      <c r="F24" s="198">
        <v>8.8900003433227539</v>
      </c>
      <c r="G24" s="232">
        <v>8.8900003433227539</v>
      </c>
      <c r="H24" s="197" t="s">
        <v>226</v>
      </c>
      <c r="I24" s="198">
        <v>7.1922226603197199</v>
      </c>
      <c r="J24" s="232">
        <v>6.7257219086817015</v>
      </c>
    </row>
    <row r="25" spans="1:16" ht="15" customHeight="1">
      <c r="A25" s="197" t="s">
        <v>227</v>
      </c>
      <c r="B25" s="203" t="s">
        <v>38</v>
      </c>
      <c r="C25" s="209">
        <v>4.7199997901916504</v>
      </c>
      <c r="D25" s="235" t="s">
        <v>228</v>
      </c>
      <c r="E25" s="205"/>
      <c r="F25" s="205"/>
      <c r="G25" s="236"/>
      <c r="H25" s="197" t="s">
        <v>229</v>
      </c>
      <c r="I25" s="198">
        <v>0.29357096552848816</v>
      </c>
      <c r="J25" s="232">
        <v>0.73758935928344727</v>
      </c>
    </row>
    <row r="26" spans="1:16" ht="15" customHeight="1">
      <c r="A26" s="197" t="s">
        <v>230</v>
      </c>
      <c r="B26" s="205" t="s">
        <v>231</v>
      </c>
      <c r="C26" s="236" t="s">
        <v>232</v>
      </c>
      <c r="D26" s="197" t="s">
        <v>233</v>
      </c>
      <c r="E26" s="200">
        <v>208.85702754610153</v>
      </c>
      <c r="F26" s="200">
        <v>72.40158519607543</v>
      </c>
      <c r="G26" s="209">
        <v>26.449351062353312</v>
      </c>
      <c r="H26" s="197" t="s">
        <v>234</v>
      </c>
      <c r="I26" s="198">
        <v>3.2696266174316406</v>
      </c>
      <c r="J26" s="232">
        <v>3.1461861133575439</v>
      </c>
    </row>
    <row r="27" spans="1:16" ht="15" customHeight="1" thickBot="1">
      <c r="A27" s="197" t="s">
        <v>235</v>
      </c>
      <c r="B27" s="203" t="s">
        <v>236</v>
      </c>
      <c r="C27" s="201" t="s">
        <v>236</v>
      </c>
      <c r="D27" s="237" t="s">
        <v>237</v>
      </c>
      <c r="E27" s="238" t="s">
        <v>38</v>
      </c>
      <c r="F27" s="238" t="s">
        <v>38</v>
      </c>
      <c r="G27" s="239" t="s">
        <v>38</v>
      </c>
      <c r="H27" s="237" t="s">
        <v>238</v>
      </c>
      <c r="I27" s="240">
        <v>3.2827794551849365</v>
      </c>
      <c r="J27" s="241">
        <v>3.2314896583557129</v>
      </c>
    </row>
    <row r="28" spans="1:16" ht="15" customHeight="1">
      <c r="A28" s="202" t="s">
        <v>239</v>
      </c>
      <c r="B28" s="172"/>
      <c r="C28" s="242"/>
      <c r="D28" s="221" t="s">
        <v>240</v>
      </c>
      <c r="E28" s="243"/>
      <c r="F28" s="244"/>
      <c r="G28" s="245"/>
      <c r="H28" s="189"/>
      <c r="I28" s="246" t="s">
        <v>241</v>
      </c>
      <c r="J28" s="189"/>
    </row>
    <row r="29" spans="1:16" ht="15" customHeight="1">
      <c r="A29" s="247"/>
      <c r="B29" s="248" t="s">
        <v>242</v>
      </c>
      <c r="C29" s="249">
        <v>33.371993281235319</v>
      </c>
      <c r="D29" s="247"/>
      <c r="E29" s="194" t="s">
        <v>243</v>
      </c>
      <c r="F29" s="194" t="s">
        <v>244</v>
      </c>
      <c r="G29" s="194" t="s">
        <v>245</v>
      </c>
      <c r="H29" s="195" t="s">
        <v>246</v>
      </c>
      <c r="I29" s="194" t="s">
        <v>247</v>
      </c>
      <c r="J29" s="195" t="s">
        <v>248</v>
      </c>
      <c r="M29" s="250" t="str">
        <f>RIGHT(F$41,SEARCH("/",F$41,1)-1)</f>
        <v xml:space="preserve"> 3574.6</v>
      </c>
      <c r="N29" s="149" t="s">
        <v>249</v>
      </c>
      <c r="P29" s="194" t="s">
        <v>250</v>
      </c>
    </row>
    <row r="30" spans="1:16" ht="15" customHeight="1" thickBot="1">
      <c r="A30" s="251"/>
      <c r="B30" s="252" t="s">
        <v>251</v>
      </c>
      <c r="C30" s="253">
        <v>33.399128783152655</v>
      </c>
      <c r="D30" s="197" t="s">
        <v>252</v>
      </c>
      <c r="E30" s="254">
        <v>52.621632500000004</v>
      </c>
      <c r="F30" s="254">
        <v>640.30498962402351</v>
      </c>
      <c r="G30" s="254">
        <v>16.388461294857194</v>
      </c>
      <c r="H30" s="255">
        <v>694.79042157703327</v>
      </c>
      <c r="I30" s="217">
        <v>58838.590756323378</v>
      </c>
      <c r="J30" s="226">
        <v>4647.0575562053864</v>
      </c>
      <c r="M30" s="250" t="str">
        <f>RIGHT(E$41,SEARCH("/",E$41,1)-1)</f>
        <v xml:space="preserve"> 3579.4</v>
      </c>
      <c r="N30" s="149" t="s">
        <v>253</v>
      </c>
      <c r="P30" s="256">
        <f>G30*6.4516</f>
        <v>105.73179688990068</v>
      </c>
    </row>
    <row r="31" spans="1:16" ht="15" customHeight="1">
      <c r="A31" s="183" t="s">
        <v>254</v>
      </c>
      <c r="B31" s="257"/>
      <c r="C31" s="258"/>
      <c r="D31" s="197" t="s">
        <v>255</v>
      </c>
      <c r="E31" s="254">
        <v>6.25</v>
      </c>
      <c r="F31" s="254">
        <v>907.9077239617543</v>
      </c>
      <c r="G31" s="254">
        <v>11.558017695418673</v>
      </c>
      <c r="H31" s="255">
        <v>23.007978283630599</v>
      </c>
      <c r="I31" s="217">
        <v>11348.846549521928</v>
      </c>
      <c r="J31" s="226">
        <v>509.08077532718073</v>
      </c>
      <c r="M31" s="250" t="str">
        <f>RIGHT(D$41,SEARCH("/",D$41,1)-1)</f>
        <v xml:space="preserve"> 3584.2</v>
      </c>
      <c r="N31" s="149" t="s">
        <v>256</v>
      </c>
      <c r="P31" s="256">
        <f>G31*6.4516</f>
        <v>74.567706963763115</v>
      </c>
    </row>
    <row r="32" spans="1:16" ht="15" customHeight="1">
      <c r="A32" s="202" t="s">
        <v>257</v>
      </c>
      <c r="B32" s="198" t="s">
        <v>258</v>
      </c>
      <c r="C32" s="259"/>
      <c r="D32" s="197" t="s">
        <v>259</v>
      </c>
      <c r="E32" s="254">
        <v>23.214779336458562</v>
      </c>
      <c r="F32" s="254">
        <v>648.76706099554383</v>
      </c>
      <c r="G32" s="254">
        <v>16.174701476450771</v>
      </c>
      <c r="H32" s="255">
        <v>289.93926026741906</v>
      </c>
      <c r="I32" s="260" t="s">
        <v>260</v>
      </c>
      <c r="J32" s="226">
        <v>5156.1383315325675</v>
      </c>
      <c r="M32" s="250" t="str">
        <f>RIGHT(C$41,SEARCH("/",C$41,1)-1)</f>
        <v xml:space="preserve"> 3588.8</v>
      </c>
      <c r="N32" s="149" t="s">
        <v>261</v>
      </c>
      <c r="P32" s="256">
        <f>G32*6.4516</f>
        <v>104.35270404546979</v>
      </c>
    </row>
    <row r="33" spans="1:16" ht="15" customHeight="1">
      <c r="A33" s="202" t="s">
        <v>262</v>
      </c>
      <c r="B33" s="198" t="s">
        <v>263</v>
      </c>
      <c r="C33" s="261" t="s">
        <v>264</v>
      </c>
      <c r="D33" s="197" t="s">
        <v>255</v>
      </c>
      <c r="E33" s="254">
        <v>3.6409999847412111</v>
      </c>
      <c r="F33" s="254">
        <v>738.29273183822806</v>
      </c>
      <c r="G33" s="254">
        <v>14.213350730447893</v>
      </c>
      <c r="H33" s="255">
        <v>26.32897316809802</v>
      </c>
      <c r="I33" s="260" t="s">
        <v>265</v>
      </c>
      <c r="J33" s="209" t="s">
        <v>266</v>
      </c>
      <c r="M33" s="250" t="str">
        <f>RIGHT(B$41,SEARCH("/",B$41,1)-1)</f>
        <v xml:space="preserve"> 3593.4</v>
      </c>
      <c r="N33" s="149" t="s">
        <v>267</v>
      </c>
      <c r="P33" s="256">
        <f>G33*6.4516</f>
        <v>91.698853572557624</v>
      </c>
    </row>
    <row r="34" spans="1:16" ht="15" customHeight="1" thickBot="1">
      <c r="A34" s="262" t="s">
        <v>268</v>
      </c>
      <c r="B34" s="240" t="s">
        <v>269</v>
      </c>
      <c r="C34" s="263">
        <v>10.493613539357248</v>
      </c>
      <c r="D34" s="237" t="s">
        <v>156</v>
      </c>
      <c r="E34" s="264">
        <v>0.32999999523162843</v>
      </c>
      <c r="F34" s="265">
        <v>1995.8101862733499</v>
      </c>
      <c r="G34" s="265">
        <v>5.2578214158488237</v>
      </c>
      <c r="H34" s="266">
        <v>1380.734788879887</v>
      </c>
      <c r="I34" s="260" t="s">
        <v>270</v>
      </c>
      <c r="J34" s="209">
        <v>6.0500001907348633</v>
      </c>
      <c r="P34" s="256">
        <f>G34*6.4516</f>
        <v>33.921360646490271</v>
      </c>
    </row>
    <row r="35" spans="1:16" ht="15" customHeight="1">
      <c r="A35" s="221" t="s">
        <v>271</v>
      </c>
      <c r="B35" s="188"/>
      <c r="C35" s="188"/>
      <c r="D35" s="267" t="s">
        <v>272</v>
      </c>
      <c r="E35" s="268" t="s">
        <v>273</v>
      </c>
      <c r="F35" s="189"/>
      <c r="G35" s="269" t="s">
        <v>274</v>
      </c>
      <c r="H35" s="270" t="s">
        <v>275</v>
      </c>
      <c r="I35" s="197" t="s">
        <v>276</v>
      </c>
      <c r="J35" s="226" t="s">
        <v>277</v>
      </c>
    </row>
    <row r="36" spans="1:16" ht="15" customHeight="1">
      <c r="A36" s="202" t="s">
        <v>278</v>
      </c>
      <c r="B36" s="194">
        <v>25</v>
      </c>
      <c r="C36" s="194">
        <v>50</v>
      </c>
      <c r="D36" s="194">
        <v>75</v>
      </c>
      <c r="E36" s="194">
        <v>100</v>
      </c>
      <c r="F36" s="195">
        <v>125</v>
      </c>
      <c r="G36" s="197" t="s">
        <v>279</v>
      </c>
      <c r="H36" s="226" t="s">
        <v>280</v>
      </c>
      <c r="I36" s="197" t="s">
        <v>281</v>
      </c>
      <c r="J36" s="226" t="s">
        <v>282</v>
      </c>
    </row>
    <row r="37" spans="1:16" ht="15" customHeight="1" thickBot="1">
      <c r="A37" s="197" t="s">
        <v>283</v>
      </c>
      <c r="B37" s="271" t="s">
        <v>284</v>
      </c>
      <c r="C37" s="271" t="s">
        <v>285</v>
      </c>
      <c r="D37" s="271" t="s">
        <v>286</v>
      </c>
      <c r="E37" s="271" t="s">
        <v>287</v>
      </c>
      <c r="F37" s="272" t="s">
        <v>288</v>
      </c>
      <c r="G37" s="197" t="s">
        <v>289</v>
      </c>
      <c r="H37" s="226" t="s">
        <v>290</v>
      </c>
      <c r="I37" s="237" t="s">
        <v>291</v>
      </c>
      <c r="J37" s="273" t="s">
        <v>292</v>
      </c>
      <c r="O37" s="274"/>
    </row>
    <row r="38" spans="1:16" ht="15" customHeight="1" thickBot="1">
      <c r="A38" s="197" t="s">
        <v>293</v>
      </c>
      <c r="B38" s="275" t="s">
        <v>294</v>
      </c>
      <c r="C38" s="275" t="s">
        <v>295</v>
      </c>
      <c r="D38" s="275" t="s">
        <v>296</v>
      </c>
      <c r="E38" s="275" t="s">
        <v>297</v>
      </c>
      <c r="F38" s="276" t="s">
        <v>298</v>
      </c>
      <c r="G38" s="262" t="s">
        <v>299</v>
      </c>
      <c r="H38" s="273" t="s">
        <v>300</v>
      </c>
      <c r="I38" s="277" t="s">
        <v>301</v>
      </c>
      <c r="J38" s="278">
        <v>6926.60009765625</v>
      </c>
      <c r="L38" s="149" t="str">
        <f>LEFT(E38,SEARCH("/",E38,1)-1)</f>
        <v xml:space="preserve">0.953 </v>
      </c>
      <c r="M38" s="149" t="str">
        <f>RIGHT(E38,SEARCH("/",E38,1)-1)</f>
        <v xml:space="preserve"> 0.946</v>
      </c>
      <c r="N38" s="279">
        <f>M38/L38</f>
        <v>0.99265477439664218</v>
      </c>
      <c r="O38" s="274" t="s">
        <v>302</v>
      </c>
    </row>
    <row r="39" spans="1:16" ht="15" customHeight="1">
      <c r="A39" s="197" t="s">
        <v>303</v>
      </c>
      <c r="B39" s="275" t="s">
        <v>304</v>
      </c>
      <c r="C39" s="275" t="s">
        <v>305</v>
      </c>
      <c r="D39" s="275" t="s">
        <v>306</v>
      </c>
      <c r="E39" s="275" t="s">
        <v>307</v>
      </c>
      <c r="F39" s="276" t="s">
        <v>308</v>
      </c>
      <c r="G39" s="221" t="s">
        <v>309</v>
      </c>
      <c r="H39" s="188"/>
      <c r="I39" s="280" t="s">
        <v>310</v>
      </c>
      <c r="J39" s="281" t="s">
        <v>311</v>
      </c>
      <c r="L39" s="149" t="str">
        <f>LEFT(E39,SEARCH("/",E39,1)-1)</f>
        <v xml:space="preserve">0.922 </v>
      </c>
      <c r="M39" s="149" t="str">
        <f>RIGHT(E39,SEARCH("/",E39,1)-1)</f>
        <v xml:space="preserve"> 0.907</v>
      </c>
      <c r="N39" s="279">
        <f>M39/L39</f>
        <v>0.98373101952277653</v>
      </c>
      <c r="O39" s="274" t="s">
        <v>312</v>
      </c>
    </row>
    <row r="40" spans="1:16" ht="15" customHeight="1">
      <c r="A40" s="197" t="s">
        <v>310</v>
      </c>
      <c r="B40" s="282" t="s">
        <v>313</v>
      </c>
      <c r="C40" s="282" t="s">
        <v>314</v>
      </c>
      <c r="D40" s="282" t="s">
        <v>315</v>
      </c>
      <c r="E40" s="282" t="s">
        <v>145</v>
      </c>
      <c r="F40" s="283" t="s">
        <v>316</v>
      </c>
      <c r="G40" s="284" t="s">
        <v>317</v>
      </c>
      <c r="H40" s="285" t="s">
        <v>318</v>
      </c>
      <c r="I40" s="286"/>
      <c r="J40" s="287"/>
      <c r="L40" s="149" t="str">
        <f>LEFT(E37,SEARCH("/",E37,1)-1)</f>
        <v xml:space="preserve">110.29 </v>
      </c>
      <c r="M40" s="149">
        <v>113</v>
      </c>
      <c r="N40" s="279">
        <f>M40/L40</f>
        <v>1.0245715840058027</v>
      </c>
      <c r="O40" s="274" t="s">
        <v>319</v>
      </c>
    </row>
    <row r="41" spans="1:16" ht="15" customHeight="1">
      <c r="A41" s="197" t="s">
        <v>135</v>
      </c>
      <c r="B41" s="288" t="s">
        <v>320</v>
      </c>
      <c r="C41" s="288" t="s">
        <v>321</v>
      </c>
      <c r="D41" s="288" t="s">
        <v>322</v>
      </c>
      <c r="E41" s="288" t="s">
        <v>144</v>
      </c>
      <c r="F41" s="289" t="s">
        <v>323</v>
      </c>
      <c r="G41" s="290" t="s">
        <v>324</v>
      </c>
      <c r="H41" s="291" t="s">
        <v>325</v>
      </c>
      <c r="I41" s="292"/>
      <c r="J41" s="293"/>
      <c r="L41" s="149" t="str">
        <f>LEFT(E41,SEARCH("/",E41,1)-1)</f>
        <v xml:space="preserve">3581.0 </v>
      </c>
      <c r="M41" s="149">
        <v>3580</v>
      </c>
      <c r="N41" s="279">
        <f>M41/L41</f>
        <v>0.99972074839430325</v>
      </c>
      <c r="O41" s="274" t="s">
        <v>135</v>
      </c>
    </row>
    <row r="42" spans="1:16" ht="15" customHeight="1">
      <c r="A42" s="197" t="s">
        <v>326</v>
      </c>
      <c r="B42" s="275">
        <v>7.5916185796382756</v>
      </c>
      <c r="C42" s="275">
        <v>7.5916185796382756</v>
      </c>
      <c r="D42" s="275">
        <v>7.5916185796382756</v>
      </c>
      <c r="E42" s="275">
        <v>7.5916185796382756</v>
      </c>
      <c r="F42" s="276">
        <v>7.5916185796382756</v>
      </c>
      <c r="G42" s="284" t="s">
        <v>327</v>
      </c>
      <c r="H42" s="285" t="s">
        <v>328</v>
      </c>
      <c r="I42" s="286"/>
      <c r="J42" s="294">
        <v>0.22825737294072074</v>
      </c>
    </row>
    <row r="43" spans="1:16" ht="15" customHeight="1" thickBot="1">
      <c r="A43" s="237" t="s">
        <v>329</v>
      </c>
      <c r="B43" s="295">
        <v>7.5916185796382756</v>
      </c>
      <c r="C43" s="296"/>
      <c r="D43" s="297" t="s">
        <v>330</v>
      </c>
      <c r="E43" s="297"/>
      <c r="F43" s="298"/>
      <c r="G43" s="290" t="s">
        <v>324</v>
      </c>
      <c r="H43" s="291" t="s">
        <v>331</v>
      </c>
      <c r="I43" s="292"/>
      <c r="J43" s="293"/>
    </row>
    <row r="44" spans="1:16" ht="15" customHeight="1">
      <c r="A44" s="299" t="s">
        <v>332</v>
      </c>
      <c r="B44" s="300"/>
      <c r="C44" s="172"/>
      <c r="D44" s="172"/>
      <c r="E44" s="299" t="s">
        <v>333</v>
      </c>
      <c r="F44" s="301"/>
      <c r="G44" s="284" t="s">
        <v>334</v>
      </c>
      <c r="H44" s="302">
        <v>2231.6286948180291</v>
      </c>
      <c r="I44" s="303">
        <v>3.6901222281739816E-2</v>
      </c>
      <c r="J44" s="294">
        <v>0.63816164390583019</v>
      </c>
    </row>
    <row r="45" spans="1:16" ht="15" customHeight="1">
      <c r="A45" s="197" t="s">
        <v>335</v>
      </c>
      <c r="B45" s="198">
        <v>0.27205443382263184</v>
      </c>
      <c r="C45" s="304" t="s">
        <v>336</v>
      </c>
      <c r="D45" s="232">
        <v>8.2083912566304207E-3</v>
      </c>
      <c r="E45" s="197" t="s">
        <v>337</v>
      </c>
      <c r="F45" s="226">
        <v>293.11382997638202</v>
      </c>
      <c r="G45" s="305" t="s">
        <v>324</v>
      </c>
      <c r="H45" s="306" t="s">
        <v>338</v>
      </c>
      <c r="I45" s="307"/>
      <c r="J45" s="236"/>
    </row>
    <row r="46" spans="1:16" ht="15" customHeight="1">
      <c r="A46" s="197" t="s">
        <v>339</v>
      </c>
      <c r="B46" s="198">
        <v>0.14298376441001892</v>
      </c>
      <c r="C46" s="304" t="s">
        <v>340</v>
      </c>
      <c r="D46" s="232">
        <v>5.2836346440017223E-3</v>
      </c>
      <c r="E46" s="197" t="s">
        <v>341</v>
      </c>
      <c r="F46" s="226">
        <v>543.97467960719473</v>
      </c>
      <c r="G46" s="290" t="s">
        <v>342</v>
      </c>
      <c r="H46" s="308">
        <v>486.10347547711251</v>
      </c>
      <c r="I46" s="292"/>
      <c r="J46" s="293"/>
      <c r="L46" s="309" t="s">
        <v>343</v>
      </c>
      <c r="M46" s="310">
        <f>B5^0.95</f>
        <v>640.51661373893785</v>
      </c>
    </row>
    <row r="47" spans="1:16" ht="15" customHeight="1">
      <c r="A47" s="197" t="s">
        <v>344</v>
      </c>
      <c r="B47" s="198">
        <v>0.41503819823265076</v>
      </c>
      <c r="C47" s="304" t="s">
        <v>345</v>
      </c>
      <c r="D47" s="232">
        <v>2.0107237622141838E-2</v>
      </c>
      <c r="E47" s="197" t="s">
        <v>346</v>
      </c>
      <c r="F47" s="226">
        <v>230.78859059220429</v>
      </c>
      <c r="G47" s="311" t="s">
        <v>347</v>
      </c>
      <c r="H47" s="302">
        <v>2150.8747905589462</v>
      </c>
      <c r="I47" s="303">
        <v>3.5498137959514495E-2</v>
      </c>
      <c r="J47" s="312">
        <v>0.65136675103825448</v>
      </c>
      <c r="L47" s="309" t="s">
        <v>348</v>
      </c>
      <c r="M47" s="310">
        <f>B5^1.5</f>
        <v>27000.001472698143</v>
      </c>
    </row>
    <row r="48" spans="1:16" ht="15" customHeight="1">
      <c r="A48" s="197" t="s">
        <v>349</v>
      </c>
      <c r="B48" s="198">
        <v>1.3176520355045795E-2</v>
      </c>
      <c r="C48" s="304" t="s">
        <v>260</v>
      </c>
      <c r="D48" s="232">
        <v>4.6775784343481064E-2</v>
      </c>
      <c r="E48" s="197" t="s">
        <v>350</v>
      </c>
      <c r="F48" s="226">
        <v>58.130199782440997</v>
      </c>
      <c r="G48" s="313" t="s">
        <v>324</v>
      </c>
      <c r="H48" s="306">
        <v>320.35667446334043</v>
      </c>
      <c r="I48" s="307"/>
      <c r="J48" s="236"/>
      <c r="L48" s="309" t="s">
        <v>351</v>
      </c>
      <c r="M48" s="314">
        <f>IF(A5="",0,(7200/(1000*A5))^2.4)</f>
        <v>21.633460842025631</v>
      </c>
    </row>
    <row r="49" spans="1:13" ht="15" customHeight="1" thickBot="1">
      <c r="A49" s="251"/>
      <c r="B49" s="315"/>
      <c r="C49" s="316" t="s">
        <v>352</v>
      </c>
      <c r="D49" s="241">
        <v>0.95322424173355103</v>
      </c>
      <c r="E49" s="237" t="s">
        <v>353</v>
      </c>
      <c r="F49" s="273">
        <v>146.25760930716916</v>
      </c>
      <c r="G49" s="317" t="s">
        <v>342</v>
      </c>
      <c r="H49" s="308">
        <v>476.60237080034426</v>
      </c>
      <c r="I49" s="292"/>
      <c r="J49" s="318"/>
      <c r="L49" s="309" t="s">
        <v>354</v>
      </c>
      <c r="M49" s="314">
        <f>IF(A5="",0,(7200/(1000*A5))^1.8)</f>
        <v>10.031006258647469</v>
      </c>
    </row>
    <row r="50" spans="1:13" ht="15" customHeight="1">
      <c r="A50" s="221" t="s">
        <v>355</v>
      </c>
      <c r="B50" s="188"/>
      <c r="C50" s="188"/>
      <c r="D50" s="188"/>
      <c r="E50" s="188"/>
      <c r="F50" s="189"/>
      <c r="G50" s="221" t="s">
        <v>356</v>
      </c>
      <c r="H50" s="188"/>
      <c r="I50" s="245"/>
      <c r="J50" s="258"/>
      <c r="L50" s="309" t="s">
        <v>357</v>
      </c>
      <c r="M50" s="319">
        <f>IF(A5=2,27,24)</f>
        <v>27</v>
      </c>
    </row>
    <row r="51" spans="1:13" ht="15" customHeight="1">
      <c r="A51" s="197" t="s">
        <v>358</v>
      </c>
      <c r="B51" s="203">
        <v>38</v>
      </c>
      <c r="C51" s="260" t="s">
        <v>359</v>
      </c>
      <c r="D51" s="200" t="s">
        <v>38</v>
      </c>
      <c r="E51" s="260" t="s">
        <v>360</v>
      </c>
      <c r="F51" s="209" t="s">
        <v>38</v>
      </c>
      <c r="G51" s="260" t="s">
        <v>361</v>
      </c>
      <c r="H51" s="233">
        <v>7.1812152961975018E-2</v>
      </c>
      <c r="I51" s="320" t="s">
        <v>362</v>
      </c>
      <c r="J51" s="242"/>
      <c r="L51" s="309" t="s">
        <v>363</v>
      </c>
      <c r="M51" s="319">
        <v>6.8500000000000005E-2</v>
      </c>
    </row>
    <row r="52" spans="1:13" ht="15" customHeight="1">
      <c r="A52" s="197" t="s">
        <v>205</v>
      </c>
      <c r="B52" s="200">
        <v>36.409999847412109</v>
      </c>
      <c r="C52" s="260" t="s">
        <v>364</v>
      </c>
      <c r="D52" s="200" t="s">
        <v>38</v>
      </c>
      <c r="E52" s="260" t="s">
        <v>365</v>
      </c>
      <c r="F52" s="209" t="s">
        <v>38</v>
      </c>
      <c r="G52" s="260" t="s">
        <v>366</v>
      </c>
      <c r="H52" s="200">
        <v>54966.016828458021</v>
      </c>
      <c r="I52" s="321" t="s">
        <v>367</v>
      </c>
      <c r="J52" s="322"/>
      <c r="L52" s="309" t="s">
        <v>368</v>
      </c>
      <c r="M52" s="323">
        <f>F5</f>
        <v>60</v>
      </c>
    </row>
    <row r="53" spans="1:13" ht="15" customHeight="1">
      <c r="A53" s="197" t="s">
        <v>213</v>
      </c>
      <c r="B53" s="200">
        <v>3</v>
      </c>
      <c r="C53" s="260" t="s">
        <v>369</v>
      </c>
      <c r="D53" s="200" t="s">
        <v>38</v>
      </c>
      <c r="E53" s="260" t="s">
        <v>370</v>
      </c>
      <c r="F53" s="209" t="s">
        <v>38</v>
      </c>
      <c r="G53" s="260" t="s">
        <v>371</v>
      </c>
      <c r="H53" s="198">
        <v>29.839634627025486</v>
      </c>
      <c r="I53" s="320" t="s">
        <v>372</v>
      </c>
      <c r="J53" s="242"/>
      <c r="L53" s="309" t="s">
        <v>373</v>
      </c>
      <c r="M53" s="250">
        <f>IF(F5=60,M50*M46/M48-M51*M47/M49,IF(F5&lt;&gt;60,(60/M52)^2*(M50*M46/M48-M51*M47/M49),0))</f>
        <v>615.02907284660466</v>
      </c>
    </row>
    <row r="54" spans="1:13" ht="15" customHeight="1">
      <c r="A54" s="197" t="s">
        <v>216</v>
      </c>
      <c r="B54" s="200">
        <v>3</v>
      </c>
      <c r="C54" s="260" t="s">
        <v>374</v>
      </c>
      <c r="D54" s="200" t="s">
        <v>38</v>
      </c>
      <c r="E54" s="260" t="s">
        <v>370</v>
      </c>
      <c r="F54" s="209" t="s">
        <v>38</v>
      </c>
      <c r="G54" s="260" t="s">
        <v>375</v>
      </c>
      <c r="H54" s="217">
        <v>181804.5</v>
      </c>
      <c r="I54" s="324" t="s">
        <v>376</v>
      </c>
      <c r="J54" s="293" t="s">
        <v>377</v>
      </c>
    </row>
    <row r="55" spans="1:13" ht="15" customHeight="1">
      <c r="A55" s="197" t="s">
        <v>378</v>
      </c>
      <c r="B55" s="200">
        <v>14.119999885559082</v>
      </c>
      <c r="C55" s="260" t="s">
        <v>379</v>
      </c>
      <c r="D55" s="200" t="s">
        <v>38</v>
      </c>
      <c r="E55" s="260" t="s">
        <v>380</v>
      </c>
      <c r="F55" s="209" t="s">
        <v>38</v>
      </c>
      <c r="G55" s="260" t="s">
        <v>381</v>
      </c>
      <c r="H55" s="200">
        <v>1</v>
      </c>
      <c r="I55" s="320" t="s">
        <v>382</v>
      </c>
      <c r="J55" s="242"/>
    </row>
    <row r="56" spans="1:13" ht="15" customHeight="1" thickBot="1">
      <c r="A56" s="237" t="s">
        <v>383</v>
      </c>
      <c r="B56" s="238" t="s">
        <v>38</v>
      </c>
      <c r="C56" s="325" t="s">
        <v>384</v>
      </c>
      <c r="D56" s="238" t="s">
        <v>38</v>
      </c>
      <c r="E56" s="325" t="s">
        <v>385</v>
      </c>
      <c r="F56" s="239" t="s">
        <v>38</v>
      </c>
      <c r="G56" s="325" t="s">
        <v>386</v>
      </c>
      <c r="H56" s="240">
        <v>0.68740624999999989</v>
      </c>
      <c r="I56" s="326" t="s">
        <v>387</v>
      </c>
      <c r="J56" s="318" t="s">
        <v>388</v>
      </c>
    </row>
    <row r="57" spans="1:13" ht="15" customHeight="1">
      <c r="A57" s="183" t="s">
        <v>389</v>
      </c>
      <c r="B57" s="245"/>
      <c r="C57" s="245"/>
      <c r="D57" s="245"/>
      <c r="E57" s="245"/>
      <c r="F57" s="258"/>
      <c r="G57" s="327"/>
      <c r="H57" s="328"/>
      <c r="I57" s="328"/>
      <c r="J57" s="329"/>
    </row>
    <row r="58" spans="1:13" ht="15" customHeight="1">
      <c r="A58" s="330" t="s">
        <v>310</v>
      </c>
      <c r="B58" s="194" t="s">
        <v>390</v>
      </c>
      <c r="C58" s="195" t="s">
        <v>391</v>
      </c>
      <c r="D58" s="194" t="s">
        <v>310</v>
      </c>
      <c r="E58" s="194" t="s">
        <v>390</v>
      </c>
      <c r="F58" s="195" t="s">
        <v>392</v>
      </c>
      <c r="G58" s="331"/>
      <c r="H58" s="332"/>
      <c r="I58" s="332"/>
      <c r="J58" s="333"/>
    </row>
    <row r="59" spans="1:13" ht="15" customHeight="1">
      <c r="A59" s="334">
        <v>0</v>
      </c>
      <c r="B59" s="306">
        <v>0</v>
      </c>
      <c r="C59" s="335">
        <v>0.24348856508731842</v>
      </c>
      <c r="D59" s="336">
        <v>0.69999998807907104</v>
      </c>
      <c r="E59" s="306">
        <v>120.05618911523686</v>
      </c>
      <c r="F59" s="335">
        <v>640.70672607421875</v>
      </c>
      <c r="G59" s="331"/>
      <c r="H59" s="332"/>
      <c r="I59" s="332"/>
      <c r="J59" s="333"/>
    </row>
    <row r="60" spans="1:13" ht="15" customHeight="1">
      <c r="A60" s="337">
        <v>7.9999994486570358E-3</v>
      </c>
      <c r="B60" s="306">
        <v>157.04400644116546</v>
      </c>
      <c r="C60" s="335">
        <v>168.99800109863281</v>
      </c>
      <c r="D60" s="336">
        <v>0.80000001192092896</v>
      </c>
      <c r="E60" s="306">
        <v>120.07848365900892</v>
      </c>
      <c r="F60" s="335">
        <v>643.72344970703125</v>
      </c>
      <c r="G60" s="331"/>
      <c r="H60" s="332"/>
      <c r="I60" s="332"/>
      <c r="J60" s="333"/>
    </row>
    <row r="61" spans="1:13" ht="15" customHeight="1">
      <c r="A61" s="337">
        <v>3.9999999105930328E-2</v>
      </c>
      <c r="B61" s="306">
        <v>295</v>
      </c>
      <c r="C61" s="335">
        <v>501.40765380859375</v>
      </c>
      <c r="D61" s="336">
        <v>0.89999997615814209</v>
      </c>
      <c r="E61" s="306">
        <v>120.10485098150394</v>
      </c>
      <c r="F61" s="335">
        <v>646.361328125</v>
      </c>
      <c r="G61" s="331"/>
      <c r="H61" s="332"/>
      <c r="I61" s="332"/>
      <c r="J61" s="333"/>
    </row>
    <row r="62" spans="1:13" ht="15" customHeight="1">
      <c r="A62" s="334">
        <v>9.1428570449352264E-2</v>
      </c>
      <c r="B62" s="306">
        <v>193.78967114362311</v>
      </c>
      <c r="C62" s="335">
        <v>585.61541748046875</v>
      </c>
      <c r="D62" s="338">
        <v>1</v>
      </c>
      <c r="E62" s="306">
        <v>120</v>
      </c>
      <c r="F62" s="335">
        <v>648.672607421875</v>
      </c>
      <c r="G62" s="331"/>
      <c r="H62" s="332"/>
      <c r="I62" s="332"/>
      <c r="J62" s="333"/>
    </row>
    <row r="63" spans="1:13" ht="15" customHeight="1" thickBot="1">
      <c r="A63" s="334">
        <v>0.1428571492433548</v>
      </c>
      <c r="B63" s="306">
        <v>151.41916369889555</v>
      </c>
      <c r="C63" s="335">
        <v>607.5997314453125</v>
      </c>
      <c r="D63" s="339"/>
      <c r="E63" s="340"/>
      <c r="F63" s="341"/>
      <c r="G63" s="331"/>
      <c r="H63" s="332"/>
      <c r="I63" s="332"/>
      <c r="J63" s="333"/>
    </row>
    <row r="64" spans="1:13" ht="15" customHeight="1">
      <c r="A64" s="334">
        <v>0.19428572058677673</v>
      </c>
      <c r="B64" s="306">
        <v>134.44616713254499</v>
      </c>
      <c r="C64" s="335">
        <v>616.3992919921875</v>
      </c>
      <c r="D64" s="342" t="s">
        <v>393</v>
      </c>
      <c r="E64" s="343"/>
      <c r="F64" s="343"/>
      <c r="G64" s="331"/>
      <c r="H64" s="332"/>
      <c r="I64" s="332"/>
      <c r="J64" s="333"/>
    </row>
    <row r="65" spans="1:10" ht="15" customHeight="1">
      <c r="A65" s="334">
        <v>0.29714286327362061</v>
      </c>
      <c r="B65" s="306">
        <v>124.13881799241939</v>
      </c>
      <c r="C65" s="335">
        <v>624.29315185546875</v>
      </c>
      <c r="D65" s="344" t="s">
        <v>394</v>
      </c>
      <c r="E65" s="345" t="s">
        <v>395</v>
      </c>
      <c r="F65" s="345"/>
      <c r="G65" s="331"/>
      <c r="H65" s="332"/>
      <c r="I65" s="332"/>
      <c r="J65" s="333"/>
    </row>
    <row r="66" spans="1:10" ht="15" customHeight="1">
      <c r="A66" s="334">
        <v>0.40000000596046448</v>
      </c>
      <c r="B66" s="306">
        <v>120</v>
      </c>
      <c r="C66" s="335">
        <v>629.18438720703125</v>
      </c>
      <c r="D66" s="344" t="s">
        <v>396</v>
      </c>
      <c r="E66" s="345" t="s">
        <v>397</v>
      </c>
      <c r="F66" s="345"/>
      <c r="G66" s="331"/>
      <c r="H66" s="332"/>
      <c r="I66" s="332"/>
      <c r="J66" s="333"/>
    </row>
    <row r="67" spans="1:10" ht="15" customHeight="1">
      <c r="A67" s="334">
        <v>0.5</v>
      </c>
      <c r="B67" s="306">
        <v>120.03155069628426</v>
      </c>
      <c r="C67" s="335">
        <v>633.42730712890625</v>
      </c>
      <c r="D67" s="344" t="s">
        <v>398</v>
      </c>
      <c r="E67" s="345" t="s">
        <v>399</v>
      </c>
      <c r="F67" s="345"/>
      <c r="G67" s="331"/>
      <c r="H67" s="332"/>
      <c r="I67" s="332"/>
      <c r="J67" s="333"/>
    </row>
    <row r="68" spans="1:10" ht="15" customHeight="1" thickBot="1">
      <c r="A68" s="346">
        <v>0.60000002384185791</v>
      </c>
      <c r="B68" s="340">
        <v>120.04209458685628</v>
      </c>
      <c r="C68" s="347">
        <v>637.274658203125</v>
      </c>
      <c r="D68" s="348" t="s">
        <v>400</v>
      </c>
      <c r="E68" s="349" t="s">
        <v>401</v>
      </c>
      <c r="F68" s="349"/>
      <c r="G68" s="350"/>
      <c r="H68" s="351"/>
      <c r="I68" s="351"/>
      <c r="J68" s="352"/>
    </row>
    <row r="69" spans="1:10" ht="15" customHeight="1">
      <c r="A69" s="353"/>
      <c r="B69" s="354"/>
      <c r="C69" s="332"/>
      <c r="D69" s="332"/>
      <c r="E69" s="332"/>
      <c r="F69" s="332"/>
      <c r="G69" s="332"/>
      <c r="H69" s="332"/>
      <c r="I69" s="332"/>
      <c r="J69" s="332"/>
    </row>
    <row r="70" spans="1:10" ht="15" customHeight="1">
      <c r="A70" s="332"/>
      <c r="B70" s="332"/>
      <c r="C70" s="332"/>
      <c r="D70" s="332"/>
      <c r="E70" s="332"/>
      <c r="F70" s="332"/>
      <c r="G70" s="332"/>
      <c r="H70" s="332"/>
      <c r="I70" s="332"/>
      <c r="J70" s="332"/>
    </row>
    <row r="71" spans="1:10">
      <c r="A71" s="172"/>
      <c r="B71" s="172"/>
      <c r="C71" s="172"/>
      <c r="D71" s="172"/>
      <c r="E71" s="172"/>
      <c r="F71" s="172"/>
      <c r="G71" s="172"/>
      <c r="H71" s="172"/>
      <c r="I71" s="172"/>
      <c r="J71" s="172"/>
    </row>
    <row r="99" spans="1:9">
      <c r="A99" s="355" t="s">
        <v>402</v>
      </c>
      <c r="B99" s="355" t="s">
        <v>403</v>
      </c>
      <c r="C99" s="355" t="s">
        <v>404</v>
      </c>
      <c r="D99" s="355" t="s">
        <v>405</v>
      </c>
      <c r="E99" s="355" t="s">
        <v>406</v>
      </c>
      <c r="F99" s="355"/>
      <c r="G99" s="355"/>
      <c r="H99" s="355"/>
      <c r="I99" s="355"/>
    </row>
    <row r="100" spans="1:9">
      <c r="A100" s="355">
        <v>97</v>
      </c>
      <c r="B100" s="355">
        <v>0</v>
      </c>
      <c r="C100" s="355">
        <v>25.588212966918945</v>
      </c>
      <c r="D100" s="355">
        <v>0</v>
      </c>
      <c r="E100" s="355">
        <v>20.470571517944336</v>
      </c>
      <c r="F100" s="355"/>
      <c r="G100" s="355"/>
      <c r="H100" s="355"/>
      <c r="I100" s="355"/>
    </row>
    <row r="101" spans="1:9">
      <c r="A101" s="355">
        <v>95.080001831054688</v>
      </c>
      <c r="B101" s="355">
        <v>135.82736317936315</v>
      </c>
      <c r="C101" s="355">
        <v>157.16813659667969</v>
      </c>
      <c r="D101" s="355">
        <v>100.50816705787673</v>
      </c>
      <c r="E101" s="355">
        <v>135.19841003417969</v>
      </c>
      <c r="F101" s="355"/>
      <c r="G101" s="355"/>
      <c r="H101" s="355"/>
      <c r="I101" s="355"/>
    </row>
    <row r="102" spans="1:9">
      <c r="A102" s="355">
        <v>91.900001525878906</v>
      </c>
      <c r="B102" s="355">
        <v>255.14550392460825</v>
      </c>
      <c r="C102" s="355">
        <v>466.30911254882813</v>
      </c>
      <c r="D102" s="355">
        <v>188.80000562667851</v>
      </c>
      <c r="E102" s="355">
        <v>401.12612915039063</v>
      </c>
      <c r="F102" s="355"/>
      <c r="G102" s="355"/>
      <c r="H102" s="355"/>
      <c r="I102" s="355"/>
    </row>
    <row r="103" spans="1:9">
      <c r="A103" s="355">
        <v>83.128570556640625</v>
      </c>
      <c r="B103" s="355">
        <v>167.60869062744709</v>
      </c>
      <c r="C103" s="355">
        <v>544.622314453125</v>
      </c>
      <c r="D103" s="355">
        <v>124.0253943212447</v>
      </c>
      <c r="E103" s="355">
        <v>468.49234008789063</v>
      </c>
      <c r="F103" s="355"/>
      <c r="G103" s="355"/>
      <c r="H103" s="355"/>
      <c r="I103" s="355"/>
    </row>
    <row r="104" spans="1:9">
      <c r="A104" s="355">
        <v>72.842857360839844</v>
      </c>
      <c r="B104" s="355">
        <v>130.96243257779815</v>
      </c>
      <c r="C104" s="355">
        <v>565.0677490234375</v>
      </c>
      <c r="D104" s="355">
        <v>96.908264606841286</v>
      </c>
      <c r="E104" s="355">
        <v>486.07980346679688</v>
      </c>
      <c r="F104" s="355"/>
      <c r="G104" s="355"/>
      <c r="H104" s="355"/>
      <c r="I104" s="355"/>
    </row>
    <row r="105" spans="1:9">
      <c r="A105" s="355">
        <v>64.668571472167969</v>
      </c>
      <c r="B105" s="355">
        <v>116.28249162018207</v>
      </c>
      <c r="C105" s="355">
        <v>573.2513427734375</v>
      </c>
      <c r="D105" s="355">
        <v>86.045549439357146</v>
      </c>
      <c r="E105" s="355">
        <v>493.11944580078125</v>
      </c>
      <c r="F105" s="355"/>
      <c r="G105" s="355"/>
      <c r="H105" s="355"/>
      <c r="I105" s="355"/>
    </row>
    <row r="106" spans="1:9">
      <c r="A106" s="355">
        <v>41.068572998046875</v>
      </c>
      <c r="B106" s="355">
        <v>107.36766433080339</v>
      </c>
      <c r="C106" s="355">
        <v>580.5926513671875</v>
      </c>
      <c r="D106" s="355">
        <v>79.448845141197538</v>
      </c>
      <c r="E106" s="355">
        <v>499.43453979492188</v>
      </c>
      <c r="F106" s="355"/>
      <c r="G106" s="355"/>
      <c r="H106" s="355"/>
      <c r="I106" s="355"/>
    </row>
    <row r="107" spans="1:9">
      <c r="A107" s="355">
        <v>38</v>
      </c>
      <c r="B107" s="355">
        <v>103.78800159645081</v>
      </c>
      <c r="C107" s="355">
        <v>585.1414794921875</v>
      </c>
      <c r="D107" s="355">
        <v>76.800002288818376</v>
      </c>
      <c r="E107" s="355">
        <v>503.34750366210938</v>
      </c>
      <c r="F107" s="355"/>
      <c r="G107" s="355"/>
      <c r="H107" s="355"/>
      <c r="I107" s="355"/>
    </row>
    <row r="108" spans="1:9">
      <c r="A108" s="355">
        <v>25</v>
      </c>
      <c r="B108" s="355">
        <v>103.81528706974039</v>
      </c>
      <c r="C108" s="355">
        <v>589.08740234375</v>
      </c>
      <c r="D108" s="355">
        <v>76.820192719107595</v>
      </c>
      <c r="E108" s="355">
        <v>506.74185180664063</v>
      </c>
      <c r="F108" s="355"/>
      <c r="G108" s="355"/>
      <c r="H108" s="355"/>
      <c r="I108" s="355"/>
    </row>
    <row r="109" spans="1:9">
      <c r="A109" s="355">
        <v>14.999999046325684</v>
      </c>
      <c r="B109" s="355">
        <v>103.82440642260282</v>
      </c>
      <c r="C109" s="355">
        <v>592.66546630859375</v>
      </c>
      <c r="D109" s="355">
        <v>76.826940766183711</v>
      </c>
      <c r="E109" s="355">
        <v>509.81973266601563</v>
      </c>
      <c r="F109" s="355"/>
      <c r="G109" s="355"/>
      <c r="H109" s="355"/>
      <c r="I109" s="355"/>
    </row>
    <row r="110" spans="1:9">
      <c r="A110" s="355">
        <v>10.100000381469727</v>
      </c>
      <c r="B110" s="355">
        <v>103.83660075262438</v>
      </c>
      <c r="C110" s="355">
        <v>595.85723876953125</v>
      </c>
      <c r="D110" s="355">
        <v>76.835964203952628</v>
      </c>
      <c r="E110" s="355">
        <v>512.56536865234375</v>
      </c>
      <c r="F110" s="355"/>
      <c r="G110" s="355"/>
      <c r="H110" s="355"/>
      <c r="I110" s="355"/>
    </row>
    <row r="111" spans="1:9">
      <c r="A111" s="355">
        <v>9.1000003814697266</v>
      </c>
      <c r="B111" s="355">
        <v>103.85588204717145</v>
      </c>
      <c r="C111" s="355">
        <v>598.662841796875</v>
      </c>
      <c r="D111" s="355">
        <v>76.850231782502831</v>
      </c>
      <c r="E111" s="355">
        <v>514.978759765625</v>
      </c>
      <c r="F111" s="355"/>
      <c r="G111" s="355"/>
      <c r="H111" s="355"/>
      <c r="I111" s="355"/>
    </row>
    <row r="112" spans="1:9">
      <c r="A112" s="355">
        <v>8.399998664855957</v>
      </c>
      <c r="B112" s="355">
        <v>103.87868702799098</v>
      </c>
      <c r="C112" s="355">
        <v>601.11602783203125</v>
      </c>
      <c r="D112" s="355">
        <v>76.867106783005752</v>
      </c>
      <c r="E112" s="355">
        <v>517.08905029296875</v>
      </c>
      <c r="F112" s="355"/>
      <c r="G112" s="355"/>
      <c r="H112" s="355"/>
      <c r="I112" s="355"/>
    </row>
    <row r="113" spans="1:9">
      <c r="A113" s="355">
        <v>11.5</v>
      </c>
      <c r="B113" s="355">
        <v>103.78800159645081</v>
      </c>
      <c r="C113" s="355">
        <v>603.2655029296875</v>
      </c>
      <c r="D113" s="355">
        <v>76.800002288818376</v>
      </c>
      <c r="E113" s="355">
        <v>518.9381103515625</v>
      </c>
      <c r="F113" s="355"/>
      <c r="G113" s="355"/>
      <c r="H113" s="355"/>
      <c r="I113" s="355"/>
    </row>
  </sheetData>
  <printOptions horizontalCentered="1"/>
  <pageMargins left="0.86614173228346503" right="0" top="0.23622047244094499" bottom="0.23622047244094499" header="0" footer="0"/>
  <pageSetup scale="74" orientation="portrait" horizontalDpi="4294967292"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FE7C-4832-4655-8A3A-1D22D6AC86C6}">
  <sheetPr>
    <pageSetUpPr fitToPage="1"/>
  </sheetPr>
  <dimension ref="A1:Z53"/>
  <sheetViews>
    <sheetView tabSelected="1" topLeftCell="A29" zoomScaleNormal="100" workbookViewId="0">
      <selection activeCell="O48" sqref="O48"/>
    </sheetView>
  </sheetViews>
  <sheetFormatPr defaultRowHeight="15.75"/>
  <cols>
    <col min="1" max="1" width="8.296875" style="502" customWidth="1"/>
    <col min="2" max="2" width="4.296875" style="502" customWidth="1"/>
    <col min="3" max="3" width="5.19921875" style="502" customWidth="1"/>
    <col min="4" max="5" width="8.796875" style="502" customWidth="1"/>
    <col min="6" max="6" width="6.59765625" style="502" customWidth="1"/>
    <col min="7" max="7" width="4" style="502" customWidth="1"/>
    <col min="8" max="8" width="5.5" style="502" customWidth="1"/>
    <col min="9" max="9" width="4.59765625" style="502" customWidth="1"/>
    <col min="10" max="11" width="8.3984375" style="502" customWidth="1"/>
    <col min="12" max="26" width="8.796875" style="356"/>
    <col min="27" max="256" width="8.796875" style="357"/>
    <col min="257" max="257" width="8.296875" style="357" customWidth="1"/>
    <col min="258" max="258" width="4.296875" style="357" customWidth="1"/>
    <col min="259" max="259" width="5.19921875" style="357" customWidth="1"/>
    <col min="260" max="261" width="8.796875" style="357"/>
    <col min="262" max="262" width="6.59765625" style="357" customWidth="1"/>
    <col min="263" max="263" width="4" style="357" customWidth="1"/>
    <col min="264" max="264" width="5.5" style="357" customWidth="1"/>
    <col min="265" max="265" width="4.59765625" style="357" customWidth="1"/>
    <col min="266" max="267" width="8.3984375" style="357" customWidth="1"/>
    <col min="268" max="512" width="8.796875" style="357"/>
    <col min="513" max="513" width="8.296875" style="357" customWidth="1"/>
    <col min="514" max="514" width="4.296875" style="357" customWidth="1"/>
    <col min="515" max="515" width="5.19921875" style="357" customWidth="1"/>
    <col min="516" max="517" width="8.796875" style="357"/>
    <col min="518" max="518" width="6.59765625" style="357" customWidth="1"/>
    <col min="519" max="519" width="4" style="357" customWidth="1"/>
    <col min="520" max="520" width="5.5" style="357" customWidth="1"/>
    <col min="521" max="521" width="4.59765625" style="357" customWidth="1"/>
    <col min="522" max="523" width="8.3984375" style="357" customWidth="1"/>
    <col min="524" max="768" width="8.796875" style="357"/>
    <col min="769" max="769" width="8.296875" style="357" customWidth="1"/>
    <col min="770" max="770" width="4.296875" style="357" customWidth="1"/>
    <col min="771" max="771" width="5.19921875" style="357" customWidth="1"/>
    <col min="772" max="773" width="8.796875" style="357"/>
    <col min="774" max="774" width="6.59765625" style="357" customWidth="1"/>
    <col min="775" max="775" width="4" style="357" customWidth="1"/>
    <col min="776" max="776" width="5.5" style="357" customWidth="1"/>
    <col min="777" max="777" width="4.59765625" style="357" customWidth="1"/>
    <col min="778" max="779" width="8.3984375" style="357" customWidth="1"/>
    <col min="780" max="1024" width="8.796875" style="357"/>
    <col min="1025" max="1025" width="8.296875" style="357" customWidth="1"/>
    <col min="1026" max="1026" width="4.296875" style="357" customWidth="1"/>
    <col min="1027" max="1027" width="5.19921875" style="357" customWidth="1"/>
    <col min="1028" max="1029" width="8.796875" style="357"/>
    <col min="1030" max="1030" width="6.59765625" style="357" customWidth="1"/>
    <col min="1031" max="1031" width="4" style="357" customWidth="1"/>
    <col min="1032" max="1032" width="5.5" style="357" customWidth="1"/>
    <col min="1033" max="1033" width="4.59765625" style="357" customWidth="1"/>
    <col min="1034" max="1035" width="8.3984375" style="357" customWidth="1"/>
    <col min="1036" max="1280" width="8.796875" style="357"/>
    <col min="1281" max="1281" width="8.296875" style="357" customWidth="1"/>
    <col min="1282" max="1282" width="4.296875" style="357" customWidth="1"/>
    <col min="1283" max="1283" width="5.19921875" style="357" customWidth="1"/>
    <col min="1284" max="1285" width="8.796875" style="357"/>
    <col min="1286" max="1286" width="6.59765625" style="357" customWidth="1"/>
    <col min="1287" max="1287" width="4" style="357" customWidth="1"/>
    <col min="1288" max="1288" width="5.5" style="357" customWidth="1"/>
    <col min="1289" max="1289" width="4.59765625" style="357" customWidth="1"/>
    <col min="1290" max="1291" width="8.3984375" style="357" customWidth="1"/>
    <col min="1292" max="1536" width="8.796875" style="357"/>
    <col min="1537" max="1537" width="8.296875" style="357" customWidth="1"/>
    <col min="1538" max="1538" width="4.296875" style="357" customWidth="1"/>
    <col min="1539" max="1539" width="5.19921875" style="357" customWidth="1"/>
    <col min="1540" max="1541" width="8.796875" style="357"/>
    <col min="1542" max="1542" width="6.59765625" style="357" customWidth="1"/>
    <col min="1543" max="1543" width="4" style="357" customWidth="1"/>
    <col min="1544" max="1544" width="5.5" style="357" customWidth="1"/>
    <col min="1545" max="1545" width="4.59765625" style="357" customWidth="1"/>
    <col min="1546" max="1547" width="8.3984375" style="357" customWidth="1"/>
    <col min="1548" max="1792" width="8.796875" style="357"/>
    <col min="1793" max="1793" width="8.296875" style="357" customWidth="1"/>
    <col min="1794" max="1794" width="4.296875" style="357" customWidth="1"/>
    <col min="1795" max="1795" width="5.19921875" style="357" customWidth="1"/>
    <col min="1796" max="1797" width="8.796875" style="357"/>
    <col min="1798" max="1798" width="6.59765625" style="357" customWidth="1"/>
    <col min="1799" max="1799" width="4" style="357" customWidth="1"/>
    <col min="1800" max="1800" width="5.5" style="357" customWidth="1"/>
    <col min="1801" max="1801" width="4.59765625" style="357" customWidth="1"/>
    <col min="1802" max="1803" width="8.3984375" style="357" customWidth="1"/>
    <col min="1804" max="2048" width="8.796875" style="357"/>
    <col min="2049" max="2049" width="8.296875" style="357" customWidth="1"/>
    <col min="2050" max="2050" width="4.296875" style="357" customWidth="1"/>
    <col min="2051" max="2051" width="5.19921875" style="357" customWidth="1"/>
    <col min="2052" max="2053" width="8.796875" style="357"/>
    <col min="2054" max="2054" width="6.59765625" style="357" customWidth="1"/>
    <col min="2055" max="2055" width="4" style="357" customWidth="1"/>
    <col min="2056" max="2056" width="5.5" style="357" customWidth="1"/>
    <col min="2057" max="2057" width="4.59765625" style="357" customWidth="1"/>
    <col min="2058" max="2059" width="8.3984375" style="357" customWidth="1"/>
    <col min="2060" max="2304" width="8.796875" style="357"/>
    <col min="2305" max="2305" width="8.296875" style="357" customWidth="1"/>
    <col min="2306" max="2306" width="4.296875" style="357" customWidth="1"/>
    <col min="2307" max="2307" width="5.19921875" style="357" customWidth="1"/>
    <col min="2308" max="2309" width="8.796875" style="357"/>
    <col min="2310" max="2310" width="6.59765625" style="357" customWidth="1"/>
    <col min="2311" max="2311" width="4" style="357" customWidth="1"/>
    <col min="2312" max="2312" width="5.5" style="357" customWidth="1"/>
    <col min="2313" max="2313" width="4.59765625" style="357" customWidth="1"/>
    <col min="2314" max="2315" width="8.3984375" style="357" customWidth="1"/>
    <col min="2316" max="2560" width="8.796875" style="357"/>
    <col min="2561" max="2561" width="8.296875" style="357" customWidth="1"/>
    <col min="2562" max="2562" width="4.296875" style="357" customWidth="1"/>
    <col min="2563" max="2563" width="5.19921875" style="357" customWidth="1"/>
    <col min="2564" max="2565" width="8.796875" style="357"/>
    <col min="2566" max="2566" width="6.59765625" style="357" customWidth="1"/>
    <col min="2567" max="2567" width="4" style="357" customWidth="1"/>
    <col min="2568" max="2568" width="5.5" style="357" customWidth="1"/>
    <col min="2569" max="2569" width="4.59765625" style="357" customWidth="1"/>
    <col min="2570" max="2571" width="8.3984375" style="357" customWidth="1"/>
    <col min="2572" max="2816" width="8.796875" style="357"/>
    <col min="2817" max="2817" width="8.296875" style="357" customWidth="1"/>
    <col min="2818" max="2818" width="4.296875" style="357" customWidth="1"/>
    <col min="2819" max="2819" width="5.19921875" style="357" customWidth="1"/>
    <col min="2820" max="2821" width="8.796875" style="357"/>
    <col min="2822" max="2822" width="6.59765625" style="357" customWidth="1"/>
    <col min="2823" max="2823" width="4" style="357" customWidth="1"/>
    <col min="2824" max="2824" width="5.5" style="357" customWidth="1"/>
    <col min="2825" max="2825" width="4.59765625" style="357" customWidth="1"/>
    <col min="2826" max="2827" width="8.3984375" style="357" customWidth="1"/>
    <col min="2828" max="3072" width="8.796875" style="357"/>
    <col min="3073" max="3073" width="8.296875" style="357" customWidth="1"/>
    <col min="3074" max="3074" width="4.296875" style="357" customWidth="1"/>
    <col min="3075" max="3075" width="5.19921875" style="357" customWidth="1"/>
    <col min="3076" max="3077" width="8.796875" style="357"/>
    <col min="3078" max="3078" width="6.59765625" style="357" customWidth="1"/>
    <col min="3079" max="3079" width="4" style="357" customWidth="1"/>
    <col min="3080" max="3080" width="5.5" style="357" customWidth="1"/>
    <col min="3081" max="3081" width="4.59765625" style="357" customWidth="1"/>
    <col min="3082" max="3083" width="8.3984375" style="357" customWidth="1"/>
    <col min="3084" max="3328" width="8.796875" style="357"/>
    <col min="3329" max="3329" width="8.296875" style="357" customWidth="1"/>
    <col min="3330" max="3330" width="4.296875" style="357" customWidth="1"/>
    <col min="3331" max="3331" width="5.19921875" style="357" customWidth="1"/>
    <col min="3332" max="3333" width="8.796875" style="357"/>
    <col min="3334" max="3334" width="6.59765625" style="357" customWidth="1"/>
    <col min="3335" max="3335" width="4" style="357" customWidth="1"/>
    <col min="3336" max="3336" width="5.5" style="357" customWidth="1"/>
    <col min="3337" max="3337" width="4.59765625" style="357" customWidth="1"/>
    <col min="3338" max="3339" width="8.3984375" style="357" customWidth="1"/>
    <col min="3340" max="3584" width="8.796875" style="357"/>
    <col min="3585" max="3585" width="8.296875" style="357" customWidth="1"/>
    <col min="3586" max="3586" width="4.296875" style="357" customWidth="1"/>
    <col min="3587" max="3587" width="5.19921875" style="357" customWidth="1"/>
    <col min="3588" max="3589" width="8.796875" style="357"/>
    <col min="3590" max="3590" width="6.59765625" style="357" customWidth="1"/>
    <col min="3591" max="3591" width="4" style="357" customWidth="1"/>
    <col min="3592" max="3592" width="5.5" style="357" customWidth="1"/>
    <col min="3593" max="3593" width="4.59765625" style="357" customWidth="1"/>
    <col min="3594" max="3595" width="8.3984375" style="357" customWidth="1"/>
    <col min="3596" max="3840" width="8.796875" style="357"/>
    <col min="3841" max="3841" width="8.296875" style="357" customWidth="1"/>
    <col min="3842" max="3842" width="4.296875" style="357" customWidth="1"/>
    <col min="3843" max="3843" width="5.19921875" style="357" customWidth="1"/>
    <col min="3844" max="3845" width="8.796875" style="357"/>
    <col min="3846" max="3846" width="6.59765625" style="357" customWidth="1"/>
    <col min="3847" max="3847" width="4" style="357" customWidth="1"/>
    <col min="3848" max="3848" width="5.5" style="357" customWidth="1"/>
    <col min="3849" max="3849" width="4.59765625" style="357" customWidth="1"/>
    <col min="3850" max="3851" width="8.3984375" style="357" customWidth="1"/>
    <col min="3852" max="4096" width="8.796875" style="357"/>
    <col min="4097" max="4097" width="8.296875" style="357" customWidth="1"/>
    <col min="4098" max="4098" width="4.296875" style="357" customWidth="1"/>
    <col min="4099" max="4099" width="5.19921875" style="357" customWidth="1"/>
    <col min="4100" max="4101" width="8.796875" style="357"/>
    <col min="4102" max="4102" width="6.59765625" style="357" customWidth="1"/>
    <col min="4103" max="4103" width="4" style="357" customWidth="1"/>
    <col min="4104" max="4104" width="5.5" style="357" customWidth="1"/>
    <col min="4105" max="4105" width="4.59765625" style="357" customWidth="1"/>
    <col min="4106" max="4107" width="8.3984375" style="357" customWidth="1"/>
    <col min="4108" max="4352" width="8.796875" style="357"/>
    <col min="4353" max="4353" width="8.296875" style="357" customWidth="1"/>
    <col min="4354" max="4354" width="4.296875" style="357" customWidth="1"/>
    <col min="4355" max="4355" width="5.19921875" style="357" customWidth="1"/>
    <col min="4356" max="4357" width="8.796875" style="357"/>
    <col min="4358" max="4358" width="6.59765625" style="357" customWidth="1"/>
    <col min="4359" max="4359" width="4" style="357" customWidth="1"/>
    <col min="4360" max="4360" width="5.5" style="357" customWidth="1"/>
    <col min="4361" max="4361" width="4.59765625" style="357" customWidth="1"/>
    <col min="4362" max="4363" width="8.3984375" style="357" customWidth="1"/>
    <col min="4364" max="4608" width="8.796875" style="357"/>
    <col min="4609" max="4609" width="8.296875" style="357" customWidth="1"/>
    <col min="4610" max="4610" width="4.296875" style="357" customWidth="1"/>
    <col min="4611" max="4611" width="5.19921875" style="357" customWidth="1"/>
    <col min="4612" max="4613" width="8.796875" style="357"/>
    <col min="4614" max="4614" width="6.59765625" style="357" customWidth="1"/>
    <col min="4615" max="4615" width="4" style="357" customWidth="1"/>
    <col min="4616" max="4616" width="5.5" style="357" customWidth="1"/>
    <col min="4617" max="4617" width="4.59765625" style="357" customWidth="1"/>
    <col min="4618" max="4619" width="8.3984375" style="357" customWidth="1"/>
    <col min="4620" max="4864" width="8.796875" style="357"/>
    <col min="4865" max="4865" width="8.296875" style="357" customWidth="1"/>
    <col min="4866" max="4866" width="4.296875" style="357" customWidth="1"/>
    <col min="4867" max="4867" width="5.19921875" style="357" customWidth="1"/>
    <col min="4868" max="4869" width="8.796875" style="357"/>
    <col min="4870" max="4870" width="6.59765625" style="357" customWidth="1"/>
    <col min="4871" max="4871" width="4" style="357" customWidth="1"/>
    <col min="4872" max="4872" width="5.5" style="357" customWidth="1"/>
    <col min="4873" max="4873" width="4.59765625" style="357" customWidth="1"/>
    <col min="4874" max="4875" width="8.3984375" style="357" customWidth="1"/>
    <col min="4876" max="5120" width="8.796875" style="357"/>
    <col min="5121" max="5121" width="8.296875" style="357" customWidth="1"/>
    <col min="5122" max="5122" width="4.296875" style="357" customWidth="1"/>
    <col min="5123" max="5123" width="5.19921875" style="357" customWidth="1"/>
    <col min="5124" max="5125" width="8.796875" style="357"/>
    <col min="5126" max="5126" width="6.59765625" style="357" customWidth="1"/>
    <col min="5127" max="5127" width="4" style="357" customWidth="1"/>
    <col min="5128" max="5128" width="5.5" style="357" customWidth="1"/>
    <col min="5129" max="5129" width="4.59765625" style="357" customWidth="1"/>
    <col min="5130" max="5131" width="8.3984375" style="357" customWidth="1"/>
    <col min="5132" max="5376" width="8.796875" style="357"/>
    <col min="5377" max="5377" width="8.296875" style="357" customWidth="1"/>
    <col min="5378" max="5378" width="4.296875" style="357" customWidth="1"/>
    <col min="5379" max="5379" width="5.19921875" style="357" customWidth="1"/>
    <col min="5380" max="5381" width="8.796875" style="357"/>
    <col min="5382" max="5382" width="6.59765625" style="357" customWidth="1"/>
    <col min="5383" max="5383" width="4" style="357" customWidth="1"/>
    <col min="5384" max="5384" width="5.5" style="357" customWidth="1"/>
    <col min="5385" max="5385" width="4.59765625" style="357" customWidth="1"/>
    <col min="5386" max="5387" width="8.3984375" style="357" customWidth="1"/>
    <col min="5388" max="5632" width="8.796875" style="357"/>
    <col min="5633" max="5633" width="8.296875" style="357" customWidth="1"/>
    <col min="5634" max="5634" width="4.296875" style="357" customWidth="1"/>
    <col min="5635" max="5635" width="5.19921875" style="357" customWidth="1"/>
    <col min="5636" max="5637" width="8.796875" style="357"/>
    <col min="5638" max="5638" width="6.59765625" style="357" customWidth="1"/>
    <col min="5639" max="5639" width="4" style="357" customWidth="1"/>
    <col min="5640" max="5640" width="5.5" style="357" customWidth="1"/>
    <col min="5641" max="5641" width="4.59765625" style="357" customWidth="1"/>
    <col min="5642" max="5643" width="8.3984375" style="357" customWidth="1"/>
    <col min="5644" max="5888" width="8.796875" style="357"/>
    <col min="5889" max="5889" width="8.296875" style="357" customWidth="1"/>
    <col min="5890" max="5890" width="4.296875" style="357" customWidth="1"/>
    <col min="5891" max="5891" width="5.19921875" style="357" customWidth="1"/>
    <col min="5892" max="5893" width="8.796875" style="357"/>
    <col min="5894" max="5894" width="6.59765625" style="357" customWidth="1"/>
    <col min="5895" max="5895" width="4" style="357" customWidth="1"/>
    <col min="5896" max="5896" width="5.5" style="357" customWidth="1"/>
    <col min="5897" max="5897" width="4.59765625" style="357" customWidth="1"/>
    <col min="5898" max="5899" width="8.3984375" style="357" customWidth="1"/>
    <col min="5900" max="6144" width="8.796875" style="357"/>
    <col min="6145" max="6145" width="8.296875" style="357" customWidth="1"/>
    <col min="6146" max="6146" width="4.296875" style="357" customWidth="1"/>
    <col min="6147" max="6147" width="5.19921875" style="357" customWidth="1"/>
    <col min="6148" max="6149" width="8.796875" style="357"/>
    <col min="6150" max="6150" width="6.59765625" style="357" customWidth="1"/>
    <col min="6151" max="6151" width="4" style="357" customWidth="1"/>
    <col min="6152" max="6152" width="5.5" style="357" customWidth="1"/>
    <col min="6153" max="6153" width="4.59765625" style="357" customWidth="1"/>
    <col min="6154" max="6155" width="8.3984375" style="357" customWidth="1"/>
    <col min="6156" max="6400" width="8.796875" style="357"/>
    <col min="6401" max="6401" width="8.296875" style="357" customWidth="1"/>
    <col min="6402" max="6402" width="4.296875" style="357" customWidth="1"/>
    <col min="6403" max="6403" width="5.19921875" style="357" customWidth="1"/>
    <col min="6404" max="6405" width="8.796875" style="357"/>
    <col min="6406" max="6406" width="6.59765625" style="357" customWidth="1"/>
    <col min="6407" max="6407" width="4" style="357" customWidth="1"/>
    <col min="6408" max="6408" width="5.5" style="357" customWidth="1"/>
    <col min="6409" max="6409" width="4.59765625" style="357" customWidth="1"/>
    <col min="6410" max="6411" width="8.3984375" style="357" customWidth="1"/>
    <col min="6412" max="6656" width="8.796875" style="357"/>
    <col min="6657" max="6657" width="8.296875" style="357" customWidth="1"/>
    <col min="6658" max="6658" width="4.296875" style="357" customWidth="1"/>
    <col min="6659" max="6659" width="5.19921875" style="357" customWidth="1"/>
    <col min="6660" max="6661" width="8.796875" style="357"/>
    <col min="6662" max="6662" width="6.59765625" style="357" customWidth="1"/>
    <col min="6663" max="6663" width="4" style="357" customWidth="1"/>
    <col min="6664" max="6664" width="5.5" style="357" customWidth="1"/>
    <col min="6665" max="6665" width="4.59765625" style="357" customWidth="1"/>
    <col min="6666" max="6667" width="8.3984375" style="357" customWidth="1"/>
    <col min="6668" max="6912" width="8.796875" style="357"/>
    <col min="6913" max="6913" width="8.296875" style="357" customWidth="1"/>
    <col min="6914" max="6914" width="4.296875" style="357" customWidth="1"/>
    <col min="6915" max="6915" width="5.19921875" style="357" customWidth="1"/>
    <col min="6916" max="6917" width="8.796875" style="357"/>
    <col min="6918" max="6918" width="6.59765625" style="357" customWidth="1"/>
    <col min="6919" max="6919" width="4" style="357" customWidth="1"/>
    <col min="6920" max="6920" width="5.5" style="357" customWidth="1"/>
    <col min="6921" max="6921" width="4.59765625" style="357" customWidth="1"/>
    <col min="6922" max="6923" width="8.3984375" style="357" customWidth="1"/>
    <col min="6924" max="7168" width="8.796875" style="357"/>
    <col min="7169" max="7169" width="8.296875" style="357" customWidth="1"/>
    <col min="7170" max="7170" width="4.296875" style="357" customWidth="1"/>
    <col min="7171" max="7171" width="5.19921875" style="357" customWidth="1"/>
    <col min="7172" max="7173" width="8.796875" style="357"/>
    <col min="7174" max="7174" width="6.59765625" style="357" customWidth="1"/>
    <col min="7175" max="7175" width="4" style="357" customWidth="1"/>
    <col min="7176" max="7176" width="5.5" style="357" customWidth="1"/>
    <col min="7177" max="7177" width="4.59765625" style="357" customWidth="1"/>
    <col min="7178" max="7179" width="8.3984375" style="357" customWidth="1"/>
    <col min="7180" max="7424" width="8.796875" style="357"/>
    <col min="7425" max="7425" width="8.296875" style="357" customWidth="1"/>
    <col min="7426" max="7426" width="4.296875" style="357" customWidth="1"/>
    <col min="7427" max="7427" width="5.19921875" style="357" customWidth="1"/>
    <col min="7428" max="7429" width="8.796875" style="357"/>
    <col min="7430" max="7430" width="6.59765625" style="357" customWidth="1"/>
    <col min="7431" max="7431" width="4" style="357" customWidth="1"/>
    <col min="7432" max="7432" width="5.5" style="357" customWidth="1"/>
    <col min="7433" max="7433" width="4.59765625" style="357" customWidth="1"/>
    <col min="7434" max="7435" width="8.3984375" style="357" customWidth="1"/>
    <col min="7436" max="7680" width="8.796875" style="357"/>
    <col min="7681" max="7681" width="8.296875" style="357" customWidth="1"/>
    <col min="7682" max="7682" width="4.296875" style="357" customWidth="1"/>
    <col min="7683" max="7683" width="5.19921875" style="357" customWidth="1"/>
    <col min="7684" max="7685" width="8.796875" style="357"/>
    <col min="7686" max="7686" width="6.59765625" style="357" customWidth="1"/>
    <col min="7687" max="7687" width="4" style="357" customWidth="1"/>
    <col min="7688" max="7688" width="5.5" style="357" customWidth="1"/>
    <col min="7689" max="7689" width="4.59765625" style="357" customWidth="1"/>
    <col min="7690" max="7691" width="8.3984375" style="357" customWidth="1"/>
    <col min="7692" max="7936" width="8.796875" style="357"/>
    <col min="7937" max="7937" width="8.296875" style="357" customWidth="1"/>
    <col min="7938" max="7938" width="4.296875" style="357" customWidth="1"/>
    <col min="7939" max="7939" width="5.19921875" style="357" customWidth="1"/>
    <col min="7940" max="7941" width="8.796875" style="357"/>
    <col min="7942" max="7942" width="6.59765625" style="357" customWidth="1"/>
    <col min="7943" max="7943" width="4" style="357" customWidth="1"/>
    <col min="7944" max="7944" width="5.5" style="357" customWidth="1"/>
    <col min="7945" max="7945" width="4.59765625" style="357" customWidth="1"/>
    <col min="7946" max="7947" width="8.3984375" style="357" customWidth="1"/>
    <col min="7948" max="8192" width="8.796875" style="357"/>
    <col min="8193" max="8193" width="8.296875" style="357" customWidth="1"/>
    <col min="8194" max="8194" width="4.296875" style="357" customWidth="1"/>
    <col min="8195" max="8195" width="5.19921875" style="357" customWidth="1"/>
    <col min="8196" max="8197" width="8.796875" style="357"/>
    <col min="8198" max="8198" width="6.59765625" style="357" customWidth="1"/>
    <col min="8199" max="8199" width="4" style="357" customWidth="1"/>
    <col min="8200" max="8200" width="5.5" style="357" customWidth="1"/>
    <col min="8201" max="8201" width="4.59765625" style="357" customWidth="1"/>
    <col min="8202" max="8203" width="8.3984375" style="357" customWidth="1"/>
    <col min="8204" max="8448" width="8.796875" style="357"/>
    <col min="8449" max="8449" width="8.296875" style="357" customWidth="1"/>
    <col min="8450" max="8450" width="4.296875" style="357" customWidth="1"/>
    <col min="8451" max="8451" width="5.19921875" style="357" customWidth="1"/>
    <col min="8452" max="8453" width="8.796875" style="357"/>
    <col min="8454" max="8454" width="6.59765625" style="357" customWidth="1"/>
    <col min="8455" max="8455" width="4" style="357" customWidth="1"/>
    <col min="8456" max="8456" width="5.5" style="357" customWidth="1"/>
    <col min="8457" max="8457" width="4.59765625" style="357" customWidth="1"/>
    <col min="8458" max="8459" width="8.3984375" style="357" customWidth="1"/>
    <col min="8460" max="8704" width="8.796875" style="357"/>
    <col min="8705" max="8705" width="8.296875" style="357" customWidth="1"/>
    <col min="8706" max="8706" width="4.296875" style="357" customWidth="1"/>
    <col min="8707" max="8707" width="5.19921875" style="357" customWidth="1"/>
    <col min="8708" max="8709" width="8.796875" style="357"/>
    <col min="8710" max="8710" width="6.59765625" style="357" customWidth="1"/>
    <col min="8711" max="8711" width="4" style="357" customWidth="1"/>
    <col min="8712" max="8712" width="5.5" style="357" customWidth="1"/>
    <col min="8713" max="8713" width="4.59765625" style="357" customWidth="1"/>
    <col min="8714" max="8715" width="8.3984375" style="357" customWidth="1"/>
    <col min="8716" max="8960" width="8.796875" style="357"/>
    <col min="8961" max="8961" width="8.296875" style="357" customWidth="1"/>
    <col min="8962" max="8962" width="4.296875" style="357" customWidth="1"/>
    <col min="8963" max="8963" width="5.19921875" style="357" customWidth="1"/>
    <col min="8964" max="8965" width="8.796875" style="357"/>
    <col min="8966" max="8966" width="6.59765625" style="357" customWidth="1"/>
    <col min="8967" max="8967" width="4" style="357" customWidth="1"/>
    <col min="8968" max="8968" width="5.5" style="357" customWidth="1"/>
    <col min="8969" max="8969" width="4.59765625" style="357" customWidth="1"/>
    <col min="8970" max="8971" width="8.3984375" style="357" customWidth="1"/>
    <col min="8972" max="9216" width="8.796875" style="357"/>
    <col min="9217" max="9217" width="8.296875" style="357" customWidth="1"/>
    <col min="9218" max="9218" width="4.296875" style="357" customWidth="1"/>
    <col min="9219" max="9219" width="5.19921875" style="357" customWidth="1"/>
    <col min="9220" max="9221" width="8.796875" style="357"/>
    <col min="9222" max="9222" width="6.59765625" style="357" customWidth="1"/>
    <col min="9223" max="9223" width="4" style="357" customWidth="1"/>
    <col min="9224" max="9224" width="5.5" style="357" customWidth="1"/>
    <col min="9225" max="9225" width="4.59765625" style="357" customWidth="1"/>
    <col min="9226" max="9227" width="8.3984375" style="357" customWidth="1"/>
    <col min="9228" max="9472" width="8.796875" style="357"/>
    <col min="9473" max="9473" width="8.296875" style="357" customWidth="1"/>
    <col min="9474" max="9474" width="4.296875" style="357" customWidth="1"/>
    <col min="9475" max="9475" width="5.19921875" style="357" customWidth="1"/>
    <col min="9476" max="9477" width="8.796875" style="357"/>
    <col min="9478" max="9478" width="6.59765625" style="357" customWidth="1"/>
    <col min="9479" max="9479" width="4" style="357" customWidth="1"/>
    <col min="9480" max="9480" width="5.5" style="357" customWidth="1"/>
    <col min="9481" max="9481" width="4.59765625" style="357" customWidth="1"/>
    <col min="9482" max="9483" width="8.3984375" style="357" customWidth="1"/>
    <col min="9484" max="9728" width="8.796875" style="357"/>
    <col min="9729" max="9729" width="8.296875" style="357" customWidth="1"/>
    <col min="9730" max="9730" width="4.296875" style="357" customWidth="1"/>
    <col min="9731" max="9731" width="5.19921875" style="357" customWidth="1"/>
    <col min="9732" max="9733" width="8.796875" style="357"/>
    <col min="9734" max="9734" width="6.59765625" style="357" customWidth="1"/>
    <col min="9735" max="9735" width="4" style="357" customWidth="1"/>
    <col min="9736" max="9736" width="5.5" style="357" customWidth="1"/>
    <col min="9737" max="9737" width="4.59765625" style="357" customWidth="1"/>
    <col min="9738" max="9739" width="8.3984375" style="357" customWidth="1"/>
    <col min="9740" max="9984" width="8.796875" style="357"/>
    <col min="9985" max="9985" width="8.296875" style="357" customWidth="1"/>
    <col min="9986" max="9986" width="4.296875" style="357" customWidth="1"/>
    <col min="9987" max="9987" width="5.19921875" style="357" customWidth="1"/>
    <col min="9988" max="9989" width="8.796875" style="357"/>
    <col min="9990" max="9990" width="6.59765625" style="357" customWidth="1"/>
    <col min="9991" max="9991" width="4" style="357" customWidth="1"/>
    <col min="9992" max="9992" width="5.5" style="357" customWidth="1"/>
    <col min="9993" max="9993" width="4.59765625" style="357" customWidth="1"/>
    <col min="9994" max="9995" width="8.3984375" style="357" customWidth="1"/>
    <col min="9996" max="10240" width="8.796875" style="357"/>
    <col min="10241" max="10241" width="8.296875" style="357" customWidth="1"/>
    <col min="10242" max="10242" width="4.296875" style="357" customWidth="1"/>
    <col min="10243" max="10243" width="5.19921875" style="357" customWidth="1"/>
    <col min="10244" max="10245" width="8.796875" style="357"/>
    <col min="10246" max="10246" width="6.59765625" style="357" customWidth="1"/>
    <col min="10247" max="10247" width="4" style="357" customWidth="1"/>
    <col min="10248" max="10248" width="5.5" style="357" customWidth="1"/>
    <col min="10249" max="10249" width="4.59765625" style="357" customWidth="1"/>
    <col min="10250" max="10251" width="8.3984375" style="357" customWidth="1"/>
    <col min="10252" max="10496" width="8.796875" style="357"/>
    <col min="10497" max="10497" width="8.296875" style="357" customWidth="1"/>
    <col min="10498" max="10498" width="4.296875" style="357" customWidth="1"/>
    <col min="10499" max="10499" width="5.19921875" style="357" customWidth="1"/>
    <col min="10500" max="10501" width="8.796875" style="357"/>
    <col min="10502" max="10502" width="6.59765625" style="357" customWidth="1"/>
    <col min="10503" max="10503" width="4" style="357" customWidth="1"/>
    <col min="10504" max="10504" width="5.5" style="357" customWidth="1"/>
    <col min="10505" max="10505" width="4.59765625" style="357" customWidth="1"/>
    <col min="10506" max="10507" width="8.3984375" style="357" customWidth="1"/>
    <col min="10508" max="10752" width="8.796875" style="357"/>
    <col min="10753" max="10753" width="8.296875" style="357" customWidth="1"/>
    <col min="10754" max="10754" width="4.296875" style="357" customWidth="1"/>
    <col min="10755" max="10755" width="5.19921875" style="357" customWidth="1"/>
    <col min="10756" max="10757" width="8.796875" style="357"/>
    <col min="10758" max="10758" width="6.59765625" style="357" customWidth="1"/>
    <col min="10759" max="10759" width="4" style="357" customWidth="1"/>
    <col min="10760" max="10760" width="5.5" style="357" customWidth="1"/>
    <col min="10761" max="10761" width="4.59765625" style="357" customWidth="1"/>
    <col min="10762" max="10763" width="8.3984375" style="357" customWidth="1"/>
    <col min="10764" max="11008" width="8.796875" style="357"/>
    <col min="11009" max="11009" width="8.296875" style="357" customWidth="1"/>
    <col min="11010" max="11010" width="4.296875" style="357" customWidth="1"/>
    <col min="11011" max="11011" width="5.19921875" style="357" customWidth="1"/>
    <col min="11012" max="11013" width="8.796875" style="357"/>
    <col min="11014" max="11014" width="6.59765625" style="357" customWidth="1"/>
    <col min="11015" max="11015" width="4" style="357" customWidth="1"/>
    <col min="11016" max="11016" width="5.5" style="357" customWidth="1"/>
    <col min="11017" max="11017" width="4.59765625" style="357" customWidth="1"/>
    <col min="11018" max="11019" width="8.3984375" style="357" customWidth="1"/>
    <col min="11020" max="11264" width="8.796875" style="357"/>
    <col min="11265" max="11265" width="8.296875" style="357" customWidth="1"/>
    <col min="11266" max="11266" width="4.296875" style="357" customWidth="1"/>
    <col min="11267" max="11267" width="5.19921875" style="357" customWidth="1"/>
    <col min="11268" max="11269" width="8.796875" style="357"/>
    <col min="11270" max="11270" width="6.59765625" style="357" customWidth="1"/>
    <col min="11271" max="11271" width="4" style="357" customWidth="1"/>
    <col min="11272" max="11272" width="5.5" style="357" customWidth="1"/>
    <col min="11273" max="11273" width="4.59765625" style="357" customWidth="1"/>
    <col min="11274" max="11275" width="8.3984375" style="357" customWidth="1"/>
    <col min="11276" max="11520" width="8.796875" style="357"/>
    <col min="11521" max="11521" width="8.296875" style="357" customWidth="1"/>
    <col min="11522" max="11522" width="4.296875" style="357" customWidth="1"/>
    <col min="11523" max="11523" width="5.19921875" style="357" customWidth="1"/>
    <col min="11524" max="11525" width="8.796875" style="357"/>
    <col min="11526" max="11526" width="6.59765625" style="357" customWidth="1"/>
    <col min="11527" max="11527" width="4" style="357" customWidth="1"/>
    <col min="11528" max="11528" width="5.5" style="357" customWidth="1"/>
    <col min="11529" max="11529" width="4.59765625" style="357" customWidth="1"/>
    <col min="11530" max="11531" width="8.3984375" style="357" customWidth="1"/>
    <col min="11532" max="11776" width="8.796875" style="357"/>
    <col min="11777" max="11777" width="8.296875" style="357" customWidth="1"/>
    <col min="11778" max="11778" width="4.296875" style="357" customWidth="1"/>
    <col min="11779" max="11779" width="5.19921875" style="357" customWidth="1"/>
    <col min="11780" max="11781" width="8.796875" style="357"/>
    <col min="11782" max="11782" width="6.59765625" style="357" customWidth="1"/>
    <col min="11783" max="11783" width="4" style="357" customWidth="1"/>
    <col min="11784" max="11784" width="5.5" style="357" customWidth="1"/>
    <col min="11785" max="11785" width="4.59765625" style="357" customWidth="1"/>
    <col min="11786" max="11787" width="8.3984375" style="357" customWidth="1"/>
    <col min="11788" max="12032" width="8.796875" style="357"/>
    <col min="12033" max="12033" width="8.296875" style="357" customWidth="1"/>
    <col min="12034" max="12034" width="4.296875" style="357" customWidth="1"/>
    <col min="12035" max="12035" width="5.19921875" style="357" customWidth="1"/>
    <col min="12036" max="12037" width="8.796875" style="357"/>
    <col min="12038" max="12038" width="6.59765625" style="357" customWidth="1"/>
    <col min="12039" max="12039" width="4" style="357" customWidth="1"/>
    <col min="12040" max="12040" width="5.5" style="357" customWidth="1"/>
    <col min="12041" max="12041" width="4.59765625" style="357" customWidth="1"/>
    <col min="12042" max="12043" width="8.3984375" style="357" customWidth="1"/>
    <col min="12044" max="12288" width="8.796875" style="357"/>
    <col min="12289" max="12289" width="8.296875" style="357" customWidth="1"/>
    <col min="12290" max="12290" width="4.296875" style="357" customWidth="1"/>
    <col min="12291" max="12291" width="5.19921875" style="357" customWidth="1"/>
    <col min="12292" max="12293" width="8.796875" style="357"/>
    <col min="12294" max="12294" width="6.59765625" style="357" customWidth="1"/>
    <col min="12295" max="12295" width="4" style="357" customWidth="1"/>
    <col min="12296" max="12296" width="5.5" style="357" customWidth="1"/>
    <col min="12297" max="12297" width="4.59765625" style="357" customWidth="1"/>
    <col min="12298" max="12299" width="8.3984375" style="357" customWidth="1"/>
    <col min="12300" max="12544" width="8.796875" style="357"/>
    <col min="12545" max="12545" width="8.296875" style="357" customWidth="1"/>
    <col min="12546" max="12546" width="4.296875" style="357" customWidth="1"/>
    <col min="12547" max="12547" width="5.19921875" style="357" customWidth="1"/>
    <col min="12548" max="12549" width="8.796875" style="357"/>
    <col min="12550" max="12550" width="6.59765625" style="357" customWidth="1"/>
    <col min="12551" max="12551" width="4" style="357" customWidth="1"/>
    <col min="12552" max="12552" width="5.5" style="357" customWidth="1"/>
    <col min="12553" max="12553" width="4.59765625" style="357" customWidth="1"/>
    <col min="12554" max="12555" width="8.3984375" style="357" customWidth="1"/>
    <col min="12556" max="12800" width="8.796875" style="357"/>
    <col min="12801" max="12801" width="8.296875" style="357" customWidth="1"/>
    <col min="12802" max="12802" width="4.296875" style="357" customWidth="1"/>
    <col min="12803" max="12803" width="5.19921875" style="357" customWidth="1"/>
    <col min="12804" max="12805" width="8.796875" style="357"/>
    <col min="12806" max="12806" width="6.59765625" style="357" customWidth="1"/>
    <col min="12807" max="12807" width="4" style="357" customWidth="1"/>
    <col min="12808" max="12808" width="5.5" style="357" customWidth="1"/>
    <col min="12809" max="12809" width="4.59765625" style="357" customWidth="1"/>
    <col min="12810" max="12811" width="8.3984375" style="357" customWidth="1"/>
    <col min="12812" max="13056" width="8.796875" style="357"/>
    <col min="13057" max="13057" width="8.296875" style="357" customWidth="1"/>
    <col min="13058" max="13058" width="4.296875" style="357" customWidth="1"/>
    <col min="13059" max="13059" width="5.19921875" style="357" customWidth="1"/>
    <col min="13060" max="13061" width="8.796875" style="357"/>
    <col min="13062" max="13062" width="6.59765625" style="357" customWidth="1"/>
    <col min="13063" max="13063" width="4" style="357" customWidth="1"/>
    <col min="13064" max="13064" width="5.5" style="357" customWidth="1"/>
    <col min="13065" max="13065" width="4.59765625" style="357" customWidth="1"/>
    <col min="13066" max="13067" width="8.3984375" style="357" customWidth="1"/>
    <col min="13068" max="13312" width="8.796875" style="357"/>
    <col min="13313" max="13313" width="8.296875" style="357" customWidth="1"/>
    <col min="13314" max="13314" width="4.296875" style="357" customWidth="1"/>
    <col min="13315" max="13315" width="5.19921875" style="357" customWidth="1"/>
    <col min="13316" max="13317" width="8.796875" style="357"/>
    <col min="13318" max="13318" width="6.59765625" style="357" customWidth="1"/>
    <col min="13319" max="13319" width="4" style="357" customWidth="1"/>
    <col min="13320" max="13320" width="5.5" style="357" customWidth="1"/>
    <col min="13321" max="13321" width="4.59765625" style="357" customWidth="1"/>
    <col min="13322" max="13323" width="8.3984375" style="357" customWidth="1"/>
    <col min="13324" max="13568" width="8.796875" style="357"/>
    <col min="13569" max="13569" width="8.296875" style="357" customWidth="1"/>
    <col min="13570" max="13570" width="4.296875" style="357" customWidth="1"/>
    <col min="13571" max="13571" width="5.19921875" style="357" customWidth="1"/>
    <col min="13572" max="13573" width="8.796875" style="357"/>
    <col min="13574" max="13574" width="6.59765625" style="357" customWidth="1"/>
    <col min="13575" max="13575" width="4" style="357" customWidth="1"/>
    <col min="13576" max="13576" width="5.5" style="357" customWidth="1"/>
    <col min="13577" max="13577" width="4.59765625" style="357" customWidth="1"/>
    <col min="13578" max="13579" width="8.3984375" style="357" customWidth="1"/>
    <col min="13580" max="13824" width="8.796875" style="357"/>
    <col min="13825" max="13825" width="8.296875" style="357" customWidth="1"/>
    <col min="13826" max="13826" width="4.296875" style="357" customWidth="1"/>
    <col min="13827" max="13827" width="5.19921875" style="357" customWidth="1"/>
    <col min="13828" max="13829" width="8.796875" style="357"/>
    <col min="13830" max="13830" width="6.59765625" style="357" customWidth="1"/>
    <col min="13831" max="13831" width="4" style="357" customWidth="1"/>
    <col min="13832" max="13832" width="5.5" style="357" customWidth="1"/>
    <col min="13833" max="13833" width="4.59765625" style="357" customWidth="1"/>
    <col min="13834" max="13835" width="8.3984375" style="357" customWidth="1"/>
    <col min="13836" max="14080" width="8.796875" style="357"/>
    <col min="14081" max="14081" width="8.296875" style="357" customWidth="1"/>
    <col min="14082" max="14082" width="4.296875" style="357" customWidth="1"/>
    <col min="14083" max="14083" width="5.19921875" style="357" customWidth="1"/>
    <col min="14084" max="14085" width="8.796875" style="357"/>
    <col min="14086" max="14086" width="6.59765625" style="357" customWidth="1"/>
    <col min="14087" max="14087" width="4" style="357" customWidth="1"/>
    <col min="14088" max="14088" width="5.5" style="357" customWidth="1"/>
    <col min="14089" max="14089" width="4.59765625" style="357" customWidth="1"/>
    <col min="14090" max="14091" width="8.3984375" style="357" customWidth="1"/>
    <col min="14092" max="14336" width="8.796875" style="357"/>
    <col min="14337" max="14337" width="8.296875" style="357" customWidth="1"/>
    <col min="14338" max="14338" width="4.296875" style="357" customWidth="1"/>
    <col min="14339" max="14339" width="5.19921875" style="357" customWidth="1"/>
    <col min="14340" max="14341" width="8.796875" style="357"/>
    <col min="14342" max="14342" width="6.59765625" style="357" customWidth="1"/>
    <col min="14343" max="14343" width="4" style="357" customWidth="1"/>
    <col min="14344" max="14344" width="5.5" style="357" customWidth="1"/>
    <col min="14345" max="14345" width="4.59765625" style="357" customWidth="1"/>
    <col min="14346" max="14347" width="8.3984375" style="357" customWidth="1"/>
    <col min="14348" max="14592" width="8.796875" style="357"/>
    <col min="14593" max="14593" width="8.296875" style="357" customWidth="1"/>
    <col min="14594" max="14594" width="4.296875" style="357" customWidth="1"/>
    <col min="14595" max="14595" width="5.19921875" style="357" customWidth="1"/>
    <col min="14596" max="14597" width="8.796875" style="357"/>
    <col min="14598" max="14598" width="6.59765625" style="357" customWidth="1"/>
    <col min="14599" max="14599" width="4" style="357" customWidth="1"/>
    <col min="14600" max="14600" width="5.5" style="357" customWidth="1"/>
    <col min="14601" max="14601" width="4.59765625" style="357" customWidth="1"/>
    <col min="14602" max="14603" width="8.3984375" style="357" customWidth="1"/>
    <col min="14604" max="14848" width="8.796875" style="357"/>
    <col min="14849" max="14849" width="8.296875" style="357" customWidth="1"/>
    <col min="14850" max="14850" width="4.296875" style="357" customWidth="1"/>
    <col min="14851" max="14851" width="5.19921875" style="357" customWidth="1"/>
    <col min="14852" max="14853" width="8.796875" style="357"/>
    <col min="14854" max="14854" width="6.59765625" style="357" customWidth="1"/>
    <col min="14855" max="14855" width="4" style="357" customWidth="1"/>
    <col min="14856" max="14856" width="5.5" style="357" customWidth="1"/>
    <col min="14857" max="14857" width="4.59765625" style="357" customWidth="1"/>
    <col min="14858" max="14859" width="8.3984375" style="357" customWidth="1"/>
    <col min="14860" max="15104" width="8.796875" style="357"/>
    <col min="15105" max="15105" width="8.296875" style="357" customWidth="1"/>
    <col min="15106" max="15106" width="4.296875" style="357" customWidth="1"/>
    <col min="15107" max="15107" width="5.19921875" style="357" customWidth="1"/>
    <col min="15108" max="15109" width="8.796875" style="357"/>
    <col min="15110" max="15110" width="6.59765625" style="357" customWidth="1"/>
    <col min="15111" max="15111" width="4" style="357" customWidth="1"/>
    <col min="15112" max="15112" width="5.5" style="357" customWidth="1"/>
    <col min="15113" max="15113" width="4.59765625" style="357" customWidth="1"/>
    <col min="15114" max="15115" width="8.3984375" style="357" customWidth="1"/>
    <col min="15116" max="15360" width="8.796875" style="357"/>
    <col min="15361" max="15361" width="8.296875" style="357" customWidth="1"/>
    <col min="15362" max="15362" width="4.296875" style="357" customWidth="1"/>
    <col min="15363" max="15363" width="5.19921875" style="357" customWidth="1"/>
    <col min="15364" max="15365" width="8.796875" style="357"/>
    <col min="15366" max="15366" width="6.59765625" style="357" customWidth="1"/>
    <col min="15367" max="15367" width="4" style="357" customWidth="1"/>
    <col min="15368" max="15368" width="5.5" style="357" customWidth="1"/>
    <col min="15369" max="15369" width="4.59765625" style="357" customWidth="1"/>
    <col min="15370" max="15371" width="8.3984375" style="357" customWidth="1"/>
    <col min="15372" max="15616" width="8.796875" style="357"/>
    <col min="15617" max="15617" width="8.296875" style="357" customWidth="1"/>
    <col min="15618" max="15618" width="4.296875" style="357" customWidth="1"/>
    <col min="15619" max="15619" width="5.19921875" style="357" customWidth="1"/>
    <col min="15620" max="15621" width="8.796875" style="357"/>
    <col min="15622" max="15622" width="6.59765625" style="357" customWidth="1"/>
    <col min="15623" max="15623" width="4" style="357" customWidth="1"/>
    <col min="15624" max="15624" width="5.5" style="357" customWidth="1"/>
    <col min="15625" max="15625" width="4.59765625" style="357" customWidth="1"/>
    <col min="15626" max="15627" width="8.3984375" style="357" customWidth="1"/>
    <col min="15628" max="15872" width="8.796875" style="357"/>
    <col min="15873" max="15873" width="8.296875" style="357" customWidth="1"/>
    <col min="15874" max="15874" width="4.296875" style="357" customWidth="1"/>
    <col min="15875" max="15875" width="5.19921875" style="357" customWidth="1"/>
    <col min="15876" max="15877" width="8.796875" style="357"/>
    <col min="15878" max="15878" width="6.59765625" style="357" customWidth="1"/>
    <col min="15879" max="15879" width="4" style="357" customWidth="1"/>
    <col min="15880" max="15880" width="5.5" style="357" customWidth="1"/>
    <col min="15881" max="15881" width="4.59765625" style="357" customWidth="1"/>
    <col min="15882" max="15883" width="8.3984375" style="357" customWidth="1"/>
    <col min="15884" max="16128" width="8.796875" style="357"/>
    <col min="16129" max="16129" width="8.296875" style="357" customWidth="1"/>
    <col min="16130" max="16130" width="4.296875" style="357" customWidth="1"/>
    <col min="16131" max="16131" width="5.19921875" style="357" customWidth="1"/>
    <col min="16132" max="16133" width="8.796875" style="357"/>
    <col min="16134" max="16134" width="6.59765625" style="357" customWidth="1"/>
    <col min="16135" max="16135" width="4" style="357" customWidth="1"/>
    <col min="16136" max="16136" width="5.5" style="357" customWidth="1"/>
    <col min="16137" max="16137" width="4.59765625" style="357" customWidth="1"/>
    <col min="16138" max="16139" width="8.3984375" style="357" customWidth="1"/>
    <col min="16140" max="16384" width="8.796875" style="357"/>
  </cols>
  <sheetData>
    <row r="1" spans="1:26" ht="20.25" customHeight="1">
      <c r="A1" s="703" t="s">
        <v>0</v>
      </c>
      <c r="B1" s="703"/>
      <c r="C1" s="703"/>
      <c r="D1" s="703"/>
      <c r="E1" s="703"/>
      <c r="F1" s="703"/>
      <c r="G1" s="703"/>
      <c r="H1" s="703"/>
      <c r="I1" s="703"/>
      <c r="J1" s="703"/>
      <c r="K1" s="703"/>
    </row>
    <row r="2" spans="1:26" ht="20.25" customHeight="1">
      <c r="A2" s="704" t="s">
        <v>407</v>
      </c>
      <c r="B2" s="704"/>
      <c r="C2" s="704"/>
      <c r="D2" s="704"/>
      <c r="E2" s="704"/>
      <c r="F2" s="704"/>
      <c r="G2" s="704"/>
      <c r="H2" s="704"/>
      <c r="I2" s="704"/>
      <c r="J2" s="704"/>
      <c r="K2" s="704"/>
    </row>
    <row r="3" spans="1:26" ht="18.75" customHeight="1" thickBot="1">
      <c r="A3" s="359" t="s">
        <v>129</v>
      </c>
      <c r="B3" s="360" t="s">
        <v>408</v>
      </c>
      <c r="C3" s="361"/>
      <c r="D3" s="361"/>
      <c r="E3" s="361"/>
      <c r="F3" s="358"/>
      <c r="G3" s="361"/>
      <c r="H3" s="361"/>
      <c r="I3" s="359" t="s">
        <v>409</v>
      </c>
      <c r="J3" s="705" t="s">
        <v>410</v>
      </c>
      <c r="K3" s="705"/>
    </row>
    <row r="4" spans="1:26" s="370" customFormat="1" ht="18.399999999999999" customHeight="1" thickBot="1">
      <c r="A4" s="362" t="s">
        <v>411</v>
      </c>
      <c r="B4" s="363"/>
      <c r="C4" s="364"/>
      <c r="D4" s="364"/>
      <c r="E4" s="364"/>
      <c r="F4" s="364"/>
      <c r="G4" s="364"/>
      <c r="H4" s="364"/>
      <c r="I4" s="364"/>
      <c r="J4" s="364"/>
      <c r="K4" s="365"/>
      <c r="L4" s="366"/>
      <c r="M4" s="366"/>
      <c r="N4" s="366"/>
      <c r="O4" s="366"/>
      <c r="P4" s="366"/>
      <c r="Q4" s="367" t="s">
        <v>412</v>
      </c>
      <c r="R4" s="368"/>
      <c r="S4" s="366"/>
      <c r="T4" s="367" t="s">
        <v>413</v>
      </c>
      <c r="U4" s="369"/>
      <c r="V4" s="366"/>
      <c r="W4" s="366"/>
      <c r="X4" s="366"/>
      <c r="Y4" s="366"/>
      <c r="Z4" s="366"/>
    </row>
    <row r="5" spans="1:26" s="370" customFormat="1" ht="18.399999999999999" customHeight="1">
      <c r="A5" s="706" t="s">
        <v>414</v>
      </c>
      <c r="B5" s="707"/>
      <c r="C5" s="707"/>
      <c r="D5" s="371"/>
      <c r="E5" s="372"/>
      <c r="F5" s="373" t="s">
        <v>415</v>
      </c>
      <c r="G5" s="361"/>
      <c r="H5" s="361"/>
      <c r="I5" s="374"/>
      <c r="J5" s="375" t="s">
        <v>416</v>
      </c>
      <c r="K5" s="376" t="s">
        <v>417</v>
      </c>
      <c r="L5" s="366"/>
      <c r="M5" s="366"/>
      <c r="N5" s="366"/>
      <c r="O5" s="366"/>
      <c r="P5" s="366"/>
      <c r="Q5" s="377" t="s">
        <v>418</v>
      </c>
      <c r="R5" s="378"/>
      <c r="S5" s="366"/>
      <c r="T5" s="377" t="s">
        <v>419</v>
      </c>
      <c r="U5" s="379"/>
      <c r="V5" s="366"/>
      <c r="W5" s="366"/>
      <c r="X5" s="366"/>
      <c r="Y5" s="366"/>
      <c r="Z5" s="366"/>
    </row>
    <row r="6" spans="1:26" s="370" customFormat="1" ht="18.399999999999999" customHeight="1">
      <c r="A6" s="708" t="s">
        <v>217</v>
      </c>
      <c r="B6" s="709"/>
      <c r="C6" s="709"/>
      <c r="D6" s="710" t="s">
        <v>420</v>
      </c>
      <c r="E6" s="711"/>
      <c r="F6" s="657" t="s">
        <v>421</v>
      </c>
      <c r="G6" s="658"/>
      <c r="H6" s="658"/>
      <c r="I6" s="658"/>
      <c r="J6" s="658"/>
      <c r="K6" s="659"/>
      <c r="L6" s="366"/>
      <c r="M6" s="366"/>
      <c r="N6" s="366"/>
      <c r="O6" s="366"/>
      <c r="P6" s="366"/>
      <c r="Q6" s="377" t="s">
        <v>422</v>
      </c>
      <c r="R6" s="378"/>
      <c r="S6" s="366"/>
      <c r="T6" s="377" t="s">
        <v>423</v>
      </c>
      <c r="U6" s="379"/>
      <c r="V6" s="366"/>
      <c r="W6" s="366"/>
      <c r="X6" s="366"/>
      <c r="Y6" s="366"/>
      <c r="Z6" s="366"/>
    </row>
    <row r="7" spans="1:26" s="370" customFormat="1" ht="18.399999999999999" customHeight="1">
      <c r="A7" s="699" t="s">
        <v>156</v>
      </c>
      <c r="B7" s="700"/>
      <c r="C7" s="700"/>
      <c r="D7" s="701">
        <v>3.2999999523162802</v>
      </c>
      <c r="E7" s="702"/>
      <c r="F7" s="380" t="s">
        <v>424</v>
      </c>
      <c r="G7" s="381"/>
      <c r="H7" s="382"/>
      <c r="I7" s="383"/>
      <c r="J7" s="384">
        <v>25</v>
      </c>
      <c r="K7" s="385" t="s">
        <v>38</v>
      </c>
      <c r="L7" s="366"/>
      <c r="M7" s="366"/>
      <c r="N7" s="366"/>
      <c r="O7" s="366"/>
      <c r="P7" s="366"/>
      <c r="Q7" s="377" t="s">
        <v>425</v>
      </c>
      <c r="R7" s="378"/>
      <c r="S7" s="366"/>
      <c r="T7" s="377" t="s">
        <v>420</v>
      </c>
      <c r="U7" s="379"/>
      <c r="V7" s="366"/>
      <c r="W7" s="366"/>
      <c r="X7" s="366"/>
      <c r="Y7" s="366"/>
      <c r="Z7" s="366"/>
    </row>
    <row r="8" spans="1:26" s="370" customFormat="1" ht="18.399999999999999" customHeight="1">
      <c r="A8" s="699" t="s">
        <v>426</v>
      </c>
      <c r="B8" s="700"/>
      <c r="C8" s="700"/>
      <c r="D8" s="687">
        <v>465</v>
      </c>
      <c r="E8" s="683"/>
      <c r="F8" s="386" t="s">
        <v>427</v>
      </c>
      <c r="G8" s="387"/>
      <c r="H8" s="388"/>
      <c r="I8" s="389"/>
      <c r="J8" s="390">
        <v>21949</v>
      </c>
      <c r="K8" s="391" t="s">
        <v>38</v>
      </c>
      <c r="L8" s="366"/>
      <c r="M8" s="366"/>
      <c r="N8" s="366"/>
      <c r="O8" s="366"/>
      <c r="P8" s="366"/>
      <c r="Q8" s="377" t="s">
        <v>428</v>
      </c>
      <c r="R8" s="378"/>
      <c r="S8" s="366"/>
      <c r="T8" s="377" t="s">
        <v>429</v>
      </c>
      <c r="U8" s="379"/>
      <c r="V8" s="366"/>
      <c r="W8" s="366"/>
      <c r="X8" s="366"/>
      <c r="Y8" s="366"/>
      <c r="Z8" s="366"/>
    </row>
    <row r="9" spans="1:26" s="370" customFormat="1" ht="18.399999999999999" customHeight="1">
      <c r="A9" s="694" t="s">
        <v>430</v>
      </c>
      <c r="B9" s="695"/>
      <c r="C9" s="696"/>
      <c r="D9" s="687">
        <v>13</v>
      </c>
      <c r="E9" s="683"/>
      <c r="F9" s="380" t="s">
        <v>431</v>
      </c>
      <c r="G9" s="381"/>
      <c r="H9" s="392">
        <v>3</v>
      </c>
      <c r="I9" s="393" t="s">
        <v>432</v>
      </c>
      <c r="J9" s="394">
        <v>205</v>
      </c>
      <c r="K9" s="391" t="s">
        <v>38</v>
      </c>
      <c r="L9" s="366"/>
      <c r="M9" s="366"/>
      <c r="N9" s="366"/>
      <c r="O9" s="366"/>
      <c r="P9" s="366"/>
      <c r="Q9" s="377" t="s">
        <v>433</v>
      </c>
      <c r="R9" s="378"/>
      <c r="S9" s="366"/>
      <c r="T9" s="377" t="s">
        <v>434</v>
      </c>
      <c r="U9" s="379"/>
      <c r="V9" s="366"/>
      <c r="W9" s="366"/>
      <c r="X9" s="366"/>
      <c r="Y9" s="366"/>
      <c r="Z9" s="366"/>
    </row>
    <row r="10" spans="1:26" s="370" customFormat="1" ht="18.399999999999999" customHeight="1" thickBot="1">
      <c r="A10" s="694" t="s">
        <v>435</v>
      </c>
      <c r="B10" s="695"/>
      <c r="C10" s="696"/>
      <c r="D10" s="670" t="s">
        <v>184</v>
      </c>
      <c r="E10" s="671"/>
      <c r="F10" s="380" t="s">
        <v>436</v>
      </c>
      <c r="G10" s="381"/>
      <c r="H10" s="392">
        <v>3</v>
      </c>
      <c r="I10" s="393" t="s">
        <v>432</v>
      </c>
      <c r="J10" s="394">
        <v>1150</v>
      </c>
      <c r="K10" s="391" t="s">
        <v>38</v>
      </c>
      <c r="L10" s="366"/>
      <c r="M10" s="366"/>
      <c r="N10" s="366"/>
      <c r="O10" s="366"/>
      <c r="P10" s="366"/>
      <c r="Q10" s="377" t="s">
        <v>437</v>
      </c>
      <c r="R10" s="378"/>
      <c r="S10" s="366"/>
      <c r="T10" s="395" t="s">
        <v>438</v>
      </c>
      <c r="U10" s="396"/>
      <c r="V10" s="366"/>
      <c r="W10" s="366"/>
      <c r="X10" s="366"/>
      <c r="Y10" s="366"/>
      <c r="Z10" s="366"/>
    </row>
    <row r="11" spans="1:26" s="370" customFormat="1" ht="18.399999999999999" customHeight="1" thickBot="1">
      <c r="A11" s="694" t="s">
        <v>439</v>
      </c>
      <c r="B11" s="695"/>
      <c r="C11" s="696"/>
      <c r="D11" s="665" t="s">
        <v>38</v>
      </c>
      <c r="E11" s="666"/>
      <c r="F11" s="397" t="s">
        <v>440</v>
      </c>
      <c r="G11" s="398"/>
      <c r="H11" s="399">
        <v>3</v>
      </c>
      <c r="I11" s="393" t="s">
        <v>432</v>
      </c>
      <c r="J11" s="400">
        <v>26915</v>
      </c>
      <c r="K11" s="401" t="s">
        <v>38</v>
      </c>
      <c r="L11" s="366"/>
      <c r="M11" s="366"/>
      <c r="N11" s="366"/>
      <c r="O11" s="366"/>
      <c r="P11" s="366"/>
      <c r="Q11" s="377" t="s">
        <v>441</v>
      </c>
      <c r="R11" s="378"/>
      <c r="S11" s="366"/>
      <c r="T11" s="367" t="s">
        <v>442</v>
      </c>
      <c r="U11" s="369"/>
      <c r="V11" s="366"/>
      <c r="W11" s="366"/>
      <c r="X11" s="366"/>
      <c r="Y11" s="366"/>
      <c r="Z11" s="366"/>
    </row>
    <row r="12" spans="1:26" s="370" customFormat="1" ht="18.399999999999999" customHeight="1" thickBot="1">
      <c r="A12" s="402" t="s">
        <v>443</v>
      </c>
      <c r="C12" s="403"/>
      <c r="D12" s="697" t="s">
        <v>38</v>
      </c>
      <c r="E12" s="698"/>
      <c r="F12" s="667" t="s">
        <v>444</v>
      </c>
      <c r="G12" s="668"/>
      <c r="H12" s="668"/>
      <c r="I12" s="668"/>
      <c r="J12" s="668"/>
      <c r="K12" s="669"/>
      <c r="L12" s="366"/>
      <c r="M12" s="366"/>
      <c r="N12" s="366"/>
      <c r="O12" s="366"/>
      <c r="P12" s="366"/>
      <c r="Q12" s="395" t="s">
        <v>445</v>
      </c>
      <c r="R12" s="404"/>
      <c r="S12" s="366"/>
      <c r="T12" s="366"/>
      <c r="U12" s="366"/>
      <c r="V12" s="366"/>
      <c r="W12" s="366"/>
      <c r="X12" s="366"/>
      <c r="Y12" s="366"/>
      <c r="Z12" s="366"/>
    </row>
    <row r="13" spans="1:26" s="370" customFormat="1" ht="18.399999999999999" customHeight="1">
      <c r="A13" s="694" t="s">
        <v>198</v>
      </c>
      <c r="B13" s="695"/>
      <c r="C13" s="696"/>
      <c r="D13" s="690" t="s">
        <v>446</v>
      </c>
      <c r="E13" s="691"/>
      <c r="F13" s="405"/>
      <c r="G13" s="406" t="s">
        <v>447</v>
      </c>
      <c r="H13" s="407"/>
      <c r="I13" s="408" t="s">
        <v>448</v>
      </c>
      <c r="J13" s="409" t="s">
        <v>449</v>
      </c>
      <c r="K13" s="410" t="s">
        <v>38</v>
      </c>
      <c r="L13" s="366"/>
      <c r="M13" s="366"/>
      <c r="N13" s="366"/>
      <c r="O13" s="366"/>
      <c r="P13" s="366"/>
      <c r="Q13" s="366"/>
      <c r="R13" s="366"/>
      <c r="S13" s="366"/>
      <c r="T13" s="366"/>
      <c r="U13" s="366"/>
      <c r="V13" s="366"/>
      <c r="W13" s="366"/>
      <c r="X13" s="366"/>
      <c r="Y13" s="366"/>
      <c r="Z13" s="366"/>
    </row>
    <row r="14" spans="1:26" s="370" customFormat="1" ht="18.399999999999999" customHeight="1">
      <c r="A14" s="694" t="s">
        <v>202</v>
      </c>
      <c r="B14" s="695"/>
      <c r="C14" s="696"/>
      <c r="D14" s="697">
        <v>1160</v>
      </c>
      <c r="E14" s="698"/>
      <c r="F14" s="405"/>
      <c r="G14" s="411" t="s">
        <v>142</v>
      </c>
      <c r="H14" s="412"/>
      <c r="I14" s="412"/>
      <c r="J14" s="394" t="s">
        <v>38</v>
      </c>
      <c r="K14" s="391" t="s">
        <v>38</v>
      </c>
      <c r="L14" s="366"/>
      <c r="M14" s="366"/>
      <c r="N14" s="366"/>
      <c r="O14" s="366"/>
      <c r="P14" s="366"/>
      <c r="Q14" s="366"/>
      <c r="R14" s="366"/>
      <c r="S14" s="366"/>
      <c r="T14" s="366"/>
      <c r="U14" s="366"/>
      <c r="V14" s="366"/>
      <c r="W14" s="366"/>
      <c r="X14" s="366"/>
      <c r="Y14" s="366"/>
      <c r="Z14" s="366"/>
    </row>
    <row r="15" spans="1:26" s="370" customFormat="1" ht="18.399999999999999" customHeight="1">
      <c r="A15" s="684" t="s">
        <v>450</v>
      </c>
      <c r="B15" s="685"/>
      <c r="C15" s="686"/>
      <c r="D15" s="663">
        <v>12.204400062561035</v>
      </c>
      <c r="E15" s="664"/>
      <c r="F15" s="405"/>
      <c r="G15" s="411" t="s">
        <v>451</v>
      </c>
      <c r="H15" s="412"/>
      <c r="I15" s="412"/>
      <c r="J15" s="394" t="s">
        <v>38</v>
      </c>
      <c r="K15" s="391" t="s">
        <v>38</v>
      </c>
      <c r="L15" s="366"/>
      <c r="M15" s="366"/>
      <c r="N15" s="366"/>
      <c r="O15" s="366"/>
      <c r="P15" s="366"/>
      <c r="Q15" s="366"/>
      <c r="R15" s="366"/>
      <c r="S15" s="366"/>
      <c r="T15" s="366"/>
      <c r="U15" s="366"/>
      <c r="V15" s="366"/>
      <c r="W15" s="366"/>
      <c r="X15" s="366"/>
      <c r="Y15" s="366"/>
      <c r="Z15" s="366"/>
    </row>
    <row r="16" spans="1:26" s="370" customFormat="1" ht="18.399999999999999" customHeight="1">
      <c r="A16" s="660" t="s">
        <v>452</v>
      </c>
      <c r="B16" s="661"/>
      <c r="C16" s="662"/>
      <c r="D16" s="663">
        <v>3.736799955368042</v>
      </c>
      <c r="E16" s="664"/>
      <c r="F16" s="414"/>
      <c r="G16" s="415" t="s">
        <v>153</v>
      </c>
      <c r="H16" s="416"/>
      <c r="I16" s="416"/>
      <c r="J16" s="400" t="s">
        <v>38</v>
      </c>
      <c r="K16" s="401" t="s">
        <v>38</v>
      </c>
      <c r="L16" s="366"/>
      <c r="M16" s="366"/>
      <c r="N16" s="366"/>
      <c r="O16" s="366"/>
      <c r="P16" s="366"/>
      <c r="Q16" s="366"/>
      <c r="R16" s="366"/>
      <c r="S16" s="366"/>
      <c r="T16" s="366"/>
      <c r="U16" s="366"/>
      <c r="V16" s="366"/>
      <c r="W16" s="366"/>
      <c r="X16" s="366"/>
      <c r="Y16" s="366"/>
      <c r="Z16" s="366"/>
    </row>
    <row r="17" spans="1:26" s="370" customFormat="1" ht="18.399999999999999" customHeight="1">
      <c r="A17" s="417" t="s">
        <v>453</v>
      </c>
      <c r="B17" s="418"/>
      <c r="C17" s="419"/>
      <c r="D17" s="665" t="s">
        <v>454</v>
      </c>
      <c r="E17" s="666"/>
      <c r="F17" s="667" t="s">
        <v>455</v>
      </c>
      <c r="G17" s="668"/>
      <c r="H17" s="668"/>
      <c r="I17" s="668"/>
      <c r="J17" s="668"/>
      <c r="K17" s="669"/>
      <c r="L17" s="366"/>
      <c r="M17" s="366"/>
      <c r="N17" s="366"/>
      <c r="O17" s="366"/>
      <c r="P17" s="366"/>
      <c r="Q17" s="366"/>
      <c r="R17" s="366"/>
      <c r="S17" s="366"/>
      <c r="T17" s="366"/>
      <c r="U17" s="366"/>
      <c r="V17" s="366"/>
      <c r="W17" s="366"/>
      <c r="X17" s="366"/>
      <c r="Y17" s="366"/>
      <c r="Z17" s="366"/>
    </row>
    <row r="18" spans="1:26" s="370" customFormat="1" ht="18.399999999999999" customHeight="1">
      <c r="A18" s="420" t="s">
        <v>456</v>
      </c>
      <c r="B18" s="421"/>
      <c r="C18" s="419"/>
      <c r="D18" s="670" t="s">
        <v>38</v>
      </c>
      <c r="E18" s="671"/>
      <c r="F18" s="672"/>
      <c r="G18" s="673"/>
      <c r="H18" s="422" t="s">
        <v>457</v>
      </c>
      <c r="I18" s="423"/>
      <c r="J18" s="390">
        <v>113</v>
      </c>
      <c r="K18" s="391"/>
      <c r="L18" s="366"/>
      <c r="M18" s="366">
        <f>J18*6.5</f>
        <v>734.5</v>
      </c>
      <c r="N18" s="366"/>
      <c r="O18" s="366"/>
      <c r="P18" s="366"/>
      <c r="Q18" s="366"/>
      <c r="R18" s="366"/>
      <c r="S18" s="366"/>
      <c r="T18" s="366"/>
      <c r="U18" s="366"/>
      <c r="V18" s="366"/>
      <c r="W18" s="366"/>
      <c r="X18" s="366"/>
      <c r="Y18" s="366"/>
      <c r="Z18" s="366"/>
    </row>
    <row r="19" spans="1:26" s="370" customFormat="1" ht="18.399999999999999" customHeight="1">
      <c r="A19" s="678" t="s">
        <v>458</v>
      </c>
      <c r="B19" s="679"/>
      <c r="C19" s="680"/>
      <c r="D19" s="681" t="s">
        <v>38</v>
      </c>
      <c r="E19" s="666"/>
      <c r="F19" s="674"/>
      <c r="G19" s="675"/>
      <c r="H19" s="422" t="s">
        <v>135</v>
      </c>
      <c r="I19" s="383"/>
      <c r="J19" s="390">
        <v>3575</v>
      </c>
      <c r="K19" s="391"/>
      <c r="L19" s="366"/>
      <c r="M19" s="366"/>
      <c r="N19" s="366"/>
      <c r="O19" s="366"/>
      <c r="P19" s="366"/>
      <c r="Q19" s="366"/>
      <c r="R19" s="366"/>
      <c r="S19" s="366"/>
      <c r="T19" s="366"/>
      <c r="U19" s="366"/>
      <c r="V19" s="366"/>
      <c r="W19" s="366"/>
      <c r="X19" s="366"/>
      <c r="Y19" s="366"/>
      <c r="Z19" s="366"/>
    </row>
    <row r="20" spans="1:26" s="370" customFormat="1" ht="18.399999999999999" customHeight="1" thickBot="1">
      <c r="A20" s="424" t="s">
        <v>459</v>
      </c>
      <c r="C20" s="425"/>
      <c r="D20" s="682" t="s">
        <v>161</v>
      </c>
      <c r="E20" s="683"/>
      <c r="F20" s="674"/>
      <c r="G20" s="675"/>
      <c r="H20" s="422" t="s">
        <v>460</v>
      </c>
      <c r="I20" s="383"/>
      <c r="J20" s="394" t="s">
        <v>45</v>
      </c>
      <c r="K20" s="391"/>
      <c r="L20" s="366"/>
      <c r="M20" s="366"/>
      <c r="N20" s="366"/>
      <c r="O20" s="366"/>
      <c r="P20" s="366"/>
      <c r="Q20" s="366"/>
      <c r="R20" s="366"/>
      <c r="S20" s="366"/>
      <c r="T20" s="366"/>
      <c r="U20" s="366"/>
      <c r="V20" s="366"/>
      <c r="W20" s="366"/>
      <c r="X20" s="366"/>
      <c r="Y20" s="366"/>
      <c r="Z20" s="366"/>
    </row>
    <row r="21" spans="1:26" s="370" customFormat="1" ht="18.399999999999999" customHeight="1" thickBot="1">
      <c r="A21" s="684" t="s">
        <v>461</v>
      </c>
      <c r="B21" s="685"/>
      <c r="C21" s="686"/>
      <c r="D21" s="687" t="s">
        <v>38</v>
      </c>
      <c r="E21" s="683"/>
      <c r="F21" s="674"/>
      <c r="G21" s="675"/>
      <c r="H21" s="426" t="s">
        <v>462</v>
      </c>
      <c r="I21" s="383"/>
      <c r="J21" s="394">
        <v>1.1499999999999999</v>
      </c>
      <c r="K21" s="391"/>
      <c r="L21" s="366"/>
      <c r="M21" s="366"/>
      <c r="N21" s="366"/>
      <c r="O21" s="366"/>
      <c r="P21" s="366"/>
      <c r="Q21" s="367" t="s">
        <v>463</v>
      </c>
      <c r="R21" s="369"/>
      <c r="S21" s="366"/>
      <c r="T21" s="366"/>
      <c r="U21" s="366"/>
      <c r="V21" s="366"/>
      <c r="W21" s="366"/>
      <c r="X21" s="366"/>
      <c r="Y21" s="366"/>
      <c r="Z21" s="366"/>
    </row>
    <row r="22" spans="1:26" s="370" customFormat="1" ht="18.399999999999999" customHeight="1">
      <c r="A22" s="420" t="s">
        <v>464</v>
      </c>
      <c r="B22" s="427"/>
      <c r="C22" s="427"/>
      <c r="D22" s="688">
        <v>0.12950000166893005</v>
      </c>
      <c r="E22" s="689"/>
      <c r="F22" s="674"/>
      <c r="G22" s="675"/>
      <c r="H22" s="422" t="s">
        <v>416</v>
      </c>
      <c r="I22" s="383"/>
      <c r="J22" s="394"/>
      <c r="K22" s="391"/>
      <c r="L22" s="366"/>
      <c r="M22" s="366"/>
      <c r="N22" s="366"/>
      <c r="O22" s="366"/>
      <c r="P22" s="366"/>
      <c r="Q22" s="377" t="s">
        <v>465</v>
      </c>
      <c r="R22" s="379"/>
      <c r="S22" s="366"/>
      <c r="T22" s="366"/>
      <c r="U22" s="366"/>
      <c r="V22" s="366"/>
      <c r="W22" s="366"/>
      <c r="X22" s="366"/>
      <c r="Y22" s="366"/>
      <c r="Z22" s="366"/>
    </row>
    <row r="23" spans="1:26" s="370" customFormat="1" ht="18.399999999999999" customHeight="1">
      <c r="A23" s="428" t="s">
        <v>466</v>
      </c>
      <c r="B23" s="429" t="s">
        <v>467</v>
      </c>
      <c r="C23" s="430"/>
      <c r="D23" s="690">
        <v>459.5</v>
      </c>
      <c r="E23" s="691"/>
      <c r="F23" s="674"/>
      <c r="G23" s="675"/>
      <c r="H23" s="431" t="s">
        <v>468</v>
      </c>
      <c r="I23" s="432"/>
      <c r="J23" s="433"/>
      <c r="K23" s="434"/>
      <c r="L23" s="366"/>
      <c r="Q23" s="377" t="s">
        <v>469</v>
      </c>
      <c r="R23" s="379"/>
      <c r="S23" s="366"/>
      <c r="T23" s="366"/>
      <c r="U23" s="366"/>
      <c r="V23" s="366"/>
      <c r="W23" s="366"/>
      <c r="X23" s="366"/>
      <c r="Y23" s="366"/>
      <c r="Z23" s="366"/>
    </row>
    <row r="24" spans="1:26" s="370" customFormat="1" ht="18.399999999999999" customHeight="1" thickBot="1">
      <c r="A24" s="435" t="s">
        <v>470</v>
      </c>
      <c r="B24" s="436" t="s">
        <v>471</v>
      </c>
      <c r="C24" s="437"/>
      <c r="D24" s="692" t="s">
        <v>38</v>
      </c>
      <c r="E24" s="693"/>
      <c r="F24" s="674"/>
      <c r="G24" s="675"/>
      <c r="H24" s="422" t="s">
        <v>472</v>
      </c>
      <c r="I24" s="403"/>
      <c r="J24" s="438"/>
      <c r="K24" s="439"/>
      <c r="Q24" s="440" t="s">
        <v>38</v>
      </c>
      <c r="R24" s="441"/>
      <c r="S24" s="366"/>
      <c r="T24" s="366"/>
      <c r="U24" s="366"/>
      <c r="V24" s="366"/>
      <c r="W24" s="366"/>
      <c r="X24" s="366"/>
      <c r="Y24" s="366"/>
      <c r="Z24" s="366"/>
    </row>
    <row r="25" spans="1:26" s="370" customFormat="1" ht="18.399999999999999" customHeight="1">
      <c r="A25" s="442" t="s">
        <v>473</v>
      </c>
      <c r="B25" s="443"/>
      <c r="C25" s="443"/>
      <c r="D25" s="444"/>
      <c r="E25" s="444" t="s">
        <v>474</v>
      </c>
      <c r="F25" s="674"/>
      <c r="G25" s="675"/>
      <c r="H25" s="422" t="s">
        <v>475</v>
      </c>
      <c r="I25" s="403"/>
      <c r="J25" s="445">
        <v>90.5</v>
      </c>
      <c r="K25" s="439"/>
      <c r="R25" s="366"/>
      <c r="S25" s="366"/>
      <c r="T25" s="366"/>
      <c r="U25" s="366"/>
      <c r="V25" s="366"/>
      <c r="W25" s="366"/>
      <c r="X25" s="366"/>
      <c r="Y25" s="366"/>
      <c r="Z25" s="366"/>
    </row>
    <row r="26" spans="1:26" s="370" customFormat="1" ht="18.399999999999999" customHeight="1">
      <c r="A26" s="446" t="s">
        <v>476</v>
      </c>
      <c r="B26" s="447"/>
      <c r="C26" s="448"/>
      <c r="D26" s="449" t="s">
        <v>477</v>
      </c>
      <c r="E26" s="449" t="s">
        <v>478</v>
      </c>
      <c r="F26" s="676"/>
      <c r="G26" s="677"/>
      <c r="H26" s="639"/>
      <c r="I26" s="640"/>
      <c r="J26" s="450"/>
      <c r="K26" s="451"/>
      <c r="R26" s="366"/>
      <c r="S26" s="366"/>
      <c r="T26" s="366"/>
      <c r="U26" s="366"/>
      <c r="V26" s="366"/>
      <c r="W26" s="366"/>
      <c r="X26" s="366"/>
      <c r="Y26" s="366"/>
      <c r="Z26" s="366"/>
    </row>
    <row r="27" spans="1:26" s="370" customFormat="1" ht="18.399999999999999" customHeight="1">
      <c r="A27" s="649" t="s">
        <v>479</v>
      </c>
      <c r="B27" s="650"/>
      <c r="C27" s="650"/>
      <c r="D27" s="650"/>
      <c r="E27" s="650"/>
      <c r="F27" s="657" t="s">
        <v>480</v>
      </c>
      <c r="G27" s="658"/>
      <c r="H27" s="658"/>
      <c r="I27" s="658"/>
      <c r="J27" s="658"/>
      <c r="K27" s="659"/>
      <c r="R27" s="366"/>
      <c r="S27" s="366"/>
      <c r="T27" s="366"/>
      <c r="U27" s="366"/>
      <c r="V27" s="366"/>
      <c r="W27" s="366"/>
      <c r="X27" s="366"/>
      <c r="Y27" s="366"/>
      <c r="Z27" s="366"/>
    </row>
    <row r="28" spans="1:26" s="370" customFormat="1" ht="18.399999999999999" customHeight="1">
      <c r="A28" s="643"/>
      <c r="B28" s="644"/>
      <c r="C28" s="644"/>
      <c r="D28" s="644"/>
      <c r="E28" s="645"/>
      <c r="F28" s="452"/>
      <c r="G28" s="453"/>
      <c r="H28" s="411" t="s">
        <v>481</v>
      </c>
      <c r="I28" s="454" t="s">
        <v>482</v>
      </c>
      <c r="J28" s="390">
        <v>733</v>
      </c>
      <c r="K28" s="455" t="s">
        <v>38</v>
      </c>
      <c r="M28" s="370">
        <f>(J28/J18)*100</f>
        <v>648.67256637168134</v>
      </c>
      <c r="N28" s="456"/>
      <c r="R28" s="366"/>
      <c r="S28" s="366"/>
      <c r="T28" s="366"/>
      <c r="U28" s="366"/>
      <c r="V28" s="366"/>
      <c r="W28" s="366"/>
      <c r="X28" s="366"/>
      <c r="Y28" s="366"/>
      <c r="Z28" s="366"/>
    </row>
    <row r="29" spans="1:26" s="370" customFormat="1" ht="18.399999999999999" customHeight="1">
      <c r="A29" s="643"/>
      <c r="B29" s="644"/>
      <c r="C29" s="644"/>
      <c r="D29" s="644"/>
      <c r="E29" s="645"/>
      <c r="F29" s="457"/>
      <c r="G29" s="458"/>
      <c r="H29" s="411" t="s">
        <v>483</v>
      </c>
      <c r="I29" s="459">
        <v>60</v>
      </c>
      <c r="J29" s="390">
        <v>120</v>
      </c>
      <c r="K29" s="385" t="s">
        <v>38</v>
      </c>
      <c r="Q29" s="366"/>
      <c r="R29" s="366"/>
      <c r="S29" s="366"/>
      <c r="T29" s="366"/>
      <c r="U29" s="366"/>
      <c r="V29" s="366"/>
      <c r="W29" s="366"/>
      <c r="X29" s="366"/>
      <c r="Y29" s="366"/>
      <c r="Z29" s="366"/>
    </row>
    <row r="30" spans="1:26" s="370" customFormat="1" ht="18.399999999999999" customHeight="1">
      <c r="A30" s="643"/>
      <c r="B30" s="644"/>
      <c r="C30" s="644"/>
      <c r="D30" s="644"/>
      <c r="E30" s="645"/>
      <c r="F30" s="457"/>
      <c r="G30" s="458"/>
      <c r="H30" s="411" t="s">
        <v>484</v>
      </c>
      <c r="I30" s="459">
        <v>175</v>
      </c>
      <c r="J30" s="390">
        <v>298</v>
      </c>
      <c r="K30" s="385" t="s">
        <v>38</v>
      </c>
      <c r="L30" s="366"/>
      <c r="R30" s="366"/>
      <c r="S30" s="366"/>
      <c r="T30" s="366"/>
      <c r="U30" s="366"/>
      <c r="V30" s="366"/>
      <c r="W30" s="366"/>
      <c r="X30" s="366"/>
      <c r="Y30" s="366"/>
      <c r="Z30" s="366"/>
    </row>
    <row r="31" spans="1:26" s="370" customFormat="1" ht="18.399999999999999" customHeight="1">
      <c r="A31" s="643"/>
      <c r="B31" s="644"/>
      <c r="C31" s="644"/>
      <c r="D31" s="644"/>
      <c r="E31" s="645"/>
      <c r="F31" s="457"/>
      <c r="G31" s="458"/>
      <c r="H31" s="411" t="s">
        <v>485</v>
      </c>
      <c r="I31" s="412"/>
      <c r="J31" s="460">
        <v>0.56999999999999995</v>
      </c>
      <c r="K31" s="385" t="s">
        <v>38</v>
      </c>
      <c r="L31" s="366"/>
      <c r="R31" s="366"/>
      <c r="S31" s="366"/>
      <c r="T31" s="366"/>
      <c r="U31" s="366"/>
      <c r="V31" s="366"/>
      <c r="W31" s="366"/>
      <c r="X31" s="366"/>
      <c r="Y31" s="366"/>
      <c r="Z31" s="366"/>
    </row>
    <row r="32" spans="1:26" s="370" customFormat="1" ht="18.399999999999999" customHeight="1">
      <c r="A32" s="646"/>
      <c r="B32" s="647"/>
      <c r="C32" s="647"/>
      <c r="D32" s="647"/>
      <c r="E32" s="648"/>
      <c r="F32" s="457"/>
      <c r="G32" s="461" t="s">
        <v>486</v>
      </c>
      <c r="H32" s="411" t="s">
        <v>487</v>
      </c>
      <c r="I32" s="462"/>
      <c r="J32" s="384">
        <v>94.6</v>
      </c>
      <c r="K32" s="385" t="s">
        <v>38</v>
      </c>
      <c r="L32" s="366"/>
      <c r="N32" s="463"/>
      <c r="R32" s="366"/>
      <c r="S32" s="366"/>
      <c r="T32" s="366"/>
      <c r="U32" s="366"/>
      <c r="V32" s="366"/>
      <c r="W32" s="366"/>
      <c r="X32" s="366"/>
      <c r="Y32" s="366"/>
      <c r="Z32" s="366"/>
    </row>
    <row r="33" spans="1:26" s="370" customFormat="1" ht="18.399999999999999" customHeight="1">
      <c r="A33" s="649" t="s">
        <v>488</v>
      </c>
      <c r="B33" s="650"/>
      <c r="C33" s="650"/>
      <c r="D33" s="650"/>
      <c r="E33" s="651"/>
      <c r="F33" s="464"/>
      <c r="G33" s="465"/>
      <c r="H33" s="466" t="s">
        <v>489</v>
      </c>
      <c r="I33" s="467"/>
      <c r="J33" s="468">
        <v>90.7</v>
      </c>
      <c r="K33" s="455" t="s">
        <v>38</v>
      </c>
      <c r="L33" s="366"/>
      <c r="R33" s="366"/>
      <c r="S33" s="366"/>
      <c r="T33" s="366"/>
      <c r="U33" s="366"/>
      <c r="V33" s="366"/>
      <c r="W33" s="366"/>
      <c r="X33" s="366"/>
      <c r="Y33" s="366"/>
      <c r="Z33" s="366"/>
    </row>
    <row r="34" spans="1:26" s="370" customFormat="1" ht="18.399999999999999" customHeight="1">
      <c r="A34" s="643"/>
      <c r="B34" s="644"/>
      <c r="C34" s="644"/>
      <c r="D34" s="644"/>
      <c r="E34" s="645"/>
      <c r="F34" s="386" t="s">
        <v>490</v>
      </c>
      <c r="G34" s="469"/>
      <c r="H34" s="470" t="s">
        <v>150</v>
      </c>
      <c r="I34" s="471"/>
      <c r="J34" s="472">
        <v>6188</v>
      </c>
      <c r="K34" s="455" t="s">
        <v>38</v>
      </c>
      <c r="L34" s="473"/>
      <c r="M34" s="474"/>
      <c r="R34" s="366"/>
      <c r="S34" s="366"/>
      <c r="T34" s="366"/>
      <c r="U34" s="366"/>
      <c r="V34" s="366"/>
      <c r="W34" s="366"/>
      <c r="X34" s="366"/>
      <c r="Y34" s="366"/>
      <c r="Z34" s="366"/>
    </row>
    <row r="35" spans="1:26" s="370" customFormat="1" ht="18.399999999999999" customHeight="1">
      <c r="A35" s="643"/>
      <c r="B35" s="644"/>
      <c r="C35" s="644"/>
      <c r="D35" s="644"/>
      <c r="E35" s="645"/>
      <c r="F35" s="405"/>
      <c r="G35" s="475"/>
      <c r="H35" s="476" t="s">
        <v>151</v>
      </c>
      <c r="I35" s="413"/>
      <c r="J35" s="390">
        <v>4006</v>
      </c>
      <c r="K35" s="455" t="s">
        <v>38</v>
      </c>
      <c r="M35" s="474"/>
      <c r="R35" s="366"/>
      <c r="S35" s="366"/>
      <c r="T35" s="366"/>
      <c r="U35" s="366"/>
      <c r="V35" s="366"/>
      <c r="W35" s="366"/>
      <c r="X35" s="366"/>
      <c r="Y35" s="366"/>
      <c r="Z35" s="366"/>
    </row>
    <row r="36" spans="1:26" s="370" customFormat="1" ht="18.399999999999999" customHeight="1">
      <c r="A36" s="643"/>
      <c r="B36" s="644"/>
      <c r="C36" s="644"/>
      <c r="D36" s="644"/>
      <c r="E36" s="645"/>
      <c r="F36" s="405"/>
      <c r="G36" s="475"/>
      <c r="H36" s="476" t="s">
        <v>491</v>
      </c>
      <c r="I36" s="413"/>
      <c r="J36" s="390">
        <v>4157</v>
      </c>
      <c r="K36" s="455" t="s">
        <v>38</v>
      </c>
      <c r="Q36" s="366"/>
      <c r="R36" s="366"/>
      <c r="S36" s="366"/>
      <c r="T36" s="366"/>
      <c r="U36" s="366"/>
      <c r="V36" s="366"/>
      <c r="W36" s="366"/>
      <c r="X36" s="366"/>
      <c r="Y36" s="366"/>
      <c r="Z36" s="366"/>
    </row>
    <row r="37" spans="1:26" s="370" customFormat="1" ht="18.399999999999999" customHeight="1">
      <c r="A37" s="643"/>
      <c r="B37" s="644"/>
      <c r="C37" s="644"/>
      <c r="D37" s="644"/>
      <c r="E37" s="645"/>
      <c r="F37" s="457"/>
      <c r="G37" s="475"/>
      <c r="H37" s="476" t="s">
        <v>492</v>
      </c>
      <c r="I37" s="413"/>
      <c r="J37" s="390">
        <v>17384</v>
      </c>
      <c r="K37" s="477" t="s">
        <v>38</v>
      </c>
      <c r="M37" s="478"/>
      <c r="R37" s="366"/>
      <c r="S37" s="366"/>
      <c r="T37" s="366"/>
      <c r="U37" s="366"/>
      <c r="V37" s="366"/>
      <c r="W37" s="366"/>
      <c r="X37" s="366"/>
      <c r="Y37" s="366"/>
      <c r="Z37" s="366"/>
    </row>
    <row r="38" spans="1:26" s="370" customFormat="1" ht="18.399999999999999" customHeight="1">
      <c r="A38" s="646"/>
      <c r="B38" s="647"/>
      <c r="C38" s="647"/>
      <c r="D38" s="647"/>
      <c r="E38" s="648"/>
      <c r="F38" s="414"/>
      <c r="G38" s="479"/>
      <c r="H38" s="480" t="s">
        <v>493</v>
      </c>
      <c r="I38" s="481"/>
      <c r="J38" s="482">
        <v>6927</v>
      </c>
      <c r="K38" s="455" t="s">
        <v>38</v>
      </c>
      <c r="R38" s="366"/>
      <c r="S38" s="366"/>
      <c r="T38" s="366"/>
      <c r="U38" s="366"/>
      <c r="V38" s="366"/>
      <c r="W38" s="366"/>
      <c r="X38" s="366"/>
      <c r="Y38" s="366"/>
      <c r="Z38" s="366"/>
    </row>
    <row r="39" spans="1:26" s="370" customFormat="1" ht="18.399999999999999" customHeight="1">
      <c r="A39" s="649" t="s">
        <v>494</v>
      </c>
      <c r="B39" s="650"/>
      <c r="C39" s="650"/>
      <c r="D39" s="650"/>
      <c r="E39" s="650"/>
      <c r="F39" s="483" t="s">
        <v>495</v>
      </c>
      <c r="G39" s="484"/>
      <c r="H39" s="484"/>
      <c r="I39" s="484"/>
      <c r="J39" s="484"/>
      <c r="K39" s="485"/>
      <c r="R39" s="366"/>
      <c r="S39" s="366"/>
      <c r="T39" s="366"/>
      <c r="U39" s="366"/>
      <c r="V39" s="366"/>
      <c r="W39" s="366"/>
      <c r="X39" s="366"/>
      <c r="Y39" s="366"/>
      <c r="Z39" s="366"/>
    </row>
    <row r="40" spans="1:26" s="370" customFormat="1" ht="18.399999999999999" customHeight="1">
      <c r="A40" s="643"/>
      <c r="B40" s="644"/>
      <c r="C40" s="644"/>
      <c r="D40" s="644"/>
      <c r="E40" s="645"/>
      <c r="F40" s="486" t="s">
        <v>496</v>
      </c>
      <c r="G40" s="487"/>
      <c r="H40" s="487"/>
      <c r="I40" s="487"/>
      <c r="J40" s="487"/>
      <c r="K40" s="488"/>
      <c r="R40" s="366"/>
      <c r="S40" s="366"/>
      <c r="T40" s="366"/>
      <c r="U40" s="366"/>
      <c r="V40" s="366"/>
      <c r="W40" s="366"/>
      <c r="X40" s="366"/>
      <c r="Y40" s="366"/>
      <c r="Z40" s="366"/>
    </row>
    <row r="41" spans="1:26" s="370" customFormat="1" ht="18.399999999999999" customHeight="1">
      <c r="A41" s="643"/>
      <c r="B41" s="644"/>
      <c r="C41" s="644"/>
      <c r="D41" s="644"/>
      <c r="E41" s="645"/>
      <c r="F41" s="486"/>
      <c r="G41" s="489" t="s">
        <v>822</v>
      </c>
      <c r="H41" s="489"/>
      <c r="I41" s="489"/>
      <c r="J41" s="489"/>
      <c r="K41" s="490"/>
      <c r="L41" s="491"/>
      <c r="R41" s="366"/>
      <c r="S41" s="366"/>
      <c r="T41" s="366"/>
      <c r="U41" s="366"/>
      <c r="V41" s="366"/>
      <c r="W41" s="366"/>
      <c r="X41" s="366"/>
      <c r="Y41" s="366"/>
      <c r="Z41" s="366"/>
    </row>
    <row r="42" spans="1:26" s="370" customFormat="1" ht="18.399999999999999" customHeight="1">
      <c r="A42" s="643"/>
      <c r="B42" s="644"/>
      <c r="C42" s="644"/>
      <c r="D42" s="644"/>
      <c r="E42" s="645"/>
      <c r="F42" s="486"/>
      <c r="G42" s="489" t="s">
        <v>823</v>
      </c>
      <c r="H42" s="489"/>
      <c r="I42" s="489"/>
      <c r="J42" s="489"/>
      <c r="K42" s="490"/>
      <c r="L42" s="366"/>
      <c r="M42" s="366" t="s">
        <v>824</v>
      </c>
      <c r="N42" s="366"/>
      <c r="O42" s="366"/>
      <c r="P42" s="366"/>
      <c r="Q42" s="366"/>
      <c r="R42" s="366"/>
      <c r="S42" s="366"/>
      <c r="T42" s="366"/>
      <c r="U42" s="366"/>
      <c r="V42" s="366"/>
      <c r="W42" s="366"/>
      <c r="X42" s="366"/>
      <c r="Y42" s="366"/>
      <c r="Z42" s="366"/>
    </row>
    <row r="43" spans="1:26" s="370" customFormat="1" ht="18.399999999999999" customHeight="1">
      <c r="A43" s="643"/>
      <c r="B43" s="644"/>
      <c r="C43" s="644"/>
      <c r="D43" s="644"/>
      <c r="E43" s="645"/>
      <c r="F43" s="486"/>
      <c r="G43" s="489" t="s">
        <v>825</v>
      </c>
      <c r="H43" s="489"/>
      <c r="I43" s="489"/>
      <c r="J43" s="489"/>
      <c r="K43" s="490"/>
      <c r="L43" s="366"/>
      <c r="M43" s="370" t="s">
        <v>826</v>
      </c>
      <c r="N43" s="366"/>
      <c r="O43" s="366"/>
      <c r="P43" s="366"/>
      <c r="Q43" s="366"/>
      <c r="R43" s="366"/>
      <c r="S43" s="366"/>
      <c r="T43" s="366"/>
      <c r="U43" s="366"/>
      <c r="V43" s="366"/>
      <c r="W43" s="366"/>
      <c r="X43" s="366"/>
      <c r="Y43" s="366"/>
      <c r="Z43" s="366"/>
    </row>
    <row r="44" spans="1:26" s="370" customFormat="1" ht="17.100000000000001" customHeight="1" thickBot="1">
      <c r="A44" s="652"/>
      <c r="B44" s="653"/>
      <c r="C44" s="653"/>
      <c r="D44" s="653"/>
      <c r="E44" s="654"/>
      <c r="F44" s="486"/>
      <c r="G44" s="489" t="s">
        <v>827</v>
      </c>
      <c r="H44" s="489"/>
      <c r="I44" s="489"/>
      <c r="J44" s="489"/>
      <c r="K44" s="490"/>
      <c r="L44" s="366"/>
      <c r="M44" s="366" t="s">
        <v>828</v>
      </c>
      <c r="N44" s="366"/>
      <c r="O44" s="366"/>
      <c r="P44" s="366"/>
      <c r="Q44" s="366"/>
      <c r="R44" s="366"/>
      <c r="S44" s="366"/>
      <c r="T44" s="366"/>
      <c r="U44" s="366"/>
      <c r="V44" s="366"/>
      <c r="W44" s="366"/>
      <c r="X44" s="366"/>
      <c r="Y44" s="366"/>
      <c r="Z44" s="366"/>
    </row>
    <row r="45" spans="1:26" s="370" customFormat="1" ht="17.100000000000001" customHeight="1">
      <c r="A45" s="492" t="s">
        <v>497</v>
      </c>
      <c r="B45" s="655"/>
      <c r="C45" s="656"/>
      <c r="D45" s="493" t="s">
        <v>498</v>
      </c>
      <c r="E45" s="494" t="s">
        <v>499</v>
      </c>
      <c r="F45" s="495"/>
      <c r="G45" s="489"/>
      <c r="H45" s="489"/>
      <c r="I45" s="489"/>
      <c r="J45" s="489"/>
      <c r="K45" s="490"/>
      <c r="L45" s="366"/>
      <c r="M45" s="366"/>
      <c r="N45" s="366"/>
      <c r="O45" s="366"/>
      <c r="P45" s="366"/>
      <c r="Q45" s="366"/>
      <c r="R45" s="366"/>
      <c r="S45" s="366"/>
      <c r="T45" s="366"/>
      <c r="U45" s="366"/>
      <c r="V45" s="366"/>
      <c r="W45" s="366"/>
      <c r="X45" s="366"/>
      <c r="Y45" s="366"/>
      <c r="Z45" s="366"/>
    </row>
    <row r="46" spans="1:26" s="370" customFormat="1" ht="17.100000000000001" customHeight="1" thickBot="1">
      <c r="A46" s="496" t="s">
        <v>500</v>
      </c>
      <c r="B46" s="641"/>
      <c r="C46" s="642"/>
      <c r="D46" s="497" t="s">
        <v>500</v>
      </c>
      <c r="E46" s="498">
        <v>45943</v>
      </c>
      <c r="F46" s="499"/>
      <c r="G46" s="500" t="s">
        <v>501</v>
      </c>
      <c r="H46" s="500"/>
      <c r="I46" s="500"/>
      <c r="J46" s="500"/>
      <c r="K46" s="501"/>
      <c r="L46" s="366"/>
      <c r="M46" s="366"/>
      <c r="N46" s="366"/>
      <c r="O46" s="366"/>
      <c r="P46" s="366"/>
      <c r="Q46" s="366"/>
      <c r="R46" s="366"/>
      <c r="S46" s="366"/>
      <c r="T46" s="366"/>
      <c r="U46" s="366"/>
      <c r="V46" s="366"/>
      <c r="W46" s="366"/>
      <c r="X46" s="366"/>
      <c r="Y46" s="366"/>
      <c r="Z46" s="366"/>
    </row>
    <row r="47" spans="1:26" s="370" customFormat="1" ht="17.100000000000001" customHeight="1">
      <c r="F47" s="502"/>
      <c r="G47" s="366" t="s">
        <v>502</v>
      </c>
      <c r="H47" s="366"/>
      <c r="I47" s="366"/>
      <c r="J47" s="366"/>
      <c r="K47" s="366"/>
      <c r="L47" s="366"/>
      <c r="M47" s="366"/>
      <c r="N47" s="366"/>
      <c r="O47" s="366"/>
      <c r="P47" s="366"/>
      <c r="Q47" s="366"/>
      <c r="R47" s="366"/>
      <c r="S47" s="366"/>
      <c r="T47" s="366"/>
      <c r="U47" s="366"/>
    </row>
    <row r="48" spans="1:26" s="370" customFormat="1" ht="17.100000000000001" customHeight="1">
      <c r="F48" s="366"/>
      <c r="G48" s="366"/>
      <c r="H48" s="366"/>
      <c r="I48" s="366"/>
      <c r="J48" s="366"/>
      <c r="K48" s="366"/>
    </row>
    <row r="49" spans="2:26" ht="17.100000000000001" customHeight="1">
      <c r="F49" s="356"/>
      <c r="G49" s="356"/>
      <c r="H49" s="356"/>
      <c r="I49" s="356"/>
      <c r="J49" s="356"/>
      <c r="K49" s="356"/>
      <c r="L49" s="357"/>
      <c r="M49" s="357"/>
      <c r="N49" s="357"/>
      <c r="O49" s="357"/>
      <c r="P49" s="357"/>
      <c r="Q49" s="357"/>
      <c r="R49" s="357"/>
      <c r="S49" s="357"/>
      <c r="T49" s="357"/>
      <c r="U49" s="357"/>
      <c r="V49" s="357"/>
      <c r="W49" s="357"/>
      <c r="X49" s="357"/>
      <c r="Y49" s="357"/>
      <c r="Z49" s="357"/>
    </row>
    <row r="50" spans="2:26">
      <c r="F50" s="356"/>
      <c r="G50" s="356"/>
      <c r="H50" s="356"/>
      <c r="I50" s="356"/>
      <c r="J50" s="356"/>
      <c r="K50" s="356"/>
      <c r="L50" s="357"/>
      <c r="M50" s="357"/>
      <c r="N50" s="357"/>
      <c r="O50" s="357"/>
      <c r="P50" s="357"/>
      <c r="Q50" s="357"/>
      <c r="R50" s="357"/>
      <c r="S50" s="357"/>
      <c r="T50" s="357"/>
      <c r="U50" s="357"/>
      <c r="V50" s="357"/>
      <c r="W50" s="357"/>
      <c r="X50" s="357"/>
      <c r="Y50" s="357"/>
      <c r="Z50" s="357"/>
    </row>
    <row r="51" spans="2:26">
      <c r="F51" s="356"/>
      <c r="G51" s="356"/>
      <c r="H51" s="356"/>
      <c r="I51" s="356"/>
      <c r="J51" s="356"/>
      <c r="K51" s="356"/>
      <c r="L51" s="357"/>
      <c r="M51" s="357"/>
      <c r="N51" s="357"/>
      <c r="O51" s="357"/>
      <c r="P51" s="357"/>
      <c r="Q51" s="357"/>
      <c r="R51" s="357"/>
      <c r="S51" s="357"/>
      <c r="T51" s="357"/>
      <c r="U51" s="357"/>
      <c r="V51" s="357"/>
      <c r="W51" s="357"/>
      <c r="X51" s="357"/>
      <c r="Y51" s="357"/>
      <c r="Z51" s="357"/>
    </row>
    <row r="52" spans="2:26">
      <c r="B52" s="356"/>
      <c r="C52" s="356"/>
      <c r="D52" s="356"/>
      <c r="E52" s="356"/>
      <c r="F52" s="356"/>
      <c r="G52" s="356"/>
      <c r="H52" s="356"/>
      <c r="I52" s="356"/>
      <c r="J52" s="356"/>
      <c r="K52" s="356"/>
      <c r="Q52" s="357"/>
      <c r="R52" s="357"/>
      <c r="S52" s="357"/>
      <c r="T52" s="357"/>
      <c r="U52" s="357"/>
      <c r="V52" s="357"/>
      <c r="W52" s="357"/>
      <c r="X52" s="357"/>
      <c r="Y52" s="357"/>
      <c r="Z52" s="357"/>
    </row>
    <row r="53" spans="2:26">
      <c r="F53" s="356"/>
      <c r="G53" s="356"/>
      <c r="H53" s="356"/>
      <c r="I53" s="356"/>
      <c r="J53" s="356"/>
      <c r="K53" s="356"/>
      <c r="Q53" s="357"/>
      <c r="R53" s="357"/>
      <c r="S53" s="357"/>
      <c r="T53" s="357"/>
      <c r="U53" s="357"/>
      <c r="V53" s="357"/>
      <c r="W53" s="357"/>
      <c r="X53" s="357"/>
      <c r="Y53" s="357"/>
      <c r="Z53" s="357"/>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B46:C46"/>
    <mergeCell ref="A28:E32"/>
    <mergeCell ref="A33:E33"/>
    <mergeCell ref="A34:E38"/>
    <mergeCell ref="A39:E39"/>
    <mergeCell ref="A40:E44"/>
    <mergeCell ref="B45:C45"/>
    <mergeCell ref="A27:E27"/>
    <mergeCell ref="F27:K27"/>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8311277B-4C27-4715-BC8D-ED378F97737D}">
      <formula1>$Q$5:$Q$12</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E06A87C6-1D6B-44A3-B088-0DFE909E0431}">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FA76E050-54E3-429E-B0F7-BA0F03DDBC91}">
      <formula1>$T$5:$T$11</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1D9F-0008-4D93-81F8-F5F717E62285}">
  <sheetPr syncVertical="1" syncRef="A8" transitionEvaluation="1"/>
  <dimension ref="A1:N120"/>
  <sheetViews>
    <sheetView showGridLines="0" topLeftCell="A8" zoomScaleNormal="100" workbookViewId="0">
      <selection activeCell="F6" sqref="F6"/>
    </sheetView>
  </sheetViews>
  <sheetFormatPr defaultColWidth="8.796875" defaultRowHeight="15.75"/>
  <cols>
    <col min="1" max="13" width="4.8984375" style="509" customWidth="1"/>
    <col min="14" max="14" width="5" style="509" customWidth="1"/>
    <col min="15" max="256" width="8.796875" style="509"/>
    <col min="257" max="269" width="4.8984375" style="509" customWidth="1"/>
    <col min="270" max="270" width="5" style="509" customWidth="1"/>
    <col min="271" max="512" width="8.796875" style="509"/>
    <col min="513" max="525" width="4.8984375" style="509" customWidth="1"/>
    <col min="526" max="526" width="5" style="509" customWidth="1"/>
    <col min="527" max="768" width="8.796875" style="509"/>
    <col min="769" max="781" width="4.8984375" style="509" customWidth="1"/>
    <col min="782" max="782" width="5" style="509" customWidth="1"/>
    <col min="783" max="1024" width="8.796875" style="509"/>
    <col min="1025" max="1037" width="4.8984375" style="509" customWidth="1"/>
    <col min="1038" max="1038" width="5" style="509" customWidth="1"/>
    <col min="1039" max="1280" width="8.796875" style="509"/>
    <col min="1281" max="1293" width="4.8984375" style="509" customWidth="1"/>
    <col min="1294" max="1294" width="5" style="509" customWidth="1"/>
    <col min="1295" max="1536" width="8.796875" style="509"/>
    <col min="1537" max="1549" width="4.8984375" style="509" customWidth="1"/>
    <col min="1550" max="1550" width="5" style="509" customWidth="1"/>
    <col min="1551" max="1792" width="8.796875" style="509"/>
    <col min="1793" max="1805" width="4.8984375" style="509" customWidth="1"/>
    <col min="1806" max="1806" width="5" style="509" customWidth="1"/>
    <col min="1807" max="2048" width="8.796875" style="509"/>
    <col min="2049" max="2061" width="4.8984375" style="509" customWidth="1"/>
    <col min="2062" max="2062" width="5" style="509" customWidth="1"/>
    <col min="2063" max="2304" width="8.796875" style="509"/>
    <col min="2305" max="2317" width="4.8984375" style="509" customWidth="1"/>
    <col min="2318" max="2318" width="5" style="509" customWidth="1"/>
    <col min="2319" max="2560" width="8.796875" style="509"/>
    <col min="2561" max="2573" width="4.8984375" style="509" customWidth="1"/>
    <col min="2574" max="2574" width="5" style="509" customWidth="1"/>
    <col min="2575" max="2816" width="8.796875" style="509"/>
    <col min="2817" max="2829" width="4.8984375" style="509" customWidth="1"/>
    <col min="2830" max="2830" width="5" style="509" customWidth="1"/>
    <col min="2831" max="3072" width="8.796875" style="509"/>
    <col min="3073" max="3085" width="4.8984375" style="509" customWidth="1"/>
    <col min="3086" max="3086" width="5" style="509" customWidth="1"/>
    <col min="3087" max="3328" width="8.796875" style="509"/>
    <col min="3329" max="3341" width="4.8984375" style="509" customWidth="1"/>
    <col min="3342" max="3342" width="5" style="509" customWidth="1"/>
    <col min="3343" max="3584" width="8.796875" style="509"/>
    <col min="3585" max="3597" width="4.8984375" style="509" customWidth="1"/>
    <col min="3598" max="3598" width="5" style="509" customWidth="1"/>
    <col min="3599" max="3840" width="8.796875" style="509"/>
    <col min="3841" max="3853" width="4.8984375" style="509" customWidth="1"/>
    <col min="3854" max="3854" width="5" style="509" customWidth="1"/>
    <col min="3855" max="4096" width="8.796875" style="509"/>
    <col min="4097" max="4109" width="4.8984375" style="509" customWidth="1"/>
    <col min="4110" max="4110" width="5" style="509" customWidth="1"/>
    <col min="4111" max="4352" width="8.796875" style="509"/>
    <col min="4353" max="4365" width="4.8984375" style="509" customWidth="1"/>
    <col min="4366" max="4366" width="5" style="509" customWidth="1"/>
    <col min="4367" max="4608" width="8.796875" style="509"/>
    <col min="4609" max="4621" width="4.8984375" style="509" customWidth="1"/>
    <col min="4622" max="4622" width="5" style="509" customWidth="1"/>
    <col min="4623" max="4864" width="8.796875" style="509"/>
    <col min="4865" max="4877" width="4.8984375" style="509" customWidth="1"/>
    <col min="4878" max="4878" width="5" style="509" customWidth="1"/>
    <col min="4879" max="5120" width="8.796875" style="509"/>
    <col min="5121" max="5133" width="4.8984375" style="509" customWidth="1"/>
    <col min="5134" max="5134" width="5" style="509" customWidth="1"/>
    <col min="5135" max="5376" width="8.796875" style="509"/>
    <col min="5377" max="5389" width="4.8984375" style="509" customWidth="1"/>
    <col min="5390" max="5390" width="5" style="509" customWidth="1"/>
    <col min="5391" max="5632" width="8.796875" style="509"/>
    <col min="5633" max="5645" width="4.8984375" style="509" customWidth="1"/>
    <col min="5646" max="5646" width="5" style="509" customWidth="1"/>
    <col min="5647" max="5888" width="8.796875" style="509"/>
    <col min="5889" max="5901" width="4.8984375" style="509" customWidth="1"/>
    <col min="5902" max="5902" width="5" style="509" customWidth="1"/>
    <col min="5903" max="6144" width="8.796875" style="509"/>
    <col min="6145" max="6157" width="4.8984375" style="509" customWidth="1"/>
    <col min="6158" max="6158" width="5" style="509" customWidth="1"/>
    <col min="6159" max="6400" width="8.796875" style="509"/>
    <col min="6401" max="6413" width="4.8984375" style="509" customWidth="1"/>
    <col min="6414" max="6414" width="5" style="509" customWidth="1"/>
    <col min="6415" max="6656" width="8.796875" style="509"/>
    <col min="6657" max="6669" width="4.8984375" style="509" customWidth="1"/>
    <col min="6670" max="6670" width="5" style="509" customWidth="1"/>
    <col min="6671" max="6912" width="8.796875" style="509"/>
    <col min="6913" max="6925" width="4.8984375" style="509" customWidth="1"/>
    <col min="6926" max="6926" width="5" style="509" customWidth="1"/>
    <col min="6927" max="7168" width="8.796875" style="509"/>
    <col min="7169" max="7181" width="4.8984375" style="509" customWidth="1"/>
    <col min="7182" max="7182" width="5" style="509" customWidth="1"/>
    <col min="7183" max="7424" width="8.796875" style="509"/>
    <col min="7425" max="7437" width="4.8984375" style="509" customWidth="1"/>
    <col min="7438" max="7438" width="5" style="509" customWidth="1"/>
    <col min="7439" max="7680" width="8.796875" style="509"/>
    <col min="7681" max="7693" width="4.8984375" style="509" customWidth="1"/>
    <col min="7694" max="7694" width="5" style="509" customWidth="1"/>
    <col min="7695" max="7936" width="8.796875" style="509"/>
    <col min="7937" max="7949" width="4.8984375" style="509" customWidth="1"/>
    <col min="7950" max="7950" width="5" style="509" customWidth="1"/>
    <col min="7951" max="8192" width="8.796875" style="509"/>
    <col min="8193" max="8205" width="4.8984375" style="509" customWidth="1"/>
    <col min="8206" max="8206" width="5" style="509" customWidth="1"/>
    <col min="8207" max="8448" width="8.796875" style="509"/>
    <col min="8449" max="8461" width="4.8984375" style="509" customWidth="1"/>
    <col min="8462" max="8462" width="5" style="509" customWidth="1"/>
    <col min="8463" max="8704" width="8.796875" style="509"/>
    <col min="8705" max="8717" width="4.8984375" style="509" customWidth="1"/>
    <col min="8718" max="8718" width="5" style="509" customWidth="1"/>
    <col min="8719" max="8960" width="8.796875" style="509"/>
    <col min="8961" max="8973" width="4.8984375" style="509" customWidth="1"/>
    <col min="8974" max="8974" width="5" style="509" customWidth="1"/>
    <col min="8975" max="9216" width="8.796875" style="509"/>
    <col min="9217" max="9229" width="4.8984375" style="509" customWidth="1"/>
    <col min="9230" max="9230" width="5" style="509" customWidth="1"/>
    <col min="9231" max="9472" width="8.796875" style="509"/>
    <col min="9473" max="9485" width="4.8984375" style="509" customWidth="1"/>
    <col min="9486" max="9486" width="5" style="509" customWidth="1"/>
    <col min="9487" max="9728" width="8.796875" style="509"/>
    <col min="9729" max="9741" width="4.8984375" style="509" customWidth="1"/>
    <col min="9742" max="9742" width="5" style="509" customWidth="1"/>
    <col min="9743" max="9984" width="8.796875" style="509"/>
    <col min="9985" max="9997" width="4.8984375" style="509" customWidth="1"/>
    <col min="9998" max="9998" width="5" style="509" customWidth="1"/>
    <col min="9999" max="10240" width="8.796875" style="509"/>
    <col min="10241" max="10253" width="4.8984375" style="509" customWidth="1"/>
    <col min="10254" max="10254" width="5" style="509" customWidth="1"/>
    <col min="10255" max="10496" width="8.796875" style="509"/>
    <col min="10497" max="10509" width="4.8984375" style="509" customWidth="1"/>
    <col min="10510" max="10510" width="5" style="509" customWidth="1"/>
    <col min="10511" max="10752" width="8.796875" style="509"/>
    <col min="10753" max="10765" width="4.8984375" style="509" customWidth="1"/>
    <col min="10766" max="10766" width="5" style="509" customWidth="1"/>
    <col min="10767" max="11008" width="8.796875" style="509"/>
    <col min="11009" max="11021" width="4.8984375" style="509" customWidth="1"/>
    <col min="11022" max="11022" width="5" style="509" customWidth="1"/>
    <col min="11023" max="11264" width="8.796875" style="509"/>
    <col min="11265" max="11277" width="4.8984375" style="509" customWidth="1"/>
    <col min="11278" max="11278" width="5" style="509" customWidth="1"/>
    <col min="11279" max="11520" width="8.796875" style="509"/>
    <col min="11521" max="11533" width="4.8984375" style="509" customWidth="1"/>
    <col min="11534" max="11534" width="5" style="509" customWidth="1"/>
    <col min="11535" max="11776" width="8.796875" style="509"/>
    <col min="11777" max="11789" width="4.8984375" style="509" customWidth="1"/>
    <col min="11790" max="11790" width="5" style="509" customWidth="1"/>
    <col min="11791" max="12032" width="8.796875" style="509"/>
    <col min="12033" max="12045" width="4.8984375" style="509" customWidth="1"/>
    <col min="12046" max="12046" width="5" style="509" customWidth="1"/>
    <col min="12047" max="12288" width="8.796875" style="509"/>
    <col min="12289" max="12301" width="4.8984375" style="509" customWidth="1"/>
    <col min="12302" max="12302" width="5" style="509" customWidth="1"/>
    <col min="12303" max="12544" width="8.796875" style="509"/>
    <col min="12545" max="12557" width="4.8984375" style="509" customWidth="1"/>
    <col min="12558" max="12558" width="5" style="509" customWidth="1"/>
    <col min="12559" max="12800" width="8.796875" style="509"/>
    <col min="12801" max="12813" width="4.8984375" style="509" customWidth="1"/>
    <col min="12814" max="12814" width="5" style="509" customWidth="1"/>
    <col min="12815" max="13056" width="8.796875" style="509"/>
    <col min="13057" max="13069" width="4.8984375" style="509" customWidth="1"/>
    <col min="13070" max="13070" width="5" style="509" customWidth="1"/>
    <col min="13071" max="13312" width="8.796875" style="509"/>
    <col min="13313" max="13325" width="4.8984375" style="509" customWidth="1"/>
    <col min="13326" max="13326" width="5" style="509" customWidth="1"/>
    <col min="13327" max="13568" width="8.796875" style="509"/>
    <col min="13569" max="13581" width="4.8984375" style="509" customWidth="1"/>
    <col min="13582" max="13582" width="5" style="509" customWidth="1"/>
    <col min="13583" max="13824" width="8.796875" style="509"/>
    <col min="13825" max="13837" width="4.8984375" style="509" customWidth="1"/>
    <col min="13838" max="13838" width="5" style="509" customWidth="1"/>
    <col min="13839" max="14080" width="8.796875" style="509"/>
    <col min="14081" max="14093" width="4.8984375" style="509" customWidth="1"/>
    <col min="14094" max="14094" width="5" style="509" customWidth="1"/>
    <col min="14095" max="14336" width="8.796875" style="509"/>
    <col min="14337" max="14349" width="4.8984375" style="509" customWidth="1"/>
    <col min="14350" max="14350" width="5" style="509" customWidth="1"/>
    <col min="14351" max="14592" width="8.796875" style="509"/>
    <col min="14593" max="14605" width="4.8984375" style="509" customWidth="1"/>
    <col min="14606" max="14606" width="5" style="509" customWidth="1"/>
    <col min="14607" max="14848" width="8.796875" style="509"/>
    <col min="14849" max="14861" width="4.8984375" style="509" customWidth="1"/>
    <col min="14862" max="14862" width="5" style="509" customWidth="1"/>
    <col min="14863" max="15104" width="8.796875" style="509"/>
    <col min="15105" max="15117" width="4.8984375" style="509" customWidth="1"/>
    <col min="15118" max="15118" width="5" style="509" customWidth="1"/>
    <col min="15119" max="15360" width="8.796875" style="509"/>
    <col min="15361" max="15373" width="4.8984375" style="509" customWidth="1"/>
    <col min="15374" max="15374" width="5" style="509" customWidth="1"/>
    <col min="15375" max="15616" width="8.796875" style="509"/>
    <col min="15617" max="15629" width="4.8984375" style="509" customWidth="1"/>
    <col min="15630" max="15630" width="5" style="509" customWidth="1"/>
    <col min="15631" max="15872" width="8.796875" style="509"/>
    <col min="15873" max="15885" width="4.8984375" style="509" customWidth="1"/>
    <col min="15886" max="15886" width="5" style="509" customWidth="1"/>
    <col min="15887" max="16128" width="8.796875" style="509"/>
    <col min="16129" max="16141" width="4.8984375" style="509" customWidth="1"/>
    <col min="16142" max="16142" width="5" style="509" customWidth="1"/>
    <col min="16143" max="16384" width="8.796875" style="509"/>
  </cols>
  <sheetData>
    <row r="1" spans="1:14" ht="17.100000000000001" customHeight="1">
      <c r="A1" s="503" t="s">
        <v>0</v>
      </c>
      <c r="B1" s="504"/>
      <c r="C1" s="504"/>
      <c r="D1" s="504"/>
      <c r="E1" s="504"/>
      <c r="F1" s="504"/>
      <c r="G1" s="504"/>
      <c r="H1" s="504"/>
      <c r="I1" s="504"/>
      <c r="J1" s="505" t="s">
        <v>1</v>
      </c>
      <c r="K1" s="506"/>
      <c r="L1" s="507" t="s">
        <v>503</v>
      </c>
      <c r="M1" s="508"/>
      <c r="N1" s="94"/>
    </row>
    <row r="2" spans="1:14" ht="17.100000000000001" customHeight="1">
      <c r="A2" s="510" t="s">
        <v>3</v>
      </c>
      <c r="B2" s="511"/>
      <c r="C2" s="511"/>
      <c r="D2" s="511"/>
      <c r="E2" s="511"/>
      <c r="F2" s="511"/>
      <c r="G2" s="511"/>
      <c r="H2" s="511"/>
      <c r="I2" s="511"/>
      <c r="J2" s="512" t="s">
        <v>4</v>
      </c>
      <c r="K2" s="513"/>
      <c r="L2" s="514" t="s">
        <v>5</v>
      </c>
      <c r="M2" s="515"/>
      <c r="N2" s="94"/>
    </row>
    <row r="3" spans="1:14" ht="15.95" customHeight="1">
      <c r="A3" s="516"/>
      <c r="B3" s="24"/>
      <c r="C3" s="24"/>
      <c r="D3" s="24"/>
      <c r="E3" s="24"/>
      <c r="F3" s="24"/>
      <c r="G3" s="24"/>
      <c r="H3" s="24"/>
      <c r="I3" s="24"/>
      <c r="J3" s="512" t="s">
        <v>6</v>
      </c>
      <c r="K3" s="513"/>
      <c r="L3" s="517" t="s">
        <v>504</v>
      </c>
      <c r="M3" s="515"/>
      <c r="N3" s="94"/>
    </row>
    <row r="4" spans="1:14" ht="15.95" customHeight="1">
      <c r="A4" s="518"/>
      <c r="B4" s="24"/>
      <c r="C4" s="24"/>
      <c r="D4" s="24"/>
      <c r="E4" s="24"/>
      <c r="F4" s="24"/>
      <c r="G4" s="24"/>
      <c r="H4" s="24"/>
      <c r="I4" s="24"/>
      <c r="J4" s="512" t="s">
        <v>8</v>
      </c>
      <c r="K4" s="513"/>
      <c r="L4" s="517" t="s">
        <v>505</v>
      </c>
      <c r="M4" s="515"/>
      <c r="N4" s="94"/>
    </row>
    <row r="5" spans="1:14" ht="15.95" customHeight="1">
      <c r="A5" s="516"/>
      <c r="B5" s="24"/>
      <c r="C5" s="24"/>
      <c r="D5" s="24"/>
      <c r="E5" s="24"/>
      <c r="F5" s="24"/>
      <c r="G5" s="24"/>
      <c r="H5" s="24"/>
      <c r="I5" s="24"/>
      <c r="J5" s="512" t="s">
        <v>10</v>
      </c>
      <c r="K5" s="513"/>
      <c r="L5" s="514">
        <v>2</v>
      </c>
      <c r="M5" s="515"/>
      <c r="N5" s="94"/>
    </row>
    <row r="6" spans="1:14" ht="15.95" customHeight="1">
      <c r="A6" s="519" t="s">
        <v>71</v>
      </c>
      <c r="B6" s="24"/>
      <c r="C6" s="24"/>
      <c r="D6" s="24"/>
      <c r="E6" s="24"/>
      <c r="F6" s="24"/>
      <c r="G6" s="24"/>
      <c r="H6" s="24"/>
      <c r="I6" s="24"/>
      <c r="J6" s="512" t="s">
        <v>12</v>
      </c>
      <c r="K6" s="513"/>
      <c r="L6" s="514" t="s">
        <v>13</v>
      </c>
      <c r="M6" s="515"/>
      <c r="N6" s="94"/>
    </row>
    <row r="7" spans="1:14" ht="15.95" customHeight="1" thickBot="1">
      <c r="A7" s="520" t="s">
        <v>506</v>
      </c>
      <c r="B7" s="521"/>
      <c r="C7" s="521"/>
      <c r="D7" s="521"/>
      <c r="E7" s="521"/>
      <c r="F7" s="521"/>
      <c r="G7" s="521"/>
      <c r="H7" s="521"/>
      <c r="I7" s="521"/>
      <c r="J7" s="522" t="s">
        <v>15</v>
      </c>
      <c r="K7" s="523"/>
      <c r="L7" s="524" t="s">
        <v>507</v>
      </c>
      <c r="M7" s="525"/>
      <c r="N7" s="94"/>
    </row>
    <row r="8" spans="1:14" ht="15.95" customHeight="1">
      <c r="A8" s="23"/>
      <c r="B8" s="24"/>
      <c r="C8" s="24"/>
      <c r="D8" s="24"/>
      <c r="E8" s="24"/>
      <c r="F8" s="24"/>
      <c r="G8" s="24"/>
      <c r="H8" s="24"/>
      <c r="I8" s="24"/>
      <c r="J8" s="24"/>
      <c r="K8" s="25"/>
      <c r="L8" s="26"/>
      <c r="M8" s="27"/>
      <c r="N8" s="24"/>
    </row>
    <row r="9" spans="1:14" ht="12" customHeight="1">
      <c r="A9" s="29"/>
      <c r="B9" s="30" t="s">
        <v>17</v>
      </c>
      <c r="C9" s="31" t="s">
        <v>18</v>
      </c>
      <c r="D9" s="32"/>
      <c r="E9" s="32"/>
      <c r="F9" s="32"/>
      <c r="G9" s="32"/>
      <c r="H9" s="32"/>
      <c r="I9" s="32"/>
      <c r="J9" s="32"/>
      <c r="K9" s="33"/>
      <c r="L9" s="29"/>
      <c r="M9" s="32"/>
      <c r="N9" s="24"/>
    </row>
    <row r="10" spans="1:14" ht="12" customHeight="1">
      <c r="A10" s="29"/>
      <c r="B10" s="30" t="s">
        <v>19</v>
      </c>
      <c r="C10" s="34" t="s">
        <v>20</v>
      </c>
      <c r="D10" s="29"/>
      <c r="E10" s="29"/>
      <c r="F10" s="29"/>
      <c r="G10" s="29"/>
      <c r="H10" s="29"/>
      <c r="I10" s="29"/>
      <c r="J10" s="29"/>
      <c r="K10" s="29"/>
      <c r="L10" s="29"/>
      <c r="M10" s="29"/>
      <c r="N10" s="26"/>
    </row>
    <row r="11" spans="1:14" ht="16.5" thickBot="1">
      <c r="A11" s="26"/>
      <c r="B11" s="26"/>
      <c r="C11" s="26"/>
      <c r="D11" s="26"/>
      <c r="E11" s="26"/>
      <c r="F11" s="26"/>
      <c r="G11" s="26"/>
      <c r="H11" s="26"/>
      <c r="I11" s="26"/>
      <c r="J11" s="26"/>
      <c r="K11" s="26"/>
      <c r="L11" s="26"/>
      <c r="M11" s="26"/>
      <c r="N11" s="26"/>
    </row>
    <row r="12" spans="1:14" ht="20.100000000000001" customHeight="1" thickBot="1">
      <c r="A12" s="35" t="s">
        <v>21</v>
      </c>
      <c r="B12" s="36"/>
      <c r="C12" s="36"/>
      <c r="D12" s="36"/>
      <c r="E12" s="36"/>
      <c r="F12" s="36"/>
      <c r="G12" s="36"/>
      <c r="H12" s="36"/>
      <c r="I12" s="36"/>
      <c r="J12" s="36"/>
      <c r="K12" s="36"/>
      <c r="L12" s="36"/>
      <c r="M12" s="37"/>
      <c r="N12" s="94"/>
    </row>
    <row r="13" spans="1:14" ht="12.95" customHeight="1" thickTop="1">
      <c r="A13" s="38"/>
      <c r="B13" s="30" t="s">
        <v>22</v>
      </c>
      <c r="C13" s="39">
        <v>900</v>
      </c>
      <c r="D13" s="29"/>
      <c r="E13" s="30" t="s">
        <v>23</v>
      </c>
      <c r="F13" s="39">
        <v>4000</v>
      </c>
      <c r="G13" s="29"/>
      <c r="H13" s="30" t="s">
        <v>24</v>
      </c>
      <c r="I13" s="39" t="s">
        <v>25</v>
      </c>
      <c r="J13" s="29"/>
      <c r="K13" s="29"/>
      <c r="L13" s="30" t="s">
        <v>26</v>
      </c>
      <c r="M13" s="40">
        <v>3600</v>
      </c>
      <c r="N13" s="94"/>
    </row>
    <row r="14" spans="1:14" ht="12.95" customHeight="1">
      <c r="A14" s="38"/>
      <c r="B14" s="30" t="s">
        <v>27</v>
      </c>
      <c r="C14" s="39" t="s">
        <v>28</v>
      </c>
      <c r="D14" s="29"/>
      <c r="E14" s="30" t="s">
        <v>29</v>
      </c>
      <c r="F14" s="41" t="s">
        <v>30</v>
      </c>
      <c r="G14" s="29"/>
      <c r="H14" s="30" t="s">
        <v>31</v>
      </c>
      <c r="I14" s="39">
        <v>113</v>
      </c>
      <c r="J14" s="29"/>
      <c r="K14" s="29"/>
      <c r="L14" s="30" t="s">
        <v>32</v>
      </c>
      <c r="M14" s="40">
        <v>3580</v>
      </c>
      <c r="N14" s="94"/>
    </row>
    <row r="15" spans="1:14" ht="12.95" customHeight="1">
      <c r="A15" s="38"/>
      <c r="B15" s="30" t="s">
        <v>33</v>
      </c>
      <c r="C15" s="39" t="s">
        <v>34</v>
      </c>
      <c r="D15" s="29"/>
      <c r="E15" s="30" t="s">
        <v>35</v>
      </c>
      <c r="F15" s="42" t="s">
        <v>36</v>
      </c>
      <c r="G15" s="29"/>
      <c r="H15" s="30" t="s">
        <v>37</v>
      </c>
      <c r="I15" s="41" t="s">
        <v>38</v>
      </c>
      <c r="J15" s="29"/>
      <c r="K15" s="29"/>
      <c r="L15" s="30" t="s">
        <v>39</v>
      </c>
      <c r="M15" s="40" t="s">
        <v>40</v>
      </c>
      <c r="N15" s="94"/>
    </row>
    <row r="16" spans="1:14" ht="12.95" customHeight="1">
      <c r="A16" s="38"/>
      <c r="B16" s="30" t="s">
        <v>41</v>
      </c>
      <c r="C16" s="39" t="s">
        <v>42</v>
      </c>
      <c r="D16" s="29"/>
      <c r="E16" s="30" t="s">
        <v>43</v>
      </c>
      <c r="F16" s="44">
        <v>40</v>
      </c>
      <c r="G16" s="29"/>
      <c r="H16" s="45" t="s">
        <v>44</v>
      </c>
      <c r="I16" s="46" t="s">
        <v>45</v>
      </c>
      <c r="J16" s="29"/>
      <c r="K16" s="29"/>
      <c r="L16" s="30" t="s">
        <v>46</v>
      </c>
      <c r="M16" s="40" t="s">
        <v>47</v>
      </c>
      <c r="N16" s="94"/>
    </row>
    <row r="17" spans="1:14" ht="12.95" customHeight="1">
      <c r="A17" s="38"/>
      <c r="B17" s="30" t="s">
        <v>48</v>
      </c>
      <c r="C17" s="31" t="s">
        <v>49</v>
      </c>
      <c r="D17" s="29"/>
      <c r="E17" s="30"/>
      <c r="F17" s="41"/>
      <c r="G17" s="29"/>
      <c r="H17" s="30" t="s">
        <v>50</v>
      </c>
      <c r="I17" s="46" t="s">
        <v>38</v>
      </c>
      <c r="J17" s="29"/>
      <c r="K17" s="29"/>
      <c r="L17" s="30"/>
      <c r="M17" s="47"/>
      <c r="N17" s="94"/>
    </row>
    <row r="18" spans="1:14" ht="12.95" customHeight="1" thickBot="1">
      <c r="A18" s="48"/>
      <c r="B18" s="49" t="s">
        <v>51</v>
      </c>
      <c r="C18" s="50">
        <v>94.5</v>
      </c>
      <c r="D18" s="51"/>
      <c r="E18" s="49" t="s">
        <v>52</v>
      </c>
      <c r="F18" s="50"/>
      <c r="G18" s="52"/>
      <c r="H18" s="49" t="s">
        <v>53</v>
      </c>
      <c r="I18" s="50">
        <v>90.5</v>
      </c>
      <c r="J18" s="51"/>
      <c r="K18" s="51"/>
      <c r="L18" s="51"/>
      <c r="M18" s="53"/>
      <c r="N18" s="94"/>
    </row>
    <row r="19" spans="1:14" ht="16.5" thickBot="1">
      <c r="A19" s="94"/>
      <c r="B19" s="94"/>
      <c r="C19" s="94"/>
      <c r="D19" s="94"/>
      <c r="E19" s="94"/>
      <c r="F19" s="94"/>
      <c r="G19" s="94"/>
      <c r="H19" s="94"/>
      <c r="I19" s="94"/>
      <c r="J19" s="94"/>
      <c r="K19" s="94"/>
      <c r="L19" s="94"/>
      <c r="M19" s="94"/>
      <c r="N19" s="94"/>
    </row>
    <row r="20" spans="1:14" ht="20.100000000000001" customHeight="1" thickBot="1">
      <c r="A20" s="35"/>
      <c r="B20" s="36"/>
      <c r="C20" s="36"/>
      <c r="D20" s="36"/>
      <c r="E20" s="36"/>
      <c r="F20" s="36"/>
      <c r="G20" s="36"/>
      <c r="H20" s="36"/>
      <c r="I20" s="36"/>
      <c r="J20" s="36"/>
      <c r="K20" s="36"/>
      <c r="L20" s="36"/>
      <c r="M20" s="37"/>
    </row>
    <row r="21" spans="1:14" ht="15.95" customHeight="1" thickTop="1">
      <c r="A21" s="526" t="s">
        <v>508</v>
      </c>
      <c r="B21" s="527"/>
      <c r="C21" s="26"/>
      <c r="D21" s="528"/>
      <c r="E21" s="529" t="s">
        <v>509</v>
      </c>
      <c r="F21" s="530"/>
      <c r="G21" s="530"/>
      <c r="H21" s="531"/>
      <c r="I21" s="532" t="s">
        <v>510</v>
      </c>
      <c r="J21" s="530"/>
      <c r="K21" s="530"/>
      <c r="L21" s="26"/>
      <c r="M21" s="533"/>
    </row>
    <row r="22" spans="1:14" ht="15.95" customHeight="1">
      <c r="A22" s="534"/>
      <c r="B22" s="29"/>
      <c r="C22" s="30" t="s">
        <v>511</v>
      </c>
      <c r="D22" s="535">
        <v>733</v>
      </c>
      <c r="E22" s="30"/>
      <c r="G22" s="45" t="s">
        <v>512</v>
      </c>
      <c r="H22" s="536">
        <v>1320</v>
      </c>
      <c r="I22" s="30"/>
      <c r="J22" s="29"/>
      <c r="K22" s="30" t="s">
        <v>513</v>
      </c>
      <c r="L22" s="29"/>
      <c r="M22" s="47"/>
    </row>
    <row r="23" spans="1:14" ht="15.95" customHeight="1">
      <c r="A23" s="534"/>
      <c r="B23" s="30"/>
      <c r="C23" s="33"/>
      <c r="D23" s="537"/>
      <c r="E23" s="30"/>
      <c r="G23" s="30" t="s">
        <v>514</v>
      </c>
      <c r="H23" s="535">
        <v>120</v>
      </c>
      <c r="I23" s="29"/>
      <c r="J23" s="29"/>
      <c r="K23" s="30" t="s">
        <v>515</v>
      </c>
      <c r="L23" s="29"/>
      <c r="M23" s="47"/>
    </row>
    <row r="24" spans="1:14" ht="15.95" customHeight="1">
      <c r="A24" s="38"/>
      <c r="B24" s="30"/>
      <c r="C24" s="29"/>
      <c r="D24" s="537"/>
      <c r="E24" s="30"/>
      <c r="G24" s="45" t="s">
        <v>516</v>
      </c>
      <c r="H24" s="535">
        <v>295</v>
      </c>
      <c r="I24" s="29"/>
      <c r="J24" s="30"/>
      <c r="K24" s="29"/>
      <c r="L24" s="29"/>
      <c r="M24" s="47"/>
    </row>
    <row r="25" spans="1:14" ht="15.95" customHeight="1" thickBot="1">
      <c r="A25" s="48"/>
      <c r="B25" s="49"/>
      <c r="C25" s="51"/>
      <c r="D25" s="538"/>
      <c r="E25" s="49"/>
      <c r="F25" s="49"/>
      <c r="G25" s="49"/>
      <c r="H25" s="539"/>
      <c r="I25" s="51"/>
      <c r="J25" s="49"/>
      <c r="K25" s="51"/>
      <c r="L25" s="51"/>
      <c r="M25" s="53"/>
    </row>
    <row r="26" spans="1:14" ht="18.95" customHeight="1" thickBot="1">
      <c r="A26" s="23"/>
      <c r="B26" s="23"/>
      <c r="C26" s="23"/>
      <c r="D26" s="94"/>
      <c r="E26" s="94"/>
      <c r="F26" s="94"/>
      <c r="G26" s="94"/>
      <c r="H26" s="94"/>
      <c r="I26" s="94"/>
      <c r="J26" s="94"/>
      <c r="K26" s="94"/>
      <c r="L26" s="94"/>
      <c r="M26" s="94"/>
      <c r="N26" s="94"/>
    </row>
    <row r="27" spans="1:14" ht="20.100000000000001" customHeight="1" thickBot="1">
      <c r="A27" s="540"/>
      <c r="B27" s="541"/>
      <c r="C27" s="541"/>
      <c r="D27" s="541"/>
      <c r="E27" s="541"/>
      <c r="F27" s="541"/>
      <c r="G27" s="542"/>
      <c r="H27" s="541"/>
      <c r="I27" s="541"/>
      <c r="J27" s="541"/>
      <c r="K27" s="541"/>
      <c r="L27" s="541"/>
      <c r="M27" s="543"/>
    </row>
    <row r="28" spans="1:14" ht="15.95" customHeight="1" thickTop="1">
      <c r="A28" s="544" t="s">
        <v>517</v>
      </c>
      <c r="B28" s="527"/>
      <c r="C28" s="26"/>
      <c r="D28" s="26"/>
      <c r="E28" s="530"/>
      <c r="F28" s="530"/>
      <c r="G28" s="545"/>
      <c r="H28" s="529" t="s">
        <v>518</v>
      </c>
      <c r="I28" s="530"/>
      <c r="J28" s="530"/>
      <c r="K28" s="529"/>
      <c r="L28" s="530"/>
      <c r="M28" s="533"/>
    </row>
    <row r="29" spans="1:14" ht="15.95" customHeight="1">
      <c r="A29" s="38"/>
      <c r="B29" s="30"/>
      <c r="C29" s="30" t="s">
        <v>519</v>
      </c>
      <c r="D29" s="546">
        <v>94.6</v>
      </c>
      <c r="E29" s="30"/>
      <c r="F29" s="30"/>
      <c r="G29" s="545"/>
      <c r="H29" s="45"/>
      <c r="I29" s="30"/>
      <c r="J29" s="30" t="s">
        <v>519</v>
      </c>
      <c r="K29" s="546">
        <v>90.7</v>
      </c>
      <c r="L29" s="29"/>
      <c r="M29" s="47"/>
    </row>
    <row r="30" spans="1:14" ht="15.95" customHeight="1">
      <c r="A30" s="547"/>
      <c r="B30" s="29"/>
      <c r="C30" s="30" t="s">
        <v>520</v>
      </c>
      <c r="D30" s="546">
        <v>93.8</v>
      </c>
      <c r="E30" s="30"/>
      <c r="F30" s="30"/>
      <c r="G30" s="545"/>
      <c r="H30" s="30"/>
      <c r="I30" s="29"/>
      <c r="J30" s="30" t="s">
        <v>520</v>
      </c>
      <c r="K30" s="546">
        <v>88.9</v>
      </c>
      <c r="L30" s="29"/>
      <c r="M30" s="47"/>
    </row>
    <row r="31" spans="1:14" ht="15.95" customHeight="1">
      <c r="A31" s="38"/>
      <c r="B31" s="30"/>
      <c r="C31" s="30" t="s">
        <v>521</v>
      </c>
      <c r="D31" s="546">
        <v>92</v>
      </c>
      <c r="E31" s="30"/>
      <c r="F31" s="30"/>
      <c r="G31" s="545"/>
      <c r="H31" s="30"/>
      <c r="I31" s="29"/>
      <c r="J31" s="30" t="s">
        <v>521</v>
      </c>
      <c r="K31" s="546">
        <v>83.8</v>
      </c>
      <c r="L31" s="30"/>
      <c r="M31" s="47"/>
    </row>
    <row r="32" spans="1:14" ht="15.95" customHeight="1" thickBot="1">
      <c r="A32" s="48"/>
      <c r="B32" s="49"/>
      <c r="C32" s="51"/>
      <c r="D32" s="51"/>
      <c r="E32" s="49"/>
      <c r="F32" s="49"/>
      <c r="G32" s="548"/>
      <c r="H32" s="49"/>
      <c r="I32" s="51"/>
      <c r="J32" s="49"/>
      <c r="K32" s="51"/>
      <c r="L32" s="49"/>
      <c r="M32" s="53"/>
    </row>
    <row r="33" spans="1:14" ht="20.100000000000001" customHeight="1" thickBot="1">
      <c r="A33" s="549"/>
      <c r="B33" s="549"/>
      <c r="C33" s="549"/>
      <c r="D33" s="549"/>
      <c r="E33" s="549"/>
      <c r="F33" s="549"/>
      <c r="G33" s="549"/>
      <c r="H33" s="549"/>
      <c r="I33" s="549"/>
      <c r="J33" s="549"/>
      <c r="K33" s="549"/>
      <c r="L33" s="549"/>
      <c r="M33" s="549"/>
      <c r="N33" s="549"/>
    </row>
    <row r="34" spans="1:14" ht="20.100000000000001" customHeight="1" thickBot="1">
      <c r="A34" s="550"/>
      <c r="B34" s="551"/>
      <c r="C34" s="551"/>
      <c r="D34" s="551"/>
      <c r="E34" s="551"/>
      <c r="F34" s="551"/>
      <c r="G34" s="551"/>
      <c r="H34" s="551"/>
      <c r="I34" s="551"/>
      <c r="J34" s="551"/>
      <c r="K34" s="551"/>
      <c r="L34" s="551"/>
      <c r="M34" s="552"/>
    </row>
    <row r="35" spans="1:14" ht="15.95" customHeight="1" thickTop="1">
      <c r="A35" s="553" t="s">
        <v>522</v>
      </c>
      <c r="B35" s="33"/>
      <c r="C35" s="33"/>
      <c r="D35" s="33"/>
      <c r="E35" s="33"/>
      <c r="F35" s="33"/>
      <c r="G35" s="33"/>
      <c r="H35" s="33"/>
      <c r="I35" s="33"/>
      <c r="J35" s="33"/>
      <c r="K35" s="33"/>
      <c r="L35" s="33"/>
      <c r="M35" s="554"/>
    </row>
    <row r="36" spans="1:14" ht="15.95" customHeight="1">
      <c r="A36" s="547" t="s">
        <v>523</v>
      </c>
      <c r="B36" s="33"/>
      <c r="C36" s="33"/>
      <c r="D36" s="33"/>
      <c r="E36" s="33"/>
      <c r="F36" s="33"/>
      <c r="G36" s="33"/>
      <c r="H36" s="33"/>
      <c r="I36" s="33"/>
      <c r="J36" s="33"/>
      <c r="K36" s="33"/>
      <c r="L36" s="33"/>
      <c r="M36" s="554"/>
    </row>
    <row r="37" spans="1:14" ht="15.95" customHeight="1">
      <c r="A37" s="555" t="s">
        <v>524</v>
      </c>
      <c r="B37" s="33"/>
      <c r="C37" s="33"/>
      <c r="D37" s="33"/>
      <c r="E37" s="556"/>
      <c r="F37" s="33"/>
      <c r="G37" s="33"/>
      <c r="H37" s="33"/>
      <c r="I37" s="33"/>
      <c r="J37" s="33"/>
      <c r="K37" s="33"/>
      <c r="L37" s="33"/>
      <c r="M37" s="554"/>
    </row>
    <row r="38" spans="1:14" ht="15.95" customHeight="1">
      <c r="A38" s="557" t="s">
        <v>525</v>
      </c>
      <c r="B38" s="33"/>
      <c r="C38" s="33"/>
      <c r="D38" s="33"/>
      <c r="E38" s="33"/>
      <c r="F38" s="33"/>
      <c r="G38" s="33"/>
      <c r="H38" s="33"/>
      <c r="I38" s="33"/>
      <c r="J38" s="33"/>
      <c r="K38" s="33"/>
      <c r="L38" s="33"/>
      <c r="M38" s="554"/>
    </row>
    <row r="39" spans="1:14" ht="15.95" customHeight="1">
      <c r="A39" s="558" t="s">
        <v>526</v>
      </c>
      <c r="B39" s="33"/>
      <c r="C39" s="33"/>
      <c r="D39" s="33"/>
      <c r="E39" s="33"/>
      <c r="F39" s="33"/>
      <c r="G39" s="33"/>
      <c r="H39" s="33"/>
      <c r="I39" s="33"/>
      <c r="J39" s="33"/>
      <c r="K39" s="33"/>
      <c r="L39" s="33"/>
      <c r="M39" s="554"/>
    </row>
    <row r="40" spans="1:14" ht="15.95" customHeight="1" thickBot="1">
      <c r="A40" s="559" t="s">
        <v>527</v>
      </c>
      <c r="B40" s="560"/>
      <c r="C40" s="560"/>
      <c r="D40" s="560"/>
      <c r="E40" s="560"/>
      <c r="F40" s="560"/>
      <c r="G40" s="560"/>
      <c r="H40" s="560"/>
      <c r="I40" s="560"/>
      <c r="J40" s="560"/>
      <c r="K40" s="560"/>
      <c r="L40" s="560"/>
      <c r="M40" s="561"/>
    </row>
    <row r="41" spans="1:14" ht="15.95" customHeight="1"/>
    <row r="42" spans="1:14" ht="18">
      <c r="A42" s="562"/>
      <c r="B42" s="562"/>
      <c r="C42" s="562"/>
      <c r="D42" s="562"/>
      <c r="E42" s="562"/>
      <c r="F42" s="562"/>
      <c r="G42" s="562"/>
      <c r="H42" s="94"/>
      <c r="I42" s="94"/>
      <c r="J42" s="563" t="s">
        <v>66</v>
      </c>
      <c r="K42" s="712" t="s">
        <v>499</v>
      </c>
      <c r="L42" s="712"/>
      <c r="M42" s="712"/>
      <c r="N42" s="562"/>
    </row>
    <row r="43" spans="1:14" ht="7.5" customHeight="1">
      <c r="H43" s="94"/>
      <c r="I43" s="94"/>
      <c r="J43" s="94"/>
      <c r="K43" s="94"/>
      <c r="L43" s="94"/>
      <c r="M43" s="94"/>
    </row>
    <row r="44" spans="1:14" ht="16.5">
      <c r="H44" s="94"/>
      <c r="I44" s="94"/>
      <c r="J44" s="563" t="s">
        <v>68</v>
      </c>
      <c r="K44" s="713">
        <v>45943</v>
      </c>
      <c r="L44" s="713"/>
      <c r="M44" s="713"/>
    </row>
    <row r="59" spans="1:5">
      <c r="A59" s="509" t="s">
        <v>38</v>
      </c>
      <c r="B59" s="509" t="s">
        <v>528</v>
      </c>
      <c r="D59" s="509">
        <v>1</v>
      </c>
      <c r="E59" s="564" t="s">
        <v>38</v>
      </c>
    </row>
    <row r="60" spans="1:5">
      <c r="A60" s="509" t="s">
        <v>529</v>
      </c>
      <c r="B60" s="509" t="s">
        <v>530</v>
      </c>
      <c r="D60" s="509">
        <v>1.1499999999999999</v>
      </c>
      <c r="E60" s="564" t="s">
        <v>357</v>
      </c>
    </row>
    <row r="61" spans="1:5">
      <c r="A61" s="509" t="s">
        <v>531</v>
      </c>
      <c r="B61" s="509" t="s">
        <v>532</v>
      </c>
      <c r="E61" s="564" t="s">
        <v>533</v>
      </c>
    </row>
    <row r="62" spans="1:5">
      <c r="B62" s="509" t="s">
        <v>534</v>
      </c>
    </row>
    <row r="63" spans="1:5">
      <c r="B63" s="509" t="s">
        <v>535</v>
      </c>
    </row>
    <row r="64" spans="1:5">
      <c r="B64" s="509" t="s">
        <v>536</v>
      </c>
    </row>
    <row r="65" spans="2:2">
      <c r="B65" s="509" t="s">
        <v>537</v>
      </c>
    </row>
    <row r="66" spans="2:2">
      <c r="B66" s="509" t="s">
        <v>538</v>
      </c>
    </row>
    <row r="67" spans="2:2">
      <c r="B67" s="509" t="s">
        <v>539</v>
      </c>
    </row>
    <row r="68" spans="2:2">
      <c r="B68" s="509" t="s">
        <v>540</v>
      </c>
    </row>
    <row r="69" spans="2:2">
      <c r="B69" s="509" t="s">
        <v>541</v>
      </c>
    </row>
    <row r="70" spans="2:2">
      <c r="B70" s="509" t="s">
        <v>542</v>
      </c>
    </row>
    <row r="71" spans="2:2">
      <c r="B71" s="509" t="s">
        <v>543</v>
      </c>
    </row>
    <row r="72" spans="2:2">
      <c r="B72" s="509" t="s">
        <v>544</v>
      </c>
    </row>
    <row r="73" spans="2:2">
      <c r="B73" s="509" t="s">
        <v>545</v>
      </c>
    </row>
    <row r="74" spans="2:2">
      <c r="B74" s="509" t="s">
        <v>546</v>
      </c>
    </row>
    <row r="75" spans="2:2">
      <c r="B75" s="509" t="s">
        <v>547</v>
      </c>
    </row>
    <row r="76" spans="2:2">
      <c r="B76" s="509" t="s">
        <v>548</v>
      </c>
    </row>
    <row r="77" spans="2:2">
      <c r="B77" s="509" t="s">
        <v>549</v>
      </c>
    </row>
    <row r="78" spans="2:2">
      <c r="B78" s="509" t="s">
        <v>550</v>
      </c>
    </row>
    <row r="79" spans="2:2">
      <c r="B79" s="509" t="s">
        <v>551</v>
      </c>
    </row>
    <row r="80" spans="2:2">
      <c r="B80" s="509">
        <v>6312</v>
      </c>
    </row>
    <row r="81" spans="2:2">
      <c r="B81" s="509" t="s">
        <v>552</v>
      </c>
    </row>
    <row r="82" spans="2:2">
      <c r="B82" s="509" t="s">
        <v>553</v>
      </c>
    </row>
    <row r="83" spans="2:2">
      <c r="B83" s="509" t="s">
        <v>554</v>
      </c>
    </row>
    <row r="84" spans="2:2">
      <c r="B84" s="509" t="s">
        <v>555</v>
      </c>
    </row>
    <row r="85" spans="2:2">
      <c r="B85" s="509">
        <v>6313</v>
      </c>
    </row>
    <row r="86" spans="2:2">
      <c r="B86" s="509" t="s">
        <v>556</v>
      </c>
    </row>
    <row r="87" spans="2:2">
      <c r="B87" s="509" t="s">
        <v>557</v>
      </c>
    </row>
    <row r="88" spans="2:2">
      <c r="B88" s="509" t="s">
        <v>558</v>
      </c>
    </row>
    <row r="89" spans="2:2">
      <c r="B89" s="509">
        <v>6314</v>
      </c>
    </row>
    <row r="90" spans="2:2">
      <c r="B90" s="509" t="s">
        <v>559</v>
      </c>
    </row>
    <row r="91" spans="2:2">
      <c r="B91" s="509">
        <v>6317</v>
      </c>
    </row>
    <row r="92" spans="2:2">
      <c r="B92" s="509" t="s">
        <v>560</v>
      </c>
    </row>
    <row r="93" spans="2:2">
      <c r="B93" s="509">
        <v>6318</v>
      </c>
    </row>
    <row r="94" spans="2:2">
      <c r="B94" s="509" t="s">
        <v>561</v>
      </c>
    </row>
    <row r="95" spans="2:2">
      <c r="B95" s="509" t="s">
        <v>562</v>
      </c>
    </row>
    <row r="96" spans="2:2">
      <c r="B96" s="509" t="s">
        <v>563</v>
      </c>
    </row>
    <row r="97" spans="2:2">
      <c r="B97" s="509">
        <v>6320</v>
      </c>
    </row>
    <row r="98" spans="2:2">
      <c r="B98" s="509" t="s">
        <v>564</v>
      </c>
    </row>
    <row r="99" spans="2:2">
      <c r="B99" s="509" t="s">
        <v>565</v>
      </c>
    </row>
    <row r="100" spans="2:2">
      <c r="B100" s="509" t="s">
        <v>566</v>
      </c>
    </row>
    <row r="101" spans="2:2">
      <c r="B101" s="509" t="s">
        <v>567</v>
      </c>
    </row>
    <row r="102" spans="2:2">
      <c r="B102" s="509" t="s">
        <v>567</v>
      </c>
    </row>
    <row r="118" spans="2:2">
      <c r="B118" s="509" t="s">
        <v>568</v>
      </c>
    </row>
    <row r="120" spans="2:2">
      <c r="B120" s="509" t="s">
        <v>569</v>
      </c>
    </row>
  </sheetData>
  <mergeCells count="2">
    <mergeCell ref="K42:M42"/>
    <mergeCell ref="K44:M44"/>
  </mergeCell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6139-C30C-45A1-AE61-228921391B25}">
  <sheetPr>
    <pageSetUpPr fitToPage="1"/>
  </sheetPr>
  <dimension ref="A1:L67"/>
  <sheetViews>
    <sheetView topLeftCell="A22" workbookViewId="0">
      <selection activeCell="B46" sqref="B46"/>
    </sheetView>
  </sheetViews>
  <sheetFormatPr defaultRowHeight="12.75"/>
  <cols>
    <col min="1" max="6" width="11.69921875" style="147" customWidth="1"/>
    <col min="7" max="256" width="8.796875" style="147"/>
    <col min="257" max="262" width="11.69921875" style="147" customWidth="1"/>
    <col min="263" max="512" width="8.796875" style="147"/>
    <col min="513" max="518" width="11.69921875" style="147" customWidth="1"/>
    <col min="519" max="768" width="8.796875" style="147"/>
    <col min="769" max="774" width="11.69921875" style="147" customWidth="1"/>
    <col min="775" max="1024" width="8.796875" style="147"/>
    <col min="1025" max="1030" width="11.69921875" style="147" customWidth="1"/>
    <col min="1031" max="1280" width="8.796875" style="147"/>
    <col min="1281" max="1286" width="11.69921875" style="147" customWidth="1"/>
    <col min="1287" max="1536" width="8.796875" style="147"/>
    <col min="1537" max="1542" width="11.69921875" style="147" customWidth="1"/>
    <col min="1543" max="1792" width="8.796875" style="147"/>
    <col min="1793" max="1798" width="11.69921875" style="147" customWidth="1"/>
    <col min="1799" max="2048" width="8.796875" style="147"/>
    <col min="2049" max="2054" width="11.69921875" style="147" customWidth="1"/>
    <col min="2055" max="2304" width="8.796875" style="147"/>
    <col min="2305" max="2310" width="11.69921875" style="147" customWidth="1"/>
    <col min="2311" max="2560" width="8.796875" style="147"/>
    <col min="2561" max="2566" width="11.69921875" style="147" customWidth="1"/>
    <col min="2567" max="2816" width="8.796875" style="147"/>
    <col min="2817" max="2822" width="11.69921875" style="147" customWidth="1"/>
    <col min="2823" max="3072" width="8.796875" style="147"/>
    <col min="3073" max="3078" width="11.69921875" style="147" customWidth="1"/>
    <col min="3079" max="3328" width="8.796875" style="147"/>
    <col min="3329" max="3334" width="11.69921875" style="147" customWidth="1"/>
    <col min="3335" max="3584" width="8.796875" style="147"/>
    <col min="3585" max="3590" width="11.69921875" style="147" customWidth="1"/>
    <col min="3591" max="3840" width="8.796875" style="147"/>
    <col min="3841" max="3846" width="11.69921875" style="147" customWidth="1"/>
    <col min="3847" max="4096" width="8.796875" style="147"/>
    <col min="4097" max="4102" width="11.69921875" style="147" customWidth="1"/>
    <col min="4103" max="4352" width="8.796875" style="147"/>
    <col min="4353" max="4358" width="11.69921875" style="147" customWidth="1"/>
    <col min="4359" max="4608" width="8.796875" style="147"/>
    <col min="4609" max="4614" width="11.69921875" style="147" customWidth="1"/>
    <col min="4615" max="4864" width="8.796875" style="147"/>
    <col min="4865" max="4870" width="11.69921875" style="147" customWidth="1"/>
    <col min="4871" max="5120" width="8.796875" style="147"/>
    <col min="5121" max="5126" width="11.69921875" style="147" customWidth="1"/>
    <col min="5127" max="5376" width="8.796875" style="147"/>
    <col min="5377" max="5382" width="11.69921875" style="147" customWidth="1"/>
    <col min="5383" max="5632" width="8.796875" style="147"/>
    <col min="5633" max="5638" width="11.69921875" style="147" customWidth="1"/>
    <col min="5639" max="5888" width="8.796875" style="147"/>
    <col min="5889" max="5894" width="11.69921875" style="147" customWidth="1"/>
    <col min="5895" max="6144" width="8.796875" style="147"/>
    <col min="6145" max="6150" width="11.69921875" style="147" customWidth="1"/>
    <col min="6151" max="6400" width="8.796875" style="147"/>
    <col min="6401" max="6406" width="11.69921875" style="147" customWidth="1"/>
    <col min="6407" max="6656" width="8.796875" style="147"/>
    <col min="6657" max="6662" width="11.69921875" style="147" customWidth="1"/>
    <col min="6663" max="6912" width="8.796875" style="147"/>
    <col min="6913" max="6918" width="11.69921875" style="147" customWidth="1"/>
    <col min="6919" max="7168" width="8.796875" style="147"/>
    <col min="7169" max="7174" width="11.69921875" style="147" customWidth="1"/>
    <col min="7175" max="7424" width="8.796875" style="147"/>
    <col min="7425" max="7430" width="11.69921875" style="147" customWidth="1"/>
    <col min="7431" max="7680" width="8.796875" style="147"/>
    <col min="7681" max="7686" width="11.69921875" style="147" customWidth="1"/>
    <col min="7687" max="7936" width="8.796875" style="147"/>
    <col min="7937" max="7942" width="11.69921875" style="147" customWidth="1"/>
    <col min="7943" max="8192" width="8.796875" style="147"/>
    <col min="8193" max="8198" width="11.69921875" style="147" customWidth="1"/>
    <col min="8199" max="8448" width="8.796875" style="147"/>
    <col min="8449" max="8454" width="11.69921875" style="147" customWidth="1"/>
    <col min="8455" max="8704" width="8.796875" style="147"/>
    <col min="8705" max="8710" width="11.69921875" style="147" customWidth="1"/>
    <col min="8711" max="8960" width="8.796875" style="147"/>
    <col min="8961" max="8966" width="11.69921875" style="147" customWidth="1"/>
    <col min="8967" max="9216" width="8.796875" style="147"/>
    <col min="9217" max="9222" width="11.69921875" style="147" customWidth="1"/>
    <col min="9223" max="9472" width="8.796875" style="147"/>
    <col min="9473" max="9478" width="11.69921875" style="147" customWidth="1"/>
    <col min="9479" max="9728" width="8.796875" style="147"/>
    <col min="9729" max="9734" width="11.69921875" style="147" customWidth="1"/>
    <col min="9735" max="9984" width="8.796875" style="147"/>
    <col min="9985" max="9990" width="11.69921875" style="147" customWidth="1"/>
    <col min="9991" max="10240" width="8.796875" style="147"/>
    <col min="10241" max="10246" width="11.69921875" style="147" customWidth="1"/>
    <col min="10247" max="10496" width="8.796875" style="147"/>
    <col min="10497" max="10502" width="11.69921875" style="147" customWidth="1"/>
    <col min="10503" max="10752" width="8.796875" style="147"/>
    <col min="10753" max="10758" width="11.69921875" style="147" customWidth="1"/>
    <col min="10759" max="11008" width="8.796875" style="147"/>
    <col min="11009" max="11014" width="11.69921875" style="147" customWidth="1"/>
    <col min="11015" max="11264" width="8.796875" style="147"/>
    <col min="11265" max="11270" width="11.69921875" style="147" customWidth="1"/>
    <col min="11271" max="11520" width="8.796875" style="147"/>
    <col min="11521" max="11526" width="11.69921875" style="147" customWidth="1"/>
    <col min="11527" max="11776" width="8.796875" style="147"/>
    <col min="11777" max="11782" width="11.69921875" style="147" customWidth="1"/>
    <col min="11783" max="12032" width="8.796875" style="147"/>
    <col min="12033" max="12038" width="11.69921875" style="147" customWidth="1"/>
    <col min="12039" max="12288" width="8.796875" style="147"/>
    <col min="12289" max="12294" width="11.69921875" style="147" customWidth="1"/>
    <col min="12295" max="12544" width="8.796875" style="147"/>
    <col min="12545" max="12550" width="11.69921875" style="147" customWidth="1"/>
    <col min="12551" max="12800" width="8.796875" style="147"/>
    <col min="12801" max="12806" width="11.69921875" style="147" customWidth="1"/>
    <col min="12807" max="13056" width="8.796875" style="147"/>
    <col min="13057" max="13062" width="11.69921875" style="147" customWidth="1"/>
    <col min="13063" max="13312" width="8.796875" style="147"/>
    <col min="13313" max="13318" width="11.69921875" style="147" customWidth="1"/>
    <col min="13319" max="13568" width="8.796875" style="147"/>
    <col min="13569" max="13574" width="11.69921875" style="147" customWidth="1"/>
    <col min="13575" max="13824" width="8.796875" style="147"/>
    <col min="13825" max="13830" width="11.69921875" style="147" customWidth="1"/>
    <col min="13831" max="14080" width="8.796875" style="147"/>
    <col min="14081" max="14086" width="11.69921875" style="147" customWidth="1"/>
    <col min="14087" max="14336" width="8.796875" style="147"/>
    <col min="14337" max="14342" width="11.69921875" style="147" customWidth="1"/>
    <col min="14343" max="14592" width="8.796875" style="147"/>
    <col min="14593" max="14598" width="11.69921875" style="147" customWidth="1"/>
    <col min="14599" max="14848" width="8.796875" style="147"/>
    <col min="14849" max="14854" width="11.69921875" style="147" customWidth="1"/>
    <col min="14855" max="15104" width="8.796875" style="147"/>
    <col min="15105" max="15110" width="11.69921875" style="147" customWidth="1"/>
    <col min="15111" max="15360" width="8.796875" style="147"/>
    <col min="15361" max="15366" width="11.69921875" style="147" customWidth="1"/>
    <col min="15367" max="15616" width="8.796875" style="147"/>
    <col min="15617" max="15622" width="11.69921875" style="147" customWidth="1"/>
    <col min="15623" max="15872" width="8.796875" style="147"/>
    <col min="15873" max="15878" width="11.69921875" style="147" customWidth="1"/>
    <col min="15879" max="16128" width="8.796875" style="147"/>
    <col min="16129" max="16134" width="11.69921875" style="147" customWidth="1"/>
    <col min="16135" max="16384" width="8.796875" style="147"/>
  </cols>
  <sheetData>
    <row r="1" spans="1:6" ht="18.95" customHeight="1">
      <c r="A1" s="565"/>
      <c r="B1" s="566"/>
      <c r="C1" s="566"/>
      <c r="D1" s="566"/>
      <c r="E1" s="566"/>
      <c r="F1" s="567"/>
    </row>
    <row r="2" spans="1:6" ht="26.1" customHeight="1">
      <c r="A2" s="568" t="s">
        <v>0</v>
      </c>
      <c r="B2" s="569"/>
      <c r="C2" s="569"/>
      <c r="D2" s="569"/>
      <c r="E2" s="569"/>
      <c r="F2" s="570"/>
    </row>
    <row r="3" spans="1:6" ht="18.95" customHeight="1">
      <c r="A3" s="571" t="s">
        <v>570</v>
      </c>
      <c r="B3" s="569"/>
      <c r="C3" s="569"/>
      <c r="D3" s="569"/>
      <c r="E3" s="569"/>
      <c r="F3" s="570"/>
    </row>
    <row r="4" spans="1:6" ht="18.95" customHeight="1">
      <c r="A4" s="572"/>
      <c r="B4" s="573"/>
      <c r="C4" s="573"/>
      <c r="D4" s="573"/>
      <c r="E4" s="573"/>
      <c r="F4" s="574"/>
    </row>
    <row r="5" spans="1:6" ht="18.95" customHeight="1">
      <c r="A5" s="572"/>
      <c r="B5" s="573"/>
      <c r="C5" s="573"/>
      <c r="D5" s="573"/>
      <c r="E5" s="573"/>
      <c r="F5" s="574"/>
    </row>
    <row r="6" spans="1:6" ht="18.95" customHeight="1">
      <c r="A6" s="575" t="s">
        <v>571</v>
      </c>
      <c r="B6" s="714" t="str">
        <f>'Performance Data Sheet'!C17</f>
        <v>A1-10130506</v>
      </c>
      <c r="C6" s="715"/>
      <c r="D6" s="716"/>
      <c r="E6" s="575" t="s">
        <v>572</v>
      </c>
      <c r="F6" s="576" t="str">
        <f>'Performance Data Sheet'!I14 &amp; " A"</f>
        <v>113 A</v>
      </c>
    </row>
    <row r="7" spans="1:6" ht="18.95" customHeight="1">
      <c r="A7" s="575" t="s">
        <v>573</v>
      </c>
      <c r="B7" s="576" t="str">
        <f>'Performance Data Sheet'!F14</f>
        <v>TEAAC</v>
      </c>
      <c r="C7" s="575" t="s">
        <v>574</v>
      </c>
      <c r="D7" s="576" t="str">
        <f>'Performance Data Sheet'!F13 &amp; " V"</f>
        <v>4000 V</v>
      </c>
      <c r="E7" s="575" t="s">
        <v>575</v>
      </c>
      <c r="F7" s="576" t="str">
        <f>'Performance Data Sheet'!C14</f>
        <v>5812USS</v>
      </c>
    </row>
    <row r="8" spans="1:6" ht="18.95" customHeight="1">
      <c r="A8" s="575" t="s">
        <v>576</v>
      </c>
      <c r="B8" s="576">
        <v>2</v>
      </c>
      <c r="C8" s="575" t="s">
        <v>577</v>
      </c>
      <c r="D8" s="576" t="s">
        <v>578</v>
      </c>
      <c r="E8" s="575" t="s">
        <v>579</v>
      </c>
      <c r="F8" s="576" t="s">
        <v>40</v>
      </c>
    </row>
    <row r="9" spans="1:6" ht="18.95" customHeight="1">
      <c r="A9" s="575" t="s">
        <v>580</v>
      </c>
      <c r="B9" s="576">
        <v>900</v>
      </c>
      <c r="C9" s="575" t="s">
        <v>581</v>
      </c>
      <c r="D9" s="576" t="s">
        <v>582</v>
      </c>
      <c r="E9" s="575" t="s">
        <v>131</v>
      </c>
      <c r="F9" s="577">
        <f>'Performance Data Sheet'!K44</f>
        <v>45943</v>
      </c>
    </row>
    <row r="10" spans="1:6" ht="18.95" customHeight="1">
      <c r="A10" s="575" t="s">
        <v>32</v>
      </c>
      <c r="B10" s="576">
        <v>3580</v>
      </c>
      <c r="C10" s="575" t="s">
        <v>396</v>
      </c>
      <c r="D10" s="576" t="s">
        <v>583</v>
      </c>
      <c r="E10" s="575" t="s">
        <v>129</v>
      </c>
      <c r="F10" s="578" t="s">
        <v>584</v>
      </c>
    </row>
    <row r="11" spans="1:6" ht="18.95" customHeight="1">
      <c r="A11" s="572"/>
      <c r="B11" s="573"/>
      <c r="C11" s="573"/>
      <c r="D11" s="573"/>
      <c r="E11" s="573"/>
      <c r="F11" s="574"/>
    </row>
    <row r="12" spans="1:6" ht="18.95" customHeight="1">
      <c r="A12" s="572"/>
      <c r="B12" s="579" t="s">
        <v>585</v>
      </c>
      <c r="C12" s="580" t="str">
        <f>'Performance Data Sheet'!D22 &amp; " A"</f>
        <v>733 A</v>
      </c>
      <c r="D12" s="579" t="s">
        <v>394</v>
      </c>
      <c r="E12" s="580" t="s">
        <v>395</v>
      </c>
      <c r="F12" s="574"/>
    </row>
    <row r="13" spans="1:6" ht="18.95" customHeight="1">
      <c r="A13" s="572"/>
      <c r="B13" s="579" t="s">
        <v>586</v>
      </c>
      <c r="C13" s="581">
        <v>1.2</v>
      </c>
      <c r="D13" s="579" t="s">
        <v>587</v>
      </c>
      <c r="E13" s="582" t="s">
        <v>588</v>
      </c>
      <c r="F13" s="574"/>
    </row>
    <row r="14" spans="1:6" ht="18.95" customHeight="1">
      <c r="A14" s="572"/>
      <c r="B14" s="579" t="s">
        <v>589</v>
      </c>
      <c r="C14" s="581">
        <v>2.95</v>
      </c>
      <c r="D14" s="579" t="s">
        <v>398</v>
      </c>
      <c r="E14" s="582" t="s">
        <v>590</v>
      </c>
      <c r="F14" s="574"/>
    </row>
    <row r="15" spans="1:6" ht="18.95" customHeight="1">
      <c r="A15" s="572"/>
      <c r="B15" s="579" t="s">
        <v>400</v>
      </c>
      <c r="C15" s="580" t="s">
        <v>591</v>
      </c>
      <c r="D15" s="573"/>
      <c r="E15" s="573"/>
      <c r="F15" s="574"/>
    </row>
    <row r="16" spans="1:6" ht="18.95" customHeight="1">
      <c r="A16" s="572"/>
      <c r="B16" s="573"/>
      <c r="C16" s="573"/>
      <c r="D16" s="573"/>
      <c r="E16" s="573"/>
      <c r="F16" s="574"/>
    </row>
    <row r="17" spans="1:6" ht="18.95" customHeight="1">
      <c r="A17" s="572"/>
      <c r="B17" s="573"/>
      <c r="C17" s="573"/>
      <c r="D17" s="573"/>
      <c r="E17" s="573"/>
      <c r="F17" s="574"/>
    </row>
    <row r="18" spans="1:6" ht="18.95" customHeight="1">
      <c r="A18" s="572"/>
      <c r="B18" s="573"/>
      <c r="C18" s="573"/>
      <c r="D18" s="573"/>
      <c r="E18" s="573"/>
      <c r="F18" s="574"/>
    </row>
    <row r="19" spans="1:6" ht="18.95" customHeight="1">
      <c r="A19" s="572"/>
      <c r="B19" s="573"/>
      <c r="C19" s="573"/>
      <c r="D19" s="573"/>
      <c r="E19" s="573"/>
      <c r="F19" s="574"/>
    </row>
    <row r="20" spans="1:6" ht="18.95" customHeight="1">
      <c r="A20" s="572"/>
      <c r="B20" s="573"/>
      <c r="C20" s="573"/>
      <c r="D20" s="573"/>
      <c r="E20" s="573"/>
      <c r="F20" s="574"/>
    </row>
    <row r="21" spans="1:6" ht="18.95" customHeight="1">
      <c r="A21" s="572"/>
      <c r="B21" s="573"/>
      <c r="C21" s="573"/>
      <c r="D21" s="573"/>
      <c r="E21" s="573"/>
      <c r="F21" s="574"/>
    </row>
    <row r="22" spans="1:6" ht="18.95" customHeight="1">
      <c r="A22" s="572"/>
      <c r="B22" s="573"/>
      <c r="C22" s="573"/>
      <c r="D22" s="573"/>
      <c r="E22" s="573"/>
      <c r="F22" s="574"/>
    </row>
    <row r="23" spans="1:6" ht="18.95" customHeight="1">
      <c r="A23" s="572"/>
      <c r="B23" s="573"/>
      <c r="C23" s="573"/>
      <c r="D23" s="573"/>
      <c r="E23" s="573"/>
      <c r="F23" s="574"/>
    </row>
    <row r="24" spans="1:6" ht="18.95" customHeight="1">
      <c r="A24" s="572"/>
      <c r="B24" s="573"/>
      <c r="C24" s="573"/>
      <c r="D24" s="573"/>
      <c r="E24" s="573"/>
      <c r="F24" s="574"/>
    </row>
    <row r="25" spans="1:6" ht="18.95" customHeight="1">
      <c r="A25" s="572"/>
      <c r="B25" s="573"/>
      <c r="C25" s="573"/>
      <c r="D25" s="573"/>
      <c r="E25" s="573"/>
      <c r="F25" s="574"/>
    </row>
    <row r="26" spans="1:6" ht="18.95" customHeight="1">
      <c r="A26" s="572"/>
      <c r="B26" s="573"/>
      <c r="C26" s="573"/>
      <c r="D26" s="573"/>
      <c r="E26" s="573"/>
      <c r="F26" s="574"/>
    </row>
    <row r="27" spans="1:6" ht="18.95" customHeight="1">
      <c r="A27" s="572"/>
      <c r="B27" s="573"/>
      <c r="C27" s="573"/>
      <c r="D27" s="573"/>
      <c r="E27" s="573"/>
      <c r="F27" s="574"/>
    </row>
    <row r="28" spans="1:6" ht="18.95" customHeight="1">
      <c r="A28" s="572"/>
      <c r="B28" s="573"/>
      <c r="C28" s="573"/>
      <c r="D28" s="573"/>
      <c r="E28" s="573"/>
      <c r="F28" s="574"/>
    </row>
    <row r="29" spans="1:6" ht="18.95" customHeight="1">
      <c r="A29" s="572"/>
      <c r="B29" s="573"/>
      <c r="C29" s="573"/>
      <c r="D29" s="573"/>
      <c r="E29" s="573"/>
      <c r="F29" s="574"/>
    </row>
    <row r="30" spans="1:6" ht="18.95" customHeight="1">
      <c r="A30" s="572"/>
      <c r="B30" s="573"/>
      <c r="C30" s="573"/>
      <c r="D30" s="573"/>
      <c r="E30" s="573"/>
      <c r="F30" s="574"/>
    </row>
    <row r="31" spans="1:6" ht="18.95" customHeight="1">
      <c r="A31" s="572"/>
      <c r="B31" s="573"/>
      <c r="C31" s="573"/>
      <c r="D31" s="573"/>
      <c r="E31" s="573"/>
      <c r="F31" s="574"/>
    </row>
    <row r="32" spans="1:6" ht="18.95" customHeight="1">
      <c r="A32" s="572"/>
      <c r="B32" s="573"/>
      <c r="C32" s="573"/>
      <c r="D32" s="573"/>
      <c r="E32" s="573"/>
      <c r="F32" s="574"/>
    </row>
    <row r="33" spans="1:6" ht="18.95" customHeight="1">
      <c r="A33" s="572"/>
      <c r="B33" s="573"/>
      <c r="C33" s="573"/>
      <c r="D33" s="573"/>
      <c r="E33" s="573"/>
      <c r="F33" s="574"/>
    </row>
    <row r="34" spans="1:6" ht="18.95" customHeight="1">
      <c r="A34" s="572"/>
      <c r="B34" s="573"/>
      <c r="C34" s="573"/>
      <c r="D34" s="573"/>
      <c r="E34" s="573"/>
      <c r="F34" s="574"/>
    </row>
    <row r="35" spans="1:6" ht="18.95" customHeight="1">
      <c r="A35" s="572"/>
      <c r="B35" s="573"/>
      <c r="C35" s="573"/>
      <c r="D35" s="573"/>
      <c r="E35" s="573"/>
      <c r="F35" s="574"/>
    </row>
    <row r="36" spans="1:6" ht="18.95" customHeight="1">
      <c r="A36" s="572"/>
      <c r="B36" s="573"/>
      <c r="C36" s="573"/>
      <c r="D36" s="573"/>
      <c r="E36" s="573"/>
      <c r="F36" s="574"/>
    </row>
    <row r="37" spans="1:6" ht="18.95" customHeight="1">
      <c r="A37" s="572"/>
      <c r="B37" s="573"/>
      <c r="C37" s="573"/>
      <c r="D37" s="573"/>
      <c r="E37" s="573"/>
      <c r="F37" s="574"/>
    </row>
    <row r="38" spans="1:6" ht="18.95" customHeight="1">
      <c r="A38" s="572"/>
      <c r="B38" s="573"/>
      <c r="C38" s="573"/>
      <c r="D38" s="573"/>
      <c r="E38" s="573"/>
      <c r="F38" s="574"/>
    </row>
    <row r="39" spans="1:6" ht="18.95" customHeight="1">
      <c r="A39" s="583" t="s">
        <v>592</v>
      </c>
      <c r="B39" s="584" t="s">
        <v>593</v>
      </c>
      <c r="C39" s="585" t="str">
        <f>'Performance Data Sheet'!C10</f>
        <v>2292552.1</v>
      </c>
      <c r="D39" s="573"/>
      <c r="E39" s="579" t="s">
        <v>594</v>
      </c>
      <c r="F39" s="638" t="str">
        <f>F10</f>
        <v>BS2900U_REV3</v>
      </c>
    </row>
    <row r="40" spans="1:6" ht="18.95" customHeight="1">
      <c r="A40" s="572"/>
      <c r="B40" s="584"/>
      <c r="C40" s="584"/>
      <c r="D40" s="573"/>
      <c r="E40" s="573"/>
      <c r="F40" s="574"/>
    </row>
    <row r="41" spans="1:6" ht="18.95" customHeight="1">
      <c r="A41" s="572"/>
      <c r="B41" s="584"/>
      <c r="C41" s="584"/>
      <c r="D41" s="573"/>
      <c r="E41" s="573"/>
      <c r="F41" s="574"/>
    </row>
    <row r="42" spans="1:6" ht="18.95" customHeight="1">
      <c r="A42" s="572"/>
      <c r="B42" s="573"/>
      <c r="C42" s="573"/>
      <c r="D42" s="573"/>
      <c r="E42" s="573"/>
      <c r="F42" s="574"/>
    </row>
    <row r="43" spans="1:6" ht="18.95" customHeight="1">
      <c r="A43" s="586"/>
      <c r="B43" s="584"/>
      <c r="C43" s="587" t="s">
        <v>595</v>
      </c>
      <c r="D43" s="588" t="str">
        <f>'Performance Data Sheet'!K42</f>
        <v>Jerry R</v>
      </c>
      <c r="E43" s="587" t="s">
        <v>596</v>
      </c>
      <c r="F43" s="588"/>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355" t="s">
        <v>402</v>
      </c>
      <c r="E53" s="355" t="s">
        <v>403</v>
      </c>
      <c r="F53" s="355" t="s">
        <v>404</v>
      </c>
      <c r="G53" s="355" t="s">
        <v>405</v>
      </c>
      <c r="H53" s="355" t="s">
        <v>406</v>
      </c>
      <c r="I53" s="355" t="s">
        <v>597</v>
      </c>
      <c r="J53" s="355"/>
      <c r="K53" s="355"/>
      <c r="L53" s="355"/>
    </row>
    <row r="54" spans="1:12" ht="15" customHeight="1">
      <c r="A54" s="589">
        <v>100</v>
      </c>
      <c r="B54" s="355">
        <v>0</v>
      </c>
      <c r="C54" s="355">
        <v>0.24348856508731842</v>
      </c>
      <c r="D54" s="355">
        <v>97</v>
      </c>
      <c r="E54" s="355">
        <v>0</v>
      </c>
      <c r="F54" s="355">
        <v>25.588212966918945</v>
      </c>
      <c r="G54" s="355">
        <v>0</v>
      </c>
      <c r="H54" s="355">
        <v>20.470571517944336</v>
      </c>
      <c r="I54" s="590">
        <v>39.799999999999997</v>
      </c>
      <c r="J54" s="355"/>
      <c r="K54" s="355"/>
      <c r="L54" s="355"/>
    </row>
    <row r="55" spans="1:12" ht="15" customHeight="1">
      <c r="A55" s="589">
        <v>99.200000055134296</v>
      </c>
      <c r="B55" s="355">
        <v>157.04400644116546</v>
      </c>
      <c r="C55" s="355">
        <v>168.99800109863281</v>
      </c>
      <c r="D55" s="355">
        <v>94.599998474121094</v>
      </c>
      <c r="E55" s="355">
        <v>135.82736317936315</v>
      </c>
      <c r="F55" s="355">
        <v>157.16813659667969</v>
      </c>
      <c r="G55" s="355">
        <v>100.50816705787673</v>
      </c>
      <c r="H55" s="355">
        <v>135.19841003417969</v>
      </c>
      <c r="I55" s="590">
        <v>37.200000000000003</v>
      </c>
      <c r="J55" s="355"/>
      <c r="K55" s="355"/>
      <c r="L55" s="355"/>
    </row>
    <row r="56" spans="1:12" ht="15" customHeight="1">
      <c r="A56" s="589">
        <v>96.000000089406967</v>
      </c>
      <c r="B56" s="355">
        <v>295</v>
      </c>
      <c r="C56" s="355">
        <v>501.40765380859375</v>
      </c>
      <c r="D56" s="355">
        <v>91</v>
      </c>
      <c r="E56" s="355">
        <v>255.14550392460825</v>
      </c>
      <c r="F56" s="355">
        <v>466.30911254882813</v>
      </c>
      <c r="G56" s="355">
        <v>188.80000562667851</v>
      </c>
      <c r="H56" s="355">
        <v>401.12612915039063</v>
      </c>
      <c r="I56" s="590">
        <v>34.6</v>
      </c>
      <c r="J56" s="355"/>
      <c r="K56" s="355"/>
      <c r="L56" s="355"/>
    </row>
    <row r="57" spans="1:12">
      <c r="A57" s="589">
        <v>90.857142955064774</v>
      </c>
      <c r="B57" s="355">
        <v>193.78967114362311</v>
      </c>
      <c r="C57" s="355">
        <v>585.61541748046875</v>
      </c>
      <c r="D57" s="355">
        <v>81.548576354980469</v>
      </c>
      <c r="E57" s="355">
        <v>167.60869062744709</v>
      </c>
      <c r="F57" s="355">
        <v>544.622314453125</v>
      </c>
      <c r="G57" s="355">
        <v>124.0253943212447</v>
      </c>
      <c r="H57" s="355">
        <v>468.49234008789063</v>
      </c>
      <c r="I57" s="590">
        <v>30.7</v>
      </c>
      <c r="J57" s="355"/>
      <c r="K57" s="355"/>
      <c r="L57" s="355"/>
    </row>
    <row r="58" spans="1:12">
      <c r="A58" s="589">
        <v>85.71428507566452</v>
      </c>
      <c r="B58" s="355">
        <v>151.41916369889555</v>
      </c>
      <c r="C58" s="355">
        <v>607.5997314453125</v>
      </c>
      <c r="D58" s="355">
        <v>71.400001525878906</v>
      </c>
      <c r="E58" s="355">
        <v>130.96243257779815</v>
      </c>
      <c r="F58" s="355">
        <v>565.0677490234375</v>
      </c>
      <c r="G58" s="355">
        <v>96.908264606841286</v>
      </c>
      <c r="H58" s="355">
        <v>486.07980346679688</v>
      </c>
      <c r="I58" s="590">
        <v>28.8</v>
      </c>
      <c r="J58" s="355"/>
      <c r="K58" s="355"/>
      <c r="L58" s="355"/>
    </row>
    <row r="59" spans="1:12">
      <c r="A59" s="589">
        <v>80.571427941322327</v>
      </c>
      <c r="B59" s="355">
        <v>134.44616713254499</v>
      </c>
      <c r="C59" s="355">
        <v>616.3992919921875</v>
      </c>
      <c r="D59" s="355">
        <v>63.799999237060547</v>
      </c>
      <c r="E59" s="355">
        <v>116.28249162018207</v>
      </c>
      <c r="F59" s="355">
        <v>573.2513427734375</v>
      </c>
      <c r="G59" s="355">
        <v>86.045549439357146</v>
      </c>
      <c r="H59" s="355">
        <v>493.11944580078125</v>
      </c>
      <c r="I59" s="590">
        <v>25</v>
      </c>
      <c r="J59" s="355"/>
      <c r="K59" s="355"/>
      <c r="L59" s="355"/>
    </row>
    <row r="60" spans="1:12">
      <c r="A60" s="589">
        <v>70.285713672637939</v>
      </c>
      <c r="B60" s="355">
        <v>124.13881799241939</v>
      </c>
      <c r="C60" s="355">
        <v>624.29315185546875</v>
      </c>
      <c r="D60" s="355">
        <v>50.371429443359375</v>
      </c>
      <c r="E60" s="355">
        <v>107.36766433080339</v>
      </c>
      <c r="F60" s="355">
        <v>580.5926513671875</v>
      </c>
      <c r="G60" s="355">
        <v>79.448845141197538</v>
      </c>
      <c r="H60" s="355">
        <v>499.43453979492188</v>
      </c>
      <c r="I60" s="590">
        <v>19.600000000000001</v>
      </c>
      <c r="J60" s="355"/>
      <c r="K60" s="355"/>
      <c r="L60" s="355"/>
    </row>
    <row r="61" spans="1:12">
      <c r="A61" s="589">
        <v>59.999999403953552</v>
      </c>
      <c r="B61" s="355">
        <v>120</v>
      </c>
      <c r="C61" s="355">
        <v>629.18438720703125</v>
      </c>
      <c r="D61" s="355">
        <v>38</v>
      </c>
      <c r="E61" s="355">
        <v>103.78800159645081</v>
      </c>
      <c r="F61" s="355">
        <v>585.1414794921875</v>
      </c>
      <c r="G61" s="355">
        <v>76.800002288818376</v>
      </c>
      <c r="H61" s="355">
        <v>503.34750366210938</v>
      </c>
      <c r="I61" s="590">
        <v>14.2</v>
      </c>
      <c r="J61" s="355"/>
      <c r="K61" s="355"/>
      <c r="L61" s="355"/>
    </row>
    <row r="62" spans="1:12">
      <c r="A62" s="589">
        <v>50</v>
      </c>
      <c r="B62" s="355">
        <v>120.03155069628426</v>
      </c>
      <c r="C62" s="355">
        <v>633.42730712890625</v>
      </c>
      <c r="D62" s="355">
        <v>25</v>
      </c>
      <c r="E62" s="355">
        <v>103.81528706974039</v>
      </c>
      <c r="F62" s="355">
        <v>589.08740234375</v>
      </c>
      <c r="G62" s="355">
        <v>76.820192719107595</v>
      </c>
      <c r="H62" s="355">
        <v>506.74185180664063</v>
      </c>
      <c r="I62" s="590">
        <v>9.6</v>
      </c>
      <c r="J62" s="355"/>
      <c r="K62" s="355"/>
      <c r="L62" s="355"/>
    </row>
    <row r="63" spans="1:12">
      <c r="A63" s="589">
        <v>39.999997615814209</v>
      </c>
      <c r="B63" s="355">
        <v>120.04209458685628</v>
      </c>
      <c r="C63" s="355">
        <v>637.274658203125</v>
      </c>
      <c r="D63" s="355">
        <v>14.999999046325684</v>
      </c>
      <c r="E63" s="355">
        <v>103.82440642260282</v>
      </c>
      <c r="F63" s="355">
        <v>592.66546630859375</v>
      </c>
      <c r="G63" s="355">
        <v>76.826940766183711</v>
      </c>
      <c r="H63" s="355">
        <v>509.81973266601563</v>
      </c>
      <c r="I63" s="590">
        <v>7.3</v>
      </c>
      <c r="J63" s="355"/>
      <c r="K63" s="355"/>
      <c r="L63" s="355"/>
    </row>
    <row r="64" spans="1:12">
      <c r="A64" s="589">
        <v>30.000001192092896</v>
      </c>
      <c r="B64" s="355">
        <v>120.05618911523686</v>
      </c>
      <c r="C64" s="355">
        <v>640.70672607421875</v>
      </c>
      <c r="D64" s="355">
        <v>10.100000381469727</v>
      </c>
      <c r="E64" s="355">
        <v>103.83660075262438</v>
      </c>
      <c r="F64" s="355">
        <v>595.85723876953125</v>
      </c>
      <c r="G64" s="355">
        <v>76.835964203952628</v>
      </c>
      <c r="H64" s="355">
        <v>512.56536865234375</v>
      </c>
      <c r="I64" s="590">
        <v>6.5</v>
      </c>
      <c r="J64" s="355"/>
      <c r="K64" s="355"/>
      <c r="L64" s="355"/>
    </row>
    <row r="65" spans="1:12">
      <c r="A65" s="589">
        <v>19.999998807907104</v>
      </c>
      <c r="B65" s="355">
        <v>120.07848365900892</v>
      </c>
      <c r="C65" s="355">
        <v>643.72344970703125</v>
      </c>
      <c r="D65" s="355">
        <v>9.1000003814697266</v>
      </c>
      <c r="E65" s="355">
        <v>103.85588204717145</v>
      </c>
      <c r="F65" s="355">
        <v>598.662841796875</v>
      </c>
      <c r="G65" s="355">
        <v>76.850231782502831</v>
      </c>
      <c r="H65" s="355">
        <v>514.978759765625</v>
      </c>
      <c r="I65" s="590">
        <v>6.1</v>
      </c>
      <c r="J65" s="355"/>
      <c r="K65" s="355"/>
      <c r="L65" s="355"/>
    </row>
    <row r="66" spans="1:12">
      <c r="A66" s="589">
        <v>10.000002384185791</v>
      </c>
      <c r="B66" s="355">
        <v>120.10485098150394</v>
      </c>
      <c r="C66" s="355">
        <v>646.361328125</v>
      </c>
      <c r="D66" s="355">
        <v>8.399998664855957</v>
      </c>
      <c r="E66" s="355">
        <v>103.87868702799098</v>
      </c>
      <c r="F66" s="355">
        <v>601.11602783203125</v>
      </c>
      <c r="G66" s="355">
        <v>76.867106783005752</v>
      </c>
      <c r="H66" s="355">
        <v>517.08905029296875</v>
      </c>
      <c r="I66" s="590">
        <v>7.3</v>
      </c>
      <c r="J66" s="355"/>
      <c r="K66" s="355"/>
      <c r="L66" s="355"/>
    </row>
    <row r="67" spans="1:12">
      <c r="A67" s="591">
        <v>0</v>
      </c>
      <c r="B67" s="355">
        <v>120</v>
      </c>
      <c r="C67" s="355">
        <v>648.672607421875</v>
      </c>
      <c r="D67" s="355">
        <v>11.5</v>
      </c>
      <c r="E67" s="355">
        <v>103.78800159645081</v>
      </c>
      <c r="F67" s="355">
        <v>603.2655029296875</v>
      </c>
      <c r="G67" s="355">
        <v>76.800002288818376</v>
      </c>
      <c r="H67" s="355">
        <v>518.9381103515625</v>
      </c>
      <c r="I67" s="590">
        <v>11.5</v>
      </c>
      <c r="J67" s="355"/>
      <c r="K67" s="355"/>
      <c r="L67" s="355"/>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A4017-5BC4-4FD7-A0D1-2101786A0969}">
  <sheetPr>
    <pageSetUpPr fitToPage="1"/>
  </sheetPr>
  <dimension ref="A1:J81"/>
  <sheetViews>
    <sheetView topLeftCell="A22" workbookViewId="0">
      <selection activeCell="H35" sqref="H35"/>
    </sheetView>
  </sheetViews>
  <sheetFormatPr defaultRowHeight="12.75"/>
  <cols>
    <col min="1" max="6" width="11.69921875" style="147" customWidth="1"/>
    <col min="7" max="256" width="8.796875" style="147"/>
    <col min="257" max="262" width="11.69921875" style="147" customWidth="1"/>
    <col min="263" max="512" width="8.796875" style="147"/>
    <col min="513" max="518" width="11.69921875" style="147" customWidth="1"/>
    <col min="519" max="768" width="8.796875" style="147"/>
    <col min="769" max="774" width="11.69921875" style="147" customWidth="1"/>
    <col min="775" max="1024" width="8.796875" style="147"/>
    <col min="1025" max="1030" width="11.69921875" style="147" customWidth="1"/>
    <col min="1031" max="1280" width="8.796875" style="147"/>
    <col min="1281" max="1286" width="11.69921875" style="147" customWidth="1"/>
    <col min="1287" max="1536" width="8.796875" style="147"/>
    <col min="1537" max="1542" width="11.69921875" style="147" customWidth="1"/>
    <col min="1543" max="1792" width="8.796875" style="147"/>
    <col min="1793" max="1798" width="11.69921875" style="147" customWidth="1"/>
    <col min="1799" max="2048" width="8.796875" style="147"/>
    <col min="2049" max="2054" width="11.69921875" style="147" customWidth="1"/>
    <col min="2055" max="2304" width="8.796875" style="147"/>
    <col min="2305" max="2310" width="11.69921875" style="147" customWidth="1"/>
    <col min="2311" max="2560" width="8.796875" style="147"/>
    <col min="2561" max="2566" width="11.69921875" style="147" customWidth="1"/>
    <col min="2567" max="2816" width="8.796875" style="147"/>
    <col min="2817" max="2822" width="11.69921875" style="147" customWidth="1"/>
    <col min="2823" max="3072" width="8.796875" style="147"/>
    <col min="3073" max="3078" width="11.69921875" style="147" customWidth="1"/>
    <col min="3079" max="3328" width="8.796875" style="147"/>
    <col min="3329" max="3334" width="11.69921875" style="147" customWidth="1"/>
    <col min="3335" max="3584" width="8.796875" style="147"/>
    <col min="3585" max="3590" width="11.69921875" style="147" customWidth="1"/>
    <col min="3591" max="3840" width="8.796875" style="147"/>
    <col min="3841" max="3846" width="11.69921875" style="147" customWidth="1"/>
    <col min="3847" max="4096" width="8.796875" style="147"/>
    <col min="4097" max="4102" width="11.69921875" style="147" customWidth="1"/>
    <col min="4103" max="4352" width="8.796875" style="147"/>
    <col min="4353" max="4358" width="11.69921875" style="147" customWidth="1"/>
    <col min="4359" max="4608" width="8.796875" style="147"/>
    <col min="4609" max="4614" width="11.69921875" style="147" customWidth="1"/>
    <col min="4615" max="4864" width="8.796875" style="147"/>
    <col min="4865" max="4870" width="11.69921875" style="147" customWidth="1"/>
    <col min="4871" max="5120" width="8.796875" style="147"/>
    <col min="5121" max="5126" width="11.69921875" style="147" customWidth="1"/>
    <col min="5127" max="5376" width="8.796875" style="147"/>
    <col min="5377" max="5382" width="11.69921875" style="147" customWidth="1"/>
    <col min="5383" max="5632" width="8.796875" style="147"/>
    <col min="5633" max="5638" width="11.69921875" style="147" customWidth="1"/>
    <col min="5639" max="5888" width="8.796875" style="147"/>
    <col min="5889" max="5894" width="11.69921875" style="147" customWidth="1"/>
    <col min="5895" max="6144" width="8.796875" style="147"/>
    <col min="6145" max="6150" width="11.69921875" style="147" customWidth="1"/>
    <col min="6151" max="6400" width="8.796875" style="147"/>
    <col min="6401" max="6406" width="11.69921875" style="147" customWidth="1"/>
    <col min="6407" max="6656" width="8.796875" style="147"/>
    <col min="6657" max="6662" width="11.69921875" style="147" customWidth="1"/>
    <col min="6663" max="6912" width="8.796875" style="147"/>
    <col min="6913" max="6918" width="11.69921875" style="147" customWidth="1"/>
    <col min="6919" max="7168" width="8.796875" style="147"/>
    <col min="7169" max="7174" width="11.69921875" style="147" customWidth="1"/>
    <col min="7175" max="7424" width="8.796875" style="147"/>
    <col min="7425" max="7430" width="11.69921875" style="147" customWidth="1"/>
    <col min="7431" max="7680" width="8.796875" style="147"/>
    <col min="7681" max="7686" width="11.69921875" style="147" customWidth="1"/>
    <col min="7687" max="7936" width="8.796875" style="147"/>
    <col min="7937" max="7942" width="11.69921875" style="147" customWidth="1"/>
    <col min="7943" max="8192" width="8.796875" style="147"/>
    <col min="8193" max="8198" width="11.69921875" style="147" customWidth="1"/>
    <col min="8199" max="8448" width="8.796875" style="147"/>
    <col min="8449" max="8454" width="11.69921875" style="147" customWidth="1"/>
    <col min="8455" max="8704" width="8.796875" style="147"/>
    <col min="8705" max="8710" width="11.69921875" style="147" customWidth="1"/>
    <col min="8711" max="8960" width="8.796875" style="147"/>
    <col min="8961" max="8966" width="11.69921875" style="147" customWidth="1"/>
    <col min="8967" max="9216" width="8.796875" style="147"/>
    <col min="9217" max="9222" width="11.69921875" style="147" customWidth="1"/>
    <col min="9223" max="9472" width="8.796875" style="147"/>
    <col min="9473" max="9478" width="11.69921875" style="147" customWidth="1"/>
    <col min="9479" max="9728" width="8.796875" style="147"/>
    <col min="9729" max="9734" width="11.69921875" style="147" customWidth="1"/>
    <col min="9735" max="9984" width="8.796875" style="147"/>
    <col min="9985" max="9990" width="11.69921875" style="147" customWidth="1"/>
    <col min="9991" max="10240" width="8.796875" style="147"/>
    <col min="10241" max="10246" width="11.69921875" style="147" customWidth="1"/>
    <col min="10247" max="10496" width="8.796875" style="147"/>
    <col min="10497" max="10502" width="11.69921875" style="147" customWidth="1"/>
    <col min="10503" max="10752" width="8.796875" style="147"/>
    <col min="10753" max="10758" width="11.69921875" style="147" customWidth="1"/>
    <col min="10759" max="11008" width="8.796875" style="147"/>
    <col min="11009" max="11014" width="11.69921875" style="147" customWidth="1"/>
    <col min="11015" max="11264" width="8.796875" style="147"/>
    <col min="11265" max="11270" width="11.69921875" style="147" customWidth="1"/>
    <col min="11271" max="11520" width="8.796875" style="147"/>
    <col min="11521" max="11526" width="11.69921875" style="147" customWidth="1"/>
    <col min="11527" max="11776" width="8.796875" style="147"/>
    <col min="11777" max="11782" width="11.69921875" style="147" customWidth="1"/>
    <col min="11783" max="12032" width="8.796875" style="147"/>
    <col min="12033" max="12038" width="11.69921875" style="147" customWidth="1"/>
    <col min="12039" max="12288" width="8.796875" style="147"/>
    <col min="12289" max="12294" width="11.69921875" style="147" customWidth="1"/>
    <col min="12295" max="12544" width="8.796875" style="147"/>
    <col min="12545" max="12550" width="11.69921875" style="147" customWidth="1"/>
    <col min="12551" max="12800" width="8.796875" style="147"/>
    <col min="12801" max="12806" width="11.69921875" style="147" customWidth="1"/>
    <col min="12807" max="13056" width="8.796875" style="147"/>
    <col min="13057" max="13062" width="11.69921875" style="147" customWidth="1"/>
    <col min="13063" max="13312" width="8.796875" style="147"/>
    <col min="13313" max="13318" width="11.69921875" style="147" customWidth="1"/>
    <col min="13319" max="13568" width="8.796875" style="147"/>
    <col min="13569" max="13574" width="11.69921875" style="147" customWidth="1"/>
    <col min="13575" max="13824" width="8.796875" style="147"/>
    <col min="13825" max="13830" width="11.69921875" style="147" customWidth="1"/>
    <col min="13831" max="14080" width="8.796875" style="147"/>
    <col min="14081" max="14086" width="11.69921875" style="147" customWidth="1"/>
    <col min="14087" max="14336" width="8.796875" style="147"/>
    <col min="14337" max="14342" width="11.69921875" style="147" customWidth="1"/>
    <col min="14343" max="14592" width="8.796875" style="147"/>
    <col min="14593" max="14598" width="11.69921875" style="147" customWidth="1"/>
    <col min="14599" max="14848" width="8.796875" style="147"/>
    <col min="14849" max="14854" width="11.69921875" style="147" customWidth="1"/>
    <col min="14855" max="15104" width="8.796875" style="147"/>
    <col min="15105" max="15110" width="11.69921875" style="147" customWidth="1"/>
    <col min="15111" max="15360" width="8.796875" style="147"/>
    <col min="15361" max="15366" width="11.69921875" style="147" customWidth="1"/>
    <col min="15367" max="15616" width="8.796875" style="147"/>
    <col min="15617" max="15622" width="11.69921875" style="147" customWidth="1"/>
    <col min="15623" max="15872" width="8.796875" style="147"/>
    <col min="15873" max="15878" width="11.69921875" style="147" customWidth="1"/>
    <col min="15879" max="16128" width="8.796875" style="147"/>
    <col min="16129" max="16134" width="11.69921875" style="147" customWidth="1"/>
    <col min="16135" max="16384" width="8.796875" style="147"/>
  </cols>
  <sheetData>
    <row r="1" spans="1:6" ht="18.95" customHeight="1">
      <c r="A1" s="565"/>
      <c r="B1" s="566"/>
      <c r="C1" s="566"/>
      <c r="D1" s="566"/>
      <c r="E1" s="566"/>
      <c r="F1" s="567"/>
    </row>
    <row r="2" spans="1:6" ht="26.1" customHeight="1">
      <c r="A2" s="568" t="s">
        <v>0</v>
      </c>
      <c r="B2" s="569"/>
      <c r="C2" s="569"/>
      <c r="D2" s="569"/>
      <c r="E2" s="569"/>
      <c r="F2" s="570"/>
    </row>
    <row r="3" spans="1:6" ht="18.95" customHeight="1">
      <c r="A3" s="717" t="s">
        <v>598</v>
      </c>
      <c r="B3" s="718"/>
      <c r="C3" s="718"/>
      <c r="D3" s="718"/>
      <c r="E3" s="718"/>
      <c r="F3" s="719"/>
    </row>
    <row r="4" spans="1:6" ht="18.95" customHeight="1">
      <c r="A4" s="720" t="s">
        <v>599</v>
      </c>
      <c r="B4" s="721"/>
      <c r="C4" s="721"/>
      <c r="D4" s="721"/>
      <c r="E4" s="721"/>
      <c r="F4" s="722"/>
    </row>
    <row r="5" spans="1:6" ht="18.95" customHeight="1">
      <c r="A5" s="572"/>
      <c r="B5" s="573"/>
      <c r="C5" s="573"/>
      <c r="D5" s="573"/>
      <c r="E5" s="573"/>
      <c r="F5" s="574"/>
    </row>
    <row r="6" spans="1:6" ht="18.95" customHeight="1">
      <c r="A6" s="575" t="s">
        <v>571</v>
      </c>
      <c r="B6" s="714" t="str">
        <f>'Performance Data Sheet'!C17</f>
        <v>A1-10130506</v>
      </c>
      <c r="C6" s="715"/>
      <c r="D6" s="716"/>
      <c r="E6" s="575" t="s">
        <v>572</v>
      </c>
      <c r="F6" s="576" t="str">
        <f>'Performance Data Sheet'!I14 &amp; " A"</f>
        <v>113 A</v>
      </c>
    </row>
    <row r="7" spans="1:6" ht="18.95" customHeight="1">
      <c r="A7" s="575" t="s">
        <v>573</v>
      </c>
      <c r="B7" s="576" t="str">
        <f>'Performance Data Sheet'!F14</f>
        <v>TEAAC</v>
      </c>
      <c r="C7" s="575" t="s">
        <v>574</v>
      </c>
      <c r="D7" s="576" t="str">
        <f>'Performance Data Sheet'!F13 &amp; " V"</f>
        <v>4000 V</v>
      </c>
      <c r="E7" s="575" t="s">
        <v>575</v>
      </c>
      <c r="F7" s="576" t="str">
        <f>'Performance Data Sheet'!C14</f>
        <v>5812USS</v>
      </c>
    </row>
    <row r="8" spans="1:6" ht="18.95" customHeight="1">
      <c r="A8" s="575" t="s">
        <v>576</v>
      </c>
      <c r="B8" s="576">
        <v>2</v>
      </c>
      <c r="C8" s="575" t="s">
        <v>577</v>
      </c>
      <c r="D8" s="576" t="s">
        <v>578</v>
      </c>
      <c r="E8" s="575" t="s">
        <v>579</v>
      </c>
      <c r="F8" s="576" t="s">
        <v>40</v>
      </c>
    </row>
    <row r="9" spans="1:6" ht="18.95" customHeight="1">
      <c r="A9" s="575" t="s">
        <v>580</v>
      </c>
      <c r="B9" s="576">
        <v>900</v>
      </c>
      <c r="C9" s="575" t="s">
        <v>581</v>
      </c>
      <c r="D9" s="576" t="s">
        <v>582</v>
      </c>
      <c r="E9" s="575" t="s">
        <v>131</v>
      </c>
      <c r="F9" s="577">
        <f>'Performance Data Sheet'!K44</f>
        <v>45943</v>
      </c>
    </row>
    <row r="10" spans="1:6" ht="18.95" customHeight="1">
      <c r="A10" s="575" t="s">
        <v>32</v>
      </c>
      <c r="B10" s="576">
        <v>3580</v>
      </c>
      <c r="C10" s="575" t="s">
        <v>396</v>
      </c>
      <c r="D10" s="576" t="s">
        <v>583</v>
      </c>
      <c r="E10" s="575" t="s">
        <v>129</v>
      </c>
      <c r="F10" s="578" t="s">
        <v>584</v>
      </c>
    </row>
    <row r="11" spans="1:6" ht="18.95" customHeight="1">
      <c r="A11" s="572"/>
      <c r="B11" s="573"/>
      <c r="C11" s="573"/>
      <c r="D11" s="573"/>
      <c r="E11" s="573"/>
      <c r="F11" s="574"/>
    </row>
    <row r="12" spans="1:6" ht="18.95" customHeight="1">
      <c r="A12" s="572"/>
      <c r="B12" s="579"/>
      <c r="C12" s="580"/>
      <c r="D12" s="579"/>
      <c r="E12" s="580"/>
      <c r="F12" s="574"/>
    </row>
    <row r="13" spans="1:6" ht="18.95" customHeight="1">
      <c r="A13" s="572"/>
      <c r="B13" s="579"/>
      <c r="C13" s="581"/>
      <c r="D13" s="579"/>
      <c r="E13" s="580"/>
      <c r="F13" s="574"/>
    </row>
    <row r="14" spans="1:6" ht="18.95" customHeight="1">
      <c r="A14" s="572"/>
      <c r="B14" s="579"/>
      <c r="C14" s="581"/>
      <c r="D14" s="579"/>
      <c r="E14" s="580"/>
      <c r="F14" s="574"/>
    </row>
    <row r="15" spans="1:6" ht="18.95" customHeight="1">
      <c r="A15" s="572"/>
      <c r="B15" s="579"/>
      <c r="C15" s="580"/>
      <c r="D15" s="573"/>
      <c r="E15" s="573"/>
      <c r="F15" s="574"/>
    </row>
    <row r="16" spans="1:6" ht="18.95" customHeight="1">
      <c r="A16" s="572"/>
      <c r="B16" s="573"/>
      <c r="C16" s="573"/>
      <c r="D16" s="573"/>
      <c r="E16" s="573"/>
      <c r="F16" s="574"/>
    </row>
    <row r="17" spans="1:6" ht="18.95" customHeight="1">
      <c r="A17" s="572"/>
      <c r="B17" s="573"/>
      <c r="C17" s="573"/>
      <c r="D17" s="573"/>
      <c r="E17" s="573"/>
      <c r="F17" s="574"/>
    </row>
    <row r="18" spans="1:6" ht="18.95" customHeight="1">
      <c r="A18" s="572"/>
      <c r="B18" s="573"/>
      <c r="C18" s="573"/>
      <c r="D18" s="573"/>
      <c r="E18" s="573"/>
      <c r="F18" s="574"/>
    </row>
    <row r="19" spans="1:6" ht="18.95" customHeight="1">
      <c r="A19" s="572"/>
      <c r="B19" s="573"/>
      <c r="C19" s="573"/>
      <c r="D19" s="573"/>
      <c r="E19" s="573"/>
      <c r="F19" s="574"/>
    </row>
    <row r="20" spans="1:6" ht="18.95" customHeight="1">
      <c r="A20" s="572"/>
      <c r="B20" s="573"/>
      <c r="C20" s="573"/>
      <c r="D20" s="573"/>
      <c r="E20" s="573"/>
      <c r="F20" s="574"/>
    </row>
    <row r="21" spans="1:6" ht="18.95" customHeight="1">
      <c r="A21" s="572"/>
      <c r="B21" s="573"/>
      <c r="C21" s="573"/>
      <c r="D21" s="573"/>
      <c r="E21" s="573"/>
      <c r="F21" s="574"/>
    </row>
    <row r="22" spans="1:6" ht="18.95" customHeight="1">
      <c r="A22" s="572"/>
      <c r="B22" s="573"/>
      <c r="C22" s="573"/>
      <c r="D22" s="573"/>
      <c r="E22" s="573"/>
      <c r="F22" s="574"/>
    </row>
    <row r="23" spans="1:6" ht="18.95" customHeight="1">
      <c r="A23" s="572"/>
      <c r="B23" s="573"/>
      <c r="C23" s="573"/>
      <c r="D23" s="573"/>
      <c r="E23" s="573"/>
      <c r="F23" s="574"/>
    </row>
    <row r="24" spans="1:6" ht="18.95" customHeight="1">
      <c r="A24" s="572"/>
      <c r="B24" s="573"/>
      <c r="C24" s="573"/>
      <c r="D24" s="573"/>
      <c r="E24" s="573"/>
      <c r="F24" s="574"/>
    </row>
    <row r="25" spans="1:6" ht="18.95" customHeight="1">
      <c r="A25" s="572"/>
      <c r="B25" s="573"/>
      <c r="C25" s="573"/>
      <c r="D25" s="573"/>
      <c r="E25" s="573"/>
      <c r="F25" s="574"/>
    </row>
    <row r="26" spans="1:6" ht="18.95" customHeight="1">
      <c r="A26" s="572"/>
      <c r="B26" s="573"/>
      <c r="C26" s="573"/>
      <c r="D26" s="573"/>
      <c r="E26" s="573"/>
      <c r="F26" s="574"/>
    </row>
    <row r="27" spans="1:6" ht="18.95" customHeight="1">
      <c r="A27" s="572"/>
      <c r="B27" s="573"/>
      <c r="C27" s="573"/>
      <c r="D27" s="573"/>
      <c r="E27" s="573"/>
      <c r="F27" s="574"/>
    </row>
    <row r="28" spans="1:6" ht="18.95" customHeight="1">
      <c r="A28" s="572"/>
      <c r="B28" s="573"/>
      <c r="C28" s="573"/>
      <c r="D28" s="573"/>
      <c r="E28" s="573"/>
      <c r="F28" s="574"/>
    </row>
    <row r="29" spans="1:6" ht="18.95" customHeight="1">
      <c r="A29" s="572"/>
      <c r="B29" s="573"/>
      <c r="C29" s="573"/>
      <c r="D29" s="573"/>
      <c r="E29" s="573"/>
      <c r="F29" s="574"/>
    </row>
    <row r="30" spans="1:6" ht="18.95" customHeight="1">
      <c r="A30" s="572"/>
      <c r="B30" s="573"/>
      <c r="C30" s="573"/>
      <c r="D30" s="573"/>
      <c r="E30" s="573"/>
      <c r="F30" s="574"/>
    </row>
    <row r="31" spans="1:6" ht="18.95" customHeight="1">
      <c r="A31" s="572"/>
      <c r="B31" s="573"/>
      <c r="C31" s="573"/>
      <c r="D31" s="573"/>
      <c r="E31" s="573"/>
      <c r="F31" s="574"/>
    </row>
    <row r="32" spans="1:6" ht="18.95" customHeight="1">
      <c r="A32" s="572"/>
      <c r="B32" s="573"/>
      <c r="C32" s="573"/>
      <c r="D32" s="573"/>
      <c r="E32" s="573"/>
      <c r="F32" s="574"/>
    </row>
    <row r="33" spans="1:6" ht="18.95" customHeight="1">
      <c r="A33" s="572"/>
      <c r="B33" s="573"/>
      <c r="C33" s="573"/>
      <c r="D33" s="573"/>
      <c r="E33" s="573"/>
      <c r="F33" s="574"/>
    </row>
    <row r="34" spans="1:6" ht="18.95" customHeight="1">
      <c r="A34" s="572"/>
      <c r="B34" s="573"/>
      <c r="C34" s="573"/>
      <c r="D34" s="573"/>
      <c r="E34" s="573"/>
      <c r="F34" s="574"/>
    </row>
    <row r="35" spans="1:6" ht="18.95" customHeight="1">
      <c r="A35" s="572"/>
      <c r="B35" s="573"/>
      <c r="C35" s="573"/>
      <c r="D35" s="573"/>
      <c r="E35" s="573"/>
      <c r="F35" s="574"/>
    </row>
    <row r="36" spans="1:6" ht="18.95" customHeight="1">
      <c r="A36" s="572"/>
      <c r="B36" s="573"/>
      <c r="C36" s="573"/>
      <c r="D36" s="573"/>
      <c r="E36" s="573"/>
      <c r="F36" s="574"/>
    </row>
    <row r="37" spans="1:6" ht="18.95" customHeight="1">
      <c r="A37" s="572"/>
      <c r="B37" s="573"/>
      <c r="C37" s="573"/>
      <c r="D37" s="573"/>
      <c r="E37" s="573"/>
      <c r="F37" s="574"/>
    </row>
    <row r="38" spans="1:6" ht="18.95" customHeight="1">
      <c r="A38" s="572"/>
      <c r="B38" s="573"/>
      <c r="C38" s="573"/>
      <c r="D38" s="573"/>
      <c r="E38" s="573"/>
      <c r="F38" s="574"/>
    </row>
    <row r="39" spans="1:6" ht="18.95" customHeight="1">
      <c r="A39" s="583" t="s">
        <v>592</v>
      </c>
      <c r="B39" s="584" t="s">
        <v>593</v>
      </c>
      <c r="C39" s="585" t="str">
        <f>'Performance Data Sheet'!C10</f>
        <v>2292552.1</v>
      </c>
      <c r="D39" s="573"/>
      <c r="E39" s="579" t="s">
        <v>594</v>
      </c>
      <c r="F39" s="638" t="str">
        <f>F10</f>
        <v>BS2900U_REV3</v>
      </c>
    </row>
    <row r="40" spans="1:6" ht="18.95" customHeight="1">
      <c r="A40" s="572"/>
      <c r="B40" s="584"/>
      <c r="C40" s="584"/>
      <c r="D40" s="573"/>
      <c r="E40" s="573"/>
      <c r="F40" s="574"/>
    </row>
    <row r="41" spans="1:6" ht="18.95" customHeight="1">
      <c r="A41" s="572"/>
      <c r="B41" s="584"/>
      <c r="C41" s="584"/>
      <c r="D41" s="573"/>
      <c r="E41" s="573"/>
      <c r="F41" s="574"/>
    </row>
    <row r="42" spans="1:6" ht="18.95" customHeight="1">
      <c r="A42" s="572"/>
      <c r="B42" s="573"/>
      <c r="C42" s="573"/>
      <c r="D42" s="573"/>
      <c r="E42" s="573"/>
      <c r="F42" s="574"/>
    </row>
    <row r="43" spans="1:6" ht="18.95" customHeight="1">
      <c r="A43" s="586"/>
      <c r="B43" s="584"/>
      <c r="C43" s="587" t="s">
        <v>595</v>
      </c>
      <c r="D43" s="588" t="str">
        <f>'Performance Data Sheet'!K42</f>
        <v>Jerry R</v>
      </c>
      <c r="E43" s="587" t="s">
        <v>596</v>
      </c>
      <c r="F43" s="588"/>
    </row>
    <row r="44" spans="1:6" ht="15" customHeight="1"/>
    <row r="45" spans="1:6" ht="15" customHeight="1"/>
    <row r="46" spans="1:6" ht="15" customHeight="1"/>
    <row r="47" spans="1:6" ht="15" customHeight="1"/>
    <row r="48" spans="1:6" ht="15" customHeight="1"/>
    <row r="49" spans="6:9" ht="15" customHeight="1"/>
    <row r="50" spans="6:9" ht="15" customHeight="1">
      <c r="F50" s="592" t="e">
        <f>5252.1*B50/D53</f>
        <v>#DIV/0!</v>
      </c>
      <c r="G50" s="592"/>
    </row>
    <row r="51" spans="6:9" ht="15" customHeight="1"/>
    <row r="52" spans="6:9" ht="15" customHeight="1"/>
    <row r="53" spans="6:9" ht="15" customHeight="1"/>
    <row r="54" spans="6:9" ht="15" customHeight="1"/>
    <row r="55" spans="6:9" ht="15" customHeight="1"/>
    <row r="56" spans="6:9" ht="15" customHeight="1"/>
    <row r="62" spans="6:9">
      <c r="I62" s="593"/>
    </row>
    <row r="63" spans="6:9">
      <c r="I63" s="147" t="s">
        <v>600</v>
      </c>
    </row>
    <row r="66" spans="1:10">
      <c r="D66" s="592" t="e">
        <f>D65/D64</f>
        <v>#DIV/0!</v>
      </c>
    </row>
    <row r="67" spans="1:10">
      <c r="A67" s="594" t="s">
        <v>391</v>
      </c>
      <c r="B67" s="594" t="s">
        <v>601</v>
      </c>
      <c r="C67" s="594" t="s">
        <v>602</v>
      </c>
      <c r="E67" s="594" t="s">
        <v>603</v>
      </c>
      <c r="F67" s="594" t="s">
        <v>604</v>
      </c>
    </row>
    <row r="68" spans="1:10">
      <c r="A68" s="595">
        <v>648.67256637168146</v>
      </c>
      <c r="B68" s="596">
        <v>27.518127986363005</v>
      </c>
      <c r="C68" s="596">
        <v>15</v>
      </c>
      <c r="E68" s="595">
        <f>A68</f>
        <v>648.67256637168146</v>
      </c>
      <c r="F68" s="596">
        <v>1E-4</v>
      </c>
      <c r="G68" s="147">
        <f>0.93*E68</f>
        <v>603.26548672566378</v>
      </c>
      <c r="H68" s="636">
        <f>F68</f>
        <v>1E-4</v>
      </c>
      <c r="I68" s="147">
        <f>0.8*E68</f>
        <v>518.93805309734523</v>
      </c>
      <c r="J68" s="636">
        <f>F68</f>
        <v>1E-4</v>
      </c>
    </row>
    <row r="69" spans="1:10">
      <c r="A69" s="595">
        <f>FLOOR(A68,100)</f>
        <v>600</v>
      </c>
      <c r="B69" s="596">
        <f>((A68/A69)^2)*B68</f>
        <v>32.163807023226816</v>
      </c>
      <c r="C69" s="596">
        <f>((A68/A69)^2)*C68</f>
        <v>17.532337431800979</v>
      </c>
      <c r="E69" s="595">
        <v>647.52212389380531</v>
      </c>
      <c r="F69" s="596">
        <v>0.17674418041276643</v>
      </c>
      <c r="G69" s="147">
        <f t="shared" ref="G69:G80" si="0">0.93*E69</f>
        <v>602.19557522123898</v>
      </c>
      <c r="H69" s="636">
        <f t="shared" ref="H69:H80" si="1">1.25*F69</f>
        <v>0.22093022551595803</v>
      </c>
      <c r="I69" s="147">
        <f t="shared" ref="I69:I80" si="2">0.8*E69</f>
        <v>518.01769911504425</v>
      </c>
      <c r="J69" s="637">
        <f t="shared" ref="J69:J80" si="3">2*F69</f>
        <v>0.35348836082553287</v>
      </c>
    </row>
    <row r="70" spans="1:10">
      <c r="A70" s="595">
        <f>A69-100</f>
        <v>500</v>
      </c>
      <c r="B70" s="596">
        <f>((A68/A70)^2)*B68</f>
        <v>46.315882113446612</v>
      </c>
      <c r="C70" s="596">
        <f>((A68/A70)^2)*C68</f>
        <v>25.24656590179341</v>
      </c>
      <c r="E70" s="595">
        <v>645.04424778761063</v>
      </c>
      <c r="F70" s="596">
        <v>0.35116277471660745</v>
      </c>
      <c r="G70" s="147">
        <f t="shared" si="0"/>
        <v>599.89115044247797</v>
      </c>
      <c r="H70" s="636">
        <f t="shared" si="1"/>
        <v>0.43895346839575933</v>
      </c>
      <c r="I70" s="147">
        <f t="shared" si="2"/>
        <v>516.0353982300885</v>
      </c>
      <c r="J70" s="637">
        <f t="shared" si="3"/>
        <v>0.7023255494332149</v>
      </c>
    </row>
    <row r="71" spans="1:10">
      <c r="A71" s="595">
        <f>A70-100</f>
        <v>400</v>
      </c>
      <c r="B71" s="596">
        <f>((A68/A71)^2)*B68</f>
        <v>72.368565802260335</v>
      </c>
      <c r="C71" s="596">
        <f>((A68/A71)^2)*C68</f>
        <v>39.447759221552204</v>
      </c>
      <c r="E71" s="595">
        <v>642.21238938053102</v>
      </c>
      <c r="F71" s="596">
        <v>0.52790697245630547</v>
      </c>
      <c r="G71" s="147">
        <f t="shared" si="0"/>
        <v>597.25752212389386</v>
      </c>
      <c r="H71" s="636">
        <f t="shared" si="1"/>
        <v>0.65988371557038183</v>
      </c>
      <c r="I71" s="147">
        <f t="shared" si="2"/>
        <v>513.76991150442484</v>
      </c>
      <c r="J71" s="637">
        <f t="shared" si="3"/>
        <v>1.0558139449126109</v>
      </c>
    </row>
    <row r="72" spans="1:10">
      <c r="A72" s="595">
        <f>A71-100</f>
        <v>300</v>
      </c>
      <c r="B72" s="596">
        <f>((A68/A72)^2)*B68</f>
        <v>128.65522809290727</v>
      </c>
      <c r="C72" s="596"/>
      <c r="E72" s="595">
        <v>639.02654867256638</v>
      </c>
      <c r="F72" s="596">
        <v>0.70930234241385437</v>
      </c>
      <c r="G72" s="147">
        <f t="shared" si="0"/>
        <v>594.29469026548679</v>
      </c>
      <c r="H72" s="636">
        <f t="shared" si="1"/>
        <v>0.88662792801731793</v>
      </c>
      <c r="I72" s="147">
        <f t="shared" si="2"/>
        <v>511.22123893805315</v>
      </c>
      <c r="J72" s="637">
        <f t="shared" si="3"/>
        <v>1.4186046848277087</v>
      </c>
    </row>
    <row r="73" spans="1:10">
      <c r="A73" s="595">
        <f>A72-100</f>
        <v>200</v>
      </c>
      <c r="B73" s="596">
        <f>((A68/A73)^2)*B68</f>
        <v>289.47426320904134</v>
      </c>
      <c r="C73" s="596"/>
      <c r="E73" s="595">
        <v>635.30973451327429</v>
      </c>
      <c r="F73" s="596">
        <v>0.90348838398969811</v>
      </c>
      <c r="G73" s="147">
        <f t="shared" si="0"/>
        <v>590.8380530973451</v>
      </c>
      <c r="H73" s="636">
        <f t="shared" si="1"/>
        <v>1.1293604799871226</v>
      </c>
      <c r="I73" s="147">
        <f t="shared" si="2"/>
        <v>508.24778761061947</v>
      </c>
      <c r="J73" s="637">
        <f t="shared" si="3"/>
        <v>1.8069767679793962</v>
      </c>
    </row>
    <row r="74" spans="1:10">
      <c r="A74" s="595">
        <v>295</v>
      </c>
      <c r="B74" s="596">
        <f>((A68/A74)^2)*B68</f>
        <v>133.0533815381977</v>
      </c>
      <c r="C74" s="596">
        <f>((A68/A74)^2)*C68</f>
        <v>72.526762142468868</v>
      </c>
      <c r="E74" s="595">
        <v>631.32743362831854</v>
      </c>
      <c r="F74" s="596">
        <v>1.1232558381098579</v>
      </c>
      <c r="G74" s="147">
        <f t="shared" si="0"/>
        <v>587.13451327433631</v>
      </c>
      <c r="H74" s="636">
        <f t="shared" si="1"/>
        <v>1.4040697976373222</v>
      </c>
      <c r="I74" s="147">
        <f t="shared" si="2"/>
        <v>505.06194690265488</v>
      </c>
      <c r="J74" s="637">
        <f t="shared" si="3"/>
        <v>2.2465116762197157</v>
      </c>
    </row>
    <row r="75" spans="1:10">
      <c r="A75" s="597">
        <v>180</v>
      </c>
      <c r="B75" s="596">
        <f>((A68/A75)^2)*B69</f>
        <v>417.70867986855012</v>
      </c>
      <c r="C75" s="596">
        <f>((A68/A75)^2)*C68</f>
        <v>194.80374924223307</v>
      </c>
      <c r="E75" s="595">
        <v>626.72566371681421</v>
      </c>
      <c r="F75" s="596">
        <v>1.3662791533192717</v>
      </c>
      <c r="G75" s="147">
        <f t="shared" si="0"/>
        <v>582.85486725663725</v>
      </c>
      <c r="H75" s="636">
        <f t="shared" si="1"/>
        <v>1.7078489416490896</v>
      </c>
      <c r="I75" s="147">
        <f t="shared" si="2"/>
        <v>501.38053097345141</v>
      </c>
      <c r="J75" s="637">
        <f t="shared" si="3"/>
        <v>2.7325583066385435</v>
      </c>
    </row>
    <row r="76" spans="1:10">
      <c r="A76" s="597">
        <v>145</v>
      </c>
      <c r="B76" s="596">
        <f>((A68/A76)^2)*B68</f>
        <v>550.72392524906797</v>
      </c>
      <c r="C76" s="596">
        <f>((A68/A76)^2)*C68</f>
        <v>300.19697861823317</v>
      </c>
      <c r="E76" s="595">
        <v>620.35398230088492</v>
      </c>
      <c r="F76" s="596">
        <v>1.629069794512167</v>
      </c>
      <c r="G76" s="147">
        <f t="shared" si="0"/>
        <v>576.92920353982299</v>
      </c>
      <c r="H76" s="636">
        <f t="shared" si="1"/>
        <v>2.0363372431402089</v>
      </c>
      <c r="I76" s="147">
        <f t="shared" si="2"/>
        <v>496.28318584070797</v>
      </c>
      <c r="J76" s="637">
        <f t="shared" si="3"/>
        <v>3.2581395890243341</v>
      </c>
    </row>
    <row r="77" spans="1:10">
      <c r="A77" s="597">
        <v>125</v>
      </c>
      <c r="B77" s="596"/>
      <c r="C77" s="595">
        <f>CEILING(C76*2,100)</f>
        <v>700</v>
      </c>
      <c r="E77" s="595">
        <v>612.0353982300885</v>
      </c>
      <c r="F77" s="596">
        <v>1.7639535809066609</v>
      </c>
      <c r="G77" s="147">
        <f t="shared" si="0"/>
        <v>569.19292035398234</v>
      </c>
      <c r="H77" s="636">
        <f t="shared" si="1"/>
        <v>2.204941976133326</v>
      </c>
      <c r="I77" s="147">
        <f t="shared" si="2"/>
        <v>489.62831858407083</v>
      </c>
      <c r="J77" s="637">
        <f t="shared" si="3"/>
        <v>3.5279071618133218</v>
      </c>
    </row>
    <row r="78" spans="1:10">
      <c r="A78" s="597">
        <v>125</v>
      </c>
      <c r="B78" s="596"/>
      <c r="C78" s="595">
        <f>2*C77</f>
        <v>1400</v>
      </c>
      <c r="E78" s="595">
        <v>596.63716814159295</v>
      </c>
      <c r="F78" s="596">
        <v>1.8697674889587923</v>
      </c>
      <c r="G78" s="147">
        <f t="shared" si="0"/>
        <v>554.8725663716815</v>
      </c>
      <c r="H78" s="636">
        <f t="shared" si="1"/>
        <v>2.3372093611984903</v>
      </c>
      <c r="I78" s="147">
        <f t="shared" si="2"/>
        <v>477.30973451327441</v>
      </c>
      <c r="J78" s="637">
        <f t="shared" si="3"/>
        <v>3.7395349779175846</v>
      </c>
    </row>
    <row r="79" spans="1:10">
      <c r="A79" s="597">
        <v>125</v>
      </c>
      <c r="B79" s="597"/>
      <c r="C79" s="597">
        <v>10000</v>
      </c>
      <c r="E79" s="595">
        <v>543.53982300884957</v>
      </c>
      <c r="F79" s="596">
        <v>1.9337209163579929</v>
      </c>
      <c r="G79" s="147">
        <f t="shared" si="0"/>
        <v>505.49203539823014</v>
      </c>
      <c r="H79" s="636">
        <f t="shared" si="1"/>
        <v>2.417151145447491</v>
      </c>
      <c r="I79" s="147">
        <f t="shared" si="2"/>
        <v>434.83185840707966</v>
      </c>
      <c r="J79" s="637">
        <f t="shared" si="3"/>
        <v>3.8674418327159858</v>
      </c>
    </row>
    <row r="80" spans="1:10">
      <c r="E80" s="595">
        <v>335.22123893805309</v>
      </c>
      <c r="F80" s="596">
        <v>1.9802324999210479</v>
      </c>
      <c r="G80" s="147">
        <f t="shared" si="0"/>
        <v>311.75575221238938</v>
      </c>
      <c r="H80" s="636">
        <f t="shared" si="1"/>
        <v>2.47529062490131</v>
      </c>
      <c r="I80" s="147">
        <f t="shared" si="2"/>
        <v>268.17699115044246</v>
      </c>
      <c r="J80" s="637">
        <f t="shared" si="3"/>
        <v>3.9604649998420958</v>
      </c>
    </row>
    <row r="81" spans="5:10">
      <c r="E81" s="595">
        <v>120</v>
      </c>
      <c r="F81" s="596">
        <v>1.996511637337389</v>
      </c>
      <c r="G81" s="147">
        <v>120</v>
      </c>
      <c r="H81" s="636">
        <f>1.25*F81</f>
        <v>2.495639546671736</v>
      </c>
      <c r="I81" s="147">
        <v>120</v>
      </c>
      <c r="J81" s="637">
        <f>2*F81</f>
        <v>3.993023274674778</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1B0C-CF3F-4F06-ABB7-015F1B1C2777}">
  <sheetPr>
    <pageSetUpPr fitToPage="1"/>
  </sheetPr>
  <dimension ref="A1:H67"/>
  <sheetViews>
    <sheetView topLeftCell="A22" workbookViewId="0">
      <selection activeCell="F39" sqref="F39"/>
    </sheetView>
  </sheetViews>
  <sheetFormatPr defaultRowHeight="12.75"/>
  <cols>
    <col min="1" max="6" width="11.69921875" style="149" customWidth="1"/>
    <col min="7" max="256" width="8.796875" style="149"/>
    <col min="257" max="262" width="11.69921875" style="149" customWidth="1"/>
    <col min="263" max="512" width="8.796875" style="149"/>
    <col min="513" max="518" width="11.69921875" style="149" customWidth="1"/>
    <col min="519" max="768" width="8.796875" style="149"/>
    <col min="769" max="774" width="11.69921875" style="149" customWidth="1"/>
    <col min="775" max="1024" width="8.796875" style="149"/>
    <col min="1025" max="1030" width="11.69921875" style="149" customWidth="1"/>
    <col min="1031" max="1280" width="8.796875" style="149"/>
    <col min="1281" max="1286" width="11.69921875" style="149" customWidth="1"/>
    <col min="1287" max="1536" width="8.796875" style="149"/>
    <col min="1537" max="1542" width="11.69921875" style="149" customWidth="1"/>
    <col min="1543" max="1792" width="8.796875" style="149"/>
    <col min="1793" max="1798" width="11.69921875" style="149" customWidth="1"/>
    <col min="1799" max="2048" width="8.796875" style="149"/>
    <col min="2049" max="2054" width="11.69921875" style="149" customWidth="1"/>
    <col min="2055" max="2304" width="8.796875" style="149"/>
    <col min="2305" max="2310" width="11.69921875" style="149" customWidth="1"/>
    <col min="2311" max="2560" width="8.796875" style="149"/>
    <col min="2561" max="2566" width="11.69921875" style="149" customWidth="1"/>
    <col min="2567" max="2816" width="8.796875" style="149"/>
    <col min="2817" max="2822" width="11.69921875" style="149" customWidth="1"/>
    <col min="2823" max="3072" width="8.796875" style="149"/>
    <col min="3073" max="3078" width="11.69921875" style="149" customWidth="1"/>
    <col min="3079" max="3328" width="8.796875" style="149"/>
    <col min="3329" max="3334" width="11.69921875" style="149" customWidth="1"/>
    <col min="3335" max="3584" width="8.796875" style="149"/>
    <col min="3585" max="3590" width="11.69921875" style="149" customWidth="1"/>
    <col min="3591" max="3840" width="8.796875" style="149"/>
    <col min="3841" max="3846" width="11.69921875" style="149" customWidth="1"/>
    <col min="3847" max="4096" width="8.796875" style="149"/>
    <col min="4097" max="4102" width="11.69921875" style="149" customWidth="1"/>
    <col min="4103" max="4352" width="8.796875" style="149"/>
    <col min="4353" max="4358" width="11.69921875" style="149" customWidth="1"/>
    <col min="4359" max="4608" width="8.796875" style="149"/>
    <col min="4609" max="4614" width="11.69921875" style="149" customWidth="1"/>
    <col min="4615" max="4864" width="8.796875" style="149"/>
    <col min="4865" max="4870" width="11.69921875" style="149" customWidth="1"/>
    <col min="4871" max="5120" width="8.796875" style="149"/>
    <col min="5121" max="5126" width="11.69921875" style="149" customWidth="1"/>
    <col min="5127" max="5376" width="8.796875" style="149"/>
    <col min="5377" max="5382" width="11.69921875" style="149" customWidth="1"/>
    <col min="5383" max="5632" width="8.796875" style="149"/>
    <col min="5633" max="5638" width="11.69921875" style="149" customWidth="1"/>
    <col min="5639" max="5888" width="8.796875" style="149"/>
    <col min="5889" max="5894" width="11.69921875" style="149" customWidth="1"/>
    <col min="5895" max="6144" width="8.796875" style="149"/>
    <col min="6145" max="6150" width="11.69921875" style="149" customWidth="1"/>
    <col min="6151" max="6400" width="8.796875" style="149"/>
    <col min="6401" max="6406" width="11.69921875" style="149" customWidth="1"/>
    <col min="6407" max="6656" width="8.796875" style="149"/>
    <col min="6657" max="6662" width="11.69921875" style="149" customWidth="1"/>
    <col min="6663" max="6912" width="8.796875" style="149"/>
    <col min="6913" max="6918" width="11.69921875" style="149" customWidth="1"/>
    <col min="6919" max="7168" width="8.796875" style="149"/>
    <col min="7169" max="7174" width="11.69921875" style="149" customWidth="1"/>
    <col min="7175" max="7424" width="8.796875" style="149"/>
    <col min="7425" max="7430" width="11.69921875" style="149" customWidth="1"/>
    <col min="7431" max="7680" width="8.796875" style="149"/>
    <col min="7681" max="7686" width="11.69921875" style="149" customWidth="1"/>
    <col min="7687" max="7936" width="8.796875" style="149"/>
    <col min="7937" max="7942" width="11.69921875" style="149" customWidth="1"/>
    <col min="7943" max="8192" width="8.796875" style="149"/>
    <col min="8193" max="8198" width="11.69921875" style="149" customWidth="1"/>
    <col min="8199" max="8448" width="8.796875" style="149"/>
    <col min="8449" max="8454" width="11.69921875" style="149" customWidth="1"/>
    <col min="8455" max="8704" width="8.796875" style="149"/>
    <col min="8705" max="8710" width="11.69921875" style="149" customWidth="1"/>
    <col min="8711" max="8960" width="8.796875" style="149"/>
    <col min="8961" max="8966" width="11.69921875" style="149" customWidth="1"/>
    <col min="8967" max="9216" width="8.796875" style="149"/>
    <col min="9217" max="9222" width="11.69921875" style="149" customWidth="1"/>
    <col min="9223" max="9472" width="8.796875" style="149"/>
    <col min="9473" max="9478" width="11.69921875" style="149" customWidth="1"/>
    <col min="9479" max="9728" width="8.796875" style="149"/>
    <col min="9729" max="9734" width="11.69921875" style="149" customWidth="1"/>
    <col min="9735" max="9984" width="8.796875" style="149"/>
    <col min="9985" max="9990" width="11.69921875" style="149" customWidth="1"/>
    <col min="9991" max="10240" width="8.796875" style="149"/>
    <col min="10241" max="10246" width="11.69921875" style="149" customWidth="1"/>
    <col min="10247" max="10496" width="8.796875" style="149"/>
    <col min="10497" max="10502" width="11.69921875" style="149" customWidth="1"/>
    <col min="10503" max="10752" width="8.796875" style="149"/>
    <col min="10753" max="10758" width="11.69921875" style="149" customWidth="1"/>
    <col min="10759" max="11008" width="8.796875" style="149"/>
    <col min="11009" max="11014" width="11.69921875" style="149" customWidth="1"/>
    <col min="11015" max="11264" width="8.796875" style="149"/>
    <col min="11265" max="11270" width="11.69921875" style="149" customWidth="1"/>
    <col min="11271" max="11520" width="8.796875" style="149"/>
    <col min="11521" max="11526" width="11.69921875" style="149" customWidth="1"/>
    <col min="11527" max="11776" width="8.796875" style="149"/>
    <col min="11777" max="11782" width="11.69921875" style="149" customWidth="1"/>
    <col min="11783" max="12032" width="8.796875" style="149"/>
    <col min="12033" max="12038" width="11.69921875" style="149" customWidth="1"/>
    <col min="12039" max="12288" width="8.796875" style="149"/>
    <col min="12289" max="12294" width="11.69921875" style="149" customWidth="1"/>
    <col min="12295" max="12544" width="8.796875" style="149"/>
    <col min="12545" max="12550" width="11.69921875" style="149" customWidth="1"/>
    <col min="12551" max="12800" width="8.796875" style="149"/>
    <col min="12801" max="12806" width="11.69921875" style="149" customWidth="1"/>
    <col min="12807" max="13056" width="8.796875" style="149"/>
    <col min="13057" max="13062" width="11.69921875" style="149" customWidth="1"/>
    <col min="13063" max="13312" width="8.796875" style="149"/>
    <col min="13313" max="13318" width="11.69921875" style="149" customWidth="1"/>
    <col min="13319" max="13568" width="8.796875" style="149"/>
    <col min="13569" max="13574" width="11.69921875" style="149" customWidth="1"/>
    <col min="13575" max="13824" width="8.796875" style="149"/>
    <col min="13825" max="13830" width="11.69921875" style="149" customWidth="1"/>
    <col min="13831" max="14080" width="8.796875" style="149"/>
    <col min="14081" max="14086" width="11.69921875" style="149" customWidth="1"/>
    <col min="14087" max="14336" width="8.796875" style="149"/>
    <col min="14337" max="14342" width="11.69921875" style="149" customWidth="1"/>
    <col min="14343" max="14592" width="8.796875" style="149"/>
    <col min="14593" max="14598" width="11.69921875" style="149" customWidth="1"/>
    <col min="14599" max="14848" width="8.796875" style="149"/>
    <col min="14849" max="14854" width="11.69921875" style="149" customWidth="1"/>
    <col min="14855" max="15104" width="8.796875" style="149"/>
    <col min="15105" max="15110" width="11.69921875" style="149" customWidth="1"/>
    <col min="15111" max="15360" width="8.796875" style="149"/>
    <col min="15361" max="15366" width="11.69921875" style="149" customWidth="1"/>
    <col min="15367" max="15616" width="8.796875" style="149"/>
    <col min="15617" max="15622" width="11.69921875" style="149" customWidth="1"/>
    <col min="15623" max="15872" width="8.796875" style="149"/>
    <col min="15873" max="15878" width="11.69921875" style="149" customWidth="1"/>
    <col min="15879" max="16128" width="8.796875" style="149"/>
    <col min="16129" max="16134" width="11.69921875" style="149" customWidth="1"/>
    <col min="16135" max="16384" width="8.796875" style="149"/>
  </cols>
  <sheetData>
    <row r="1" spans="1:6" ht="18.95" customHeight="1">
      <c r="A1" s="609"/>
      <c r="B1" s="610"/>
      <c r="C1" s="610"/>
      <c r="D1" s="610"/>
      <c r="E1" s="610"/>
      <c r="F1" s="611"/>
    </row>
    <row r="2" spans="1:6" ht="26.1" customHeight="1">
      <c r="A2" s="612" t="s">
        <v>0</v>
      </c>
      <c r="B2" s="613"/>
      <c r="C2" s="613"/>
      <c r="D2" s="613"/>
      <c r="E2" s="613"/>
      <c r="F2" s="614"/>
    </row>
    <row r="3" spans="1:6" ht="18.95" customHeight="1">
      <c r="A3" s="615" t="s">
        <v>757</v>
      </c>
      <c r="B3" s="613"/>
      <c r="C3" s="613"/>
      <c r="D3" s="613"/>
      <c r="E3" s="613"/>
      <c r="F3" s="614"/>
    </row>
    <row r="4" spans="1:6" ht="18.95" customHeight="1">
      <c r="A4" s="723" t="s">
        <v>599</v>
      </c>
      <c r="B4" s="724"/>
      <c r="C4" s="724"/>
      <c r="D4" s="724"/>
      <c r="E4" s="724"/>
      <c r="F4" s="725"/>
    </row>
    <row r="5" spans="1:6" ht="18.95" customHeight="1">
      <c r="A5" s="616"/>
      <c r="B5" s="617"/>
      <c r="C5" s="617"/>
      <c r="D5" s="617"/>
      <c r="E5" s="617"/>
      <c r="F5" s="618"/>
    </row>
    <row r="6" spans="1:6" ht="18.95" customHeight="1">
      <c r="A6" s="575" t="s">
        <v>571</v>
      </c>
      <c r="B6" s="714" t="str">
        <f>'Performance Data Sheet'!C17</f>
        <v>A1-10130506</v>
      </c>
      <c r="C6" s="715"/>
      <c r="D6" s="716"/>
      <c r="E6" s="575" t="s">
        <v>572</v>
      </c>
      <c r="F6" s="576" t="str">
        <f>'Performance Data Sheet'!I14 &amp; " A"</f>
        <v>113 A</v>
      </c>
    </row>
    <row r="7" spans="1:6" ht="18.95" customHeight="1">
      <c r="A7" s="575" t="s">
        <v>573</v>
      </c>
      <c r="B7" s="576" t="str">
        <f>'Performance Data Sheet'!F14</f>
        <v>TEAAC</v>
      </c>
      <c r="C7" s="575" t="s">
        <v>574</v>
      </c>
      <c r="D7" s="576" t="str">
        <f>'Performance Data Sheet'!F13 &amp; " V"</f>
        <v>4000 V</v>
      </c>
      <c r="E7" s="575" t="s">
        <v>575</v>
      </c>
      <c r="F7" s="576" t="str">
        <f>'Performance Data Sheet'!C14</f>
        <v>5812USS</v>
      </c>
    </row>
    <row r="8" spans="1:6" ht="18.95" customHeight="1">
      <c r="A8" s="575" t="s">
        <v>576</v>
      </c>
      <c r="B8" s="576">
        <v>2</v>
      </c>
      <c r="C8" s="575" t="s">
        <v>577</v>
      </c>
      <c r="D8" s="576" t="s">
        <v>578</v>
      </c>
      <c r="E8" s="575" t="s">
        <v>579</v>
      </c>
      <c r="F8" s="576" t="s">
        <v>40</v>
      </c>
    </row>
    <row r="9" spans="1:6" ht="18.95" customHeight="1">
      <c r="A9" s="575" t="s">
        <v>580</v>
      </c>
      <c r="B9" s="576">
        <v>900</v>
      </c>
      <c r="C9" s="575" t="s">
        <v>581</v>
      </c>
      <c r="D9" s="576" t="s">
        <v>582</v>
      </c>
      <c r="E9" s="575" t="s">
        <v>131</v>
      </c>
      <c r="F9" s="577">
        <f>'Performance Data Sheet'!K44</f>
        <v>45943</v>
      </c>
    </row>
    <row r="10" spans="1:6" ht="18.95" customHeight="1">
      <c r="A10" s="575" t="s">
        <v>32</v>
      </c>
      <c r="B10" s="576">
        <v>3580</v>
      </c>
      <c r="C10" s="575" t="s">
        <v>396</v>
      </c>
      <c r="D10" s="576" t="s">
        <v>583</v>
      </c>
      <c r="E10" s="575" t="s">
        <v>129</v>
      </c>
      <c r="F10" s="578" t="s">
        <v>584</v>
      </c>
    </row>
    <row r="11" spans="1:6" ht="18.95" customHeight="1">
      <c r="A11" s="572"/>
      <c r="B11" s="573"/>
      <c r="C11" s="573"/>
      <c r="D11" s="573"/>
      <c r="E11" s="573"/>
      <c r="F11" s="574"/>
    </row>
    <row r="12" spans="1:6" ht="18.95" customHeight="1">
      <c r="A12" s="572"/>
      <c r="B12" s="579" t="s">
        <v>585</v>
      </c>
      <c r="C12" s="580" t="str">
        <f>'Performance Data Sheet'!D22 &amp; " A"</f>
        <v>733 A</v>
      </c>
      <c r="D12" s="579" t="s">
        <v>394</v>
      </c>
      <c r="E12" s="580" t="s">
        <v>395</v>
      </c>
      <c r="F12" s="574"/>
    </row>
    <row r="13" spans="1:6" ht="18.95" customHeight="1">
      <c r="A13" s="572"/>
      <c r="B13" s="579" t="s">
        <v>586</v>
      </c>
      <c r="C13" s="581">
        <v>1.2</v>
      </c>
      <c r="D13" s="579" t="s">
        <v>587</v>
      </c>
      <c r="E13" s="582" t="s">
        <v>588</v>
      </c>
      <c r="F13" s="574"/>
    </row>
    <row r="14" spans="1:6" ht="18.95" customHeight="1">
      <c r="A14" s="572"/>
      <c r="B14" s="579" t="s">
        <v>589</v>
      </c>
      <c r="C14" s="581">
        <v>2.95</v>
      </c>
      <c r="D14" s="579" t="s">
        <v>398</v>
      </c>
      <c r="E14" s="582" t="s">
        <v>590</v>
      </c>
      <c r="F14" s="574"/>
    </row>
    <row r="15" spans="1:6" ht="18.95" customHeight="1">
      <c r="A15" s="572"/>
      <c r="B15" s="579" t="s">
        <v>400</v>
      </c>
      <c r="C15" s="580" t="s">
        <v>591</v>
      </c>
      <c r="D15" s="573"/>
      <c r="E15" s="573"/>
      <c r="F15" s="574"/>
    </row>
    <row r="16" spans="1:6" ht="18.95" customHeight="1">
      <c r="A16" s="616"/>
      <c r="B16" s="617"/>
      <c r="C16" s="617"/>
      <c r="D16" s="617"/>
      <c r="E16" s="617"/>
      <c r="F16" s="618"/>
    </row>
    <row r="17" spans="1:8" ht="18.95" customHeight="1">
      <c r="A17" s="616"/>
      <c r="B17" s="617"/>
      <c r="C17" s="617"/>
      <c r="D17" s="617"/>
      <c r="E17" s="617"/>
      <c r="F17" s="618"/>
    </row>
    <row r="18" spans="1:8" ht="18.95" customHeight="1">
      <c r="A18" s="616"/>
      <c r="B18" s="617"/>
      <c r="C18" s="617"/>
      <c r="D18" s="617"/>
      <c r="E18" s="617"/>
      <c r="F18" s="618"/>
    </row>
    <row r="19" spans="1:8" ht="18.95" customHeight="1">
      <c r="A19" s="616"/>
      <c r="B19" s="617"/>
      <c r="C19" s="617"/>
      <c r="D19" s="617"/>
      <c r="E19" s="617"/>
      <c r="F19" s="618"/>
    </row>
    <row r="20" spans="1:8" ht="18.95" customHeight="1">
      <c r="A20" s="616"/>
      <c r="B20" s="617"/>
      <c r="C20" s="617"/>
      <c r="D20" s="617"/>
      <c r="E20" s="617"/>
      <c r="F20" s="618"/>
    </row>
    <row r="21" spans="1:8" ht="18.95" customHeight="1">
      <c r="A21" s="616"/>
      <c r="B21" s="617"/>
      <c r="C21" s="617"/>
      <c r="D21" s="617"/>
      <c r="E21" s="617"/>
      <c r="F21" s="618"/>
    </row>
    <row r="22" spans="1:8" ht="18.95" customHeight="1">
      <c r="A22" s="616"/>
      <c r="B22" s="617"/>
      <c r="C22" s="617"/>
      <c r="D22" s="617"/>
      <c r="E22" s="617"/>
      <c r="F22" s="618"/>
    </row>
    <row r="23" spans="1:8" ht="18.95" customHeight="1">
      <c r="A23" s="616"/>
      <c r="B23" s="617"/>
      <c r="C23" s="617"/>
      <c r="D23" s="617"/>
      <c r="E23" s="617"/>
      <c r="F23" s="618"/>
    </row>
    <row r="24" spans="1:8" ht="18.95" customHeight="1">
      <c r="A24" s="616"/>
      <c r="B24" s="617"/>
      <c r="C24" s="617"/>
      <c r="D24" s="617"/>
      <c r="E24" s="617"/>
      <c r="F24" s="618"/>
      <c r="H24" s="619"/>
    </row>
    <row r="25" spans="1:8" ht="18.95" customHeight="1">
      <c r="A25" s="616"/>
      <c r="B25" s="617"/>
      <c r="C25" s="617"/>
      <c r="D25" s="617"/>
      <c r="E25" s="617"/>
      <c r="F25" s="618"/>
    </row>
    <row r="26" spans="1:8" ht="18.95" customHeight="1">
      <c r="A26" s="616"/>
      <c r="B26" s="617"/>
      <c r="C26" s="617"/>
      <c r="D26" s="617"/>
      <c r="E26" s="617"/>
      <c r="F26" s="618"/>
    </row>
    <row r="27" spans="1:8" ht="18.95" customHeight="1">
      <c r="A27" s="616"/>
      <c r="B27" s="617"/>
      <c r="C27" s="617"/>
      <c r="D27" s="617"/>
      <c r="E27" s="617"/>
      <c r="F27" s="618"/>
    </row>
    <row r="28" spans="1:8" ht="18.95" customHeight="1">
      <c r="A28" s="616"/>
      <c r="B28" s="617"/>
      <c r="C28" s="617"/>
      <c r="D28" s="617"/>
      <c r="E28" s="617"/>
      <c r="F28" s="618"/>
    </row>
    <row r="29" spans="1:8" ht="18.95" customHeight="1">
      <c r="A29" s="616"/>
      <c r="B29" s="617"/>
      <c r="C29" s="617"/>
      <c r="D29" s="617"/>
      <c r="E29" s="617"/>
      <c r="F29" s="618"/>
    </row>
    <row r="30" spans="1:8" ht="18.95" customHeight="1">
      <c r="A30" s="616"/>
      <c r="B30" s="617"/>
      <c r="C30" s="617"/>
      <c r="D30" s="617"/>
      <c r="E30" s="617"/>
      <c r="F30" s="618"/>
    </row>
    <row r="31" spans="1:8" ht="18.95" customHeight="1">
      <c r="A31" s="616"/>
      <c r="B31" s="617"/>
      <c r="C31" s="617"/>
      <c r="D31" s="617"/>
      <c r="E31" s="617"/>
      <c r="F31" s="618"/>
    </row>
    <row r="32" spans="1:8" ht="18.95" customHeight="1">
      <c r="A32" s="616"/>
      <c r="B32" s="617"/>
      <c r="C32" s="617"/>
      <c r="D32" s="617"/>
      <c r="E32" s="617"/>
      <c r="F32" s="618"/>
    </row>
    <row r="33" spans="1:6" ht="18.95" customHeight="1">
      <c r="A33" s="616"/>
      <c r="B33" s="617"/>
      <c r="C33" s="617"/>
      <c r="D33" s="617"/>
      <c r="E33" s="617"/>
      <c r="F33" s="618"/>
    </row>
    <row r="34" spans="1:6" ht="18.95" customHeight="1">
      <c r="A34" s="616"/>
      <c r="B34" s="617"/>
      <c r="C34" s="617"/>
      <c r="D34" s="617"/>
      <c r="E34" s="617"/>
      <c r="F34" s="618"/>
    </row>
    <row r="35" spans="1:6" ht="18.95" customHeight="1">
      <c r="A35" s="616"/>
      <c r="B35" s="617"/>
      <c r="C35" s="617"/>
      <c r="D35" s="617"/>
      <c r="E35" s="617"/>
      <c r="F35" s="618"/>
    </row>
    <row r="36" spans="1:6" ht="18.95" customHeight="1">
      <c r="A36" s="616"/>
      <c r="B36" s="617"/>
      <c r="C36" s="617"/>
      <c r="D36" s="617"/>
      <c r="E36" s="617"/>
      <c r="F36" s="618"/>
    </row>
    <row r="37" spans="1:6" ht="18.95" customHeight="1">
      <c r="A37" s="616"/>
      <c r="B37" s="617"/>
      <c r="C37" s="617"/>
      <c r="D37" s="617"/>
      <c r="E37" s="617"/>
      <c r="F37" s="618"/>
    </row>
    <row r="38" spans="1:6" ht="18.95" customHeight="1">
      <c r="A38" s="616"/>
      <c r="B38" s="617"/>
      <c r="C38" s="617"/>
      <c r="D38" s="617"/>
      <c r="E38" s="617"/>
      <c r="F38" s="618"/>
    </row>
    <row r="39" spans="1:6" ht="18.95" customHeight="1">
      <c r="A39" s="583" t="s">
        <v>592</v>
      </c>
      <c r="B39" s="584" t="s">
        <v>593</v>
      </c>
      <c r="C39" s="585" t="str">
        <f>'Performance Data Sheet'!C10</f>
        <v>2292552.1</v>
      </c>
      <c r="D39" s="573"/>
      <c r="E39" s="579" t="s">
        <v>594</v>
      </c>
      <c r="F39" s="638" t="str">
        <f>F10</f>
        <v>BS2900U_REV3</v>
      </c>
    </row>
    <row r="40" spans="1:6" ht="18.95" customHeight="1">
      <c r="A40" s="572"/>
      <c r="B40" s="584"/>
      <c r="C40" s="584"/>
      <c r="D40" s="573"/>
      <c r="E40" s="573"/>
      <c r="F40" s="574"/>
    </row>
    <row r="41" spans="1:6" ht="18.95" customHeight="1">
      <c r="A41" s="572"/>
      <c r="B41" s="584"/>
      <c r="C41" s="584"/>
      <c r="D41" s="573"/>
      <c r="E41" s="573"/>
      <c r="F41" s="574"/>
    </row>
    <row r="42" spans="1:6" ht="18.95" customHeight="1">
      <c r="A42" s="572"/>
      <c r="B42" s="573"/>
      <c r="C42" s="573"/>
      <c r="D42" s="573"/>
      <c r="E42" s="573"/>
      <c r="F42" s="574"/>
    </row>
    <row r="43" spans="1:6" ht="18.95" customHeight="1">
      <c r="A43" s="586"/>
      <c r="B43" s="584"/>
      <c r="C43" s="587" t="s">
        <v>595</v>
      </c>
      <c r="D43" s="588" t="str">
        <f>'Performance Data Sheet'!K42</f>
        <v>Jerry R</v>
      </c>
      <c r="E43" s="587" t="s">
        <v>596</v>
      </c>
      <c r="F43" s="588"/>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620" t="s">
        <v>402</v>
      </c>
      <c r="B53" s="620" t="s">
        <v>352</v>
      </c>
      <c r="C53" s="620" t="s">
        <v>311</v>
      </c>
      <c r="D53" s="620" t="s">
        <v>342</v>
      </c>
      <c r="E53" s="620" t="s">
        <v>135</v>
      </c>
      <c r="F53" s="621" t="s">
        <v>758</v>
      </c>
    </row>
    <row r="54" spans="1:6" ht="15" customHeight="1">
      <c r="A54" s="622">
        <v>0</v>
      </c>
      <c r="B54" s="291"/>
      <c r="C54" s="623"/>
      <c r="D54" s="623">
        <v>28.191058740317107</v>
      </c>
      <c r="E54" s="623">
        <v>100</v>
      </c>
      <c r="F54" s="624">
        <v>1.2193777777777779</v>
      </c>
    </row>
    <row r="55" spans="1:6" ht="15" customHeight="1">
      <c r="A55" s="625">
        <v>25</v>
      </c>
      <c r="B55" s="626">
        <v>86.568336486816406</v>
      </c>
      <c r="C55" s="217">
        <v>66.949073791503906</v>
      </c>
      <c r="D55" s="217">
        <v>41.822990417480469</v>
      </c>
      <c r="E55" s="217">
        <v>79.79231195420175</v>
      </c>
      <c r="F55" s="226">
        <v>10.776929266346611</v>
      </c>
    </row>
    <row r="56" spans="1:6" ht="15" customHeight="1">
      <c r="A56" s="625">
        <v>50</v>
      </c>
      <c r="B56" s="626">
        <v>92.044746398925781</v>
      </c>
      <c r="C56" s="217">
        <v>83.845840454101563</v>
      </c>
      <c r="D56" s="217">
        <v>62.815700531005859</v>
      </c>
      <c r="E56" s="217">
        <v>64.461874010730412</v>
      </c>
      <c r="F56" s="226">
        <v>20.271462674484468</v>
      </c>
    </row>
    <row r="57" spans="1:6">
      <c r="A57" s="625">
        <v>75</v>
      </c>
      <c r="B57" s="626">
        <v>93.825950622558594</v>
      </c>
      <c r="C57" s="217">
        <v>88.931434631347656</v>
      </c>
      <c r="D57" s="217">
        <v>87.148857116699219</v>
      </c>
      <c r="E57" s="217">
        <v>48.87812435424479</v>
      </c>
      <c r="F57" s="226">
        <v>29.829937804516192</v>
      </c>
    </row>
    <row r="58" spans="1:6">
      <c r="A58" s="625">
        <v>100</v>
      </c>
      <c r="B58" s="626">
        <v>94.58251953125</v>
      </c>
      <c r="C58" s="217">
        <v>90.716514587402344</v>
      </c>
      <c r="D58" s="217">
        <v>113.00078582763672</v>
      </c>
      <c r="E58" s="217">
        <v>33.015522608039326</v>
      </c>
      <c r="F58" s="226">
        <v>39.455104158533317</v>
      </c>
    </row>
    <row r="59" spans="1:6" ht="13.5" thickBot="1">
      <c r="A59" s="627">
        <v>125</v>
      </c>
      <c r="B59" s="628">
        <v>94.908256530761719</v>
      </c>
      <c r="C59" s="629">
        <v>91.244255065917969</v>
      </c>
      <c r="D59" s="629">
        <v>139.9520263671875</v>
      </c>
      <c r="E59" s="629">
        <v>17.143910225870162</v>
      </c>
      <c r="F59" s="273">
        <v>49.149609910508829</v>
      </c>
    </row>
    <row r="60" spans="1:6">
      <c r="A60" s="589"/>
      <c r="B60" s="355"/>
      <c r="C60" s="355"/>
    </row>
    <row r="61" spans="1:6">
      <c r="A61" s="589"/>
      <c r="B61" s="355"/>
      <c r="C61" s="355"/>
    </row>
    <row r="62" spans="1:6">
      <c r="A62" s="589"/>
      <c r="B62" s="355"/>
      <c r="C62" s="355"/>
    </row>
    <row r="63" spans="1:6">
      <c r="A63" s="589"/>
      <c r="B63" s="355"/>
      <c r="C63" s="355"/>
    </row>
    <row r="64" spans="1:6">
      <c r="A64" s="589"/>
      <c r="B64" s="355"/>
      <c r="C64" s="355"/>
    </row>
    <row r="65" spans="1:3">
      <c r="A65" s="589"/>
      <c r="B65" s="355"/>
      <c r="C65" s="355"/>
    </row>
    <row r="66" spans="1:3">
      <c r="A66" s="589"/>
      <c r="B66" s="355"/>
      <c r="C66" s="355"/>
    </row>
    <row r="67" spans="1:3">
      <c r="A67" s="591"/>
      <c r="B67" s="355"/>
      <c r="C67" s="355"/>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4CDA-49D9-4912-B688-7AE4DB36C798}">
  <sheetPr syncVertical="1" syncRef="A1" transitionEvaluation="1">
    <pageSetUpPr fitToPage="1"/>
  </sheetPr>
  <dimension ref="A1:AB43"/>
  <sheetViews>
    <sheetView showGridLines="0" zoomScaleNormal="100" workbookViewId="0">
      <selection activeCell="J43" sqref="J43"/>
    </sheetView>
  </sheetViews>
  <sheetFormatPr defaultColWidth="6.796875" defaultRowHeight="12.75"/>
  <cols>
    <col min="1" max="13" width="4.59765625" style="7" customWidth="1"/>
    <col min="14" max="14" width="4.5" style="7" customWidth="1"/>
    <col min="15" max="16" width="6.796875" style="7"/>
    <col min="17" max="17" width="9" style="7" bestFit="1" customWidth="1"/>
    <col min="18" max="16384" width="6.796875" style="7"/>
  </cols>
  <sheetData>
    <row r="1" spans="1:17" ht="15.75" customHeight="1">
      <c r="A1" s="1" t="s">
        <v>0</v>
      </c>
      <c r="B1" s="2"/>
      <c r="C1" s="2"/>
      <c r="D1" s="2"/>
      <c r="E1" s="2"/>
      <c r="F1" s="2"/>
      <c r="G1" s="2"/>
      <c r="H1" s="2"/>
      <c r="I1" s="2"/>
      <c r="J1" s="3" t="s">
        <v>1</v>
      </c>
      <c r="K1" s="4"/>
      <c r="L1" s="5" t="s">
        <v>2</v>
      </c>
      <c r="M1" s="6"/>
    </row>
    <row r="2" spans="1:17" ht="15.75" customHeight="1">
      <c r="A2" s="8" t="s">
        <v>3</v>
      </c>
      <c r="B2" s="9"/>
      <c r="C2" s="9"/>
      <c r="D2" s="9"/>
      <c r="E2" s="9"/>
      <c r="F2" s="9"/>
      <c r="G2" s="9"/>
      <c r="H2" s="9"/>
      <c r="I2" s="9"/>
      <c r="J2" s="10" t="s">
        <v>4</v>
      </c>
      <c r="K2" s="11"/>
      <c r="L2" s="12" t="s">
        <v>5</v>
      </c>
      <c r="M2" s="13"/>
    </row>
    <row r="3" spans="1:17" ht="15.75" customHeight="1">
      <c r="A3" s="14"/>
      <c r="B3" s="15"/>
      <c r="C3" s="15"/>
      <c r="D3" s="15"/>
      <c r="E3" s="15"/>
      <c r="F3" s="15"/>
      <c r="G3" s="15"/>
      <c r="H3" s="15"/>
      <c r="I3" s="15"/>
      <c r="J3" s="10" t="s">
        <v>6</v>
      </c>
      <c r="K3" s="11"/>
      <c r="L3" s="749">
        <v>38309</v>
      </c>
      <c r="M3" s="750"/>
    </row>
    <row r="4" spans="1:17" ht="15.75" customHeight="1">
      <c r="A4" s="751" t="s">
        <v>7</v>
      </c>
      <c r="B4" s="752"/>
      <c r="C4" s="752"/>
      <c r="D4" s="752"/>
      <c r="E4" s="752"/>
      <c r="F4" s="752"/>
      <c r="G4" s="752"/>
      <c r="H4" s="752"/>
      <c r="I4" s="753"/>
      <c r="J4" s="10" t="s">
        <v>8</v>
      </c>
      <c r="K4" s="11"/>
      <c r="L4" s="12" t="s">
        <v>9</v>
      </c>
      <c r="M4" s="13"/>
    </row>
    <row r="5" spans="1:17" ht="15.75" customHeight="1">
      <c r="A5" s="751"/>
      <c r="B5" s="754"/>
      <c r="C5" s="754"/>
      <c r="D5" s="754"/>
      <c r="E5" s="754"/>
      <c r="F5" s="754"/>
      <c r="G5" s="754"/>
      <c r="H5" s="754"/>
      <c r="I5" s="755"/>
      <c r="J5" s="10" t="s">
        <v>10</v>
      </c>
      <c r="K5" s="11"/>
      <c r="L5" s="12" t="s">
        <v>11</v>
      </c>
      <c r="M5" s="13"/>
    </row>
    <row r="6" spans="1:17" ht="15.75" customHeight="1">
      <c r="A6" s="16"/>
      <c r="B6" s="15"/>
      <c r="C6" s="15"/>
      <c r="D6" s="15"/>
      <c r="E6" s="15"/>
      <c r="F6" s="15"/>
      <c r="G6" s="15"/>
      <c r="H6" s="15"/>
      <c r="I6" s="15"/>
      <c r="J6" s="10" t="s">
        <v>12</v>
      </c>
      <c r="K6" s="11"/>
      <c r="L6" s="12" t="s">
        <v>13</v>
      </c>
      <c r="M6" s="13"/>
    </row>
    <row r="7" spans="1:17" ht="15.75" customHeight="1" thickBot="1">
      <c r="A7" s="17" t="s">
        <v>14</v>
      </c>
      <c r="B7" s="18"/>
      <c r="C7" s="18"/>
      <c r="D7" s="18"/>
      <c r="E7" s="18"/>
      <c r="F7" s="18"/>
      <c r="G7" s="18"/>
      <c r="H7" s="18"/>
      <c r="I7" s="18"/>
      <c r="J7" s="19" t="s">
        <v>15</v>
      </c>
      <c r="K7" s="20"/>
      <c r="L7" s="21" t="s">
        <v>16</v>
      </c>
      <c r="M7" s="22"/>
    </row>
    <row r="8" spans="1:17" ht="15.75" customHeight="1">
      <c r="A8" s="23"/>
      <c r="B8" s="24"/>
      <c r="C8" s="24"/>
      <c r="D8" s="24"/>
      <c r="E8" s="24"/>
      <c r="F8" s="24"/>
      <c r="G8" s="24"/>
      <c r="H8" s="24"/>
      <c r="I8" s="24"/>
      <c r="J8" s="24"/>
      <c r="K8" s="25"/>
      <c r="L8" s="26"/>
      <c r="M8" s="27"/>
      <c r="N8" s="28"/>
    </row>
    <row r="9" spans="1:17" ht="15.75" customHeight="1">
      <c r="A9" s="29"/>
      <c r="B9" s="30" t="s">
        <v>17</v>
      </c>
      <c r="C9" s="31" t="s">
        <v>18</v>
      </c>
      <c r="D9" s="32"/>
      <c r="E9" s="32"/>
      <c r="F9" s="32"/>
      <c r="G9" s="32"/>
      <c r="H9" s="32"/>
      <c r="I9" s="32"/>
      <c r="J9" s="32"/>
      <c r="K9" s="33"/>
      <c r="L9" s="29"/>
      <c r="M9" s="32"/>
      <c r="N9" s="28"/>
    </row>
    <row r="10" spans="1:17" ht="15.75" customHeight="1">
      <c r="A10" s="29"/>
      <c r="B10" s="30" t="s">
        <v>19</v>
      </c>
      <c r="C10" s="34" t="s">
        <v>20</v>
      </c>
      <c r="D10" s="29"/>
      <c r="E10" s="29"/>
      <c r="F10" s="29"/>
      <c r="G10" s="29"/>
      <c r="H10" s="29"/>
      <c r="I10" s="29"/>
      <c r="J10" s="29"/>
      <c r="K10" s="29"/>
      <c r="L10" s="29"/>
      <c r="M10" s="29"/>
      <c r="N10" s="28"/>
    </row>
    <row r="11" spans="1:17" ht="15.75" customHeight="1" thickBot="1">
      <c r="A11" s="26"/>
      <c r="B11" s="26"/>
      <c r="C11" s="26"/>
      <c r="D11" s="26"/>
      <c r="E11" s="26"/>
      <c r="F11" s="26"/>
      <c r="G11" s="26"/>
      <c r="H11" s="26"/>
      <c r="I11" s="26"/>
      <c r="J11" s="26"/>
      <c r="K11" s="26"/>
      <c r="L11" s="26"/>
      <c r="M11" s="26"/>
      <c r="N11" s="28"/>
    </row>
    <row r="12" spans="1:17" ht="15.75" customHeight="1" thickBot="1">
      <c r="A12" s="35" t="s">
        <v>21</v>
      </c>
      <c r="B12" s="36"/>
      <c r="C12" s="36"/>
      <c r="D12" s="36"/>
      <c r="E12" s="36"/>
      <c r="F12" s="36"/>
      <c r="G12" s="36"/>
      <c r="H12" s="36"/>
      <c r="I12" s="36"/>
      <c r="J12" s="36"/>
      <c r="K12" s="36"/>
      <c r="L12" s="36"/>
      <c r="M12" s="37"/>
    </row>
    <row r="13" spans="1:17" ht="14.1" customHeight="1" thickTop="1">
      <c r="A13" s="38"/>
      <c r="B13" s="30" t="s">
        <v>22</v>
      </c>
      <c r="C13" s="39">
        <v>900</v>
      </c>
      <c r="D13" s="29"/>
      <c r="E13" s="30" t="s">
        <v>23</v>
      </c>
      <c r="F13" s="39">
        <v>4000</v>
      </c>
      <c r="G13" s="29"/>
      <c r="H13" s="30" t="s">
        <v>24</v>
      </c>
      <c r="I13" s="39" t="s">
        <v>25</v>
      </c>
      <c r="J13" s="29"/>
      <c r="K13" s="29"/>
      <c r="L13" s="30" t="s">
        <v>26</v>
      </c>
      <c r="M13" s="40">
        <v>3600</v>
      </c>
    </row>
    <row r="14" spans="1:17" ht="14.1" customHeight="1">
      <c r="A14" s="38"/>
      <c r="B14" s="30" t="s">
        <v>27</v>
      </c>
      <c r="C14" s="39" t="s">
        <v>28</v>
      </c>
      <c r="D14" s="29"/>
      <c r="E14" s="30" t="s">
        <v>29</v>
      </c>
      <c r="F14" s="41" t="s">
        <v>30</v>
      </c>
      <c r="G14" s="29"/>
      <c r="H14" s="30" t="s">
        <v>31</v>
      </c>
      <c r="I14" s="39">
        <v>113</v>
      </c>
      <c r="J14" s="29"/>
      <c r="K14" s="29"/>
      <c r="L14" s="30" t="s">
        <v>32</v>
      </c>
      <c r="M14" s="40">
        <v>3580</v>
      </c>
    </row>
    <row r="15" spans="1:17" ht="14.1" customHeight="1">
      <c r="A15" s="38"/>
      <c r="B15" s="30" t="s">
        <v>33</v>
      </c>
      <c r="C15" s="39" t="s">
        <v>34</v>
      </c>
      <c r="D15" s="29"/>
      <c r="E15" s="30" t="s">
        <v>35</v>
      </c>
      <c r="F15" s="42" t="s">
        <v>36</v>
      </c>
      <c r="G15" s="29"/>
      <c r="H15" s="30" t="s">
        <v>37</v>
      </c>
      <c r="I15" s="41" t="s">
        <v>38</v>
      </c>
      <c r="J15" s="29"/>
      <c r="K15" s="29"/>
      <c r="L15" s="30" t="s">
        <v>39</v>
      </c>
      <c r="M15" s="40" t="s">
        <v>40</v>
      </c>
      <c r="Q15" s="43"/>
    </row>
    <row r="16" spans="1:17" ht="14.1" customHeight="1">
      <c r="A16" s="38"/>
      <c r="B16" s="30" t="s">
        <v>41</v>
      </c>
      <c r="C16" s="39" t="s">
        <v>42</v>
      </c>
      <c r="D16" s="29"/>
      <c r="E16" s="30" t="s">
        <v>43</v>
      </c>
      <c r="F16" s="44">
        <v>40</v>
      </c>
      <c r="G16" s="29"/>
      <c r="H16" s="45" t="s">
        <v>44</v>
      </c>
      <c r="I16" s="46" t="s">
        <v>45</v>
      </c>
      <c r="J16" s="29"/>
      <c r="K16" s="29"/>
      <c r="L16" s="30" t="s">
        <v>46</v>
      </c>
      <c r="M16" s="40" t="s">
        <v>47</v>
      </c>
    </row>
    <row r="17" spans="1:19" ht="14.1" customHeight="1">
      <c r="A17" s="38"/>
      <c r="B17" s="30" t="s">
        <v>48</v>
      </c>
      <c r="C17" s="31" t="s">
        <v>49</v>
      </c>
      <c r="D17" s="29"/>
      <c r="E17" s="30"/>
      <c r="F17" s="41"/>
      <c r="G17" s="29"/>
      <c r="H17" s="30" t="s">
        <v>50</v>
      </c>
      <c r="I17" s="46" t="s">
        <v>38</v>
      </c>
      <c r="J17" s="29"/>
      <c r="K17" s="29"/>
      <c r="L17" s="30"/>
      <c r="M17" s="47"/>
    </row>
    <row r="18" spans="1:19" ht="14.1" customHeight="1" thickBot="1">
      <c r="A18" s="48"/>
      <c r="B18" s="49" t="s">
        <v>51</v>
      </c>
      <c r="C18" s="50">
        <v>94.5</v>
      </c>
      <c r="D18" s="51"/>
      <c r="E18" s="49" t="s">
        <v>52</v>
      </c>
      <c r="F18" s="50" t="s">
        <v>38</v>
      </c>
      <c r="G18" s="52"/>
      <c r="H18" s="49" t="s">
        <v>53</v>
      </c>
      <c r="I18" s="50">
        <v>90.5</v>
      </c>
      <c r="J18" s="51"/>
      <c r="K18" s="51"/>
      <c r="L18" s="51"/>
      <c r="M18" s="53"/>
    </row>
    <row r="19" spans="1:19" ht="15.75" customHeight="1">
      <c r="A19" s="28"/>
      <c r="B19" s="28"/>
      <c r="C19" s="15"/>
      <c r="D19" s="15"/>
      <c r="E19" s="15"/>
      <c r="F19" s="15"/>
      <c r="G19" s="15"/>
      <c r="H19" s="15"/>
      <c r="I19" s="15"/>
      <c r="J19" s="15"/>
      <c r="K19" s="15"/>
      <c r="L19" s="15"/>
      <c r="M19" s="15"/>
      <c r="N19" s="28"/>
    </row>
    <row r="20" spans="1:19" ht="15.75" customHeight="1" thickBot="1">
      <c r="A20" s="54"/>
      <c r="B20" s="54"/>
      <c r="C20" s="54"/>
      <c r="D20" s="54"/>
      <c r="E20" s="54"/>
      <c r="F20" s="54"/>
      <c r="G20" s="54"/>
      <c r="H20" s="54"/>
      <c r="I20" s="54"/>
      <c r="J20" s="54"/>
      <c r="K20" s="54"/>
      <c r="L20" s="54"/>
      <c r="M20" s="54"/>
    </row>
    <row r="21" spans="1:19" ht="15.75" customHeight="1">
      <c r="A21" s="756" t="s">
        <v>54</v>
      </c>
      <c r="B21" s="757"/>
      <c r="C21" s="757"/>
      <c r="D21" s="757"/>
      <c r="E21" s="757"/>
      <c r="F21" s="758">
        <v>0.1727494711782471</v>
      </c>
      <c r="G21" s="758"/>
      <c r="H21" s="758"/>
      <c r="I21" s="759"/>
      <c r="J21" s="55"/>
      <c r="K21" s="55"/>
      <c r="L21" s="55"/>
      <c r="M21" s="55"/>
    </row>
    <row r="22" spans="1:19" ht="15.75" customHeight="1">
      <c r="A22" s="733" t="s">
        <v>55</v>
      </c>
      <c r="B22" s="734"/>
      <c r="C22" s="734"/>
      <c r="D22" s="734"/>
      <c r="E22" s="734"/>
      <c r="F22" s="745">
        <v>0.12082149683155825</v>
      </c>
      <c r="G22" s="745"/>
      <c r="H22" s="745"/>
      <c r="I22" s="746"/>
      <c r="J22" s="57"/>
      <c r="K22" s="58"/>
      <c r="L22" s="58"/>
      <c r="M22" s="58"/>
    </row>
    <row r="23" spans="1:19" ht="15.75" customHeight="1">
      <c r="A23" s="733" t="s">
        <v>56</v>
      </c>
      <c r="B23" s="734"/>
      <c r="C23" s="734"/>
      <c r="D23" s="734"/>
      <c r="E23" s="734"/>
      <c r="F23" s="745">
        <v>0.56483988810520014</v>
      </c>
      <c r="G23" s="745"/>
      <c r="H23" s="745"/>
      <c r="I23" s="746"/>
      <c r="J23" s="59"/>
      <c r="K23" s="60"/>
      <c r="L23" s="60"/>
      <c r="M23" s="60"/>
      <c r="Q23" s="61"/>
    </row>
    <row r="24" spans="1:19" ht="15.75" customHeight="1">
      <c r="A24" s="62"/>
      <c r="B24" s="56"/>
      <c r="C24" s="56"/>
      <c r="D24" s="63"/>
      <c r="E24" s="63"/>
      <c r="F24" s="64"/>
      <c r="G24" s="65"/>
      <c r="H24" s="65"/>
      <c r="I24" s="66"/>
      <c r="J24" s="67"/>
      <c r="K24" s="68"/>
      <c r="L24" s="68"/>
      <c r="M24" s="67"/>
      <c r="N24" s="28"/>
      <c r="P24" s="69"/>
      <c r="S24" s="69"/>
    </row>
    <row r="25" spans="1:19" ht="15.75" customHeight="1">
      <c r="A25" s="747" t="s">
        <v>57</v>
      </c>
      <c r="B25" s="748"/>
      <c r="C25" s="748"/>
      <c r="D25" s="748"/>
      <c r="E25" s="748"/>
      <c r="F25" s="735">
        <v>2.09</v>
      </c>
      <c r="G25" s="735"/>
      <c r="H25" s="735"/>
      <c r="I25" s="736"/>
      <c r="J25" s="70"/>
      <c r="K25" s="70"/>
      <c r="L25" s="70"/>
      <c r="M25" s="55"/>
      <c r="N25" s="28"/>
      <c r="Q25" s="71"/>
    </row>
    <row r="26" spans="1:19" ht="15.75" customHeight="1">
      <c r="A26" s="741" t="s">
        <v>58</v>
      </c>
      <c r="B26" s="742"/>
      <c r="C26" s="742"/>
      <c r="D26" s="742"/>
      <c r="E26" s="742"/>
      <c r="F26" s="735">
        <v>1.57</v>
      </c>
      <c r="G26" s="735"/>
      <c r="H26" s="735"/>
      <c r="I26" s="736"/>
      <c r="J26" s="72"/>
      <c r="K26" s="72"/>
      <c r="L26" s="72"/>
      <c r="M26" s="55"/>
      <c r="N26" s="28"/>
      <c r="P26" s="73"/>
    </row>
    <row r="27" spans="1:19" ht="15.75" customHeight="1">
      <c r="A27" s="741" t="s">
        <v>59</v>
      </c>
      <c r="B27" s="742"/>
      <c r="C27" s="742"/>
      <c r="D27" s="742"/>
      <c r="E27" s="742"/>
      <c r="F27" s="735">
        <v>1.2649999999999999</v>
      </c>
      <c r="G27" s="735"/>
      <c r="H27" s="735"/>
      <c r="I27" s="736"/>
      <c r="J27" s="72"/>
      <c r="K27" s="74"/>
      <c r="L27" s="74"/>
      <c r="M27" s="55"/>
      <c r="N27" s="28"/>
    </row>
    <row r="28" spans="1:19" ht="15.75" customHeight="1">
      <c r="A28" s="62"/>
      <c r="B28" s="56"/>
      <c r="C28" s="56"/>
      <c r="D28" s="75"/>
      <c r="E28" s="75"/>
      <c r="F28" s="64"/>
      <c r="G28" s="65"/>
      <c r="H28" s="65"/>
      <c r="I28" s="66"/>
      <c r="J28" s="74"/>
      <c r="K28" s="74"/>
      <c r="L28" s="55"/>
      <c r="M28" s="55"/>
      <c r="N28" s="28"/>
    </row>
    <row r="29" spans="1:19" ht="15.75" customHeight="1">
      <c r="A29" s="733" t="s">
        <v>60</v>
      </c>
      <c r="B29" s="734"/>
      <c r="C29" s="734"/>
      <c r="D29" s="734"/>
      <c r="E29" s="734"/>
      <c r="F29" s="743">
        <v>94.2</v>
      </c>
      <c r="G29" s="743"/>
      <c r="H29" s="743"/>
      <c r="I29" s="744"/>
      <c r="J29" s="55"/>
      <c r="K29" s="55"/>
      <c r="L29" s="55"/>
      <c r="M29" s="59"/>
      <c r="N29" s="28"/>
      <c r="P29" s="76"/>
    </row>
    <row r="30" spans="1:19" ht="15.75" customHeight="1">
      <c r="A30" s="62"/>
      <c r="B30" s="56"/>
      <c r="C30" s="56"/>
      <c r="D30" s="56"/>
      <c r="E30" s="56"/>
      <c r="F30" s="64"/>
      <c r="G30" s="65"/>
      <c r="H30" s="65"/>
      <c r="I30" s="77"/>
      <c r="J30" s="70"/>
      <c r="K30" s="70"/>
      <c r="L30" s="70"/>
      <c r="M30" s="67"/>
      <c r="N30" s="28"/>
    </row>
    <row r="31" spans="1:19" ht="15.75" customHeight="1">
      <c r="A31" s="733" t="s">
        <v>61</v>
      </c>
      <c r="B31" s="734"/>
      <c r="C31" s="734"/>
      <c r="D31" s="734"/>
      <c r="E31" s="734"/>
      <c r="F31" s="735">
        <v>3.64</v>
      </c>
      <c r="G31" s="735"/>
      <c r="H31" s="735"/>
      <c r="I31" s="736"/>
      <c r="J31" s="55"/>
      <c r="K31" s="55"/>
      <c r="L31" s="55"/>
      <c r="M31" s="67"/>
      <c r="N31" s="28"/>
      <c r="P31" s="78"/>
    </row>
    <row r="32" spans="1:19" ht="15.75" customHeight="1">
      <c r="A32" s="733" t="s">
        <v>62</v>
      </c>
      <c r="B32" s="734"/>
      <c r="C32" s="734"/>
      <c r="D32" s="734"/>
      <c r="E32" s="734"/>
      <c r="F32" s="735">
        <v>2.79</v>
      </c>
      <c r="G32" s="735"/>
      <c r="H32" s="735"/>
      <c r="I32" s="736"/>
      <c r="J32" s="55"/>
      <c r="K32" s="55"/>
      <c r="L32" s="55"/>
      <c r="M32" s="67"/>
      <c r="N32" s="28"/>
    </row>
    <row r="33" spans="1:28" ht="15.75" customHeight="1">
      <c r="A33" s="733" t="s">
        <v>63</v>
      </c>
      <c r="B33" s="734"/>
      <c r="C33" s="734"/>
      <c r="D33" s="734"/>
      <c r="E33" s="734"/>
      <c r="F33" s="737">
        <v>7.9000000000000001E-2</v>
      </c>
      <c r="G33" s="737"/>
      <c r="H33" s="737"/>
      <c r="I33" s="738"/>
      <c r="J33" s="67"/>
      <c r="K33" s="67"/>
      <c r="L33" s="67"/>
      <c r="M33" s="67"/>
      <c r="N33" s="28"/>
      <c r="P33" s="78"/>
    </row>
    <row r="34" spans="1:28" ht="15.75" customHeight="1">
      <c r="A34" s="733" t="s">
        <v>64</v>
      </c>
      <c r="B34" s="734"/>
      <c r="C34" s="734"/>
      <c r="D34" s="734"/>
      <c r="E34" s="734"/>
      <c r="F34" s="739">
        <v>0.01</v>
      </c>
      <c r="G34" s="739"/>
      <c r="H34" s="739"/>
      <c r="I34" s="740"/>
      <c r="M34" s="67"/>
      <c r="N34" s="28"/>
    </row>
    <row r="35" spans="1:28" ht="15.75" customHeight="1" thickBot="1">
      <c r="A35" s="726" t="s">
        <v>65</v>
      </c>
      <c r="B35" s="727"/>
      <c r="C35" s="727"/>
      <c r="D35" s="727"/>
      <c r="E35" s="727"/>
      <c r="F35" s="728">
        <v>2.1040000000000001</v>
      </c>
      <c r="G35" s="728"/>
      <c r="H35" s="728"/>
      <c r="I35" s="729"/>
      <c r="M35" s="67"/>
      <c r="N35" s="28"/>
      <c r="T35" s="79"/>
      <c r="U35" s="79"/>
      <c r="V35" s="80"/>
      <c r="W35" s="80"/>
      <c r="X35" s="80"/>
      <c r="Y35" s="80"/>
      <c r="Z35" s="81"/>
      <c r="AA35" s="82"/>
      <c r="AB35" s="83"/>
    </row>
    <row r="36" spans="1:28" ht="15.75" customHeight="1">
      <c r="A36" s="84"/>
      <c r="E36" s="74"/>
      <c r="F36" s="74"/>
      <c r="G36" s="74"/>
      <c r="H36" s="55"/>
      <c r="I36" s="55"/>
      <c r="M36" s="67"/>
      <c r="N36" s="28"/>
      <c r="T36" s="80"/>
      <c r="U36" s="80"/>
      <c r="V36" s="80"/>
      <c r="W36" s="80"/>
      <c r="X36" s="83"/>
      <c r="Y36" s="80"/>
      <c r="Z36" s="730"/>
      <c r="AA36" s="730"/>
      <c r="AB36" s="731"/>
    </row>
    <row r="37" spans="1:28" ht="15.75" customHeight="1">
      <c r="A37" s="84"/>
      <c r="E37" s="85"/>
      <c r="F37" s="85"/>
      <c r="G37" s="85"/>
      <c r="H37" s="59"/>
      <c r="I37" s="59"/>
      <c r="M37" s="67"/>
      <c r="N37" s="28"/>
      <c r="T37" s="80"/>
      <c r="U37" s="80"/>
      <c r="V37" s="80"/>
      <c r="W37" s="80"/>
      <c r="X37" s="80"/>
      <c r="Y37" s="80"/>
      <c r="Z37" s="730"/>
      <c r="AA37" s="730"/>
      <c r="AB37" s="731"/>
    </row>
    <row r="38" spans="1:28" ht="15.75" customHeight="1">
      <c r="A38" s="84"/>
      <c r="B38" s="67"/>
      <c r="C38" s="67"/>
      <c r="D38" s="86"/>
      <c r="E38" s="85"/>
      <c r="F38" s="85"/>
      <c r="G38" s="85"/>
      <c r="H38" s="59"/>
      <c r="I38" s="59"/>
      <c r="J38" s="67"/>
      <c r="K38" s="67"/>
      <c r="L38" s="67"/>
      <c r="M38" s="67"/>
      <c r="N38" s="28"/>
      <c r="T38" s="87"/>
      <c r="U38" s="87"/>
      <c r="V38" s="87"/>
      <c r="W38" s="87"/>
      <c r="X38" s="87"/>
      <c r="Y38" s="87"/>
      <c r="Z38" s="732"/>
      <c r="AA38" s="732"/>
      <c r="AB38" s="88"/>
    </row>
    <row r="39" spans="1:28" ht="15.75" customHeight="1">
      <c r="A39" s="28"/>
      <c r="B39" s="28"/>
      <c r="C39" s="28"/>
      <c r="D39" s="28"/>
      <c r="E39" s="28"/>
      <c r="F39" s="28"/>
      <c r="G39" s="28"/>
      <c r="H39" s="28"/>
      <c r="I39" s="28"/>
      <c r="J39" s="28"/>
      <c r="K39" s="28"/>
      <c r="L39" s="28"/>
      <c r="M39" s="28"/>
      <c r="N39" s="15"/>
    </row>
    <row r="40" spans="1:28" ht="15.75" customHeight="1">
      <c r="A40" s="89"/>
      <c r="B40" s="28"/>
      <c r="C40" s="90"/>
      <c r="D40" s="91"/>
      <c r="E40" s="28"/>
      <c r="F40" s="28"/>
      <c r="G40" s="28"/>
      <c r="H40" s="15"/>
      <c r="I40" s="92" t="s">
        <v>66</v>
      </c>
      <c r="J40" s="712" t="s">
        <v>67</v>
      </c>
      <c r="K40" s="712"/>
      <c r="L40" s="712"/>
      <c r="M40" s="93"/>
      <c r="N40" s="28"/>
    </row>
    <row r="41" spans="1:28" ht="15.75" customHeight="1">
      <c r="A41" s="28"/>
      <c r="B41" s="28"/>
      <c r="C41" s="28"/>
      <c r="D41" s="28"/>
      <c r="E41" s="28"/>
      <c r="F41" s="28"/>
      <c r="G41" s="28"/>
      <c r="H41" s="28"/>
      <c r="I41" s="28"/>
      <c r="J41" s="94"/>
      <c r="K41" s="94"/>
      <c r="L41" s="94"/>
      <c r="M41" s="15"/>
    </row>
    <row r="42" spans="1:28" ht="15.75" customHeight="1">
      <c r="A42" s="28"/>
      <c r="B42" s="28"/>
      <c r="C42" s="28"/>
      <c r="D42" s="28"/>
      <c r="E42" s="28"/>
      <c r="F42" s="28"/>
      <c r="G42" s="28"/>
      <c r="H42" s="15"/>
      <c r="I42" s="92" t="s">
        <v>68</v>
      </c>
      <c r="J42" s="713">
        <v>45943</v>
      </c>
      <c r="K42" s="713"/>
      <c r="L42" s="713"/>
      <c r="M42" s="95"/>
    </row>
    <row r="43" spans="1:28" ht="15.95" customHeight="1"/>
  </sheetData>
  <mergeCells count="33">
    <mergeCell ref="A22:E22"/>
    <mergeCell ref="F22:I22"/>
    <mergeCell ref="L3:M3"/>
    <mergeCell ref="A4:I4"/>
    <mergeCell ref="A5:I5"/>
    <mergeCell ref="A21:E21"/>
    <mergeCell ref="F21:I21"/>
    <mergeCell ref="A23:E23"/>
    <mergeCell ref="F23:I23"/>
    <mergeCell ref="A25:E25"/>
    <mergeCell ref="F25:I25"/>
    <mergeCell ref="A26:E26"/>
    <mergeCell ref="F26:I26"/>
    <mergeCell ref="A27:E27"/>
    <mergeCell ref="F27:I27"/>
    <mergeCell ref="A29:E29"/>
    <mergeCell ref="F29:I29"/>
    <mergeCell ref="A31:E31"/>
    <mergeCell ref="F31:I31"/>
    <mergeCell ref="AB36:AB37"/>
    <mergeCell ref="Z37:AA37"/>
    <mergeCell ref="Z38:AA38"/>
    <mergeCell ref="A32:E32"/>
    <mergeCell ref="F32:I32"/>
    <mergeCell ref="A33:E33"/>
    <mergeCell ref="F33:I33"/>
    <mergeCell ref="A34:E34"/>
    <mergeCell ref="F34:I34"/>
    <mergeCell ref="J40:L40"/>
    <mergeCell ref="J42:L42"/>
    <mergeCell ref="A35:E35"/>
    <mergeCell ref="F35:I35"/>
    <mergeCell ref="Z36:AA36"/>
  </mergeCells>
  <printOptions horizontalCentered="1" gridLinesSet="0"/>
  <pageMargins left="0.5" right="0.5" top="0.5" bottom="0.5" header="0.5" footer="0.5"/>
  <pageSetup orientation="portrait" r:id="rId1"/>
  <headerFooter alignWithMargins="0">
    <oddFooter>&amp;L&amp;"Univers (WN),Regular"&amp;7N:\ELECTRIC\PERFORMA&amp;C&amp;"Univers (WN),Regular"&amp;7&amp;F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AB1A-9B04-414E-B20F-A63A3E934683}">
  <sheetPr syncVertical="1" syncRef="A26" transitionEvaluation="1">
    <pageSetUpPr fitToPage="1"/>
  </sheetPr>
  <dimension ref="A1:U54"/>
  <sheetViews>
    <sheetView showGridLines="0" topLeftCell="A26" zoomScaleNormal="100" workbookViewId="0">
      <selection activeCell="J2" sqref="J2"/>
    </sheetView>
  </sheetViews>
  <sheetFormatPr defaultColWidth="8.796875" defaultRowHeight="15.75"/>
  <cols>
    <col min="1" max="3" width="4.8984375" style="101" customWidth="1"/>
    <col min="4" max="4" width="5.796875" style="101" customWidth="1"/>
    <col min="5" max="5" width="4.8984375" style="101" customWidth="1"/>
    <col min="6" max="6" width="5.296875" style="101" customWidth="1"/>
    <col min="7" max="13" width="4.8984375" style="101" customWidth="1"/>
    <col min="14" max="14" width="5" style="101" customWidth="1"/>
    <col min="15" max="16384" width="8.796875" style="101"/>
  </cols>
  <sheetData>
    <row r="1" spans="1:17" ht="17.100000000000001" customHeight="1">
      <c r="A1" s="96" t="s">
        <v>0</v>
      </c>
      <c r="B1" s="97"/>
      <c r="C1" s="97"/>
      <c r="D1" s="97"/>
      <c r="E1" s="97"/>
      <c r="F1" s="97"/>
      <c r="G1" s="97"/>
      <c r="H1" s="97"/>
      <c r="I1" s="97"/>
      <c r="J1" s="98" t="s">
        <v>1</v>
      </c>
      <c r="K1" s="99"/>
      <c r="L1" s="802" t="s">
        <v>69</v>
      </c>
      <c r="M1" s="803"/>
      <c r="N1" s="100"/>
    </row>
    <row r="2" spans="1:17" ht="17.100000000000001" customHeight="1">
      <c r="A2" s="102" t="s">
        <v>3</v>
      </c>
      <c r="B2" s="103"/>
      <c r="C2" s="103"/>
      <c r="D2" s="103"/>
      <c r="E2" s="103"/>
      <c r="F2" s="103"/>
      <c r="G2" s="103"/>
      <c r="H2" s="103"/>
      <c r="I2" s="103"/>
      <c r="J2" s="104" t="s">
        <v>4</v>
      </c>
      <c r="K2" s="105"/>
      <c r="L2" s="106" t="s">
        <v>5</v>
      </c>
      <c r="M2" s="107"/>
      <c r="N2" s="100"/>
    </row>
    <row r="3" spans="1:17" ht="15.95" customHeight="1">
      <c r="A3" s="108"/>
      <c r="B3" s="109"/>
      <c r="C3" s="109"/>
      <c r="D3" s="109"/>
      <c r="E3" s="109"/>
      <c r="F3" s="109"/>
      <c r="G3" s="109"/>
      <c r="H3" s="109"/>
      <c r="I3" s="109"/>
      <c r="J3" s="104" t="s">
        <v>6</v>
      </c>
      <c r="K3" s="105"/>
      <c r="L3" s="804" t="s">
        <v>70</v>
      </c>
      <c r="M3" s="805"/>
      <c r="N3" s="100"/>
    </row>
    <row r="4" spans="1:17" ht="15.95" customHeight="1">
      <c r="A4" s="110"/>
      <c r="B4" s="109"/>
      <c r="C4" s="109"/>
      <c r="D4" s="109"/>
      <c r="E4" s="109"/>
      <c r="F4" s="109"/>
      <c r="G4" s="109"/>
      <c r="H4" s="109"/>
      <c r="I4" s="109"/>
      <c r="J4" s="104" t="s">
        <v>8</v>
      </c>
      <c r="K4" s="105"/>
      <c r="L4" s="806" t="s">
        <v>9</v>
      </c>
      <c r="M4" s="807"/>
      <c r="N4" s="100"/>
    </row>
    <row r="5" spans="1:17" ht="15.95" customHeight="1">
      <c r="A5" s="108"/>
      <c r="B5" s="109"/>
      <c r="C5" s="109"/>
      <c r="D5" s="109"/>
      <c r="E5" s="109"/>
      <c r="F5" s="109"/>
      <c r="G5" s="109"/>
      <c r="H5" s="109"/>
      <c r="I5" s="109"/>
      <c r="J5" s="104" t="s">
        <v>10</v>
      </c>
      <c r="K5" s="105"/>
      <c r="L5" s="806">
        <v>0</v>
      </c>
      <c r="M5" s="808"/>
      <c r="N5" s="100"/>
    </row>
    <row r="6" spans="1:17" ht="15.95" customHeight="1">
      <c r="A6" s="111" t="s">
        <v>71</v>
      </c>
      <c r="B6" s="109"/>
      <c r="C6" s="109"/>
      <c r="D6" s="109"/>
      <c r="E6" s="109"/>
      <c r="F6" s="109"/>
      <c r="G6" s="109"/>
      <c r="H6" s="109"/>
      <c r="I6" s="109"/>
      <c r="J6" s="104" t="s">
        <v>12</v>
      </c>
      <c r="K6" s="105"/>
      <c r="L6" s="806" t="s">
        <v>72</v>
      </c>
      <c r="M6" s="808"/>
      <c r="N6" s="100"/>
    </row>
    <row r="7" spans="1:17" ht="15.95" customHeight="1" thickBot="1">
      <c r="A7" s="112" t="s">
        <v>73</v>
      </c>
      <c r="B7" s="113"/>
      <c r="C7" s="113"/>
      <c r="D7" s="113"/>
      <c r="E7" s="113"/>
      <c r="F7" s="113"/>
      <c r="G7" s="113"/>
      <c r="H7" s="113"/>
      <c r="I7" s="113"/>
      <c r="J7" s="114" t="s">
        <v>15</v>
      </c>
      <c r="K7" s="115"/>
      <c r="L7" s="809" t="s">
        <v>74</v>
      </c>
      <c r="M7" s="810"/>
      <c r="N7" s="100"/>
    </row>
    <row r="8" spans="1:17" ht="6.75" customHeight="1">
      <c r="A8" s="23"/>
      <c r="B8" s="24"/>
      <c r="C8" s="24"/>
      <c r="D8" s="24"/>
      <c r="E8" s="24"/>
      <c r="F8" s="24"/>
      <c r="G8" s="24"/>
      <c r="H8" s="24"/>
      <c r="I8" s="24"/>
      <c r="J8" s="24"/>
      <c r="K8" s="25"/>
      <c r="L8" s="26"/>
      <c r="M8" s="27"/>
      <c r="N8" s="109"/>
    </row>
    <row r="9" spans="1:17" ht="12" customHeight="1">
      <c r="A9" s="29"/>
      <c r="B9" s="30" t="s">
        <v>17</v>
      </c>
      <c r="C9" s="31" t="s">
        <v>18</v>
      </c>
      <c r="D9" s="32"/>
      <c r="E9" s="32"/>
      <c r="F9" s="32"/>
      <c r="G9" s="32"/>
      <c r="H9" s="32"/>
      <c r="I9" s="32"/>
      <c r="J9" s="32"/>
      <c r="K9" s="33"/>
      <c r="L9" s="29"/>
      <c r="M9" s="32"/>
      <c r="N9" s="109"/>
    </row>
    <row r="10" spans="1:17" ht="12" customHeight="1">
      <c r="A10" s="29"/>
      <c r="B10" s="30" t="s">
        <v>19</v>
      </c>
      <c r="C10" s="34" t="s">
        <v>20</v>
      </c>
      <c r="D10" s="29"/>
      <c r="E10" s="29"/>
      <c r="F10" s="29"/>
      <c r="G10" s="29"/>
      <c r="H10" s="29"/>
      <c r="I10" s="29"/>
      <c r="J10" s="29"/>
      <c r="K10" s="29"/>
      <c r="L10" s="29"/>
      <c r="M10" s="29"/>
      <c r="N10" s="116"/>
    </row>
    <row r="11" spans="1:17" ht="6.75" customHeight="1" thickBot="1">
      <c r="A11" s="26"/>
      <c r="B11" s="26"/>
      <c r="C11" s="26"/>
      <c r="D11" s="26"/>
      <c r="E11" s="26"/>
      <c r="F11" s="26"/>
      <c r="G11" s="26"/>
      <c r="H11" s="26"/>
      <c r="I11" s="26"/>
      <c r="J11" s="26"/>
      <c r="K11" s="26"/>
      <c r="L11" s="26"/>
      <c r="M11" s="26"/>
      <c r="N11" s="116"/>
    </row>
    <row r="12" spans="1:17" ht="20.100000000000001" customHeight="1" thickBot="1">
      <c r="A12" s="35" t="s">
        <v>21</v>
      </c>
      <c r="B12" s="36"/>
      <c r="C12" s="36"/>
      <c r="D12" s="36"/>
      <c r="E12" s="36"/>
      <c r="F12" s="36"/>
      <c r="G12" s="36"/>
      <c r="H12" s="36"/>
      <c r="I12" s="36"/>
      <c r="J12" s="36"/>
      <c r="K12" s="36"/>
      <c r="L12" s="36"/>
      <c r="M12" s="37"/>
      <c r="N12" s="100"/>
    </row>
    <row r="13" spans="1:17" ht="12.95" customHeight="1" thickTop="1">
      <c r="A13" s="38"/>
      <c r="B13" s="30" t="s">
        <v>22</v>
      </c>
      <c r="C13" s="39">
        <v>900</v>
      </c>
      <c r="D13" s="29"/>
      <c r="E13" s="30" t="s">
        <v>23</v>
      </c>
      <c r="F13" s="39">
        <v>4000</v>
      </c>
      <c r="G13" s="29"/>
      <c r="H13" s="30" t="s">
        <v>24</v>
      </c>
      <c r="I13" s="39" t="s">
        <v>25</v>
      </c>
      <c r="J13" s="29"/>
      <c r="K13" s="29"/>
      <c r="L13" s="30" t="s">
        <v>26</v>
      </c>
      <c r="M13" s="40">
        <v>3600</v>
      </c>
      <c r="N13" s="100"/>
    </row>
    <row r="14" spans="1:17" ht="12.95" customHeight="1">
      <c r="A14" s="38"/>
      <c r="B14" s="30" t="s">
        <v>27</v>
      </c>
      <c r="C14" s="39" t="s">
        <v>28</v>
      </c>
      <c r="D14" s="29"/>
      <c r="E14" s="30" t="s">
        <v>29</v>
      </c>
      <c r="F14" s="41" t="s">
        <v>30</v>
      </c>
      <c r="G14" s="29"/>
      <c r="H14" s="30" t="s">
        <v>31</v>
      </c>
      <c r="I14" s="39">
        <v>113</v>
      </c>
      <c r="J14" s="29"/>
      <c r="K14" s="29"/>
      <c r="L14" s="30" t="s">
        <v>32</v>
      </c>
      <c r="M14" s="40">
        <v>3580</v>
      </c>
      <c r="N14" s="100"/>
    </row>
    <row r="15" spans="1:17" ht="12.95" customHeight="1">
      <c r="A15" s="38"/>
      <c r="B15" s="30" t="s">
        <v>33</v>
      </c>
      <c r="C15" s="39" t="s">
        <v>34</v>
      </c>
      <c r="D15" s="29"/>
      <c r="E15" s="30" t="s">
        <v>35</v>
      </c>
      <c r="F15" s="42" t="s">
        <v>36</v>
      </c>
      <c r="G15" s="29"/>
      <c r="H15" s="30" t="s">
        <v>37</v>
      </c>
      <c r="I15" s="41" t="s">
        <v>38</v>
      </c>
      <c r="J15" s="29"/>
      <c r="K15" s="29"/>
      <c r="L15" s="30" t="s">
        <v>39</v>
      </c>
      <c r="M15" s="40" t="s">
        <v>40</v>
      </c>
      <c r="N15" s="100"/>
      <c r="Q15" s="43"/>
    </row>
    <row r="16" spans="1:17" ht="12.95" customHeight="1">
      <c r="A16" s="38"/>
      <c r="B16" s="30" t="s">
        <v>41</v>
      </c>
      <c r="C16" s="39" t="s">
        <v>42</v>
      </c>
      <c r="D16" s="29"/>
      <c r="E16" s="30" t="s">
        <v>43</v>
      </c>
      <c r="F16" s="44">
        <v>40</v>
      </c>
      <c r="G16" s="29"/>
      <c r="H16" s="45" t="s">
        <v>44</v>
      </c>
      <c r="I16" s="46" t="s">
        <v>45</v>
      </c>
      <c r="J16" s="29"/>
      <c r="K16" s="29"/>
      <c r="L16" s="30" t="s">
        <v>46</v>
      </c>
      <c r="M16" s="40" t="s">
        <v>47</v>
      </c>
      <c r="N16" s="100"/>
    </row>
    <row r="17" spans="1:14" ht="12.95" customHeight="1">
      <c r="A17" s="38"/>
      <c r="B17" s="30" t="s">
        <v>48</v>
      </c>
      <c r="C17" s="31" t="s">
        <v>49</v>
      </c>
      <c r="D17" s="29"/>
      <c r="E17" s="30"/>
      <c r="F17" s="41"/>
      <c r="G17" s="29"/>
      <c r="H17" s="30" t="s">
        <v>50</v>
      </c>
      <c r="I17" s="46" t="s">
        <v>38</v>
      </c>
      <c r="J17" s="29"/>
      <c r="K17" s="29"/>
      <c r="L17" s="30"/>
      <c r="M17" s="47"/>
      <c r="N17" s="100"/>
    </row>
    <row r="18" spans="1:14" ht="12.95" customHeight="1" thickBot="1">
      <c r="A18" s="48"/>
      <c r="B18" s="49" t="s">
        <v>51</v>
      </c>
      <c r="C18" s="50">
        <v>94.5</v>
      </c>
      <c r="D18" s="51"/>
      <c r="E18" s="49" t="s">
        <v>52</v>
      </c>
      <c r="F18" s="50" t="s">
        <v>38</v>
      </c>
      <c r="G18" s="52"/>
      <c r="H18" s="49" t="s">
        <v>53</v>
      </c>
      <c r="I18" s="50">
        <v>90.5</v>
      </c>
      <c r="J18" s="51"/>
      <c r="K18" s="51"/>
      <c r="L18" s="51"/>
      <c r="M18" s="53"/>
      <c r="N18" s="100"/>
    </row>
    <row r="19" spans="1:14" ht="16.5" thickBot="1"/>
    <row r="20" spans="1:14" ht="16.5" thickBot="1">
      <c r="A20" s="811" t="s">
        <v>75</v>
      </c>
      <c r="B20" s="812"/>
      <c r="C20" s="812"/>
      <c r="D20" s="812"/>
      <c r="E20" s="812"/>
      <c r="F20" s="812"/>
      <c r="G20" s="812"/>
      <c r="H20" s="812"/>
      <c r="I20" s="812"/>
      <c r="J20" s="812"/>
      <c r="K20" s="812"/>
      <c r="L20" s="812"/>
      <c r="M20" s="813"/>
    </row>
    <row r="21" spans="1:14" ht="16.5" thickTop="1">
      <c r="A21" s="117"/>
      <c r="B21" s="118"/>
      <c r="C21" s="119"/>
      <c r="D21" s="120" t="s">
        <v>76</v>
      </c>
      <c r="E21" s="121" t="s">
        <v>821</v>
      </c>
      <c r="F21" s="122"/>
      <c r="G21" s="119"/>
      <c r="H21" s="119"/>
      <c r="I21" s="120" t="s">
        <v>77</v>
      </c>
      <c r="J21" s="123">
        <v>0.189</v>
      </c>
      <c r="K21" s="122"/>
      <c r="L21" s="122"/>
      <c r="M21" s="124"/>
    </row>
    <row r="22" spans="1:14" ht="16.5" thickBot="1">
      <c r="A22" s="125"/>
      <c r="B22" s="126"/>
      <c r="C22" s="126"/>
      <c r="D22" s="127" t="s">
        <v>78</v>
      </c>
      <c r="E22" s="128" t="s">
        <v>820</v>
      </c>
      <c r="F22" s="129"/>
      <c r="G22" s="126"/>
      <c r="H22" s="126"/>
      <c r="I22" s="126"/>
      <c r="J22" s="126"/>
      <c r="K22" s="126"/>
      <c r="L22" s="126"/>
      <c r="M22" s="130"/>
    </row>
    <row r="23" spans="1:14" ht="16.5" thickBot="1"/>
    <row r="24" spans="1:14" ht="16.5" thickBot="1">
      <c r="A24" s="811" t="s">
        <v>79</v>
      </c>
      <c r="B24" s="812"/>
      <c r="C24" s="812"/>
      <c r="D24" s="812"/>
      <c r="E24" s="812"/>
      <c r="F24" s="813"/>
      <c r="G24" s="131"/>
      <c r="H24" s="811" t="s">
        <v>80</v>
      </c>
      <c r="I24" s="812"/>
      <c r="J24" s="812"/>
      <c r="K24" s="812"/>
      <c r="L24" s="812"/>
      <c r="M24" s="813"/>
    </row>
    <row r="25" spans="1:14" ht="17.25" thickTop="1" thickBot="1">
      <c r="A25" s="132"/>
      <c r="B25" s="119"/>
      <c r="C25" s="120"/>
      <c r="D25" s="120"/>
      <c r="E25" s="120" t="s">
        <v>81</v>
      </c>
      <c r="F25" s="133">
        <v>1320</v>
      </c>
      <c r="G25" s="134"/>
      <c r="H25" s="119"/>
      <c r="I25" s="119"/>
      <c r="J25" s="135" t="s">
        <v>82</v>
      </c>
      <c r="K25" s="799" t="s">
        <v>83</v>
      </c>
      <c r="L25" s="800"/>
      <c r="M25" s="801"/>
    </row>
    <row r="26" spans="1:14" ht="17.25" thickTop="1" thickBot="1">
      <c r="A26" s="136"/>
      <c r="D26" s="137"/>
      <c r="E26" s="137" t="s">
        <v>84</v>
      </c>
      <c r="F26" s="138">
        <v>120</v>
      </c>
      <c r="G26" s="139"/>
      <c r="J26" s="140" t="s">
        <v>85</v>
      </c>
      <c r="K26" s="799" t="s">
        <v>83</v>
      </c>
      <c r="L26" s="800"/>
      <c r="M26" s="801"/>
    </row>
    <row r="27" spans="1:14" ht="16.5" thickTop="1">
      <c r="A27" s="136"/>
      <c r="D27" s="137"/>
      <c r="E27" s="137" t="s">
        <v>86</v>
      </c>
      <c r="F27" s="138">
        <v>120</v>
      </c>
      <c r="G27" s="139"/>
      <c r="J27" s="140" t="s">
        <v>87</v>
      </c>
      <c r="K27" s="799" t="s">
        <v>83</v>
      </c>
      <c r="L27" s="800"/>
      <c r="M27" s="801"/>
    </row>
    <row r="28" spans="1:14" ht="16.5" thickBot="1">
      <c r="A28" s="125"/>
      <c r="B28" s="126"/>
      <c r="C28" s="126"/>
      <c r="D28" s="127"/>
      <c r="E28" s="127" t="s">
        <v>88</v>
      </c>
      <c r="F28" s="141">
        <v>295</v>
      </c>
      <c r="G28" s="139"/>
      <c r="H28" s="126"/>
      <c r="I28" s="126"/>
      <c r="J28" s="142"/>
      <c r="K28" s="789"/>
      <c r="L28" s="789"/>
      <c r="M28" s="790"/>
    </row>
    <row r="29" spans="1:14" ht="16.5" thickBot="1"/>
    <row r="30" spans="1:14" ht="16.5" thickBot="1">
      <c r="A30" s="781" t="s">
        <v>89</v>
      </c>
      <c r="B30" s="782"/>
      <c r="C30" s="782"/>
      <c r="D30" s="782"/>
      <c r="E30" s="782"/>
      <c r="F30" s="782"/>
      <c r="G30" s="782"/>
      <c r="H30" s="782"/>
      <c r="I30" s="782"/>
      <c r="J30" s="782"/>
      <c r="K30" s="782"/>
      <c r="L30" s="782"/>
      <c r="M30" s="783"/>
    </row>
    <row r="31" spans="1:14" ht="16.5" thickTop="1">
      <c r="A31" s="791" t="s">
        <v>90</v>
      </c>
      <c r="B31" s="792"/>
      <c r="C31" s="792"/>
      <c r="D31" s="792"/>
      <c r="E31" s="792"/>
      <c r="F31" s="793"/>
      <c r="G31" s="143"/>
      <c r="H31" s="794" t="s">
        <v>91</v>
      </c>
      <c r="I31" s="792"/>
      <c r="J31" s="792"/>
      <c r="K31" s="792"/>
      <c r="L31" s="792"/>
      <c r="M31" s="795"/>
    </row>
    <row r="32" spans="1:14">
      <c r="A32" s="136"/>
      <c r="B32" s="144"/>
      <c r="C32" s="137" t="s">
        <v>92</v>
      </c>
      <c r="D32" s="796" t="s">
        <v>93</v>
      </c>
      <c r="E32" s="796"/>
      <c r="F32" s="797"/>
      <c r="G32" s="145"/>
      <c r="J32" s="137" t="s">
        <v>92</v>
      </c>
      <c r="K32" s="796" t="s">
        <v>94</v>
      </c>
      <c r="L32" s="796"/>
      <c r="M32" s="798"/>
    </row>
    <row r="33" spans="1:21">
      <c r="A33" s="136"/>
      <c r="B33" s="144"/>
      <c r="C33" s="137" t="s">
        <v>95</v>
      </c>
      <c r="D33" s="775" t="s">
        <v>96</v>
      </c>
      <c r="E33" s="775"/>
      <c r="F33" s="776"/>
      <c r="G33" s="145"/>
      <c r="J33" s="137" t="s">
        <v>95</v>
      </c>
      <c r="K33" s="775" t="s">
        <v>97</v>
      </c>
      <c r="L33" s="775"/>
      <c r="M33" s="777"/>
    </row>
    <row r="34" spans="1:21">
      <c r="A34" s="136"/>
      <c r="B34" s="144"/>
      <c r="C34" s="137" t="s">
        <v>98</v>
      </c>
      <c r="D34" s="775" t="s">
        <v>99</v>
      </c>
      <c r="E34" s="775"/>
      <c r="F34" s="776"/>
      <c r="G34" s="145"/>
      <c r="J34" s="137" t="s">
        <v>98</v>
      </c>
      <c r="K34" s="775" t="s">
        <v>100</v>
      </c>
      <c r="L34" s="775"/>
      <c r="M34" s="777"/>
    </row>
    <row r="35" spans="1:21" ht="16.5" thickBot="1">
      <c r="A35" s="125"/>
      <c r="B35" s="146"/>
      <c r="C35" s="127" t="s">
        <v>101</v>
      </c>
      <c r="D35" s="778" t="s">
        <v>102</v>
      </c>
      <c r="E35" s="778"/>
      <c r="F35" s="779"/>
      <c r="G35" s="145"/>
      <c r="H35" s="126"/>
      <c r="I35" s="126"/>
      <c r="J35" s="127" t="s">
        <v>101</v>
      </c>
      <c r="K35" s="778" t="s">
        <v>103</v>
      </c>
      <c r="L35" s="778"/>
      <c r="M35" s="780"/>
    </row>
    <row r="36" spans="1:21" ht="16.5" thickBot="1"/>
    <row r="37" spans="1:21" ht="16.5" thickBot="1">
      <c r="A37" s="781" t="s">
        <v>104</v>
      </c>
      <c r="B37" s="782"/>
      <c r="C37" s="782"/>
      <c r="D37" s="782"/>
      <c r="E37" s="782"/>
      <c r="F37" s="782"/>
      <c r="G37" s="782"/>
      <c r="H37" s="782"/>
      <c r="I37" s="782"/>
      <c r="J37" s="782"/>
      <c r="K37" s="782"/>
      <c r="L37" s="782"/>
      <c r="M37" s="783"/>
      <c r="P37" s="147"/>
      <c r="Q37" s="147"/>
      <c r="R37" s="147"/>
      <c r="S37" s="147"/>
      <c r="T37" s="147"/>
      <c r="U37" s="147"/>
    </row>
    <row r="38" spans="1:21" ht="16.5" thickTop="1">
      <c r="A38" s="132"/>
      <c r="B38" s="133"/>
      <c r="C38" s="135" t="s">
        <v>105</v>
      </c>
      <c r="D38" s="784" t="s">
        <v>106</v>
      </c>
      <c r="E38" s="784"/>
      <c r="F38" s="784"/>
      <c r="G38" s="784"/>
      <c r="H38" s="119"/>
      <c r="I38" s="119"/>
      <c r="J38" s="120" t="s">
        <v>107</v>
      </c>
      <c r="K38" s="785">
        <v>24.5</v>
      </c>
      <c r="L38" s="785"/>
      <c r="M38" s="786"/>
      <c r="P38" s="147"/>
      <c r="Q38" s="147"/>
      <c r="R38" s="147"/>
      <c r="S38" s="147"/>
      <c r="T38" s="147"/>
      <c r="U38" s="147"/>
    </row>
    <row r="39" spans="1:21" ht="16.5" thickBot="1">
      <c r="A39" s="125"/>
      <c r="B39" s="126"/>
      <c r="C39" s="141" t="s">
        <v>108</v>
      </c>
      <c r="D39" s="787" t="s">
        <v>109</v>
      </c>
      <c r="E39" s="787"/>
      <c r="F39" s="787"/>
      <c r="G39" s="787"/>
      <c r="H39" s="126"/>
      <c r="I39" s="126"/>
      <c r="J39" s="127" t="s">
        <v>110</v>
      </c>
      <c r="K39" s="787" t="s">
        <v>111</v>
      </c>
      <c r="L39" s="787"/>
      <c r="M39" s="788"/>
      <c r="O39" s="147"/>
      <c r="P39" s="147"/>
      <c r="Q39" s="147"/>
      <c r="R39" s="147"/>
      <c r="S39" s="147"/>
      <c r="T39" s="147"/>
      <c r="U39" s="147"/>
    </row>
    <row r="40" spans="1:21" ht="16.5" thickBot="1">
      <c r="A40" s="148"/>
      <c r="B40" s="148"/>
      <c r="C40" s="148"/>
      <c r="D40" s="772" t="s">
        <v>112</v>
      </c>
      <c r="E40" s="773"/>
      <c r="F40" s="773"/>
      <c r="G40" s="773"/>
      <c r="H40" s="773"/>
      <c r="I40" s="773"/>
      <c r="J40" s="774"/>
      <c r="K40" s="148"/>
      <c r="L40" s="148"/>
      <c r="M40" s="148"/>
      <c r="O40" s="149"/>
      <c r="P40" s="149"/>
      <c r="Q40" s="149"/>
      <c r="R40" s="149"/>
      <c r="S40" s="147"/>
      <c r="T40" s="147"/>
      <c r="U40" s="147"/>
    </row>
    <row r="41" spans="1:21">
      <c r="D41" s="762" t="s">
        <v>113</v>
      </c>
      <c r="E41" s="763"/>
      <c r="F41" s="764"/>
      <c r="G41" s="150" t="s">
        <v>114</v>
      </c>
      <c r="H41" s="151" t="s">
        <v>115</v>
      </c>
      <c r="I41" s="152" t="s">
        <v>116</v>
      </c>
      <c r="J41" s="153" t="s">
        <v>117</v>
      </c>
      <c r="N41" s="149"/>
      <c r="O41" s="149"/>
      <c r="P41" s="149"/>
      <c r="Q41" s="149"/>
      <c r="R41" s="149"/>
      <c r="S41" s="147"/>
      <c r="T41" s="147"/>
      <c r="U41" s="147"/>
    </row>
    <row r="42" spans="1:21">
      <c r="D42" s="765" t="s">
        <v>118</v>
      </c>
      <c r="E42" s="766"/>
      <c r="F42" s="767"/>
      <c r="G42" s="154">
        <v>62.8</v>
      </c>
      <c r="H42" s="155">
        <v>87.1</v>
      </c>
      <c r="I42" s="155">
        <v>113</v>
      </c>
      <c r="J42" s="156" t="s">
        <v>38</v>
      </c>
      <c r="N42" s="149"/>
      <c r="O42" s="149"/>
      <c r="P42" s="149"/>
      <c r="Q42" s="149"/>
      <c r="R42" s="149"/>
      <c r="S42" s="147"/>
      <c r="T42" s="147"/>
      <c r="U42" s="147"/>
    </row>
    <row r="43" spans="1:21">
      <c r="D43" s="765" t="s">
        <v>119</v>
      </c>
      <c r="E43" s="766"/>
      <c r="F43" s="767"/>
      <c r="G43" s="154">
        <v>92</v>
      </c>
      <c r="H43" s="155">
        <v>93.8</v>
      </c>
      <c r="I43" s="155">
        <v>94.6</v>
      </c>
      <c r="J43" s="156" t="s">
        <v>38</v>
      </c>
      <c r="N43" s="149"/>
      <c r="O43" s="149"/>
      <c r="P43" s="149"/>
      <c r="Q43" s="149"/>
      <c r="R43" s="149"/>
      <c r="S43" s="147"/>
      <c r="T43" s="147"/>
      <c r="U43" s="147"/>
    </row>
    <row r="44" spans="1:21">
      <c r="D44" s="765" t="s">
        <v>120</v>
      </c>
      <c r="E44" s="766"/>
      <c r="F44" s="767"/>
      <c r="G44" s="154">
        <v>83.8</v>
      </c>
      <c r="H44" s="155">
        <v>88.9</v>
      </c>
      <c r="I44" s="155">
        <v>90.7</v>
      </c>
      <c r="J44" s="156" t="s">
        <v>38</v>
      </c>
      <c r="N44" s="149"/>
      <c r="O44" s="149"/>
      <c r="P44" s="149"/>
      <c r="Q44" s="149"/>
      <c r="R44" s="149"/>
      <c r="S44" s="147"/>
      <c r="T44" s="147"/>
      <c r="U44" s="147"/>
    </row>
    <row r="45" spans="1:21" ht="16.5" thickBot="1">
      <c r="D45" s="768" t="s">
        <v>121</v>
      </c>
      <c r="E45" s="769"/>
      <c r="F45" s="770"/>
      <c r="G45" s="157" t="s">
        <v>38</v>
      </c>
      <c r="H45" s="158" t="s">
        <v>38</v>
      </c>
      <c r="I45" s="158" t="s">
        <v>38</v>
      </c>
      <c r="J45" s="159" t="s">
        <v>38</v>
      </c>
      <c r="O45" s="147"/>
      <c r="P45" s="147"/>
      <c r="Q45" s="147"/>
      <c r="R45" s="147"/>
      <c r="S45" s="147"/>
      <c r="T45" s="147"/>
      <c r="U45" s="147"/>
    </row>
    <row r="46" spans="1:21">
      <c r="A46" s="771" t="s">
        <v>122</v>
      </c>
      <c r="B46" s="771"/>
      <c r="C46" s="771"/>
      <c r="D46" s="771"/>
      <c r="E46" s="771"/>
      <c r="F46" s="771"/>
      <c r="G46" s="771"/>
      <c r="H46" s="771"/>
      <c r="I46" s="771"/>
      <c r="J46" s="771"/>
      <c r="K46" s="771"/>
      <c r="L46" s="771"/>
      <c r="M46" s="771"/>
      <c r="P46" s="147"/>
      <c r="Q46" s="147"/>
      <c r="R46" s="147"/>
      <c r="S46" s="147"/>
      <c r="T46" s="147"/>
    </row>
    <row r="48" spans="1:21" ht="18">
      <c r="J48" s="160" t="s">
        <v>66</v>
      </c>
      <c r="K48" s="760" t="s">
        <v>67</v>
      </c>
      <c r="L48" s="760"/>
      <c r="M48" s="760"/>
    </row>
    <row r="49" spans="1:13">
      <c r="K49" s="161"/>
      <c r="L49" s="161"/>
      <c r="M49" s="161"/>
    </row>
    <row r="50" spans="1:13">
      <c r="J50" s="160" t="s">
        <v>68</v>
      </c>
      <c r="K50" s="761">
        <v>45943</v>
      </c>
      <c r="L50" s="761"/>
      <c r="M50" s="761"/>
    </row>
    <row r="51" spans="1:13">
      <c r="A51" s="162"/>
    </row>
    <row r="52" spans="1:13">
      <c r="A52" s="163"/>
    </row>
    <row r="53" spans="1:13">
      <c r="A53" s="164" t="s">
        <v>123</v>
      </c>
    </row>
    <row r="54" spans="1:13">
      <c r="A54" s="165"/>
    </row>
  </sheetData>
  <mergeCells count="38">
    <mergeCell ref="K27:M27"/>
    <mergeCell ref="L1:M1"/>
    <mergeCell ref="L3:M3"/>
    <mergeCell ref="L4:M4"/>
    <mergeCell ref="L5:M5"/>
    <mergeCell ref="L6:M6"/>
    <mergeCell ref="L7:M7"/>
    <mergeCell ref="A20:M20"/>
    <mergeCell ref="A24:F24"/>
    <mergeCell ref="H24:M24"/>
    <mergeCell ref="K25:M25"/>
    <mergeCell ref="K26:M26"/>
    <mergeCell ref="K28:M28"/>
    <mergeCell ref="A30:M30"/>
    <mergeCell ref="A31:F31"/>
    <mergeCell ref="H31:M31"/>
    <mergeCell ref="D32:F32"/>
    <mergeCell ref="K32:M32"/>
    <mergeCell ref="D40:J40"/>
    <mergeCell ref="D33:F33"/>
    <mergeCell ref="K33:M33"/>
    <mergeCell ref="D34:F34"/>
    <mergeCell ref="K34:M34"/>
    <mergeCell ref="D35:F35"/>
    <mergeCell ref="K35:M35"/>
    <mergeCell ref="A37:M37"/>
    <mergeCell ref="D38:G38"/>
    <mergeCell ref="K38:M38"/>
    <mergeCell ref="D39:G39"/>
    <mergeCell ref="K39:M39"/>
    <mergeCell ref="K48:M48"/>
    <mergeCell ref="K50:M50"/>
    <mergeCell ref="D41:F41"/>
    <mergeCell ref="D42:F42"/>
    <mergeCell ref="D43:F43"/>
    <mergeCell ref="D44:F44"/>
    <mergeCell ref="D45:F45"/>
    <mergeCell ref="A46:M46"/>
  </mergeCells>
  <dataValidations count="3">
    <dataValidation type="list" errorStyle="warning" allowBlank="1" showInputMessage="1" showErrorMessage="1" error="You should choose from the list!" prompt="Choose Enclosure Type" sqref="F14" xr:uid="{9665C77D-18C0-4859-B659-3A3561A2EFF2}">
      <formula1>$A$60:$A$62</formula1>
    </dataValidation>
    <dataValidation type="list" allowBlank="1" showInputMessage="1" showErrorMessage="1" prompt="Pick from list" sqref="F15" xr:uid="{7244789B-EBE2-4C6D-AEFF-0CE65F00F3FA}">
      <formula1>$D$60:$D$61</formula1>
    </dataValidation>
    <dataValidation type="list" allowBlank="1" showInputMessage="1" showErrorMessage="1" prompt="Pick one!" sqref="I15" xr:uid="{C4157EC4-E83A-404D-8A7D-6C8230C5DDBD}">
      <formula1>$E$60:$E$62</formula1>
    </dataValidation>
  </dataValidations>
  <printOptions horizontalCentered="1" gridLinesSet="0"/>
  <pageMargins left="0.5" right="0.5" top="0.5" bottom="0.5" header="0.5" footer="0.5"/>
  <pageSetup scale="89" orientation="portrait" r:id="rId1"/>
  <headerFooter alignWithMargins="0">
    <oddFooter>&amp;L&amp;"Univers (WN),Regular"&amp;7N:\ELECTRIC\PERFORMA&amp;C&amp;"Univers (WN),Regular"&amp;7&amp;F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EE547-D1FB-4F52-8A47-36EFE2B0324B}">
  <sheetPr>
    <pageSetUpPr fitToPage="1"/>
  </sheetPr>
  <dimension ref="A1:L61"/>
  <sheetViews>
    <sheetView workbookViewId="0">
      <selection activeCell="K42" sqref="K42:M42"/>
    </sheetView>
  </sheetViews>
  <sheetFormatPr defaultRowHeight="12.75"/>
  <cols>
    <col min="1" max="1" width="13.796875" style="147" customWidth="1"/>
    <col min="2" max="7" width="7.5" style="147" customWidth="1"/>
    <col min="8" max="256" width="8.796875" style="147"/>
    <col min="257" max="257" width="13.796875" style="147" customWidth="1"/>
    <col min="258" max="263" width="7.5" style="147" customWidth="1"/>
    <col min="264" max="512" width="8.796875" style="147"/>
    <col min="513" max="513" width="13.796875" style="147" customWidth="1"/>
    <col min="514" max="519" width="7.5" style="147" customWidth="1"/>
    <col min="520" max="768" width="8.796875" style="147"/>
    <col min="769" max="769" width="13.796875" style="147" customWidth="1"/>
    <col min="770" max="775" width="7.5" style="147" customWidth="1"/>
    <col min="776" max="1024" width="8.796875" style="147"/>
    <col min="1025" max="1025" width="13.796875" style="147" customWidth="1"/>
    <col min="1026" max="1031" width="7.5" style="147" customWidth="1"/>
    <col min="1032" max="1280" width="8.796875" style="147"/>
    <col min="1281" max="1281" width="13.796875" style="147" customWidth="1"/>
    <col min="1282" max="1287" width="7.5" style="147" customWidth="1"/>
    <col min="1288" max="1536" width="8.796875" style="147"/>
    <col min="1537" max="1537" width="13.796875" style="147" customWidth="1"/>
    <col min="1538" max="1543" width="7.5" style="147" customWidth="1"/>
    <col min="1544" max="1792" width="8.796875" style="147"/>
    <col min="1793" max="1793" width="13.796875" style="147" customWidth="1"/>
    <col min="1794" max="1799" width="7.5" style="147" customWidth="1"/>
    <col min="1800" max="2048" width="8.796875" style="147"/>
    <col min="2049" max="2049" width="13.796875" style="147" customWidth="1"/>
    <col min="2050" max="2055" width="7.5" style="147" customWidth="1"/>
    <col min="2056" max="2304" width="8.796875" style="147"/>
    <col min="2305" max="2305" width="13.796875" style="147" customWidth="1"/>
    <col min="2306" max="2311" width="7.5" style="147" customWidth="1"/>
    <col min="2312" max="2560" width="8.796875" style="147"/>
    <col min="2561" max="2561" width="13.796875" style="147" customWidth="1"/>
    <col min="2562" max="2567" width="7.5" style="147" customWidth="1"/>
    <col min="2568" max="2816" width="8.796875" style="147"/>
    <col min="2817" max="2817" width="13.796875" style="147" customWidth="1"/>
    <col min="2818" max="2823" width="7.5" style="147" customWidth="1"/>
    <col min="2824" max="3072" width="8.796875" style="147"/>
    <col min="3073" max="3073" width="13.796875" style="147" customWidth="1"/>
    <col min="3074" max="3079" width="7.5" style="147" customWidth="1"/>
    <col min="3080" max="3328" width="8.796875" style="147"/>
    <col min="3329" max="3329" width="13.796875" style="147" customWidth="1"/>
    <col min="3330" max="3335" width="7.5" style="147" customWidth="1"/>
    <col min="3336" max="3584" width="8.796875" style="147"/>
    <col min="3585" max="3585" width="13.796875" style="147" customWidth="1"/>
    <col min="3586" max="3591" width="7.5" style="147" customWidth="1"/>
    <col min="3592" max="3840" width="8.796875" style="147"/>
    <col min="3841" max="3841" width="13.796875" style="147" customWidth="1"/>
    <col min="3842" max="3847" width="7.5" style="147" customWidth="1"/>
    <col min="3848" max="4096" width="8.796875" style="147"/>
    <col min="4097" max="4097" width="13.796875" style="147" customWidth="1"/>
    <col min="4098" max="4103" width="7.5" style="147" customWidth="1"/>
    <col min="4104" max="4352" width="8.796875" style="147"/>
    <col min="4353" max="4353" width="13.796875" style="147" customWidth="1"/>
    <col min="4354" max="4359" width="7.5" style="147" customWidth="1"/>
    <col min="4360" max="4608" width="8.796875" style="147"/>
    <col min="4609" max="4609" width="13.796875" style="147" customWidth="1"/>
    <col min="4610" max="4615" width="7.5" style="147" customWidth="1"/>
    <col min="4616" max="4864" width="8.796875" style="147"/>
    <col min="4865" max="4865" width="13.796875" style="147" customWidth="1"/>
    <col min="4866" max="4871" width="7.5" style="147" customWidth="1"/>
    <col min="4872" max="5120" width="8.796875" style="147"/>
    <col min="5121" max="5121" width="13.796875" style="147" customWidth="1"/>
    <col min="5122" max="5127" width="7.5" style="147" customWidth="1"/>
    <col min="5128" max="5376" width="8.796875" style="147"/>
    <col min="5377" max="5377" width="13.796875" style="147" customWidth="1"/>
    <col min="5378" max="5383" width="7.5" style="147" customWidth="1"/>
    <col min="5384" max="5632" width="8.796875" style="147"/>
    <col min="5633" max="5633" width="13.796875" style="147" customWidth="1"/>
    <col min="5634" max="5639" width="7.5" style="147" customWidth="1"/>
    <col min="5640" max="5888" width="8.796875" style="147"/>
    <col min="5889" max="5889" width="13.796875" style="147" customWidth="1"/>
    <col min="5890" max="5895" width="7.5" style="147" customWidth="1"/>
    <col min="5896" max="6144" width="8.796875" style="147"/>
    <col min="6145" max="6145" width="13.796875" style="147" customWidth="1"/>
    <col min="6146" max="6151" width="7.5" style="147" customWidth="1"/>
    <col min="6152" max="6400" width="8.796875" style="147"/>
    <col min="6401" max="6401" width="13.796875" style="147" customWidth="1"/>
    <col min="6402" max="6407" width="7.5" style="147" customWidth="1"/>
    <col min="6408" max="6656" width="8.796875" style="147"/>
    <col min="6657" max="6657" width="13.796875" style="147" customWidth="1"/>
    <col min="6658" max="6663" width="7.5" style="147" customWidth="1"/>
    <col min="6664" max="6912" width="8.796875" style="147"/>
    <col min="6913" max="6913" width="13.796875" style="147" customWidth="1"/>
    <col min="6914" max="6919" width="7.5" style="147" customWidth="1"/>
    <col min="6920" max="7168" width="8.796875" style="147"/>
    <col min="7169" max="7169" width="13.796875" style="147" customWidth="1"/>
    <col min="7170" max="7175" width="7.5" style="147" customWidth="1"/>
    <col min="7176" max="7424" width="8.796875" style="147"/>
    <col min="7425" max="7425" width="13.796875" style="147" customWidth="1"/>
    <col min="7426" max="7431" width="7.5" style="147" customWidth="1"/>
    <col min="7432" max="7680" width="8.796875" style="147"/>
    <col min="7681" max="7681" width="13.796875" style="147" customWidth="1"/>
    <col min="7682" max="7687" width="7.5" style="147" customWidth="1"/>
    <col min="7688" max="7936" width="8.796875" style="147"/>
    <col min="7937" max="7937" width="13.796875" style="147" customWidth="1"/>
    <col min="7938" max="7943" width="7.5" style="147" customWidth="1"/>
    <col min="7944" max="8192" width="8.796875" style="147"/>
    <col min="8193" max="8193" width="13.796875" style="147" customWidth="1"/>
    <col min="8194" max="8199" width="7.5" style="147" customWidth="1"/>
    <col min="8200" max="8448" width="8.796875" style="147"/>
    <col min="8449" max="8449" width="13.796875" style="147" customWidth="1"/>
    <col min="8450" max="8455" width="7.5" style="147" customWidth="1"/>
    <col min="8456" max="8704" width="8.796875" style="147"/>
    <col min="8705" max="8705" width="13.796875" style="147" customWidth="1"/>
    <col min="8706" max="8711" width="7.5" style="147" customWidth="1"/>
    <col min="8712" max="8960" width="8.796875" style="147"/>
    <col min="8961" max="8961" width="13.796875" style="147" customWidth="1"/>
    <col min="8962" max="8967" width="7.5" style="147" customWidth="1"/>
    <col min="8968" max="9216" width="8.796875" style="147"/>
    <col min="9217" max="9217" width="13.796875" style="147" customWidth="1"/>
    <col min="9218" max="9223" width="7.5" style="147" customWidth="1"/>
    <col min="9224" max="9472" width="8.796875" style="147"/>
    <col min="9473" max="9473" width="13.796875" style="147" customWidth="1"/>
    <col min="9474" max="9479" width="7.5" style="147" customWidth="1"/>
    <col min="9480" max="9728" width="8.796875" style="147"/>
    <col min="9729" max="9729" width="13.796875" style="147" customWidth="1"/>
    <col min="9730" max="9735" width="7.5" style="147" customWidth="1"/>
    <col min="9736" max="9984" width="8.796875" style="147"/>
    <col min="9985" max="9985" width="13.796875" style="147" customWidth="1"/>
    <col min="9986" max="9991" width="7.5" style="147" customWidth="1"/>
    <col min="9992" max="10240" width="8.796875" style="147"/>
    <col min="10241" max="10241" width="13.796875" style="147" customWidth="1"/>
    <col min="10242" max="10247" width="7.5" style="147" customWidth="1"/>
    <col min="10248" max="10496" width="8.796875" style="147"/>
    <col min="10497" max="10497" width="13.796875" style="147" customWidth="1"/>
    <col min="10498" max="10503" width="7.5" style="147" customWidth="1"/>
    <col min="10504" max="10752" width="8.796875" style="147"/>
    <col min="10753" max="10753" width="13.796875" style="147" customWidth="1"/>
    <col min="10754" max="10759" width="7.5" style="147" customWidth="1"/>
    <col min="10760" max="11008" width="8.796875" style="147"/>
    <col min="11009" max="11009" width="13.796875" style="147" customWidth="1"/>
    <col min="11010" max="11015" width="7.5" style="147" customWidth="1"/>
    <col min="11016" max="11264" width="8.796875" style="147"/>
    <col min="11265" max="11265" width="13.796875" style="147" customWidth="1"/>
    <col min="11266" max="11271" width="7.5" style="147" customWidth="1"/>
    <col min="11272" max="11520" width="8.796875" style="147"/>
    <col min="11521" max="11521" width="13.796875" style="147" customWidth="1"/>
    <col min="11522" max="11527" width="7.5" style="147" customWidth="1"/>
    <col min="11528" max="11776" width="8.796875" style="147"/>
    <col min="11777" max="11777" width="13.796875" style="147" customWidth="1"/>
    <col min="11778" max="11783" width="7.5" style="147" customWidth="1"/>
    <col min="11784" max="12032" width="8.796875" style="147"/>
    <col min="12033" max="12033" width="13.796875" style="147" customWidth="1"/>
    <col min="12034" max="12039" width="7.5" style="147" customWidth="1"/>
    <col min="12040" max="12288" width="8.796875" style="147"/>
    <col min="12289" max="12289" width="13.796875" style="147" customWidth="1"/>
    <col min="12290" max="12295" width="7.5" style="147" customWidth="1"/>
    <col min="12296" max="12544" width="8.796875" style="147"/>
    <col min="12545" max="12545" width="13.796875" style="147" customWidth="1"/>
    <col min="12546" max="12551" width="7.5" style="147" customWidth="1"/>
    <col min="12552" max="12800" width="8.796875" style="147"/>
    <col min="12801" max="12801" width="13.796875" style="147" customWidth="1"/>
    <col min="12802" max="12807" width="7.5" style="147" customWidth="1"/>
    <col min="12808" max="13056" width="8.796875" style="147"/>
    <col min="13057" max="13057" width="13.796875" style="147" customWidth="1"/>
    <col min="13058" max="13063" width="7.5" style="147" customWidth="1"/>
    <col min="13064" max="13312" width="8.796875" style="147"/>
    <col min="13313" max="13313" width="13.796875" style="147" customWidth="1"/>
    <col min="13314" max="13319" width="7.5" style="147" customWidth="1"/>
    <col min="13320" max="13568" width="8.796875" style="147"/>
    <col min="13569" max="13569" width="13.796875" style="147" customWidth="1"/>
    <col min="13570" max="13575" width="7.5" style="147" customWidth="1"/>
    <col min="13576" max="13824" width="8.796875" style="147"/>
    <col min="13825" max="13825" width="13.796875" style="147" customWidth="1"/>
    <col min="13826" max="13831" width="7.5" style="147" customWidth="1"/>
    <col min="13832" max="14080" width="8.796875" style="147"/>
    <col min="14081" max="14081" width="13.796875" style="147" customWidth="1"/>
    <col min="14082" max="14087" width="7.5" style="147" customWidth="1"/>
    <col min="14088" max="14336" width="8.796875" style="147"/>
    <col min="14337" max="14337" width="13.796875" style="147" customWidth="1"/>
    <col min="14338" max="14343" width="7.5" style="147" customWidth="1"/>
    <col min="14344" max="14592" width="8.796875" style="147"/>
    <col min="14593" max="14593" width="13.796875" style="147" customWidth="1"/>
    <col min="14594" max="14599" width="7.5" style="147" customWidth="1"/>
    <col min="14600" max="14848" width="8.796875" style="147"/>
    <col min="14849" max="14849" width="13.796875" style="147" customWidth="1"/>
    <col min="14850" max="14855" width="7.5" style="147" customWidth="1"/>
    <col min="14856" max="15104" width="8.796875" style="147"/>
    <col min="15105" max="15105" width="13.796875" style="147" customWidth="1"/>
    <col min="15106" max="15111" width="7.5" style="147" customWidth="1"/>
    <col min="15112" max="15360" width="8.796875" style="147"/>
    <col min="15361" max="15361" width="13.796875" style="147" customWidth="1"/>
    <col min="15362" max="15367" width="7.5" style="147" customWidth="1"/>
    <col min="15368" max="15616" width="8.796875" style="147"/>
    <col min="15617" max="15617" width="13.796875" style="147" customWidth="1"/>
    <col min="15618" max="15623" width="7.5" style="147" customWidth="1"/>
    <col min="15624" max="15872" width="8.796875" style="147"/>
    <col min="15873" max="15873" width="13.796875" style="147" customWidth="1"/>
    <col min="15874" max="15879" width="7.5" style="147" customWidth="1"/>
    <col min="15880" max="16128" width="8.796875" style="147"/>
    <col min="16129" max="16129" width="13.796875" style="147" customWidth="1"/>
    <col min="16130" max="16135" width="7.5" style="147" customWidth="1"/>
    <col min="16136" max="16384" width="8.796875" style="147"/>
  </cols>
  <sheetData>
    <row r="1" spans="1:12" ht="21" customHeight="1">
      <c r="A1" s="598" t="s">
        <v>605</v>
      </c>
      <c r="B1" s="823" t="s">
        <v>606</v>
      </c>
      <c r="C1" s="823"/>
      <c r="D1" s="823"/>
      <c r="E1" s="823"/>
      <c r="F1" s="823"/>
      <c r="G1" s="823"/>
    </row>
    <row r="2" spans="1:12" ht="15" customHeight="1"/>
    <row r="3" spans="1:12" ht="20.25">
      <c r="A3" s="599" t="s">
        <v>607</v>
      </c>
    </row>
    <row r="4" spans="1:12" ht="12" customHeight="1">
      <c r="A4" s="600"/>
      <c r="B4" s="600"/>
      <c r="C4" s="600"/>
      <c r="D4" s="600" t="s">
        <v>608</v>
      </c>
      <c r="E4" s="600"/>
      <c r="F4" s="600"/>
      <c r="G4" s="600"/>
      <c r="H4" s="600"/>
      <c r="I4" s="600"/>
      <c r="J4" s="600"/>
      <c r="K4" s="600"/>
      <c r="L4" s="600"/>
    </row>
    <row r="5" spans="1:12" ht="15.6" customHeight="1">
      <c r="A5" s="601" t="s">
        <v>135</v>
      </c>
      <c r="B5" s="601" t="s">
        <v>609</v>
      </c>
      <c r="C5" s="601" t="s">
        <v>610</v>
      </c>
      <c r="D5" s="601" t="s">
        <v>611</v>
      </c>
      <c r="E5" s="601" t="s">
        <v>612</v>
      </c>
      <c r="F5" s="601" t="s">
        <v>613</v>
      </c>
      <c r="G5" s="601" t="s">
        <v>614</v>
      </c>
      <c r="H5" s="600"/>
      <c r="I5" s="600"/>
      <c r="J5" s="600"/>
      <c r="K5" s="600"/>
      <c r="L5" s="600"/>
    </row>
    <row r="6" spans="1:12" ht="15.6" customHeight="1">
      <c r="A6" s="602" t="s">
        <v>615</v>
      </c>
      <c r="B6" s="602" t="s">
        <v>390</v>
      </c>
      <c r="C6" s="602" t="s">
        <v>390</v>
      </c>
      <c r="D6" s="602" t="s">
        <v>616</v>
      </c>
      <c r="E6" s="602" t="s">
        <v>342</v>
      </c>
      <c r="F6" s="602" t="s">
        <v>617</v>
      </c>
      <c r="G6" s="602" t="s">
        <v>617</v>
      </c>
      <c r="H6" s="600"/>
      <c r="I6" s="600"/>
      <c r="J6" s="600"/>
      <c r="K6" s="600"/>
      <c r="L6" s="600"/>
    </row>
    <row r="7" spans="1:12" ht="15.95" customHeight="1">
      <c r="A7" s="578" t="s">
        <v>618</v>
      </c>
      <c r="B7" s="578" t="s">
        <v>619</v>
      </c>
      <c r="C7" s="578" t="s">
        <v>620</v>
      </c>
      <c r="D7" s="578" t="s">
        <v>621</v>
      </c>
      <c r="E7" s="578" t="s">
        <v>622</v>
      </c>
      <c r="F7" s="578" t="s">
        <v>623</v>
      </c>
      <c r="G7" s="578" t="s">
        <v>624</v>
      </c>
      <c r="H7" s="600"/>
      <c r="I7" s="600"/>
      <c r="J7" s="600"/>
      <c r="K7" s="600"/>
      <c r="L7" s="600"/>
    </row>
    <row r="8" spans="1:12" ht="15.95" customHeight="1">
      <c r="A8" s="578" t="s">
        <v>625</v>
      </c>
      <c r="B8" s="578" t="s">
        <v>619</v>
      </c>
      <c r="C8" s="578" t="s">
        <v>626</v>
      </c>
      <c r="D8" s="578" t="s">
        <v>627</v>
      </c>
      <c r="E8" s="578" t="s">
        <v>628</v>
      </c>
      <c r="F8" s="578" t="s">
        <v>629</v>
      </c>
      <c r="G8" s="578" t="s">
        <v>630</v>
      </c>
      <c r="H8" s="600"/>
      <c r="I8" s="600"/>
      <c r="J8" s="600"/>
      <c r="K8" s="600"/>
      <c r="L8" s="600"/>
    </row>
    <row r="9" spans="1:12" ht="15.95" customHeight="1">
      <c r="A9" s="578" t="s">
        <v>631</v>
      </c>
      <c r="B9" s="578" t="s">
        <v>619</v>
      </c>
      <c r="C9" s="578" t="s">
        <v>632</v>
      </c>
      <c r="D9" s="578" t="s">
        <v>621</v>
      </c>
      <c r="E9" s="578" t="s">
        <v>633</v>
      </c>
      <c r="F9" s="578" t="s">
        <v>629</v>
      </c>
      <c r="G9" s="578" t="s">
        <v>634</v>
      </c>
      <c r="H9" s="600"/>
      <c r="I9" s="600"/>
      <c r="J9" s="600"/>
      <c r="K9" s="600"/>
      <c r="L9" s="600"/>
    </row>
    <row r="10" spans="1:12" ht="15.95" customHeight="1">
      <c r="A10" s="578" t="s">
        <v>635</v>
      </c>
      <c r="B10" s="578" t="s">
        <v>636</v>
      </c>
      <c r="C10" s="578" t="s">
        <v>637</v>
      </c>
      <c r="D10" s="578" t="s">
        <v>638</v>
      </c>
      <c r="E10" s="578" t="s">
        <v>639</v>
      </c>
      <c r="F10" s="578" t="s">
        <v>640</v>
      </c>
      <c r="G10" s="578" t="s">
        <v>641</v>
      </c>
      <c r="H10" s="600"/>
      <c r="I10" s="600"/>
      <c r="J10" s="600"/>
      <c r="K10" s="600"/>
      <c r="L10" s="600"/>
    </row>
    <row r="11" spans="1:12" ht="15.95" customHeight="1">
      <c r="A11" s="578" t="s">
        <v>642</v>
      </c>
      <c r="B11" s="578" t="s">
        <v>636</v>
      </c>
      <c r="C11" s="578" t="s">
        <v>643</v>
      </c>
      <c r="D11" s="578" t="s">
        <v>644</v>
      </c>
      <c r="E11" s="578" t="s">
        <v>645</v>
      </c>
      <c r="F11" s="578" t="s">
        <v>646</v>
      </c>
      <c r="G11" s="578" t="s">
        <v>647</v>
      </c>
      <c r="H11" s="600"/>
      <c r="I11" s="600"/>
      <c r="J11" s="600"/>
      <c r="K11" s="600"/>
      <c r="L11" s="600"/>
    </row>
    <row r="12" spans="1:12" ht="15.95" customHeight="1">
      <c r="A12" s="578" t="s">
        <v>648</v>
      </c>
      <c r="B12" s="578" t="s">
        <v>636</v>
      </c>
      <c r="C12" s="578" t="s">
        <v>649</v>
      </c>
      <c r="D12" s="578" t="s">
        <v>650</v>
      </c>
      <c r="E12" s="578" t="s">
        <v>651</v>
      </c>
      <c r="F12" s="578" t="s">
        <v>652</v>
      </c>
      <c r="G12" s="578" t="s">
        <v>653</v>
      </c>
      <c r="H12" s="600"/>
      <c r="I12" s="600"/>
      <c r="J12" s="600"/>
      <c r="K12" s="600"/>
      <c r="L12" s="600"/>
    </row>
    <row r="13" spans="1:12" ht="15.95" customHeight="1">
      <c r="A13" s="578" t="s">
        <v>654</v>
      </c>
      <c r="B13" s="578" t="s">
        <v>655</v>
      </c>
      <c r="C13" s="578" t="s">
        <v>656</v>
      </c>
      <c r="D13" s="578" t="s">
        <v>657</v>
      </c>
      <c r="E13" s="578" t="s">
        <v>658</v>
      </c>
      <c r="F13" s="578" t="s">
        <v>659</v>
      </c>
      <c r="G13" s="578" t="s">
        <v>660</v>
      </c>
      <c r="H13" s="600"/>
      <c r="I13" s="600"/>
      <c r="J13" s="600"/>
      <c r="K13" s="600"/>
      <c r="L13" s="600"/>
    </row>
    <row r="14" spans="1:12" ht="15.95" customHeight="1">
      <c r="A14" s="578" t="s">
        <v>661</v>
      </c>
      <c r="B14" s="578" t="s">
        <v>662</v>
      </c>
      <c r="C14" s="578" t="s">
        <v>663</v>
      </c>
      <c r="D14" s="578" t="s">
        <v>664</v>
      </c>
      <c r="E14" s="578" t="s">
        <v>665</v>
      </c>
      <c r="F14" s="578" t="s">
        <v>666</v>
      </c>
      <c r="G14" s="578" t="s">
        <v>667</v>
      </c>
      <c r="H14" s="600"/>
      <c r="I14" s="600"/>
      <c r="J14" s="600"/>
      <c r="K14" s="600"/>
      <c r="L14" s="600"/>
    </row>
    <row r="15" spans="1:12" ht="15.95" customHeight="1">
      <c r="A15" s="578" t="s">
        <v>668</v>
      </c>
      <c r="B15" s="578" t="s">
        <v>669</v>
      </c>
      <c r="C15" s="578" t="s">
        <v>670</v>
      </c>
      <c r="D15" s="578" t="s">
        <v>671</v>
      </c>
      <c r="E15" s="578" t="s">
        <v>672</v>
      </c>
      <c r="F15" s="578" t="s">
        <v>673</v>
      </c>
      <c r="G15" s="578" t="s">
        <v>674</v>
      </c>
      <c r="H15" s="600"/>
      <c r="I15" s="600"/>
      <c r="J15" s="600"/>
      <c r="K15" s="600"/>
      <c r="L15" s="600"/>
    </row>
    <row r="16" spans="1:12" ht="15.95" customHeight="1">
      <c r="A16" s="578" t="s">
        <v>675</v>
      </c>
      <c r="B16" s="578" t="s">
        <v>676</v>
      </c>
      <c r="C16" s="578" t="s">
        <v>677</v>
      </c>
      <c r="D16" s="578" t="s">
        <v>678</v>
      </c>
      <c r="E16" s="578" t="s">
        <v>679</v>
      </c>
      <c r="F16" s="578" t="s">
        <v>680</v>
      </c>
      <c r="G16" s="578" t="s">
        <v>623</v>
      </c>
      <c r="H16" s="600"/>
      <c r="I16" s="600"/>
      <c r="J16" s="600"/>
      <c r="K16" s="600"/>
      <c r="L16" s="600"/>
    </row>
    <row r="17" spans="1:12" ht="15.95" customHeight="1">
      <c r="A17" s="578" t="s">
        <v>681</v>
      </c>
      <c r="B17" s="578" t="s">
        <v>682</v>
      </c>
      <c r="C17" s="578" t="s">
        <v>683</v>
      </c>
      <c r="D17" s="578" t="s">
        <v>684</v>
      </c>
      <c r="E17" s="578" t="s">
        <v>685</v>
      </c>
      <c r="F17" s="578" t="s">
        <v>686</v>
      </c>
      <c r="G17" s="578" t="s">
        <v>687</v>
      </c>
      <c r="H17" s="600"/>
      <c r="I17" s="600"/>
      <c r="J17" s="600"/>
      <c r="K17" s="600"/>
      <c r="L17" s="600"/>
    </row>
    <row r="18" spans="1:12" ht="15.95" customHeight="1">
      <c r="A18" s="578" t="s">
        <v>688</v>
      </c>
      <c r="B18" s="578" t="s">
        <v>689</v>
      </c>
      <c r="C18" s="578" t="s">
        <v>690</v>
      </c>
      <c r="D18" s="578" t="s">
        <v>691</v>
      </c>
      <c r="E18" s="578" t="s">
        <v>692</v>
      </c>
      <c r="F18" s="578" t="s">
        <v>693</v>
      </c>
      <c r="G18" s="578" t="s">
        <v>694</v>
      </c>
      <c r="H18" s="600"/>
      <c r="I18" s="600"/>
      <c r="J18" s="600"/>
      <c r="K18" s="600"/>
      <c r="L18" s="600"/>
    </row>
    <row r="19" spans="1:12" ht="15.95" customHeight="1">
      <c r="A19" s="578" t="s">
        <v>695</v>
      </c>
      <c r="B19" s="578" t="s">
        <v>696</v>
      </c>
      <c r="C19" s="578" t="s">
        <v>697</v>
      </c>
      <c r="D19" s="578" t="s">
        <v>698</v>
      </c>
      <c r="E19" s="578" t="s">
        <v>699</v>
      </c>
      <c r="F19" s="578" t="s">
        <v>700</v>
      </c>
      <c r="G19" s="578" t="s">
        <v>701</v>
      </c>
      <c r="H19" s="600"/>
      <c r="I19" s="600"/>
      <c r="J19" s="600"/>
      <c r="K19" s="600"/>
      <c r="L19" s="600"/>
    </row>
    <row r="20" spans="1:12" ht="15.75">
      <c r="A20" s="600"/>
      <c r="B20" s="600"/>
      <c r="C20" s="600"/>
      <c r="D20" s="600"/>
      <c r="E20" s="600"/>
      <c r="F20" s="600"/>
      <c r="G20" s="600"/>
      <c r="H20" s="600"/>
      <c r="I20" s="600"/>
      <c r="J20" s="600"/>
      <c r="K20" s="600"/>
      <c r="L20" s="600"/>
    </row>
    <row r="21" spans="1:12" ht="15.75">
      <c r="A21" s="600"/>
      <c r="B21" s="600"/>
      <c r="C21" s="600"/>
      <c r="D21" s="824" t="s">
        <v>702</v>
      </c>
      <c r="E21" s="820"/>
      <c r="F21" s="820"/>
      <c r="G21" s="821"/>
      <c r="H21" s="600"/>
      <c r="I21" s="600"/>
      <c r="J21" s="600"/>
      <c r="K21" s="600"/>
      <c r="L21" s="600"/>
    </row>
    <row r="22" spans="1:12" ht="17.25" customHeight="1">
      <c r="A22" s="600"/>
      <c r="B22" s="822" t="s">
        <v>703</v>
      </c>
      <c r="C22" s="822"/>
      <c r="D22" s="822" t="s">
        <v>704</v>
      </c>
      <c r="E22" s="822"/>
      <c r="F22" s="822" t="s">
        <v>705</v>
      </c>
      <c r="G22" s="822"/>
      <c r="H22" s="600"/>
      <c r="I22" s="600"/>
      <c r="J22" s="600"/>
      <c r="K22" s="600"/>
      <c r="L22" s="600"/>
    </row>
    <row r="23" spans="1:12" ht="15.75">
      <c r="A23" s="604" t="s">
        <v>706</v>
      </c>
      <c r="B23" s="818" t="s">
        <v>707</v>
      </c>
      <c r="C23" s="818"/>
      <c r="D23" s="818" t="s">
        <v>708</v>
      </c>
      <c r="E23" s="818"/>
      <c r="F23" s="818" t="s">
        <v>709</v>
      </c>
      <c r="G23" s="818"/>
      <c r="H23" s="600"/>
      <c r="I23" s="600"/>
      <c r="J23" s="600"/>
      <c r="K23" s="600"/>
      <c r="L23" s="600"/>
    </row>
    <row r="24" spans="1:12" ht="18" customHeight="1">
      <c r="A24" s="604" t="s">
        <v>710</v>
      </c>
      <c r="B24" s="818" t="s">
        <v>711</v>
      </c>
      <c r="C24" s="818"/>
      <c r="D24" s="818" t="s">
        <v>712</v>
      </c>
      <c r="E24" s="818"/>
      <c r="F24" s="818" t="s">
        <v>713</v>
      </c>
      <c r="G24" s="818"/>
      <c r="H24" s="600"/>
      <c r="I24" s="600"/>
      <c r="J24" s="600"/>
      <c r="K24" s="600"/>
      <c r="L24" s="600"/>
    </row>
    <row r="25" spans="1:12" ht="15.75">
      <c r="A25" s="604" t="s">
        <v>714</v>
      </c>
      <c r="B25" s="818" t="s">
        <v>715</v>
      </c>
      <c r="C25" s="818"/>
      <c r="D25" s="818" t="s">
        <v>716</v>
      </c>
      <c r="E25" s="818"/>
      <c r="F25" s="818" t="s">
        <v>717</v>
      </c>
      <c r="G25" s="818"/>
      <c r="H25" s="600"/>
      <c r="I25" s="600"/>
      <c r="J25" s="600"/>
      <c r="K25" s="600"/>
      <c r="L25" s="600"/>
    </row>
    <row r="26" spans="1:12" ht="15.75">
      <c r="A26" s="600"/>
      <c r="B26" s="600"/>
      <c r="C26" s="600"/>
      <c r="D26" s="600"/>
      <c r="E26" s="600"/>
      <c r="F26" s="600"/>
      <c r="G26" s="600"/>
      <c r="H26" s="600"/>
      <c r="I26" s="600"/>
      <c r="J26" s="600"/>
      <c r="K26" s="600"/>
      <c r="L26" s="600"/>
    </row>
    <row r="27" spans="1:12" ht="20.25">
      <c r="A27" s="599" t="s">
        <v>718</v>
      </c>
      <c r="B27" s="600"/>
      <c r="C27" s="600"/>
      <c r="D27" s="600"/>
      <c r="E27" s="600"/>
      <c r="F27" s="600"/>
      <c r="G27" s="600"/>
      <c r="H27" s="600"/>
      <c r="I27" s="600"/>
      <c r="J27" s="600"/>
      <c r="K27" s="600"/>
      <c r="L27" s="600"/>
    </row>
    <row r="28" spans="1:12" ht="15.75">
      <c r="A28" s="600"/>
      <c r="B28" s="600"/>
      <c r="C28" s="600"/>
      <c r="D28" s="600"/>
      <c r="E28" s="819" t="s">
        <v>719</v>
      </c>
      <c r="F28" s="820"/>
      <c r="G28" s="821"/>
      <c r="H28" s="600"/>
      <c r="I28" s="600"/>
      <c r="J28" s="600"/>
      <c r="K28" s="600"/>
      <c r="L28" s="600"/>
    </row>
    <row r="29" spans="1:12" ht="15.75">
      <c r="A29" s="600"/>
      <c r="B29" s="822" t="s">
        <v>720</v>
      </c>
      <c r="C29" s="822"/>
      <c r="D29" s="603" t="s">
        <v>721</v>
      </c>
      <c r="E29" s="603" t="s">
        <v>722</v>
      </c>
      <c r="F29" s="822" t="s">
        <v>723</v>
      </c>
      <c r="G29" s="822"/>
      <c r="H29" s="600"/>
      <c r="I29" s="600"/>
      <c r="J29" s="600"/>
      <c r="K29" s="600"/>
      <c r="L29" s="600"/>
    </row>
    <row r="30" spans="1:12" ht="15.75">
      <c r="A30" s="604" t="s">
        <v>724</v>
      </c>
      <c r="B30" s="818" t="s">
        <v>725</v>
      </c>
      <c r="C30" s="818"/>
      <c r="D30" s="578" t="s">
        <v>726</v>
      </c>
      <c r="E30" s="578" t="s">
        <v>727</v>
      </c>
      <c r="F30" s="818" t="s">
        <v>728</v>
      </c>
      <c r="G30" s="818"/>
      <c r="H30" s="600"/>
      <c r="I30" s="600"/>
      <c r="J30" s="600"/>
      <c r="K30" s="600"/>
      <c r="L30" s="600"/>
    </row>
    <row r="31" spans="1:12" ht="15.75">
      <c r="A31" s="604" t="s">
        <v>729</v>
      </c>
      <c r="B31" s="818" t="s">
        <v>730</v>
      </c>
      <c r="C31" s="818"/>
      <c r="D31" s="578" t="s">
        <v>731</v>
      </c>
      <c r="E31" s="578" t="s">
        <v>732</v>
      </c>
      <c r="F31" s="818" t="s">
        <v>733</v>
      </c>
      <c r="G31" s="818"/>
      <c r="H31" s="600"/>
      <c r="I31" s="600"/>
      <c r="J31" s="600"/>
      <c r="K31" s="600"/>
      <c r="L31" s="600"/>
    </row>
    <row r="32" spans="1:12" ht="15.75">
      <c r="A32" s="604" t="s">
        <v>734</v>
      </c>
      <c r="B32" s="818" t="s">
        <v>735</v>
      </c>
      <c r="C32" s="818"/>
      <c r="D32" s="578" t="s">
        <v>736</v>
      </c>
      <c r="E32" s="578" t="s">
        <v>737</v>
      </c>
      <c r="F32" s="818" t="s">
        <v>738</v>
      </c>
      <c r="G32" s="818"/>
      <c r="H32" s="600"/>
      <c r="I32" s="600"/>
      <c r="J32" s="600"/>
      <c r="K32" s="600"/>
      <c r="L32" s="600"/>
    </row>
    <row r="33" spans="1:12" ht="15.75">
      <c r="A33" s="600"/>
      <c r="B33" s="600"/>
      <c r="C33" s="600"/>
      <c r="D33" s="600"/>
      <c r="E33" s="600"/>
      <c r="F33" s="600"/>
      <c r="G33" s="600"/>
      <c r="H33" s="600"/>
      <c r="I33" s="600"/>
      <c r="J33" s="600"/>
      <c r="K33" s="600"/>
      <c r="L33" s="600"/>
    </row>
    <row r="34" spans="1:12" ht="15.75">
      <c r="A34" s="600"/>
      <c r="B34" s="600"/>
      <c r="C34" s="600"/>
      <c r="D34" s="600"/>
      <c r="E34" s="819" t="s">
        <v>739</v>
      </c>
      <c r="F34" s="820"/>
      <c r="G34" s="821"/>
      <c r="H34" s="600"/>
      <c r="I34" s="600"/>
      <c r="J34" s="600"/>
      <c r="K34" s="600"/>
      <c r="L34" s="600"/>
    </row>
    <row r="35" spans="1:12" ht="15.75">
      <c r="A35" s="600"/>
      <c r="B35" s="822" t="s">
        <v>740</v>
      </c>
      <c r="C35" s="822"/>
      <c r="D35" s="603" t="s">
        <v>722</v>
      </c>
      <c r="E35" s="603" t="s">
        <v>741</v>
      </c>
      <c r="F35" s="603" t="s">
        <v>260</v>
      </c>
      <c r="G35" s="603" t="s">
        <v>742</v>
      </c>
      <c r="H35" s="600"/>
      <c r="I35" s="600"/>
      <c r="J35" s="600"/>
      <c r="K35" s="600"/>
      <c r="L35" s="600"/>
    </row>
    <row r="36" spans="1:12" ht="15.75">
      <c r="A36" s="604" t="s">
        <v>724</v>
      </c>
      <c r="B36" s="814" t="s">
        <v>743</v>
      </c>
      <c r="C36" s="815"/>
      <c r="D36" s="605" t="s">
        <v>744</v>
      </c>
      <c r="E36" s="605" t="s">
        <v>745</v>
      </c>
      <c r="F36" s="606" t="s">
        <v>746</v>
      </c>
      <c r="G36" s="578" t="s">
        <v>747</v>
      </c>
      <c r="H36" s="600"/>
      <c r="I36" s="600"/>
      <c r="J36" s="600"/>
      <c r="K36" s="600"/>
      <c r="L36" s="600"/>
    </row>
    <row r="37" spans="1:12" ht="15.75">
      <c r="A37" s="604" t="s">
        <v>729</v>
      </c>
      <c r="B37" s="814" t="s">
        <v>748</v>
      </c>
      <c r="C37" s="815"/>
      <c r="D37" s="605" t="s">
        <v>749</v>
      </c>
      <c r="E37" s="605" t="s">
        <v>745</v>
      </c>
      <c r="F37" s="606" t="s">
        <v>750</v>
      </c>
      <c r="G37" s="607" t="s">
        <v>751</v>
      </c>
      <c r="H37" s="600"/>
      <c r="I37" s="600"/>
      <c r="J37" s="600"/>
      <c r="K37" s="600"/>
      <c r="L37" s="600"/>
    </row>
    <row r="38" spans="1:12" ht="15.75">
      <c r="A38" s="604" t="s">
        <v>734</v>
      </c>
      <c r="B38" s="814" t="s">
        <v>748</v>
      </c>
      <c r="C38" s="815"/>
      <c r="D38" s="605" t="s">
        <v>752</v>
      </c>
      <c r="E38" s="605" t="s">
        <v>745</v>
      </c>
      <c r="F38" s="606" t="s">
        <v>753</v>
      </c>
      <c r="G38" s="578" t="s">
        <v>754</v>
      </c>
      <c r="H38" s="600"/>
      <c r="I38" s="600"/>
      <c r="J38" s="600"/>
      <c r="K38" s="600"/>
      <c r="L38" s="600"/>
    </row>
    <row r="39" spans="1:12" ht="15.75">
      <c r="A39" s="600"/>
      <c r="B39" s="600"/>
      <c r="C39" s="600"/>
      <c r="D39" s="600"/>
      <c r="E39" s="600"/>
      <c r="F39" s="600"/>
      <c r="G39" s="600"/>
      <c r="H39" s="600"/>
      <c r="I39" s="600"/>
      <c r="J39" s="600"/>
      <c r="K39" s="600"/>
      <c r="L39" s="600"/>
    </row>
    <row r="40" spans="1:12" ht="15.75">
      <c r="A40" s="608" t="s">
        <v>755</v>
      </c>
      <c r="B40" s="816" t="s">
        <v>738</v>
      </c>
      <c r="C40" s="816"/>
      <c r="D40" s="817" t="s">
        <v>756</v>
      </c>
      <c r="E40" s="817"/>
      <c r="F40" s="816" t="s">
        <v>754</v>
      </c>
      <c r="G40" s="816"/>
      <c r="H40" s="600"/>
      <c r="I40" s="600"/>
      <c r="J40" s="600"/>
      <c r="K40" s="600"/>
      <c r="L40" s="600"/>
    </row>
    <row r="41" spans="1:12" ht="15.75">
      <c r="A41" s="600"/>
      <c r="B41" s="600"/>
      <c r="C41" s="600"/>
      <c r="D41" s="600"/>
      <c r="E41" s="600"/>
      <c r="F41" s="600"/>
      <c r="G41" s="600"/>
      <c r="H41" s="600"/>
      <c r="I41" s="600"/>
      <c r="J41" s="600"/>
      <c r="K41" s="600"/>
      <c r="L41" s="600"/>
    </row>
    <row r="42" spans="1:12" ht="15.75">
      <c r="A42" s="600"/>
      <c r="B42" s="600"/>
      <c r="C42" s="600"/>
      <c r="D42" s="600"/>
      <c r="E42" s="600"/>
      <c r="F42" s="600"/>
      <c r="G42" s="600"/>
      <c r="H42" s="600"/>
      <c r="I42" s="600"/>
      <c r="J42" s="600"/>
      <c r="K42" s="600"/>
      <c r="L42" s="600"/>
    </row>
    <row r="43" spans="1:12" ht="15.75">
      <c r="A43" s="600"/>
      <c r="B43" s="600"/>
      <c r="C43" s="600"/>
      <c r="D43" s="600"/>
      <c r="E43" s="600"/>
      <c r="F43" s="600"/>
      <c r="G43" s="600"/>
      <c r="H43" s="600"/>
      <c r="I43" s="600"/>
      <c r="J43" s="600"/>
      <c r="K43" s="600"/>
      <c r="L43" s="600"/>
    </row>
    <row r="44" spans="1:12" ht="15.75">
      <c r="A44" s="600"/>
      <c r="B44" s="600"/>
      <c r="C44" s="600"/>
      <c r="D44" s="600"/>
      <c r="E44" s="600"/>
      <c r="F44" s="600"/>
      <c r="G44" s="600"/>
      <c r="H44" s="600"/>
      <c r="I44" s="600"/>
      <c r="J44" s="600"/>
      <c r="K44" s="600"/>
      <c r="L44" s="600"/>
    </row>
    <row r="45" spans="1:12" ht="15.75">
      <c r="A45" s="600"/>
      <c r="B45" s="600"/>
      <c r="C45" s="600"/>
      <c r="D45" s="600"/>
      <c r="E45" s="600"/>
      <c r="F45" s="600"/>
      <c r="G45" s="600"/>
      <c r="H45" s="600"/>
      <c r="I45" s="600"/>
      <c r="J45" s="600"/>
      <c r="K45" s="600"/>
      <c r="L45" s="600"/>
    </row>
    <row r="46" spans="1:12" ht="15.75">
      <c r="A46" s="600"/>
      <c r="B46" s="600"/>
      <c r="C46" s="600"/>
      <c r="D46" s="600"/>
      <c r="E46" s="600"/>
      <c r="F46" s="600"/>
      <c r="G46" s="600"/>
      <c r="H46" s="600"/>
      <c r="I46" s="600"/>
      <c r="J46" s="600"/>
      <c r="K46" s="600"/>
      <c r="L46" s="600"/>
    </row>
    <row r="47" spans="1:12" ht="15.75">
      <c r="A47" s="600"/>
      <c r="B47" s="600"/>
      <c r="C47" s="600"/>
      <c r="D47" s="600"/>
      <c r="E47" s="600"/>
      <c r="F47" s="600"/>
      <c r="G47" s="600"/>
      <c r="H47" s="600"/>
      <c r="I47" s="600"/>
      <c r="J47" s="600"/>
      <c r="K47" s="600"/>
      <c r="L47" s="600"/>
    </row>
    <row r="48" spans="1:12" ht="15.75">
      <c r="A48" s="600"/>
      <c r="B48" s="600"/>
      <c r="C48" s="600"/>
      <c r="D48" s="600"/>
      <c r="E48" s="600"/>
      <c r="F48" s="600"/>
      <c r="G48" s="600"/>
      <c r="H48" s="600"/>
      <c r="I48" s="600"/>
      <c r="J48" s="600"/>
      <c r="K48" s="600"/>
      <c r="L48" s="600"/>
    </row>
    <row r="49" spans="1:12" ht="15.75">
      <c r="A49" s="600"/>
      <c r="B49" s="600"/>
      <c r="C49" s="600"/>
      <c r="D49" s="600"/>
      <c r="E49" s="600"/>
      <c r="F49" s="600"/>
      <c r="G49" s="600"/>
      <c r="H49" s="600"/>
      <c r="I49" s="600"/>
      <c r="J49" s="600"/>
      <c r="K49" s="600"/>
      <c r="L49" s="600"/>
    </row>
    <row r="50" spans="1:12" ht="15.75">
      <c r="A50" s="600"/>
      <c r="B50" s="600"/>
      <c r="C50" s="600"/>
      <c r="D50" s="600"/>
      <c r="E50" s="600"/>
      <c r="F50" s="600"/>
      <c r="G50" s="600"/>
      <c r="H50" s="600"/>
      <c r="I50" s="600"/>
      <c r="J50" s="600"/>
      <c r="K50" s="600"/>
      <c r="L50" s="600"/>
    </row>
    <row r="51" spans="1:12" ht="15.75">
      <c r="A51" s="600"/>
      <c r="B51" s="600"/>
      <c r="C51" s="600"/>
      <c r="D51" s="600"/>
      <c r="E51" s="600"/>
      <c r="F51" s="600"/>
      <c r="G51" s="600"/>
      <c r="H51" s="600"/>
      <c r="I51" s="600"/>
      <c r="J51" s="600"/>
      <c r="K51" s="600"/>
      <c r="L51" s="600"/>
    </row>
    <row r="52" spans="1:12" ht="15.75">
      <c r="A52" s="600"/>
      <c r="B52" s="600"/>
      <c r="C52" s="600"/>
      <c r="D52" s="600"/>
      <c r="E52" s="600"/>
      <c r="F52" s="600"/>
      <c r="G52" s="600"/>
      <c r="H52" s="600"/>
      <c r="I52" s="600"/>
      <c r="J52" s="600"/>
      <c r="K52" s="600"/>
      <c r="L52" s="600"/>
    </row>
    <row r="53" spans="1:12" ht="15.75">
      <c r="A53" s="600"/>
      <c r="B53" s="600"/>
      <c r="C53" s="600"/>
      <c r="D53" s="600"/>
      <c r="E53" s="600"/>
      <c r="F53" s="600"/>
      <c r="G53" s="600"/>
      <c r="H53" s="600"/>
      <c r="I53" s="600"/>
      <c r="J53" s="600"/>
      <c r="K53" s="600"/>
      <c r="L53" s="600"/>
    </row>
    <row r="54" spans="1:12" ht="15.75">
      <c r="A54" s="600"/>
      <c r="B54" s="600"/>
      <c r="C54" s="600"/>
      <c r="D54" s="600"/>
      <c r="E54" s="600"/>
      <c r="F54" s="600"/>
      <c r="G54" s="600"/>
      <c r="H54" s="600"/>
      <c r="I54" s="600"/>
      <c r="J54" s="600"/>
      <c r="K54" s="600"/>
      <c r="L54" s="600"/>
    </row>
    <row r="55" spans="1:12" ht="15.75">
      <c r="A55" s="600"/>
      <c r="B55" s="600"/>
      <c r="C55" s="600"/>
      <c r="D55" s="600"/>
      <c r="E55" s="600"/>
      <c r="F55" s="600"/>
      <c r="G55" s="600"/>
      <c r="H55" s="600"/>
      <c r="I55" s="600"/>
      <c r="J55" s="600"/>
      <c r="K55" s="600"/>
      <c r="L55" s="600"/>
    </row>
    <row r="56" spans="1:12" ht="15.75">
      <c r="A56" s="600"/>
      <c r="B56" s="600"/>
      <c r="C56" s="600"/>
      <c r="D56" s="600"/>
      <c r="E56" s="600"/>
      <c r="F56" s="600"/>
      <c r="G56" s="600"/>
      <c r="H56" s="600"/>
      <c r="I56" s="600"/>
      <c r="J56" s="600"/>
      <c r="K56" s="600"/>
      <c r="L56" s="600"/>
    </row>
    <row r="57" spans="1:12" ht="15.75">
      <c r="A57" s="600"/>
      <c r="B57" s="600"/>
      <c r="C57" s="600"/>
      <c r="D57" s="600"/>
      <c r="E57" s="600"/>
      <c r="F57" s="600"/>
      <c r="G57" s="600"/>
      <c r="H57" s="600"/>
      <c r="I57" s="600"/>
      <c r="J57" s="600"/>
      <c r="K57" s="600"/>
      <c r="L57" s="600"/>
    </row>
    <row r="58" spans="1:12" ht="15.75">
      <c r="A58" s="600"/>
      <c r="B58" s="600"/>
      <c r="C58" s="600"/>
      <c r="D58" s="600"/>
      <c r="E58" s="600"/>
      <c r="F58" s="600"/>
      <c r="G58" s="600"/>
      <c r="H58" s="600"/>
      <c r="I58" s="600"/>
      <c r="J58" s="600"/>
      <c r="K58" s="600"/>
      <c r="L58" s="600"/>
    </row>
    <row r="59" spans="1:12" ht="15.75">
      <c r="A59" s="600"/>
      <c r="B59" s="600"/>
      <c r="C59" s="600"/>
      <c r="D59" s="600"/>
      <c r="E59" s="600"/>
      <c r="F59" s="600"/>
      <c r="G59" s="600"/>
      <c r="H59" s="600"/>
      <c r="I59" s="600"/>
      <c r="J59" s="600"/>
      <c r="K59" s="600"/>
      <c r="L59" s="600"/>
    </row>
    <row r="60" spans="1:12" ht="15.75">
      <c r="A60" s="600"/>
      <c r="B60" s="600"/>
      <c r="C60" s="600"/>
      <c r="D60" s="600"/>
      <c r="E60" s="600"/>
      <c r="F60" s="600"/>
      <c r="G60" s="600"/>
      <c r="H60" s="600"/>
      <c r="I60" s="600"/>
      <c r="J60" s="600"/>
      <c r="K60" s="600"/>
      <c r="L60" s="600"/>
    </row>
    <row r="61" spans="1:12" ht="15.75">
      <c r="A61" s="600"/>
      <c r="B61" s="600"/>
      <c r="C61" s="600"/>
      <c r="D61" s="600"/>
      <c r="E61" s="600"/>
      <c r="F61" s="600"/>
      <c r="G61" s="600"/>
      <c r="H61" s="600"/>
      <c r="I61" s="600"/>
      <c r="J61" s="600"/>
      <c r="K61" s="600"/>
      <c r="L61" s="600"/>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scale="98" orientation="portrait" horizontalDpi="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3101-3D20-4A65-A815-C9E459314C6B}">
  <dimension ref="B1:I18"/>
  <sheetViews>
    <sheetView workbookViewId="0">
      <selection activeCell="F6" sqref="F6"/>
    </sheetView>
  </sheetViews>
  <sheetFormatPr defaultRowHeight="12.75"/>
  <cols>
    <col min="1" max="16384" width="8.796875" style="149"/>
  </cols>
  <sheetData>
    <row r="1" spans="2:9">
      <c r="D1" s="149" t="s">
        <v>759</v>
      </c>
    </row>
    <row r="3" spans="2:9" ht="13.5" thickBot="1">
      <c r="B3" s="630" t="s">
        <v>760</v>
      </c>
      <c r="C3" s="631">
        <v>3866</v>
      </c>
      <c r="D3" s="631" t="s">
        <v>761</v>
      </c>
      <c r="E3" s="631">
        <v>3885</v>
      </c>
      <c r="F3" s="631">
        <v>3888</v>
      </c>
      <c r="G3" s="631" t="s">
        <v>762</v>
      </c>
      <c r="H3" s="632">
        <v>3982</v>
      </c>
      <c r="I3" s="633" t="s">
        <v>763</v>
      </c>
    </row>
    <row r="4" spans="2:9" ht="13.5" thickTop="1">
      <c r="B4" s="149" t="s">
        <v>764</v>
      </c>
      <c r="C4" s="634">
        <v>113.04</v>
      </c>
      <c r="D4" s="634">
        <v>113.06</v>
      </c>
      <c r="E4" s="634">
        <v>113.2</v>
      </c>
      <c r="F4" s="634">
        <v>113.4</v>
      </c>
      <c r="G4" s="634">
        <v>112.74</v>
      </c>
      <c r="H4" s="825" t="s">
        <v>765</v>
      </c>
      <c r="I4" s="635">
        <f>AVERAGE(C4:H4)</f>
        <v>113.08800000000001</v>
      </c>
    </row>
    <row r="5" spans="2:9">
      <c r="B5" s="149" t="s">
        <v>766</v>
      </c>
      <c r="C5" s="634">
        <v>94.6</v>
      </c>
      <c r="D5" s="634">
        <v>94.4</v>
      </c>
      <c r="E5" s="634">
        <v>94.5</v>
      </c>
      <c r="F5" s="634">
        <v>94.5</v>
      </c>
      <c r="G5" s="634">
        <v>94.8</v>
      </c>
      <c r="H5" s="826"/>
      <c r="I5" s="635">
        <f t="shared" ref="I5:I18" si="0">AVERAGE(C5:H5)</f>
        <v>94.56</v>
      </c>
    </row>
    <row r="6" spans="2:9">
      <c r="B6" s="149" t="s">
        <v>311</v>
      </c>
      <c r="C6" s="634">
        <v>90.7</v>
      </c>
      <c r="D6" s="634">
        <v>90.8</v>
      </c>
      <c r="E6" s="634">
        <v>90.7</v>
      </c>
      <c r="F6" s="634">
        <v>90.5</v>
      </c>
      <c r="G6" s="634">
        <v>90.9</v>
      </c>
      <c r="H6" s="826"/>
      <c r="I6" s="635">
        <f t="shared" si="0"/>
        <v>90.72</v>
      </c>
    </row>
    <row r="7" spans="2:9">
      <c r="B7" s="149" t="s">
        <v>135</v>
      </c>
      <c r="C7" s="634">
        <v>3580</v>
      </c>
      <c r="D7" s="634">
        <v>3580</v>
      </c>
      <c r="E7" s="634">
        <v>3579</v>
      </c>
      <c r="F7" s="634">
        <v>3579</v>
      </c>
      <c r="G7" s="634">
        <v>3579</v>
      </c>
      <c r="H7" s="826"/>
      <c r="I7" s="635">
        <f t="shared" si="0"/>
        <v>3579.4</v>
      </c>
    </row>
    <row r="8" spans="2:9">
      <c r="B8" s="149" t="s">
        <v>767</v>
      </c>
      <c r="C8" s="634">
        <v>24.8</v>
      </c>
      <c r="D8" s="634">
        <v>24.2</v>
      </c>
      <c r="E8" s="634">
        <v>24.5</v>
      </c>
      <c r="F8" s="634">
        <v>25</v>
      </c>
      <c r="G8" s="634">
        <v>23.84</v>
      </c>
      <c r="H8" s="826"/>
      <c r="I8" s="635">
        <f t="shared" si="0"/>
        <v>24.468</v>
      </c>
    </row>
    <row r="9" spans="2:9">
      <c r="B9" s="149" t="s">
        <v>768</v>
      </c>
      <c r="C9" s="634">
        <v>21946</v>
      </c>
      <c r="D9" s="634">
        <v>23295</v>
      </c>
      <c r="E9" s="634">
        <v>21349</v>
      </c>
      <c r="F9" s="634">
        <v>21977</v>
      </c>
      <c r="G9" s="634">
        <v>21177</v>
      </c>
      <c r="H9" s="826"/>
      <c r="I9" s="635">
        <f t="shared" si="0"/>
        <v>21948.799999999999</v>
      </c>
    </row>
    <row r="10" spans="2:9">
      <c r="B10" s="149" t="s">
        <v>769</v>
      </c>
      <c r="C10" s="634">
        <v>125.6</v>
      </c>
      <c r="D10" s="634">
        <v>113.6</v>
      </c>
      <c r="E10" s="634">
        <v>119</v>
      </c>
      <c r="F10" s="634">
        <v>108.7</v>
      </c>
      <c r="G10" s="634">
        <v>135.9</v>
      </c>
      <c r="H10" s="826"/>
      <c r="I10" s="635">
        <f t="shared" si="0"/>
        <v>120.55999999999999</v>
      </c>
    </row>
    <row r="11" spans="2:9">
      <c r="B11" s="149" t="s">
        <v>770</v>
      </c>
      <c r="C11" s="634">
        <v>734.8</v>
      </c>
      <c r="D11" s="634">
        <v>733.8</v>
      </c>
      <c r="E11" s="634">
        <v>734.7</v>
      </c>
      <c r="F11" s="634">
        <v>728.7</v>
      </c>
      <c r="G11" s="634">
        <v>734.4</v>
      </c>
      <c r="H11" s="826"/>
      <c r="I11" s="635">
        <f t="shared" si="0"/>
        <v>733.28</v>
      </c>
    </row>
    <row r="12" spans="2:9">
      <c r="B12" s="149" t="s">
        <v>771</v>
      </c>
      <c r="C12" s="634">
        <v>309.3</v>
      </c>
      <c r="D12" s="634">
        <v>279.3</v>
      </c>
      <c r="E12" s="634">
        <v>316.89999999999998</v>
      </c>
      <c r="F12" s="634">
        <v>293.5</v>
      </c>
      <c r="G12" s="634">
        <v>294.5</v>
      </c>
      <c r="H12" s="826"/>
      <c r="I12" s="635">
        <f t="shared" si="0"/>
        <v>298.7</v>
      </c>
    </row>
    <row r="13" spans="2:9">
      <c r="B13" s="149" t="s">
        <v>772</v>
      </c>
      <c r="C13" s="634">
        <v>6158.8</v>
      </c>
      <c r="D13" s="634">
        <v>6183.9</v>
      </c>
      <c r="E13" s="634">
        <v>6181</v>
      </c>
      <c r="F13" s="634">
        <v>6288.3</v>
      </c>
      <c r="G13" s="634">
        <v>6127.9</v>
      </c>
      <c r="H13" s="826"/>
      <c r="I13" s="635">
        <f t="shared" si="0"/>
        <v>6187.9800000000005</v>
      </c>
    </row>
    <row r="14" spans="2:9">
      <c r="B14" s="149" t="s">
        <v>773</v>
      </c>
      <c r="C14" s="634">
        <v>4065.9</v>
      </c>
      <c r="D14" s="634">
        <v>3869.5</v>
      </c>
      <c r="E14" s="634">
        <v>4163.8999999999996</v>
      </c>
      <c r="F14" s="634">
        <v>3916.9</v>
      </c>
      <c r="G14" s="634">
        <v>4012.8</v>
      </c>
      <c r="H14" s="826"/>
      <c r="I14" s="635">
        <f t="shared" si="0"/>
        <v>4005.8</v>
      </c>
    </row>
    <row r="15" spans="2:9">
      <c r="B15" s="149" t="s">
        <v>774</v>
      </c>
      <c r="C15" s="634">
        <v>4357</v>
      </c>
      <c r="D15" s="634">
        <v>4436.8999999999996</v>
      </c>
      <c r="E15" s="634">
        <v>4389</v>
      </c>
      <c r="F15" s="634">
        <v>3584.8</v>
      </c>
      <c r="G15" s="634">
        <v>4017</v>
      </c>
      <c r="H15" s="826"/>
      <c r="I15" s="635">
        <f t="shared" si="0"/>
        <v>4156.9400000000005</v>
      </c>
    </row>
    <row r="16" spans="2:9">
      <c r="B16" s="149" t="s">
        <v>775</v>
      </c>
      <c r="C16" s="634">
        <v>17168.900000000001</v>
      </c>
      <c r="D16" s="634">
        <v>18457.900000000001</v>
      </c>
      <c r="E16" s="634">
        <v>16594.3</v>
      </c>
      <c r="F16" s="634">
        <v>17961.5</v>
      </c>
      <c r="G16" s="634">
        <v>16737.900000000001</v>
      </c>
      <c r="H16" s="826"/>
      <c r="I16" s="635">
        <f t="shared" si="0"/>
        <v>17384.099999999999</v>
      </c>
    </row>
    <row r="17" spans="2:9">
      <c r="B17" s="149" t="s">
        <v>776</v>
      </c>
      <c r="C17" s="634">
        <v>6563.4</v>
      </c>
      <c r="D17" s="634">
        <v>6869.3</v>
      </c>
      <c r="E17" s="634">
        <v>7750.6</v>
      </c>
      <c r="F17" s="634">
        <v>7450.5</v>
      </c>
      <c r="G17" s="634">
        <v>5999</v>
      </c>
      <c r="H17" s="826"/>
      <c r="I17" s="635">
        <f t="shared" si="0"/>
        <v>6926.56</v>
      </c>
    </row>
    <row r="18" spans="2:9">
      <c r="B18" s="149" t="s">
        <v>777</v>
      </c>
      <c r="C18" s="634">
        <v>55.8</v>
      </c>
      <c r="D18" s="634">
        <v>55.3</v>
      </c>
      <c r="E18" s="634">
        <v>54.4</v>
      </c>
      <c r="F18" s="634">
        <v>57.7</v>
      </c>
      <c r="G18" s="634">
        <v>54.7</v>
      </c>
      <c r="H18" s="826"/>
      <c r="I18" s="635">
        <f t="shared" si="0"/>
        <v>55.58</v>
      </c>
    </row>
  </sheetData>
  <mergeCells count="1">
    <mergeCell ref="H4:H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631CDD2FB78245898BE62063B9B0A0" ma:contentTypeVersion="15" ma:contentTypeDescription="Create a new document." ma:contentTypeScope="" ma:versionID="b9f0938b1b01491b66c0244d23eba4cf">
  <xsd:schema xmlns:xsd="http://www.w3.org/2001/XMLSchema" xmlns:xs="http://www.w3.org/2001/XMLSchema" xmlns:p="http://schemas.microsoft.com/office/2006/metadata/properties" xmlns:ns3="72cdc605-11f0-42e0-872b-8a41438ff951" xmlns:ns4="8cb20de8-a807-4686-a312-8bbdce0412dc" targetNamespace="http://schemas.microsoft.com/office/2006/metadata/properties" ma:root="true" ma:fieldsID="824c1152f801c608be2df48892c9b2dd" ns3:_="" ns4:_="">
    <xsd:import namespace="72cdc605-11f0-42e0-872b-8a41438ff951"/>
    <xsd:import namespace="8cb20de8-a807-4686-a312-8bbdce0412d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cdc605-11f0-42e0-872b-8a41438ff95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b20de8-a807-4686-a312-8bbdce0412d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cb20de8-a807-4686-a312-8bbdce0412dc" xsi:nil="true"/>
  </documentManagement>
</p:properties>
</file>

<file path=customXml/itemProps1.xml><?xml version="1.0" encoding="utf-8"?>
<ds:datastoreItem xmlns:ds="http://schemas.openxmlformats.org/officeDocument/2006/customXml" ds:itemID="{7EBE4A42-9C45-43DD-A7D4-8DAA6A85DAF9}">
  <ds:schemaRefs>
    <ds:schemaRef ds:uri="http://schemas.microsoft.com/sharepoint/v3/contenttype/forms"/>
  </ds:schemaRefs>
</ds:datastoreItem>
</file>

<file path=customXml/itemProps2.xml><?xml version="1.0" encoding="utf-8"?>
<ds:datastoreItem xmlns:ds="http://schemas.openxmlformats.org/officeDocument/2006/customXml" ds:itemID="{A219A6D8-CE8E-429C-B9C1-1CA1154781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cdc605-11f0-42e0-872b-8a41438ff951"/>
    <ds:schemaRef ds:uri="8cb20de8-a807-4686-a312-8bbdce0412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48A1FA-D3D6-4493-87BE-47BFBECF2A28}">
  <ds:schemaRefs>
    <ds:schemaRef ds:uri="8cb20de8-a807-4686-a312-8bbdce0412dc"/>
    <ds:schemaRef ds:uri="http://purl.org/dc/terms/"/>
    <ds:schemaRef ds:uri="72cdc605-11f0-42e0-872b-8a41438ff951"/>
    <ds:schemaRef ds:uri="http://purl.org/dc/dcmitype/"/>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DesignSheet 0.80V</vt:lpstr>
      <vt:lpstr>DesignSheet</vt:lpstr>
      <vt:lpstr>Data Sheet</vt:lpstr>
      <vt:lpstr>Performance Data Sheet</vt:lpstr>
      <vt:lpstr>STCurve</vt:lpstr>
      <vt:lpstr>Thermdam</vt:lpstr>
      <vt:lpstr>Performance</vt:lpstr>
      <vt:lpstr>Circuit Param</vt:lpstr>
      <vt:lpstr>Performance API</vt:lpstr>
      <vt:lpstr>StallTime</vt:lpstr>
      <vt:lpstr>Test data</vt:lpstr>
      <vt:lpstr>'Circuit Param'!Print_Area</vt:lpstr>
      <vt:lpstr>'Data Sheet'!Print_Area</vt:lpstr>
      <vt:lpstr>DesignSheet!Print_Area</vt:lpstr>
      <vt:lpstr>'DesignSheet 0.80V'!Print_Area</vt:lpstr>
      <vt:lpstr>Performance!Print_Area</vt:lpstr>
      <vt:lpstr>'Performance API'!Print_Area</vt:lpstr>
      <vt:lpstr>'Performance Data Sheet'!Print_Area</vt:lpstr>
      <vt:lpstr>StallTime!Print_Area</vt:lpstr>
      <vt:lpstr>STCurve!Print_Area</vt:lpstr>
      <vt:lpstr>Thermdam!Print_Area</vt:lpstr>
      <vt:lpstr>'Circuit Param'!Print_Area_MI</vt:lpstr>
      <vt:lpstr>'Performance API'!Print_Area_MI</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Xie, Zichao (TIC)</cp:lastModifiedBy>
  <dcterms:created xsi:type="dcterms:W3CDTF">2025-10-13T17:06:57Z</dcterms:created>
  <dcterms:modified xsi:type="dcterms:W3CDTF">2025-11-20T21:47:46Z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0x010100A7631CDD2FB78245898BE62063B9B0A0</vt:lpwstr>
  </property>
</Properties>
</file>