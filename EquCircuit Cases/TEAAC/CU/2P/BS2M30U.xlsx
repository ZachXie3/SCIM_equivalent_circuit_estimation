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charts/chart2.xml" ContentType="application/vnd.openxmlformats-officedocument.drawingml.chart+xml"/>
  <Override PartName="/xl/drawings/drawing6.xml" ContentType="application/vnd.openxmlformats-officedocument.drawing+xml"/>
  <Override PartName="/xl/charts/chart3.xml" ContentType="application/vnd.openxmlformats-officedocument.drawingml.chart+xml"/>
  <Override PartName="/xl/drawings/drawing7.xml" ContentType="application/vnd.openxmlformats-officedocument.drawingml.chartshapes+xml"/>
  <Override PartName="/xl/drawings/drawing8.xml" ContentType="application/vnd.openxmlformats-officedocument.drawing+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mc:AlternateContent xmlns:mc="http://schemas.openxmlformats.org/markup-compatibility/2006">
    <mc:Choice Requires="x15">
      <x15ac:absPath xmlns:x15ac="http://schemas.microsoft.com/office/spreadsheetml/2010/11/ac" url="H:\DESPRO\BASE MV DESIGNS\6800 FRAME\Electrical Design\TEAAC\2P\Series\"/>
    </mc:Choice>
  </mc:AlternateContent>
  <bookViews>
    <workbookView xWindow="3165" yWindow="1080" windowWidth="4800" windowHeight="5190" tabRatio="929" firstSheet="1" activeTab="5"/>
  </bookViews>
  <sheets>
    <sheet name="DesignSheet" sheetId="2" r:id="rId1"/>
    <sheet name="Data Sheet" sheetId="3" r:id="rId2"/>
    <sheet name="Data Sheet1" sheetId="12" r:id="rId3"/>
    <sheet name="LoginSheet" sheetId="4" r:id="rId4"/>
    <sheet name="Form" sheetId="5" r:id="rId5"/>
    <sheet name="Performance Data Sheet" sheetId="11" r:id="rId6"/>
    <sheet name="STCurve" sheetId="6" r:id="rId7"/>
    <sheet name="StallTime" sheetId="7" r:id="rId8"/>
    <sheet name="Thermdam" sheetId="8" r:id="rId9"/>
    <sheet name="MagNoise" sheetId="9" r:id="rId10"/>
    <sheet name="Performance" sheetId="10" r:id="rId11"/>
  </sheets>
  <definedNames>
    <definedName name="_Regression_Int" localSheetId="5" hidden="1">1</definedName>
    <definedName name="_xlnm.Print_Area" localSheetId="1">'Data Sheet'!$A$1:$K$46</definedName>
    <definedName name="_xlnm.Print_Area" localSheetId="2">'Data Sheet1'!$A$1:$K$46</definedName>
    <definedName name="_xlnm.Print_Area" localSheetId="0">DesignSheet!$A$1:$J$68</definedName>
    <definedName name="_xlnm.Print_Area" localSheetId="4">Form!$A$1:$F$39</definedName>
    <definedName name="_xlnm.Print_Area" localSheetId="3">LoginSheet!$A$1:$N$79</definedName>
    <definedName name="_xlnm.Print_Area" localSheetId="10">Performance!$A$1:$F$43</definedName>
    <definedName name="_xlnm.Print_Area" localSheetId="5">'Performance Data Sheet'!$A$1:$M$45</definedName>
    <definedName name="_xlnm.Print_Area" localSheetId="7">StallTime!$A$1:$G$40</definedName>
    <definedName name="_xlnm.Print_Area" localSheetId="6">STCurve!$A$1:$F$43</definedName>
    <definedName name="_xlnm.Print_Area" localSheetId="8">Thermdam!$A$1:$F$43</definedName>
    <definedName name="Print_Area_MI">'Performance Data Sheet'!$A$10:$N$43</definedName>
    <definedName name="Z_852987ED_B4F5_11D1_ABEC_0000832EB49E_.wvu.PrintArea" localSheetId="10" hidden="1">Performance!$A$1:$F$43</definedName>
    <definedName name="Z_852987ED_B4F5_11D1_ABEC_0000832EB49E_.wvu.PrintArea" localSheetId="6" hidden="1">STCurve!$A$1:$F$43</definedName>
  </definedNames>
  <calcPr calcId="162913"/>
</workbook>
</file>

<file path=xl/calcChain.xml><?xml version="1.0" encoding="utf-8"?>
<calcChain xmlns="http://schemas.openxmlformats.org/spreadsheetml/2006/main">
  <c r="M28" i="12" l="1"/>
  <c r="M18" i="12"/>
  <c r="D43" i="10" l="1"/>
  <c r="D43" i="8"/>
  <c r="F9" i="10"/>
  <c r="F8" i="10"/>
  <c r="F7" i="10"/>
  <c r="B7" i="10"/>
  <c r="B6" i="10"/>
  <c r="F9" i="8"/>
  <c r="F8" i="8"/>
  <c r="F7" i="8"/>
  <c r="B7" i="8"/>
  <c r="B6" i="8"/>
  <c r="D43" i="6"/>
  <c r="F9" i="6"/>
  <c r="F8" i="6"/>
  <c r="F7" i="6"/>
  <c r="B7" i="6"/>
  <c r="B6" i="6"/>
  <c r="C76" i="8"/>
  <c r="C77" i="8" s="1"/>
  <c r="C78" i="8" s="1"/>
  <c r="B76" i="8"/>
  <c r="C75" i="8"/>
  <c r="C74" i="8"/>
  <c r="B74" i="8"/>
  <c r="A69" i="8"/>
  <c r="C69" i="8" s="1"/>
  <c r="E68" i="8"/>
  <c r="D66" i="8"/>
  <c r="F50" i="8"/>
  <c r="M28" i="3"/>
  <c r="M18" i="3"/>
  <c r="B69" i="8" l="1"/>
  <c r="B75" i="8" s="1"/>
  <c r="A70" i="8"/>
  <c r="A71" i="8" l="1"/>
  <c r="B70" i="8"/>
  <c r="C70" i="8"/>
  <c r="C71" i="8" l="1"/>
  <c r="A72" i="8"/>
  <c r="B71" i="8"/>
  <c r="B72" i="8" l="1"/>
  <c r="A73" i="8"/>
  <c r="B73" i="8" s="1"/>
</calcChain>
</file>

<file path=xl/comments1.xml><?xml version="1.0" encoding="utf-8"?>
<comments xmlns="http://schemas.openxmlformats.org/spreadsheetml/2006/main">
  <authors>
    <author>Paulo Yoshiura</author>
  </authors>
  <commentList>
    <comment ref="K4" authorId="0" shapeId="0">
      <text>
        <r>
          <rPr>
            <b/>
            <sz val="8"/>
            <color indexed="81"/>
            <rFont val="Tahoma"/>
            <family val="2"/>
          </rPr>
          <t>Insert type of motor</t>
        </r>
        <r>
          <rPr>
            <sz val="8"/>
            <color indexed="81"/>
            <rFont val="Tahoma"/>
            <family val="2"/>
          </rPr>
          <t xml:space="preserve">
</t>
        </r>
        <r>
          <rPr>
            <b/>
            <sz val="8"/>
            <color indexed="81"/>
            <rFont val="Tahoma"/>
            <family val="2"/>
          </rPr>
          <t>Either choose from list or write appropriate name</t>
        </r>
      </text>
    </comment>
    <comment ref="D6" authorId="0" shapeId="0">
      <text>
        <r>
          <rPr>
            <b/>
            <sz val="8"/>
            <color indexed="81"/>
            <rFont val="Tahoma"/>
            <family val="2"/>
          </rPr>
          <t>Choose Steel Type
from list or input name</t>
        </r>
      </text>
    </comment>
    <comment ref="D21" authorId="0" shapeId="0">
      <text>
        <r>
          <rPr>
            <b/>
            <sz val="8"/>
            <color indexed="81"/>
            <rFont val="Tahoma"/>
            <family val="2"/>
          </rPr>
          <t>Choose Method of coil connection from list!</t>
        </r>
        <r>
          <rPr>
            <sz val="8"/>
            <color indexed="81"/>
            <rFont val="Tahoma"/>
            <family val="2"/>
          </rPr>
          <t xml:space="preserve">
</t>
        </r>
      </text>
    </comment>
  </commentList>
</comments>
</file>

<file path=xl/comments2.xml><?xml version="1.0" encoding="utf-8"?>
<comments xmlns="http://schemas.openxmlformats.org/spreadsheetml/2006/main">
  <authors>
    <author>Paulo Yoshiura</author>
  </authors>
  <commentList>
    <comment ref="K4" authorId="0" shapeId="0">
      <text>
        <r>
          <rPr>
            <b/>
            <sz val="8"/>
            <color indexed="81"/>
            <rFont val="Tahoma"/>
            <family val="2"/>
          </rPr>
          <t>Insert type of motor</t>
        </r>
        <r>
          <rPr>
            <sz val="8"/>
            <color indexed="81"/>
            <rFont val="Tahoma"/>
            <family val="2"/>
          </rPr>
          <t xml:space="preserve">
</t>
        </r>
        <r>
          <rPr>
            <b/>
            <sz val="8"/>
            <color indexed="81"/>
            <rFont val="Tahoma"/>
            <family val="2"/>
          </rPr>
          <t>Either choose from list or write appropriate name</t>
        </r>
      </text>
    </comment>
    <comment ref="D6" authorId="0" shapeId="0">
      <text>
        <r>
          <rPr>
            <b/>
            <sz val="8"/>
            <color indexed="81"/>
            <rFont val="Tahoma"/>
            <family val="2"/>
          </rPr>
          <t>Choose Steel Type
from list or input name</t>
        </r>
      </text>
    </comment>
    <comment ref="D21" authorId="0" shapeId="0">
      <text>
        <r>
          <rPr>
            <b/>
            <sz val="8"/>
            <color indexed="81"/>
            <rFont val="Tahoma"/>
            <family val="2"/>
          </rPr>
          <t>Choose Method of coil connection from list!</t>
        </r>
        <r>
          <rPr>
            <sz val="8"/>
            <color indexed="81"/>
            <rFont val="Tahoma"/>
            <family val="2"/>
          </rPr>
          <t xml:space="preserve">
</t>
        </r>
      </text>
    </comment>
  </commentList>
</comments>
</file>

<file path=xl/sharedStrings.xml><?xml version="1.0" encoding="utf-8"?>
<sst xmlns="http://schemas.openxmlformats.org/spreadsheetml/2006/main" count="1140" uniqueCount="766">
  <si>
    <t>Calc. Code:</t>
  </si>
  <si>
    <t>File:</t>
  </si>
  <si>
    <t>Date:</t>
  </si>
  <si>
    <t>Time:</t>
  </si>
  <si>
    <t>Pole</t>
  </si>
  <si>
    <t>RPM</t>
  </si>
  <si>
    <t>Voltage</t>
  </si>
  <si>
    <t>Frequency</t>
  </si>
  <si>
    <t>FLSpeed</t>
  </si>
  <si>
    <t>FLSlip</t>
  </si>
  <si>
    <t xml:space="preserve">Frame </t>
  </si>
  <si>
    <t>Core Data</t>
  </si>
  <si>
    <t>Winding Data</t>
  </si>
  <si>
    <t>Constant Data</t>
  </si>
  <si>
    <t>Primary</t>
  </si>
  <si>
    <t>Secondary</t>
  </si>
  <si>
    <t xml:space="preserve">Bar </t>
  </si>
  <si>
    <t>End Ring</t>
  </si>
  <si>
    <t xml:space="preserve">St. Slot Pitch </t>
  </si>
  <si>
    <t>LR Test Data</t>
  </si>
  <si>
    <t>Air Gap</t>
  </si>
  <si>
    <t>Rt. Slot Pitch</t>
  </si>
  <si>
    <t>ES</t>
  </si>
  <si>
    <t>Space Fac.</t>
  </si>
  <si>
    <t>Pitch</t>
  </si>
  <si>
    <t>Cross Section Area</t>
  </si>
  <si>
    <t>Mean Value</t>
  </si>
  <si>
    <t>Core Length</t>
  </si>
  <si>
    <t>Eff.T.W.St.</t>
  </si>
  <si>
    <t>WS</t>
  </si>
  <si>
    <t>OD</t>
  </si>
  <si>
    <t>Coil Pitch</t>
  </si>
  <si>
    <t>Eff.T.W.Rt.</t>
  </si>
  <si>
    <t>ID</t>
  </si>
  <si>
    <t>Slot Fill</t>
  </si>
  <si>
    <t xml:space="preserve">St.Carter Fac. </t>
  </si>
  <si>
    <t>IS</t>
  </si>
  <si>
    <t>Core Depth</t>
  </si>
  <si>
    <t>Con./Slot</t>
  </si>
  <si>
    <t xml:space="preserve"> </t>
  </si>
  <si>
    <t>Rt.Carter Fac.</t>
  </si>
  <si>
    <t>Eff.Core L.</t>
  </si>
  <si>
    <t>Wire Size 1</t>
  </si>
  <si>
    <t>Carter Factor</t>
  </si>
  <si>
    <t>Volts / Turn</t>
  </si>
  <si>
    <t>Slot Data</t>
  </si>
  <si>
    <t>Wire Size 2</t>
  </si>
  <si>
    <t>Short. Factor</t>
  </si>
  <si>
    <t>Number</t>
  </si>
  <si>
    <t>// Circuits</t>
  </si>
  <si>
    <t>Distrib. Factor</t>
  </si>
  <si>
    <t>AC</t>
  </si>
  <si>
    <t>Kind</t>
  </si>
  <si>
    <t>Connection</t>
  </si>
  <si>
    <t>Wind. Factor</t>
  </si>
  <si>
    <t>Skew</t>
  </si>
  <si>
    <t>MCL</t>
  </si>
  <si>
    <t>Reactance</t>
  </si>
  <si>
    <t>Depth</t>
  </si>
  <si>
    <t>No.Cond./Ph.</t>
  </si>
  <si>
    <t>Running</t>
  </si>
  <si>
    <t>Start</t>
  </si>
  <si>
    <t>Width</t>
  </si>
  <si>
    <t>Stator Slot</t>
  </si>
  <si>
    <t>Opening</t>
  </si>
  <si>
    <t>Rotor Slot</t>
  </si>
  <si>
    <t>Tip Depth</t>
  </si>
  <si>
    <t>Material</t>
  </si>
  <si>
    <t>Zigzag</t>
  </si>
  <si>
    <t>T.Min.Wid.</t>
  </si>
  <si>
    <t>Spec.Resist.</t>
  </si>
  <si>
    <t>Coil End</t>
  </si>
  <si>
    <t>Low. R.</t>
  </si>
  <si>
    <t>Spec.Gravity</t>
  </si>
  <si>
    <t>Belt Leakage</t>
  </si>
  <si>
    <t>Up. R.</t>
  </si>
  <si>
    <t>Weight (kg)</t>
  </si>
  <si>
    <t>Total Resist.</t>
  </si>
  <si>
    <t>Wedge Dep.</t>
  </si>
  <si>
    <t>Wire 1</t>
  </si>
  <si>
    <t>Total React.</t>
  </si>
  <si>
    <t>Duct</t>
  </si>
  <si>
    <t>Wire 2</t>
  </si>
  <si>
    <t>Impedance</t>
  </si>
  <si>
    <t>Effective Depth (S=1)</t>
  </si>
  <si>
    <t>Magnetic Circuit Data</t>
  </si>
  <si>
    <t>Core Loss Data</t>
  </si>
  <si>
    <t>Res.=</t>
  </si>
  <si>
    <t>Length</t>
  </si>
  <si>
    <t>Section</t>
  </si>
  <si>
    <t>Density</t>
  </si>
  <si>
    <t>AT</t>
  </si>
  <si>
    <t>Volume</t>
  </si>
  <si>
    <t>Loss</t>
  </si>
  <si>
    <t>Reac.=</t>
  </si>
  <si>
    <t>Primary Core</t>
  </si>
  <si>
    <t>Excitation Data</t>
  </si>
  <si>
    <t>Tooth</t>
  </si>
  <si>
    <t>Excit.Amps</t>
  </si>
  <si>
    <t>Second.Core</t>
  </si>
  <si>
    <t>Total</t>
  </si>
  <si>
    <t>Core Loss</t>
  </si>
  <si>
    <t>Flux / Pole</t>
  </si>
  <si>
    <t>C.L.C.</t>
  </si>
  <si>
    <t>NoLoad</t>
  </si>
  <si>
    <t>S.F.C.</t>
  </si>
  <si>
    <t>Load Characteristics</t>
  </si>
  <si>
    <t>No Load Loss</t>
  </si>
  <si>
    <t>W.Loss</t>
  </si>
  <si>
    <t>Load (%)</t>
  </si>
  <si>
    <t>Primary Loss</t>
  </si>
  <si>
    <t>S.Loss</t>
  </si>
  <si>
    <t>Current (A)</t>
  </si>
  <si>
    <t>Second. Loss</t>
  </si>
  <si>
    <t>Total C.Loss</t>
  </si>
  <si>
    <t xml:space="preserve">Efficiency </t>
  </si>
  <si>
    <t>Frict.&amp; Wind.</t>
  </si>
  <si>
    <t>P.F.</t>
  </si>
  <si>
    <t>Starting Data</t>
  </si>
  <si>
    <t>Slip</t>
  </si>
  <si>
    <t>PF</t>
  </si>
  <si>
    <t xml:space="preserve">LRA </t>
  </si>
  <si>
    <t>%</t>
  </si>
  <si>
    <t>L (Inv., MH)</t>
  </si>
  <si>
    <t>LRT (kg.m)</t>
  </si>
  <si>
    <t>(No Load)</t>
  </si>
  <si>
    <t>Design Parameters (Full Load)</t>
  </si>
  <si>
    <t>Magnetic Pull  &amp; Thrust</t>
  </si>
  <si>
    <t>BDT (kW)</t>
  </si>
  <si>
    <t>IM/IW</t>
  </si>
  <si>
    <t>I*R1/E</t>
  </si>
  <si>
    <t>Rosenberg</t>
  </si>
  <si>
    <t>IW*X/E</t>
  </si>
  <si>
    <t>I*R2/E</t>
  </si>
  <si>
    <t>Schwisky</t>
  </si>
  <si>
    <t>Amps</t>
  </si>
  <si>
    <t>SUM</t>
  </si>
  <si>
    <t>Friction/OP.</t>
  </si>
  <si>
    <t>Tsurumi</t>
  </si>
  <si>
    <t>Max. Output</t>
  </si>
  <si>
    <t>IH/I</t>
  </si>
  <si>
    <t>Thrust (1mm)</t>
  </si>
  <si>
    <t>Efficiency</t>
  </si>
  <si>
    <t>Thrust (3 mm)</t>
  </si>
  <si>
    <t>Miscellaneous Data</t>
  </si>
  <si>
    <t>Slot Number</t>
  </si>
  <si>
    <t>Slit Width</t>
  </si>
  <si>
    <t>T.M.Wid.Low.</t>
  </si>
  <si>
    <t>Watt Rad.</t>
  </si>
  <si>
    <t>Coil Cur. Density</t>
  </si>
  <si>
    <t>Slit Depth</t>
  </si>
  <si>
    <t>Cal.T.W.Up.</t>
  </si>
  <si>
    <t>L.S.Up.Wid.</t>
  </si>
  <si>
    <t>Cal.M.T.Wid.</t>
  </si>
  <si>
    <t>Bar Cur. Den.</t>
  </si>
  <si>
    <t>L.S.Low.Wid.</t>
  </si>
  <si>
    <t>Up. Sl. Wid.</t>
  </si>
  <si>
    <t>L.S.Depth</t>
  </si>
  <si>
    <t>X2S</t>
  </si>
  <si>
    <t>IMC</t>
  </si>
  <si>
    <t>ER Cur. Den.</t>
  </si>
  <si>
    <t>Up. Sl. Dep.</t>
  </si>
  <si>
    <t>T.M.Wid.Up.</t>
  </si>
  <si>
    <t>X3S</t>
  </si>
  <si>
    <t>Coil Pitch Ct.</t>
  </si>
  <si>
    <t>Torque (%)</t>
  </si>
  <si>
    <t>Res.     (20°C)</t>
  </si>
  <si>
    <t xml:space="preserve">                              TOSHIBA INTERNATIONAL CORPORATION</t>
  </si>
  <si>
    <r>
      <t>DG</t>
    </r>
    <r>
      <rPr>
        <i/>
        <vertAlign val="superscript"/>
        <sz val="10"/>
        <rFont val="Times New Roman"/>
        <family val="1"/>
      </rPr>
      <t>2</t>
    </r>
    <r>
      <rPr>
        <i/>
        <sz val="10"/>
        <rFont val="Times New Roman"/>
        <family val="1"/>
      </rPr>
      <t>L(cm</t>
    </r>
    <r>
      <rPr>
        <i/>
        <vertAlign val="superscript"/>
        <sz val="10"/>
        <rFont val="Times New Roman"/>
        <family val="1"/>
      </rPr>
      <t>2</t>
    </r>
    <r>
      <rPr>
        <i/>
        <sz val="10"/>
        <rFont val="Times New Roman"/>
        <family val="1"/>
      </rPr>
      <t>)</t>
    </r>
  </si>
  <si>
    <r>
      <t>GD</t>
    </r>
    <r>
      <rPr>
        <i/>
        <vertAlign val="superscript"/>
        <sz val="10"/>
        <rFont val="Times New Roman"/>
        <family val="1"/>
      </rPr>
      <t>2</t>
    </r>
    <r>
      <rPr>
        <i/>
        <sz val="10"/>
        <rFont val="Times New Roman"/>
        <family val="1"/>
      </rPr>
      <t>L(kg.m</t>
    </r>
    <r>
      <rPr>
        <i/>
        <vertAlign val="superscript"/>
        <sz val="10"/>
        <rFont val="Times New Roman"/>
        <family val="1"/>
      </rPr>
      <t>2</t>
    </r>
    <r>
      <rPr>
        <i/>
        <sz val="10"/>
        <rFont val="Times New Roman"/>
        <family val="1"/>
      </rPr>
      <t>)</t>
    </r>
  </si>
  <si>
    <r>
      <t>DO</t>
    </r>
    <r>
      <rPr>
        <i/>
        <vertAlign val="superscript"/>
        <sz val="10"/>
        <rFont val="Times New Roman"/>
        <family val="1"/>
      </rPr>
      <t>2</t>
    </r>
    <r>
      <rPr>
        <i/>
        <sz val="10"/>
        <rFont val="Times New Roman"/>
        <family val="1"/>
      </rPr>
      <t>L(cm</t>
    </r>
    <r>
      <rPr>
        <i/>
        <vertAlign val="superscript"/>
        <sz val="10"/>
        <rFont val="Times New Roman"/>
        <family val="1"/>
      </rPr>
      <t>2</t>
    </r>
    <r>
      <rPr>
        <i/>
        <sz val="10"/>
        <rFont val="Times New Roman"/>
        <family val="1"/>
      </rPr>
      <t>)</t>
    </r>
  </si>
  <si>
    <t>HP</t>
  </si>
  <si>
    <t>Form</t>
  </si>
  <si>
    <t xml:space="preserve">             3-PHASE SQUIRREL CAGE INDUCTION MOTOR DESIGN SHEET</t>
  </si>
  <si>
    <t>-</t>
  </si>
  <si>
    <t>Temperature</t>
  </si>
  <si>
    <t>FCW4</t>
  </si>
  <si>
    <t>6810USS</t>
  </si>
  <si>
    <t>Open</t>
  </si>
  <si>
    <t>Trapeze</t>
  </si>
  <si>
    <t>17.30 - 17.30</t>
  </si>
  <si>
    <t>0.80 - 2.40</t>
  </si>
  <si>
    <t>Normal</t>
  </si>
  <si>
    <t>16 x 6</t>
  </si>
  <si>
    <t>6 x 6</t>
  </si>
  <si>
    <t>1 ~ 18</t>
  </si>
  <si>
    <t>(.091"x.258")x2</t>
  </si>
  <si>
    <t>Wye</t>
  </si>
  <si>
    <t>(105°C)</t>
  </si>
  <si>
    <t>CU</t>
  </si>
  <si>
    <t>ERD1: 328.0</t>
  </si>
  <si>
    <t>EBL: 62.5</t>
  </si>
  <si>
    <t>ERT: 65.54</t>
  </si>
  <si>
    <t>ERH: 57.50</t>
  </si>
  <si>
    <t>LB:  -</t>
  </si>
  <si>
    <t>LER:  -</t>
  </si>
  <si>
    <t>Single Cage Data</t>
  </si>
  <si>
    <t>UB: 322.1</t>
  </si>
  <si>
    <t>UER: 3768.4</t>
  </si>
  <si>
    <t>(Coeff.: 0.0245)</t>
  </si>
  <si>
    <t>Skew R.: 0.00</t>
  </si>
  <si>
    <t>Z:\Motor R&amp;D\Active Projects\6810 Development\Electrical Design\TEAAC\2P\Series\BS2M30U.rat</t>
  </si>
  <si>
    <t>2-2-2-0-1-2</t>
  </si>
  <si>
    <t>B.L.-1  P.F.-1</t>
  </si>
  <si>
    <t>8472.8 / 8557.6</t>
  </si>
  <si>
    <t>6032.3 / 5723.3</t>
  </si>
  <si>
    <t>28520.3 / 42373.2</t>
  </si>
  <si>
    <t>9225.0 / 29346.7</t>
  </si>
  <si>
    <t>18944.4 / 7716.0</t>
  </si>
  <si>
    <t>4898.0 / 1994.9</t>
  </si>
  <si>
    <t>14046.5 / 5721.1</t>
  </si>
  <si>
    <t>1.75 / 0.71</t>
  </si>
  <si>
    <t>69 / 68</t>
  </si>
  <si>
    <t>Temp. Rise @ 100%:</t>
  </si>
  <si>
    <t>Stray Loss</t>
  </si>
  <si>
    <t>0.904 / 0.887</t>
  </si>
  <si>
    <t>0.946 / 0.928</t>
  </si>
  <si>
    <t>0.958 / 0.941</t>
  </si>
  <si>
    <t>0.964 / 0.946</t>
  </si>
  <si>
    <t>0.965 / 0.947</t>
  </si>
  <si>
    <t>0.692 / 0.681</t>
  </si>
  <si>
    <t>0.864 / 0.850</t>
  </si>
  <si>
    <t>0.912 / 0.898</t>
  </si>
  <si>
    <t>0.929 / 0.914</t>
  </si>
  <si>
    <t>0.933 / 0.918</t>
  </si>
  <si>
    <t>64.49 / 66.80</t>
  </si>
  <si>
    <t>98.85 / 102.39</t>
  </si>
  <si>
    <t>138.50 / 143.46</t>
  </si>
  <si>
    <t>180.48 / 186.95</t>
  </si>
  <si>
    <t>224.06 / 232.08</t>
  </si>
  <si>
    <t>3.04 / 3.15</t>
  </si>
  <si>
    <t>UB: 4.34 / 4.49</t>
  </si>
  <si>
    <t>UER: 2.72 / 2.81</t>
  </si>
  <si>
    <t>3595.2 / 3595.5</t>
  </si>
  <si>
    <t>3590.5 / 3590.8</t>
  </si>
  <si>
    <t>3585.8 / 3586.1</t>
  </si>
  <si>
    <t>3581.1 / 3581.3</t>
  </si>
  <si>
    <t>3576.2 / 3576.5</t>
  </si>
  <si>
    <t>0.0013 / 0.0013</t>
  </si>
  <si>
    <t>0.0026 / 0.0026</t>
  </si>
  <si>
    <t>0.0039 / 0.0039</t>
  </si>
  <si>
    <t>0.0053 / 0.0052</t>
  </si>
  <si>
    <t>0.0066 / 0.0065</t>
  </si>
  <si>
    <t>42.421 / 42.486</t>
  </si>
  <si>
    <t>2.732 / 2.736</t>
  </si>
  <si>
    <t>42.51 / 42.57</t>
  </si>
  <si>
    <t>1218.2 / 1182.8</t>
  </si>
  <si>
    <t>675.0 / 655.4</t>
  </si>
  <si>
    <t>362.5 / 296.1</t>
  </si>
  <si>
    <t>119.1 / 97.3</t>
  </si>
  <si>
    <t>338.2 / 256.1</t>
  </si>
  <si>
    <t>Correlated to: P148450_TEAAC_CStubes_Lab1317.dat</t>
  </si>
  <si>
    <t>TOSHIBA INTERNATIONAL CORPORATION</t>
  </si>
  <si>
    <t>INDUCTION MOTOR DATA SHEET</t>
  </si>
  <si>
    <t>HRW / Model Number:</t>
  </si>
  <si>
    <t>Motor Type Selection</t>
  </si>
  <si>
    <t>Electrical Steel Table</t>
  </si>
  <si>
    <t>Motor Parameters</t>
  </si>
  <si>
    <t>PERFORMANCE</t>
  </si>
  <si>
    <t>DESIGN</t>
  </si>
  <si>
    <t>TEST</t>
  </si>
  <si>
    <t>EPACT</t>
  </si>
  <si>
    <t>M22 - 26Ga.</t>
  </si>
  <si>
    <t>NCB1 - 26Ga.</t>
  </si>
  <si>
    <t>NL &amp; Impedance Test</t>
  </si>
  <si>
    <t>EQP-III</t>
  </si>
  <si>
    <t>M36 - 26Ga.</t>
  </si>
  <si>
    <t>No load amps</t>
  </si>
  <si>
    <t>Exp.Prf.</t>
  </si>
  <si>
    <t>Stack length</t>
  </si>
  <si>
    <t>No load watts</t>
  </si>
  <si>
    <t>Exp.Prf.-EQPIII</t>
  </si>
  <si>
    <t>M43 - 26Ga.</t>
  </si>
  <si>
    <t>Number of turns per coil</t>
  </si>
  <si>
    <t>Impedance amps</t>
  </si>
  <si>
    <t>f</t>
  </si>
  <si>
    <t>Prem. Eff.</t>
  </si>
  <si>
    <t>M45 - 26Ga.</t>
  </si>
  <si>
    <t>Wire 1 (size &amp; number)</t>
  </si>
  <si>
    <t>Impedance volts</t>
  </si>
  <si>
    <t>OWP</t>
  </si>
  <si>
    <t>M54 - 26Ga.</t>
  </si>
  <si>
    <t>Wire 2 (size &amp; number)</t>
  </si>
  <si>
    <t>Impedance watts</t>
  </si>
  <si>
    <t>Dry Kiln</t>
  </si>
  <si>
    <r>
      <t xml:space="preserve">Slot fill - </t>
    </r>
    <r>
      <rPr>
        <i/>
        <sz val="9"/>
        <color indexed="8"/>
        <rFont val="Times New Roman"/>
        <family val="1"/>
      </rPr>
      <t>circle/square method (%)</t>
    </r>
  </si>
  <si>
    <t>Temperature Rise (°C)</t>
  </si>
  <si>
    <t>Winding</t>
  </si>
  <si>
    <t>80/115</t>
  </si>
  <si>
    <t>Allowance for ins. depth</t>
  </si>
  <si>
    <t xml:space="preserve">Bearing  PS/OS </t>
  </si>
  <si>
    <t>Allowance for ins. width</t>
  </si>
  <si>
    <t>Slot/Wire arrangement</t>
  </si>
  <si>
    <t>Nameplate Data</t>
  </si>
  <si>
    <t>Effective cross section for coil</t>
  </si>
  <si>
    <t>FLC (A)</t>
  </si>
  <si>
    <t>Coil grouping</t>
  </si>
  <si>
    <t>Coil pitch (slot number)</t>
  </si>
  <si>
    <t>CODE</t>
  </si>
  <si>
    <t>Method of coil connection</t>
  </si>
  <si>
    <t>S. F.</t>
  </si>
  <si>
    <t>Method of Connection</t>
  </si>
  <si>
    <t>Resistance per phase @ 20 °C</t>
  </si>
  <si>
    <t>B</t>
  </si>
  <si>
    <t>Skip</t>
  </si>
  <si>
    <t>Coil Weight</t>
  </si>
  <si>
    <t>Wire1</t>
  </si>
  <si>
    <t xml:space="preserve">Nom.Eff. (%): </t>
  </si>
  <si>
    <t>Adjacent</t>
  </si>
  <si>
    <t>(lbs.)</t>
  </si>
  <si>
    <t>Wire2</t>
  </si>
  <si>
    <t xml:space="preserve">Min.Eff. (%): </t>
  </si>
  <si>
    <r>
      <t>Current Densities (A/cm</t>
    </r>
    <r>
      <rPr>
        <b/>
        <i/>
        <vertAlign val="superscript"/>
        <sz val="12"/>
        <color indexed="8"/>
        <rFont val="Times New Roman"/>
        <family val="1"/>
      </rPr>
      <t>2</t>
    </r>
    <r>
      <rPr>
        <b/>
        <i/>
        <sz val="12"/>
        <color indexed="8"/>
        <rFont val="Times New Roman"/>
        <family val="1"/>
      </rPr>
      <t>)</t>
    </r>
  </si>
  <si>
    <t>Bar / ER</t>
  </si>
  <si>
    <t xml:space="preserve">P.F. (%): </t>
  </si>
  <si>
    <t>FL / LR</t>
  </si>
  <si>
    <t>Stator Slot Shape                                      (Reference)</t>
  </si>
  <si>
    <t>Performance</t>
  </si>
  <si>
    <t>LRC (A)</t>
  </si>
  <si>
    <t>LRT (%)</t>
  </si>
  <si>
    <t>BDT (%)</t>
  </si>
  <si>
    <t>SLIP (%)</t>
  </si>
  <si>
    <t>IEEE-B</t>
  </si>
  <si>
    <t>Eff. (%)</t>
  </si>
  <si>
    <t>Rotor Slot Shape                                       (Reference)</t>
  </si>
  <si>
    <t>PF (%)</t>
  </si>
  <si>
    <t>Losses (Watts)</t>
  </si>
  <si>
    <t>Core</t>
  </si>
  <si>
    <t>F &amp; W</t>
  </si>
  <si>
    <t xml:space="preserve">Stray </t>
  </si>
  <si>
    <t>End Ring                                                   (Reference)</t>
  </si>
  <si>
    <t>Note</t>
  </si>
  <si>
    <t>Approved</t>
  </si>
  <si>
    <t>Design</t>
  </si>
  <si>
    <t>Mario L</t>
  </si>
  <si>
    <t>Date</t>
  </si>
  <si>
    <t>P</t>
  </si>
  <si>
    <t>T</t>
  </si>
  <si>
    <t>L</t>
  </si>
  <si>
    <t>PROJECT HISTORY</t>
  </si>
  <si>
    <t>E</t>
  </si>
  <si>
    <t>D</t>
  </si>
  <si>
    <t>I</t>
  </si>
  <si>
    <t>Y</t>
  </si>
  <si>
    <t>H</t>
  </si>
  <si>
    <t>R</t>
  </si>
  <si>
    <t>M</t>
  </si>
  <si>
    <t>F</t>
  </si>
  <si>
    <t>C</t>
  </si>
  <si>
    <t>U</t>
  </si>
  <si>
    <t>N</t>
  </si>
  <si>
    <t>A</t>
  </si>
  <si>
    <t>S</t>
  </si>
  <si>
    <t>V</t>
  </si>
  <si>
    <t>DATE</t>
  </si>
  <si>
    <t>PROJECT</t>
  </si>
  <si>
    <t>SMART NUMBER</t>
  </si>
  <si>
    <t>QTY</t>
  </si>
  <si>
    <t>CUSTOMER</t>
  </si>
  <si>
    <t>REMARKS</t>
  </si>
  <si>
    <t>LIMIT CODE</t>
  </si>
  <si>
    <t>REVISION HISTORY</t>
  </si>
  <si>
    <t>REV</t>
  </si>
  <si>
    <t>INIT</t>
  </si>
  <si>
    <t>BS2M30U</t>
  </si>
  <si>
    <t>Type: TIKE - Form: FCW4 - 2 Pole - 1500 HP - 4000 V - 60 Hz - 6810USS - Class F</t>
  </si>
  <si>
    <t>18 x 2</t>
  </si>
  <si>
    <t>2 x Wye</t>
  </si>
  <si>
    <t xml:space="preserve"> - </t>
  </si>
  <si>
    <t>315 / 1993</t>
  </si>
  <si>
    <t>449 / 281</t>
  </si>
  <si>
    <t>Winding Data Calculation</t>
  </si>
  <si>
    <t>Coil Resistance</t>
  </si>
  <si>
    <t>Lead Resistance</t>
  </si>
  <si>
    <t>Coil Dimensions</t>
  </si>
  <si>
    <t>HM:</t>
  </si>
  <si>
    <t>WM:</t>
  </si>
  <si>
    <t>WT:</t>
  </si>
  <si>
    <t>Insulation Allowance</t>
  </si>
  <si>
    <t>Wire Weight</t>
  </si>
  <si>
    <t>Depth:</t>
  </si>
  <si>
    <t>Width:</t>
  </si>
  <si>
    <t>QC Resistance</t>
  </si>
  <si>
    <t>MCL: 1367.0</t>
  </si>
  <si>
    <t xml:space="preserve">9T: </t>
  </si>
  <si>
    <t/>
  </si>
  <si>
    <t>0.0148 ~ 0.0142</t>
  </si>
  <si>
    <t>0.00102</t>
  </si>
  <si>
    <t>9T: 22.60</t>
  </si>
  <si>
    <t>9T: 13.51</t>
  </si>
  <si>
    <t>17.40 ~ 17.00</t>
  </si>
  <si>
    <t>14.64</t>
  </si>
  <si>
    <t>3.79</t>
  </si>
  <si>
    <t xml:space="preserve"> (.091"x.258")x 2: </t>
  </si>
  <si>
    <t>789 lbs.</t>
  </si>
  <si>
    <t xml:space="preserve">1-2, 2-3, 3-1: </t>
  </si>
  <si>
    <t>0.137 ~ 0.129</t>
  </si>
  <si>
    <t>AWG. (02 x 2) x 3</t>
  </si>
  <si>
    <t>68 / 91</t>
  </si>
  <si>
    <t>S-T Curve Data (Custom Values)</t>
  </si>
  <si>
    <t>Current (%)</t>
  </si>
  <si>
    <t>Current(%)</t>
  </si>
  <si>
    <t>Speed Torque/Current Curve</t>
  </si>
  <si>
    <t>Model #:</t>
  </si>
  <si>
    <t>FLAmps:</t>
  </si>
  <si>
    <t>Enclosure:</t>
  </si>
  <si>
    <t>Voltage:</t>
  </si>
  <si>
    <t>Frame:</t>
  </si>
  <si>
    <t>Pole:</t>
  </si>
  <si>
    <t>Frequency:</t>
  </si>
  <si>
    <t>3 PH / 60 Hz</t>
  </si>
  <si>
    <t>Ins. Class:</t>
  </si>
  <si>
    <t>HP:</t>
  </si>
  <si>
    <t>Rotor Inertia:</t>
  </si>
  <si>
    <t>FLRPM:</t>
  </si>
  <si>
    <t>Load Inertia:</t>
  </si>
  <si>
    <t>N/A</t>
  </si>
  <si>
    <t>Locked Rotor Amps:</t>
  </si>
  <si>
    <t>Load Type:</t>
  </si>
  <si>
    <t>Locked Rotor Torque:</t>
  </si>
  <si>
    <t>Starting at:</t>
  </si>
  <si>
    <t>Breakdown Torque:</t>
  </si>
  <si>
    <t>Accel. Time:</t>
  </si>
  <si>
    <t>Rated Torque:</t>
  </si>
  <si>
    <t>Comments:</t>
  </si>
  <si>
    <t>D.E.Curve #:</t>
  </si>
  <si>
    <t>Prepared by:</t>
  </si>
  <si>
    <t>Checked by:</t>
  </si>
  <si>
    <t>4000 V</t>
  </si>
  <si>
    <t>424.1 lb-ft²</t>
  </si>
  <si>
    <t>1183 A</t>
  </si>
  <si>
    <t>Load</t>
  </si>
  <si>
    <t>Fan / Pump</t>
  </si>
  <si>
    <t>Acceleration Data (FV V)</t>
  </si>
  <si>
    <t>304.4 kg.m</t>
  </si>
  <si>
    <t>Rating:</t>
  </si>
  <si>
    <t>Starting Performance</t>
  </si>
  <si>
    <t>Motor</t>
  </si>
  <si>
    <t xml:space="preserve">Load </t>
  </si>
  <si>
    <t>Accel.</t>
  </si>
  <si>
    <t xml:space="preserve"> Line</t>
  </si>
  <si>
    <t>Stator</t>
  </si>
  <si>
    <t>Rotor</t>
  </si>
  <si>
    <t>Speed Increment</t>
  </si>
  <si>
    <t>Time (s)</t>
  </si>
  <si>
    <t>kW / s</t>
  </si>
  <si>
    <t>Energy</t>
  </si>
  <si>
    <t>First Start</t>
  </si>
  <si>
    <t>Second Start</t>
  </si>
  <si>
    <t>Stator Winding Rise</t>
  </si>
  <si>
    <t>Rotor Bar Rise</t>
  </si>
  <si>
    <t>End Ring Rise</t>
  </si>
  <si>
    <t>Locked Rotor Thermal Capability</t>
  </si>
  <si>
    <t>Cold Condition</t>
  </si>
  <si>
    <t>Rate of Rise</t>
  </si>
  <si>
    <t>Power</t>
  </si>
  <si>
    <t>Rise Limit</t>
  </si>
  <si>
    <t>Max Time</t>
  </si>
  <si>
    <t>Stator Copper</t>
  </si>
  <si>
    <t>160°C</t>
  </si>
  <si>
    <t>Rotor Bar</t>
  </si>
  <si>
    <t>260°C</t>
  </si>
  <si>
    <t>Rotor ER</t>
  </si>
  <si>
    <t>180°C</t>
  </si>
  <si>
    <t>Hot Condition</t>
  </si>
  <si>
    <t>Hot Temp.</t>
  </si>
  <si>
    <t>Ambient</t>
  </si>
  <si>
    <t>Max.Time</t>
  </si>
  <si>
    <t>40°C</t>
  </si>
  <si>
    <t>=    200°C</t>
  </si>
  <si>
    <t>=    300°C</t>
  </si>
  <si>
    <t>=    220°C</t>
  </si>
  <si>
    <t>Cold Stall Time:</t>
  </si>
  <si>
    <t>Hot Stall Time:</t>
  </si>
  <si>
    <t>2 Pole - 1500.0 HP - 3600 RPM - 4000 V - 60 Hz</t>
  </si>
  <si>
    <t>0~375</t>
  </si>
  <si>
    <t>375~750</t>
  </si>
  <si>
    <t>750~1125</t>
  </si>
  <si>
    <t>1125~1501</t>
  </si>
  <si>
    <t>1501~1876</t>
  </si>
  <si>
    <t>1876~2251</t>
  </si>
  <si>
    <t>2251~2626</t>
  </si>
  <si>
    <t>2626~3001</t>
  </si>
  <si>
    <t>3001~3189</t>
  </si>
  <si>
    <t>3189~3376</t>
  </si>
  <si>
    <t>3376~3564</t>
  </si>
  <si>
    <t>3564~3593</t>
  </si>
  <si>
    <t>3593~3600</t>
  </si>
  <si>
    <t>95.1</t>
  </si>
  <si>
    <t>95.3</t>
  </si>
  <si>
    <t>95.6</t>
  </si>
  <si>
    <t>96.2</t>
  </si>
  <si>
    <t>97.3</t>
  </si>
  <si>
    <t>99.0</t>
  </si>
  <si>
    <t>101.8</t>
  </si>
  <si>
    <t>107.4</t>
  </si>
  <si>
    <t>117.3</t>
  </si>
  <si>
    <t>137.6</t>
  </si>
  <si>
    <t>203.4</t>
  </si>
  <si>
    <t>193.4</t>
  </si>
  <si>
    <t>115.9</t>
  </si>
  <si>
    <t>22.4</t>
  </si>
  <si>
    <t>11.3</t>
  </si>
  <si>
    <t>7.0</t>
  </si>
  <si>
    <t>7.6</t>
  </si>
  <si>
    <t>12.3</t>
  </si>
  <si>
    <t>20.2</t>
  </si>
  <si>
    <t>31.4</t>
  </si>
  <si>
    <t>47.7</t>
  </si>
  <si>
    <t>63.9</t>
  </si>
  <si>
    <t>77.1</t>
  </si>
  <si>
    <t>90.9</t>
  </si>
  <si>
    <t>98.8</t>
  </si>
  <si>
    <t>99.8</t>
  </si>
  <si>
    <t>1181.0</t>
  </si>
  <si>
    <t>1176.6</t>
  </si>
  <si>
    <t>1171.4</t>
  </si>
  <si>
    <t>1165.3</t>
  </si>
  <si>
    <t>1158.0</t>
  </si>
  <si>
    <t>1149.3</t>
  </si>
  <si>
    <t>1138.9</t>
  </si>
  <si>
    <t>1124.5</t>
  </si>
  <si>
    <t>1107.1</t>
  </si>
  <si>
    <t>1077.7</t>
  </si>
  <si>
    <t>979.0</t>
  </si>
  <si>
    <t>600.2</t>
  </si>
  <si>
    <t>189.4</t>
  </si>
  <si>
    <t>3.1°C / s</t>
  </si>
  <si>
    <t>21.0°C / s</t>
  </si>
  <si>
    <t>8.0°C / s</t>
  </si>
  <si>
    <t>424.4 kW</t>
  </si>
  <si>
    <t>803.6 kW</t>
  </si>
  <si>
    <t>259.4 kW</t>
  </si>
  <si>
    <t>50.9 s</t>
  </si>
  <si>
    <t>12.4 s</t>
  </si>
  <si>
    <t>22.6 s</t>
  </si>
  <si>
    <t>68°C    +</t>
  </si>
  <si>
    <t>91°C    +</t>
  </si>
  <si>
    <t>92°C    +</t>
  </si>
  <si>
    <t>169°C   +</t>
  </si>
  <si>
    <t>89°C   +</t>
  </si>
  <si>
    <t>29.3 s</t>
  </si>
  <si>
    <t>8.1 s</t>
  </si>
  <si>
    <t>11.2 s</t>
  </si>
  <si>
    <t>25.2 s</t>
  </si>
  <si>
    <t>12.5 s</t>
  </si>
  <si>
    <t>Thermal Limit &amp; Acceleration Curves</t>
  </si>
  <si>
    <t>Design Values (For Reference Only)</t>
  </si>
  <si>
    <t>Cold</t>
  </si>
  <si>
    <t>Hot</t>
  </si>
  <si>
    <t>CURRENT (%)</t>
  </si>
  <si>
    <t>Accel. Time</t>
  </si>
  <si>
    <t>Magnetic Noise Verification</t>
  </si>
  <si>
    <t>Electromagnetic Excitation Frequencies</t>
  </si>
  <si>
    <t>L =</t>
  </si>
  <si>
    <t>+ 1</t>
  </si>
  <si>
    <t>- 1</t>
  </si>
  <si>
    <t>Slip =</t>
  </si>
  <si>
    <t>Mode A</t>
  </si>
  <si>
    <t>Mode B</t>
  </si>
  <si>
    <t>Mode C</t>
  </si>
  <si>
    <t>Natural Frequencies of Stator Core</t>
  </si>
  <si>
    <t>Mode 0  =</t>
  </si>
  <si>
    <t>Mode 6  =</t>
  </si>
  <si>
    <t>Mode 2  =</t>
  </si>
  <si>
    <t>Mode 7  =</t>
  </si>
  <si>
    <t>Mode 3  =</t>
  </si>
  <si>
    <t>Mode 8  =</t>
  </si>
  <si>
    <t>Mode 4  =</t>
  </si>
  <si>
    <t>Mode 9  =</t>
  </si>
  <si>
    <t>Mode 5  =</t>
  </si>
  <si>
    <t>Mode 10  =</t>
  </si>
  <si>
    <t>Analysis Results</t>
  </si>
  <si>
    <t>2880.0 Hz</t>
  </si>
  <si>
    <t>2865.5 Hz</t>
  </si>
  <si>
    <t>2640.0 Hz</t>
  </si>
  <si>
    <t>2625.5 Hz</t>
  </si>
  <si>
    <t>2760.0 Hz</t>
  </si>
  <si>
    <t>2745.5 Hz</t>
  </si>
  <si>
    <t>1483.0 Hz</t>
  </si>
  <si>
    <t>354.0 Hz</t>
  </si>
  <si>
    <t>1001.2 Hz</t>
  </si>
  <si>
    <t>1919.7 Hz</t>
  </si>
  <si>
    <t>3104.5 Hz</t>
  </si>
  <si>
    <t>4554.3 Hz</t>
  </si>
  <si>
    <t>6268.4 Hz</t>
  </si>
  <si>
    <t>8246.6 Hz</t>
  </si>
  <si>
    <t>10488.8 Hz</t>
  </si>
  <si>
    <t>12995.0 Hz</t>
  </si>
  <si>
    <t>No matching frequencies detected.</t>
  </si>
  <si>
    <t>Performance Curve</t>
  </si>
  <si>
    <t>Input Watts</t>
  </si>
  <si>
    <t>INDEX</t>
  </si>
  <si>
    <t>MPCF-1033</t>
  </si>
  <si>
    <t>Industrial Division / Houston Motor Plant</t>
  </si>
  <si>
    <t>SHEET NO.</t>
  </si>
  <si>
    <t>1 of 1</t>
  </si>
  <si>
    <t>ISSUED</t>
  </si>
  <si>
    <t>SUPERSEDES</t>
  </si>
  <si>
    <t>REVISION</t>
  </si>
  <si>
    <t>SQUIRREL CAGE INDUCTION MOTOR</t>
  </si>
  <si>
    <t>WRITTEN BY</t>
  </si>
  <si>
    <t>PERFORMANCE SPECIFICATIONS</t>
  </si>
  <si>
    <t>APPROVED BY</t>
  </si>
  <si>
    <t>CUSTOMER:</t>
  </si>
  <si>
    <t>TIC SR No.:</t>
  </si>
  <si>
    <t>MOTOR NAMEPLATE DATA</t>
  </si>
  <si>
    <t>H.P.:</t>
  </si>
  <si>
    <t>VOLTS:</t>
  </si>
  <si>
    <t>3 PH /</t>
  </si>
  <si>
    <t>S. RPM:</t>
  </si>
  <si>
    <t>FRAME:</t>
  </si>
  <si>
    <t>ENCL:</t>
  </si>
  <si>
    <t>FLAMPS:</t>
  </si>
  <si>
    <t>FORM:</t>
  </si>
  <si>
    <t>S.F.:</t>
  </si>
  <si>
    <t>NEMA DESIGN:</t>
  </si>
  <si>
    <t>INSUL CLASS:</t>
  </si>
  <si>
    <t>TYPE:</t>
  </si>
  <si>
    <t>AMB.:</t>
  </si>
  <si>
    <t>CODE:</t>
  </si>
  <si>
    <t>DUTY:</t>
  </si>
  <si>
    <t>Cont.</t>
  </si>
  <si>
    <t>MODEL No.:</t>
  </si>
  <si>
    <t>kW:</t>
  </si>
  <si>
    <t>NOM. EFF.:</t>
  </si>
  <si>
    <t>MIN. EFF.:</t>
  </si>
  <si>
    <t>P.F.:</t>
  </si>
  <si>
    <t>AMPERAGE</t>
  </si>
  <si>
    <t>TORQUES</t>
  </si>
  <si>
    <t>**BEARINGS:</t>
  </si>
  <si>
    <t>LOCKED ROTOR:</t>
  </si>
  <si>
    <t>FULL LOAD (lb-ft.):</t>
  </si>
  <si>
    <t>DRIVE END:</t>
  </si>
  <si>
    <t>LOCKED ROTOR (%):</t>
  </si>
  <si>
    <t>OPPOSITE DRIVE END:</t>
  </si>
  <si>
    <t>BREAK DOWN (%):</t>
  </si>
  <si>
    <t>EFFICIENCY</t>
  </si>
  <si>
    <t>POWER FACTOR</t>
  </si>
  <si>
    <t>FULL LOAD:</t>
  </si>
  <si>
    <t>3/4 LOAD:</t>
  </si>
  <si>
    <t>1/2 LOAD:</t>
  </si>
  <si>
    <t>ALL CHARACTERISTICS ARE AVERAGE EXPECTED VALUES BASED UPON RATED VOLTAGE,</t>
  </si>
  <si>
    <t>FREQUENCY AND SINEWAVE POWER INPUT.</t>
  </si>
  <si>
    <t xml:space="preserve">THE DECLARED LOCKED ROTOR CURRENT HAS A TOLERANCE OF 20%.  </t>
  </si>
  <si>
    <t>* TEMPERATURE RISE WILL BE CONSISTENT WITH INSULATION, AMBIENT AND SERVICE FACTOR AS</t>
  </si>
  <si>
    <t>DEFINED BY NEMA-MG-12  OR  -20.</t>
  </si>
  <si>
    <t>** BEARINGS ARE THE ONLY RECOMMENDED SPARE PART(S).</t>
  </si>
  <si>
    <t>CERTIFIED BY:</t>
  </si>
  <si>
    <t>DATE:</t>
  </si>
  <si>
    <t>TEFC</t>
  </si>
  <si>
    <t>6206UU</t>
  </si>
  <si>
    <t>ODP</t>
  </si>
  <si>
    <t>6207ZZ</t>
  </si>
  <si>
    <t>6208UU</t>
  </si>
  <si>
    <t>6211ZZ</t>
  </si>
  <si>
    <t>6211C3</t>
  </si>
  <si>
    <t>6211ZZC3</t>
  </si>
  <si>
    <t>6305UUC3</t>
  </si>
  <si>
    <t>6306UUC3</t>
  </si>
  <si>
    <t>6308C3</t>
  </si>
  <si>
    <t>6308UU</t>
  </si>
  <si>
    <t>6308ZC3</t>
  </si>
  <si>
    <t>6309UU</t>
  </si>
  <si>
    <t>6309UUC3</t>
  </si>
  <si>
    <t>6309C3</t>
  </si>
  <si>
    <t>6309C3XS</t>
  </si>
  <si>
    <t>6309ZC3</t>
  </si>
  <si>
    <t>6310ZZ</t>
  </si>
  <si>
    <t>6310C3</t>
  </si>
  <si>
    <t>6310C3XS</t>
  </si>
  <si>
    <t>6310ZZC3</t>
  </si>
  <si>
    <t>6312C3</t>
  </si>
  <si>
    <t>6312ZZ</t>
  </si>
  <si>
    <t>6312ZZC3</t>
  </si>
  <si>
    <t>6312C3XS</t>
  </si>
  <si>
    <t>6313ZZ</t>
  </si>
  <si>
    <t>6313ZZC3</t>
  </si>
  <si>
    <t>6313C3</t>
  </si>
  <si>
    <t>6314C3</t>
  </si>
  <si>
    <t>6317C3</t>
  </si>
  <si>
    <t>NU318</t>
  </si>
  <si>
    <t>6318C3</t>
  </si>
  <si>
    <t>NU318C3</t>
  </si>
  <si>
    <t>6320C3</t>
  </si>
  <si>
    <t>NU322</t>
  </si>
  <si>
    <t>NU322C3</t>
  </si>
  <si>
    <t>NU324C3</t>
  </si>
  <si>
    <t>6314C3XS</t>
  </si>
  <si>
    <t>6317C3XS</t>
  </si>
  <si>
    <t>TIKE</t>
  </si>
  <si>
    <t>60 Hz</t>
  </si>
  <si>
    <t>M303TCQL11F-C</t>
  </si>
  <si>
    <t>2200 lb-ft</t>
  </si>
  <si>
    <t>TEAAC</t>
  </si>
  <si>
    <t>Outer Fan: DT360</t>
  </si>
  <si>
    <t>Rev 0: First Issue</t>
  </si>
  <si>
    <t>Limits: BS2M30U</t>
  </si>
  <si>
    <t>M9-90 INS</t>
  </si>
  <si>
    <t>76.0 kg.m²</t>
  </si>
  <si>
    <t>6.2 (s)</t>
  </si>
  <si>
    <t>Load Type: Fan / Pump - 451.0 lb-ft²</t>
  </si>
  <si>
    <t>0.667</t>
  </si>
  <si>
    <t>242.8</t>
  </si>
  <si>
    <t>860.4</t>
  </si>
  <si>
    <t>0.577</t>
  </si>
  <si>
    <t>208.7</t>
  </si>
  <si>
    <t>668.0</t>
  </si>
  <si>
    <t>0.547</t>
  </si>
  <si>
    <t>196.3</t>
  </si>
  <si>
    <t>561.2</t>
  </si>
  <si>
    <t>194.4</t>
  </si>
  <si>
    <t>489.6</t>
  </si>
  <si>
    <t>0.571</t>
  </si>
  <si>
    <t>200.6</t>
  </si>
  <si>
    <t>437.0</t>
  </si>
  <si>
    <t>0.616</t>
  </si>
  <si>
    <t>213.4</t>
  </si>
  <si>
    <t>392.4</t>
  </si>
  <si>
    <t>0.689</t>
  </si>
  <si>
    <t>234.7</t>
  </si>
  <si>
    <t>350.6</t>
  </si>
  <si>
    <t>0.814</t>
  </si>
  <si>
    <t>271.7</t>
  </si>
  <si>
    <t>309.6</t>
  </si>
  <si>
    <t>0.454</t>
  </si>
  <si>
    <t>147.0</t>
  </si>
  <si>
    <t>227.9</t>
  </si>
  <si>
    <t>0.401</t>
  </si>
  <si>
    <t>125.8</t>
  </si>
  <si>
    <t>153.4</t>
  </si>
  <si>
    <t>0.215</t>
  </si>
  <si>
    <t>62.6</t>
  </si>
  <si>
    <t>55.2</t>
  </si>
  <si>
    <t>0.039</t>
  </si>
  <si>
    <t>8.3</t>
  </si>
  <si>
    <t>17.7</t>
  </si>
  <si>
    <t>0.058</t>
  </si>
  <si>
    <t>0.5</t>
  </si>
  <si>
    <t>28.3</t>
  </si>
  <si>
    <t>Acceleration Time:  6.2 s</t>
  </si>
  <si>
    <t>2107 kW / s</t>
  </si>
  <si>
    <t>16°C</t>
  </si>
  <si>
    <t>31°C</t>
  </si>
  <si>
    <t>3441 kW / s</t>
  </si>
  <si>
    <t>90°C</t>
  </si>
  <si>
    <t>179°C</t>
  </si>
  <si>
    <t>1111 kW / s</t>
  </si>
  <si>
    <t>34°C</t>
  </si>
  <si>
    <t>68°C</t>
  </si>
  <si>
    <t>451.0 lb-ft²</t>
  </si>
  <si>
    <t>135-M147-201</t>
  </si>
  <si>
    <t>RSO2: 400-TA14-02P</t>
  </si>
  <si>
    <t>Type: TIKE - Form: FCW4 - 2 Pole - 1500 HP - 2300 / 4000 V - 60 Hz - 6810USS - Class F</t>
  </si>
  <si>
    <t>74 / 43</t>
  </si>
  <si>
    <t>Standard Eff.</t>
  </si>
  <si>
    <t>TIPA Lam</t>
  </si>
  <si>
    <t>2D / 2Y</t>
  </si>
  <si>
    <t>69 / 91</t>
  </si>
  <si>
    <t>324 / 187</t>
  </si>
  <si>
    <t>2049/ 1183</t>
  </si>
  <si>
    <t>Z.XIE</t>
  </si>
  <si>
    <t>7/31/13</t>
  </si>
  <si>
    <t>11/8/96</t>
  </si>
  <si>
    <t>MDC</t>
  </si>
  <si>
    <t>PAA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</si>
</sst>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164" formatCode="0.0000"/>
    <numFmt numFmtId="165" formatCode="0.000"/>
    <numFmt numFmtId="166" formatCode="0.0"/>
    <numFmt numFmtId="167" formatCode="0.0%"/>
    <numFmt numFmtId="168" formatCode=".0000"/>
    <numFmt numFmtId="169" formatCode="mm/dd/yy"/>
    <numFmt numFmtId="170" formatCode="0.00_);\(0.00\)"/>
    <numFmt numFmtId="171" formatCode="General_)"/>
  </numFmts>
  <fonts count="75">
    <font>
      <sz val="10"/>
      <name val="Arial"/>
    </font>
    <font>
      <sz val="10"/>
      <name val="Arial"/>
      <family val="2"/>
    </font>
    <font>
      <sz val="10"/>
      <name val="Times New Roman"/>
      <family val="1"/>
    </font>
    <font>
      <i/>
      <sz val="10"/>
      <name val="Times New Roman"/>
      <family val="1"/>
    </font>
    <font>
      <b/>
      <i/>
      <sz val="10"/>
      <name val="Times New Roman"/>
      <family val="1"/>
    </font>
    <font>
      <sz val="8"/>
      <name val="Times New Roman"/>
      <family val="1"/>
    </font>
    <font>
      <b/>
      <sz val="14"/>
      <name val="Times New Roman"/>
      <family val="1"/>
    </font>
    <font>
      <i/>
      <sz val="10"/>
      <name val="Times New Roman"/>
      <family val="1"/>
    </font>
    <font>
      <b/>
      <i/>
      <sz val="10"/>
      <name val="Times New Roman"/>
      <family val="1"/>
    </font>
    <font>
      <sz val="10"/>
      <name val="Times New Roman"/>
      <family val="1"/>
    </font>
    <font>
      <i/>
      <sz val="9"/>
      <name val="Times New Roman"/>
      <family val="1"/>
    </font>
    <font>
      <b/>
      <i/>
      <sz val="10"/>
      <name val="Times New Roman"/>
      <family val="1"/>
    </font>
    <font>
      <i/>
      <sz val="10"/>
      <name val="Times New Roman"/>
      <family val="1"/>
    </font>
    <font>
      <i/>
      <vertAlign val="superscript"/>
      <sz val="10"/>
      <name val="Times New Roman"/>
      <family val="1"/>
    </font>
    <font>
      <b/>
      <sz val="10"/>
      <name val="Times New Roman"/>
      <family val="1"/>
    </font>
    <font>
      <sz val="12"/>
      <name val="Univers (W1)"/>
    </font>
    <font>
      <b/>
      <sz val="16"/>
      <name val="Times New Roman"/>
      <family val="1"/>
    </font>
    <font>
      <sz val="9"/>
      <color indexed="8"/>
      <name val="Times New Roman"/>
      <family val="1"/>
    </font>
    <font>
      <sz val="12"/>
      <color indexed="8"/>
      <name val="Univers (W1)"/>
    </font>
    <font>
      <b/>
      <sz val="14"/>
      <color indexed="8"/>
      <name val="Times New Roman"/>
      <family val="1"/>
    </font>
    <font>
      <b/>
      <i/>
      <sz val="12"/>
      <color indexed="8"/>
      <name val="Times New Roman"/>
      <family val="1"/>
    </font>
    <font>
      <sz val="12"/>
      <color indexed="8"/>
      <name val="Times New Roman"/>
      <family val="1"/>
    </font>
    <font>
      <sz val="11"/>
      <color indexed="8"/>
      <name val="Times New Roman"/>
      <family val="1"/>
    </font>
    <font>
      <b/>
      <sz val="12"/>
      <name val="Times New Roman"/>
      <family val="1"/>
    </font>
    <font>
      <sz val="10"/>
      <color indexed="8"/>
      <name val="Times New Roman"/>
      <family val="1"/>
    </font>
    <font>
      <b/>
      <sz val="12"/>
      <color indexed="8"/>
      <name val="Times New Roman"/>
      <family val="1"/>
    </font>
    <font>
      <sz val="10"/>
      <color indexed="8"/>
      <name val="Univers (W1)"/>
    </font>
    <font>
      <b/>
      <i/>
      <sz val="11"/>
      <color indexed="8"/>
      <name val="Times New Roman"/>
      <family val="1"/>
    </font>
    <font>
      <sz val="8"/>
      <color indexed="8"/>
      <name val="Times New Roman"/>
      <family val="1"/>
    </font>
    <font>
      <i/>
      <sz val="10"/>
      <color indexed="8"/>
      <name val="Times New Roman"/>
      <family val="1"/>
    </font>
    <font>
      <b/>
      <sz val="11"/>
      <color indexed="8"/>
      <name val="Univers (W1)"/>
      <family val="2"/>
    </font>
    <font>
      <b/>
      <sz val="10"/>
      <color indexed="8"/>
      <name val="Univers (W1)"/>
    </font>
    <font>
      <i/>
      <sz val="11"/>
      <color indexed="8"/>
      <name val="Times New Roman"/>
      <family val="1"/>
    </font>
    <font>
      <b/>
      <i/>
      <sz val="11"/>
      <color indexed="8"/>
      <name val="Univers (W1)"/>
      <family val="2"/>
    </font>
    <font>
      <i/>
      <sz val="11"/>
      <color indexed="8"/>
      <name val="Symbol"/>
      <family val="1"/>
      <charset val="2"/>
    </font>
    <font>
      <i/>
      <sz val="9"/>
      <color indexed="8"/>
      <name val="Times New Roman"/>
      <family val="1"/>
    </font>
    <font>
      <i/>
      <sz val="8"/>
      <color indexed="8"/>
      <name val="Times New Roman"/>
      <family val="1"/>
    </font>
    <font>
      <b/>
      <sz val="10"/>
      <color indexed="8"/>
      <name val="Times New Roman"/>
      <family val="1"/>
    </font>
    <font>
      <b/>
      <i/>
      <vertAlign val="superscript"/>
      <sz val="12"/>
      <color indexed="8"/>
      <name val="Times New Roman"/>
      <family val="1"/>
    </font>
    <font>
      <b/>
      <i/>
      <sz val="10"/>
      <color indexed="8"/>
      <name val="Times New Roman"/>
      <family val="1"/>
    </font>
    <font>
      <u/>
      <sz val="10"/>
      <color indexed="8"/>
      <name val="Univers (W1)"/>
    </font>
    <font>
      <sz val="20"/>
      <color indexed="8"/>
      <name val="WP Greek Century"/>
      <charset val="2"/>
    </font>
    <font>
      <sz val="10"/>
      <color indexed="8"/>
      <name val="WP Greek Century"/>
      <charset val="2"/>
    </font>
    <font>
      <b/>
      <i/>
      <sz val="12"/>
      <color indexed="8"/>
      <name val="Brush Script MT"/>
      <family val="4"/>
    </font>
    <font>
      <b/>
      <sz val="8"/>
      <color indexed="81"/>
      <name val="Tahoma"/>
      <family val="2"/>
    </font>
    <font>
      <sz val="8"/>
      <color indexed="81"/>
      <name val="Tahoma"/>
      <family val="2"/>
    </font>
    <font>
      <b/>
      <sz val="10"/>
      <name val="Arial"/>
      <family val="2"/>
    </font>
    <font>
      <b/>
      <sz val="14"/>
      <name val="Arial"/>
      <family val="2"/>
    </font>
    <font>
      <b/>
      <sz val="12"/>
      <name val="Arial"/>
      <family val="2"/>
    </font>
    <font>
      <sz val="12"/>
      <name val="Times New Roman"/>
      <family val="1"/>
    </font>
    <font>
      <b/>
      <i/>
      <sz val="14"/>
      <name val="Times New Roman"/>
      <family val="1"/>
    </font>
    <font>
      <b/>
      <i/>
      <sz val="12"/>
      <name val="Times New Roman"/>
      <family val="1"/>
    </font>
    <font>
      <sz val="14"/>
      <name val="Times New Roman"/>
      <family val="1"/>
    </font>
    <font>
      <b/>
      <u/>
      <sz val="22"/>
      <name val="Times New Roman"/>
      <family val="1"/>
    </font>
    <font>
      <b/>
      <u/>
      <sz val="16"/>
      <name val="Times New Roman"/>
      <family val="1"/>
    </font>
    <font>
      <sz val="10"/>
      <name val="Arial"/>
      <family val="2"/>
    </font>
    <font>
      <i/>
      <sz val="12"/>
      <name val="Times New Roman"/>
      <family val="1"/>
    </font>
    <font>
      <b/>
      <i/>
      <u/>
      <sz val="14"/>
      <name val="Times New Roman"/>
      <family val="1"/>
    </font>
    <font>
      <sz val="10"/>
      <color indexed="9"/>
      <name val="Arial"/>
      <family val="2"/>
    </font>
    <font>
      <sz val="10"/>
      <color indexed="8"/>
      <name val="Arial"/>
      <family val="2"/>
    </font>
    <font>
      <b/>
      <i/>
      <u/>
      <sz val="16"/>
      <name val="Times New Roman"/>
      <family val="1"/>
    </font>
    <font>
      <sz val="10"/>
      <color indexed="10"/>
      <name val="Arial"/>
      <family val="2"/>
    </font>
    <font>
      <sz val="12"/>
      <name val="Helv"/>
    </font>
    <font>
      <sz val="14"/>
      <name val="Univers (W1)"/>
      <family val="2"/>
    </font>
    <font>
      <sz val="8"/>
      <name val="Univers (W1)"/>
      <family val="2"/>
    </font>
    <font>
      <sz val="10"/>
      <name val="Univers (W1)"/>
      <family val="2"/>
    </font>
    <font>
      <sz val="12"/>
      <name val="Univers (W1)"/>
      <family val="2"/>
    </font>
    <font>
      <sz val="15"/>
      <name val="Univers (W1)"/>
      <family val="2"/>
    </font>
    <font>
      <sz val="12"/>
      <name val="Script"/>
      <family val="4"/>
      <charset val="255"/>
    </font>
    <font>
      <sz val="9"/>
      <name val="Univers (W1)"/>
      <family val="2"/>
    </font>
    <font>
      <sz val="13"/>
      <name val="Univers (W1)"/>
      <family val="2"/>
    </font>
    <font>
      <b/>
      <sz val="10"/>
      <name val="Univers (W1)"/>
      <family val="2"/>
    </font>
    <font>
      <sz val="9"/>
      <name val="Univers (W1)"/>
    </font>
    <font>
      <b/>
      <sz val="13"/>
      <name val="Univers (W1)"/>
      <family val="2"/>
    </font>
    <font>
      <sz val="12"/>
      <name val="Lucida Handwriting"/>
      <family val="4"/>
    </font>
  </fonts>
  <fills count="3">
    <fill>
      <patternFill patternType="none"/>
    </fill>
    <fill>
      <patternFill patternType="gray125"/>
    </fill>
    <fill>
      <patternFill patternType="solid">
        <fgColor indexed="9"/>
        <bgColor indexed="64"/>
      </patternFill>
    </fill>
  </fills>
  <borders count="148">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medium">
        <color indexed="64"/>
      </top>
      <bottom/>
      <diagonal/>
    </border>
    <border>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medium">
        <color indexed="64"/>
      </left>
      <right style="thin">
        <color indexed="64"/>
      </right>
      <top/>
      <bottom/>
      <diagonal/>
    </border>
    <border>
      <left/>
      <right style="medium">
        <color indexed="64"/>
      </right>
      <top/>
      <bottom/>
      <diagonal/>
    </border>
    <border>
      <left style="thin">
        <color indexed="64"/>
      </left>
      <right style="thin">
        <color indexed="64"/>
      </right>
      <top style="medium">
        <color indexed="64"/>
      </top>
      <bottom style="thin">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right style="medium">
        <color indexed="64"/>
      </right>
      <top style="thin">
        <color indexed="64"/>
      </top>
      <bottom/>
      <diagonal/>
    </border>
    <border>
      <left style="thin">
        <color indexed="64"/>
      </left>
      <right style="thin">
        <color indexed="64"/>
      </right>
      <top/>
      <bottom style="thin">
        <color indexed="64"/>
      </bottom>
      <diagonal/>
    </border>
    <border>
      <left/>
      <right style="medium">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style="medium">
        <color indexed="64"/>
      </left>
      <right style="thin">
        <color indexed="64"/>
      </right>
      <top/>
      <bottom style="medium">
        <color indexed="64"/>
      </bottom>
      <diagonal/>
    </border>
    <border>
      <left/>
      <right style="thin">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medium">
        <color indexed="64"/>
      </top>
      <bottom style="thin">
        <color indexed="64"/>
      </bottom>
      <diagonal/>
    </border>
    <border>
      <left/>
      <right style="hair">
        <color indexed="23"/>
      </right>
      <top/>
      <bottom/>
      <diagonal/>
    </border>
    <border>
      <left style="hair">
        <color indexed="23"/>
      </left>
      <right style="hair">
        <color indexed="23"/>
      </right>
      <top/>
      <bottom/>
      <diagonal/>
    </border>
    <border>
      <left style="medium">
        <color indexed="64"/>
      </left>
      <right style="hair">
        <color indexed="23"/>
      </right>
      <top/>
      <bottom style="hair">
        <color indexed="23"/>
      </bottom>
      <diagonal/>
    </border>
    <border>
      <left style="hair">
        <color indexed="23"/>
      </left>
      <right style="hair">
        <color indexed="23"/>
      </right>
      <top/>
      <bottom style="hair">
        <color indexed="23"/>
      </bottom>
      <diagonal/>
    </border>
    <border>
      <left style="hair">
        <color indexed="23"/>
      </left>
      <right/>
      <top/>
      <bottom/>
      <diagonal/>
    </border>
    <border>
      <left style="thin">
        <color indexed="64"/>
      </left>
      <right/>
      <top style="thin">
        <color indexed="64"/>
      </top>
      <bottom/>
      <diagonal/>
    </border>
    <border>
      <left/>
      <right/>
      <top style="thin">
        <color indexed="64"/>
      </top>
      <bottom/>
      <diagonal/>
    </border>
    <border>
      <left style="medium">
        <color indexed="64"/>
      </left>
      <right style="hair">
        <color indexed="23"/>
      </right>
      <top style="hair">
        <color indexed="23"/>
      </top>
      <bottom style="hair">
        <color indexed="23"/>
      </bottom>
      <diagonal/>
    </border>
    <border>
      <left style="hair">
        <color indexed="23"/>
      </left>
      <right style="hair">
        <color indexed="23"/>
      </right>
      <top style="hair">
        <color indexed="23"/>
      </top>
      <bottom style="hair">
        <color indexed="23"/>
      </bottom>
      <diagonal/>
    </border>
    <border>
      <left style="hair">
        <color indexed="23"/>
      </left>
      <right/>
      <top style="hair">
        <color indexed="55"/>
      </top>
      <bottom style="hair">
        <color indexed="55"/>
      </bottom>
      <diagonal/>
    </border>
    <border>
      <left/>
      <right style="thin">
        <color indexed="64"/>
      </right>
      <top style="hair">
        <color indexed="55"/>
      </top>
      <bottom style="hair">
        <color indexed="55"/>
      </bottom>
      <diagonal/>
    </border>
    <border>
      <left style="thin">
        <color indexed="64"/>
      </left>
      <right/>
      <top style="hair">
        <color indexed="23"/>
      </top>
      <bottom style="hair">
        <color indexed="23"/>
      </bottom>
      <diagonal/>
    </border>
    <border>
      <left/>
      <right/>
      <top style="hair">
        <color indexed="23"/>
      </top>
      <bottom style="hair">
        <color indexed="23"/>
      </bottom>
      <diagonal/>
    </border>
    <border>
      <left/>
      <right style="hair">
        <color indexed="23"/>
      </right>
      <top style="hair">
        <color indexed="23"/>
      </top>
      <bottom style="hair">
        <color indexed="23"/>
      </bottom>
      <diagonal/>
    </border>
    <border>
      <left style="hair">
        <color indexed="23"/>
      </left>
      <right style="medium">
        <color indexed="64"/>
      </right>
      <top style="hair">
        <color indexed="23"/>
      </top>
      <bottom style="hair">
        <color indexed="23"/>
      </bottom>
      <diagonal/>
    </border>
    <border>
      <left style="thin">
        <color indexed="64"/>
      </left>
      <right/>
      <top/>
      <bottom style="hair">
        <color indexed="23"/>
      </bottom>
      <diagonal/>
    </border>
    <border>
      <left/>
      <right/>
      <top/>
      <bottom style="hair">
        <color indexed="23"/>
      </bottom>
      <diagonal/>
    </border>
    <border>
      <left/>
      <right style="hair">
        <color indexed="23"/>
      </right>
      <top/>
      <bottom style="hair">
        <color indexed="23"/>
      </bottom>
      <diagonal/>
    </border>
    <border>
      <left/>
      <right style="medium">
        <color indexed="64"/>
      </right>
      <top style="hair">
        <color indexed="23"/>
      </top>
      <bottom style="hair">
        <color indexed="23"/>
      </bottom>
      <diagonal/>
    </border>
    <border>
      <left style="medium">
        <color indexed="64"/>
      </left>
      <right/>
      <top style="hair">
        <color indexed="23"/>
      </top>
      <bottom style="hair">
        <color indexed="23"/>
      </bottom>
      <diagonal/>
    </border>
    <border>
      <left style="thin">
        <color indexed="64"/>
      </left>
      <right/>
      <top style="hair">
        <color indexed="23"/>
      </top>
      <bottom style="thin">
        <color indexed="64"/>
      </bottom>
      <diagonal/>
    </border>
    <border>
      <left/>
      <right/>
      <top style="hair">
        <color indexed="23"/>
      </top>
      <bottom style="thin">
        <color indexed="64"/>
      </bottom>
      <diagonal/>
    </border>
    <border>
      <left style="hair">
        <color indexed="23"/>
      </left>
      <right style="hair">
        <color indexed="23"/>
      </right>
      <top style="hair">
        <color indexed="23"/>
      </top>
      <bottom style="thin">
        <color indexed="64"/>
      </bottom>
      <diagonal/>
    </border>
    <border>
      <left/>
      <right style="medium">
        <color indexed="64"/>
      </right>
      <top style="hair">
        <color indexed="23"/>
      </top>
      <bottom style="thin">
        <color indexed="64"/>
      </bottom>
      <diagonal/>
    </border>
    <border>
      <left style="thin">
        <color indexed="64"/>
      </left>
      <right/>
      <top style="thin">
        <color indexed="64"/>
      </top>
      <bottom style="hair">
        <color indexed="23"/>
      </bottom>
      <diagonal/>
    </border>
    <border>
      <left/>
      <right/>
      <top style="thin">
        <color indexed="64"/>
      </top>
      <bottom style="hair">
        <color indexed="23"/>
      </bottom>
      <diagonal/>
    </border>
    <border>
      <left/>
      <right style="medium">
        <color indexed="64"/>
      </right>
      <top style="thin">
        <color indexed="64"/>
      </top>
      <bottom style="hair">
        <color indexed="23"/>
      </bottom>
      <diagonal/>
    </border>
    <border>
      <left style="thin">
        <color indexed="64"/>
      </left>
      <right/>
      <top/>
      <bottom/>
      <diagonal/>
    </border>
    <border>
      <left/>
      <right style="medium">
        <color indexed="64"/>
      </right>
      <top/>
      <bottom style="hair">
        <color indexed="23"/>
      </bottom>
      <diagonal/>
    </border>
    <border>
      <left style="thin">
        <color indexed="64"/>
      </left>
      <right/>
      <top/>
      <bottom style="thin">
        <color indexed="64"/>
      </bottom>
      <diagonal/>
    </border>
    <border>
      <left style="hair">
        <color indexed="23"/>
      </left>
      <right/>
      <top style="hair">
        <color indexed="23"/>
      </top>
      <bottom style="hair">
        <color indexed="23"/>
      </bottom>
      <diagonal/>
    </border>
    <border>
      <left style="thin">
        <color indexed="64"/>
      </left>
      <right/>
      <top style="hair">
        <color indexed="23"/>
      </top>
      <bottom/>
      <diagonal/>
    </border>
    <border>
      <left/>
      <right/>
      <top style="hair">
        <color indexed="23"/>
      </top>
      <bottom/>
      <diagonal/>
    </border>
    <border>
      <left style="medium">
        <color indexed="64"/>
      </left>
      <right/>
      <top style="hair">
        <color indexed="55"/>
      </top>
      <bottom style="hair">
        <color indexed="55"/>
      </bottom>
      <diagonal/>
    </border>
    <border>
      <left/>
      <right/>
      <top style="hair">
        <color indexed="55"/>
      </top>
      <bottom style="hair">
        <color indexed="55"/>
      </bottom>
      <diagonal/>
    </border>
    <border>
      <left/>
      <right style="hair">
        <color indexed="55"/>
      </right>
      <top style="hair">
        <color indexed="55"/>
      </top>
      <bottom style="hair">
        <color indexed="55"/>
      </bottom>
      <diagonal/>
    </border>
    <border>
      <left style="hair">
        <color indexed="55"/>
      </left>
      <right/>
      <top style="hair">
        <color indexed="55"/>
      </top>
      <bottom style="hair">
        <color indexed="55"/>
      </bottom>
      <diagonal/>
    </border>
    <border>
      <left/>
      <right style="hair">
        <color indexed="55"/>
      </right>
      <top style="hair">
        <color indexed="55"/>
      </top>
      <bottom style="hair">
        <color indexed="23"/>
      </bottom>
      <diagonal/>
    </border>
    <border>
      <left style="medium">
        <color indexed="64"/>
      </left>
      <right style="hair">
        <color indexed="23"/>
      </right>
      <top/>
      <bottom/>
      <diagonal/>
    </border>
    <border>
      <left style="hair">
        <color indexed="23"/>
      </left>
      <right/>
      <top style="hair">
        <color indexed="23"/>
      </top>
      <bottom/>
      <diagonal/>
    </border>
    <border>
      <left/>
      <right style="hair">
        <color indexed="23"/>
      </right>
      <top style="hair">
        <color indexed="23"/>
      </top>
      <bottom/>
      <diagonal/>
    </border>
    <border>
      <left/>
      <right style="medium">
        <color indexed="64"/>
      </right>
      <top style="hair">
        <color indexed="23"/>
      </top>
      <bottom/>
      <diagonal/>
    </border>
    <border>
      <left style="medium">
        <color indexed="64"/>
      </left>
      <right style="hair">
        <color indexed="23"/>
      </right>
      <top/>
      <bottom style="thin">
        <color indexed="64"/>
      </bottom>
      <diagonal/>
    </border>
    <border>
      <left/>
      <right style="hair">
        <color indexed="23"/>
      </right>
      <top style="hair">
        <color indexed="23"/>
      </top>
      <bottom style="thin">
        <color indexed="64"/>
      </bottom>
      <diagonal/>
    </border>
    <border>
      <left style="hair">
        <color indexed="23"/>
      </left>
      <right/>
      <top style="hair">
        <color indexed="55"/>
      </top>
      <bottom style="thin">
        <color indexed="64"/>
      </bottom>
      <diagonal/>
    </border>
    <border>
      <left/>
      <right style="thin">
        <color indexed="64"/>
      </right>
      <top style="hair">
        <color indexed="55"/>
      </top>
      <bottom style="thin">
        <color indexed="64"/>
      </bottom>
      <diagonal/>
    </border>
    <border>
      <left style="medium">
        <color indexed="64"/>
      </left>
      <right/>
      <top style="thin">
        <color indexed="64"/>
      </top>
      <bottom/>
      <diagonal/>
    </border>
    <border>
      <left style="hair">
        <color indexed="23"/>
      </left>
      <right/>
      <top/>
      <bottom style="hair">
        <color indexed="23"/>
      </bottom>
      <diagonal/>
    </border>
    <border>
      <left style="medium">
        <color indexed="64"/>
      </left>
      <right/>
      <top style="hair">
        <color indexed="64"/>
      </top>
      <bottom style="thin">
        <color indexed="64"/>
      </bottom>
      <diagonal/>
    </border>
    <border>
      <left/>
      <right/>
      <top style="hair">
        <color indexed="64"/>
      </top>
      <bottom style="thin">
        <color indexed="64"/>
      </bottom>
      <diagonal/>
    </border>
    <border>
      <left/>
      <right style="hair">
        <color indexed="23"/>
      </right>
      <top style="hair">
        <color indexed="64"/>
      </top>
      <bottom style="thin">
        <color indexed="64"/>
      </bottom>
      <diagonal/>
    </border>
    <border>
      <left style="hair">
        <color indexed="23"/>
      </left>
      <right/>
      <top style="hair">
        <color indexed="23"/>
      </top>
      <bottom style="thin">
        <color indexed="64"/>
      </bottom>
      <diagonal/>
    </border>
    <border>
      <left/>
      <right style="thin">
        <color indexed="64"/>
      </right>
      <top/>
      <bottom/>
      <diagonal/>
    </border>
    <border>
      <left style="hair">
        <color indexed="23"/>
      </left>
      <right style="medium">
        <color indexed="64"/>
      </right>
      <top style="hair">
        <color indexed="23"/>
      </top>
      <bottom style="hair">
        <color indexed="55"/>
      </bottom>
      <diagonal/>
    </border>
    <border>
      <left style="medium">
        <color indexed="64"/>
      </left>
      <right/>
      <top/>
      <bottom style="thin">
        <color indexed="64"/>
      </bottom>
      <diagonal/>
    </border>
    <border>
      <left style="thin">
        <color indexed="64"/>
      </left>
      <right/>
      <top/>
      <bottom style="hair">
        <color indexed="55"/>
      </bottom>
      <diagonal/>
    </border>
    <border>
      <left/>
      <right style="hair">
        <color indexed="23"/>
      </right>
      <top/>
      <bottom style="hair">
        <color indexed="55"/>
      </bottom>
      <diagonal/>
    </border>
    <border>
      <left style="hair">
        <color indexed="23"/>
      </left>
      <right style="hair">
        <color indexed="23"/>
      </right>
      <top style="hair">
        <color indexed="23"/>
      </top>
      <bottom style="hair">
        <color indexed="55"/>
      </bottom>
      <diagonal/>
    </border>
    <border>
      <left style="medium">
        <color indexed="64"/>
      </left>
      <right style="hair">
        <color indexed="23"/>
      </right>
      <top style="medium">
        <color indexed="64"/>
      </top>
      <bottom style="hair">
        <color indexed="64"/>
      </bottom>
      <diagonal/>
    </border>
    <border>
      <left style="hair">
        <color indexed="23"/>
      </left>
      <right/>
      <top style="medium">
        <color indexed="64"/>
      </top>
      <bottom style="hair">
        <color indexed="23"/>
      </bottom>
      <diagonal/>
    </border>
    <border>
      <left/>
      <right style="hair">
        <color indexed="23"/>
      </right>
      <top style="medium">
        <color indexed="64"/>
      </top>
      <bottom style="hair">
        <color indexed="23"/>
      </bottom>
      <diagonal/>
    </border>
    <border>
      <left/>
      <right/>
      <top style="medium">
        <color indexed="64"/>
      </top>
      <bottom style="hair">
        <color indexed="23"/>
      </bottom>
      <diagonal/>
    </border>
    <border>
      <left style="hair">
        <color indexed="64"/>
      </left>
      <right style="medium">
        <color indexed="64"/>
      </right>
      <top style="medium">
        <color indexed="64"/>
      </top>
      <bottom style="hair">
        <color indexed="23"/>
      </bottom>
      <diagonal/>
    </border>
    <border>
      <left style="medium">
        <color indexed="64"/>
      </left>
      <right style="hair">
        <color indexed="64"/>
      </right>
      <top/>
      <bottom style="medium">
        <color indexed="64"/>
      </bottom>
      <diagonal/>
    </border>
    <border>
      <left style="hair">
        <color indexed="64"/>
      </left>
      <right/>
      <top style="hair">
        <color indexed="23"/>
      </top>
      <bottom style="medium">
        <color indexed="64"/>
      </bottom>
      <diagonal/>
    </border>
    <border>
      <left/>
      <right style="hair">
        <color indexed="23"/>
      </right>
      <top style="hair">
        <color indexed="23"/>
      </top>
      <bottom style="medium">
        <color indexed="64"/>
      </bottom>
      <diagonal/>
    </border>
    <border>
      <left style="hair">
        <color indexed="23"/>
      </left>
      <right style="medium">
        <color indexed="64"/>
      </right>
      <top/>
      <bottom style="medium">
        <color indexed="64"/>
      </bottom>
      <diagonal/>
    </border>
    <border>
      <left/>
      <right/>
      <top style="hair">
        <color indexed="23"/>
      </top>
      <bottom style="medium">
        <color indexed="64"/>
      </bottom>
      <diagonal/>
    </border>
    <border>
      <left/>
      <right style="medium">
        <color indexed="64"/>
      </right>
      <top style="hair">
        <color indexed="23"/>
      </top>
      <bottom style="medium">
        <color indexed="64"/>
      </bottom>
      <diagonal/>
    </border>
    <border>
      <left style="medium">
        <color indexed="64"/>
      </left>
      <right style="medium">
        <color indexed="64"/>
      </right>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right style="thin">
        <color indexed="64"/>
      </right>
      <top style="medium">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bottom style="medium">
        <color indexed="64"/>
      </bottom>
      <diagonal/>
    </border>
    <border>
      <left style="medium">
        <color indexed="64"/>
      </left>
      <right/>
      <top style="thin">
        <color indexed="64"/>
      </top>
      <bottom style="medium">
        <color indexed="64"/>
      </bottom>
      <diagonal/>
    </border>
    <border>
      <left style="medium">
        <color indexed="64"/>
      </left>
      <right style="medium">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medium">
        <color indexed="64"/>
      </top>
      <bottom style="double">
        <color indexed="8"/>
      </bottom>
      <diagonal/>
    </border>
    <border>
      <left/>
      <right/>
      <top style="medium">
        <color indexed="64"/>
      </top>
      <bottom style="double">
        <color indexed="8"/>
      </bottom>
      <diagonal/>
    </border>
    <border>
      <left/>
      <right style="medium">
        <color indexed="64"/>
      </right>
      <top style="medium">
        <color indexed="64"/>
      </top>
      <bottom style="double">
        <color indexed="8"/>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top style="dashed">
        <color indexed="64"/>
      </top>
      <bottom style="dashed">
        <color indexed="64"/>
      </bottom>
      <diagonal/>
    </border>
    <border>
      <left style="medium">
        <color indexed="64"/>
      </left>
      <right/>
      <top style="dashed">
        <color indexed="64"/>
      </top>
      <bottom/>
      <diagonal/>
    </border>
    <border>
      <left style="medium">
        <color indexed="64"/>
      </left>
      <right/>
      <top/>
      <bottom style="dashed">
        <color indexed="64"/>
      </bottom>
      <diagonal/>
    </border>
    <border>
      <left/>
      <right/>
      <top/>
      <bottom style="thin">
        <color indexed="8"/>
      </bottom>
      <diagonal/>
    </border>
  </borders>
  <cellStyleXfs count="7">
    <xf numFmtId="0" fontId="0" fillId="0" borderId="0"/>
    <xf numFmtId="0" fontId="15" fillId="0" borderId="0"/>
    <xf numFmtId="0" fontId="15" fillId="0" borderId="0"/>
    <xf numFmtId="0" fontId="1" fillId="0" borderId="0"/>
    <xf numFmtId="0" fontId="55" fillId="0" borderId="0"/>
    <xf numFmtId="171" fontId="62" fillId="0" borderId="0"/>
    <xf numFmtId="0" fontId="1" fillId="0" borderId="0"/>
  </cellStyleXfs>
  <cellXfs count="724">
    <xf numFmtId="0" fontId="0" fillId="0" borderId="0" xfId="0"/>
    <xf numFmtId="0" fontId="2" fillId="0" borderId="0" xfId="0" applyFont="1"/>
    <xf numFmtId="0" fontId="0" fillId="0" borderId="0" xfId="0" applyAlignment="1">
      <alignment horizontal="centerContinuous"/>
    </xf>
    <xf numFmtId="0" fontId="2" fillId="0" borderId="0" xfId="0" applyFont="1" applyBorder="1"/>
    <xf numFmtId="0" fontId="3" fillId="0" borderId="1" xfId="0" applyFont="1" applyBorder="1" applyAlignment="1">
      <alignment horizontal="center"/>
    </xf>
    <xf numFmtId="0" fontId="3" fillId="0" borderId="1" xfId="0" applyFont="1" applyBorder="1"/>
    <xf numFmtId="0" fontId="4" fillId="0" borderId="2" xfId="0" applyFont="1" applyBorder="1"/>
    <xf numFmtId="0" fontId="3" fillId="0" borderId="3" xfId="0" applyFont="1" applyBorder="1"/>
    <xf numFmtId="0" fontId="2" fillId="0" borderId="3" xfId="0" applyFont="1" applyBorder="1"/>
    <xf numFmtId="0" fontId="2" fillId="0" borderId="4" xfId="0" applyFont="1" applyBorder="1"/>
    <xf numFmtId="0" fontId="3" fillId="0" borderId="1" xfId="0" applyFont="1" applyBorder="1" applyAlignment="1">
      <alignment horizontal="right"/>
    </xf>
    <xf numFmtId="0" fontId="3" fillId="0" borderId="3" xfId="0" applyFont="1" applyBorder="1" applyAlignment="1">
      <alignment horizontal="right"/>
    </xf>
    <xf numFmtId="0" fontId="3" fillId="0" borderId="4" xfId="0" applyFont="1" applyBorder="1" applyAlignment="1">
      <alignment horizontal="right"/>
    </xf>
    <xf numFmtId="0" fontId="4" fillId="0" borderId="5" xfId="0" applyFont="1" applyBorder="1" applyAlignment="1">
      <alignment horizontal="center"/>
    </xf>
    <xf numFmtId="0" fontId="4" fillId="0" borderId="6" xfId="0" applyFont="1" applyBorder="1"/>
    <xf numFmtId="0" fontId="2" fillId="0" borderId="7" xfId="0" applyFont="1" applyBorder="1"/>
    <xf numFmtId="0" fontId="2" fillId="0" borderId="8" xfId="0" applyFont="1" applyBorder="1"/>
    <xf numFmtId="0" fontId="3" fillId="0" borderId="9" xfId="0" applyFont="1" applyBorder="1" applyAlignment="1">
      <alignment horizontal="center"/>
    </xf>
    <xf numFmtId="0" fontId="3" fillId="0" borderId="4" xfId="0" applyFont="1" applyBorder="1"/>
    <xf numFmtId="0" fontId="2" fillId="0" borderId="0" xfId="0" applyFont="1" applyBorder="1" applyAlignment="1">
      <alignment horizontal="centerContinuous"/>
    </xf>
    <xf numFmtId="0" fontId="2" fillId="0" borderId="7" xfId="0" applyFont="1" applyBorder="1" applyAlignment="1">
      <alignment horizontal="centerContinuous"/>
    </xf>
    <xf numFmtId="0" fontId="2" fillId="0" borderId="10" xfId="0" applyFont="1" applyBorder="1"/>
    <xf numFmtId="0" fontId="3" fillId="0" borderId="11" xfId="0" applyFont="1" applyBorder="1" applyAlignment="1">
      <alignment horizontal="right"/>
    </xf>
    <xf numFmtId="0" fontId="3" fillId="0" borderId="7" xfId="0" applyFont="1" applyBorder="1" applyAlignment="1">
      <alignment horizontal="centerContinuous"/>
    </xf>
    <xf numFmtId="0" fontId="4" fillId="0" borderId="12" xfId="0" applyFont="1" applyBorder="1"/>
    <xf numFmtId="0" fontId="3" fillId="0" borderId="13" xfId="0" applyFont="1" applyBorder="1" applyAlignment="1">
      <alignment horizontal="center"/>
    </xf>
    <xf numFmtId="0" fontId="3" fillId="0" borderId="14" xfId="0" applyFont="1" applyBorder="1" applyAlignment="1">
      <alignment horizontal="center"/>
    </xf>
    <xf numFmtId="0" fontId="3" fillId="0" borderId="2" xfId="0" applyFont="1" applyBorder="1" applyAlignment="1">
      <alignment horizontal="right"/>
    </xf>
    <xf numFmtId="0" fontId="2" fillId="0" borderId="14" xfId="0" applyFont="1" applyBorder="1"/>
    <xf numFmtId="0" fontId="4" fillId="0" borderId="15" xfId="0" applyFont="1" applyBorder="1"/>
    <xf numFmtId="0" fontId="2" fillId="0" borderId="14" xfId="0" applyFont="1" applyBorder="1" applyAlignment="1">
      <alignment horizontal="centerContinuous"/>
    </xf>
    <xf numFmtId="0" fontId="2" fillId="0" borderId="16" xfId="0" applyFont="1" applyBorder="1" applyAlignment="1">
      <alignment horizontal="centerContinuous"/>
    </xf>
    <xf numFmtId="0" fontId="3" fillId="0" borderId="9" xfId="0" applyFont="1" applyBorder="1" applyAlignment="1">
      <alignment horizontal="centerContinuous"/>
    </xf>
    <xf numFmtId="0" fontId="5" fillId="0" borderId="0" xfId="0" applyFont="1"/>
    <xf numFmtId="0" fontId="3" fillId="0" borderId="11" xfId="0" applyFont="1" applyBorder="1"/>
    <xf numFmtId="0" fontId="6" fillId="0" borderId="0" xfId="0" applyFont="1" applyAlignment="1">
      <alignment horizontal="centerContinuous"/>
    </xf>
    <xf numFmtId="0" fontId="2" fillId="0" borderId="17" xfId="0" applyFont="1" applyBorder="1" applyAlignment="1">
      <alignment horizontal="right"/>
    </xf>
    <xf numFmtId="0" fontId="3" fillId="0" borderId="18" xfId="0" applyFont="1" applyBorder="1" applyAlignment="1">
      <alignment horizontal="right"/>
    </xf>
    <xf numFmtId="0" fontId="3" fillId="0" borderId="19" xfId="0" applyFont="1" applyBorder="1" applyAlignment="1">
      <alignment horizontal="right"/>
    </xf>
    <xf numFmtId="0" fontId="3" fillId="0" borderId="20" xfId="0" applyFont="1" applyBorder="1" applyAlignment="1">
      <alignment horizontal="right"/>
    </xf>
    <xf numFmtId="0" fontId="2" fillId="0" borderId="21" xfId="0" applyFont="1" applyBorder="1"/>
    <xf numFmtId="0" fontId="3" fillId="0" borderId="22" xfId="0" applyFont="1" applyBorder="1" applyAlignment="1">
      <alignment horizontal="center"/>
    </xf>
    <xf numFmtId="0" fontId="3" fillId="0" borderId="10" xfId="0" applyFont="1" applyBorder="1" applyAlignment="1">
      <alignment horizontal="center"/>
    </xf>
    <xf numFmtId="0" fontId="2" fillId="0" borderId="13" xfId="0" applyFont="1" applyBorder="1"/>
    <xf numFmtId="0" fontId="4" fillId="0" borderId="0" xfId="0" applyFont="1" applyBorder="1"/>
    <xf numFmtId="0" fontId="7" fillId="0" borderId="0" xfId="0" applyFont="1" applyBorder="1" applyAlignment="1">
      <alignment horizontal="left"/>
    </xf>
    <xf numFmtId="0" fontId="3" fillId="0" borderId="0" xfId="0" applyFont="1" applyBorder="1" applyAlignment="1">
      <alignment horizontal="left"/>
    </xf>
    <xf numFmtId="0" fontId="5" fillId="0" borderId="0" xfId="0" applyFont="1" applyBorder="1"/>
    <xf numFmtId="0" fontId="5" fillId="0" borderId="21" xfId="0" applyFont="1" applyBorder="1"/>
    <xf numFmtId="0" fontId="5" fillId="0" borderId="23" xfId="0" applyFont="1" applyBorder="1"/>
    <xf numFmtId="0" fontId="5" fillId="0" borderId="24" xfId="0" applyFont="1" applyBorder="1"/>
    <xf numFmtId="0" fontId="3" fillId="0" borderId="0" xfId="0" applyFont="1" applyAlignment="1">
      <alignment horizontal="right"/>
    </xf>
    <xf numFmtId="0" fontId="2" fillId="0" borderId="25" xfId="0" applyFont="1" applyBorder="1" applyAlignment="1">
      <alignment horizontal="center"/>
    </xf>
    <xf numFmtId="0" fontId="2" fillId="0" borderId="1" xfId="0" applyFont="1" applyBorder="1" applyAlignment="1">
      <alignment horizontal="center"/>
    </xf>
    <xf numFmtId="0" fontId="2" fillId="0" borderId="9" xfId="0" applyFont="1" applyBorder="1" applyAlignment="1">
      <alignment horizontal="center"/>
    </xf>
    <xf numFmtId="0" fontId="2" fillId="0" borderId="0" xfId="0" applyFont="1" applyBorder="1" applyAlignment="1">
      <alignment horizontal="center"/>
    </xf>
    <xf numFmtId="0" fontId="2" fillId="0" borderId="11" xfId="0" applyFont="1" applyBorder="1" applyAlignment="1">
      <alignment horizontal="center"/>
    </xf>
    <xf numFmtId="0" fontId="2" fillId="0" borderId="26" xfId="0" applyFont="1" applyBorder="1" applyAlignment="1">
      <alignment horizontal="center"/>
    </xf>
    <xf numFmtId="0" fontId="2" fillId="0" borderId="27" xfId="0" applyFont="1" applyBorder="1" applyAlignment="1">
      <alignment horizontal="center"/>
    </xf>
    <xf numFmtId="0" fontId="2" fillId="0" borderId="28" xfId="0" applyFont="1" applyBorder="1" applyAlignment="1">
      <alignment horizontal="center"/>
    </xf>
    <xf numFmtId="0" fontId="2" fillId="0" borderId="29" xfId="0" applyFont="1" applyBorder="1" applyAlignment="1">
      <alignment horizontal="center"/>
    </xf>
    <xf numFmtId="0" fontId="2" fillId="0" borderId="30" xfId="0" applyFont="1" applyBorder="1" applyAlignment="1">
      <alignment horizontal="center"/>
    </xf>
    <xf numFmtId="0" fontId="2" fillId="0" borderId="21" xfId="0" applyFont="1" applyBorder="1" applyAlignment="1">
      <alignment horizontal="center"/>
    </xf>
    <xf numFmtId="0" fontId="2" fillId="0" borderId="24" xfId="0" applyFont="1" applyBorder="1" applyAlignment="1">
      <alignment horizontal="center"/>
    </xf>
    <xf numFmtId="0" fontId="2" fillId="0" borderId="29" xfId="0" applyFont="1" applyBorder="1" applyAlignment="1">
      <alignment horizontal="centerContinuous"/>
    </xf>
    <xf numFmtId="0" fontId="2" fillId="0" borderId="31" xfId="0" applyFont="1" applyBorder="1" applyAlignment="1">
      <alignment horizontal="right"/>
    </xf>
    <xf numFmtId="0" fontId="3" fillId="0" borderId="26" xfId="0" applyFont="1" applyBorder="1" applyAlignment="1">
      <alignment horizontal="right"/>
    </xf>
    <xf numFmtId="0" fontId="3" fillId="0" borderId="30" xfId="0" applyFont="1" applyBorder="1" applyAlignment="1">
      <alignment horizontal="right"/>
    </xf>
    <xf numFmtId="0" fontId="3" fillId="0" borderId="28" xfId="0" applyFont="1" applyBorder="1" applyAlignment="1">
      <alignment horizontal="right"/>
    </xf>
    <xf numFmtId="164" fontId="2" fillId="0" borderId="1" xfId="0" applyNumberFormat="1" applyFont="1" applyBorder="1" applyAlignment="1">
      <alignment horizontal="center"/>
    </xf>
    <xf numFmtId="165" fontId="2" fillId="0" borderId="1" xfId="0" applyNumberFormat="1" applyFont="1" applyBorder="1" applyAlignment="1">
      <alignment horizontal="center"/>
    </xf>
    <xf numFmtId="2" fontId="2" fillId="0" borderId="1" xfId="0" applyNumberFormat="1" applyFont="1" applyBorder="1" applyAlignment="1">
      <alignment horizontal="center"/>
    </xf>
    <xf numFmtId="166" fontId="2" fillId="0" borderId="1" xfId="0" applyNumberFormat="1" applyFont="1" applyBorder="1" applyAlignment="1">
      <alignment horizontal="center"/>
    </xf>
    <xf numFmtId="164" fontId="2" fillId="0" borderId="9" xfId="0" applyNumberFormat="1" applyFont="1" applyBorder="1" applyAlignment="1">
      <alignment horizontal="center"/>
    </xf>
    <xf numFmtId="165" fontId="2" fillId="0" borderId="9" xfId="0" applyNumberFormat="1" applyFont="1" applyBorder="1" applyAlignment="1">
      <alignment horizontal="center"/>
    </xf>
    <xf numFmtId="2" fontId="2" fillId="0" borderId="9" xfId="0" applyNumberFormat="1" applyFont="1" applyBorder="1" applyAlignment="1">
      <alignment horizontal="center"/>
    </xf>
    <xf numFmtId="166" fontId="2" fillId="0" borderId="9" xfId="0" applyNumberFormat="1" applyFont="1" applyBorder="1" applyAlignment="1">
      <alignment horizontal="center"/>
    </xf>
    <xf numFmtId="2" fontId="2" fillId="0" borderId="16" xfId="0" applyNumberFormat="1" applyFont="1" applyBorder="1" applyAlignment="1">
      <alignment horizontal="center"/>
    </xf>
    <xf numFmtId="2" fontId="2" fillId="0" borderId="32" xfId="0" applyNumberFormat="1" applyFont="1" applyBorder="1" applyAlignment="1">
      <alignment horizontal="center"/>
    </xf>
    <xf numFmtId="165" fontId="2" fillId="0" borderId="25" xfId="0" applyNumberFormat="1" applyFont="1" applyBorder="1" applyAlignment="1">
      <alignment horizontal="center"/>
    </xf>
    <xf numFmtId="166" fontId="2" fillId="0" borderId="25" xfId="0" applyNumberFormat="1" applyFont="1" applyBorder="1" applyAlignment="1">
      <alignment horizontal="center"/>
    </xf>
    <xf numFmtId="165" fontId="2" fillId="0" borderId="11" xfId="0" applyNumberFormat="1" applyFont="1" applyBorder="1" applyAlignment="1">
      <alignment horizontal="center"/>
    </xf>
    <xf numFmtId="2" fontId="2" fillId="0" borderId="11" xfId="0" applyNumberFormat="1" applyFont="1" applyBorder="1" applyAlignment="1">
      <alignment horizontal="center"/>
    </xf>
    <xf numFmtId="165" fontId="2" fillId="0" borderId="33" xfId="0" applyNumberFormat="1" applyFont="1" applyBorder="1" applyAlignment="1">
      <alignment horizontal="center"/>
    </xf>
    <xf numFmtId="2" fontId="2" fillId="0" borderId="33" xfId="0" applyNumberFormat="1" applyFont="1" applyBorder="1" applyAlignment="1">
      <alignment horizontal="center"/>
    </xf>
    <xf numFmtId="166" fontId="2" fillId="0" borderId="33" xfId="0" applyNumberFormat="1" applyFont="1" applyBorder="1" applyAlignment="1">
      <alignment horizontal="center"/>
    </xf>
    <xf numFmtId="166" fontId="2" fillId="0" borderId="34" xfId="0" applyNumberFormat="1" applyFont="1" applyBorder="1" applyAlignment="1">
      <alignment horizontal="center"/>
    </xf>
    <xf numFmtId="166" fontId="2" fillId="0" borderId="10" xfId="0" applyNumberFormat="1" applyFont="1" applyBorder="1" applyAlignment="1">
      <alignment horizontal="center"/>
    </xf>
    <xf numFmtId="166" fontId="2" fillId="0" borderId="30" xfId="0" applyNumberFormat="1" applyFont="1" applyBorder="1" applyAlignment="1">
      <alignment horizontal="center"/>
    </xf>
    <xf numFmtId="166" fontId="2" fillId="0" borderId="35" xfId="0" applyNumberFormat="1" applyFont="1" applyBorder="1" applyAlignment="1">
      <alignment horizontal="center"/>
    </xf>
    <xf numFmtId="166" fontId="2" fillId="0" borderId="36" xfId="0" applyNumberFormat="1" applyFont="1" applyBorder="1" applyAlignment="1">
      <alignment horizontal="center"/>
    </xf>
    <xf numFmtId="166" fontId="2" fillId="0" borderId="37" xfId="0" applyNumberFormat="1" applyFont="1" applyBorder="1" applyAlignment="1">
      <alignment horizontal="center"/>
    </xf>
    <xf numFmtId="165" fontId="2" fillId="0" borderId="26" xfId="0" applyNumberFormat="1" applyFont="1" applyBorder="1" applyAlignment="1">
      <alignment horizontal="center"/>
    </xf>
    <xf numFmtId="166" fontId="2" fillId="0" borderId="38" xfId="0" applyNumberFormat="1" applyFont="1" applyBorder="1" applyAlignment="1">
      <alignment horizontal="center"/>
    </xf>
    <xf numFmtId="166" fontId="2" fillId="0" borderId="39" xfId="0" applyNumberFormat="1" applyFont="1" applyBorder="1" applyAlignment="1">
      <alignment horizontal="center"/>
    </xf>
    <xf numFmtId="166" fontId="2" fillId="0" borderId="26" xfId="0" applyNumberFormat="1" applyFont="1" applyBorder="1" applyAlignment="1">
      <alignment horizontal="center"/>
    </xf>
    <xf numFmtId="1" fontId="2" fillId="0" borderId="28" xfId="0" applyNumberFormat="1" applyFont="1" applyBorder="1" applyAlignment="1">
      <alignment horizontal="center"/>
    </xf>
    <xf numFmtId="2" fontId="2" fillId="0" borderId="21" xfId="0" applyNumberFormat="1" applyFont="1" applyBorder="1" applyAlignment="1">
      <alignment horizontal="center"/>
    </xf>
    <xf numFmtId="0" fontId="3" fillId="0" borderId="0" xfId="0" applyFont="1"/>
    <xf numFmtId="2" fontId="2" fillId="0" borderId="27" xfId="0" applyNumberFormat="1" applyFont="1" applyBorder="1" applyAlignment="1">
      <alignment horizontal="center"/>
    </xf>
    <xf numFmtId="2" fontId="9" fillId="0" borderId="40" xfId="0" applyNumberFormat="1" applyFont="1" applyBorder="1" applyAlignment="1">
      <alignment horizontal="centerContinuous"/>
    </xf>
    <xf numFmtId="0" fontId="9" fillId="0" borderId="40" xfId="0" applyFont="1" applyBorder="1" applyAlignment="1">
      <alignment horizontal="center"/>
    </xf>
    <xf numFmtId="0" fontId="9" fillId="0" borderId="29" xfId="0" applyFont="1" applyBorder="1" applyAlignment="1">
      <alignment horizontal="center"/>
    </xf>
    <xf numFmtId="0" fontId="9" fillId="0" borderId="23" xfId="0" applyFont="1" applyBorder="1" applyAlignment="1">
      <alignment horizontal="center"/>
    </xf>
    <xf numFmtId="0" fontId="3" fillId="0" borderId="3" xfId="0" applyFont="1" applyBorder="1" applyAlignment="1">
      <alignment horizontal="center"/>
    </xf>
    <xf numFmtId="0" fontId="3" fillId="0" borderId="41" xfId="0" applyFont="1" applyBorder="1" applyAlignment="1">
      <alignment horizontal="center"/>
    </xf>
    <xf numFmtId="166" fontId="2" fillId="0" borderId="42" xfId="0" applyNumberFormat="1" applyFont="1" applyBorder="1" applyAlignment="1">
      <alignment horizontal="center"/>
    </xf>
    <xf numFmtId="0" fontId="3" fillId="0" borderId="43" xfId="0" applyFont="1" applyBorder="1" applyAlignment="1">
      <alignment horizontal="center"/>
    </xf>
    <xf numFmtId="0" fontId="3" fillId="0" borderId="44" xfId="0" applyFont="1" applyBorder="1" applyAlignment="1">
      <alignment horizontal="center"/>
    </xf>
    <xf numFmtId="0" fontId="3" fillId="0" borderId="17" xfId="0" applyFont="1" applyBorder="1" applyAlignment="1">
      <alignment horizontal="centerContinuous"/>
    </xf>
    <xf numFmtId="0" fontId="4" fillId="0" borderId="12" xfId="0" applyFont="1" applyBorder="1" applyAlignment="1">
      <alignment horizontal="left"/>
    </xf>
    <xf numFmtId="0" fontId="3" fillId="0" borderId="45" xfId="0" applyFont="1" applyBorder="1"/>
    <xf numFmtId="0" fontId="2" fillId="0" borderId="16" xfId="0" applyFont="1" applyBorder="1" applyAlignment="1">
      <alignment horizontal="center"/>
    </xf>
    <xf numFmtId="0" fontId="3" fillId="0" borderId="0" xfId="0" applyFont="1" applyBorder="1" applyAlignment="1">
      <alignment horizontal="center"/>
    </xf>
    <xf numFmtId="165" fontId="2" fillId="0" borderId="0" xfId="0" applyNumberFormat="1" applyFont="1" applyBorder="1" applyAlignment="1">
      <alignment horizontal="center"/>
    </xf>
    <xf numFmtId="2" fontId="2" fillId="0" borderId="25" xfId="0" applyNumberFormat="1" applyFont="1" applyBorder="1" applyAlignment="1">
      <alignment horizontal="center"/>
    </xf>
    <xf numFmtId="0" fontId="2" fillId="0" borderId="29" xfId="0" applyFont="1" applyBorder="1" applyAlignment="1">
      <alignment horizontal="left"/>
    </xf>
    <xf numFmtId="0" fontId="2" fillId="0" borderId="21" xfId="0" applyFont="1" applyBorder="1" applyAlignment="1">
      <alignment horizontal="left"/>
    </xf>
    <xf numFmtId="0" fontId="2" fillId="0" borderId="9" xfId="0" applyFont="1" applyBorder="1" applyAlignment="1">
      <alignment horizontal="left"/>
    </xf>
    <xf numFmtId="0" fontId="2" fillId="0" borderId="30" xfId="0" applyFont="1" applyBorder="1" applyAlignment="1">
      <alignment horizontal="left"/>
    </xf>
    <xf numFmtId="0" fontId="2" fillId="0" borderId="28" xfId="0" applyFont="1" applyBorder="1" applyAlignment="1">
      <alignment horizontal="left"/>
    </xf>
    <xf numFmtId="0" fontId="5" fillId="0" borderId="12" xfId="0" applyFont="1" applyBorder="1"/>
    <xf numFmtId="0" fontId="5" fillId="0" borderId="13" xfId="0" applyFont="1" applyBorder="1"/>
    <xf numFmtId="0" fontId="5" fillId="0" borderId="14" xfId="0" applyFont="1" applyBorder="1"/>
    <xf numFmtId="0" fontId="5" fillId="0" borderId="45" xfId="0" applyFont="1" applyBorder="1"/>
    <xf numFmtId="0" fontId="5" fillId="0" borderId="46" xfId="0" applyFont="1" applyBorder="1"/>
    <xf numFmtId="0" fontId="2" fillId="0" borderId="1" xfId="0" applyFont="1" applyBorder="1" applyAlignment="1">
      <alignment horizontal="left"/>
    </xf>
    <xf numFmtId="0" fontId="3" fillId="0" borderId="0" xfId="0" applyFont="1" applyAlignment="1">
      <alignment horizontal="centerContinuous"/>
    </xf>
    <xf numFmtId="2" fontId="3" fillId="0" borderId="20" xfId="0" quotePrefix="1" applyNumberFormat="1" applyFont="1" applyBorder="1" applyAlignment="1">
      <alignment horizontal="center"/>
    </xf>
    <xf numFmtId="2" fontId="3" fillId="0" borderId="47" xfId="0" quotePrefix="1" applyNumberFormat="1" applyFont="1" applyBorder="1" applyAlignment="1">
      <alignment horizontal="center"/>
    </xf>
    <xf numFmtId="2" fontId="3" fillId="0" borderId="30" xfId="0" quotePrefix="1" applyNumberFormat="1" applyFont="1" applyBorder="1" applyAlignment="1">
      <alignment horizontal="center"/>
    </xf>
    <xf numFmtId="2" fontId="3" fillId="0" borderId="30" xfId="0" applyNumberFormat="1" applyFont="1" applyBorder="1" applyAlignment="1">
      <alignment horizontal="center"/>
    </xf>
    <xf numFmtId="165" fontId="3" fillId="0" borderId="20" xfId="0" quotePrefix="1" applyNumberFormat="1" applyFont="1" applyBorder="1" applyAlignment="1">
      <alignment horizontal="center"/>
    </xf>
    <xf numFmtId="0" fontId="10" fillId="0" borderId="0" xfId="0" applyFont="1" applyAlignment="1">
      <alignment horizontal="center"/>
    </xf>
    <xf numFmtId="0" fontId="11" fillId="0" borderId="7" xfId="0" applyFont="1" applyBorder="1" applyAlignment="1">
      <alignment horizontal="centerContinuous"/>
    </xf>
    <xf numFmtId="0" fontId="11" fillId="0" borderId="8" xfId="0" applyFont="1" applyBorder="1" applyAlignment="1">
      <alignment horizontal="centerContinuous"/>
    </xf>
    <xf numFmtId="0" fontId="12" fillId="0" borderId="47" xfId="0" applyFont="1" applyBorder="1"/>
    <xf numFmtId="2" fontId="2" fillId="0" borderId="48" xfId="0" applyNumberFormat="1" applyFont="1" applyBorder="1" applyAlignment="1">
      <alignment horizontal="center"/>
    </xf>
    <xf numFmtId="2" fontId="2" fillId="0" borderId="24" xfId="0" applyNumberFormat="1" applyFont="1" applyBorder="1" applyAlignment="1">
      <alignment horizontal="center"/>
    </xf>
    <xf numFmtId="0" fontId="2" fillId="0" borderId="7" xfId="0" applyFont="1" applyBorder="1" applyAlignment="1">
      <alignment horizontal="right"/>
    </xf>
    <xf numFmtId="167" fontId="2" fillId="0" borderId="1" xfId="0" applyNumberFormat="1" applyFont="1" applyBorder="1" applyAlignment="1">
      <alignment horizontal="center"/>
    </xf>
    <xf numFmtId="0" fontId="3" fillId="0" borderId="49" xfId="0" applyFont="1" applyBorder="1" applyAlignment="1">
      <alignment horizontal="right"/>
    </xf>
    <xf numFmtId="166" fontId="14" fillId="0" borderId="1" xfId="0" applyNumberFormat="1" applyFont="1" applyBorder="1" applyAlignment="1">
      <alignment horizontal="center"/>
    </xf>
    <xf numFmtId="166" fontId="2" fillId="0" borderId="7" xfId="0" applyNumberFormat="1" applyFont="1" applyBorder="1" applyAlignment="1">
      <alignment horizontal="center"/>
    </xf>
    <xf numFmtId="166" fontId="2" fillId="0" borderId="8" xfId="0" applyNumberFormat="1" applyFont="1" applyBorder="1" applyAlignment="1">
      <alignment horizontal="center"/>
    </xf>
    <xf numFmtId="1" fontId="2" fillId="0" borderId="25" xfId="0" applyNumberFormat="1" applyFont="1" applyBorder="1" applyAlignment="1">
      <alignment horizontal="center"/>
    </xf>
    <xf numFmtId="0" fontId="2" fillId="0" borderId="50" xfId="0" applyFont="1" applyBorder="1"/>
    <xf numFmtId="0" fontId="1" fillId="0" borderId="45" xfId="0" applyFont="1" applyBorder="1"/>
    <xf numFmtId="0" fontId="1" fillId="0" borderId="3" xfId="0" applyFont="1" applyBorder="1"/>
    <xf numFmtId="0" fontId="1" fillId="0" borderId="13" xfId="0" applyFont="1" applyBorder="1"/>
    <xf numFmtId="49" fontId="2" fillId="0" borderId="7" xfId="0" applyNumberFormat="1" applyFont="1" applyBorder="1" applyAlignment="1">
      <alignment horizontal="center"/>
    </xf>
    <xf numFmtId="14" fontId="3" fillId="0" borderId="0" xfId="0" applyNumberFormat="1" applyFont="1" applyAlignment="1">
      <alignment horizontal="center"/>
    </xf>
    <xf numFmtId="19" fontId="3" fillId="0" borderId="0" xfId="0" applyNumberFormat="1" applyFont="1"/>
    <xf numFmtId="0" fontId="17" fillId="0" borderId="0" xfId="1" applyFont="1" applyFill="1"/>
    <xf numFmtId="0" fontId="18" fillId="0" borderId="0" xfId="1" applyFont="1" applyFill="1"/>
    <xf numFmtId="0" fontId="20" fillId="2" borderId="0" xfId="1" applyFont="1" applyFill="1" applyAlignment="1">
      <alignment horizontal="right"/>
    </xf>
    <xf numFmtId="0" fontId="21" fillId="2" borderId="0" xfId="1" applyFont="1" applyFill="1"/>
    <xf numFmtId="0" fontId="22" fillId="2" borderId="0" xfId="1" applyFont="1" applyFill="1"/>
    <xf numFmtId="0" fontId="19" fillId="2" borderId="0" xfId="1" applyFont="1" applyFill="1" applyAlignment="1">
      <alignment horizontal="center"/>
    </xf>
    <xf numFmtId="0" fontId="23" fillId="0" borderId="51" xfId="1" applyFont="1" applyBorder="1" applyAlignment="1">
      <alignment horizontal="left" vertical="center"/>
    </xf>
    <xf numFmtId="0" fontId="23" fillId="0" borderId="52" xfId="1" applyFont="1" applyBorder="1" applyAlignment="1">
      <alignment vertical="center"/>
    </xf>
    <xf numFmtId="0" fontId="15" fillId="0" borderId="52" xfId="1" applyBorder="1"/>
    <xf numFmtId="0" fontId="23" fillId="0" borderId="53" xfId="1" applyFont="1" applyBorder="1" applyAlignment="1">
      <alignment horizontal="right" vertical="center"/>
    </xf>
    <xf numFmtId="0" fontId="24" fillId="0" borderId="0" xfId="1" applyFont="1" applyFill="1"/>
    <xf numFmtId="0" fontId="25" fillId="0" borderId="51" xfId="1" applyFont="1" applyFill="1" applyBorder="1"/>
    <xf numFmtId="0" fontId="24" fillId="0" borderId="53" xfId="1" applyFont="1" applyFill="1" applyBorder="1"/>
    <xf numFmtId="0" fontId="25" fillId="0" borderId="53" xfId="1" applyFont="1" applyFill="1" applyBorder="1"/>
    <xf numFmtId="0" fontId="26" fillId="0" borderId="0" xfId="1" applyFont="1" applyFill="1"/>
    <xf numFmtId="0" fontId="27" fillId="2" borderId="13" xfId="1" applyFont="1" applyFill="1" applyBorder="1" applyAlignment="1">
      <alignment horizontal="center"/>
    </xf>
    <xf numFmtId="0" fontId="27" fillId="2" borderId="54" xfId="1" applyFont="1" applyFill="1" applyBorder="1" applyAlignment="1">
      <alignment horizontal="center"/>
    </xf>
    <xf numFmtId="0" fontId="27" fillId="2" borderId="0" xfId="1" quotePrefix="1" applyFont="1" applyFill="1" applyBorder="1" applyAlignment="1">
      <alignment horizontal="left"/>
    </xf>
    <xf numFmtId="0" fontId="22" fillId="2" borderId="0" xfId="1" applyFont="1" applyFill="1" applyBorder="1"/>
    <xf numFmtId="0" fontId="28" fillId="2" borderId="55" xfId="1" applyFont="1" applyFill="1" applyBorder="1" applyAlignment="1">
      <alignment horizontal="right"/>
    </xf>
    <xf numFmtId="0" fontId="27" fillId="2" borderId="56" xfId="1" applyFont="1" applyFill="1" applyBorder="1" applyAlignment="1">
      <alignment horizontal="center"/>
    </xf>
    <xf numFmtId="0" fontId="27" fillId="2" borderId="21" xfId="1" applyFont="1" applyFill="1" applyBorder="1" applyAlignment="1">
      <alignment horizontal="center"/>
    </xf>
    <xf numFmtId="0" fontId="25" fillId="0" borderId="45" xfId="1" applyFont="1" applyFill="1" applyBorder="1"/>
    <xf numFmtId="0" fontId="24" fillId="0" borderId="21" xfId="1" applyFont="1" applyFill="1" applyBorder="1"/>
    <xf numFmtId="0" fontId="25" fillId="0" borderId="21" xfId="1" applyFont="1" applyFill="1" applyBorder="1"/>
    <xf numFmtId="0" fontId="29" fillId="2" borderId="66" xfId="1" applyFont="1" applyFill="1" applyBorder="1"/>
    <xf numFmtId="0" fontId="29" fillId="2" borderId="67" xfId="1" applyFont="1" applyFill="1" applyBorder="1"/>
    <xf numFmtId="0" fontId="32" fillId="2" borderId="67" xfId="1" applyFont="1" applyFill="1" applyBorder="1"/>
    <xf numFmtId="0" fontId="32" fillId="2" borderId="68" xfId="1" applyFont="1" applyFill="1" applyBorder="1"/>
    <xf numFmtId="166" fontId="31" fillId="2" borderId="63" xfId="1" applyNumberFormat="1" applyFont="1" applyFill="1" applyBorder="1" applyAlignment="1">
      <alignment horizontal="center"/>
    </xf>
    <xf numFmtId="0" fontId="31" fillId="2" borderId="69" xfId="1" applyFont="1" applyFill="1" applyBorder="1" applyAlignment="1">
      <alignment horizontal="center"/>
    </xf>
    <xf numFmtId="0" fontId="29" fillId="2" borderId="70" xfId="1" applyFont="1" applyFill="1" applyBorder="1"/>
    <xf numFmtId="0" fontId="29" fillId="2" borderId="71" xfId="1" applyFont="1" applyFill="1" applyBorder="1"/>
    <xf numFmtId="0" fontId="32" fillId="2" borderId="71" xfId="1" applyFont="1" applyFill="1" applyBorder="1"/>
    <xf numFmtId="0" fontId="32" fillId="2" borderId="72" xfId="1" applyFont="1" applyFill="1" applyBorder="1"/>
    <xf numFmtId="1" fontId="31" fillId="2" borderId="63" xfId="1" applyNumberFormat="1" applyFont="1" applyFill="1" applyBorder="1" applyAlignment="1">
      <alignment horizontal="center"/>
    </xf>
    <xf numFmtId="0" fontId="31" fillId="2" borderId="73" xfId="1" applyFont="1" applyFill="1" applyBorder="1" applyAlignment="1">
      <alignment horizontal="center"/>
    </xf>
    <xf numFmtId="0" fontId="33" fillId="2" borderId="67" xfId="1" applyFont="1" applyFill="1" applyBorder="1"/>
    <xf numFmtId="0" fontId="34" fillId="2" borderId="68" xfId="1" applyFont="1" applyFill="1" applyBorder="1" applyAlignment="1">
      <alignment horizontal="left"/>
    </xf>
    <xf numFmtId="0" fontId="31" fillId="2" borderId="63" xfId="1" applyFont="1" applyFill="1" applyBorder="1" applyAlignment="1">
      <alignment horizontal="center"/>
    </xf>
    <xf numFmtId="0" fontId="25" fillId="0" borderId="46" xfId="1" applyFont="1" applyFill="1" applyBorder="1"/>
    <xf numFmtId="0" fontId="25" fillId="0" borderId="24" xfId="1" applyFont="1" applyFill="1" applyBorder="1"/>
    <xf numFmtId="0" fontId="29" fillId="2" borderId="75" xfId="1" applyFont="1" applyFill="1" applyBorder="1"/>
    <xf numFmtId="0" fontId="29" fillId="2" borderId="76" xfId="1" applyFont="1" applyFill="1" applyBorder="1"/>
    <xf numFmtId="0" fontId="33" fillId="2" borderId="76" xfId="1" applyFont="1" applyFill="1" applyBorder="1"/>
    <xf numFmtId="0" fontId="31" fillId="2" borderId="77" xfId="1" applyFont="1" applyFill="1" applyBorder="1" applyAlignment="1">
      <alignment horizontal="center"/>
    </xf>
    <xf numFmtId="0" fontId="31" fillId="2" borderId="78" xfId="1" applyFont="1" applyFill="1" applyBorder="1" applyAlignment="1">
      <alignment horizontal="center"/>
    </xf>
    <xf numFmtId="0" fontId="24" fillId="0" borderId="24" xfId="1" applyFont="1" applyFill="1" applyBorder="1"/>
    <xf numFmtId="0" fontId="29" fillId="2" borderId="62" xfId="1" quotePrefix="1" applyFont="1" applyFill="1" applyBorder="1" applyAlignment="1">
      <alignment horizontal="left"/>
    </xf>
    <xf numFmtId="0" fontId="26" fillId="0" borderId="68" xfId="1" applyFont="1" applyFill="1" applyBorder="1"/>
    <xf numFmtId="0" fontId="29" fillId="2" borderId="82" xfId="1" quotePrefix="1" applyFont="1" applyFill="1" applyBorder="1" applyAlignment="1">
      <alignment horizontal="left"/>
    </xf>
    <xf numFmtId="0" fontId="29" fillId="2" borderId="58" xfId="1" applyFont="1" applyFill="1" applyBorder="1"/>
    <xf numFmtId="0" fontId="32" fillId="2" borderId="58" xfId="1" applyFont="1" applyFill="1" applyBorder="1"/>
    <xf numFmtId="0" fontId="36" fillId="2" borderId="58" xfId="1" applyFont="1" applyFill="1" applyBorder="1" applyAlignment="1">
      <alignment horizontal="right"/>
    </xf>
    <xf numFmtId="49" fontId="31" fillId="2" borderId="58" xfId="1" applyNumberFormat="1" applyFont="1" applyFill="1" applyBorder="1" applyAlignment="1">
      <alignment horizontal="center"/>
    </xf>
    <xf numFmtId="0" fontId="31" fillId="2" borderId="83" xfId="1" applyFont="1" applyFill="1" applyBorder="1" applyAlignment="1">
      <alignment horizontal="center"/>
    </xf>
    <xf numFmtId="0" fontId="29" fillId="2" borderId="63" xfId="1" applyFont="1" applyFill="1" applyBorder="1"/>
    <xf numFmtId="0" fontId="32" fillId="2" borderId="63" xfId="1" applyFont="1" applyFill="1" applyBorder="1"/>
    <xf numFmtId="0" fontId="29" fillId="2" borderId="84" xfId="1" quotePrefix="1" applyFont="1" applyFill="1" applyBorder="1" applyAlignment="1">
      <alignment horizontal="left"/>
    </xf>
    <xf numFmtId="0" fontId="29" fillId="2" borderId="77" xfId="1" applyFont="1" applyFill="1" applyBorder="1"/>
    <xf numFmtId="0" fontId="32" fillId="2" borderId="77" xfId="1" applyFont="1" applyFill="1" applyBorder="1"/>
    <xf numFmtId="0" fontId="29" fillId="2" borderId="62" xfId="1" applyFont="1" applyFill="1" applyBorder="1" applyAlignment="1">
      <alignment horizontal="left"/>
    </xf>
    <xf numFmtId="0" fontId="24" fillId="2" borderId="85" xfId="1" applyFont="1" applyFill="1" applyBorder="1"/>
    <xf numFmtId="0" fontId="24" fillId="2" borderId="68" xfId="1" applyFont="1" applyFill="1" applyBorder="1"/>
    <xf numFmtId="0" fontId="29" fillId="2" borderId="62" xfId="1" applyFont="1" applyFill="1" applyBorder="1"/>
    <xf numFmtId="0" fontId="24" fillId="2" borderId="67" xfId="1" applyFont="1" applyFill="1" applyBorder="1"/>
    <xf numFmtId="0" fontId="29" fillId="2" borderId="85" xfId="1" applyFont="1" applyFill="1" applyBorder="1"/>
    <xf numFmtId="0" fontId="36" fillId="2" borderId="68" xfId="1" applyFont="1" applyFill="1" applyBorder="1" applyAlignment="1">
      <alignment horizontal="right"/>
    </xf>
    <xf numFmtId="0" fontId="29" fillId="2" borderId="57" xfId="1" quotePrefix="1" applyFont="1" applyFill="1" applyBorder="1" applyAlignment="1">
      <alignment horizontal="left"/>
    </xf>
    <xf numFmtId="0" fontId="26" fillId="0" borderId="92" xfId="1" applyFont="1" applyFill="1" applyBorder="1"/>
    <xf numFmtId="0" fontId="29" fillId="2" borderId="85" xfId="1" quotePrefix="1" applyFont="1" applyFill="1" applyBorder="1" applyAlignment="1">
      <alignment horizontal="left"/>
    </xf>
    <xf numFmtId="0" fontId="24" fillId="2" borderId="63" xfId="1" applyFont="1" applyFill="1" applyBorder="1"/>
    <xf numFmtId="0" fontId="29" fillId="2" borderId="93" xfId="1" applyFont="1" applyFill="1" applyBorder="1" applyAlignment="1">
      <alignment horizontal="left"/>
    </xf>
    <xf numFmtId="0" fontId="29" fillId="2" borderId="67" xfId="1" quotePrefix="1" applyFont="1" applyFill="1" applyBorder="1" applyAlignment="1">
      <alignment horizontal="center"/>
    </xf>
    <xf numFmtId="0" fontId="24" fillId="2" borderId="68" xfId="1" quotePrefix="1" applyFont="1" applyFill="1" applyBorder="1" applyAlignment="1">
      <alignment horizontal="center"/>
    </xf>
    <xf numFmtId="0" fontId="29" fillId="2" borderId="94" xfId="1" applyFont="1" applyFill="1" applyBorder="1"/>
    <xf numFmtId="0" fontId="26" fillId="0" borderId="95" xfId="1" applyFont="1" applyFill="1" applyBorder="1"/>
    <xf numFmtId="0" fontId="31" fillId="0" borderId="95" xfId="1" applyNumberFormat="1" applyFont="1" applyFill="1" applyBorder="1" applyAlignment="1">
      <alignment horizontal="center"/>
    </xf>
    <xf numFmtId="0" fontId="31" fillId="0" borderId="96" xfId="1" applyFont="1" applyFill="1" applyBorder="1" applyAlignment="1">
      <alignment horizontal="center"/>
    </xf>
    <xf numFmtId="0" fontId="29" fillId="2" borderId="97" xfId="1" applyFont="1" applyFill="1" applyBorder="1" applyAlignment="1">
      <alignment horizontal="center"/>
    </xf>
    <xf numFmtId="0" fontId="29" fillId="2" borderId="76" xfId="1" quotePrefix="1" applyFont="1" applyFill="1" applyBorder="1" applyAlignment="1">
      <alignment horizontal="center"/>
    </xf>
    <xf numFmtId="0" fontId="24" fillId="2" borderId="98" xfId="1" quotePrefix="1" applyFont="1" applyFill="1" applyBorder="1" applyAlignment="1">
      <alignment horizontal="center"/>
    </xf>
    <xf numFmtId="0" fontId="31" fillId="0" borderId="68" xfId="1" applyNumberFormat="1" applyFont="1" applyFill="1" applyBorder="1" applyAlignment="1">
      <alignment horizontal="center"/>
    </xf>
    <xf numFmtId="0" fontId="31" fillId="0" borderId="73" xfId="1" applyFont="1" applyFill="1" applyBorder="1" applyAlignment="1">
      <alignment horizontal="center"/>
    </xf>
    <xf numFmtId="0" fontId="31" fillId="0" borderId="46" xfId="1" applyFont="1" applyFill="1" applyBorder="1"/>
    <xf numFmtId="0" fontId="37" fillId="0" borderId="24" xfId="1" applyFont="1" applyFill="1" applyBorder="1"/>
    <xf numFmtId="0" fontId="20" fillId="0" borderId="101" xfId="1" applyFont="1" applyFill="1" applyBorder="1" applyAlignment="1">
      <alignment horizontal="left"/>
    </xf>
    <xf numFmtId="0" fontId="20" fillId="0" borderId="61" xfId="1" applyFont="1" applyFill="1" applyBorder="1" applyAlignment="1">
      <alignment horizontal="left"/>
    </xf>
    <xf numFmtId="0" fontId="39" fillId="2" borderId="102" xfId="1" applyFont="1" applyFill="1" applyBorder="1" applyAlignment="1">
      <alignment horizontal="center"/>
    </xf>
    <xf numFmtId="166" fontId="31" fillId="0" borderId="68" xfId="1" applyNumberFormat="1" applyFont="1" applyFill="1" applyBorder="1" applyAlignment="1">
      <alignment horizontal="center"/>
    </xf>
    <xf numFmtId="0" fontId="29" fillId="2" borderId="103" xfId="1" applyFont="1" applyFill="1" applyBorder="1" applyAlignment="1">
      <alignment horizontal="left"/>
    </xf>
    <xf numFmtId="0" fontId="24" fillId="2" borderId="104" xfId="1" applyFont="1" applyFill="1" applyBorder="1"/>
    <xf numFmtId="0" fontId="24" fillId="2" borderId="105" xfId="1" applyFont="1" applyFill="1" applyBorder="1"/>
    <xf numFmtId="0" fontId="31" fillId="2" borderId="106" xfId="1" applyFont="1" applyFill="1" applyBorder="1" applyAlignment="1">
      <alignment horizontal="center"/>
    </xf>
    <xf numFmtId="0" fontId="26" fillId="0" borderId="77" xfId="1" applyFont="1" applyFill="1" applyBorder="1"/>
    <xf numFmtId="0" fontId="26" fillId="0" borderId="78" xfId="1" applyFont="1" applyFill="1" applyBorder="1"/>
    <xf numFmtId="0" fontId="26" fillId="0" borderId="86" xfId="1" applyFont="1" applyFill="1" applyBorder="1"/>
    <xf numFmtId="0" fontId="29" fillId="2" borderId="95" xfId="1" applyFont="1" applyFill="1" applyBorder="1"/>
    <xf numFmtId="0" fontId="36" fillId="2" borderId="63" xfId="1" applyFont="1" applyFill="1" applyBorder="1" applyAlignment="1">
      <alignment horizontal="right" shrinkToFit="1"/>
    </xf>
    <xf numFmtId="0" fontId="31" fillId="2" borderId="108" xfId="1" applyFont="1" applyFill="1" applyBorder="1" applyAlignment="1">
      <alignment horizontal="center"/>
    </xf>
    <xf numFmtId="2" fontId="26" fillId="0" borderId="0" xfId="1" applyNumberFormat="1" applyFont="1" applyFill="1"/>
    <xf numFmtId="0" fontId="29" fillId="2" borderId="82" xfId="1" applyFont="1" applyFill="1" applyBorder="1"/>
    <xf numFmtId="0" fontId="29" fillId="2" borderId="55" xfId="1" applyFont="1" applyFill="1" applyBorder="1"/>
    <xf numFmtId="0" fontId="36" fillId="2" borderId="63" xfId="1" applyFont="1" applyFill="1" applyBorder="1" applyAlignment="1">
      <alignment horizontal="right"/>
    </xf>
    <xf numFmtId="2" fontId="31" fillId="2" borderId="63" xfId="1" applyNumberFormat="1" applyFont="1" applyFill="1" applyBorder="1" applyAlignment="1">
      <alignment horizontal="center"/>
    </xf>
    <xf numFmtId="0" fontId="36" fillId="2" borderId="55" xfId="1" applyFont="1" applyFill="1" applyBorder="1" applyAlignment="1">
      <alignment horizontal="right"/>
    </xf>
    <xf numFmtId="0" fontId="36" fillId="2" borderId="63" xfId="1" applyFont="1" applyFill="1" applyBorder="1"/>
    <xf numFmtId="0" fontId="40" fillId="0" borderId="0" xfId="1" applyFont="1" applyFill="1"/>
    <xf numFmtId="0" fontId="29" fillId="2" borderId="110" xfId="1" applyFont="1" applyFill="1" applyBorder="1"/>
    <xf numFmtId="0" fontId="29" fillId="2" borderId="111" xfId="1" applyFont="1" applyFill="1" applyBorder="1"/>
    <xf numFmtId="0" fontId="29" fillId="2" borderId="112" xfId="1" applyFont="1" applyFill="1" applyBorder="1"/>
    <xf numFmtId="0" fontId="36" fillId="2" borderId="112" xfId="1" applyFont="1" applyFill="1" applyBorder="1"/>
    <xf numFmtId="166" fontId="31" fillId="2" borderId="112" xfId="1" applyNumberFormat="1" applyFont="1" applyFill="1" applyBorder="1" applyAlignment="1">
      <alignment horizontal="center"/>
    </xf>
    <xf numFmtId="0" fontId="29" fillId="2" borderId="72" xfId="1" applyFont="1" applyFill="1" applyBorder="1"/>
    <xf numFmtId="0" fontId="29" fillId="2" borderId="102" xfId="1" applyFont="1" applyFill="1" applyBorder="1" applyAlignment="1">
      <alignment horizontal="left"/>
    </xf>
    <xf numFmtId="0" fontId="29" fillId="2" borderId="72" xfId="1" applyFont="1" applyFill="1" applyBorder="1" applyAlignment="1">
      <alignment horizontal="left"/>
    </xf>
    <xf numFmtId="1" fontId="31" fillId="2" borderId="58" xfId="1" applyNumberFormat="1" applyFont="1" applyFill="1" applyBorder="1" applyAlignment="1">
      <alignment horizontal="center"/>
    </xf>
    <xf numFmtId="0" fontId="41" fillId="0" borderId="0" xfId="1" quotePrefix="1" applyFont="1" applyFill="1" applyAlignment="1">
      <alignment horizontal="left"/>
    </xf>
    <xf numFmtId="0" fontId="26" fillId="0" borderId="0" xfId="2" applyFont="1" applyFill="1"/>
    <xf numFmtId="0" fontId="29" fillId="2" borderId="0" xfId="1" applyFont="1" applyFill="1" applyBorder="1"/>
    <xf numFmtId="0" fontId="29" fillId="2" borderId="85" xfId="1" applyFont="1" applyFill="1" applyBorder="1" applyAlignment="1">
      <alignment horizontal="left"/>
    </xf>
    <xf numFmtId="0" fontId="29" fillId="2" borderId="68" xfId="1" applyFont="1" applyFill="1" applyBorder="1" applyAlignment="1">
      <alignment horizontal="left"/>
    </xf>
    <xf numFmtId="166" fontId="31" fillId="2" borderId="69" xfId="1" applyNumberFormat="1" applyFont="1" applyFill="1" applyBorder="1" applyAlignment="1">
      <alignment horizontal="center"/>
    </xf>
    <xf numFmtId="1" fontId="26" fillId="0" borderId="0" xfId="1" applyNumberFormat="1" applyFont="1" applyFill="1"/>
    <xf numFmtId="0" fontId="29" fillId="2" borderId="40" xfId="1" applyFont="1" applyFill="1" applyBorder="1"/>
    <xf numFmtId="0" fontId="29" fillId="2" borderId="106" xfId="1" applyFont="1" applyFill="1" applyBorder="1" applyAlignment="1">
      <alignment horizontal="left"/>
    </xf>
    <xf numFmtId="0" fontId="29" fillId="2" borderId="98" xfId="1" applyFont="1" applyFill="1" applyBorder="1" applyAlignment="1">
      <alignment horizontal="left"/>
    </xf>
    <xf numFmtId="1" fontId="31" fillId="2" borderId="77" xfId="1" applyNumberFormat="1" applyFont="1" applyFill="1" applyBorder="1" applyAlignment="1">
      <alignment horizontal="center"/>
    </xf>
    <xf numFmtId="0" fontId="20" fillId="2" borderId="79" xfId="1" applyFont="1" applyFill="1" applyBorder="1" applyAlignment="1">
      <alignment horizontal="left"/>
    </xf>
    <xf numFmtId="0" fontId="20" fillId="2" borderId="80" xfId="1" applyFont="1" applyFill="1" applyBorder="1" applyAlignment="1">
      <alignment horizontal="left"/>
    </xf>
    <xf numFmtId="0" fontId="20" fillId="2" borderId="81" xfId="1" applyFont="1" applyFill="1" applyBorder="1" applyAlignment="1">
      <alignment horizontal="left"/>
    </xf>
    <xf numFmtId="0" fontId="22" fillId="2" borderId="82" xfId="1" applyFont="1" applyFill="1" applyBorder="1"/>
    <xf numFmtId="0" fontId="26" fillId="2" borderId="71" xfId="1" applyFont="1" applyFill="1" applyBorder="1" applyAlignment="1">
      <alignment horizontal="left"/>
    </xf>
    <xf numFmtId="0" fontId="26" fillId="2" borderId="83" xfId="1" applyFont="1" applyFill="1" applyBorder="1" applyAlignment="1">
      <alignment horizontal="left"/>
    </xf>
    <xf numFmtId="0" fontId="22" fillId="2" borderId="67" xfId="1" applyFont="1" applyFill="1" applyBorder="1" applyAlignment="1">
      <alignment horizontal="left"/>
    </xf>
    <xf numFmtId="0" fontId="22" fillId="2" borderId="73" xfId="1" applyFont="1" applyFill="1" applyBorder="1" applyAlignment="1">
      <alignment horizontal="left"/>
    </xf>
    <xf numFmtId="0" fontId="42" fillId="0" borderId="0" xfId="1" applyFont="1" applyFill="1"/>
    <xf numFmtId="0" fontId="29" fillId="0" borderId="113" xfId="1" applyFont="1" applyFill="1" applyBorder="1"/>
    <xf numFmtId="0" fontId="29" fillId="2" borderId="116" xfId="1" applyFont="1" applyFill="1" applyBorder="1"/>
    <xf numFmtId="0" fontId="43" fillId="2" borderId="117" xfId="1" applyFont="1" applyFill="1" applyBorder="1" applyAlignment="1">
      <alignment horizontal="center" shrinkToFit="1"/>
    </xf>
    <xf numFmtId="0" fontId="22" fillId="2" borderId="45" xfId="1" applyFont="1" applyFill="1" applyBorder="1"/>
    <xf numFmtId="0" fontId="29" fillId="2" borderId="118" xfId="1" applyFont="1" applyFill="1" applyBorder="1"/>
    <xf numFmtId="0" fontId="29" fillId="2" borderId="23" xfId="1" applyFont="1" applyFill="1" applyBorder="1"/>
    <xf numFmtId="14" fontId="24" fillId="2" borderId="121" xfId="1" applyNumberFormat="1" applyFont="1" applyFill="1" applyBorder="1" applyAlignment="1">
      <alignment horizontal="center"/>
    </xf>
    <xf numFmtId="0" fontId="22" fillId="0" borderId="23" xfId="1" applyFont="1" applyFill="1" applyBorder="1"/>
    <xf numFmtId="0" fontId="22" fillId="2" borderId="122" xfId="1" applyFont="1" applyFill="1" applyBorder="1" applyAlignment="1">
      <alignment horizontal="left"/>
    </xf>
    <xf numFmtId="0" fontId="22" fillId="2" borderId="123" xfId="1" applyFont="1" applyFill="1" applyBorder="1" applyAlignment="1">
      <alignment horizontal="left"/>
    </xf>
    <xf numFmtId="0" fontId="22" fillId="0" borderId="0" xfId="1" applyFont="1" applyFill="1"/>
    <xf numFmtId="0" fontId="22" fillId="0" borderId="0" xfId="1" applyFont="1" applyFill="1" applyBorder="1"/>
    <xf numFmtId="0" fontId="1" fillId="0" borderId="6" xfId="3" applyBorder="1"/>
    <xf numFmtId="0" fontId="1" fillId="0" borderId="7" xfId="3" applyBorder="1"/>
    <xf numFmtId="0" fontId="1" fillId="0" borderId="41" xfId="3" applyBorder="1"/>
    <xf numFmtId="0" fontId="1" fillId="0" borderId="41" xfId="3" applyBorder="1" applyAlignment="1">
      <alignment horizontal="center"/>
    </xf>
    <xf numFmtId="0" fontId="46" fillId="0" borderId="41" xfId="3" applyFont="1" applyBorder="1" applyAlignment="1">
      <alignment horizontal="center"/>
    </xf>
    <xf numFmtId="0" fontId="1" fillId="0" borderId="0" xfId="3"/>
    <xf numFmtId="0" fontId="47" fillId="0" borderId="124" xfId="3" applyFont="1" applyBorder="1" applyAlignment="1">
      <alignment horizontal="center"/>
    </xf>
    <xf numFmtId="0" fontId="1" fillId="0" borderId="124" xfId="3" applyBorder="1" applyAlignment="1">
      <alignment horizontal="center"/>
    </xf>
    <xf numFmtId="0" fontId="46" fillId="0" borderId="124" xfId="3" applyFont="1" applyBorder="1" applyAlignment="1">
      <alignment horizontal="center"/>
    </xf>
    <xf numFmtId="0" fontId="47" fillId="0" borderId="45" xfId="3" applyFont="1" applyBorder="1" applyAlignment="1">
      <alignment horizontal="center"/>
    </xf>
    <xf numFmtId="0" fontId="47" fillId="0" borderId="0" xfId="3" applyFont="1" applyBorder="1" applyAlignment="1">
      <alignment horizontal="center"/>
    </xf>
    <xf numFmtId="0" fontId="1" fillId="0" borderId="45" xfId="3" applyBorder="1"/>
    <xf numFmtId="0" fontId="48" fillId="0" borderId="0" xfId="3" applyFont="1"/>
    <xf numFmtId="0" fontId="1" fillId="0" borderId="124" xfId="3" applyBorder="1"/>
    <xf numFmtId="0" fontId="46" fillId="0" borderId="0" xfId="3" applyFont="1"/>
    <xf numFmtId="0" fontId="46" fillId="0" borderId="124" xfId="3" applyFont="1" applyBorder="1"/>
    <xf numFmtId="169" fontId="1" fillId="0" borderId="3" xfId="3" applyNumberFormat="1" applyBorder="1"/>
    <xf numFmtId="49" fontId="1" fillId="0" borderId="1" xfId="3" applyNumberFormat="1" applyBorder="1" applyAlignment="1">
      <alignment horizontal="center"/>
    </xf>
    <xf numFmtId="49" fontId="1" fillId="0" borderId="1" xfId="3" applyNumberFormat="1" applyBorder="1"/>
    <xf numFmtId="49" fontId="46" fillId="0" borderId="1" xfId="3" applyNumberFormat="1" applyFont="1" applyBorder="1"/>
    <xf numFmtId="170" fontId="46" fillId="0" borderId="1" xfId="3" applyNumberFormat="1" applyFont="1" applyBorder="1"/>
    <xf numFmtId="0" fontId="1" fillId="0" borderId="1" xfId="3" applyBorder="1"/>
    <xf numFmtId="0" fontId="1" fillId="0" borderId="9" xfId="3" applyBorder="1"/>
    <xf numFmtId="170" fontId="1" fillId="0" borderId="1" xfId="3" applyNumberFormat="1" applyBorder="1"/>
    <xf numFmtId="0" fontId="1" fillId="0" borderId="1" xfId="3" applyBorder="1" applyAlignment="1">
      <alignment horizontal="center"/>
    </xf>
    <xf numFmtId="169" fontId="1" fillId="0" borderId="18" xfId="3" applyNumberFormat="1" applyBorder="1"/>
    <xf numFmtId="49" fontId="1" fillId="0" borderId="26" xfId="3" applyNumberFormat="1" applyBorder="1"/>
    <xf numFmtId="170" fontId="1" fillId="0" borderId="26" xfId="3" applyNumberFormat="1" applyBorder="1"/>
    <xf numFmtId="0" fontId="1" fillId="0" borderId="26" xfId="3" applyBorder="1"/>
    <xf numFmtId="0" fontId="1" fillId="0" borderId="125" xfId="3" applyBorder="1"/>
    <xf numFmtId="0" fontId="46" fillId="0" borderId="126" xfId="3" applyFont="1" applyBorder="1" applyAlignment="1">
      <alignment horizontal="center"/>
    </xf>
    <xf numFmtId="0" fontId="46" fillId="0" borderId="127" xfId="3" applyFont="1" applyBorder="1" applyAlignment="1">
      <alignment horizontal="center"/>
    </xf>
    <xf numFmtId="49" fontId="46" fillId="0" borderId="2" xfId="3" applyNumberFormat="1" applyFont="1" applyBorder="1" applyAlignment="1">
      <alignment horizontal="center"/>
    </xf>
    <xf numFmtId="0" fontId="1" fillId="0" borderId="54" xfId="3" applyBorder="1" applyAlignment="1">
      <alignment horizontal="left"/>
    </xf>
    <xf numFmtId="49" fontId="1" fillId="0" borderId="3" xfId="3" applyNumberFormat="1" applyBorder="1"/>
    <xf numFmtId="0" fontId="1" fillId="0" borderId="129" xfId="3" applyBorder="1" applyAlignment="1">
      <alignment horizontal="left"/>
    </xf>
    <xf numFmtId="49" fontId="1" fillId="0" borderId="4" xfId="3" applyNumberFormat="1" applyBorder="1"/>
    <xf numFmtId="0" fontId="1" fillId="0" borderId="131" xfId="3" applyBorder="1" applyAlignment="1">
      <alignment horizontal="left"/>
    </xf>
    <xf numFmtId="0" fontId="49" fillId="0" borderId="0" xfId="0" applyFont="1"/>
    <xf numFmtId="0" fontId="51" fillId="0" borderId="20" xfId="0" applyFont="1" applyBorder="1" applyAlignment="1">
      <alignment horizontal="right"/>
    </xf>
    <xf numFmtId="0" fontId="51" fillId="0" borderId="47" xfId="0" applyFont="1" applyBorder="1" applyAlignment="1">
      <alignment horizontal="right"/>
    </xf>
    <xf numFmtId="0" fontId="51" fillId="0" borderId="101" xfId="0" applyFont="1" applyBorder="1" applyAlignment="1">
      <alignment horizontal="center"/>
    </xf>
    <xf numFmtId="0" fontId="23" fillId="0" borderId="38" xfId="0" applyFont="1" applyBorder="1" applyAlignment="1">
      <alignment horizontal="center"/>
    </xf>
    <xf numFmtId="0" fontId="51" fillId="0" borderId="60" xfId="0" applyFont="1" applyBorder="1" applyAlignment="1">
      <alignment horizontal="center"/>
    </xf>
    <xf numFmtId="0" fontId="23" fillId="0" borderId="38" xfId="0" applyFont="1" applyBorder="1"/>
    <xf numFmtId="0" fontId="0" fillId="0" borderId="46" xfId="0" applyBorder="1"/>
    <xf numFmtId="0" fontId="23" fillId="0" borderId="48" xfId="0" applyFont="1" applyBorder="1" applyAlignment="1">
      <alignment horizontal="center"/>
    </xf>
    <xf numFmtId="0" fontId="49" fillId="0" borderId="132" xfId="0" applyFont="1" applyBorder="1" applyAlignment="1">
      <alignment horizontal="center"/>
    </xf>
    <xf numFmtId="0" fontId="23" fillId="0" borderId="48" xfId="0" applyFont="1" applyBorder="1"/>
    <xf numFmtId="0" fontId="51" fillId="0" borderId="101" xfId="0" applyFont="1" applyBorder="1" applyAlignment="1">
      <alignment horizontal="right"/>
    </xf>
    <xf numFmtId="0" fontId="23" fillId="0" borderId="27" xfId="0" applyFont="1" applyBorder="1" applyAlignment="1">
      <alignment horizontal="center"/>
    </xf>
    <xf numFmtId="0" fontId="51" fillId="0" borderId="46" xfId="0" applyFont="1" applyBorder="1" applyAlignment="1">
      <alignment horizontal="right"/>
    </xf>
    <xf numFmtId="0" fontId="23" fillId="0" borderId="24" xfId="0" applyFont="1" applyBorder="1" applyAlignment="1">
      <alignment horizontal="center"/>
    </xf>
    <xf numFmtId="0" fontId="23" fillId="0" borderId="32" xfId="0" applyFont="1" applyBorder="1" applyAlignment="1">
      <alignment horizontal="center"/>
    </xf>
    <xf numFmtId="0" fontId="49" fillId="0" borderId="0" xfId="0" applyFont="1" applyBorder="1" applyAlignment="1">
      <alignment horizontal="center"/>
    </xf>
    <xf numFmtId="166" fontId="2" fillId="0" borderId="0" xfId="0" applyNumberFormat="1" applyFont="1" applyBorder="1" applyAlignment="1">
      <alignment horizontal="center"/>
    </xf>
    <xf numFmtId="0" fontId="52" fillId="0" borderId="60" xfId="0" applyFont="1" applyBorder="1"/>
    <xf numFmtId="0" fontId="52" fillId="0" borderId="61" xfId="0" applyFont="1" applyBorder="1"/>
    <xf numFmtId="0" fontId="52" fillId="0" borderId="38" xfId="0" applyFont="1" applyBorder="1"/>
    <xf numFmtId="0" fontId="53" fillId="0" borderId="82" xfId="0" applyFont="1" applyBorder="1" applyAlignment="1">
      <alignment horizontal="centerContinuous"/>
    </xf>
    <xf numFmtId="0" fontId="52" fillId="0" borderId="0" xfId="0" applyFont="1" applyBorder="1" applyAlignment="1">
      <alignment horizontal="centerContinuous"/>
    </xf>
    <xf numFmtId="0" fontId="52" fillId="0" borderId="107" xfId="0" applyFont="1" applyBorder="1" applyAlignment="1">
      <alignment horizontal="centerContinuous"/>
    </xf>
    <xf numFmtId="0" fontId="54" fillId="0" borderId="82" xfId="0" applyFont="1" applyBorder="1" applyAlignment="1">
      <alignment horizontal="centerContinuous"/>
    </xf>
    <xf numFmtId="0" fontId="52" fillId="0" borderId="82" xfId="0" applyFont="1" applyBorder="1"/>
    <xf numFmtId="0" fontId="52" fillId="0" borderId="0" xfId="0" applyFont="1" applyBorder="1"/>
    <xf numFmtId="0" fontId="52" fillId="0" borderId="107" xfId="0" applyFont="1" applyBorder="1"/>
    <xf numFmtId="0" fontId="50" fillId="0" borderId="1" xfId="0" applyFont="1" applyBorder="1" applyAlignment="1">
      <alignment horizontal="right"/>
    </xf>
    <xf numFmtId="0" fontId="52" fillId="0" borderId="1" xfId="0" applyFont="1" applyBorder="1" applyAlignment="1">
      <alignment horizontal="center"/>
    </xf>
    <xf numFmtId="14" fontId="52" fillId="0" borderId="1" xfId="0" applyNumberFormat="1" applyFont="1" applyBorder="1" applyAlignment="1">
      <alignment horizontal="center"/>
    </xf>
    <xf numFmtId="0" fontId="50" fillId="0" borderId="0" xfId="0" applyFont="1" applyBorder="1" applyAlignment="1">
      <alignment horizontal="right"/>
    </xf>
    <xf numFmtId="0" fontId="52" fillId="0" borderId="0" xfId="0" applyFont="1" applyBorder="1" applyAlignment="1">
      <alignment horizontal="center"/>
    </xf>
    <xf numFmtId="9" fontId="52" fillId="0" borderId="0" xfId="0" applyNumberFormat="1" applyFont="1" applyBorder="1" applyAlignment="1">
      <alignment horizontal="center"/>
    </xf>
    <xf numFmtId="0" fontId="50" fillId="0" borderId="82" xfId="0" applyFont="1" applyBorder="1" applyAlignment="1">
      <alignment horizontal="right"/>
    </xf>
    <xf numFmtId="0" fontId="52" fillId="0" borderId="40" xfId="0" applyFont="1" applyBorder="1"/>
    <xf numFmtId="0" fontId="52" fillId="0" borderId="39" xfId="0" applyFont="1" applyBorder="1" applyAlignment="1">
      <alignment horizontal="center"/>
    </xf>
    <xf numFmtId="0" fontId="52" fillId="0" borderId="84" xfId="0" applyFont="1" applyBorder="1"/>
    <xf numFmtId="0" fontId="50" fillId="0" borderId="17" xfId="0" applyFont="1" applyBorder="1" applyAlignment="1">
      <alignment horizontal="right"/>
    </xf>
    <xf numFmtId="0" fontId="52" fillId="0" borderId="129" xfId="0" applyFont="1" applyBorder="1"/>
    <xf numFmtId="166" fontId="3" fillId="0" borderId="0" xfId="0" quotePrefix="1" applyNumberFormat="1" applyFont="1" applyBorder="1" applyAlignment="1">
      <alignment horizontal="center"/>
    </xf>
    <xf numFmtId="166" fontId="3" fillId="0" borderId="0" xfId="0" applyNumberFormat="1" applyFont="1" applyBorder="1" applyAlignment="1">
      <alignment horizontal="center"/>
    </xf>
    <xf numFmtId="166" fontId="2" fillId="0" borderId="0" xfId="0" applyNumberFormat="1" applyFont="1" applyAlignment="1">
      <alignment horizontal="center"/>
    </xf>
    <xf numFmtId="2" fontId="7" fillId="0" borderId="36" xfId="0" applyNumberFormat="1" applyFont="1" applyFill="1" applyBorder="1" applyAlignment="1">
      <alignment horizontal="center"/>
    </xf>
    <xf numFmtId="166" fontId="2" fillId="0" borderId="36" xfId="0" applyNumberFormat="1" applyFont="1" applyFill="1" applyBorder="1" applyAlignment="1">
      <alignment horizontal="center"/>
    </xf>
    <xf numFmtId="166" fontId="2" fillId="0" borderId="132" xfId="0" applyNumberFormat="1" applyFont="1" applyFill="1" applyBorder="1" applyAlignment="1">
      <alignment horizontal="center"/>
    </xf>
    <xf numFmtId="2" fontId="8" fillId="0" borderId="40" xfId="0" applyNumberFormat="1" applyFont="1" applyFill="1" applyBorder="1" applyAlignment="1">
      <alignment horizontal="left"/>
    </xf>
    <xf numFmtId="166" fontId="14" fillId="0" borderId="40" xfId="0" applyNumberFormat="1" applyFont="1" applyFill="1" applyBorder="1" applyAlignment="1">
      <alignment horizontal="left"/>
    </xf>
    <xf numFmtId="0" fontId="55" fillId="0" borderId="0" xfId="4"/>
    <xf numFmtId="0" fontId="49" fillId="0" borderId="0" xfId="4" applyFont="1"/>
    <xf numFmtId="0" fontId="49" fillId="0" borderId="1" xfId="4" applyFont="1" applyBorder="1" applyAlignment="1">
      <alignment horizontal="center"/>
    </xf>
    <xf numFmtId="0" fontId="52" fillId="0" borderId="60" xfId="4" applyFont="1" applyBorder="1"/>
    <xf numFmtId="0" fontId="52" fillId="0" borderId="61" xfId="4" applyFont="1" applyBorder="1"/>
    <xf numFmtId="0" fontId="52" fillId="0" borderId="38" xfId="4" applyFont="1" applyBorder="1"/>
    <xf numFmtId="0" fontId="53" fillId="0" borderId="82" xfId="4" applyFont="1" applyBorder="1" applyAlignment="1">
      <alignment horizontal="centerContinuous"/>
    </xf>
    <xf numFmtId="0" fontId="52" fillId="0" borderId="0" xfId="4" applyFont="1" applyBorder="1" applyAlignment="1">
      <alignment horizontal="centerContinuous"/>
    </xf>
    <xf numFmtId="0" fontId="52" fillId="0" borderId="107" xfId="4" applyFont="1" applyBorder="1" applyAlignment="1">
      <alignment horizontal="centerContinuous"/>
    </xf>
    <xf numFmtId="0" fontId="52" fillId="0" borderId="82" xfId="4" applyFont="1" applyBorder="1"/>
    <xf numFmtId="0" fontId="52" fillId="0" borderId="0" xfId="4" applyFont="1" applyBorder="1"/>
    <xf numFmtId="0" fontId="52" fillId="0" borderId="107" xfId="4" applyFont="1" applyBorder="1"/>
    <xf numFmtId="0" fontId="50" fillId="0" borderId="0" xfId="4" applyFont="1" applyBorder="1" applyAlignment="1">
      <alignment horizontal="right"/>
    </xf>
    <xf numFmtId="0" fontId="52" fillId="0" borderId="0" xfId="4" applyFont="1" applyBorder="1" applyAlignment="1">
      <alignment horizontal="center"/>
    </xf>
    <xf numFmtId="9" fontId="52" fillId="0" borderId="0" xfId="4" applyNumberFormat="1" applyFont="1" applyBorder="1" applyAlignment="1">
      <alignment horizontal="center"/>
    </xf>
    <xf numFmtId="0" fontId="58" fillId="0" borderId="0" xfId="4" applyFont="1"/>
    <xf numFmtId="0" fontId="55" fillId="0" borderId="0" xfId="4" applyBorder="1"/>
    <xf numFmtId="0" fontId="59" fillId="0" borderId="0" xfId="4" applyFont="1" applyFill="1" applyBorder="1"/>
    <xf numFmtId="0" fontId="55" fillId="0" borderId="0" xfId="4" applyFont="1" applyFill="1" applyBorder="1"/>
    <xf numFmtId="0" fontId="2" fillId="0" borderId="1" xfId="4" applyFont="1" applyBorder="1" applyAlignment="1">
      <alignment horizontal="center"/>
    </xf>
    <xf numFmtId="1" fontId="2" fillId="2" borderId="1" xfId="4" applyNumberFormat="1" applyFont="1" applyFill="1" applyBorder="1" applyAlignment="1">
      <alignment horizontal="center"/>
    </xf>
    <xf numFmtId="2" fontId="2" fillId="2" borderId="1" xfId="4" applyNumberFormat="1" applyFont="1" applyFill="1" applyBorder="1" applyAlignment="1">
      <alignment horizontal="center"/>
    </xf>
    <xf numFmtId="0" fontId="2" fillId="2" borderId="1" xfId="4" applyFont="1" applyFill="1" applyBorder="1" applyAlignment="1">
      <alignment horizontal="center"/>
    </xf>
    <xf numFmtId="0" fontId="50" fillId="0" borderId="0" xfId="4" applyFont="1" applyAlignment="1">
      <alignment horizontal="right"/>
    </xf>
    <xf numFmtId="0" fontId="6" fillId="0" borderId="0" xfId="4" applyFont="1"/>
    <xf numFmtId="0" fontId="50" fillId="0" borderId="0" xfId="4" applyFont="1"/>
    <xf numFmtId="0" fontId="52" fillId="0" borderId="0" xfId="4" applyFont="1"/>
    <xf numFmtId="0" fontId="23" fillId="0" borderId="17" xfId="4" applyFont="1" applyBorder="1" applyAlignment="1">
      <alignment horizontal="right"/>
    </xf>
    <xf numFmtId="0" fontId="23" fillId="0" borderId="129" xfId="4" applyFont="1" applyBorder="1" applyAlignment="1">
      <alignment horizontal="left"/>
    </xf>
    <xf numFmtId="0" fontId="23" fillId="0" borderId="129" xfId="4" quotePrefix="1" applyFont="1" applyBorder="1" applyAlignment="1">
      <alignment horizontal="left"/>
    </xf>
    <xf numFmtId="0" fontId="54" fillId="0" borderId="82" xfId="4" applyFont="1" applyBorder="1" applyAlignment="1">
      <alignment horizontal="centerContinuous"/>
    </xf>
    <xf numFmtId="0" fontId="61" fillId="0" borderId="0" xfId="4" applyFont="1"/>
    <xf numFmtId="0" fontId="2" fillId="0" borderId="44" xfId="4" applyFont="1" applyBorder="1" applyAlignment="1">
      <alignment horizontal="center"/>
    </xf>
    <xf numFmtId="0" fontId="2" fillId="0" borderId="53" xfId="4" applyFont="1" applyBorder="1" applyAlignment="1">
      <alignment horizontal="center"/>
    </xf>
    <xf numFmtId="166" fontId="7" fillId="0" borderId="134" xfId="4" quotePrefix="1" applyNumberFormat="1" applyFont="1" applyBorder="1" applyAlignment="1">
      <alignment horizontal="center"/>
    </xf>
    <xf numFmtId="166" fontId="2" fillId="0" borderId="39" xfId="4" applyNumberFormat="1" applyFont="1" applyBorder="1" applyAlignment="1">
      <alignment horizontal="center"/>
    </xf>
    <xf numFmtId="166" fontId="2" fillId="0" borderId="28" xfId="4" applyNumberFormat="1" applyFont="1" applyBorder="1" applyAlignment="1">
      <alignment horizontal="center"/>
    </xf>
    <xf numFmtId="166" fontId="2" fillId="0" borderId="135" xfId="4" applyNumberFormat="1" applyFont="1" applyBorder="1" applyAlignment="1">
      <alignment horizontal="center"/>
    </xf>
    <xf numFmtId="166" fontId="7" fillId="0" borderId="136" xfId="4" quotePrefix="1" applyNumberFormat="1" applyFont="1" applyBorder="1" applyAlignment="1">
      <alignment horizontal="center"/>
    </xf>
    <xf numFmtId="166" fontId="2" fillId="0" borderId="129" xfId="4" applyNumberFormat="1" applyFont="1" applyBorder="1" applyAlignment="1">
      <alignment horizontal="center"/>
    </xf>
    <xf numFmtId="166" fontId="2" fillId="0" borderId="1" xfId="4" applyNumberFormat="1" applyFont="1" applyBorder="1" applyAlignment="1">
      <alignment horizontal="center"/>
    </xf>
    <xf numFmtId="166" fontId="2" fillId="0" borderId="9" xfId="4" applyNumberFormat="1" applyFont="1" applyBorder="1" applyAlignment="1">
      <alignment horizontal="center"/>
    </xf>
    <xf numFmtId="166" fontId="7" fillId="0" borderId="25" xfId="4" quotePrefix="1" applyNumberFormat="1" applyFont="1" applyBorder="1" applyAlignment="1">
      <alignment horizontal="center"/>
    </xf>
    <xf numFmtId="166" fontId="2" fillId="0" borderId="131" xfId="4" applyNumberFormat="1" applyFont="1" applyBorder="1" applyAlignment="1">
      <alignment horizontal="center"/>
    </xf>
    <xf numFmtId="166" fontId="2" fillId="0" borderId="11" xfId="4" applyNumberFormat="1" applyFont="1" applyBorder="1" applyAlignment="1">
      <alignment horizontal="center"/>
    </xf>
    <xf numFmtId="166" fontId="2" fillId="0" borderId="33" xfId="4" applyNumberFormat="1" applyFont="1" applyBorder="1" applyAlignment="1">
      <alignment horizontal="center"/>
    </xf>
    <xf numFmtId="166" fontId="7" fillId="0" borderId="0" xfId="4" quotePrefix="1" applyNumberFormat="1" applyFont="1" applyBorder="1" applyAlignment="1">
      <alignment horizontal="center"/>
    </xf>
    <xf numFmtId="166" fontId="2" fillId="0" borderId="0" xfId="4" applyNumberFormat="1" applyFont="1" applyBorder="1" applyAlignment="1">
      <alignment horizontal="center"/>
    </xf>
    <xf numFmtId="166" fontId="7" fillId="0" borderId="0" xfId="4" applyNumberFormat="1" applyFont="1" applyBorder="1" applyAlignment="1">
      <alignment horizontal="center"/>
    </xf>
    <xf numFmtId="171" fontId="63" fillId="0" borderId="6" xfId="5" applyFont="1" applyBorder="1" applyAlignment="1" applyProtection="1">
      <alignment horizontal="centerContinuous"/>
    </xf>
    <xf numFmtId="171" fontId="63" fillId="0" borderId="7" xfId="5" applyFont="1" applyBorder="1" applyAlignment="1">
      <alignment horizontal="centerContinuous"/>
    </xf>
    <xf numFmtId="171" fontId="64" fillId="0" borderId="12" xfId="5" applyFont="1" applyBorder="1" applyAlignment="1" applyProtection="1">
      <alignment horizontal="left"/>
    </xf>
    <xf numFmtId="171" fontId="65" fillId="0" borderId="54" xfId="5" applyFont="1" applyBorder="1"/>
    <xf numFmtId="171" fontId="64" fillId="0" borderId="13" xfId="5" applyFont="1" applyBorder="1" applyAlignment="1">
      <alignment horizontal="centerContinuous"/>
    </xf>
    <xf numFmtId="171" fontId="65" fillId="0" borderId="14" xfId="5" applyFont="1" applyBorder="1" applyAlignment="1">
      <alignment horizontal="centerContinuous"/>
    </xf>
    <xf numFmtId="171" fontId="66" fillId="0" borderId="0" xfId="5" applyFont="1"/>
    <xf numFmtId="171" fontId="62" fillId="0" borderId="0" xfId="5"/>
    <xf numFmtId="171" fontId="63" fillId="0" borderId="45" xfId="5" applyFont="1" applyBorder="1" applyAlignment="1" applyProtection="1">
      <alignment horizontal="centerContinuous"/>
    </xf>
    <xf numFmtId="171" fontId="63" fillId="0" borderId="0" xfId="5" applyFont="1" applyBorder="1" applyAlignment="1">
      <alignment horizontal="centerContinuous"/>
    </xf>
    <xf numFmtId="171" fontId="64" fillId="0" borderId="109" xfId="5" applyFont="1" applyBorder="1" applyAlignment="1" applyProtection="1">
      <alignment horizontal="left"/>
    </xf>
    <xf numFmtId="171" fontId="65" fillId="0" borderId="39" xfId="5" applyFont="1" applyBorder="1"/>
    <xf numFmtId="171" fontId="64" fillId="0" borderId="40" xfId="5" applyFont="1" applyBorder="1" applyAlignment="1" applyProtection="1">
      <alignment horizontal="centerContinuous"/>
    </xf>
    <xf numFmtId="171" fontId="65" fillId="0" borderId="29" xfId="5" applyFont="1" applyBorder="1" applyAlignment="1">
      <alignment horizontal="centerContinuous"/>
    </xf>
    <xf numFmtId="171" fontId="65" fillId="0" borderId="45" xfId="5" applyFont="1" applyBorder="1" applyAlignment="1">
      <alignment horizontal="centerContinuous"/>
    </xf>
    <xf numFmtId="171" fontId="65" fillId="0" borderId="0" xfId="5" applyFont="1" applyBorder="1" applyAlignment="1">
      <alignment horizontal="centerContinuous"/>
    </xf>
    <xf numFmtId="171" fontId="64" fillId="0" borderId="40" xfId="5" quotePrefix="1" applyFont="1" applyBorder="1" applyAlignment="1">
      <alignment horizontal="centerContinuous"/>
    </xf>
    <xf numFmtId="171" fontId="67" fillId="0" borderId="45" xfId="5" applyFont="1" applyBorder="1" applyAlignment="1" applyProtection="1">
      <alignment horizontal="centerContinuous"/>
    </xf>
    <xf numFmtId="171" fontId="64" fillId="0" borderId="40" xfId="5" quotePrefix="1" applyFont="1" applyBorder="1" applyAlignment="1" applyProtection="1">
      <alignment horizontal="centerContinuous"/>
    </xf>
    <xf numFmtId="171" fontId="66" fillId="0" borderId="45" xfId="5" applyFont="1" applyBorder="1" applyAlignment="1">
      <alignment horizontal="centerContinuous"/>
    </xf>
    <xf numFmtId="171" fontId="64" fillId="0" borderId="40" xfId="5" applyFont="1" applyBorder="1" applyAlignment="1">
      <alignment horizontal="centerContinuous"/>
    </xf>
    <xf numFmtId="171" fontId="66" fillId="0" borderId="46" xfId="5" applyFont="1" applyBorder="1" applyAlignment="1" applyProtection="1">
      <alignment horizontal="centerContinuous"/>
    </xf>
    <xf numFmtId="171" fontId="65" fillId="0" borderId="23" xfId="5" applyFont="1" applyBorder="1" applyAlignment="1">
      <alignment horizontal="centerContinuous"/>
    </xf>
    <xf numFmtId="171" fontId="64" fillId="0" borderId="46" xfId="5" applyFont="1" applyBorder="1" applyAlignment="1" applyProtection="1">
      <alignment horizontal="left"/>
    </xf>
    <xf numFmtId="171" fontId="65" fillId="0" borderId="48" xfId="5" applyFont="1" applyBorder="1"/>
    <xf numFmtId="171" fontId="68" fillId="0" borderId="23" xfId="5" applyFont="1" applyBorder="1" applyAlignment="1">
      <alignment horizontal="centerContinuous"/>
    </xf>
    <xf numFmtId="171" fontId="65" fillId="0" borderId="24" xfId="5" applyFont="1" applyBorder="1" applyAlignment="1">
      <alignment horizontal="centerContinuous"/>
    </xf>
    <xf numFmtId="171" fontId="66" fillId="0" borderId="0" xfId="5" applyFont="1" applyBorder="1" applyAlignment="1" applyProtection="1">
      <alignment horizontal="centerContinuous"/>
    </xf>
    <xf numFmtId="171" fontId="64" fillId="0" borderId="0" xfId="5" applyFont="1" applyBorder="1" applyAlignment="1" applyProtection="1">
      <alignment horizontal="left"/>
    </xf>
    <xf numFmtId="171" fontId="65" fillId="0" borderId="0" xfId="5" applyFont="1" applyBorder="1"/>
    <xf numFmtId="171" fontId="64" fillId="0" borderId="0" xfId="5" applyFont="1" applyBorder="1" applyAlignment="1">
      <alignment horizontal="centerContinuous"/>
    </xf>
    <xf numFmtId="171" fontId="69" fillId="0" borderId="0" xfId="5" applyFont="1"/>
    <xf numFmtId="171" fontId="69" fillId="0" borderId="0" xfId="5" applyFont="1" applyAlignment="1" applyProtection="1">
      <alignment horizontal="right"/>
    </xf>
    <xf numFmtId="171" fontId="69" fillId="0" borderId="0" xfId="5" applyFont="1" applyAlignment="1" applyProtection="1">
      <alignment horizontal="left"/>
      <protection locked="0"/>
    </xf>
    <xf numFmtId="171" fontId="69" fillId="0" borderId="0" xfId="5" applyFont="1" applyBorder="1" applyAlignment="1">
      <alignment horizontal="centerContinuous"/>
    </xf>
    <xf numFmtId="171" fontId="69" fillId="0" borderId="0" xfId="5" applyFont="1" applyBorder="1" applyAlignment="1" applyProtection="1">
      <alignment horizontal="left"/>
    </xf>
    <xf numFmtId="171" fontId="69" fillId="0" borderId="0" xfId="5" applyFont="1" applyBorder="1"/>
    <xf numFmtId="171" fontId="69" fillId="0" borderId="0" xfId="5" quotePrefix="1" applyFont="1" applyAlignment="1" applyProtection="1">
      <alignment horizontal="left"/>
      <protection locked="0"/>
    </xf>
    <xf numFmtId="171" fontId="65" fillId="0" borderId="0" xfId="5" applyFont="1"/>
    <xf numFmtId="171" fontId="70" fillId="0" borderId="137" xfId="5" applyFont="1" applyBorder="1" applyAlignment="1" applyProtection="1">
      <alignment horizontal="centerContinuous"/>
    </xf>
    <xf numFmtId="171" fontId="66" fillId="0" borderId="138" xfId="5" applyFont="1" applyBorder="1" applyAlignment="1">
      <alignment horizontal="centerContinuous"/>
    </xf>
    <xf numFmtId="171" fontId="66" fillId="0" borderId="139" xfId="5" applyFont="1" applyBorder="1" applyAlignment="1">
      <alignment horizontal="centerContinuous"/>
    </xf>
    <xf numFmtId="171" fontId="69" fillId="0" borderId="45" xfId="5" applyFont="1" applyBorder="1"/>
    <xf numFmtId="171" fontId="69" fillId="0" borderId="0" xfId="5" applyFont="1" applyBorder="1" applyAlignment="1" applyProtection="1">
      <alignment horizontal="right"/>
    </xf>
    <xf numFmtId="171" fontId="69" fillId="0" borderId="0" xfId="5" applyFont="1" applyBorder="1" applyAlignment="1" applyProtection="1">
      <alignment horizontal="center"/>
      <protection locked="0"/>
    </xf>
    <xf numFmtId="171" fontId="69" fillId="0" borderId="21" xfId="5" applyFont="1" applyBorder="1" applyAlignment="1" applyProtection="1">
      <alignment horizontal="center"/>
      <protection locked="0"/>
    </xf>
    <xf numFmtId="171" fontId="64" fillId="0" borderId="0" xfId="5" applyFont="1" applyBorder="1" applyAlignment="1" applyProtection="1">
      <alignment horizontal="right"/>
    </xf>
    <xf numFmtId="171" fontId="69" fillId="0" borderId="0" xfId="5" quotePrefix="1" applyFont="1" applyBorder="1" applyAlignment="1" applyProtection="1">
      <alignment horizontal="right"/>
    </xf>
    <xf numFmtId="171" fontId="69" fillId="0" borderId="0" xfId="5" quotePrefix="1" applyFont="1" applyBorder="1" applyAlignment="1" applyProtection="1">
      <alignment horizontal="center"/>
      <protection locked="0"/>
    </xf>
    <xf numFmtId="171" fontId="69" fillId="0" borderId="0" xfId="5" applyFont="1" applyBorder="1" applyAlignment="1" applyProtection="1">
      <alignment horizontal="left"/>
      <protection locked="0"/>
    </xf>
    <xf numFmtId="171" fontId="69" fillId="0" borderId="0" xfId="5" applyFont="1" applyBorder="1" applyAlignment="1">
      <alignment horizontal="center"/>
    </xf>
    <xf numFmtId="171" fontId="69" fillId="0" borderId="21" xfId="5" applyFont="1" applyBorder="1"/>
    <xf numFmtId="171" fontId="69" fillId="0" borderId="46" xfId="5" applyFont="1" applyBorder="1"/>
    <xf numFmtId="171" fontId="69" fillId="0" borderId="23" xfId="5" applyFont="1" applyBorder="1" applyAlignment="1" applyProtection="1">
      <alignment horizontal="right"/>
    </xf>
    <xf numFmtId="166" fontId="69" fillId="0" borderId="23" xfId="5" quotePrefix="1" applyNumberFormat="1" applyFont="1" applyBorder="1" applyAlignment="1" applyProtection="1">
      <alignment horizontal="center"/>
      <protection locked="0"/>
    </xf>
    <xf numFmtId="171" fontId="69" fillId="0" borderId="23" xfId="5" applyFont="1" applyBorder="1"/>
    <xf numFmtId="171" fontId="69" fillId="0" borderId="23" xfId="5" applyFont="1" applyBorder="1" applyAlignment="1">
      <alignment horizontal="right"/>
    </xf>
    <xf numFmtId="166" fontId="69" fillId="0" borderId="23" xfId="5" applyNumberFormat="1" applyFont="1" applyBorder="1" applyProtection="1"/>
    <xf numFmtId="171" fontId="69" fillId="0" borderId="24" xfId="5" applyFont="1" applyBorder="1"/>
    <xf numFmtId="171" fontId="71" fillId="0" borderId="45" xfId="5" quotePrefix="1" applyFont="1" applyBorder="1" applyAlignment="1">
      <alignment horizontal="left"/>
    </xf>
    <xf numFmtId="171" fontId="65" fillId="0" borderId="0" xfId="5" quotePrefix="1" applyFont="1" applyBorder="1" applyAlignment="1" applyProtection="1">
      <alignment horizontal="right"/>
    </xf>
    <xf numFmtId="171" fontId="65" fillId="0" borderId="107" xfId="5" applyFont="1" applyBorder="1"/>
    <xf numFmtId="171" fontId="71" fillId="0" borderId="0" xfId="5" applyFont="1" applyBorder="1" applyAlignment="1" applyProtection="1">
      <alignment horizontal="left"/>
    </xf>
    <xf numFmtId="171" fontId="65" fillId="0" borderId="0" xfId="5" applyFont="1" applyBorder="1" applyAlignment="1" applyProtection="1">
      <alignment horizontal="right"/>
    </xf>
    <xf numFmtId="171" fontId="65" fillId="0" borderId="107" xfId="5" applyFont="1" applyBorder="1" applyAlignment="1" applyProtection="1">
      <alignment horizontal="right"/>
    </xf>
    <xf numFmtId="171" fontId="71" fillId="0" borderId="0" xfId="5" quotePrefix="1" applyFont="1" applyBorder="1" applyAlignment="1" applyProtection="1">
      <alignment horizontal="left"/>
    </xf>
    <xf numFmtId="171" fontId="65" fillId="0" borderId="0" xfId="5" applyFont="1" applyBorder="1" applyAlignment="1">
      <alignment horizontal="right"/>
    </xf>
    <xf numFmtId="171" fontId="65" fillId="0" borderId="21" xfId="5" applyFont="1" applyBorder="1"/>
    <xf numFmtId="171" fontId="62" fillId="0" borderId="45" xfId="5" applyBorder="1"/>
    <xf numFmtId="171" fontId="69" fillId="0" borderId="0" xfId="5" applyFont="1" applyBorder="1" applyAlignment="1">
      <alignment horizontal="right"/>
    </xf>
    <xf numFmtId="171" fontId="69" fillId="0" borderId="107" xfId="5" applyFont="1" applyBorder="1" applyAlignment="1" applyProtection="1">
      <alignment horizontal="center"/>
      <protection locked="0"/>
    </xf>
    <xf numFmtId="1" fontId="69" fillId="0" borderId="107" xfId="5" applyNumberFormat="1" applyFont="1" applyBorder="1" applyAlignment="1">
      <alignment horizontal="center"/>
    </xf>
    <xf numFmtId="171" fontId="69" fillId="0" borderId="0" xfId="5" applyFont="1" applyBorder="1" applyAlignment="1">
      <alignment horizontal="left"/>
    </xf>
    <xf numFmtId="171" fontId="69" fillId="0" borderId="107" xfId="5" applyFont="1" applyBorder="1"/>
    <xf numFmtId="171" fontId="69" fillId="0" borderId="48" xfId="5" applyFont="1" applyBorder="1"/>
    <xf numFmtId="171" fontId="69" fillId="0" borderId="48" xfId="5" applyFont="1" applyBorder="1" applyAlignment="1">
      <alignment horizontal="left"/>
    </xf>
    <xf numFmtId="171" fontId="66" fillId="0" borderId="0" xfId="5" applyFont="1" applyBorder="1" applyAlignment="1">
      <alignment horizontal="centerContinuous"/>
    </xf>
    <xf numFmtId="171" fontId="66" fillId="0" borderId="0" xfId="5" applyFont="1" applyBorder="1"/>
    <xf numFmtId="171" fontId="70" fillId="0" borderId="140" xfId="5" applyFont="1" applyBorder="1" applyAlignment="1" applyProtection="1">
      <alignment horizontal="centerContinuous"/>
    </xf>
    <xf numFmtId="171" fontId="66" fillId="0" borderId="141" xfId="5" applyFont="1" applyBorder="1" applyAlignment="1">
      <alignment horizontal="centerContinuous"/>
    </xf>
    <xf numFmtId="171" fontId="62" fillId="0" borderId="142" xfId="5" applyBorder="1"/>
    <xf numFmtId="171" fontId="66" fillId="0" borderId="143" xfId="5" applyFont="1" applyBorder="1" applyAlignment="1">
      <alignment horizontal="centerContinuous"/>
    </xf>
    <xf numFmtId="171" fontId="71" fillId="0" borderId="45" xfId="5" applyFont="1" applyBorder="1" applyAlignment="1">
      <alignment horizontal="left"/>
    </xf>
    <xf numFmtId="171" fontId="62" fillId="0" borderId="107" xfId="5" applyBorder="1"/>
    <xf numFmtId="166" fontId="69" fillId="0" borderId="0" xfId="5" applyNumberFormat="1" applyFont="1" applyBorder="1" applyAlignment="1" applyProtection="1">
      <alignment horizontal="center"/>
      <protection locked="0"/>
    </xf>
    <xf numFmtId="171" fontId="69" fillId="0" borderId="45" xfId="5" applyFont="1" applyBorder="1" applyAlignment="1">
      <alignment horizontal="left"/>
    </xf>
    <xf numFmtId="171" fontId="62" fillId="0" borderId="48" xfId="5" applyBorder="1"/>
    <xf numFmtId="171" fontId="66" fillId="0" borderId="0" xfId="5" applyFont="1" applyBorder="1" applyAlignment="1">
      <alignment horizontal="left"/>
    </xf>
    <xf numFmtId="171" fontId="66" fillId="0" borderId="0" xfId="5" applyFont="1" applyAlignment="1">
      <alignment horizontal="left"/>
    </xf>
    <xf numFmtId="171" fontId="66" fillId="0" borderId="140" xfId="5" applyFont="1" applyBorder="1"/>
    <xf numFmtId="171" fontId="65" fillId="0" borderId="141" xfId="5" applyFont="1" applyBorder="1" applyAlignment="1">
      <alignment horizontal="left"/>
    </xf>
    <xf numFmtId="171" fontId="65" fillId="0" borderId="143" xfId="5" applyFont="1" applyBorder="1" applyAlignment="1">
      <alignment horizontal="left"/>
    </xf>
    <xf numFmtId="171" fontId="69" fillId="0" borderId="45" xfId="5" quotePrefix="1" applyFont="1" applyBorder="1" applyAlignment="1">
      <alignment horizontal="left"/>
    </xf>
    <xf numFmtId="171" fontId="69" fillId="0" borderId="21" xfId="5" applyFont="1" applyBorder="1" applyAlignment="1">
      <alignment horizontal="left"/>
    </xf>
    <xf numFmtId="171" fontId="72" fillId="0" borderId="144" xfId="5" applyFont="1" applyBorder="1"/>
    <xf numFmtId="171" fontId="69" fillId="0" borderId="0" xfId="5" quotePrefix="1" applyFont="1" applyBorder="1" applyAlignment="1" applyProtection="1">
      <alignment horizontal="left"/>
    </xf>
    <xf numFmtId="171" fontId="69" fillId="0" borderId="145" xfId="5" quotePrefix="1" applyFont="1" applyBorder="1" applyAlignment="1" applyProtection="1">
      <alignment horizontal="left"/>
    </xf>
    <xf numFmtId="171" fontId="69" fillId="0" borderId="146" xfId="5" quotePrefix="1" applyFont="1" applyBorder="1" applyAlignment="1">
      <alignment horizontal="left"/>
    </xf>
    <xf numFmtId="171" fontId="69" fillId="0" borderId="46" xfId="5" applyFont="1" applyBorder="1" applyAlignment="1">
      <alignment horizontal="left"/>
    </xf>
    <xf numFmtId="171" fontId="69" fillId="0" borderId="23" xfId="5" applyFont="1" applyBorder="1" applyAlignment="1">
      <alignment horizontal="left"/>
    </xf>
    <xf numFmtId="171" fontId="69" fillId="0" borderId="24" xfId="5" applyFont="1" applyBorder="1" applyAlignment="1">
      <alignment horizontal="left"/>
    </xf>
    <xf numFmtId="171" fontId="65" fillId="0" borderId="0" xfId="5" applyFont="1" applyAlignment="1">
      <alignment horizontal="left"/>
    </xf>
    <xf numFmtId="171" fontId="73" fillId="0" borderId="0" xfId="5" applyFont="1" applyAlignment="1" applyProtection="1">
      <alignment horizontal="right"/>
    </xf>
    <xf numFmtId="171" fontId="62" fillId="0" borderId="0" xfId="5" applyAlignment="1">
      <alignment horizontal="right"/>
    </xf>
    <xf numFmtId="2" fontId="3" fillId="0" borderId="0" xfId="0" applyNumberFormat="1" applyFont="1" applyFill="1" applyBorder="1" applyAlignment="1">
      <alignment horizontal="right"/>
    </xf>
    <xf numFmtId="2" fontId="3" fillId="0" borderId="23" xfId="0" applyNumberFormat="1" applyFont="1" applyFill="1" applyBorder="1" applyAlignment="1">
      <alignment horizontal="right"/>
    </xf>
    <xf numFmtId="166" fontId="2" fillId="0" borderId="0" xfId="0" applyNumberFormat="1" applyFont="1" applyFill="1" applyBorder="1" applyAlignment="1">
      <alignment horizontal="centerContinuous"/>
    </xf>
    <xf numFmtId="166" fontId="2" fillId="0" borderId="0" xfId="0" applyNumberFormat="1" applyFont="1" applyBorder="1" applyAlignment="1">
      <alignment horizontal="centerContinuous"/>
    </xf>
    <xf numFmtId="166" fontId="2" fillId="0" borderId="23" xfId="0" applyNumberFormat="1" applyFont="1" applyFill="1" applyBorder="1" applyAlignment="1">
      <alignment horizontal="centerContinuous"/>
    </xf>
    <xf numFmtId="0" fontId="0" fillId="0" borderId="0" xfId="0"/>
    <xf numFmtId="0" fontId="6" fillId="0" borderId="0" xfId="6" applyFont="1" applyAlignment="1">
      <alignment horizontal="right"/>
    </xf>
    <xf numFmtId="0" fontId="16" fillId="0" borderId="0" xfId="6" applyFont="1"/>
    <xf numFmtId="0" fontId="49" fillId="0" borderId="0" xfId="6" applyFont="1"/>
    <xf numFmtId="0" fontId="56" fillId="0" borderId="26" xfId="6" applyFont="1" applyBorder="1" applyAlignment="1">
      <alignment horizontal="center"/>
    </xf>
    <xf numFmtId="0" fontId="56" fillId="0" borderId="28" xfId="6" applyFont="1" applyBorder="1" applyAlignment="1">
      <alignment horizontal="center"/>
    </xf>
    <xf numFmtId="0" fontId="49" fillId="0" borderId="1" xfId="6" applyFont="1" applyBorder="1" applyAlignment="1">
      <alignment horizontal="center"/>
    </xf>
    <xf numFmtId="0" fontId="56" fillId="0" borderId="1" xfId="6" applyFont="1" applyBorder="1" applyAlignment="1">
      <alignment horizontal="center"/>
    </xf>
    <xf numFmtId="0" fontId="56" fillId="0" borderId="1" xfId="6" applyFont="1" applyBorder="1" applyAlignment="1">
      <alignment horizontal="right"/>
    </xf>
    <xf numFmtId="0" fontId="49" fillId="0" borderId="128" xfId="6" applyFont="1" applyBorder="1" applyAlignment="1">
      <alignment horizontal="center"/>
    </xf>
    <xf numFmtId="0" fontId="49" fillId="0" borderId="129" xfId="6" quotePrefix="1" applyFont="1" applyBorder="1" applyAlignment="1">
      <alignment horizontal="center"/>
    </xf>
    <xf numFmtId="0" fontId="49" fillId="0" borderId="129" xfId="6" applyFont="1" applyBorder="1" applyAlignment="1">
      <alignment horizontal="center"/>
    </xf>
    <xf numFmtId="0" fontId="56" fillId="0" borderId="0" xfId="6" applyFont="1" applyAlignment="1">
      <alignment horizontal="right"/>
    </xf>
    <xf numFmtId="2" fontId="2" fillId="2" borderId="1" xfId="6" applyNumberFormat="1" applyFont="1" applyFill="1" applyBorder="1" applyAlignment="1">
      <alignment horizontal="center"/>
    </xf>
    <xf numFmtId="0" fontId="52" fillId="0" borderId="1" xfId="6" applyFont="1" applyBorder="1" applyAlignment="1">
      <alignment horizontal="center"/>
    </xf>
    <xf numFmtId="0" fontId="20" fillId="0" borderId="101" xfId="1" applyFont="1" applyFill="1" applyBorder="1" applyAlignment="1">
      <alignment horizontal="left"/>
    </xf>
    <xf numFmtId="0" fontId="20" fillId="0" borderId="61" xfId="1" applyFont="1" applyFill="1" applyBorder="1" applyAlignment="1">
      <alignment horizontal="left"/>
    </xf>
    <xf numFmtId="0" fontId="29" fillId="2" borderId="68" xfId="1" applyFont="1" applyFill="1" applyBorder="1" applyAlignment="1">
      <alignment horizontal="left"/>
    </xf>
    <xf numFmtId="0" fontId="19" fillId="2" borderId="0" xfId="1" applyFont="1" applyFill="1" applyAlignment="1">
      <alignment horizontal="center"/>
    </xf>
    <xf numFmtId="0" fontId="20" fillId="0" borderId="101" xfId="1" applyFont="1" applyFill="1" applyBorder="1" applyAlignment="1">
      <alignment horizontal="left"/>
    </xf>
    <xf numFmtId="0" fontId="20" fillId="0" borderId="61" xfId="1" applyFont="1" applyFill="1" applyBorder="1" applyAlignment="1">
      <alignment horizontal="left"/>
    </xf>
    <xf numFmtId="0" fontId="20" fillId="2" borderId="60" xfId="1" applyFont="1" applyFill="1" applyBorder="1" applyAlignment="1">
      <alignment horizontal="left"/>
    </xf>
    <xf numFmtId="0" fontId="20" fillId="2" borderId="61" xfId="1" applyFont="1" applyFill="1" applyBorder="1" applyAlignment="1">
      <alignment horizontal="left"/>
    </xf>
    <xf numFmtId="0" fontId="20" fillId="2" borderId="27" xfId="1" applyFont="1" applyFill="1" applyBorder="1" applyAlignment="1">
      <alignment horizontal="left"/>
    </xf>
    <xf numFmtId="14" fontId="24" fillId="2" borderId="119" xfId="1" applyNumberFormat="1" applyFont="1" applyFill="1" applyBorder="1" applyAlignment="1">
      <alignment horizontal="center"/>
    </xf>
    <xf numFmtId="14" fontId="24" fillId="2" borderId="120" xfId="1" applyNumberFormat="1" applyFont="1" applyFill="1" applyBorder="1" applyAlignment="1">
      <alignment horizontal="center"/>
    </xf>
    <xf numFmtId="0" fontId="26" fillId="0" borderId="45" xfId="1" applyFont="1" applyFill="1" applyBorder="1" applyAlignment="1">
      <alignment horizontal="center"/>
    </xf>
    <xf numFmtId="0" fontId="26" fillId="0" borderId="0" xfId="1" applyFont="1" applyFill="1" applyBorder="1" applyAlignment="1">
      <alignment horizontal="center"/>
    </xf>
    <xf numFmtId="0" fontId="26" fillId="0" borderId="107" xfId="1" applyFont="1" applyFill="1" applyBorder="1" applyAlignment="1">
      <alignment horizontal="center"/>
    </xf>
    <xf numFmtId="0" fontId="26" fillId="0" borderId="109" xfId="1" applyFont="1" applyFill="1" applyBorder="1" applyAlignment="1">
      <alignment horizontal="center"/>
    </xf>
    <xf numFmtId="0" fontId="26" fillId="0" borderId="40" xfId="1" applyFont="1" applyFill="1" applyBorder="1" applyAlignment="1">
      <alignment horizontal="center"/>
    </xf>
    <xf numFmtId="0" fontId="26" fillId="0" borderId="39" xfId="1" applyFont="1" applyFill="1" applyBorder="1" applyAlignment="1">
      <alignment horizontal="center"/>
    </xf>
    <xf numFmtId="0" fontId="20" fillId="0" borderId="38" xfId="1" applyFont="1" applyFill="1" applyBorder="1" applyAlignment="1">
      <alignment horizontal="left"/>
    </xf>
    <xf numFmtId="0" fontId="26" fillId="0" borderId="46" xfId="1" applyFont="1" applyFill="1" applyBorder="1" applyAlignment="1">
      <alignment horizontal="center"/>
    </xf>
    <xf numFmtId="0" fontId="26" fillId="0" borderId="23" xfId="1" applyFont="1" applyFill="1" applyBorder="1" applyAlignment="1">
      <alignment horizontal="center"/>
    </xf>
    <xf numFmtId="0" fontId="26" fillId="0" borderId="48" xfId="1" applyFont="1" applyFill="1" applyBorder="1" applyAlignment="1">
      <alignment horizontal="center"/>
    </xf>
    <xf numFmtId="0" fontId="43" fillId="2" borderId="114" xfId="1" applyFont="1" applyFill="1" applyBorder="1" applyAlignment="1">
      <alignment horizontal="center"/>
    </xf>
    <xf numFmtId="0" fontId="43" fillId="2" borderId="115" xfId="1" applyFont="1" applyFill="1" applyBorder="1" applyAlignment="1">
      <alignment horizontal="center"/>
    </xf>
    <xf numFmtId="0" fontId="29" fillId="2" borderId="74" xfId="1" quotePrefix="1" applyFont="1" applyFill="1" applyBorder="1" applyAlignment="1">
      <alignment horizontal="left"/>
    </xf>
    <xf numFmtId="0" fontId="29" fillId="2" borderId="67" xfId="1" quotePrefix="1" applyFont="1" applyFill="1" applyBorder="1" applyAlignment="1">
      <alignment horizontal="left"/>
    </xf>
    <xf numFmtId="0" fontId="29" fillId="2" borderId="68" xfId="1" quotePrefix="1" applyFont="1" applyFill="1" applyBorder="1" applyAlignment="1">
      <alignment horizontal="left"/>
    </xf>
    <xf numFmtId="2" fontId="31" fillId="2" borderId="64" xfId="1" applyNumberFormat="1" applyFont="1" applyFill="1" applyBorder="1" applyAlignment="1">
      <alignment horizontal="center"/>
    </xf>
    <xf numFmtId="2" fontId="31" fillId="2" borderId="65" xfId="1" applyNumberFormat="1" applyFont="1" applyFill="1" applyBorder="1" applyAlignment="1">
      <alignment horizontal="center"/>
    </xf>
    <xf numFmtId="0" fontId="31" fillId="2" borderId="64" xfId="1" applyFont="1" applyFill="1" applyBorder="1" applyAlignment="1">
      <alignment horizontal="center"/>
    </xf>
    <xf numFmtId="0" fontId="31" fillId="2" borderId="65" xfId="1" applyFont="1" applyFill="1" applyBorder="1" applyAlignment="1">
      <alignment horizontal="center"/>
    </xf>
    <xf numFmtId="0" fontId="20" fillId="0" borderId="79" xfId="1" applyFont="1" applyFill="1" applyBorder="1" applyAlignment="1">
      <alignment horizontal="left"/>
    </xf>
    <xf numFmtId="0" fontId="20" fillId="0" borderId="80" xfId="1" applyFont="1" applyFill="1" applyBorder="1" applyAlignment="1">
      <alignment horizontal="left"/>
    </xf>
    <xf numFmtId="0" fontId="20" fillId="0" borderId="81" xfId="1" applyFont="1" applyFill="1" applyBorder="1" applyAlignment="1">
      <alignment horizontal="left"/>
    </xf>
    <xf numFmtId="166" fontId="31" fillId="2" borderId="64" xfId="1" applyNumberFormat="1" applyFont="1" applyFill="1" applyBorder="1" applyAlignment="1">
      <alignment horizontal="center"/>
    </xf>
    <xf numFmtId="166" fontId="31" fillId="2" borderId="65" xfId="1" applyNumberFormat="1" applyFont="1" applyFill="1" applyBorder="1" applyAlignment="1">
      <alignment horizontal="center"/>
    </xf>
    <xf numFmtId="0" fontId="29" fillId="2" borderId="86" xfId="1" applyFont="1" applyFill="1" applyBorder="1" applyAlignment="1">
      <alignment horizontal="center"/>
    </xf>
    <xf numFmtId="0" fontId="29" fillId="2" borderId="87" xfId="1" applyFont="1" applyFill="1" applyBorder="1" applyAlignment="1">
      <alignment horizontal="center"/>
    </xf>
    <xf numFmtId="0" fontId="29" fillId="2" borderId="82" xfId="1" applyFont="1" applyFill="1" applyBorder="1" applyAlignment="1">
      <alignment horizontal="center"/>
    </xf>
    <xf numFmtId="0" fontId="29" fillId="2" borderId="0" xfId="1" applyFont="1" applyFill="1" applyBorder="1" applyAlignment="1">
      <alignment horizontal="center"/>
    </xf>
    <xf numFmtId="0" fontId="29" fillId="2" borderId="84" xfId="1" applyFont="1" applyFill="1" applyBorder="1" applyAlignment="1">
      <alignment horizontal="center"/>
    </xf>
    <xf numFmtId="0" fontId="29" fillId="2" borderId="40" xfId="1" applyFont="1" applyFill="1" applyBorder="1" applyAlignment="1">
      <alignment horizontal="center"/>
    </xf>
    <xf numFmtId="0" fontId="29" fillId="2" borderId="88" xfId="1" applyFont="1" applyFill="1" applyBorder="1" applyAlignment="1">
      <alignment horizontal="left"/>
    </xf>
    <xf numFmtId="0" fontId="29" fillId="2" borderId="89" xfId="1" applyFont="1" applyFill="1" applyBorder="1" applyAlignment="1">
      <alignment horizontal="left"/>
    </xf>
    <xf numFmtId="0" fontId="29" fillId="2" borderId="90" xfId="1" applyFont="1" applyFill="1" applyBorder="1" applyAlignment="1">
      <alignment horizontal="left"/>
    </xf>
    <xf numFmtId="0" fontId="31" fillId="2" borderId="91" xfId="1" applyFont="1" applyFill="1" applyBorder="1" applyAlignment="1">
      <alignment horizontal="center"/>
    </xf>
    <xf numFmtId="0" fontId="31" fillId="0" borderId="91" xfId="1" applyFont="1" applyFill="1" applyBorder="1" applyAlignment="1">
      <alignment horizontal="center"/>
    </xf>
    <xf numFmtId="0" fontId="31" fillId="0" borderId="65" xfId="1" applyFont="1" applyFill="1" applyBorder="1" applyAlignment="1">
      <alignment horizontal="center"/>
    </xf>
    <xf numFmtId="0" fontId="29" fillId="2" borderId="74" xfId="1" applyFont="1" applyFill="1" applyBorder="1" applyAlignment="1">
      <alignment horizontal="left"/>
    </xf>
    <xf numFmtId="0" fontId="29" fillId="2" borderId="67" xfId="1" applyFont="1" applyFill="1" applyBorder="1" applyAlignment="1">
      <alignment horizontal="left"/>
    </xf>
    <xf numFmtId="0" fontId="29" fillId="2" borderId="68" xfId="1" applyFont="1" applyFill="1" applyBorder="1" applyAlignment="1">
      <alignment horizontal="left"/>
    </xf>
    <xf numFmtId="0" fontId="31" fillId="0" borderId="64" xfId="1" applyFont="1" applyFill="1" applyBorder="1" applyAlignment="1">
      <alignment horizontal="center"/>
    </xf>
    <xf numFmtId="168" fontId="31" fillId="2" borderId="64" xfId="1" applyNumberFormat="1" applyFont="1" applyFill="1" applyBorder="1" applyAlignment="1">
      <alignment horizontal="center"/>
    </xf>
    <xf numFmtId="168" fontId="31" fillId="2" borderId="65" xfId="1" applyNumberFormat="1" applyFont="1" applyFill="1" applyBorder="1" applyAlignment="1">
      <alignment horizontal="center"/>
    </xf>
    <xf numFmtId="1" fontId="31" fillId="2" borderId="64" xfId="1" applyNumberFormat="1" applyFont="1" applyFill="1" applyBorder="1" applyAlignment="1">
      <alignment horizontal="center"/>
    </xf>
    <xf numFmtId="1" fontId="31" fillId="2" borderId="65" xfId="1" applyNumberFormat="1" applyFont="1" applyFill="1" applyBorder="1" applyAlignment="1">
      <alignment horizontal="center"/>
    </xf>
    <xf numFmtId="1" fontId="31" fillId="2" borderId="99" xfId="1" applyNumberFormat="1" applyFont="1" applyFill="1" applyBorder="1" applyAlignment="1">
      <alignment horizontal="center"/>
    </xf>
    <xf numFmtId="1" fontId="31" fillId="2" borderId="100" xfId="1" applyNumberFormat="1" applyFont="1" applyFill="1" applyBorder="1" applyAlignment="1">
      <alignment horizontal="center"/>
    </xf>
    <xf numFmtId="0" fontId="26" fillId="0" borderId="106" xfId="1" applyFont="1" applyFill="1" applyBorder="1" applyAlignment="1">
      <alignment horizontal="left"/>
    </xf>
    <xf numFmtId="0" fontId="26" fillId="0" borderId="76" xfId="1" applyFont="1" applyFill="1" applyBorder="1" applyAlignment="1">
      <alignment horizontal="left"/>
    </xf>
    <xf numFmtId="0" fontId="29" fillId="0" borderId="74" xfId="1" applyFont="1" applyFill="1" applyBorder="1" applyAlignment="1">
      <alignment horizontal="left"/>
    </xf>
    <xf numFmtId="0" fontId="29" fillId="0" borderId="67" xfId="1" applyFont="1" applyFill="1" applyBorder="1" applyAlignment="1">
      <alignment horizontal="left"/>
    </xf>
    <xf numFmtId="0" fontId="29" fillId="0" borderId="68" xfId="1" applyFont="1" applyFill="1" applyBorder="1" applyAlignment="1">
      <alignment horizontal="left"/>
    </xf>
    <xf numFmtId="166" fontId="31" fillId="0" borderId="64" xfId="1" applyNumberFormat="1" applyFont="1" applyFill="1" applyBorder="1" applyAlignment="1">
      <alignment horizontal="center"/>
    </xf>
    <xf numFmtId="166" fontId="31" fillId="0" borderId="65" xfId="1" applyNumberFormat="1" applyFont="1" applyFill="1" applyBorder="1" applyAlignment="1">
      <alignment horizontal="center"/>
    </xf>
    <xf numFmtId="0" fontId="29" fillId="0" borderId="62" xfId="1" applyFont="1" applyFill="1" applyBorder="1" applyAlignment="1">
      <alignment horizontal="left"/>
    </xf>
    <xf numFmtId="0" fontId="29" fillId="0" borderId="63" xfId="1" applyFont="1" applyFill="1" applyBorder="1" applyAlignment="1">
      <alignment horizontal="left"/>
    </xf>
    <xf numFmtId="2" fontId="31" fillId="0" borderId="64" xfId="1" applyNumberFormat="1" applyFont="1" applyFill="1" applyBorder="1" applyAlignment="1">
      <alignment horizontal="center"/>
    </xf>
    <xf numFmtId="2" fontId="31" fillId="0" borderId="65" xfId="1" applyNumberFormat="1" applyFont="1" applyFill="1" applyBorder="1" applyAlignment="1">
      <alignment horizontal="center"/>
    </xf>
    <xf numFmtId="0" fontId="16" fillId="0" borderId="0" xfId="1" applyFont="1" applyAlignment="1">
      <alignment horizontal="center"/>
    </xf>
    <xf numFmtId="0" fontId="19" fillId="2" borderId="0" xfId="1" applyFont="1" applyFill="1" applyAlignment="1">
      <alignment horizontal="center"/>
    </xf>
    <xf numFmtId="0" fontId="21" fillId="2" borderId="23" xfId="1" applyFont="1" applyFill="1" applyBorder="1" applyAlignment="1">
      <alignment horizontal="center"/>
    </xf>
    <xf numFmtId="0" fontId="27" fillId="2" borderId="12" xfId="1" applyFont="1" applyFill="1" applyBorder="1" applyAlignment="1">
      <alignment horizontal="left"/>
    </xf>
    <xf numFmtId="0" fontId="27" fillId="2" borderId="13" xfId="1" applyFont="1" applyFill="1" applyBorder="1" applyAlignment="1">
      <alignment horizontal="left"/>
    </xf>
    <xf numFmtId="0" fontId="29" fillId="0" borderId="57" xfId="1" applyFont="1" applyFill="1" applyBorder="1" applyAlignment="1">
      <alignment horizontal="left"/>
    </xf>
    <xf numFmtId="0" fontId="29" fillId="0" borderId="58" xfId="1" applyFont="1" applyFill="1" applyBorder="1" applyAlignment="1">
      <alignment horizontal="left"/>
    </xf>
    <xf numFmtId="0" fontId="30" fillId="2" borderId="59" xfId="1" applyFont="1" applyFill="1" applyBorder="1" applyAlignment="1">
      <alignment horizontal="center"/>
    </xf>
    <xf numFmtId="0" fontId="30" fillId="2" borderId="55" xfId="1" applyFont="1" applyFill="1" applyBorder="1" applyAlignment="1">
      <alignment horizontal="center"/>
    </xf>
    <xf numFmtId="0" fontId="1" fillId="0" borderId="17" xfId="3" applyBorder="1" applyAlignment="1">
      <alignment horizontal="left"/>
    </xf>
    <xf numFmtId="0" fontId="1" fillId="0" borderId="128" xfId="3" applyBorder="1" applyAlignment="1">
      <alignment horizontal="left"/>
    </xf>
    <xf numFmtId="169" fontId="1" fillId="0" borderId="17" xfId="3" applyNumberFormat="1" applyBorder="1" applyAlignment="1">
      <alignment horizontal="center"/>
    </xf>
    <xf numFmtId="169" fontId="1" fillId="0" borderId="128" xfId="3" applyNumberFormat="1" applyBorder="1" applyAlignment="1">
      <alignment horizontal="center"/>
    </xf>
    <xf numFmtId="169" fontId="1" fillId="0" borderId="129" xfId="3" applyNumberFormat="1" applyBorder="1" applyAlignment="1">
      <alignment horizontal="center"/>
    </xf>
    <xf numFmtId="49" fontId="1" fillId="0" borderId="17" xfId="3" applyNumberFormat="1" applyBorder="1" applyAlignment="1">
      <alignment horizontal="center"/>
    </xf>
    <xf numFmtId="49" fontId="1" fillId="0" borderId="128" xfId="3" applyNumberFormat="1" applyBorder="1" applyAlignment="1">
      <alignment horizontal="center"/>
    </xf>
    <xf numFmtId="49" fontId="1" fillId="0" borderId="16" xfId="3" applyNumberFormat="1" applyBorder="1" applyAlignment="1">
      <alignment horizontal="center"/>
    </xf>
    <xf numFmtId="0" fontId="1" fillId="0" borderId="31" xfId="3" applyBorder="1" applyAlignment="1">
      <alignment horizontal="left"/>
    </xf>
    <xf numFmtId="0" fontId="1" fillId="0" borderId="130" xfId="3" applyBorder="1" applyAlignment="1">
      <alignment horizontal="left"/>
    </xf>
    <xf numFmtId="169" fontId="1" fillId="0" borderId="31" xfId="3" applyNumberFormat="1" applyBorder="1" applyAlignment="1">
      <alignment horizontal="center"/>
    </xf>
    <xf numFmtId="169" fontId="1" fillId="0" borderId="130" xfId="3" applyNumberFormat="1" applyBorder="1" applyAlignment="1">
      <alignment horizontal="center"/>
    </xf>
    <xf numFmtId="169" fontId="1" fillId="0" borderId="131" xfId="3" applyNumberFormat="1" applyBorder="1" applyAlignment="1">
      <alignment horizontal="center"/>
    </xf>
    <xf numFmtId="49" fontId="1" fillId="0" borderId="31" xfId="3" applyNumberFormat="1" applyBorder="1" applyAlignment="1">
      <alignment horizontal="center"/>
    </xf>
    <xf numFmtId="49" fontId="1" fillId="0" borderId="130" xfId="3" applyNumberFormat="1" applyBorder="1" applyAlignment="1">
      <alignment horizontal="center"/>
    </xf>
    <xf numFmtId="49" fontId="1" fillId="0" borderId="32" xfId="3" applyNumberFormat="1" applyBorder="1" applyAlignment="1">
      <alignment horizontal="center"/>
    </xf>
    <xf numFmtId="0" fontId="1" fillId="0" borderId="50" xfId="3" applyBorder="1" applyAlignment="1">
      <alignment horizontal="left"/>
    </xf>
    <xf numFmtId="0" fontId="1" fillId="0" borderId="13" xfId="3" applyBorder="1" applyAlignment="1">
      <alignment horizontal="left"/>
    </xf>
    <xf numFmtId="169" fontId="1" fillId="0" borderId="50" xfId="3" applyNumberFormat="1" applyBorder="1" applyAlignment="1">
      <alignment horizontal="center"/>
    </xf>
    <xf numFmtId="169" fontId="1" fillId="0" borderId="13" xfId="3" applyNumberFormat="1" applyBorder="1" applyAlignment="1">
      <alignment horizontal="center"/>
    </xf>
    <xf numFmtId="169" fontId="1" fillId="0" borderId="54" xfId="3" applyNumberFormat="1" applyBorder="1" applyAlignment="1">
      <alignment horizontal="center"/>
    </xf>
    <xf numFmtId="49" fontId="1" fillId="0" borderId="50" xfId="3" applyNumberFormat="1" applyBorder="1" applyAlignment="1">
      <alignment horizontal="center"/>
    </xf>
    <xf numFmtId="49" fontId="1" fillId="0" borderId="13" xfId="3" applyNumberFormat="1" applyBorder="1" applyAlignment="1">
      <alignment horizontal="center"/>
    </xf>
    <xf numFmtId="49" fontId="1" fillId="0" borderId="14" xfId="3" applyNumberFormat="1" applyBorder="1" applyAlignment="1">
      <alignment horizontal="center"/>
    </xf>
    <xf numFmtId="0" fontId="47" fillId="0" borderId="45" xfId="3" applyFont="1" applyBorder="1" applyAlignment="1">
      <alignment horizontal="center"/>
    </xf>
    <xf numFmtId="0" fontId="47" fillId="0" borderId="0" xfId="3" applyFont="1" applyBorder="1" applyAlignment="1">
      <alignment horizontal="center"/>
    </xf>
    <xf numFmtId="0" fontId="47" fillId="0" borderId="52" xfId="3" applyFont="1" applyBorder="1" applyAlignment="1">
      <alignment horizontal="center"/>
    </xf>
    <xf numFmtId="0" fontId="46" fillId="0" borderId="15" xfId="3" applyFont="1" applyBorder="1" applyAlignment="1">
      <alignment horizontal="center"/>
    </xf>
    <xf numFmtId="0" fontId="46" fillId="0" borderId="7" xfId="3" applyFont="1" applyBorder="1" applyAlignment="1">
      <alignment horizontal="center"/>
    </xf>
    <xf numFmtId="0" fontId="46" fillId="0" borderId="127" xfId="3" applyFont="1" applyBorder="1" applyAlignment="1">
      <alignment horizontal="center"/>
    </xf>
    <xf numFmtId="0" fontId="46" fillId="0" borderId="8" xfId="3" applyFont="1" applyBorder="1" applyAlignment="1">
      <alignment horizontal="center"/>
    </xf>
    <xf numFmtId="0" fontId="8" fillId="0" borderId="133" xfId="0" applyFont="1" applyBorder="1" applyAlignment="1">
      <alignment horizontal="right"/>
    </xf>
    <xf numFmtId="0" fontId="8" fillId="0" borderId="130" xfId="0" applyFont="1" applyBorder="1" applyAlignment="1">
      <alignment horizontal="right"/>
    </xf>
    <xf numFmtId="0" fontId="23" fillId="0" borderId="130" xfId="0" applyFont="1" applyBorder="1" applyAlignment="1">
      <alignment horizontal="center"/>
    </xf>
    <xf numFmtId="0" fontId="23" fillId="0" borderId="36" xfId="0" applyFont="1" applyBorder="1" applyAlignment="1">
      <alignment horizontal="center"/>
    </xf>
    <xf numFmtId="0" fontId="23" fillId="0" borderId="37" xfId="0" applyFont="1" applyBorder="1" applyAlignment="1">
      <alignment horizontal="center"/>
    </xf>
    <xf numFmtId="0" fontId="23" fillId="0" borderId="46" xfId="0" applyFont="1" applyBorder="1" applyAlignment="1">
      <alignment horizontal="center"/>
    </xf>
    <xf numFmtId="0" fontId="23" fillId="0" borderId="23" xfId="0" applyFont="1" applyBorder="1" applyAlignment="1">
      <alignment horizontal="center"/>
    </xf>
    <xf numFmtId="0" fontId="23" fillId="0" borderId="24" xfId="0" applyFont="1" applyBorder="1" applyAlignment="1">
      <alignment horizontal="center"/>
    </xf>
    <xf numFmtId="0" fontId="50" fillId="0" borderId="12" xfId="0" applyFont="1" applyBorder="1" applyAlignment="1">
      <alignment horizontal="left"/>
    </xf>
    <xf numFmtId="0" fontId="50" fillId="0" borderId="13" xfId="0" applyFont="1" applyBorder="1" applyAlignment="1">
      <alignment horizontal="left"/>
    </xf>
    <xf numFmtId="0" fontId="50" fillId="0" borderId="14" xfId="0" applyFont="1" applyBorder="1" applyAlignment="1">
      <alignment horizontal="left"/>
    </xf>
    <xf numFmtId="0" fontId="51" fillId="0" borderId="60" xfId="0" applyFont="1" applyBorder="1" applyAlignment="1">
      <alignment horizontal="center"/>
    </xf>
    <xf numFmtId="0" fontId="0" fillId="0" borderId="27" xfId="0" applyBorder="1" applyAlignment="1">
      <alignment horizontal="center"/>
    </xf>
    <xf numFmtId="0" fontId="23" fillId="0" borderId="132" xfId="0" applyFont="1" applyBorder="1" applyAlignment="1">
      <alignment horizontal="center"/>
    </xf>
    <xf numFmtId="0" fontId="23" fillId="0" borderId="61" xfId="0" applyFont="1" applyBorder="1" applyAlignment="1">
      <alignment horizontal="center"/>
    </xf>
    <xf numFmtId="0" fontId="23" fillId="0" borderId="27" xfId="0" applyFont="1" applyBorder="1" applyAlignment="1">
      <alignment horizontal="center"/>
    </xf>
    <xf numFmtId="0" fontId="51" fillId="0" borderId="101" xfId="0" applyFont="1" applyBorder="1" applyAlignment="1">
      <alignment horizontal="right"/>
    </xf>
    <xf numFmtId="0" fontId="51" fillId="0" borderId="61" xfId="0" applyFont="1" applyBorder="1" applyAlignment="1">
      <alignment horizontal="right"/>
    </xf>
    <xf numFmtId="0" fontId="51" fillId="0" borderId="46" xfId="0" applyFont="1" applyBorder="1" applyAlignment="1">
      <alignment horizontal="right"/>
    </xf>
    <xf numFmtId="0" fontId="51" fillId="0" borderId="23" xfId="0" applyFont="1" applyBorder="1" applyAlignment="1">
      <alignment horizontal="right"/>
    </xf>
    <xf numFmtId="0" fontId="16" fillId="0" borderId="0" xfId="0" applyFont="1" applyAlignment="1">
      <alignment horizontal="center"/>
    </xf>
    <xf numFmtId="0" fontId="6" fillId="0" borderId="0" xfId="0" applyFont="1" applyBorder="1" applyAlignment="1">
      <alignment horizontal="center"/>
    </xf>
    <xf numFmtId="0" fontId="23" fillId="0" borderId="60" xfId="0" applyFont="1" applyBorder="1" applyAlignment="1">
      <alignment horizontal="center"/>
    </xf>
    <xf numFmtId="0" fontId="51" fillId="0" borderId="101" xfId="0" applyFont="1" applyBorder="1" applyAlignment="1">
      <alignment horizontal="center"/>
    </xf>
    <xf numFmtId="0" fontId="51" fillId="0" borderId="61" xfId="0" applyFont="1" applyBorder="1" applyAlignment="1">
      <alignment horizontal="center"/>
    </xf>
    <xf numFmtId="0" fontId="51" fillId="0" borderId="27" xfId="0" applyFont="1" applyBorder="1" applyAlignment="1">
      <alignment horizontal="center"/>
    </xf>
    <xf numFmtId="171" fontId="69" fillId="0" borderId="0" xfId="5" applyFont="1" applyBorder="1" applyAlignment="1">
      <alignment horizontal="center"/>
    </xf>
    <xf numFmtId="171" fontId="69" fillId="0" borderId="21" xfId="5" applyFont="1" applyBorder="1" applyAlignment="1">
      <alignment horizontal="center"/>
    </xf>
    <xf numFmtId="171" fontId="74" fillId="0" borderId="147" xfId="5" applyFont="1" applyBorder="1" applyAlignment="1" applyProtection="1">
      <alignment horizontal="center"/>
      <protection locked="0"/>
    </xf>
    <xf numFmtId="14" fontId="15" fillId="0" borderId="147" xfId="5" quotePrefix="1" applyNumberFormat="1" applyFont="1" applyBorder="1" applyAlignment="1" applyProtection="1">
      <alignment horizontal="center"/>
      <protection locked="0"/>
    </xf>
    <xf numFmtId="0" fontId="52" fillId="0" borderId="17" xfId="0" applyFont="1" applyBorder="1" applyAlignment="1">
      <alignment horizontal="center"/>
    </xf>
    <xf numFmtId="0" fontId="52" fillId="0" borderId="128" xfId="0" applyFont="1" applyBorder="1" applyAlignment="1">
      <alignment horizontal="center"/>
    </xf>
    <xf numFmtId="0" fontId="52" fillId="0" borderId="129" xfId="0" applyFont="1" applyBorder="1" applyAlignment="1">
      <alignment horizontal="center"/>
    </xf>
    <xf numFmtId="0" fontId="49" fillId="0" borderId="17" xfId="6" applyFont="1" applyBorder="1" applyAlignment="1">
      <alignment horizontal="right"/>
    </xf>
    <xf numFmtId="0" fontId="49" fillId="0" borderId="128" xfId="6" applyFont="1" applyBorder="1" applyAlignment="1">
      <alignment horizontal="right"/>
    </xf>
    <xf numFmtId="0" fontId="23" fillId="0" borderId="0" xfId="6" applyFont="1" applyAlignment="1">
      <alignment horizontal="center"/>
    </xf>
    <xf numFmtId="0" fontId="56" fillId="0" borderId="0" xfId="6" applyFont="1" applyAlignment="1">
      <alignment horizontal="right"/>
    </xf>
    <xf numFmtId="0" fontId="49" fillId="0" borderId="1" xfId="6" applyFont="1" applyBorder="1" applyAlignment="1">
      <alignment horizontal="center"/>
    </xf>
    <xf numFmtId="0" fontId="23" fillId="0" borderId="17" xfId="6" applyFont="1" applyBorder="1" applyAlignment="1">
      <alignment horizontal="center"/>
    </xf>
    <xf numFmtId="0" fontId="23" fillId="0" borderId="128" xfId="6" applyFont="1" applyBorder="1" applyAlignment="1">
      <alignment horizontal="center"/>
    </xf>
    <xf numFmtId="0" fontId="23" fillId="0" borderId="129" xfId="6" applyFont="1" applyBorder="1" applyAlignment="1">
      <alignment horizontal="center"/>
    </xf>
    <xf numFmtId="0" fontId="56" fillId="0" borderId="1" xfId="6" applyFont="1" applyBorder="1" applyAlignment="1">
      <alignment horizontal="center"/>
    </xf>
    <xf numFmtId="0" fontId="6" fillId="0" borderId="0" xfId="6" applyFont="1" applyAlignment="1">
      <alignment horizontal="center"/>
    </xf>
    <xf numFmtId="0" fontId="51" fillId="0" borderId="17" xfId="6" applyFont="1" applyBorder="1" applyAlignment="1">
      <alignment horizontal="center"/>
    </xf>
    <xf numFmtId="0" fontId="54" fillId="0" borderId="82" xfId="4" applyFont="1" applyBorder="1" applyAlignment="1">
      <alignment horizontal="center"/>
    </xf>
    <xf numFmtId="0" fontId="54" fillId="0" borderId="0" xfId="4" applyFont="1" applyBorder="1" applyAlignment="1">
      <alignment horizontal="center"/>
    </xf>
    <xf numFmtId="0" fontId="54" fillId="0" borderId="107" xfId="4" applyFont="1" applyBorder="1" applyAlignment="1">
      <alignment horizontal="center"/>
    </xf>
    <xf numFmtId="0" fontId="57" fillId="0" borderId="82" xfId="4" applyFont="1" applyBorder="1" applyAlignment="1">
      <alignment horizontal="center"/>
    </xf>
    <xf numFmtId="0" fontId="57" fillId="0" borderId="0" xfId="4" applyFont="1" applyBorder="1" applyAlignment="1">
      <alignment horizontal="center"/>
    </xf>
    <xf numFmtId="0" fontId="57" fillId="0" borderId="107" xfId="4" applyFont="1" applyBorder="1" applyAlignment="1">
      <alignment horizontal="center"/>
    </xf>
    <xf numFmtId="0" fontId="49" fillId="0" borderId="1" xfId="4" applyFont="1" applyBorder="1" applyAlignment="1">
      <alignment horizontal="right"/>
    </xf>
    <xf numFmtId="0" fontId="49" fillId="0" borderId="17" xfId="4" applyFont="1" applyBorder="1" applyAlignment="1">
      <alignment horizontal="right"/>
    </xf>
    <xf numFmtId="0" fontId="49" fillId="0" borderId="129" xfId="4" applyFont="1" applyBorder="1" applyAlignment="1">
      <alignment horizontal="center"/>
    </xf>
    <xf numFmtId="0" fontId="49" fillId="0" borderId="1" xfId="4" applyFont="1" applyBorder="1" applyAlignment="1">
      <alignment horizontal="center"/>
    </xf>
    <xf numFmtId="0" fontId="60" fillId="0" borderId="0" xfId="4" applyFont="1" applyAlignment="1">
      <alignment horizontal="center"/>
    </xf>
  </cellXfs>
  <cellStyles count="7">
    <cellStyle name="Normal" xfId="0" builtinId="0"/>
    <cellStyle name="Normal 2" xfId="1"/>
    <cellStyle name="Normal 3" xfId="4"/>
    <cellStyle name="Normal 3 2" xfId="6"/>
    <cellStyle name="Normal 4" xfId="5"/>
    <cellStyle name="Normal_OPTEST" xfId="2"/>
    <cellStyle name="Normal_PROJ_REV_HIST" xfId="3"/>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i="1" u="none" strike="noStrike" baseline="0">
                <a:solidFill>
                  <a:srgbClr val="000000"/>
                </a:solidFill>
                <a:latin typeface="Times New Roman"/>
                <a:ea typeface="Times New Roman"/>
                <a:cs typeface="Times New Roman"/>
              </a:defRPr>
            </a:pPr>
            <a:r>
              <a:rPr lang="en-US"/>
              <a:t>S-T Curve Estimation</a:t>
            </a:r>
          </a:p>
        </c:rich>
      </c:tx>
      <c:layout>
        <c:manualLayout>
          <c:xMode val="edge"/>
          <c:yMode val="edge"/>
          <c:x val="0.33815076622161511"/>
          <c:y val="2.1008446462313021E-2"/>
        </c:manualLayout>
      </c:layout>
      <c:overlay val="0"/>
      <c:spPr>
        <a:noFill/>
        <a:ln w="25400">
          <a:noFill/>
        </a:ln>
      </c:spPr>
    </c:title>
    <c:autoTitleDeleted val="0"/>
    <c:plotArea>
      <c:layout>
        <c:manualLayout>
          <c:layoutTarget val="inner"/>
          <c:xMode val="edge"/>
          <c:yMode val="edge"/>
          <c:x val="0.17052047185534436"/>
          <c:y val="0.11344561089649031"/>
          <c:w val="0.67919170993230382"/>
          <c:h val="0.68067366537894192"/>
        </c:manualLayout>
      </c:layout>
      <c:scatterChart>
        <c:scatterStyle val="lineMarker"/>
        <c:varyColors val="0"/>
        <c:ser>
          <c:idx val="0"/>
          <c:order val="0"/>
          <c:spPr>
            <a:ln w="12700">
              <a:solidFill>
                <a:srgbClr val="000000"/>
              </a:solidFill>
              <a:prstDash val="solid"/>
            </a:ln>
          </c:spPr>
          <c:marker>
            <c:symbol val="none"/>
          </c:marker>
          <c:xVal>
            <c:numRef>
              <c:f>(DesignSheet!$A$59:$A$68,DesignSheet!$D$59:$D$62)</c:f>
              <c:numCache>
                <c:formatCode>0.000</c:formatCode>
                <c:ptCount val="14"/>
                <c:pt idx="0" formatCode="0.00">
                  <c:v>0</c:v>
                </c:pt>
                <c:pt idx="1">
                  <c:v>2.0000003278255463E-3</c:v>
                </c:pt>
                <c:pt idx="2">
                  <c:v>1.0000001639127731E-2</c:v>
                </c:pt>
                <c:pt idx="3" formatCode="0.00">
                  <c:v>6.2105264514684677E-2</c:v>
                </c:pt>
                <c:pt idx="4" formatCode="0.00">
                  <c:v>0.11421053111553192</c:v>
                </c:pt>
                <c:pt idx="5" formatCode="0.00">
                  <c:v>0.16631579399108887</c:v>
                </c:pt>
                <c:pt idx="6" formatCode="0.00">
                  <c:v>0.27052631974220276</c:v>
                </c:pt>
                <c:pt idx="7" formatCode="0.00">
                  <c:v>0.37473684549331665</c:v>
                </c:pt>
                <c:pt idx="8" formatCode="0.00">
                  <c:v>0.47894737124443054</c:v>
                </c:pt>
                <c:pt idx="9" formatCode="0.00">
                  <c:v>0.58315789699554443</c:v>
                </c:pt>
                <c:pt idx="10" formatCode="0.00">
                  <c:v>0.68736839294433594</c:v>
                </c:pt>
                <c:pt idx="11" formatCode="0.00">
                  <c:v>0.79157894849777222</c:v>
                </c:pt>
                <c:pt idx="12" formatCode="0.00">
                  <c:v>0.89578944444656372</c:v>
                </c:pt>
                <c:pt idx="13" formatCode="0.00">
                  <c:v>1</c:v>
                </c:pt>
              </c:numCache>
            </c:numRef>
          </c:xVal>
          <c:yVal>
            <c:numRef>
              <c:f>(DesignSheet!$B$59:$B$68,DesignSheet!$E$59:$E$62)</c:f>
              <c:numCache>
                <c:formatCode>0.0</c:formatCode>
                <c:ptCount val="14"/>
                <c:pt idx="0">
                  <c:v>0</c:v>
                </c:pt>
                <c:pt idx="1">
                  <c:v>131.84278938549704</c:v>
                </c:pt>
                <c:pt idx="2">
                  <c:v>255</c:v>
                </c:pt>
                <c:pt idx="3">
                  <c:v>151.79291504460514</c:v>
                </c:pt>
                <c:pt idx="4">
                  <c:v>123.43242738356342</c:v>
                </c:pt>
                <c:pt idx="5">
                  <c:v>111.11970118394879</c:v>
                </c:pt>
                <c:pt idx="6">
                  <c:v>103.5965244127112</c:v>
                </c:pt>
                <c:pt idx="7">
                  <c:v>100.03431447771118</c:v>
                </c:pt>
                <c:pt idx="8">
                  <c:v>97.925143893182479</c:v>
                </c:pt>
                <c:pt idx="9">
                  <c:v>96.63049528408132</c:v>
                </c:pt>
                <c:pt idx="10">
                  <c:v>95.850063287592064</c:v>
                </c:pt>
                <c:pt idx="11">
                  <c:v>95.393802886833043</c:v>
                </c:pt>
                <c:pt idx="12">
                  <c:v>95.137040424211989</c:v>
                </c:pt>
                <c:pt idx="13">
                  <c:v>95</c:v>
                </c:pt>
              </c:numCache>
            </c:numRef>
          </c:yVal>
          <c:smooth val="1"/>
          <c:extLst>
            <c:ext xmlns:c16="http://schemas.microsoft.com/office/drawing/2014/chart" uri="{C3380CC4-5D6E-409C-BE32-E72D297353CC}">
              <c16:uniqueId val="{00000000-2EDD-4F79-82FB-CDC89895E7E9}"/>
            </c:ext>
          </c:extLst>
        </c:ser>
        <c:dLbls>
          <c:showLegendKey val="0"/>
          <c:showVal val="0"/>
          <c:showCatName val="0"/>
          <c:showSerName val="0"/>
          <c:showPercent val="0"/>
          <c:showBubbleSize val="0"/>
        </c:dLbls>
        <c:axId val="287128576"/>
        <c:axId val="287926912"/>
      </c:scatterChart>
      <c:scatterChart>
        <c:scatterStyle val="lineMarker"/>
        <c:varyColors val="0"/>
        <c:ser>
          <c:idx val="1"/>
          <c:order val="1"/>
          <c:spPr>
            <a:ln w="12700">
              <a:solidFill>
                <a:srgbClr val="000000"/>
              </a:solidFill>
              <a:prstDash val="sysDash"/>
            </a:ln>
          </c:spPr>
          <c:marker>
            <c:symbol val="none"/>
          </c:marker>
          <c:xVal>
            <c:numRef>
              <c:f>(DesignSheet!$A$59:$A$68,DesignSheet!$D$59:$D$62)</c:f>
              <c:numCache>
                <c:formatCode>0.000</c:formatCode>
                <c:ptCount val="14"/>
                <c:pt idx="0" formatCode="0.00">
                  <c:v>0</c:v>
                </c:pt>
                <c:pt idx="1">
                  <c:v>2.0000003278255463E-3</c:v>
                </c:pt>
                <c:pt idx="2">
                  <c:v>1.0000001639127731E-2</c:v>
                </c:pt>
                <c:pt idx="3" formatCode="0.00">
                  <c:v>6.2105264514684677E-2</c:v>
                </c:pt>
                <c:pt idx="4" formatCode="0.00">
                  <c:v>0.11421053111553192</c:v>
                </c:pt>
                <c:pt idx="5" formatCode="0.00">
                  <c:v>0.16631579399108887</c:v>
                </c:pt>
                <c:pt idx="6" formatCode="0.00">
                  <c:v>0.27052631974220276</c:v>
                </c:pt>
                <c:pt idx="7" formatCode="0.00">
                  <c:v>0.37473684549331665</c:v>
                </c:pt>
                <c:pt idx="8" formatCode="0.00">
                  <c:v>0.47894737124443054</c:v>
                </c:pt>
                <c:pt idx="9" formatCode="0.00">
                  <c:v>0.58315789699554443</c:v>
                </c:pt>
                <c:pt idx="10" formatCode="0.00">
                  <c:v>0.68736839294433594</c:v>
                </c:pt>
                <c:pt idx="11" formatCode="0.00">
                  <c:v>0.79157894849777222</c:v>
                </c:pt>
                <c:pt idx="12" formatCode="0.00">
                  <c:v>0.89578944444656372</c:v>
                </c:pt>
                <c:pt idx="13" formatCode="0.00">
                  <c:v>1</c:v>
                </c:pt>
              </c:numCache>
            </c:numRef>
          </c:xVal>
          <c:yVal>
            <c:numRef>
              <c:f>(DesignSheet!$C$59:$C$68,DesignSheet!$F$59:$F$62)</c:f>
              <c:numCache>
                <c:formatCode>0.0</c:formatCode>
                <c:ptCount val="14"/>
                <c:pt idx="0">
                  <c:v>0.22732029855251312</c:v>
                </c:pt>
                <c:pt idx="1">
                  <c:v>160.06483459472656</c:v>
                </c:pt>
                <c:pt idx="2">
                  <c:v>481.83688354492188</c:v>
                </c:pt>
                <c:pt idx="3">
                  <c:v>565.22125244140625</c:v>
                </c:pt>
                <c:pt idx="4">
                  <c:v>587.3936767578125</c:v>
                </c:pt>
                <c:pt idx="5">
                  <c:v>596.70806884765625</c:v>
                </c:pt>
                <c:pt idx="6">
                  <c:v>605.9820556640625</c:v>
                </c:pt>
                <c:pt idx="7">
                  <c:v>612.095703125</c:v>
                </c:pt>
                <c:pt idx="8">
                  <c:v>617.11993408203125</c:v>
                </c:pt>
                <c:pt idx="9">
                  <c:v>621.35333251953125</c:v>
                </c:pt>
                <c:pt idx="10">
                  <c:v>624.90948486328125</c:v>
                </c:pt>
                <c:pt idx="11">
                  <c:v>627.90191650390625</c:v>
                </c:pt>
                <c:pt idx="12">
                  <c:v>630.4407958984375</c:v>
                </c:pt>
                <c:pt idx="13">
                  <c:v>632.62030029296875</c:v>
                </c:pt>
              </c:numCache>
            </c:numRef>
          </c:yVal>
          <c:smooth val="1"/>
          <c:extLst>
            <c:ext xmlns:c16="http://schemas.microsoft.com/office/drawing/2014/chart" uri="{C3380CC4-5D6E-409C-BE32-E72D297353CC}">
              <c16:uniqueId val="{00000001-2EDD-4F79-82FB-CDC89895E7E9}"/>
            </c:ext>
          </c:extLst>
        </c:ser>
        <c:dLbls>
          <c:showLegendKey val="0"/>
          <c:showVal val="0"/>
          <c:showCatName val="0"/>
          <c:showSerName val="0"/>
          <c:showPercent val="0"/>
          <c:showBubbleSize val="0"/>
        </c:dLbls>
        <c:axId val="288667904"/>
        <c:axId val="279454080"/>
      </c:scatterChart>
      <c:valAx>
        <c:axId val="287128576"/>
        <c:scaling>
          <c:orientation val="maxMin"/>
          <c:max val="1"/>
        </c:scaling>
        <c:delete val="0"/>
        <c:axPos val="b"/>
        <c:majorGridlines>
          <c:spPr>
            <a:ln w="3175">
              <a:pattFill prst="pct25">
                <a:fgClr>
                  <a:srgbClr val="000000"/>
                </a:fgClr>
                <a:bgClr>
                  <a:srgbClr val="FFFFFF"/>
                </a:bgClr>
              </a:pattFill>
              <a:prstDash val="solid"/>
            </a:ln>
          </c:spPr>
        </c:majorGridlines>
        <c:title>
          <c:tx>
            <c:rich>
              <a:bodyPr/>
              <a:lstStyle/>
              <a:p>
                <a:pPr>
                  <a:defRPr sz="800" b="0" i="1" u="none" strike="noStrike" baseline="0">
                    <a:solidFill>
                      <a:srgbClr val="000000"/>
                    </a:solidFill>
                    <a:latin typeface="Times New Roman"/>
                    <a:ea typeface="Times New Roman"/>
                    <a:cs typeface="Times New Roman"/>
                  </a:defRPr>
                </a:pPr>
                <a:r>
                  <a:rPr lang="en-US"/>
                  <a:t>Slip (p.u.)</a:t>
                </a:r>
              </a:p>
            </c:rich>
          </c:tx>
          <c:layout>
            <c:manualLayout>
              <c:xMode val="edge"/>
              <c:yMode val="edge"/>
              <c:x val="0.43641680085011864"/>
              <c:y val="0.89075813000207216"/>
            </c:manualLayout>
          </c:layout>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en-US"/>
          </a:p>
        </c:txPr>
        <c:crossAx val="287926912"/>
        <c:crossesAt val="0"/>
        <c:crossBetween val="midCat"/>
        <c:majorUnit val="0.2"/>
        <c:minorUnit val="0.2"/>
      </c:valAx>
      <c:valAx>
        <c:axId val="287926912"/>
        <c:scaling>
          <c:orientation val="minMax"/>
        </c:scaling>
        <c:delete val="0"/>
        <c:axPos val="l"/>
        <c:majorGridlines>
          <c:spPr>
            <a:ln w="3175">
              <a:pattFill prst="pct25">
                <a:fgClr>
                  <a:srgbClr val="000000"/>
                </a:fgClr>
                <a:bgClr>
                  <a:srgbClr val="FFFFFF"/>
                </a:bgClr>
              </a:pattFill>
              <a:prstDash val="solid"/>
            </a:ln>
          </c:spPr>
        </c:majorGridlines>
        <c:title>
          <c:tx>
            <c:rich>
              <a:bodyPr/>
              <a:lstStyle/>
              <a:p>
                <a:pPr>
                  <a:defRPr sz="800" b="0" i="1" u="none" strike="noStrike" baseline="0">
                    <a:solidFill>
                      <a:srgbClr val="000000"/>
                    </a:solidFill>
                    <a:latin typeface="Times New Roman"/>
                    <a:ea typeface="Times New Roman"/>
                    <a:cs typeface="Times New Roman"/>
                  </a:defRPr>
                </a:pPr>
                <a:r>
                  <a:rPr lang="en-US"/>
                  <a:t>Torque (%) </a:t>
                </a:r>
              </a:p>
            </c:rich>
          </c:tx>
          <c:layout>
            <c:manualLayout>
              <c:xMode val="edge"/>
              <c:yMode val="edge"/>
              <c:x val="1.4450887445368167E-2"/>
              <c:y val="0.28991656117991971"/>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en-US"/>
          </a:p>
        </c:txPr>
        <c:crossAx val="287128576"/>
        <c:crosses val="max"/>
        <c:crossBetween val="midCat"/>
        <c:majorUnit val="50"/>
        <c:minorUnit val="50"/>
      </c:valAx>
      <c:valAx>
        <c:axId val="288667904"/>
        <c:scaling>
          <c:orientation val="maxMin"/>
        </c:scaling>
        <c:delete val="1"/>
        <c:axPos val="b"/>
        <c:numFmt formatCode="0.00" sourceLinked="1"/>
        <c:majorTickMark val="out"/>
        <c:minorTickMark val="none"/>
        <c:tickLblPos val="nextTo"/>
        <c:crossAx val="279454080"/>
        <c:crosses val="autoZero"/>
        <c:crossBetween val="midCat"/>
      </c:valAx>
      <c:valAx>
        <c:axId val="279454080"/>
        <c:scaling>
          <c:orientation val="minMax"/>
        </c:scaling>
        <c:delete val="0"/>
        <c:axPos val="r"/>
        <c:title>
          <c:tx>
            <c:rich>
              <a:bodyPr/>
              <a:lstStyle/>
              <a:p>
                <a:pPr>
                  <a:defRPr sz="800" b="0" i="1" u="none" strike="noStrike" baseline="0">
                    <a:solidFill>
                      <a:srgbClr val="000000"/>
                    </a:solidFill>
                    <a:latin typeface="Times New Roman"/>
                    <a:ea typeface="Times New Roman"/>
                    <a:cs typeface="Times New Roman"/>
                  </a:defRPr>
                </a:pPr>
                <a:r>
                  <a:rPr lang="en-US"/>
                  <a:t>Current (%)</a:t>
                </a:r>
              </a:p>
            </c:rich>
          </c:tx>
          <c:layout>
            <c:manualLayout>
              <c:xMode val="edge"/>
              <c:yMode val="edge"/>
              <c:x val="0.92774697399263628"/>
              <c:y val="0.25630304684021887"/>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en-US"/>
          </a:p>
        </c:txPr>
        <c:crossAx val="288667904"/>
        <c:crosses val="autoZero"/>
        <c:crossBetween val="midCat"/>
      </c:valAx>
      <c:spPr>
        <a:solidFill>
          <a:srgbClr val="E3E3E3"/>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paperSize="9" orientation="landscape" horizontalDpi="-4" verticalDpi="300"/>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1" i="1" u="none" strike="noStrike" baseline="0">
                <a:solidFill>
                  <a:srgbClr val="000000"/>
                </a:solidFill>
                <a:latin typeface="Times New Roman"/>
                <a:ea typeface="Times New Roman"/>
                <a:cs typeface="Times New Roman"/>
              </a:defRPr>
            </a:pPr>
            <a:r>
              <a:rPr lang="en-US"/>
              <a:t>Design Values</a:t>
            </a:r>
          </a:p>
        </c:rich>
      </c:tx>
      <c:layout>
        <c:manualLayout>
          <c:xMode val="edge"/>
          <c:yMode val="edge"/>
          <c:x val="0.39122880692545009"/>
          <c:y val="2.8517110266159697E-2"/>
        </c:manualLayout>
      </c:layout>
      <c:overlay val="0"/>
      <c:spPr>
        <a:noFill/>
        <a:ln w="25400">
          <a:noFill/>
        </a:ln>
      </c:spPr>
    </c:title>
    <c:autoTitleDeleted val="0"/>
    <c:plotArea>
      <c:layout>
        <c:manualLayout>
          <c:layoutTarget val="inner"/>
          <c:xMode val="edge"/>
          <c:yMode val="edge"/>
          <c:x val="0.13859672868134712"/>
          <c:y val="0.14068454124263052"/>
          <c:w val="0.71228192208388519"/>
          <c:h val="0.63308043559183735"/>
        </c:manualLayout>
      </c:layout>
      <c:scatterChart>
        <c:scatterStyle val="smoothMarker"/>
        <c:varyColors val="0"/>
        <c:ser>
          <c:idx val="0"/>
          <c:order val="0"/>
          <c:tx>
            <c:v>Torque</c:v>
          </c:tx>
          <c:spPr>
            <a:ln w="25400">
              <a:solidFill>
                <a:srgbClr val="000000"/>
              </a:solidFill>
              <a:prstDash val="solid"/>
            </a:ln>
          </c:spPr>
          <c:marker>
            <c:symbol val="none"/>
          </c:marker>
          <c:xVal>
            <c:numRef>
              <c:f>STCurve!$A$54:$A$67</c:f>
              <c:numCache>
                <c:formatCode>0.0</c:formatCode>
                <c:ptCount val="14"/>
                <c:pt idx="0">
                  <c:v>100</c:v>
                </c:pt>
                <c:pt idx="1">
                  <c:v>99.799999967217445</c:v>
                </c:pt>
                <c:pt idx="2">
                  <c:v>98.999999836087227</c:v>
                </c:pt>
                <c:pt idx="3">
                  <c:v>93.789473548531532</c:v>
                </c:pt>
                <c:pt idx="4">
                  <c:v>88.578946888446808</c:v>
                </c:pt>
                <c:pt idx="5">
                  <c:v>83.368420600891113</c:v>
                </c:pt>
                <c:pt idx="6">
                  <c:v>72.947368025779724</c:v>
                </c:pt>
                <c:pt idx="7">
                  <c:v>62.526315450668335</c:v>
                </c:pt>
                <c:pt idx="8">
                  <c:v>52.105262875556946</c:v>
                </c:pt>
                <c:pt idx="9">
                  <c:v>41.684210300445557</c:v>
                </c:pt>
                <c:pt idx="10">
                  <c:v>31.263160705566406</c:v>
                </c:pt>
                <c:pt idx="11">
                  <c:v>20.842105150222778</c:v>
                </c:pt>
                <c:pt idx="12">
                  <c:v>10.421055555343628</c:v>
                </c:pt>
                <c:pt idx="13">
                  <c:v>0</c:v>
                </c:pt>
              </c:numCache>
            </c:numRef>
          </c:xVal>
          <c:yVal>
            <c:numRef>
              <c:f>STCurve!$B$54:$B$67</c:f>
              <c:numCache>
                <c:formatCode>0.0</c:formatCode>
                <c:ptCount val="14"/>
                <c:pt idx="0">
                  <c:v>0</c:v>
                </c:pt>
                <c:pt idx="1">
                  <c:v>131.84278938549704</c:v>
                </c:pt>
                <c:pt idx="2">
                  <c:v>255</c:v>
                </c:pt>
                <c:pt idx="3">
                  <c:v>151.79291504460514</c:v>
                </c:pt>
                <c:pt idx="4">
                  <c:v>123.43242738356342</c:v>
                </c:pt>
                <c:pt idx="5">
                  <c:v>111.11970118394879</c:v>
                </c:pt>
                <c:pt idx="6">
                  <c:v>103.5965244127112</c:v>
                </c:pt>
                <c:pt idx="7">
                  <c:v>100.03431447771118</c:v>
                </c:pt>
                <c:pt idx="8">
                  <c:v>97.925143893182479</c:v>
                </c:pt>
                <c:pt idx="9">
                  <c:v>96.63049528408132</c:v>
                </c:pt>
                <c:pt idx="10">
                  <c:v>95.850063287592064</c:v>
                </c:pt>
                <c:pt idx="11">
                  <c:v>95.393802886833043</c:v>
                </c:pt>
                <c:pt idx="12">
                  <c:v>95.137040424211989</c:v>
                </c:pt>
                <c:pt idx="13">
                  <c:v>95</c:v>
                </c:pt>
              </c:numCache>
            </c:numRef>
          </c:yVal>
          <c:smooth val="1"/>
          <c:extLst>
            <c:ext xmlns:c16="http://schemas.microsoft.com/office/drawing/2014/chart" uri="{C3380CC4-5D6E-409C-BE32-E72D297353CC}">
              <c16:uniqueId val="{00000000-6AA8-49E2-98A5-4AF0AA74B7EF}"/>
            </c:ext>
          </c:extLst>
        </c:ser>
        <c:dLbls>
          <c:showLegendKey val="0"/>
          <c:showVal val="0"/>
          <c:showCatName val="0"/>
          <c:showSerName val="0"/>
          <c:showPercent val="0"/>
          <c:showBubbleSize val="0"/>
        </c:dLbls>
        <c:axId val="283941888"/>
        <c:axId val="283944064"/>
      </c:scatterChart>
      <c:scatterChart>
        <c:scatterStyle val="lineMarker"/>
        <c:varyColors val="0"/>
        <c:ser>
          <c:idx val="1"/>
          <c:order val="1"/>
          <c:tx>
            <c:v>Current</c:v>
          </c:tx>
          <c:spPr>
            <a:ln w="25400">
              <a:solidFill>
                <a:srgbClr val="000000"/>
              </a:solidFill>
              <a:prstDash val="lgDash"/>
            </a:ln>
          </c:spPr>
          <c:marker>
            <c:symbol val="none"/>
          </c:marker>
          <c:xVal>
            <c:numRef>
              <c:f>STCurve!$A$54:$A$67</c:f>
              <c:numCache>
                <c:formatCode>0.0</c:formatCode>
                <c:ptCount val="14"/>
                <c:pt idx="0">
                  <c:v>100</c:v>
                </c:pt>
                <c:pt idx="1">
                  <c:v>99.799999967217445</c:v>
                </c:pt>
                <c:pt idx="2">
                  <c:v>98.999999836087227</c:v>
                </c:pt>
                <c:pt idx="3">
                  <c:v>93.789473548531532</c:v>
                </c:pt>
                <c:pt idx="4">
                  <c:v>88.578946888446808</c:v>
                </c:pt>
                <c:pt idx="5">
                  <c:v>83.368420600891113</c:v>
                </c:pt>
                <c:pt idx="6">
                  <c:v>72.947368025779724</c:v>
                </c:pt>
                <c:pt idx="7">
                  <c:v>62.526315450668335</c:v>
                </c:pt>
                <c:pt idx="8">
                  <c:v>52.105262875556946</c:v>
                </c:pt>
                <c:pt idx="9">
                  <c:v>41.684210300445557</c:v>
                </c:pt>
                <c:pt idx="10">
                  <c:v>31.263160705566406</c:v>
                </c:pt>
                <c:pt idx="11">
                  <c:v>20.842105150222778</c:v>
                </c:pt>
                <c:pt idx="12">
                  <c:v>10.421055555343628</c:v>
                </c:pt>
                <c:pt idx="13">
                  <c:v>0</c:v>
                </c:pt>
              </c:numCache>
            </c:numRef>
          </c:xVal>
          <c:yVal>
            <c:numRef>
              <c:f>STCurve!$C$54:$C$67</c:f>
              <c:numCache>
                <c:formatCode>0.0</c:formatCode>
                <c:ptCount val="14"/>
                <c:pt idx="0">
                  <c:v>0.22732029855251312</c:v>
                </c:pt>
                <c:pt idx="1">
                  <c:v>160.06483459472656</c:v>
                </c:pt>
                <c:pt idx="2">
                  <c:v>481.83688354492188</c:v>
                </c:pt>
                <c:pt idx="3">
                  <c:v>565.22125244140625</c:v>
                </c:pt>
                <c:pt idx="4">
                  <c:v>587.3936767578125</c:v>
                </c:pt>
                <c:pt idx="5">
                  <c:v>596.70806884765625</c:v>
                </c:pt>
                <c:pt idx="6">
                  <c:v>605.9820556640625</c:v>
                </c:pt>
                <c:pt idx="7">
                  <c:v>612.095703125</c:v>
                </c:pt>
                <c:pt idx="8">
                  <c:v>617.11993408203125</c:v>
                </c:pt>
                <c:pt idx="9">
                  <c:v>621.35333251953125</c:v>
                </c:pt>
                <c:pt idx="10">
                  <c:v>624.90948486328125</c:v>
                </c:pt>
                <c:pt idx="11">
                  <c:v>627.90191650390625</c:v>
                </c:pt>
                <c:pt idx="12">
                  <c:v>630.4407958984375</c:v>
                </c:pt>
                <c:pt idx="13">
                  <c:v>632.62030029296875</c:v>
                </c:pt>
              </c:numCache>
            </c:numRef>
          </c:yVal>
          <c:smooth val="1"/>
          <c:extLst>
            <c:ext xmlns:c16="http://schemas.microsoft.com/office/drawing/2014/chart" uri="{C3380CC4-5D6E-409C-BE32-E72D297353CC}">
              <c16:uniqueId val="{00000001-6AA8-49E2-98A5-4AF0AA74B7EF}"/>
            </c:ext>
          </c:extLst>
        </c:ser>
        <c:dLbls>
          <c:showLegendKey val="0"/>
          <c:showVal val="0"/>
          <c:showCatName val="0"/>
          <c:showSerName val="0"/>
          <c:showPercent val="0"/>
          <c:showBubbleSize val="0"/>
        </c:dLbls>
        <c:axId val="283945984"/>
        <c:axId val="283955968"/>
      </c:scatterChart>
      <c:valAx>
        <c:axId val="283941888"/>
        <c:scaling>
          <c:orientation val="minMax"/>
          <c:max val="100"/>
        </c:scaling>
        <c:delete val="0"/>
        <c:axPos val="b"/>
        <c:majorGridlines>
          <c:spPr>
            <a:ln w="3175">
              <a:solidFill>
                <a:srgbClr val="000000"/>
              </a:solidFill>
              <a:prstDash val="solid"/>
            </a:ln>
          </c:spPr>
        </c:majorGridlines>
        <c:title>
          <c:tx>
            <c:rich>
              <a:bodyPr/>
              <a:lstStyle/>
              <a:p>
                <a:pPr>
                  <a:defRPr sz="1100" b="0" i="1" u="none" strike="noStrike" baseline="0">
                    <a:solidFill>
                      <a:srgbClr val="000000"/>
                    </a:solidFill>
                    <a:latin typeface="Times New Roman"/>
                    <a:ea typeface="Times New Roman"/>
                    <a:cs typeface="Times New Roman"/>
                  </a:defRPr>
                </a:pPr>
                <a:r>
                  <a:rPr lang="en-US"/>
                  <a:t>Percent Synchronous Speed</a:t>
                </a:r>
              </a:p>
            </c:rich>
          </c:tx>
          <c:layout>
            <c:manualLayout>
              <c:xMode val="edge"/>
              <c:yMode val="edge"/>
              <c:x val="0.33508827186075424"/>
              <c:y val="0.84600840294202762"/>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100" b="0" i="0" u="none" strike="noStrike" baseline="0">
                <a:solidFill>
                  <a:srgbClr val="000000"/>
                </a:solidFill>
                <a:latin typeface="Times New Roman"/>
                <a:ea typeface="Times New Roman"/>
                <a:cs typeface="Times New Roman"/>
              </a:defRPr>
            </a:pPr>
            <a:endParaRPr lang="en-US"/>
          </a:p>
        </c:txPr>
        <c:crossAx val="283944064"/>
        <c:crosses val="autoZero"/>
        <c:crossBetween val="midCat"/>
        <c:majorUnit val="20"/>
        <c:minorUnit val="20"/>
      </c:valAx>
      <c:valAx>
        <c:axId val="283944064"/>
        <c:scaling>
          <c:orientation val="minMax"/>
        </c:scaling>
        <c:delete val="0"/>
        <c:axPos val="l"/>
        <c:majorGridlines>
          <c:spPr>
            <a:ln w="3175">
              <a:solidFill>
                <a:srgbClr val="000000"/>
              </a:solidFill>
              <a:prstDash val="solid"/>
            </a:ln>
          </c:spPr>
        </c:majorGridlines>
        <c:title>
          <c:tx>
            <c:rich>
              <a:bodyPr/>
              <a:lstStyle/>
              <a:p>
                <a:pPr>
                  <a:defRPr sz="1100" b="0" i="1" u="none" strike="noStrike" baseline="0">
                    <a:solidFill>
                      <a:srgbClr val="000000"/>
                    </a:solidFill>
                    <a:latin typeface="Times New Roman"/>
                    <a:ea typeface="Times New Roman"/>
                    <a:cs typeface="Times New Roman"/>
                  </a:defRPr>
                </a:pPr>
                <a:r>
                  <a:rPr lang="en-US"/>
                  <a:t>Percent Full-Load Torque</a:t>
                </a:r>
              </a:p>
            </c:rich>
          </c:tx>
          <c:layout>
            <c:manualLayout>
              <c:xMode val="edge"/>
              <c:yMode val="edge"/>
              <c:x val="2.8070175438596492E-2"/>
              <c:y val="0.29657814636288332"/>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100" b="0" i="0" u="none" strike="noStrike" baseline="0">
                <a:solidFill>
                  <a:srgbClr val="000000"/>
                </a:solidFill>
                <a:latin typeface="Times New Roman"/>
                <a:ea typeface="Times New Roman"/>
                <a:cs typeface="Times New Roman"/>
              </a:defRPr>
            </a:pPr>
            <a:endParaRPr lang="en-US"/>
          </a:p>
        </c:txPr>
        <c:crossAx val="283941888"/>
        <c:crosses val="autoZero"/>
        <c:crossBetween val="midCat"/>
      </c:valAx>
      <c:valAx>
        <c:axId val="283945984"/>
        <c:scaling>
          <c:orientation val="minMax"/>
        </c:scaling>
        <c:delete val="1"/>
        <c:axPos val="b"/>
        <c:numFmt formatCode="0.0" sourceLinked="1"/>
        <c:majorTickMark val="out"/>
        <c:minorTickMark val="none"/>
        <c:tickLblPos val="nextTo"/>
        <c:crossAx val="283955968"/>
        <c:crosses val="autoZero"/>
        <c:crossBetween val="midCat"/>
      </c:valAx>
      <c:valAx>
        <c:axId val="283955968"/>
        <c:scaling>
          <c:orientation val="minMax"/>
          <c:max val="900"/>
        </c:scaling>
        <c:delete val="0"/>
        <c:axPos val="r"/>
        <c:title>
          <c:tx>
            <c:rich>
              <a:bodyPr/>
              <a:lstStyle/>
              <a:p>
                <a:pPr>
                  <a:defRPr sz="1100" b="0" i="1" u="none" strike="noStrike" baseline="0">
                    <a:solidFill>
                      <a:srgbClr val="000000"/>
                    </a:solidFill>
                    <a:latin typeface="Times New Roman"/>
                    <a:ea typeface="Times New Roman"/>
                    <a:cs typeface="Times New Roman"/>
                  </a:defRPr>
                </a:pPr>
                <a:r>
                  <a:rPr lang="en-US"/>
                  <a:t>Percent Full-Load Current</a:t>
                </a:r>
              </a:p>
            </c:rich>
          </c:tx>
          <c:layout>
            <c:manualLayout>
              <c:xMode val="edge"/>
              <c:yMode val="edge"/>
              <c:x val="0.92456306119629783"/>
              <c:y val="0.29277586499406205"/>
            </c:manualLayout>
          </c:layout>
          <c:overlay val="0"/>
          <c:spPr>
            <a:solidFill>
              <a:srgbClr val="FFFFFF"/>
            </a:solidFill>
            <a:ln w="25400">
              <a:noFill/>
            </a:ln>
          </c:spPr>
        </c:title>
        <c:numFmt formatCode="0" sourceLinked="0"/>
        <c:majorTickMark val="cross"/>
        <c:minorTickMark val="none"/>
        <c:tickLblPos val="nextTo"/>
        <c:spPr>
          <a:ln w="3175">
            <a:solidFill>
              <a:srgbClr val="000000"/>
            </a:solidFill>
            <a:prstDash val="solid"/>
          </a:ln>
        </c:spPr>
        <c:txPr>
          <a:bodyPr rot="0" vert="horz"/>
          <a:lstStyle/>
          <a:p>
            <a:pPr>
              <a:defRPr sz="1100" b="0" i="0" u="none" strike="noStrike" baseline="0">
                <a:solidFill>
                  <a:srgbClr val="000000"/>
                </a:solidFill>
                <a:latin typeface="Times New Roman"/>
                <a:ea typeface="Times New Roman"/>
                <a:cs typeface="Times New Roman"/>
              </a:defRPr>
            </a:pPr>
            <a:endParaRPr lang="en-US"/>
          </a:p>
        </c:txPr>
        <c:crossAx val="283945984"/>
        <c:crosses val="max"/>
        <c:crossBetween val="midCat"/>
        <c:majorUnit val="150"/>
      </c:valAx>
      <c:spPr>
        <a:solidFill>
          <a:srgbClr val="FFFFFF"/>
        </a:solidFill>
        <a:ln w="12700">
          <a:solidFill>
            <a:srgbClr val="000000"/>
          </a:solidFill>
          <a:prstDash val="solid"/>
        </a:ln>
      </c:spPr>
    </c:plotArea>
    <c:legend>
      <c:legendPos val="r"/>
      <c:layout>
        <c:manualLayout>
          <c:xMode val="edge"/>
          <c:yMode val="edge"/>
          <c:x val="0.34210581572040333"/>
          <c:y val="0.94106543716255997"/>
          <c:w val="0.30526371045724543"/>
          <c:h val="4.1825095057034245E-2"/>
        </c:manualLayout>
      </c:layout>
      <c:overlay val="0"/>
      <c:spPr>
        <a:solidFill>
          <a:srgbClr val="FFFFFF"/>
        </a:solidFill>
        <a:ln w="25400">
          <a:noFill/>
        </a:ln>
      </c:spPr>
      <c:txPr>
        <a:bodyPr/>
        <a:lstStyle/>
        <a:p>
          <a:pPr>
            <a:defRPr sz="845" b="0" i="0" u="none" strike="noStrike" baseline="0">
              <a:solidFill>
                <a:srgbClr val="000000"/>
              </a:solidFill>
              <a:latin typeface="Times New Roman"/>
              <a:ea typeface="Times New Roman"/>
              <a:cs typeface="Times New Roman"/>
            </a:defRPr>
          </a:pPr>
          <a:endParaRPr lang="en-US"/>
        </a:p>
      </c:txPr>
    </c:legend>
    <c:plotVisOnly val="1"/>
    <c:dispBlanksAs val="gap"/>
    <c:showDLblsOverMax val="0"/>
  </c:chart>
  <c:spPr>
    <a:solidFill>
      <a:srgbClr val="FFFFFF"/>
    </a:solidFill>
    <a:ln w="9525">
      <a:noFill/>
    </a:ln>
  </c:spPr>
  <c:txPr>
    <a:bodyPr/>
    <a:lstStyle/>
    <a:p>
      <a:pPr>
        <a:defRPr sz="10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orientation="landscape" horizontalDpi="0" verticalDpi="300"/>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482084690553746"/>
          <c:y val="2.3668656149350608E-2"/>
          <c:w val="0.81921824104234531"/>
          <c:h val="0.86834382247930042"/>
        </c:manualLayout>
      </c:layout>
      <c:scatterChart>
        <c:scatterStyle val="smoothMarker"/>
        <c:varyColors val="0"/>
        <c:ser>
          <c:idx val="0"/>
          <c:order val="0"/>
          <c:tx>
            <c:v>Cold Stall</c:v>
          </c:tx>
          <c:spPr>
            <a:ln w="25400">
              <a:solidFill>
                <a:srgbClr val="0080C0"/>
              </a:solidFill>
              <a:prstDash val="solid"/>
            </a:ln>
          </c:spPr>
          <c:marker>
            <c:symbol val="none"/>
          </c:marker>
          <c:xVal>
            <c:numRef>
              <c:f>Thermdam!$A$68:$A$71</c:f>
              <c:numCache>
                <c:formatCode>0</c:formatCode>
                <c:ptCount val="4"/>
                <c:pt idx="0">
                  <c:v>632.62032085561498</c:v>
                </c:pt>
                <c:pt idx="1">
                  <c:v>600</c:v>
                </c:pt>
                <c:pt idx="2">
                  <c:v>500</c:v>
                </c:pt>
                <c:pt idx="3">
                  <c:v>400</c:v>
                </c:pt>
              </c:numCache>
            </c:numRef>
          </c:xVal>
          <c:yVal>
            <c:numRef>
              <c:f>Thermdam!$B$68:$B$71</c:f>
              <c:numCache>
                <c:formatCode>0.00</c:formatCode>
                <c:ptCount val="4"/>
                <c:pt idx="0">
                  <c:v>35</c:v>
                </c:pt>
                <c:pt idx="1">
                  <c:v>38.909156840503186</c:v>
                </c:pt>
                <c:pt idx="2">
                  <c:v>56.029185850324566</c:v>
                </c:pt>
                <c:pt idx="3">
                  <c:v>87.545602891132148</c:v>
                </c:pt>
              </c:numCache>
            </c:numRef>
          </c:yVal>
          <c:smooth val="1"/>
          <c:extLst>
            <c:ext xmlns:c16="http://schemas.microsoft.com/office/drawing/2014/chart" uri="{C3380CC4-5D6E-409C-BE32-E72D297353CC}">
              <c16:uniqueId val="{00000000-285C-41DE-8D00-8E75A3F8FD95}"/>
            </c:ext>
          </c:extLst>
        </c:ser>
        <c:ser>
          <c:idx val="1"/>
          <c:order val="1"/>
          <c:tx>
            <c:v>Hot Stall</c:v>
          </c:tx>
          <c:spPr>
            <a:ln w="25400">
              <a:solidFill>
                <a:srgbClr val="996666"/>
              </a:solidFill>
              <a:prstDash val="solid"/>
            </a:ln>
          </c:spPr>
          <c:marker>
            <c:symbol val="none"/>
          </c:marker>
          <c:xVal>
            <c:numRef>
              <c:f>Thermdam!$A$68:$A$71</c:f>
              <c:numCache>
                <c:formatCode>0</c:formatCode>
                <c:ptCount val="4"/>
                <c:pt idx="0">
                  <c:v>632.62032085561498</c:v>
                </c:pt>
                <c:pt idx="1">
                  <c:v>600</c:v>
                </c:pt>
                <c:pt idx="2">
                  <c:v>500</c:v>
                </c:pt>
                <c:pt idx="3">
                  <c:v>400</c:v>
                </c:pt>
              </c:numCache>
            </c:numRef>
          </c:xVal>
          <c:yVal>
            <c:numRef>
              <c:f>Thermdam!$C$68:$C$71</c:f>
              <c:numCache>
                <c:formatCode>0.00</c:formatCode>
                <c:ptCount val="4"/>
                <c:pt idx="0">
                  <c:v>15</c:v>
                </c:pt>
                <c:pt idx="1">
                  <c:v>16.675352931644223</c:v>
                </c:pt>
                <c:pt idx="2">
                  <c:v>24.012508221567671</c:v>
                </c:pt>
                <c:pt idx="3">
                  <c:v>37.519544096199496</c:v>
                </c:pt>
              </c:numCache>
            </c:numRef>
          </c:yVal>
          <c:smooth val="1"/>
          <c:extLst>
            <c:ext xmlns:c16="http://schemas.microsoft.com/office/drawing/2014/chart" uri="{C3380CC4-5D6E-409C-BE32-E72D297353CC}">
              <c16:uniqueId val="{00000001-285C-41DE-8D00-8E75A3F8FD95}"/>
            </c:ext>
          </c:extLst>
        </c:ser>
        <c:ser>
          <c:idx val="2"/>
          <c:order val="2"/>
          <c:tx>
            <c:v>Running Condition</c:v>
          </c:tx>
          <c:spPr>
            <a:ln w="25400">
              <a:solidFill>
                <a:srgbClr val="000000"/>
              </a:solidFill>
              <a:prstDash val="solid"/>
            </a:ln>
          </c:spPr>
          <c:marker>
            <c:symbol val="none"/>
          </c:marker>
          <c:xVal>
            <c:numRef>
              <c:f>Thermdam!$A$72:$A$79</c:f>
              <c:numCache>
                <c:formatCode>0</c:formatCode>
                <c:ptCount val="8"/>
                <c:pt idx="0">
                  <c:v>300</c:v>
                </c:pt>
                <c:pt idx="1">
                  <c:v>200</c:v>
                </c:pt>
                <c:pt idx="2">
                  <c:v>255</c:v>
                </c:pt>
                <c:pt idx="3" formatCode="General">
                  <c:v>180</c:v>
                </c:pt>
                <c:pt idx="4" formatCode="General">
                  <c:v>145</c:v>
                </c:pt>
                <c:pt idx="5" formatCode="General">
                  <c:v>125</c:v>
                </c:pt>
                <c:pt idx="6" formatCode="General">
                  <c:v>125</c:v>
                </c:pt>
                <c:pt idx="7" formatCode="General">
                  <c:v>125</c:v>
                </c:pt>
              </c:numCache>
            </c:numRef>
          </c:xVal>
          <c:yVal>
            <c:numRef>
              <c:f>Thermdam!$C$72:$C$79</c:f>
              <c:numCache>
                <c:formatCode>0.00</c:formatCode>
                <c:ptCount val="8"/>
                <c:pt idx="2">
                  <c:v>92.320293047165222</c:v>
                </c:pt>
                <c:pt idx="3">
                  <c:v>185.28169924049132</c:v>
                </c:pt>
                <c:pt idx="4">
                  <c:v>285.52328444194626</c:v>
                </c:pt>
                <c:pt idx="5" formatCode="0">
                  <c:v>600</c:v>
                </c:pt>
                <c:pt idx="6" formatCode="0">
                  <c:v>1200</c:v>
                </c:pt>
                <c:pt idx="7" formatCode="General">
                  <c:v>10000</c:v>
                </c:pt>
              </c:numCache>
            </c:numRef>
          </c:yVal>
          <c:smooth val="1"/>
          <c:extLst>
            <c:ext xmlns:c16="http://schemas.microsoft.com/office/drawing/2014/chart" uri="{C3380CC4-5D6E-409C-BE32-E72D297353CC}">
              <c16:uniqueId val="{00000002-285C-41DE-8D00-8E75A3F8FD95}"/>
            </c:ext>
          </c:extLst>
        </c:ser>
        <c:ser>
          <c:idx val="3"/>
          <c:order val="3"/>
          <c:tx>
            <c:v>Acceleration Curve</c:v>
          </c:tx>
          <c:spPr>
            <a:ln w="25400">
              <a:solidFill>
                <a:srgbClr val="336666"/>
              </a:solidFill>
              <a:prstDash val="solid"/>
            </a:ln>
          </c:spPr>
          <c:marker>
            <c:symbol val="none"/>
          </c:marker>
          <c:xVal>
            <c:numRef>
              <c:f>Thermdam!$E$68:$E$81</c:f>
              <c:numCache>
                <c:formatCode>0</c:formatCode>
                <c:ptCount val="14"/>
                <c:pt idx="0">
                  <c:v>632.62032085561498</c:v>
                </c:pt>
                <c:pt idx="1">
                  <c:v>631.55080213903739</c:v>
                </c:pt>
                <c:pt idx="2">
                  <c:v>629.19786096256678</c:v>
                </c:pt>
                <c:pt idx="3">
                  <c:v>626.41711229946532</c:v>
                </c:pt>
                <c:pt idx="4">
                  <c:v>623.15508021390372</c:v>
                </c:pt>
                <c:pt idx="5">
                  <c:v>619.25133689839572</c:v>
                </c:pt>
                <c:pt idx="6">
                  <c:v>614.59893048128345</c:v>
                </c:pt>
                <c:pt idx="7">
                  <c:v>609.03743315508029</c:v>
                </c:pt>
                <c:pt idx="8">
                  <c:v>601.33689839572196</c:v>
                </c:pt>
                <c:pt idx="9">
                  <c:v>592.0320855614973</c:v>
                </c:pt>
                <c:pt idx="10">
                  <c:v>576.31016042780743</c:v>
                </c:pt>
                <c:pt idx="11">
                  <c:v>523.52941176470586</c:v>
                </c:pt>
                <c:pt idx="12">
                  <c:v>320.96256684491982</c:v>
                </c:pt>
                <c:pt idx="13">
                  <c:v>0</c:v>
                </c:pt>
              </c:numCache>
            </c:numRef>
          </c:xVal>
          <c:yVal>
            <c:numRef>
              <c:f>Thermdam!$F$68:$F$81</c:f>
              <c:numCache>
                <c:formatCode>0.00</c:formatCode>
                <c:ptCount val="14"/>
                <c:pt idx="0">
                  <c:v>1E-4</c:v>
                </c:pt>
                <c:pt idx="1">
                  <c:v>0.66699999570846558</c:v>
                </c:pt>
                <c:pt idx="2">
                  <c:v>1.2439999580383301</c:v>
                </c:pt>
                <c:pt idx="3">
                  <c:v>1.7910000085830688</c:v>
                </c:pt>
                <c:pt idx="4">
                  <c:v>2.3380000591278076</c:v>
                </c:pt>
                <c:pt idx="5">
                  <c:v>2.9090001583099365</c:v>
                </c:pt>
                <c:pt idx="6">
                  <c:v>3.5250000953674316</c:v>
                </c:pt>
                <c:pt idx="7">
                  <c:v>4.2140002250671387</c:v>
                </c:pt>
                <c:pt idx="8">
                  <c:v>5.0280003547668457</c:v>
                </c:pt>
                <c:pt idx="9">
                  <c:v>5.4820003509521484</c:v>
                </c:pt>
                <c:pt idx="10">
                  <c:v>5.883000373840332</c:v>
                </c:pt>
                <c:pt idx="11">
                  <c:v>6.0980005264282227</c:v>
                </c:pt>
                <c:pt idx="12">
                  <c:v>6.137000560760498</c:v>
                </c:pt>
                <c:pt idx="13">
                  <c:v>6.1950006484985352</c:v>
                </c:pt>
              </c:numCache>
            </c:numRef>
          </c:yVal>
          <c:smooth val="1"/>
          <c:extLst>
            <c:ext xmlns:c16="http://schemas.microsoft.com/office/drawing/2014/chart" uri="{C3380CC4-5D6E-409C-BE32-E72D297353CC}">
              <c16:uniqueId val="{00000003-285C-41DE-8D00-8E75A3F8FD95}"/>
            </c:ext>
          </c:extLst>
        </c:ser>
        <c:dLbls>
          <c:showLegendKey val="0"/>
          <c:showVal val="0"/>
          <c:showCatName val="0"/>
          <c:showSerName val="0"/>
          <c:showPercent val="0"/>
          <c:showBubbleSize val="0"/>
        </c:dLbls>
        <c:axId val="284390144"/>
        <c:axId val="284392064"/>
      </c:scatterChart>
      <c:valAx>
        <c:axId val="284390144"/>
        <c:scaling>
          <c:orientation val="minMax"/>
          <c:max val="1000"/>
          <c:min val="0"/>
        </c:scaling>
        <c:delete val="0"/>
        <c:axPos val="b"/>
        <c:majorGridlines>
          <c:spPr>
            <a:ln w="3175">
              <a:solidFill>
                <a:srgbClr val="000000"/>
              </a:solidFill>
              <a:prstDash val="solid"/>
            </a:ln>
          </c:spPr>
        </c:majorGridlines>
        <c:minorGridlines>
          <c:spPr>
            <a:ln w="3175">
              <a:solidFill>
                <a:srgbClr val="000000"/>
              </a:solidFill>
              <a:prstDash val="solid"/>
            </a:ln>
          </c:spPr>
        </c:minorGridlines>
        <c:title>
          <c:tx>
            <c:rich>
              <a:bodyPr/>
              <a:lstStyle/>
              <a:p>
                <a:pPr>
                  <a:defRPr sz="1200" b="1" i="0" u="none" strike="noStrike" baseline="0">
                    <a:solidFill>
                      <a:srgbClr val="000000"/>
                    </a:solidFill>
                    <a:latin typeface="Times New Roman"/>
                    <a:ea typeface="Times New Roman"/>
                    <a:cs typeface="Times New Roman"/>
                  </a:defRPr>
                </a:pPr>
                <a:r>
                  <a:rPr lang="en-US"/>
                  <a:t>Percent of Full Load Current</a:t>
                </a:r>
              </a:p>
            </c:rich>
          </c:tx>
          <c:layout>
            <c:manualLayout>
              <c:xMode val="edge"/>
              <c:yMode val="edge"/>
              <c:x val="0.41530944625407168"/>
              <c:y val="0.94970476323595643"/>
            </c:manualLayout>
          </c:layout>
          <c:overlay val="0"/>
          <c:spPr>
            <a:noFill/>
            <a:ln w="25400">
              <a:noFill/>
            </a:ln>
          </c:spPr>
        </c:title>
        <c:numFmt formatCode="0" sourceLinked="1"/>
        <c:majorTickMark val="out"/>
        <c:minorTickMark val="in"/>
        <c:tickLblPos val="nextTo"/>
        <c:spPr>
          <a:ln w="3175">
            <a:solidFill>
              <a:srgbClr val="000000"/>
            </a:solidFill>
            <a:prstDash val="solid"/>
          </a:ln>
        </c:spPr>
        <c:txPr>
          <a:bodyPr rot="0" vert="horz"/>
          <a:lstStyle/>
          <a:p>
            <a:pPr>
              <a:defRPr sz="875" b="0" i="0" u="none" strike="noStrike" baseline="0">
                <a:solidFill>
                  <a:srgbClr val="000000"/>
                </a:solidFill>
                <a:latin typeface="Arial"/>
                <a:ea typeface="Arial"/>
                <a:cs typeface="Arial"/>
              </a:defRPr>
            </a:pPr>
            <a:endParaRPr lang="en-US"/>
          </a:p>
        </c:txPr>
        <c:crossAx val="284392064"/>
        <c:crossesAt val="0.1"/>
        <c:crossBetween val="midCat"/>
        <c:majorUnit val="100"/>
      </c:valAx>
      <c:valAx>
        <c:axId val="284392064"/>
        <c:scaling>
          <c:logBase val="10"/>
          <c:orientation val="minMax"/>
          <c:max val="10000"/>
          <c:min val="1"/>
        </c:scaling>
        <c:delete val="0"/>
        <c:axPos val="l"/>
        <c:majorGridlines>
          <c:spPr>
            <a:ln w="3175">
              <a:solidFill>
                <a:srgbClr val="000000"/>
              </a:solidFill>
              <a:prstDash val="solid"/>
            </a:ln>
          </c:spPr>
        </c:majorGridlines>
        <c:minorGridlines>
          <c:spPr>
            <a:ln w="3175">
              <a:solidFill>
                <a:srgbClr val="000000"/>
              </a:solidFill>
              <a:prstDash val="solid"/>
            </a:ln>
          </c:spPr>
        </c:minorGridlines>
        <c:title>
          <c:tx>
            <c:rich>
              <a:bodyPr/>
              <a:lstStyle/>
              <a:p>
                <a:pPr>
                  <a:defRPr sz="1200" b="1" i="0" u="none" strike="noStrike" baseline="0">
                    <a:solidFill>
                      <a:srgbClr val="000000"/>
                    </a:solidFill>
                    <a:latin typeface="Times New Roman"/>
                    <a:ea typeface="Times New Roman"/>
                    <a:cs typeface="Times New Roman"/>
                  </a:defRPr>
                </a:pPr>
                <a:r>
                  <a:rPr lang="en-US"/>
                  <a:t>Time in Seconds</a:t>
                </a:r>
              </a:p>
            </c:rich>
          </c:tx>
          <c:layout>
            <c:manualLayout>
              <c:xMode val="edge"/>
              <c:yMode val="edge"/>
              <c:x val="3.5830618892508145E-2"/>
              <c:y val="0.37573995558247525"/>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75" b="0" i="0" u="none" strike="noStrike" baseline="0">
                <a:solidFill>
                  <a:srgbClr val="000000"/>
                </a:solidFill>
                <a:latin typeface="Arial"/>
                <a:ea typeface="Arial"/>
                <a:cs typeface="Arial"/>
              </a:defRPr>
            </a:pPr>
            <a:endParaRPr lang="en-US"/>
          </a:p>
        </c:txPr>
        <c:crossAx val="284390144"/>
        <c:crosses val="autoZero"/>
        <c:crossBetween val="midCat"/>
        <c:minorUnit val="10"/>
      </c:valAx>
      <c:spPr>
        <a:noFill/>
        <a:ln w="25400">
          <a:noFill/>
        </a:ln>
      </c:spPr>
    </c:plotArea>
    <c:plotVisOnly val="1"/>
    <c:dispBlanksAs val="gap"/>
    <c:showDLblsOverMax val="0"/>
  </c:chart>
  <c:spPr>
    <a:solidFill>
      <a:srgbClr val="FFFFFF"/>
    </a:solidFill>
    <a:ln w="9525">
      <a:noFill/>
    </a:ln>
  </c:spPr>
  <c:txPr>
    <a:bodyPr/>
    <a:lstStyle/>
    <a:p>
      <a:pPr>
        <a:defRPr sz="175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9689952292200055"/>
          <c:y val="3.5984915040754913E-2"/>
          <c:w val="0.6201559777070883"/>
          <c:h val="0.82386516014359934"/>
        </c:manualLayout>
      </c:layout>
      <c:scatterChart>
        <c:scatterStyle val="smoothMarker"/>
        <c:varyColors val="0"/>
        <c:ser>
          <c:idx val="0"/>
          <c:order val="0"/>
          <c:tx>
            <c:v>Efficiency</c:v>
          </c:tx>
          <c:spPr>
            <a:ln w="25400">
              <a:solidFill>
                <a:srgbClr val="000080"/>
              </a:solidFill>
              <a:prstDash val="solid"/>
            </a:ln>
          </c:spPr>
          <c:marker>
            <c:symbol val="none"/>
          </c:marker>
          <c:xVal>
            <c:numRef>
              <c:f>Performance!$A$54:$A$59</c:f>
              <c:numCache>
                <c:formatCode>0.0</c:formatCode>
                <c:ptCount val="6"/>
                <c:pt idx="0">
                  <c:v>0</c:v>
                </c:pt>
                <c:pt idx="1">
                  <c:v>25</c:v>
                </c:pt>
                <c:pt idx="2">
                  <c:v>50</c:v>
                </c:pt>
                <c:pt idx="3">
                  <c:v>75</c:v>
                </c:pt>
                <c:pt idx="4">
                  <c:v>100</c:v>
                </c:pt>
                <c:pt idx="5">
                  <c:v>125</c:v>
                </c:pt>
              </c:numCache>
            </c:numRef>
          </c:xVal>
          <c:yVal>
            <c:numRef>
              <c:f>Performance!$B$54:$B$59</c:f>
              <c:numCache>
                <c:formatCode>0.0</c:formatCode>
                <c:ptCount val="6"/>
                <c:pt idx="1">
                  <c:v>88.730491638183594</c:v>
                </c:pt>
                <c:pt idx="2">
                  <c:v>92.800056457519531</c:v>
                </c:pt>
                <c:pt idx="3">
                  <c:v>94.057197570800781</c:v>
                </c:pt>
                <c:pt idx="4">
                  <c:v>94.552177429199219</c:v>
                </c:pt>
                <c:pt idx="5">
                  <c:v>94.734626770019531</c:v>
                </c:pt>
              </c:numCache>
            </c:numRef>
          </c:yVal>
          <c:smooth val="1"/>
          <c:extLst>
            <c:ext xmlns:c16="http://schemas.microsoft.com/office/drawing/2014/chart" uri="{C3380CC4-5D6E-409C-BE32-E72D297353CC}">
              <c16:uniqueId val="{00000000-3A19-4815-A8EE-10DDE49ED4BE}"/>
            </c:ext>
          </c:extLst>
        </c:ser>
        <c:ser>
          <c:idx val="1"/>
          <c:order val="1"/>
          <c:spPr>
            <a:ln w="25400">
              <a:solidFill>
                <a:srgbClr val="000000"/>
              </a:solidFill>
              <a:prstDash val="solid"/>
            </a:ln>
          </c:spPr>
          <c:marker>
            <c:symbol val="none"/>
          </c:marker>
          <c:xVal>
            <c:numRef>
              <c:f>Performance!$A$55:$A$59</c:f>
              <c:numCache>
                <c:formatCode>0.0</c:formatCode>
                <c:ptCount val="5"/>
                <c:pt idx="0">
                  <c:v>25</c:v>
                </c:pt>
                <c:pt idx="1">
                  <c:v>50</c:v>
                </c:pt>
                <c:pt idx="2">
                  <c:v>75</c:v>
                </c:pt>
                <c:pt idx="3">
                  <c:v>100</c:v>
                </c:pt>
                <c:pt idx="4">
                  <c:v>125</c:v>
                </c:pt>
              </c:numCache>
            </c:numRef>
          </c:xVal>
          <c:yVal>
            <c:numRef>
              <c:f>Performance!$C$55:$C$59</c:f>
              <c:numCache>
                <c:formatCode>0.0</c:formatCode>
                <c:ptCount val="5"/>
                <c:pt idx="0">
                  <c:v>68.121566772460938</c:v>
                </c:pt>
                <c:pt idx="1">
                  <c:v>84.99273681640625</c:v>
                </c:pt>
                <c:pt idx="2">
                  <c:v>89.774215698242188</c:v>
                </c:pt>
                <c:pt idx="3">
                  <c:v>91.376884460449219</c:v>
                </c:pt>
                <c:pt idx="4">
                  <c:v>91.828872680664063</c:v>
                </c:pt>
              </c:numCache>
            </c:numRef>
          </c:yVal>
          <c:smooth val="1"/>
          <c:extLst>
            <c:ext xmlns:c16="http://schemas.microsoft.com/office/drawing/2014/chart" uri="{C3380CC4-5D6E-409C-BE32-E72D297353CC}">
              <c16:uniqueId val="{00000001-3A19-4815-A8EE-10DDE49ED4BE}"/>
            </c:ext>
          </c:extLst>
        </c:ser>
        <c:ser>
          <c:idx val="3"/>
          <c:order val="3"/>
          <c:spPr>
            <a:ln w="25400">
              <a:solidFill>
                <a:srgbClr val="3333CC"/>
              </a:solidFill>
              <a:prstDash val="solid"/>
            </a:ln>
          </c:spPr>
          <c:marker>
            <c:symbol val="none"/>
          </c:marker>
          <c:xVal>
            <c:numRef>
              <c:f>Performance!$A$54:$A$59</c:f>
              <c:numCache>
                <c:formatCode>0.0</c:formatCode>
                <c:ptCount val="6"/>
                <c:pt idx="0">
                  <c:v>0</c:v>
                </c:pt>
                <c:pt idx="1">
                  <c:v>25</c:v>
                </c:pt>
                <c:pt idx="2">
                  <c:v>50</c:v>
                </c:pt>
                <c:pt idx="3">
                  <c:v>75</c:v>
                </c:pt>
                <c:pt idx="4">
                  <c:v>100</c:v>
                </c:pt>
                <c:pt idx="5">
                  <c:v>125</c:v>
                </c:pt>
              </c:numCache>
            </c:numRef>
          </c:xVal>
          <c:yVal>
            <c:numRef>
              <c:f>Performance!$E$54:$E$59</c:f>
              <c:numCache>
                <c:formatCode>0.0</c:formatCode>
                <c:ptCount val="6"/>
                <c:pt idx="0">
                  <c:v>100</c:v>
                </c:pt>
                <c:pt idx="1">
                  <c:v>84.61527921524339</c:v>
                </c:pt>
                <c:pt idx="2">
                  <c:v>69.130834391721322</c:v>
                </c:pt>
                <c:pt idx="3">
                  <c:v>53.395528960281347</c:v>
                </c:pt>
                <c:pt idx="4">
                  <c:v>37.598990310165803</c:v>
                </c:pt>
                <c:pt idx="5">
                  <c:v>21.487240988581924</c:v>
                </c:pt>
              </c:numCache>
            </c:numRef>
          </c:yVal>
          <c:smooth val="1"/>
          <c:extLst>
            <c:ext xmlns:c16="http://schemas.microsoft.com/office/drawing/2014/chart" uri="{C3380CC4-5D6E-409C-BE32-E72D297353CC}">
              <c16:uniqueId val="{00000002-3A19-4815-A8EE-10DDE49ED4BE}"/>
            </c:ext>
          </c:extLst>
        </c:ser>
        <c:ser>
          <c:idx val="4"/>
          <c:order val="4"/>
          <c:spPr>
            <a:ln w="25400">
              <a:solidFill>
                <a:srgbClr val="339933"/>
              </a:solidFill>
              <a:prstDash val="solid"/>
            </a:ln>
          </c:spPr>
          <c:marker>
            <c:symbol val="none"/>
          </c:marker>
          <c:xVal>
            <c:numRef>
              <c:f>Performance!$A$54:$A$59</c:f>
              <c:numCache>
                <c:formatCode>0.0</c:formatCode>
                <c:ptCount val="6"/>
                <c:pt idx="0">
                  <c:v>0</c:v>
                </c:pt>
                <c:pt idx="1">
                  <c:v>25</c:v>
                </c:pt>
                <c:pt idx="2">
                  <c:v>50</c:v>
                </c:pt>
                <c:pt idx="3">
                  <c:v>75</c:v>
                </c:pt>
                <c:pt idx="4">
                  <c:v>100</c:v>
                </c:pt>
                <c:pt idx="5">
                  <c:v>125</c:v>
                </c:pt>
              </c:numCache>
            </c:numRef>
          </c:xVal>
          <c:yVal>
            <c:numRef>
              <c:f>Performance!$F$54:$F$59</c:f>
              <c:numCache>
                <c:formatCode>0.0</c:formatCode>
                <c:ptCount val="6"/>
                <c:pt idx="0">
                  <c:v>0.92900000000000005</c:v>
                </c:pt>
                <c:pt idx="1">
                  <c:v>7.882216389574773</c:v>
                </c:pt>
                <c:pt idx="2">
                  <c:v>15.073115410932536</c:v>
                </c:pt>
                <c:pt idx="3">
                  <c:v>22.307478052004345</c:v>
                </c:pt>
                <c:pt idx="4">
                  <c:v>29.587596562304046</c:v>
                </c:pt>
                <c:pt idx="5">
                  <c:v>36.913269138270039</c:v>
                </c:pt>
              </c:numCache>
            </c:numRef>
          </c:yVal>
          <c:smooth val="1"/>
          <c:extLst>
            <c:ext xmlns:c16="http://schemas.microsoft.com/office/drawing/2014/chart" uri="{C3380CC4-5D6E-409C-BE32-E72D297353CC}">
              <c16:uniqueId val="{00000003-3A19-4815-A8EE-10DDE49ED4BE}"/>
            </c:ext>
          </c:extLst>
        </c:ser>
        <c:dLbls>
          <c:showLegendKey val="0"/>
          <c:showVal val="0"/>
          <c:showCatName val="0"/>
          <c:showSerName val="0"/>
          <c:showPercent val="0"/>
          <c:showBubbleSize val="0"/>
        </c:dLbls>
        <c:axId val="284551424"/>
        <c:axId val="284557696"/>
      </c:scatterChart>
      <c:scatterChart>
        <c:scatterStyle val="lineMarker"/>
        <c:varyColors val="0"/>
        <c:ser>
          <c:idx val="2"/>
          <c:order val="2"/>
          <c:spPr>
            <a:ln w="25400">
              <a:solidFill>
                <a:srgbClr val="333300"/>
              </a:solidFill>
              <a:prstDash val="solid"/>
            </a:ln>
          </c:spPr>
          <c:marker>
            <c:symbol val="none"/>
          </c:marker>
          <c:xVal>
            <c:numRef>
              <c:f>Performance!$A$54:$A$59</c:f>
              <c:numCache>
                <c:formatCode>0.0</c:formatCode>
                <c:ptCount val="6"/>
                <c:pt idx="0">
                  <c:v>0</c:v>
                </c:pt>
                <c:pt idx="1">
                  <c:v>25</c:v>
                </c:pt>
                <c:pt idx="2">
                  <c:v>50</c:v>
                </c:pt>
                <c:pt idx="3">
                  <c:v>75</c:v>
                </c:pt>
                <c:pt idx="4">
                  <c:v>100</c:v>
                </c:pt>
                <c:pt idx="5">
                  <c:v>125</c:v>
                </c:pt>
              </c:numCache>
            </c:numRef>
          </c:xVal>
          <c:yVal>
            <c:numRef>
              <c:f>Performance!$D$54:$D$59</c:f>
              <c:numCache>
                <c:formatCode>0.0</c:formatCode>
                <c:ptCount val="6"/>
                <c:pt idx="0">
                  <c:v>44.032791603095397</c:v>
                </c:pt>
                <c:pt idx="1">
                  <c:v>66.806053161621094</c:v>
                </c:pt>
                <c:pt idx="2">
                  <c:v>102.39372253417969</c:v>
                </c:pt>
                <c:pt idx="3">
                  <c:v>143.46664428710938</c:v>
                </c:pt>
                <c:pt idx="4">
                  <c:v>186.94999694824219</c:v>
                </c:pt>
                <c:pt idx="5">
                  <c:v>232.08943176269531</c:v>
                </c:pt>
              </c:numCache>
            </c:numRef>
          </c:yVal>
          <c:smooth val="1"/>
          <c:extLst>
            <c:ext xmlns:c16="http://schemas.microsoft.com/office/drawing/2014/chart" uri="{C3380CC4-5D6E-409C-BE32-E72D297353CC}">
              <c16:uniqueId val="{00000004-3A19-4815-A8EE-10DDE49ED4BE}"/>
            </c:ext>
          </c:extLst>
        </c:ser>
        <c:dLbls>
          <c:showLegendKey val="0"/>
          <c:showVal val="0"/>
          <c:showCatName val="0"/>
          <c:showSerName val="0"/>
          <c:showPercent val="0"/>
          <c:showBubbleSize val="0"/>
        </c:dLbls>
        <c:axId val="284559616"/>
        <c:axId val="284565504"/>
      </c:scatterChart>
      <c:valAx>
        <c:axId val="284551424"/>
        <c:scaling>
          <c:orientation val="minMax"/>
          <c:max val="125"/>
          <c:min val="0"/>
        </c:scaling>
        <c:delete val="0"/>
        <c:axPos val="b"/>
        <c:majorGridlines>
          <c:spPr>
            <a:ln w="3175">
              <a:solidFill>
                <a:srgbClr val="000000"/>
              </a:solidFill>
              <a:prstDash val="solid"/>
            </a:ln>
          </c:spPr>
        </c:majorGridlines>
        <c:minorGridlines>
          <c:spPr>
            <a:ln w="3175">
              <a:solidFill>
                <a:srgbClr val="000000"/>
              </a:solidFill>
              <a:prstDash val="solid"/>
            </a:ln>
          </c:spPr>
        </c:minorGridlines>
        <c:title>
          <c:tx>
            <c:rich>
              <a:bodyPr/>
              <a:lstStyle/>
              <a:p>
                <a:pPr>
                  <a:defRPr sz="1125" b="1" i="0" u="none" strike="noStrike" baseline="0">
                    <a:solidFill>
                      <a:srgbClr val="000000"/>
                    </a:solidFill>
                    <a:latin typeface="Times New Roman"/>
                    <a:ea typeface="Times New Roman"/>
                    <a:cs typeface="Times New Roman"/>
                  </a:defRPr>
                </a:pPr>
                <a:r>
                  <a:rPr lang="en-US"/>
                  <a:t>Percent Load </a:t>
                </a:r>
              </a:p>
            </c:rich>
          </c:tx>
          <c:layout>
            <c:manualLayout>
              <c:xMode val="edge"/>
              <c:yMode val="edge"/>
              <c:x val="0.43565956581008769"/>
              <c:y val="0.92045633500357904"/>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50" b="1" i="0" u="none" strike="noStrike" baseline="0">
                <a:solidFill>
                  <a:srgbClr val="000000"/>
                </a:solidFill>
                <a:latin typeface="Arial"/>
                <a:ea typeface="Arial"/>
                <a:cs typeface="Arial"/>
              </a:defRPr>
            </a:pPr>
            <a:endParaRPr lang="en-US"/>
          </a:p>
        </c:txPr>
        <c:crossAx val="284557696"/>
        <c:crossesAt val="0"/>
        <c:crossBetween val="midCat"/>
        <c:majorUnit val="25"/>
        <c:minorUnit val="12.5"/>
      </c:valAx>
      <c:valAx>
        <c:axId val="284557696"/>
        <c:scaling>
          <c:orientation val="minMax"/>
          <c:max val="100"/>
          <c:min val="0"/>
        </c:scaling>
        <c:delete val="0"/>
        <c:axPos val="l"/>
        <c:majorGridlines>
          <c:spPr>
            <a:ln w="3175">
              <a:solidFill>
                <a:srgbClr val="000000"/>
              </a:solidFill>
              <a:prstDash val="solid"/>
            </a:ln>
          </c:spPr>
        </c:majorGridlines>
        <c:minorGridlines>
          <c:spPr>
            <a:ln w="3175">
              <a:solidFill>
                <a:srgbClr val="000000"/>
              </a:solidFill>
              <a:prstDash val="solid"/>
            </a:ln>
          </c:spPr>
        </c:minorGridlines>
        <c:title>
          <c:tx>
            <c:rich>
              <a:bodyPr/>
              <a:lstStyle/>
              <a:p>
                <a:pPr>
                  <a:defRPr sz="1125" b="1" i="0" u="none" strike="noStrike" baseline="0">
                    <a:solidFill>
                      <a:srgbClr val="000000"/>
                    </a:solidFill>
                    <a:latin typeface="Times New Roman"/>
                    <a:ea typeface="Times New Roman"/>
                    <a:cs typeface="Times New Roman"/>
                  </a:defRPr>
                </a:pPr>
                <a:r>
                  <a:rPr lang="en-US"/>
                  <a:t>Efficiency &amp; Power Factor (%)</a:t>
                </a:r>
              </a:p>
            </c:rich>
          </c:tx>
          <c:layout>
            <c:manualLayout>
              <c:xMode val="edge"/>
              <c:yMode val="edge"/>
              <c:x val="0.12144719119412399"/>
              <c:y val="0.25568221585938122"/>
            </c:manualLayout>
          </c:layout>
          <c:overlay val="0"/>
          <c:spPr>
            <a:noFill/>
            <a:ln w="25400">
              <a:noFill/>
            </a:ln>
          </c:spPr>
        </c:title>
        <c:numFmt formatCode="0" sourceLinked="0"/>
        <c:majorTickMark val="cross"/>
        <c:minorTickMark val="none"/>
        <c:tickLblPos val="nextTo"/>
        <c:spPr>
          <a:ln w="3175">
            <a:solidFill>
              <a:srgbClr val="000000"/>
            </a:solidFill>
            <a:prstDash val="solid"/>
          </a:ln>
        </c:spPr>
        <c:txPr>
          <a:bodyPr rot="0" vert="horz"/>
          <a:lstStyle/>
          <a:p>
            <a:pPr>
              <a:defRPr sz="1050" b="1" i="0" u="none" strike="noStrike" baseline="0">
                <a:solidFill>
                  <a:srgbClr val="000000"/>
                </a:solidFill>
                <a:latin typeface="Arial"/>
                <a:ea typeface="Arial"/>
                <a:cs typeface="Arial"/>
              </a:defRPr>
            </a:pPr>
            <a:endParaRPr lang="en-US"/>
          </a:p>
        </c:txPr>
        <c:crossAx val="284551424"/>
        <c:crosses val="autoZero"/>
        <c:crossBetween val="midCat"/>
        <c:majorUnit val="10"/>
        <c:minorUnit val="5"/>
      </c:valAx>
      <c:valAx>
        <c:axId val="284559616"/>
        <c:scaling>
          <c:orientation val="minMax"/>
        </c:scaling>
        <c:delete val="1"/>
        <c:axPos val="b"/>
        <c:numFmt formatCode="0.0" sourceLinked="1"/>
        <c:majorTickMark val="out"/>
        <c:minorTickMark val="none"/>
        <c:tickLblPos val="nextTo"/>
        <c:crossAx val="284565504"/>
        <c:crosses val="autoZero"/>
        <c:crossBetween val="midCat"/>
      </c:valAx>
      <c:valAx>
        <c:axId val="284565504"/>
        <c:scaling>
          <c:orientation val="minMax"/>
          <c:max val="300"/>
        </c:scaling>
        <c:delete val="0"/>
        <c:axPos val="r"/>
        <c:title>
          <c:tx>
            <c:rich>
              <a:bodyPr/>
              <a:lstStyle/>
              <a:p>
                <a:pPr>
                  <a:defRPr sz="1125" b="1" i="0" u="none" strike="noStrike" baseline="0">
                    <a:solidFill>
                      <a:srgbClr val="000000"/>
                    </a:solidFill>
                    <a:latin typeface="Times New Roman"/>
                    <a:ea typeface="Times New Roman"/>
                    <a:cs typeface="Times New Roman"/>
                  </a:defRPr>
                </a:pPr>
                <a:r>
                  <a:rPr lang="en-US"/>
                  <a:t>Load Current (Amps)</a:t>
                </a:r>
              </a:p>
            </c:rich>
          </c:tx>
          <c:layout>
            <c:manualLayout>
              <c:xMode val="edge"/>
              <c:yMode val="edge"/>
              <c:x val="0.87907106960467141"/>
              <c:y val="0.32007635409210211"/>
            </c:manualLayout>
          </c:layout>
          <c:overlay val="0"/>
          <c:spPr>
            <a:noFill/>
            <a:ln w="25400">
              <a:noFill/>
            </a:ln>
          </c:spPr>
        </c:title>
        <c:numFmt formatCode="0" sourceLinked="0"/>
        <c:majorTickMark val="cross"/>
        <c:minorTickMark val="none"/>
        <c:tickLblPos val="nextTo"/>
        <c:spPr>
          <a:ln w="3175">
            <a:solidFill>
              <a:srgbClr val="000000"/>
            </a:solidFill>
            <a:prstDash val="solid"/>
          </a:ln>
        </c:spPr>
        <c:txPr>
          <a:bodyPr rot="0" vert="horz"/>
          <a:lstStyle/>
          <a:p>
            <a:pPr>
              <a:defRPr sz="1100" b="1" i="0" u="none" strike="noStrike" baseline="0">
                <a:solidFill>
                  <a:srgbClr val="000000"/>
                </a:solidFill>
                <a:latin typeface="Arial"/>
                <a:ea typeface="Arial"/>
                <a:cs typeface="Arial"/>
              </a:defRPr>
            </a:pPr>
            <a:endParaRPr lang="en-US"/>
          </a:p>
        </c:txPr>
        <c:crossAx val="284559616"/>
        <c:crosses val="max"/>
        <c:crossBetween val="midCat"/>
        <c:majorUnit val="30"/>
      </c:valAx>
      <c:spPr>
        <a:solidFill>
          <a:srgbClr val="FFFFFF"/>
        </a:solidFill>
        <a:ln w="12700">
          <a:solidFill>
            <a:srgbClr val="808080"/>
          </a:solidFill>
          <a:prstDash val="solid"/>
        </a:ln>
      </c:spPr>
    </c:plotArea>
    <c:plotVisOnly val="1"/>
    <c:dispBlanksAs val="gap"/>
    <c:showDLblsOverMax val="0"/>
  </c:chart>
  <c:spPr>
    <a:solidFill>
      <a:srgbClr val="FFFFFF"/>
    </a:solidFill>
    <a:ln w="9525">
      <a:noFill/>
    </a:ln>
  </c:spPr>
  <c:txPr>
    <a:bodyPr/>
    <a:lstStyle/>
    <a:p>
      <a:pPr>
        <a:defRPr sz="12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9525</xdr:colOff>
      <xdr:row>56</xdr:row>
      <xdr:rowOff>9525</xdr:rowOff>
    </xdr:from>
    <xdr:to>
      <xdr:col>9</xdr:col>
      <xdr:colOff>809625</xdr:colOff>
      <xdr:row>67</xdr:row>
      <xdr:rowOff>180975</xdr:rowOff>
    </xdr:to>
    <xdr:graphicFrame macro="">
      <xdr:nvGraphicFramePr>
        <xdr:cNvPr id="2049"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152400</xdr:colOff>
      <xdr:row>43</xdr:row>
      <xdr:rowOff>0</xdr:rowOff>
    </xdr:from>
    <xdr:to>
      <xdr:col>9</xdr:col>
      <xdr:colOff>361950</xdr:colOff>
      <xdr:row>43</xdr:row>
      <xdr:rowOff>0</xdr:rowOff>
    </xdr:to>
    <xdr:sp macro="" textlink="">
      <xdr:nvSpPr>
        <xdr:cNvPr id="2" name="Rectangle 1"/>
        <xdr:cNvSpPr>
          <a:spLocks noChangeArrowheads="1"/>
        </xdr:cNvSpPr>
      </xdr:nvSpPr>
      <xdr:spPr bwMode="auto">
        <a:xfrm>
          <a:off x="5495925" y="9896475"/>
          <a:ext cx="20955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xdr:col>
      <xdr:colOff>19050</xdr:colOff>
      <xdr:row>43</xdr:row>
      <xdr:rowOff>0</xdr:rowOff>
    </xdr:from>
    <xdr:to>
      <xdr:col>9</xdr:col>
      <xdr:colOff>333375</xdr:colOff>
      <xdr:row>43</xdr:row>
      <xdr:rowOff>0</xdr:rowOff>
    </xdr:to>
    <xdr:sp macro="" textlink="">
      <xdr:nvSpPr>
        <xdr:cNvPr id="3" name="Rectangle 2"/>
        <xdr:cNvSpPr>
          <a:spLocks noChangeArrowheads="1"/>
        </xdr:cNvSpPr>
      </xdr:nvSpPr>
      <xdr:spPr bwMode="auto">
        <a:xfrm>
          <a:off x="5362575" y="9896475"/>
          <a:ext cx="314325"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xdr:col>
      <xdr:colOff>28575</xdr:colOff>
      <xdr:row>43</xdr:row>
      <xdr:rowOff>0</xdr:rowOff>
    </xdr:from>
    <xdr:to>
      <xdr:col>9</xdr:col>
      <xdr:colOff>342900</xdr:colOff>
      <xdr:row>43</xdr:row>
      <xdr:rowOff>0</xdr:rowOff>
    </xdr:to>
    <xdr:sp macro="" textlink="">
      <xdr:nvSpPr>
        <xdr:cNvPr id="4" name="Rectangle 3"/>
        <xdr:cNvSpPr>
          <a:spLocks noChangeArrowheads="1"/>
        </xdr:cNvSpPr>
      </xdr:nvSpPr>
      <xdr:spPr bwMode="auto">
        <a:xfrm>
          <a:off x="5372100" y="9896475"/>
          <a:ext cx="314325"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xdr:col>
      <xdr:colOff>0</xdr:colOff>
      <xdr:row>43</xdr:row>
      <xdr:rowOff>0</xdr:rowOff>
    </xdr:from>
    <xdr:to>
      <xdr:col>9</xdr:col>
      <xdr:colOff>409575</xdr:colOff>
      <xdr:row>43</xdr:row>
      <xdr:rowOff>0</xdr:rowOff>
    </xdr:to>
    <xdr:sp macro="" textlink="">
      <xdr:nvSpPr>
        <xdr:cNvPr id="5" name="Rectangle 4"/>
        <xdr:cNvSpPr>
          <a:spLocks noChangeArrowheads="1"/>
        </xdr:cNvSpPr>
      </xdr:nvSpPr>
      <xdr:spPr bwMode="auto">
        <a:xfrm>
          <a:off x="5343525" y="9896475"/>
          <a:ext cx="409575"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xdr:col>
      <xdr:colOff>142875</xdr:colOff>
      <xdr:row>43</xdr:row>
      <xdr:rowOff>0</xdr:rowOff>
    </xdr:from>
    <xdr:to>
      <xdr:col>9</xdr:col>
      <xdr:colOff>361950</xdr:colOff>
      <xdr:row>43</xdr:row>
      <xdr:rowOff>0</xdr:rowOff>
    </xdr:to>
    <xdr:sp macro="" textlink="">
      <xdr:nvSpPr>
        <xdr:cNvPr id="6" name="Rectangle 5"/>
        <xdr:cNvSpPr>
          <a:spLocks noChangeArrowheads="1"/>
        </xdr:cNvSpPr>
      </xdr:nvSpPr>
      <xdr:spPr bwMode="auto">
        <a:xfrm>
          <a:off x="5486400" y="9896475"/>
          <a:ext cx="219075"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3</xdr:col>
      <xdr:colOff>200025</xdr:colOff>
      <xdr:row>35</xdr:row>
      <xdr:rowOff>123825</xdr:rowOff>
    </xdr:from>
    <xdr:to>
      <xdr:col>3</xdr:col>
      <xdr:colOff>504825</xdr:colOff>
      <xdr:row>36</xdr:row>
      <xdr:rowOff>28575</xdr:rowOff>
    </xdr:to>
    <xdr:sp macro="" textlink="">
      <xdr:nvSpPr>
        <xdr:cNvPr id="29" name="Depth2"/>
        <xdr:cNvSpPr txBox="1">
          <a:spLocks noChangeArrowheads="1"/>
        </xdr:cNvSpPr>
      </xdr:nvSpPr>
      <xdr:spPr bwMode="auto">
        <a:xfrm>
          <a:off x="1895475" y="8191500"/>
          <a:ext cx="304800" cy="1333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38.41</a:t>
          </a:r>
        </a:p>
      </xdr:txBody>
    </xdr:sp>
    <xdr:clientData/>
  </xdr:twoCellAnchor>
  <xdr:twoCellAnchor>
    <xdr:from>
      <xdr:col>1</xdr:col>
      <xdr:colOff>190500</xdr:colOff>
      <xdr:row>33</xdr:row>
      <xdr:rowOff>180975</xdr:rowOff>
    </xdr:from>
    <xdr:to>
      <xdr:col>2</xdr:col>
      <xdr:colOff>9525</xdr:colOff>
      <xdr:row>34</xdr:row>
      <xdr:rowOff>66675</xdr:rowOff>
    </xdr:to>
    <xdr:sp macro="" textlink="">
      <xdr:nvSpPr>
        <xdr:cNvPr id="30" name="Tip2"/>
        <xdr:cNvSpPr txBox="1">
          <a:spLocks noChangeArrowheads="1"/>
        </xdr:cNvSpPr>
      </xdr:nvSpPr>
      <xdr:spPr bwMode="auto">
        <a:xfrm>
          <a:off x="981075" y="7791450"/>
          <a:ext cx="228600" cy="1143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3.00</a:t>
          </a:r>
        </a:p>
      </xdr:txBody>
    </xdr:sp>
    <xdr:clientData/>
  </xdr:twoCellAnchor>
  <xdr:twoCellAnchor>
    <xdr:from>
      <xdr:col>2</xdr:col>
      <xdr:colOff>161925</xdr:colOff>
      <xdr:row>33</xdr:row>
      <xdr:rowOff>38100</xdr:rowOff>
    </xdr:from>
    <xdr:to>
      <xdr:col>2</xdr:col>
      <xdr:colOff>485775</xdr:colOff>
      <xdr:row>33</xdr:row>
      <xdr:rowOff>180975</xdr:rowOff>
    </xdr:to>
    <xdr:sp macro="" textlink="">
      <xdr:nvSpPr>
        <xdr:cNvPr id="31" name="Opening"/>
        <xdr:cNvSpPr txBox="1">
          <a:spLocks noChangeArrowheads="1"/>
        </xdr:cNvSpPr>
      </xdr:nvSpPr>
      <xdr:spPr bwMode="auto">
        <a:xfrm>
          <a:off x="1362075" y="7648575"/>
          <a:ext cx="323850" cy="14287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3.00</a:t>
          </a:r>
        </a:p>
      </xdr:txBody>
    </xdr:sp>
    <xdr:clientData/>
  </xdr:twoCellAnchor>
  <xdr:twoCellAnchor>
    <xdr:from>
      <xdr:col>2</xdr:col>
      <xdr:colOff>142875</xdr:colOff>
      <xdr:row>36</xdr:row>
      <xdr:rowOff>190500</xdr:rowOff>
    </xdr:from>
    <xdr:to>
      <xdr:col>3</xdr:col>
      <xdr:colOff>0</xdr:colOff>
      <xdr:row>37</xdr:row>
      <xdr:rowOff>66675</xdr:rowOff>
    </xdr:to>
    <xdr:sp macro="" textlink="">
      <xdr:nvSpPr>
        <xdr:cNvPr id="32" name="Width3"/>
        <xdr:cNvSpPr txBox="1">
          <a:spLocks noChangeArrowheads="1"/>
        </xdr:cNvSpPr>
      </xdr:nvSpPr>
      <xdr:spPr bwMode="auto">
        <a:xfrm>
          <a:off x="1343025" y="8486775"/>
          <a:ext cx="352425" cy="10477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14.12</a:t>
          </a:r>
        </a:p>
      </xdr:txBody>
    </xdr:sp>
    <xdr:clientData/>
  </xdr:twoCellAnchor>
  <xdr:twoCellAnchor>
    <xdr:from>
      <xdr:col>2</xdr:col>
      <xdr:colOff>161925</xdr:colOff>
      <xdr:row>34</xdr:row>
      <xdr:rowOff>161925</xdr:rowOff>
    </xdr:from>
    <xdr:to>
      <xdr:col>2</xdr:col>
      <xdr:colOff>485775</xdr:colOff>
      <xdr:row>35</xdr:row>
      <xdr:rowOff>66675</xdr:rowOff>
    </xdr:to>
    <xdr:sp macro="" textlink="">
      <xdr:nvSpPr>
        <xdr:cNvPr id="33" name="Width2"/>
        <xdr:cNvSpPr txBox="1">
          <a:spLocks noChangeArrowheads="1"/>
        </xdr:cNvSpPr>
      </xdr:nvSpPr>
      <xdr:spPr bwMode="auto">
        <a:xfrm>
          <a:off x="1362075" y="8001000"/>
          <a:ext cx="323850" cy="1333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5.72</a:t>
          </a:r>
        </a:p>
      </xdr:txBody>
    </xdr:sp>
    <xdr:clientData/>
  </xdr:twoCellAnchor>
  <xdr:twoCellAnchor>
    <xdr:from>
      <xdr:col>1</xdr:col>
      <xdr:colOff>390525</xdr:colOff>
      <xdr:row>33</xdr:row>
      <xdr:rowOff>171450</xdr:rowOff>
    </xdr:from>
    <xdr:to>
      <xdr:col>3</xdr:col>
      <xdr:colOff>352425</xdr:colOff>
      <xdr:row>37</xdr:row>
      <xdr:rowOff>209550</xdr:rowOff>
    </xdr:to>
    <xdr:grpSp>
      <xdr:nvGrpSpPr>
        <xdr:cNvPr id="34" name="Group 190"/>
        <xdr:cNvGrpSpPr>
          <a:grpSpLocks/>
        </xdr:cNvGrpSpPr>
      </xdr:nvGrpSpPr>
      <xdr:grpSpPr bwMode="auto">
        <a:xfrm>
          <a:off x="1181100" y="7781925"/>
          <a:ext cx="866775" cy="952500"/>
          <a:chOff x="120" y="793"/>
          <a:chExt cx="91" cy="100"/>
        </a:xfrm>
      </xdr:grpSpPr>
      <xdr:sp macro="" textlink="">
        <xdr:nvSpPr>
          <xdr:cNvPr id="35" name="Line 100"/>
          <xdr:cNvSpPr>
            <a:spLocks noChangeShapeType="1"/>
          </xdr:cNvSpPr>
        </xdr:nvSpPr>
        <xdr:spPr bwMode="auto">
          <a:xfrm>
            <a:off x="139" y="813"/>
            <a:ext cx="32"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36" name="Line 149"/>
          <xdr:cNvSpPr>
            <a:spLocks noChangeShapeType="1"/>
          </xdr:cNvSpPr>
        </xdr:nvSpPr>
        <xdr:spPr bwMode="auto">
          <a:xfrm>
            <a:off x="128" y="793"/>
            <a:ext cx="19" cy="0"/>
          </a:xfrm>
          <a:prstGeom prst="line">
            <a:avLst/>
          </a:prstGeom>
          <a:noFill/>
          <a:ln w="9525">
            <a:solidFill>
              <a:srgbClr xmlns:mc="http://schemas.openxmlformats.org/markup-compatibility/2006" xmlns:a14="http://schemas.microsoft.com/office/drawing/2010/main" val="000000" mc:Ignorable="a14" a14:legacySpreadsheetColorIndex="8"/>
            </a:solidFill>
            <a:round/>
            <a:headEnd/>
            <a:tailEnd/>
          </a:ln>
          <a:extLst>
            <a:ext uri="{909E8E84-426E-40DD-AFC4-6F175D3DCCD1}">
              <a14:hiddenFill xmlns:a14="http://schemas.microsoft.com/office/drawing/2010/main">
                <a:noFill/>
              </a14:hiddenFill>
            </a:ext>
          </a:extLst>
        </xdr:spPr>
      </xdr:sp>
      <xdr:sp macro="" textlink="">
        <xdr:nvSpPr>
          <xdr:cNvPr id="37" name="Line 150"/>
          <xdr:cNvSpPr>
            <a:spLocks noChangeShapeType="1"/>
          </xdr:cNvSpPr>
        </xdr:nvSpPr>
        <xdr:spPr bwMode="auto">
          <a:xfrm flipH="1">
            <a:off x="164" y="793"/>
            <a:ext cx="19" cy="0"/>
          </a:xfrm>
          <a:prstGeom prst="line">
            <a:avLst/>
          </a:prstGeom>
          <a:noFill/>
          <a:ln w="9525">
            <a:solidFill>
              <a:srgbClr xmlns:mc="http://schemas.openxmlformats.org/markup-compatibility/2006" xmlns:a14="http://schemas.microsoft.com/office/drawing/2010/main" val="000000" mc:Ignorable="a14" a14:legacySpreadsheetColorIndex="8"/>
            </a:solidFill>
            <a:round/>
            <a:headEnd/>
            <a:tailEnd/>
          </a:ln>
          <a:extLst>
            <a:ext uri="{909E8E84-426E-40DD-AFC4-6F175D3DCCD1}">
              <a14:hiddenFill xmlns:a14="http://schemas.microsoft.com/office/drawing/2010/main">
                <a:noFill/>
              </a14:hiddenFill>
            </a:ext>
          </a:extLst>
        </xdr:spPr>
      </xdr:sp>
      <xdr:sp macro="" textlink="">
        <xdr:nvSpPr>
          <xdr:cNvPr id="38" name="Line 151"/>
          <xdr:cNvSpPr>
            <a:spLocks noChangeShapeType="1"/>
          </xdr:cNvSpPr>
        </xdr:nvSpPr>
        <xdr:spPr bwMode="auto">
          <a:xfrm flipH="1">
            <a:off x="127" y="879"/>
            <a:ext cx="1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arrow" w="sm" len="sm"/>
          </a:ln>
          <a:extLst>
            <a:ext uri="{909E8E84-426E-40DD-AFC4-6F175D3DCCD1}">
              <a14:hiddenFill xmlns:a14="http://schemas.microsoft.com/office/drawing/2010/main">
                <a:noFill/>
              </a14:hiddenFill>
            </a:ext>
          </a:extLst>
        </xdr:spPr>
      </xdr:sp>
      <xdr:sp macro="" textlink="">
        <xdr:nvSpPr>
          <xdr:cNvPr id="39" name="Line 152"/>
          <xdr:cNvSpPr>
            <a:spLocks noChangeShapeType="1"/>
          </xdr:cNvSpPr>
        </xdr:nvSpPr>
        <xdr:spPr bwMode="auto">
          <a:xfrm>
            <a:off x="147" y="880"/>
            <a:ext cx="37"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arrow" w="sm" len="sm"/>
          </a:ln>
          <a:extLst>
            <a:ext uri="{909E8E84-426E-40DD-AFC4-6F175D3DCCD1}">
              <a14:hiddenFill xmlns:a14="http://schemas.microsoft.com/office/drawing/2010/main">
                <a:noFill/>
              </a14:hiddenFill>
            </a:ext>
          </a:extLst>
        </xdr:spPr>
      </xdr:sp>
      <xdr:sp macro="" textlink="">
        <xdr:nvSpPr>
          <xdr:cNvPr id="40" name="Line 156"/>
          <xdr:cNvSpPr>
            <a:spLocks noChangeShapeType="1"/>
          </xdr:cNvSpPr>
        </xdr:nvSpPr>
        <xdr:spPr bwMode="auto">
          <a:xfrm flipV="1">
            <a:off x="194" y="893"/>
            <a:ext cx="17"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41" name="Line 157"/>
          <xdr:cNvSpPr>
            <a:spLocks noChangeShapeType="1"/>
          </xdr:cNvSpPr>
        </xdr:nvSpPr>
        <xdr:spPr bwMode="auto">
          <a:xfrm flipV="1">
            <a:off x="204" y="794"/>
            <a:ext cx="0" cy="38"/>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arrow" w="sm" len="sm"/>
          </a:ln>
          <a:extLst>
            <a:ext uri="{909E8E84-426E-40DD-AFC4-6F175D3DCCD1}">
              <a14:hiddenFill xmlns:a14="http://schemas.microsoft.com/office/drawing/2010/main">
                <a:noFill/>
              </a14:hiddenFill>
            </a:ext>
          </a:extLst>
        </xdr:spPr>
      </xdr:sp>
      <xdr:sp macro="" textlink="">
        <xdr:nvSpPr>
          <xdr:cNvPr id="42" name="Line 158"/>
          <xdr:cNvSpPr>
            <a:spLocks noChangeShapeType="1"/>
          </xdr:cNvSpPr>
        </xdr:nvSpPr>
        <xdr:spPr bwMode="auto">
          <a:xfrm>
            <a:off x="204" y="849"/>
            <a:ext cx="0" cy="43"/>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arrow" w="sm" len="sm"/>
          </a:ln>
          <a:extLst>
            <a:ext uri="{909E8E84-426E-40DD-AFC4-6F175D3DCCD1}">
              <a14:hiddenFill xmlns:a14="http://schemas.microsoft.com/office/drawing/2010/main">
                <a:noFill/>
              </a14:hiddenFill>
            </a:ext>
          </a:extLst>
        </xdr:spPr>
      </xdr:sp>
      <xdr:sp macro="" textlink="">
        <xdr:nvSpPr>
          <xdr:cNvPr id="43" name="Line 159"/>
          <xdr:cNvSpPr>
            <a:spLocks noChangeShapeType="1"/>
          </xdr:cNvSpPr>
        </xdr:nvSpPr>
        <xdr:spPr bwMode="auto">
          <a:xfrm>
            <a:off x="194" y="793"/>
            <a:ext cx="17"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44" name="Line 160"/>
          <xdr:cNvSpPr>
            <a:spLocks noChangeShapeType="1"/>
          </xdr:cNvSpPr>
        </xdr:nvSpPr>
        <xdr:spPr bwMode="auto">
          <a:xfrm flipH="1">
            <a:off x="120" y="804"/>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45" name="Line 161"/>
          <xdr:cNvSpPr>
            <a:spLocks noChangeShapeType="1"/>
          </xdr:cNvSpPr>
        </xdr:nvSpPr>
        <xdr:spPr bwMode="auto">
          <a:xfrm flipV="1">
            <a:off x="127" y="874"/>
            <a:ext cx="0" cy="19"/>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46" name="Line 162"/>
          <xdr:cNvSpPr>
            <a:spLocks noChangeShapeType="1"/>
          </xdr:cNvSpPr>
        </xdr:nvSpPr>
        <xdr:spPr bwMode="auto">
          <a:xfrm flipV="1">
            <a:off x="184" y="871"/>
            <a:ext cx="0" cy="2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47" name="Line 163"/>
          <xdr:cNvSpPr>
            <a:spLocks noChangeShapeType="1"/>
          </xdr:cNvSpPr>
        </xdr:nvSpPr>
        <xdr:spPr bwMode="auto">
          <a:xfrm flipV="1">
            <a:off x="137" y="804"/>
            <a:ext cx="10" cy="9"/>
          </a:xfrm>
          <a:prstGeom prst="line">
            <a:avLst/>
          </a:prstGeom>
          <a:noFill/>
          <a:ln w="9525">
            <a:solidFill>
              <a:srgbClr xmlns:mc="http://schemas.openxmlformats.org/markup-compatibility/2006" xmlns:a14="http://schemas.microsoft.com/office/drawing/2010/main" val="000000" mc:Ignorable="a14" a14:legacySpreadsheetColorIndex="8"/>
            </a:solidFill>
            <a:round/>
            <a:headEnd/>
            <a:tailEnd/>
          </a:ln>
          <a:extLst>
            <a:ext uri="{909E8E84-426E-40DD-AFC4-6F175D3DCCD1}">
              <a14:hiddenFill xmlns:a14="http://schemas.microsoft.com/office/drawing/2010/main">
                <a:noFill/>
              </a14:hiddenFill>
            </a:ext>
          </a:extLst>
        </xdr:spPr>
      </xdr:sp>
      <xdr:sp macro="" textlink="">
        <xdr:nvSpPr>
          <xdr:cNvPr id="48" name="Line 164"/>
          <xdr:cNvSpPr>
            <a:spLocks noChangeShapeType="1"/>
          </xdr:cNvSpPr>
        </xdr:nvSpPr>
        <xdr:spPr bwMode="auto">
          <a:xfrm flipH="1">
            <a:off x="127" y="813"/>
            <a:ext cx="10" cy="79"/>
          </a:xfrm>
          <a:prstGeom prst="line">
            <a:avLst/>
          </a:prstGeom>
          <a:noFill/>
          <a:ln w="9525">
            <a:solidFill>
              <a:srgbClr xmlns:mc="http://schemas.openxmlformats.org/markup-compatibility/2006" xmlns:a14="http://schemas.microsoft.com/office/drawing/2010/main" val="000000" mc:Ignorable="a14" a14:legacySpreadsheetColorIndex="8"/>
            </a:solidFill>
            <a:round/>
            <a:headEnd/>
            <a:tailEnd/>
          </a:ln>
          <a:extLst>
            <a:ext uri="{909E8E84-426E-40DD-AFC4-6F175D3DCCD1}">
              <a14:hiddenFill xmlns:a14="http://schemas.microsoft.com/office/drawing/2010/main">
                <a:noFill/>
              </a14:hiddenFill>
            </a:ext>
          </a:extLst>
        </xdr:spPr>
      </xdr:sp>
      <xdr:sp macro="" textlink="">
        <xdr:nvSpPr>
          <xdr:cNvPr id="49" name="Line 165"/>
          <xdr:cNvSpPr>
            <a:spLocks noChangeShapeType="1"/>
          </xdr:cNvSpPr>
        </xdr:nvSpPr>
        <xdr:spPr bwMode="auto">
          <a:xfrm flipV="1">
            <a:off x="147" y="793"/>
            <a:ext cx="0" cy="11"/>
          </a:xfrm>
          <a:prstGeom prst="line">
            <a:avLst/>
          </a:prstGeom>
          <a:noFill/>
          <a:ln w="9525">
            <a:solidFill>
              <a:srgbClr xmlns:mc="http://schemas.openxmlformats.org/markup-compatibility/2006" xmlns:a14="http://schemas.microsoft.com/office/drawing/2010/main" val="000000" mc:Ignorable="a14" a14:legacySpreadsheetColorIndex="8"/>
            </a:solidFill>
            <a:round/>
            <a:headEnd/>
            <a:tailEnd/>
          </a:ln>
          <a:extLst>
            <a:ext uri="{909E8E84-426E-40DD-AFC4-6F175D3DCCD1}">
              <a14:hiddenFill xmlns:a14="http://schemas.microsoft.com/office/drawing/2010/main">
                <a:noFill/>
              </a14:hiddenFill>
            </a:ext>
          </a:extLst>
        </xdr:spPr>
      </xdr:sp>
      <xdr:sp macro="" textlink="">
        <xdr:nvSpPr>
          <xdr:cNvPr id="50" name="Line 166"/>
          <xdr:cNvSpPr>
            <a:spLocks noChangeShapeType="1"/>
          </xdr:cNvSpPr>
        </xdr:nvSpPr>
        <xdr:spPr bwMode="auto">
          <a:xfrm>
            <a:off x="164" y="793"/>
            <a:ext cx="0" cy="11"/>
          </a:xfrm>
          <a:prstGeom prst="line">
            <a:avLst/>
          </a:prstGeom>
          <a:noFill/>
          <a:ln w="9525">
            <a:solidFill>
              <a:srgbClr xmlns:mc="http://schemas.openxmlformats.org/markup-compatibility/2006" xmlns:a14="http://schemas.microsoft.com/office/drawing/2010/main" val="000000" mc:Ignorable="a14" a14:legacySpreadsheetColorIndex="8"/>
            </a:solidFill>
            <a:round/>
            <a:headEnd/>
            <a:tailEnd/>
          </a:ln>
          <a:extLst>
            <a:ext uri="{909E8E84-426E-40DD-AFC4-6F175D3DCCD1}">
              <a14:hiddenFill xmlns:a14="http://schemas.microsoft.com/office/drawing/2010/main">
                <a:noFill/>
              </a14:hiddenFill>
            </a:ext>
          </a:extLst>
        </xdr:spPr>
      </xdr:sp>
      <xdr:sp macro="" textlink="">
        <xdr:nvSpPr>
          <xdr:cNvPr id="51" name="Line 168"/>
          <xdr:cNvSpPr>
            <a:spLocks noChangeShapeType="1"/>
          </xdr:cNvSpPr>
        </xdr:nvSpPr>
        <xdr:spPr bwMode="auto">
          <a:xfrm>
            <a:off x="132" y="793"/>
            <a:ext cx="0" cy="11"/>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52" name="Line 169"/>
          <xdr:cNvSpPr>
            <a:spLocks noChangeShapeType="1"/>
          </xdr:cNvSpPr>
        </xdr:nvSpPr>
        <xdr:spPr bwMode="auto">
          <a:xfrm flipH="1" flipV="1">
            <a:off x="132" y="793"/>
            <a:ext cx="2" cy="4"/>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53" name="Line 170"/>
          <xdr:cNvSpPr>
            <a:spLocks noChangeShapeType="1"/>
          </xdr:cNvSpPr>
        </xdr:nvSpPr>
        <xdr:spPr bwMode="auto">
          <a:xfrm flipV="1">
            <a:off x="130" y="793"/>
            <a:ext cx="2" cy="4"/>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54" name="Line 171"/>
          <xdr:cNvSpPr>
            <a:spLocks noChangeShapeType="1"/>
          </xdr:cNvSpPr>
        </xdr:nvSpPr>
        <xdr:spPr bwMode="auto">
          <a:xfrm flipV="1">
            <a:off x="132" y="800"/>
            <a:ext cx="2" cy="4"/>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55" name="Line 172"/>
          <xdr:cNvSpPr>
            <a:spLocks noChangeShapeType="1"/>
          </xdr:cNvSpPr>
        </xdr:nvSpPr>
        <xdr:spPr bwMode="auto">
          <a:xfrm flipH="1" flipV="1">
            <a:off x="130" y="800"/>
            <a:ext cx="2" cy="4"/>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56" name="Line 173"/>
          <xdr:cNvSpPr>
            <a:spLocks noChangeShapeType="1"/>
          </xdr:cNvSpPr>
        </xdr:nvSpPr>
        <xdr:spPr bwMode="auto">
          <a:xfrm>
            <a:off x="173" y="813"/>
            <a:ext cx="11" cy="79"/>
          </a:xfrm>
          <a:prstGeom prst="line">
            <a:avLst/>
          </a:prstGeom>
          <a:noFill/>
          <a:ln w="9525">
            <a:solidFill>
              <a:srgbClr xmlns:mc="http://schemas.openxmlformats.org/markup-compatibility/2006" xmlns:a14="http://schemas.microsoft.com/office/drawing/2010/main" val="000000" mc:Ignorable="a14" a14:legacySpreadsheetColorIndex="8"/>
            </a:solidFill>
            <a:round/>
            <a:headEnd/>
            <a:tailEnd/>
          </a:ln>
          <a:extLst>
            <a:ext uri="{909E8E84-426E-40DD-AFC4-6F175D3DCCD1}">
              <a14:hiddenFill xmlns:a14="http://schemas.microsoft.com/office/drawing/2010/main">
                <a:noFill/>
              </a14:hiddenFill>
            </a:ext>
          </a:extLst>
        </xdr:spPr>
      </xdr:sp>
      <xdr:sp macro="" textlink="">
        <xdr:nvSpPr>
          <xdr:cNvPr id="57" name="Line 174"/>
          <xdr:cNvSpPr>
            <a:spLocks noChangeShapeType="1"/>
          </xdr:cNvSpPr>
        </xdr:nvSpPr>
        <xdr:spPr bwMode="auto">
          <a:xfrm>
            <a:off x="164" y="805"/>
            <a:ext cx="9" cy="8"/>
          </a:xfrm>
          <a:prstGeom prst="line">
            <a:avLst/>
          </a:prstGeom>
          <a:noFill/>
          <a:ln w="9525">
            <a:solidFill>
              <a:srgbClr xmlns:mc="http://schemas.openxmlformats.org/markup-compatibility/2006" xmlns:a14="http://schemas.microsoft.com/office/drawing/2010/main" val="000000" mc:Ignorable="a14" a14:legacySpreadsheetColorIndex="8"/>
            </a:solidFill>
            <a:round/>
            <a:headEnd/>
            <a:tailEnd/>
          </a:ln>
          <a:extLst>
            <a:ext uri="{909E8E84-426E-40DD-AFC4-6F175D3DCCD1}">
              <a14:hiddenFill xmlns:a14="http://schemas.microsoft.com/office/drawing/2010/main">
                <a:noFill/>
              </a14:hiddenFill>
            </a:ext>
          </a:extLst>
        </xdr:spPr>
      </xdr:sp>
      <xdr:sp macro="" textlink="">
        <xdr:nvSpPr>
          <xdr:cNvPr id="58" name="Line 175"/>
          <xdr:cNvSpPr>
            <a:spLocks noChangeShapeType="1"/>
          </xdr:cNvSpPr>
        </xdr:nvSpPr>
        <xdr:spPr bwMode="auto">
          <a:xfrm>
            <a:off x="127" y="893"/>
            <a:ext cx="57" cy="0"/>
          </a:xfrm>
          <a:prstGeom prst="line">
            <a:avLst/>
          </a:prstGeom>
          <a:noFill/>
          <a:ln w="9525">
            <a:solidFill>
              <a:srgbClr xmlns:mc="http://schemas.openxmlformats.org/markup-compatibility/2006" xmlns:a14="http://schemas.microsoft.com/office/drawing/2010/main" val="000000" mc:Ignorable="a14" a14:legacySpreadsheetColorIndex="8"/>
            </a:solidFill>
            <a:round/>
            <a:headEnd/>
            <a:tailEnd/>
          </a:ln>
          <a:extLst>
            <a:ext uri="{909E8E84-426E-40DD-AFC4-6F175D3DCCD1}">
              <a14:hiddenFill xmlns:a14="http://schemas.microsoft.com/office/drawing/2010/main">
                <a:noFill/>
              </a14:hiddenFill>
            </a:ext>
          </a:extLst>
        </xdr:spPr>
      </xdr:sp>
      <xdr:sp macro="" textlink="">
        <xdr:nvSpPr>
          <xdr:cNvPr id="59" name="Line 176"/>
          <xdr:cNvSpPr>
            <a:spLocks noChangeShapeType="1"/>
          </xdr:cNvSpPr>
        </xdr:nvSpPr>
        <xdr:spPr bwMode="auto">
          <a:xfrm>
            <a:off x="147" y="796"/>
            <a:ext cx="17"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60" name="Line 177"/>
          <xdr:cNvSpPr>
            <a:spLocks noChangeShapeType="1"/>
          </xdr:cNvSpPr>
        </xdr:nvSpPr>
        <xdr:spPr bwMode="auto">
          <a:xfrm flipH="1">
            <a:off x="147" y="794"/>
            <a:ext cx="3"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61" name="Line 178"/>
          <xdr:cNvSpPr>
            <a:spLocks noChangeShapeType="1"/>
          </xdr:cNvSpPr>
        </xdr:nvSpPr>
        <xdr:spPr bwMode="auto">
          <a:xfrm flipH="1" flipV="1">
            <a:off x="147" y="796"/>
            <a:ext cx="3"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62" name="Line 179"/>
          <xdr:cNvSpPr>
            <a:spLocks noChangeShapeType="1"/>
          </xdr:cNvSpPr>
        </xdr:nvSpPr>
        <xdr:spPr bwMode="auto">
          <a:xfrm flipH="1">
            <a:off x="147" y="794"/>
            <a:ext cx="3"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63" name="Line 180"/>
          <xdr:cNvSpPr>
            <a:spLocks noChangeShapeType="1"/>
          </xdr:cNvSpPr>
        </xdr:nvSpPr>
        <xdr:spPr bwMode="auto">
          <a:xfrm flipV="1">
            <a:off x="161" y="796"/>
            <a:ext cx="3"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64" name="Line 181"/>
          <xdr:cNvSpPr>
            <a:spLocks noChangeShapeType="1"/>
          </xdr:cNvSpPr>
        </xdr:nvSpPr>
        <xdr:spPr bwMode="auto">
          <a:xfrm>
            <a:off x="161" y="794"/>
            <a:ext cx="3"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65" name="Line 182"/>
          <xdr:cNvSpPr>
            <a:spLocks noChangeShapeType="1"/>
          </xdr:cNvSpPr>
        </xdr:nvSpPr>
        <xdr:spPr bwMode="auto">
          <a:xfrm flipH="1" flipV="1">
            <a:off x="139" y="813"/>
            <a:ext cx="4"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66" name="Line 183"/>
          <xdr:cNvSpPr>
            <a:spLocks noChangeShapeType="1"/>
          </xdr:cNvSpPr>
        </xdr:nvSpPr>
        <xdr:spPr bwMode="auto">
          <a:xfrm flipV="1">
            <a:off x="168" y="813"/>
            <a:ext cx="3"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67" name="Line 184"/>
          <xdr:cNvSpPr>
            <a:spLocks noChangeShapeType="1"/>
          </xdr:cNvSpPr>
        </xdr:nvSpPr>
        <xdr:spPr bwMode="auto">
          <a:xfrm flipH="1" flipV="1">
            <a:off x="168" y="811"/>
            <a:ext cx="3"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68" name="Line 185"/>
          <xdr:cNvSpPr>
            <a:spLocks noChangeShapeType="1"/>
          </xdr:cNvSpPr>
        </xdr:nvSpPr>
        <xdr:spPr bwMode="auto">
          <a:xfrm flipV="1">
            <a:off x="139" y="811"/>
            <a:ext cx="4"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clientData/>
  </xdr:twoCellAnchor>
  <xdr:twoCellAnchor>
    <xdr:from>
      <xdr:col>3</xdr:col>
      <xdr:colOff>123825</xdr:colOff>
      <xdr:row>29</xdr:row>
      <xdr:rowOff>85725</xdr:rowOff>
    </xdr:from>
    <xdr:to>
      <xdr:col>3</xdr:col>
      <xdr:colOff>409575</xdr:colOff>
      <xdr:row>29</xdr:row>
      <xdr:rowOff>209550</xdr:rowOff>
    </xdr:to>
    <xdr:sp macro="" textlink="">
      <xdr:nvSpPr>
        <xdr:cNvPr id="69" name="Depth"/>
        <xdr:cNvSpPr txBox="1">
          <a:spLocks noChangeArrowheads="1"/>
        </xdr:cNvSpPr>
      </xdr:nvSpPr>
      <xdr:spPr bwMode="auto">
        <a:xfrm>
          <a:off x="1819275" y="6781800"/>
          <a:ext cx="285750" cy="12382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73.0</a:t>
          </a:r>
        </a:p>
      </xdr:txBody>
    </xdr:sp>
    <xdr:clientData/>
  </xdr:twoCellAnchor>
  <xdr:twoCellAnchor>
    <xdr:from>
      <xdr:col>1</xdr:col>
      <xdr:colOff>38100</xdr:colOff>
      <xdr:row>31</xdr:row>
      <xdr:rowOff>0</xdr:rowOff>
    </xdr:from>
    <xdr:to>
      <xdr:col>2</xdr:col>
      <xdr:colOff>19050</xdr:colOff>
      <xdr:row>31</xdr:row>
      <xdr:rowOff>104775</xdr:rowOff>
    </xdr:to>
    <xdr:sp macro="" textlink="">
      <xdr:nvSpPr>
        <xdr:cNvPr id="70" name="Tip"/>
        <xdr:cNvSpPr txBox="1">
          <a:spLocks noChangeArrowheads="1"/>
        </xdr:cNvSpPr>
      </xdr:nvSpPr>
      <xdr:spPr bwMode="auto">
        <a:xfrm>
          <a:off x="828675" y="7153275"/>
          <a:ext cx="390525" cy="10477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13.15</a:t>
          </a:r>
        </a:p>
      </xdr:txBody>
    </xdr:sp>
    <xdr:clientData/>
  </xdr:twoCellAnchor>
  <xdr:twoCellAnchor>
    <xdr:from>
      <xdr:col>2</xdr:col>
      <xdr:colOff>142875</xdr:colOff>
      <xdr:row>26</xdr:row>
      <xdr:rowOff>200025</xdr:rowOff>
    </xdr:from>
    <xdr:to>
      <xdr:col>3</xdr:col>
      <xdr:colOff>47625</xdr:colOff>
      <xdr:row>27</xdr:row>
      <xdr:rowOff>66675</xdr:rowOff>
    </xdr:to>
    <xdr:sp macro="" textlink="">
      <xdr:nvSpPr>
        <xdr:cNvPr id="71" name="Width"/>
        <xdr:cNvSpPr txBox="1">
          <a:spLocks noChangeArrowheads="1"/>
        </xdr:cNvSpPr>
      </xdr:nvSpPr>
      <xdr:spPr bwMode="auto">
        <a:xfrm>
          <a:off x="1343025" y="6210300"/>
          <a:ext cx="400050" cy="952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17.3</a:t>
          </a:r>
        </a:p>
      </xdr:txBody>
    </xdr:sp>
    <xdr:clientData/>
  </xdr:twoCellAnchor>
  <xdr:twoCellAnchor>
    <xdr:from>
      <xdr:col>1</xdr:col>
      <xdr:colOff>333375</xdr:colOff>
      <xdr:row>27</xdr:row>
      <xdr:rowOff>57150</xdr:rowOff>
    </xdr:from>
    <xdr:to>
      <xdr:col>3</xdr:col>
      <xdr:colOff>371475</xdr:colOff>
      <xdr:row>31</xdr:row>
      <xdr:rowOff>219075</xdr:rowOff>
    </xdr:to>
    <xdr:grpSp>
      <xdr:nvGrpSpPr>
        <xdr:cNvPr id="72" name="Group 254"/>
        <xdr:cNvGrpSpPr>
          <a:grpSpLocks/>
        </xdr:cNvGrpSpPr>
      </xdr:nvGrpSpPr>
      <xdr:grpSpPr bwMode="auto">
        <a:xfrm>
          <a:off x="1123950" y="6296025"/>
          <a:ext cx="942975" cy="1076325"/>
          <a:chOff x="118" y="637"/>
          <a:chExt cx="99" cy="113"/>
        </a:xfrm>
      </xdr:grpSpPr>
      <xdr:sp macro="" textlink="">
        <xdr:nvSpPr>
          <xdr:cNvPr id="73" name="Line 229"/>
          <xdr:cNvSpPr>
            <a:spLocks noChangeShapeType="1"/>
          </xdr:cNvSpPr>
        </xdr:nvSpPr>
        <xdr:spPr bwMode="auto">
          <a:xfrm flipH="1">
            <a:off x="182" y="651"/>
            <a:ext cx="1" cy="1"/>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74" name="Line 230"/>
          <xdr:cNvSpPr>
            <a:spLocks noChangeShapeType="1"/>
          </xdr:cNvSpPr>
        </xdr:nvSpPr>
        <xdr:spPr bwMode="auto">
          <a:xfrm flipH="1">
            <a:off x="134" y="652"/>
            <a:ext cx="49" cy="0"/>
          </a:xfrm>
          <a:prstGeom prst="line">
            <a:avLst/>
          </a:prstGeom>
          <a:noFill/>
          <a:ln w="9525">
            <a:solidFill>
              <a:srgbClr xmlns:mc="http://schemas.openxmlformats.org/markup-compatibility/2006" xmlns:a14="http://schemas.microsoft.com/office/drawing/2010/main" val="000000" mc:Ignorable="a14" a14:legacySpreadsheetColorIndex="8"/>
            </a:solidFill>
            <a:round/>
            <a:headEnd/>
            <a:tailEnd/>
          </a:ln>
          <a:extLst>
            <a:ext uri="{909E8E84-426E-40DD-AFC4-6F175D3DCCD1}">
              <a14:hiddenFill xmlns:a14="http://schemas.microsoft.com/office/drawing/2010/main">
                <a:noFill/>
              </a14:hiddenFill>
            </a:ext>
          </a:extLst>
        </xdr:spPr>
      </xdr:sp>
      <xdr:sp macro="" textlink="">
        <xdr:nvSpPr>
          <xdr:cNvPr id="75" name="Line 231"/>
          <xdr:cNvSpPr>
            <a:spLocks noChangeShapeType="1"/>
          </xdr:cNvSpPr>
        </xdr:nvSpPr>
        <xdr:spPr bwMode="auto">
          <a:xfrm>
            <a:off x="183" y="651"/>
            <a:ext cx="0" cy="72"/>
          </a:xfrm>
          <a:prstGeom prst="line">
            <a:avLst/>
          </a:prstGeom>
          <a:noFill/>
          <a:ln w="9525">
            <a:solidFill>
              <a:srgbClr xmlns:mc="http://schemas.openxmlformats.org/markup-compatibility/2006" xmlns:a14="http://schemas.microsoft.com/office/drawing/2010/main" val="000000" mc:Ignorable="a14" a14:legacySpreadsheetColorIndex="8"/>
            </a:solidFill>
            <a:round/>
            <a:headEnd/>
            <a:tailEnd/>
          </a:ln>
          <a:extLst>
            <a:ext uri="{909E8E84-426E-40DD-AFC4-6F175D3DCCD1}">
              <a14:hiddenFill xmlns:a14="http://schemas.microsoft.com/office/drawing/2010/main">
                <a:noFill/>
              </a14:hiddenFill>
            </a:ext>
          </a:extLst>
        </xdr:spPr>
      </xdr:sp>
      <xdr:sp macro="" textlink="">
        <xdr:nvSpPr>
          <xdr:cNvPr id="76" name="Line 232"/>
          <xdr:cNvSpPr>
            <a:spLocks noChangeShapeType="1"/>
          </xdr:cNvSpPr>
        </xdr:nvSpPr>
        <xdr:spPr bwMode="auto">
          <a:xfrm>
            <a:off x="136" y="652"/>
            <a:ext cx="0" cy="72"/>
          </a:xfrm>
          <a:prstGeom prst="line">
            <a:avLst/>
          </a:prstGeom>
          <a:noFill/>
          <a:ln w="9525">
            <a:solidFill>
              <a:srgbClr xmlns:mc="http://schemas.openxmlformats.org/markup-compatibility/2006" xmlns:a14="http://schemas.microsoft.com/office/drawing/2010/main" val="000000" mc:Ignorable="a14" a14:legacySpreadsheetColorIndex="8"/>
            </a:solidFill>
            <a:round/>
            <a:headEnd/>
            <a:tailEnd/>
          </a:ln>
          <a:extLst>
            <a:ext uri="{909E8E84-426E-40DD-AFC4-6F175D3DCCD1}">
              <a14:hiddenFill xmlns:a14="http://schemas.microsoft.com/office/drawing/2010/main">
                <a:noFill/>
              </a14:hiddenFill>
            </a:ext>
          </a:extLst>
        </xdr:spPr>
      </xdr:sp>
      <xdr:sp macro="" textlink="">
        <xdr:nvSpPr>
          <xdr:cNvPr id="77" name="Line 233"/>
          <xdr:cNvSpPr>
            <a:spLocks noChangeShapeType="1"/>
          </xdr:cNvSpPr>
        </xdr:nvSpPr>
        <xdr:spPr bwMode="auto">
          <a:xfrm>
            <a:off x="130" y="724"/>
            <a:ext cx="0" cy="6"/>
          </a:xfrm>
          <a:prstGeom prst="line">
            <a:avLst/>
          </a:prstGeom>
          <a:noFill/>
          <a:ln w="9525">
            <a:solidFill>
              <a:srgbClr xmlns:mc="http://schemas.openxmlformats.org/markup-compatibility/2006" xmlns:a14="http://schemas.microsoft.com/office/drawing/2010/main" val="000000" mc:Ignorable="a14" a14:legacySpreadsheetColorIndex="8"/>
            </a:solidFill>
            <a:round/>
            <a:headEnd/>
            <a:tailEnd/>
          </a:ln>
          <a:extLst>
            <a:ext uri="{909E8E84-426E-40DD-AFC4-6F175D3DCCD1}">
              <a14:hiddenFill xmlns:a14="http://schemas.microsoft.com/office/drawing/2010/main">
                <a:noFill/>
              </a14:hiddenFill>
            </a:ext>
          </a:extLst>
        </xdr:spPr>
      </xdr:sp>
      <xdr:sp macro="" textlink="">
        <xdr:nvSpPr>
          <xdr:cNvPr id="78" name="Line 234"/>
          <xdr:cNvSpPr>
            <a:spLocks noChangeShapeType="1"/>
          </xdr:cNvSpPr>
        </xdr:nvSpPr>
        <xdr:spPr bwMode="auto">
          <a:xfrm flipH="1">
            <a:off x="190" y="729"/>
            <a:ext cx="0" cy="0"/>
          </a:xfrm>
          <a:prstGeom prst="line">
            <a:avLst/>
          </a:prstGeom>
          <a:noFill/>
          <a:ln w="9525">
            <a:solidFill>
              <a:srgbClr xmlns:mc="http://schemas.openxmlformats.org/markup-compatibility/2006" xmlns:a14="http://schemas.microsoft.com/office/drawing/2010/main" val="000000" mc:Ignorable="a14" a14:legacySpreadsheetColorIndex="8"/>
            </a:solidFill>
            <a:round/>
            <a:headEnd/>
            <a:tailEnd/>
          </a:ln>
          <a:extLst>
            <a:ext uri="{909E8E84-426E-40DD-AFC4-6F175D3DCCD1}">
              <a14:hiddenFill xmlns:a14="http://schemas.microsoft.com/office/drawing/2010/main">
                <a:noFill/>
              </a14:hiddenFill>
            </a:ext>
          </a:extLst>
        </xdr:spPr>
      </xdr:sp>
      <xdr:sp macro="" textlink="">
        <xdr:nvSpPr>
          <xdr:cNvPr id="79" name="Line 235"/>
          <xdr:cNvSpPr>
            <a:spLocks noChangeShapeType="1"/>
          </xdr:cNvSpPr>
        </xdr:nvSpPr>
        <xdr:spPr bwMode="auto">
          <a:xfrm>
            <a:off x="130" y="730"/>
            <a:ext cx="7" cy="0"/>
          </a:xfrm>
          <a:prstGeom prst="line">
            <a:avLst/>
          </a:prstGeom>
          <a:noFill/>
          <a:ln w="9525">
            <a:solidFill>
              <a:srgbClr xmlns:mc="http://schemas.openxmlformats.org/markup-compatibility/2006" xmlns:a14="http://schemas.microsoft.com/office/drawing/2010/main" val="000000" mc:Ignorable="a14" a14:legacySpreadsheetColorIndex="8"/>
            </a:solidFill>
            <a:round/>
            <a:headEnd/>
            <a:tailEnd/>
          </a:ln>
          <a:extLst>
            <a:ext uri="{909E8E84-426E-40DD-AFC4-6F175D3DCCD1}">
              <a14:hiddenFill xmlns:a14="http://schemas.microsoft.com/office/drawing/2010/main">
                <a:noFill/>
              </a14:hiddenFill>
            </a:ext>
          </a:extLst>
        </xdr:spPr>
      </xdr:sp>
      <xdr:sp macro="" textlink="">
        <xdr:nvSpPr>
          <xdr:cNvPr id="80" name="Line 236"/>
          <xdr:cNvSpPr>
            <a:spLocks noChangeShapeType="1"/>
          </xdr:cNvSpPr>
        </xdr:nvSpPr>
        <xdr:spPr bwMode="auto">
          <a:xfrm>
            <a:off x="182" y="729"/>
            <a:ext cx="0" cy="9"/>
          </a:xfrm>
          <a:prstGeom prst="line">
            <a:avLst/>
          </a:prstGeom>
          <a:noFill/>
          <a:ln w="9525">
            <a:solidFill>
              <a:srgbClr xmlns:mc="http://schemas.openxmlformats.org/markup-compatibility/2006" xmlns:a14="http://schemas.microsoft.com/office/drawing/2010/main" val="000000" mc:Ignorable="a14" a14:legacySpreadsheetColorIndex="8"/>
            </a:solidFill>
            <a:round/>
            <a:headEnd/>
            <a:tailEnd/>
          </a:ln>
          <a:extLst>
            <a:ext uri="{909E8E84-426E-40DD-AFC4-6F175D3DCCD1}">
              <a14:hiddenFill xmlns:a14="http://schemas.microsoft.com/office/drawing/2010/main">
                <a:noFill/>
              </a14:hiddenFill>
            </a:ext>
          </a:extLst>
        </xdr:spPr>
      </xdr:sp>
      <xdr:sp macro="" textlink="">
        <xdr:nvSpPr>
          <xdr:cNvPr id="81" name="Line 237"/>
          <xdr:cNvSpPr>
            <a:spLocks noChangeShapeType="1"/>
          </xdr:cNvSpPr>
        </xdr:nvSpPr>
        <xdr:spPr bwMode="auto">
          <a:xfrm>
            <a:off x="137" y="731"/>
            <a:ext cx="0" cy="8"/>
          </a:xfrm>
          <a:prstGeom prst="line">
            <a:avLst/>
          </a:prstGeom>
          <a:noFill/>
          <a:ln w="9525">
            <a:solidFill>
              <a:srgbClr xmlns:mc="http://schemas.openxmlformats.org/markup-compatibility/2006" xmlns:a14="http://schemas.microsoft.com/office/drawing/2010/main" val="000000" mc:Ignorable="a14" a14:legacySpreadsheetColorIndex="8"/>
            </a:solidFill>
            <a:round/>
            <a:headEnd/>
            <a:tailEnd/>
          </a:ln>
          <a:extLst>
            <a:ext uri="{909E8E84-426E-40DD-AFC4-6F175D3DCCD1}">
              <a14:hiddenFill xmlns:a14="http://schemas.microsoft.com/office/drawing/2010/main">
                <a:noFill/>
              </a14:hiddenFill>
            </a:ext>
          </a:extLst>
        </xdr:spPr>
      </xdr:sp>
      <xdr:sp macro="" textlink="">
        <xdr:nvSpPr>
          <xdr:cNvPr id="82" name="Line 238"/>
          <xdr:cNvSpPr>
            <a:spLocks noChangeShapeType="1"/>
          </xdr:cNvSpPr>
        </xdr:nvSpPr>
        <xdr:spPr bwMode="auto">
          <a:xfrm>
            <a:off x="182" y="739"/>
            <a:ext cx="13" cy="0"/>
          </a:xfrm>
          <a:prstGeom prst="line">
            <a:avLst/>
          </a:prstGeom>
          <a:noFill/>
          <a:ln w="9525">
            <a:solidFill>
              <a:srgbClr xmlns:mc="http://schemas.openxmlformats.org/markup-compatibility/2006" xmlns:a14="http://schemas.microsoft.com/office/drawing/2010/main" val="000000" mc:Ignorable="a14" a14:legacySpreadsheetColorIndex="8"/>
            </a:solidFill>
            <a:round/>
            <a:headEnd/>
            <a:tailEnd/>
          </a:ln>
          <a:extLst>
            <a:ext uri="{909E8E84-426E-40DD-AFC4-6F175D3DCCD1}">
              <a14:hiddenFill xmlns:a14="http://schemas.microsoft.com/office/drawing/2010/main">
                <a:noFill/>
              </a14:hiddenFill>
            </a:ext>
          </a:extLst>
        </xdr:spPr>
      </xdr:sp>
      <xdr:sp macro="" textlink="">
        <xdr:nvSpPr>
          <xdr:cNvPr id="83" name="Line 239"/>
          <xdr:cNvSpPr>
            <a:spLocks noChangeShapeType="1"/>
          </xdr:cNvSpPr>
        </xdr:nvSpPr>
        <xdr:spPr bwMode="auto">
          <a:xfrm flipH="1">
            <a:off x="121" y="739"/>
            <a:ext cx="16" cy="0"/>
          </a:xfrm>
          <a:prstGeom prst="line">
            <a:avLst/>
          </a:prstGeom>
          <a:noFill/>
          <a:ln w="9525">
            <a:solidFill>
              <a:srgbClr xmlns:mc="http://schemas.openxmlformats.org/markup-compatibility/2006" xmlns:a14="http://schemas.microsoft.com/office/drawing/2010/main" val="000000" mc:Ignorable="a14" a14:legacySpreadsheetColorIndex="8"/>
            </a:solidFill>
            <a:round/>
            <a:headEnd/>
            <a:tailEnd/>
          </a:ln>
          <a:extLst>
            <a:ext uri="{909E8E84-426E-40DD-AFC4-6F175D3DCCD1}">
              <a14:hiddenFill xmlns:a14="http://schemas.microsoft.com/office/drawing/2010/main">
                <a:noFill/>
              </a14:hiddenFill>
            </a:ext>
          </a:extLst>
        </xdr:spPr>
      </xdr:sp>
      <xdr:sp macro="" textlink="">
        <xdr:nvSpPr>
          <xdr:cNvPr id="84" name="Line 240"/>
          <xdr:cNvSpPr>
            <a:spLocks noChangeShapeType="1"/>
          </xdr:cNvSpPr>
        </xdr:nvSpPr>
        <xdr:spPr bwMode="auto">
          <a:xfrm>
            <a:off x="190" y="653"/>
            <a:ext cx="27" cy="0"/>
          </a:xfrm>
          <a:prstGeom prst="line">
            <a:avLst/>
          </a:prstGeom>
          <a:noFill/>
          <a:ln w="9525">
            <a:solidFill>
              <a:srgbClr xmlns:mc="http://schemas.openxmlformats.org/markup-compatibility/2006" xmlns:a14="http://schemas.microsoft.com/office/drawing/2010/main" val="000000" mc:Ignorable="a14" a14:legacySpreadsheetColorIndex="8"/>
            </a:solidFill>
            <a:round/>
            <a:headEnd/>
            <a:tailEnd/>
          </a:ln>
          <a:extLst>
            <a:ext uri="{909E8E84-426E-40DD-AFC4-6F175D3DCCD1}">
              <a14:hiddenFill xmlns:a14="http://schemas.microsoft.com/office/drawing/2010/main">
                <a:noFill/>
              </a14:hiddenFill>
            </a:ext>
          </a:extLst>
        </xdr:spPr>
      </xdr:sp>
      <xdr:sp macro="" textlink="">
        <xdr:nvSpPr>
          <xdr:cNvPr id="85" name="Line 241"/>
          <xdr:cNvSpPr>
            <a:spLocks noChangeShapeType="1"/>
          </xdr:cNvSpPr>
        </xdr:nvSpPr>
        <xdr:spPr bwMode="auto">
          <a:xfrm flipV="1">
            <a:off x="200" y="654"/>
            <a:ext cx="0" cy="31"/>
          </a:xfrm>
          <a:prstGeom prst="line">
            <a:avLst/>
          </a:prstGeom>
          <a:noFill/>
          <a:ln w="9525">
            <a:solidFill>
              <a:srgbClr xmlns:mc="http://schemas.openxmlformats.org/markup-compatibility/2006" xmlns:a14="http://schemas.microsoft.com/office/drawing/2010/main" val="000000" mc:Ignorable="a14" a14:legacySpreadsheetColorIndex="8"/>
            </a:solidFill>
            <a:round/>
            <a:headEnd/>
            <a:tailEnd type="arrow" w="med" len="sm"/>
          </a:ln>
          <a:extLst>
            <a:ext uri="{909E8E84-426E-40DD-AFC4-6F175D3DCCD1}">
              <a14:hiddenFill xmlns:a14="http://schemas.microsoft.com/office/drawing/2010/main">
                <a:noFill/>
              </a14:hiddenFill>
            </a:ext>
          </a:extLst>
        </xdr:spPr>
      </xdr:sp>
      <xdr:sp macro="" textlink="">
        <xdr:nvSpPr>
          <xdr:cNvPr id="86" name="Line 242"/>
          <xdr:cNvSpPr>
            <a:spLocks noChangeShapeType="1"/>
          </xdr:cNvSpPr>
        </xdr:nvSpPr>
        <xdr:spPr bwMode="auto">
          <a:xfrm>
            <a:off x="200" y="708"/>
            <a:ext cx="0" cy="29"/>
          </a:xfrm>
          <a:prstGeom prst="line">
            <a:avLst/>
          </a:prstGeom>
          <a:noFill/>
          <a:ln w="9525">
            <a:solidFill>
              <a:srgbClr xmlns:mc="http://schemas.openxmlformats.org/markup-compatibility/2006" xmlns:a14="http://schemas.microsoft.com/office/drawing/2010/main" val="000000" mc:Ignorable="a14" a14:legacySpreadsheetColorIndex="8"/>
            </a:solidFill>
            <a:round/>
            <a:headEnd/>
            <a:tailEnd type="arrow" w="med" len="sm"/>
          </a:ln>
          <a:extLst>
            <a:ext uri="{909E8E84-426E-40DD-AFC4-6F175D3DCCD1}">
              <a14:hiddenFill xmlns:a14="http://schemas.microsoft.com/office/drawing/2010/main">
                <a:noFill/>
              </a14:hiddenFill>
            </a:ext>
          </a:extLst>
        </xdr:spPr>
      </xdr:sp>
      <xdr:sp macro="" textlink="">
        <xdr:nvSpPr>
          <xdr:cNvPr id="87" name="Line 243"/>
          <xdr:cNvSpPr>
            <a:spLocks noChangeShapeType="1"/>
          </xdr:cNvSpPr>
        </xdr:nvSpPr>
        <xdr:spPr bwMode="auto">
          <a:xfrm flipV="1">
            <a:off x="124" y="740"/>
            <a:ext cx="0" cy="10"/>
          </a:xfrm>
          <a:prstGeom prst="line">
            <a:avLst/>
          </a:prstGeom>
          <a:noFill/>
          <a:ln w="9525">
            <a:solidFill>
              <a:srgbClr xmlns:mc="http://schemas.openxmlformats.org/markup-compatibility/2006" xmlns:a14="http://schemas.microsoft.com/office/drawing/2010/main" val="000000" mc:Ignorable="a14" a14:legacySpreadsheetColorIndex="8"/>
            </a:solidFill>
            <a:round/>
            <a:headEnd/>
            <a:tailEnd type="arrow" w="sm" len="sm"/>
          </a:ln>
          <a:extLst>
            <a:ext uri="{909E8E84-426E-40DD-AFC4-6F175D3DCCD1}">
              <a14:hiddenFill xmlns:a14="http://schemas.microsoft.com/office/drawing/2010/main">
                <a:noFill/>
              </a14:hiddenFill>
            </a:ext>
          </a:extLst>
        </xdr:spPr>
      </xdr:sp>
      <xdr:sp macro="" textlink="">
        <xdr:nvSpPr>
          <xdr:cNvPr id="88" name="Line 244"/>
          <xdr:cNvSpPr>
            <a:spLocks noChangeShapeType="1"/>
          </xdr:cNvSpPr>
        </xdr:nvSpPr>
        <xdr:spPr bwMode="auto">
          <a:xfrm>
            <a:off x="122" y="714"/>
            <a:ext cx="0" cy="8"/>
          </a:xfrm>
          <a:prstGeom prst="line">
            <a:avLst/>
          </a:prstGeom>
          <a:noFill/>
          <a:ln w="9525">
            <a:solidFill>
              <a:srgbClr xmlns:mc="http://schemas.openxmlformats.org/markup-compatibility/2006" xmlns:a14="http://schemas.microsoft.com/office/drawing/2010/main" val="000000" mc:Ignorable="a14" a14:legacySpreadsheetColorIndex="8"/>
            </a:solidFill>
            <a:round/>
            <a:headEnd/>
            <a:tailEnd type="arrow" w="sm" len="sm"/>
          </a:ln>
          <a:extLst>
            <a:ext uri="{909E8E84-426E-40DD-AFC4-6F175D3DCCD1}">
              <a14:hiddenFill xmlns:a14="http://schemas.microsoft.com/office/drawing/2010/main">
                <a:noFill/>
              </a14:hiddenFill>
            </a:ext>
          </a:extLst>
        </xdr:spPr>
      </xdr:sp>
      <xdr:sp macro="" textlink="">
        <xdr:nvSpPr>
          <xdr:cNvPr id="89" name="Line 245"/>
          <xdr:cNvSpPr>
            <a:spLocks noChangeShapeType="1"/>
          </xdr:cNvSpPr>
        </xdr:nvSpPr>
        <xdr:spPr bwMode="auto">
          <a:xfrm>
            <a:off x="118" y="724"/>
            <a:ext cx="1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90" name="Line 246"/>
          <xdr:cNvSpPr>
            <a:spLocks noChangeShapeType="1"/>
          </xdr:cNvSpPr>
        </xdr:nvSpPr>
        <xdr:spPr bwMode="auto">
          <a:xfrm flipV="1">
            <a:off x="183" y="637"/>
            <a:ext cx="0" cy="10"/>
          </a:xfrm>
          <a:prstGeom prst="line">
            <a:avLst/>
          </a:prstGeom>
          <a:noFill/>
          <a:ln w="9525">
            <a:solidFill>
              <a:srgbClr xmlns:mc="http://schemas.openxmlformats.org/markup-compatibility/2006" xmlns:a14="http://schemas.microsoft.com/office/drawing/2010/main" val="000000" mc:Ignorable="a14" a14:legacySpreadsheetColorIndex="8"/>
            </a:solidFill>
            <a:round/>
            <a:headEnd/>
            <a:tailEnd/>
          </a:ln>
          <a:extLst>
            <a:ext uri="{909E8E84-426E-40DD-AFC4-6F175D3DCCD1}">
              <a14:hiddenFill xmlns:a14="http://schemas.microsoft.com/office/drawing/2010/main">
                <a:noFill/>
              </a14:hiddenFill>
            </a:ext>
          </a:extLst>
        </xdr:spPr>
      </xdr:sp>
      <xdr:sp macro="" textlink="">
        <xdr:nvSpPr>
          <xdr:cNvPr id="91" name="Line 247"/>
          <xdr:cNvSpPr>
            <a:spLocks noChangeShapeType="1"/>
          </xdr:cNvSpPr>
        </xdr:nvSpPr>
        <xdr:spPr bwMode="auto">
          <a:xfrm flipV="1">
            <a:off x="135" y="638"/>
            <a:ext cx="0" cy="9"/>
          </a:xfrm>
          <a:prstGeom prst="line">
            <a:avLst/>
          </a:prstGeom>
          <a:noFill/>
          <a:ln w="9525">
            <a:solidFill>
              <a:srgbClr xmlns:mc="http://schemas.openxmlformats.org/markup-compatibility/2006" xmlns:a14="http://schemas.microsoft.com/office/drawing/2010/main" val="000000" mc:Ignorable="a14" a14:legacySpreadsheetColorIndex="8"/>
            </a:solidFill>
            <a:round/>
            <a:headEnd/>
            <a:tailEnd/>
          </a:ln>
          <a:extLst>
            <a:ext uri="{909E8E84-426E-40DD-AFC4-6F175D3DCCD1}">
              <a14:hiddenFill xmlns:a14="http://schemas.microsoft.com/office/drawing/2010/main">
                <a:noFill/>
              </a14:hiddenFill>
            </a:ext>
          </a:extLst>
        </xdr:spPr>
      </xdr:sp>
      <xdr:sp macro="" textlink="">
        <xdr:nvSpPr>
          <xdr:cNvPr id="92" name="Line 248"/>
          <xdr:cNvSpPr>
            <a:spLocks noChangeShapeType="1"/>
          </xdr:cNvSpPr>
        </xdr:nvSpPr>
        <xdr:spPr bwMode="auto">
          <a:xfrm>
            <a:off x="144" y="643"/>
            <a:ext cx="36" cy="0"/>
          </a:xfrm>
          <a:prstGeom prst="line">
            <a:avLst/>
          </a:prstGeom>
          <a:noFill/>
          <a:ln w="9525">
            <a:solidFill>
              <a:srgbClr xmlns:mc="http://schemas.openxmlformats.org/markup-compatibility/2006" xmlns:a14="http://schemas.microsoft.com/office/drawing/2010/main" val="000000" mc:Ignorable="a14" a14:legacySpreadsheetColorIndex="8"/>
            </a:solidFill>
            <a:round/>
            <a:headEnd/>
            <a:tailEnd type="arrow" w="sm" len="sm"/>
          </a:ln>
          <a:extLst>
            <a:ext uri="{909E8E84-426E-40DD-AFC4-6F175D3DCCD1}">
              <a14:hiddenFill xmlns:a14="http://schemas.microsoft.com/office/drawing/2010/main">
                <a:noFill/>
              </a14:hiddenFill>
            </a:ext>
          </a:extLst>
        </xdr:spPr>
      </xdr:sp>
      <xdr:sp macro="" textlink="">
        <xdr:nvSpPr>
          <xdr:cNvPr id="93" name="Line 249"/>
          <xdr:cNvSpPr>
            <a:spLocks noChangeShapeType="1"/>
          </xdr:cNvSpPr>
        </xdr:nvSpPr>
        <xdr:spPr bwMode="auto">
          <a:xfrm flipH="1">
            <a:off x="139" y="643"/>
            <a:ext cx="6" cy="0"/>
          </a:xfrm>
          <a:prstGeom prst="line">
            <a:avLst/>
          </a:prstGeom>
          <a:noFill/>
          <a:ln w="9525">
            <a:solidFill>
              <a:srgbClr xmlns:mc="http://schemas.openxmlformats.org/markup-compatibility/2006" xmlns:a14="http://schemas.microsoft.com/office/drawing/2010/main" val="000000" mc:Ignorable="a14" a14:legacySpreadsheetColorIndex="8"/>
            </a:solidFill>
            <a:round/>
            <a:headEnd/>
            <a:tailEnd type="arrow" w="sm" len="sm"/>
          </a:ln>
          <a:extLst>
            <a:ext uri="{909E8E84-426E-40DD-AFC4-6F175D3DCCD1}">
              <a14:hiddenFill xmlns:a14="http://schemas.microsoft.com/office/drawing/2010/main">
                <a:noFill/>
              </a14:hiddenFill>
            </a:ext>
          </a:extLst>
        </xdr:spPr>
      </xdr:sp>
      <xdr:sp macro="" textlink="">
        <xdr:nvSpPr>
          <xdr:cNvPr id="94" name="Line 250"/>
          <xdr:cNvSpPr>
            <a:spLocks noChangeShapeType="1"/>
          </xdr:cNvSpPr>
        </xdr:nvSpPr>
        <xdr:spPr bwMode="auto">
          <a:xfrm>
            <a:off x="130" y="724"/>
            <a:ext cx="6" cy="0"/>
          </a:xfrm>
          <a:prstGeom prst="line">
            <a:avLst/>
          </a:prstGeom>
          <a:noFill/>
          <a:ln w="9525">
            <a:solidFill>
              <a:srgbClr xmlns:mc="http://schemas.openxmlformats.org/markup-compatibility/2006" xmlns:a14="http://schemas.microsoft.com/office/drawing/2010/main" val="000000" mc:Ignorable="a14" a14:legacySpreadsheetColorIndex="8"/>
            </a:solidFill>
            <a:round/>
            <a:headEnd/>
            <a:tailEnd/>
          </a:ln>
          <a:extLst>
            <a:ext uri="{909E8E84-426E-40DD-AFC4-6F175D3DCCD1}">
              <a14:hiddenFill xmlns:a14="http://schemas.microsoft.com/office/drawing/2010/main">
                <a:noFill/>
              </a14:hiddenFill>
            </a:ext>
          </a:extLst>
        </xdr:spPr>
      </xdr:sp>
      <xdr:sp macro="" textlink="">
        <xdr:nvSpPr>
          <xdr:cNvPr id="95" name="Line 251"/>
          <xdr:cNvSpPr>
            <a:spLocks noChangeShapeType="1"/>
          </xdr:cNvSpPr>
        </xdr:nvSpPr>
        <xdr:spPr bwMode="auto">
          <a:xfrm>
            <a:off x="182" y="730"/>
            <a:ext cx="7" cy="0"/>
          </a:xfrm>
          <a:prstGeom prst="line">
            <a:avLst/>
          </a:prstGeom>
          <a:noFill/>
          <a:ln w="9525">
            <a:solidFill>
              <a:srgbClr xmlns:mc="http://schemas.openxmlformats.org/markup-compatibility/2006" xmlns:a14="http://schemas.microsoft.com/office/drawing/2010/main" val="000000" mc:Ignorable="a14" a14:legacySpreadsheetColorIndex="8"/>
            </a:solidFill>
            <a:round/>
            <a:headEnd/>
            <a:tailEnd/>
          </a:ln>
          <a:extLst>
            <a:ext uri="{909E8E84-426E-40DD-AFC4-6F175D3DCCD1}">
              <a14:hiddenFill xmlns:a14="http://schemas.microsoft.com/office/drawing/2010/main">
                <a:noFill/>
              </a14:hiddenFill>
            </a:ext>
          </a:extLst>
        </xdr:spPr>
      </xdr:sp>
      <xdr:sp macro="" textlink="">
        <xdr:nvSpPr>
          <xdr:cNvPr id="96" name="Line 252"/>
          <xdr:cNvSpPr>
            <a:spLocks noChangeShapeType="1"/>
          </xdr:cNvSpPr>
        </xdr:nvSpPr>
        <xdr:spPr bwMode="auto">
          <a:xfrm flipV="1">
            <a:off x="190" y="722"/>
            <a:ext cx="0" cy="6"/>
          </a:xfrm>
          <a:prstGeom prst="line">
            <a:avLst/>
          </a:prstGeom>
          <a:noFill/>
          <a:ln w="9525">
            <a:solidFill>
              <a:srgbClr xmlns:mc="http://schemas.openxmlformats.org/markup-compatibility/2006" xmlns:a14="http://schemas.microsoft.com/office/drawing/2010/main" val="000000" mc:Ignorable="a14" a14:legacySpreadsheetColorIndex="8"/>
            </a:solidFill>
            <a:round/>
            <a:headEnd/>
            <a:tailEnd/>
          </a:ln>
          <a:extLst>
            <a:ext uri="{909E8E84-426E-40DD-AFC4-6F175D3DCCD1}">
              <a14:hiddenFill xmlns:a14="http://schemas.microsoft.com/office/drawing/2010/main">
                <a:noFill/>
              </a14:hiddenFill>
            </a:ext>
          </a:extLst>
        </xdr:spPr>
      </xdr:sp>
      <xdr:sp macro="" textlink="">
        <xdr:nvSpPr>
          <xdr:cNvPr id="97" name="Line 253"/>
          <xdr:cNvSpPr>
            <a:spLocks noChangeShapeType="1"/>
          </xdr:cNvSpPr>
        </xdr:nvSpPr>
        <xdr:spPr bwMode="auto">
          <a:xfrm>
            <a:off x="183" y="723"/>
            <a:ext cx="7" cy="0"/>
          </a:xfrm>
          <a:prstGeom prst="line">
            <a:avLst/>
          </a:prstGeom>
          <a:noFill/>
          <a:ln w="9525">
            <a:solidFill>
              <a:srgbClr xmlns:mc="http://schemas.openxmlformats.org/markup-compatibility/2006" xmlns:a14="http://schemas.microsoft.com/office/drawing/2010/main" val="000000" mc:Ignorable="a14" a14:legacySpreadsheetColorIndex="8"/>
            </a:solidFill>
            <a:round/>
            <a:headEnd/>
            <a:tailEnd/>
          </a:ln>
          <a:extLst>
            <a:ext uri="{909E8E84-426E-40DD-AFC4-6F175D3DCCD1}">
              <a14:hiddenFill xmlns:a14="http://schemas.microsoft.com/office/drawing/2010/main">
                <a:noFill/>
              </a14:hiddenFill>
            </a:ext>
          </a:extLst>
        </xdr:spPr>
      </xdr:sp>
    </xdr:grpSp>
    <xdr:clientData/>
  </xdr:twoCellAnchor>
  <xdr:twoCellAnchor>
    <xdr:from>
      <xdr:col>9</xdr:col>
      <xdr:colOff>152400</xdr:colOff>
      <xdr:row>44</xdr:row>
      <xdr:rowOff>0</xdr:rowOff>
    </xdr:from>
    <xdr:to>
      <xdr:col>9</xdr:col>
      <xdr:colOff>361950</xdr:colOff>
      <xdr:row>44</xdr:row>
      <xdr:rowOff>0</xdr:rowOff>
    </xdr:to>
    <xdr:sp macro="" textlink="">
      <xdr:nvSpPr>
        <xdr:cNvPr id="98" name="Rectangle 255"/>
        <xdr:cNvSpPr>
          <a:spLocks noChangeArrowheads="1"/>
        </xdr:cNvSpPr>
      </xdr:nvSpPr>
      <xdr:spPr bwMode="auto">
        <a:xfrm>
          <a:off x="5495925" y="10106025"/>
          <a:ext cx="20955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xdr:col>
      <xdr:colOff>19050</xdr:colOff>
      <xdr:row>44</xdr:row>
      <xdr:rowOff>0</xdr:rowOff>
    </xdr:from>
    <xdr:to>
      <xdr:col>9</xdr:col>
      <xdr:colOff>333375</xdr:colOff>
      <xdr:row>44</xdr:row>
      <xdr:rowOff>0</xdr:rowOff>
    </xdr:to>
    <xdr:sp macro="" textlink="">
      <xdr:nvSpPr>
        <xdr:cNvPr id="99" name="Rectangle 256"/>
        <xdr:cNvSpPr>
          <a:spLocks noChangeArrowheads="1"/>
        </xdr:cNvSpPr>
      </xdr:nvSpPr>
      <xdr:spPr bwMode="auto">
        <a:xfrm>
          <a:off x="5362575" y="10106025"/>
          <a:ext cx="314325"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xdr:col>
      <xdr:colOff>28575</xdr:colOff>
      <xdr:row>44</xdr:row>
      <xdr:rowOff>0</xdr:rowOff>
    </xdr:from>
    <xdr:to>
      <xdr:col>9</xdr:col>
      <xdr:colOff>342900</xdr:colOff>
      <xdr:row>44</xdr:row>
      <xdr:rowOff>0</xdr:rowOff>
    </xdr:to>
    <xdr:sp macro="" textlink="">
      <xdr:nvSpPr>
        <xdr:cNvPr id="100" name="Rectangle 257"/>
        <xdr:cNvSpPr>
          <a:spLocks noChangeArrowheads="1"/>
        </xdr:cNvSpPr>
      </xdr:nvSpPr>
      <xdr:spPr bwMode="auto">
        <a:xfrm>
          <a:off x="5372100" y="10106025"/>
          <a:ext cx="314325"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xdr:col>
      <xdr:colOff>0</xdr:colOff>
      <xdr:row>44</xdr:row>
      <xdr:rowOff>0</xdr:rowOff>
    </xdr:from>
    <xdr:to>
      <xdr:col>9</xdr:col>
      <xdr:colOff>409575</xdr:colOff>
      <xdr:row>44</xdr:row>
      <xdr:rowOff>0</xdr:rowOff>
    </xdr:to>
    <xdr:sp macro="" textlink="">
      <xdr:nvSpPr>
        <xdr:cNvPr id="101" name="Rectangle 258"/>
        <xdr:cNvSpPr>
          <a:spLocks noChangeArrowheads="1"/>
        </xdr:cNvSpPr>
      </xdr:nvSpPr>
      <xdr:spPr bwMode="auto">
        <a:xfrm>
          <a:off x="5343525" y="10106025"/>
          <a:ext cx="409575"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xdr:col>
      <xdr:colOff>142875</xdr:colOff>
      <xdr:row>44</xdr:row>
      <xdr:rowOff>0</xdr:rowOff>
    </xdr:from>
    <xdr:to>
      <xdr:col>9</xdr:col>
      <xdr:colOff>361950</xdr:colOff>
      <xdr:row>44</xdr:row>
      <xdr:rowOff>0</xdr:rowOff>
    </xdr:to>
    <xdr:sp macro="" textlink="">
      <xdr:nvSpPr>
        <xdr:cNvPr id="102" name="Rectangle 259"/>
        <xdr:cNvSpPr>
          <a:spLocks noChangeArrowheads="1"/>
        </xdr:cNvSpPr>
      </xdr:nvSpPr>
      <xdr:spPr bwMode="auto">
        <a:xfrm>
          <a:off x="5486400" y="10106025"/>
          <a:ext cx="219075"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xdr:col>
      <xdr:colOff>38100</xdr:colOff>
      <xdr:row>39</xdr:row>
      <xdr:rowOff>66675</xdr:rowOff>
    </xdr:from>
    <xdr:to>
      <xdr:col>3</xdr:col>
      <xdr:colOff>710680</xdr:colOff>
      <xdr:row>43</xdr:row>
      <xdr:rowOff>95250</xdr:rowOff>
    </xdr:to>
    <xdr:grpSp>
      <xdr:nvGrpSpPr>
        <xdr:cNvPr id="103" name="Group 102"/>
        <xdr:cNvGrpSpPr/>
      </xdr:nvGrpSpPr>
      <xdr:grpSpPr>
        <a:xfrm>
          <a:off x="828675" y="9048750"/>
          <a:ext cx="1577455" cy="942975"/>
          <a:chOff x="800100" y="9067800"/>
          <a:chExt cx="1577455" cy="942975"/>
        </a:xfrm>
      </xdr:grpSpPr>
      <xdr:grpSp>
        <xdr:nvGrpSpPr>
          <xdr:cNvPr id="104" name="Group 103"/>
          <xdr:cNvGrpSpPr/>
        </xdr:nvGrpSpPr>
        <xdr:grpSpPr>
          <a:xfrm>
            <a:off x="1362075" y="9115425"/>
            <a:ext cx="752475" cy="571500"/>
            <a:chOff x="1295400" y="9115425"/>
            <a:chExt cx="752475" cy="571500"/>
          </a:xfrm>
        </xdr:grpSpPr>
        <xdr:sp macro="" textlink="">
          <xdr:nvSpPr>
            <xdr:cNvPr id="133" name="Line 138"/>
            <xdr:cNvSpPr>
              <a:spLocks noChangeShapeType="1"/>
            </xdr:cNvSpPr>
          </xdr:nvSpPr>
          <xdr:spPr bwMode="auto">
            <a:xfrm flipV="1">
              <a:off x="2047875" y="9286875"/>
              <a:ext cx="0" cy="952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sp macro="" textlink="">
          <xdr:nvSpPr>
            <xdr:cNvPr id="134" name="Line 146"/>
            <xdr:cNvSpPr>
              <a:spLocks noChangeShapeType="1"/>
            </xdr:cNvSpPr>
          </xdr:nvSpPr>
          <xdr:spPr bwMode="auto">
            <a:xfrm>
              <a:off x="1771650" y="9382125"/>
              <a:ext cx="21907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35" name="Line 137"/>
            <xdr:cNvSpPr>
              <a:spLocks noChangeShapeType="1"/>
            </xdr:cNvSpPr>
          </xdr:nvSpPr>
          <xdr:spPr bwMode="auto">
            <a:xfrm flipH="1">
              <a:off x="1295400" y="9686925"/>
              <a:ext cx="4095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sp macro="" textlink="">
          <xdr:nvSpPr>
            <xdr:cNvPr id="136" name="Line 148"/>
            <xdr:cNvSpPr>
              <a:spLocks noChangeShapeType="1"/>
            </xdr:cNvSpPr>
          </xdr:nvSpPr>
          <xdr:spPr bwMode="auto">
            <a:xfrm flipH="1">
              <a:off x="1724025" y="9115425"/>
              <a:ext cx="762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grpSp>
      <xdr:grpSp>
        <xdr:nvGrpSpPr>
          <xdr:cNvPr id="105" name="Group 104"/>
          <xdr:cNvGrpSpPr/>
        </xdr:nvGrpSpPr>
        <xdr:grpSpPr>
          <a:xfrm>
            <a:off x="1093470" y="9067800"/>
            <a:ext cx="1284085" cy="781050"/>
            <a:chOff x="1026795" y="9067800"/>
            <a:chExt cx="1284085" cy="781050"/>
          </a:xfrm>
        </xdr:grpSpPr>
        <xdr:sp macro="" textlink="">
          <xdr:nvSpPr>
            <xdr:cNvPr id="119" name="Radius"/>
            <xdr:cNvSpPr txBox="1">
              <a:spLocks noChangeArrowheads="1"/>
            </xdr:cNvSpPr>
          </xdr:nvSpPr>
          <xdr:spPr bwMode="auto">
            <a:xfrm>
              <a:off x="2036445" y="9686925"/>
              <a:ext cx="274435" cy="123825"/>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328.0</a:t>
              </a:r>
            </a:p>
            <a:p>
              <a:pPr algn="ctr" rtl="0">
                <a:defRPr sz="1000"/>
              </a:pPr>
              <a:endParaRPr lang="en-US" sz="600" b="1" i="0" u="none" strike="noStrike" baseline="0">
                <a:solidFill>
                  <a:srgbClr val="000000"/>
                </a:solidFill>
                <a:latin typeface="Univers (W1)"/>
              </a:endParaRPr>
            </a:p>
          </xdr:txBody>
        </xdr:sp>
        <xdr:sp macro="" textlink="">
          <xdr:nvSpPr>
            <xdr:cNvPr id="120" name="Clear"/>
            <xdr:cNvSpPr txBox="1">
              <a:spLocks noChangeArrowheads="1"/>
            </xdr:cNvSpPr>
          </xdr:nvSpPr>
          <xdr:spPr bwMode="auto">
            <a:xfrm>
              <a:off x="1026795" y="9734550"/>
              <a:ext cx="266700" cy="114300"/>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62.5</a:t>
              </a:r>
            </a:p>
          </xdr:txBody>
        </xdr:sp>
        <xdr:sp macro="" textlink="">
          <xdr:nvSpPr>
            <xdr:cNvPr id="121" name="Thickness"/>
            <xdr:cNvSpPr txBox="1">
              <a:spLocks noChangeArrowheads="1"/>
            </xdr:cNvSpPr>
          </xdr:nvSpPr>
          <xdr:spPr bwMode="auto">
            <a:xfrm>
              <a:off x="1322070" y="9744075"/>
              <a:ext cx="411562" cy="104775"/>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85.0</a:t>
              </a:r>
            </a:p>
            <a:p>
              <a:pPr algn="ctr" rtl="0">
                <a:defRPr sz="1000"/>
              </a:pPr>
              <a:endParaRPr lang="en-US" sz="600" b="1" i="0" u="none" strike="noStrike" baseline="0">
                <a:solidFill>
                  <a:srgbClr val="000000"/>
                </a:solidFill>
                <a:latin typeface="Univers (W1)"/>
              </a:endParaRPr>
            </a:p>
          </xdr:txBody>
        </xdr:sp>
        <xdr:sp macro="" textlink="">
          <xdr:nvSpPr>
            <xdr:cNvPr id="122" name="Line 127"/>
            <xdr:cNvSpPr>
              <a:spLocks noChangeShapeType="1"/>
            </xdr:cNvSpPr>
          </xdr:nvSpPr>
          <xdr:spPr bwMode="auto">
            <a:xfrm flipV="1">
              <a:off x="1028700" y="9686925"/>
              <a:ext cx="276225" cy="0"/>
            </a:xfrm>
            <a:prstGeom prst="line">
              <a:avLst/>
            </a:prstGeom>
            <a:noFill/>
            <a:ln w="9525">
              <a:solidFill>
                <a:srgbClr val="000000"/>
              </a:solidFill>
              <a:round/>
              <a:headEnd type="arrow" w="sm" len="sm"/>
              <a:tailEnd type="arrow" w="sm" len="sm"/>
            </a:ln>
            <a:extLst>
              <a:ext uri="{909E8E84-426E-40DD-AFC4-6F175D3DCCD1}">
                <a14:hiddenFill xmlns:a14="http://schemas.microsoft.com/office/drawing/2010/main">
                  <a:noFill/>
                </a14:hiddenFill>
              </a:ext>
            </a:extLst>
          </xdr:spPr>
        </xdr:sp>
        <xdr:sp macro="" textlink="">
          <xdr:nvSpPr>
            <xdr:cNvPr id="123" name="Line 130"/>
            <xdr:cNvSpPr>
              <a:spLocks noChangeShapeType="1"/>
            </xdr:cNvSpPr>
          </xdr:nvSpPr>
          <xdr:spPr bwMode="auto">
            <a:xfrm flipV="1">
              <a:off x="1971675" y="9601200"/>
              <a:ext cx="0" cy="1809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sp macro="" textlink="">
          <xdr:nvSpPr>
            <xdr:cNvPr id="124" name="Thickness"/>
            <xdr:cNvSpPr txBox="1">
              <a:spLocks noChangeArrowheads="1"/>
            </xdr:cNvSpPr>
          </xdr:nvSpPr>
          <xdr:spPr bwMode="auto">
            <a:xfrm>
              <a:off x="1912620" y="9382125"/>
              <a:ext cx="284006" cy="123825"/>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57.5</a:t>
              </a:r>
            </a:p>
          </xdr:txBody>
        </xdr:sp>
        <xdr:sp macro="" textlink="">
          <xdr:nvSpPr>
            <xdr:cNvPr id="125" name="Line 143"/>
            <xdr:cNvSpPr>
              <a:spLocks noChangeShapeType="1"/>
            </xdr:cNvSpPr>
          </xdr:nvSpPr>
          <xdr:spPr bwMode="auto">
            <a:xfrm flipV="1">
              <a:off x="1828800" y="9420225"/>
              <a:ext cx="0" cy="8572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sp macro="" textlink="">
          <xdr:nvSpPr>
            <xdr:cNvPr id="126" name="Line 144"/>
            <xdr:cNvSpPr>
              <a:spLocks noChangeShapeType="1"/>
            </xdr:cNvSpPr>
          </xdr:nvSpPr>
          <xdr:spPr bwMode="auto">
            <a:xfrm>
              <a:off x="1819275" y="9144000"/>
              <a:ext cx="0" cy="12382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sp macro="" textlink="">
          <xdr:nvSpPr>
            <xdr:cNvPr id="127" name="Height"/>
            <xdr:cNvSpPr txBox="1">
              <a:spLocks noChangeArrowheads="1"/>
            </xdr:cNvSpPr>
          </xdr:nvSpPr>
          <xdr:spPr bwMode="auto">
            <a:xfrm>
              <a:off x="1474470" y="9067800"/>
              <a:ext cx="268681" cy="95250"/>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55</a:t>
              </a:r>
            </a:p>
            <a:p>
              <a:pPr algn="ctr" rtl="0">
                <a:defRPr sz="1000"/>
              </a:pPr>
              <a:r>
                <a:rPr lang="en-US" sz="600" b="1" i="0" u="none" strike="noStrike" baseline="0">
                  <a:solidFill>
                    <a:srgbClr val="000000"/>
                  </a:solidFill>
                  <a:latin typeface="Univers (W1)"/>
                </a:rPr>
                <a:t>.0</a:t>
              </a:r>
            </a:p>
          </xdr:txBody>
        </xdr:sp>
        <xdr:sp macro="" textlink="">
          <xdr:nvSpPr>
            <xdr:cNvPr id="128" name="Line 149"/>
            <xdr:cNvSpPr>
              <a:spLocks noChangeShapeType="1"/>
            </xdr:cNvSpPr>
          </xdr:nvSpPr>
          <xdr:spPr bwMode="auto">
            <a:xfrm>
              <a:off x="1390650" y="9115425"/>
              <a:ext cx="857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sp macro="" textlink="">
          <xdr:nvSpPr>
            <xdr:cNvPr id="129" name="Line 150"/>
            <xdr:cNvSpPr>
              <a:spLocks noChangeShapeType="1"/>
            </xdr:cNvSpPr>
          </xdr:nvSpPr>
          <xdr:spPr bwMode="auto">
            <a:xfrm flipV="1">
              <a:off x="1495425" y="9086850"/>
              <a:ext cx="0" cy="1619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30" name="Thickness"/>
            <xdr:cNvSpPr txBox="1">
              <a:spLocks noChangeArrowheads="1"/>
            </xdr:cNvSpPr>
          </xdr:nvSpPr>
          <xdr:spPr bwMode="auto">
            <a:xfrm>
              <a:off x="1685925" y="9296400"/>
              <a:ext cx="320423" cy="104775"/>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18.50</a:t>
              </a:r>
            </a:p>
            <a:p>
              <a:pPr algn="ctr" rtl="0">
                <a:defRPr sz="1000"/>
              </a:pPr>
              <a:endParaRPr lang="en-US" sz="600" b="1" i="0" u="none" strike="noStrike" baseline="0">
                <a:solidFill>
                  <a:srgbClr val="000000"/>
                </a:solidFill>
                <a:latin typeface="Univers (W1)"/>
              </a:endParaRPr>
            </a:p>
            <a:p>
              <a:pPr algn="ctr" rtl="0">
                <a:defRPr sz="1000"/>
              </a:pPr>
              <a:endParaRPr lang="en-US" sz="600" b="1" i="0" u="none" strike="noStrike" baseline="0">
                <a:solidFill>
                  <a:srgbClr val="000000"/>
                </a:solidFill>
                <a:latin typeface="Univers (W1)"/>
              </a:endParaRPr>
            </a:p>
            <a:p>
              <a:pPr algn="ctr" rtl="0">
                <a:defRPr sz="1000"/>
              </a:pPr>
              <a:endParaRPr lang="en-US" sz="600" b="1" i="0" u="none" strike="noStrike" baseline="0">
                <a:solidFill>
                  <a:srgbClr val="000000"/>
                </a:solidFill>
                <a:latin typeface="Univers (W1)"/>
              </a:endParaRPr>
            </a:p>
          </xdr:txBody>
        </xdr:sp>
        <xdr:sp macro="" textlink="">
          <xdr:nvSpPr>
            <xdr:cNvPr id="131" name="Line 136"/>
            <xdr:cNvSpPr>
              <a:spLocks noChangeShapeType="1"/>
            </xdr:cNvSpPr>
          </xdr:nvSpPr>
          <xdr:spPr bwMode="auto">
            <a:xfrm>
              <a:off x="1314450" y="9686925"/>
              <a:ext cx="4191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sp macro="" textlink="">
          <xdr:nvSpPr>
            <xdr:cNvPr id="132" name="Line 139"/>
            <xdr:cNvSpPr>
              <a:spLocks noChangeShapeType="1"/>
            </xdr:cNvSpPr>
          </xdr:nvSpPr>
          <xdr:spPr bwMode="auto">
            <a:xfrm>
              <a:off x="2028825" y="9505950"/>
              <a:ext cx="0" cy="8572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grpSp>
      <xdr:grpSp>
        <xdr:nvGrpSpPr>
          <xdr:cNvPr id="106" name="Group 105"/>
          <xdr:cNvGrpSpPr/>
        </xdr:nvGrpSpPr>
        <xdr:grpSpPr>
          <a:xfrm>
            <a:off x="800100" y="9096375"/>
            <a:ext cx="1419225" cy="914400"/>
            <a:chOff x="733425" y="9096375"/>
            <a:chExt cx="1419225" cy="914400"/>
          </a:xfrm>
        </xdr:grpSpPr>
        <xdr:sp macro="" textlink="">
          <xdr:nvSpPr>
            <xdr:cNvPr id="107" name="Line 125"/>
            <xdr:cNvSpPr>
              <a:spLocks noChangeShapeType="1"/>
            </xdr:cNvSpPr>
          </xdr:nvSpPr>
          <xdr:spPr bwMode="auto">
            <a:xfrm flipV="1">
              <a:off x="733425" y="9277350"/>
              <a:ext cx="2762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8" name="Line 126"/>
            <xdr:cNvSpPr>
              <a:spLocks noChangeShapeType="1"/>
            </xdr:cNvSpPr>
          </xdr:nvSpPr>
          <xdr:spPr bwMode="auto">
            <a:xfrm>
              <a:off x="1000125" y="9277350"/>
              <a:ext cx="0" cy="7334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9" name="Line 128"/>
            <xdr:cNvSpPr>
              <a:spLocks noChangeShapeType="1"/>
            </xdr:cNvSpPr>
          </xdr:nvSpPr>
          <xdr:spPr bwMode="auto">
            <a:xfrm>
              <a:off x="1028700" y="9563100"/>
              <a:ext cx="29527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0" name="Line 129"/>
            <xdr:cNvSpPr>
              <a:spLocks noChangeShapeType="1"/>
            </xdr:cNvSpPr>
          </xdr:nvSpPr>
          <xdr:spPr bwMode="auto">
            <a:xfrm>
              <a:off x="1000125" y="9305925"/>
              <a:ext cx="3048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1" name="Rectangle 132"/>
            <xdr:cNvSpPr>
              <a:spLocks noChangeArrowheads="1"/>
            </xdr:cNvSpPr>
          </xdr:nvSpPr>
          <xdr:spPr bwMode="auto">
            <a:xfrm>
              <a:off x="1304925" y="9277350"/>
              <a:ext cx="419100" cy="333375"/>
            </a:xfrm>
            <a:prstGeom prst="rect">
              <a:avLst/>
            </a:prstGeom>
            <a:solidFill>
              <a:srgbClr val="FFFFFF"/>
            </a:solidFill>
            <a:ln w="9525">
              <a:solidFill>
                <a:srgbClr val="000000"/>
              </a:solidFill>
              <a:miter lim="800000"/>
              <a:headEnd/>
              <a:tailEnd/>
            </a:ln>
          </xdr:spPr>
        </xdr:sp>
        <xdr:sp macro="" textlink="">
          <xdr:nvSpPr>
            <xdr:cNvPr id="112" name="Rectangle 133"/>
            <xdr:cNvSpPr>
              <a:spLocks noChangeArrowheads="1"/>
            </xdr:cNvSpPr>
          </xdr:nvSpPr>
          <xdr:spPr bwMode="auto">
            <a:xfrm>
              <a:off x="1495425" y="9277350"/>
              <a:ext cx="228600" cy="104775"/>
            </a:xfrm>
            <a:prstGeom prst="rect">
              <a:avLst/>
            </a:prstGeom>
            <a:solidFill>
              <a:srgbClr val="FFFFFF"/>
            </a:solidFill>
            <a:ln w="9525">
              <a:solidFill>
                <a:srgbClr val="000000"/>
              </a:solidFill>
              <a:miter lim="800000"/>
              <a:headEnd/>
              <a:tailEnd/>
            </a:ln>
          </xdr:spPr>
        </xdr:sp>
        <xdr:sp macro="" textlink="">
          <xdr:nvSpPr>
            <xdr:cNvPr id="113" name="Line 140"/>
            <xdr:cNvSpPr>
              <a:spLocks noChangeShapeType="1"/>
            </xdr:cNvSpPr>
          </xdr:nvSpPr>
          <xdr:spPr bwMode="auto">
            <a:xfrm>
              <a:off x="1762125" y="9601200"/>
              <a:ext cx="3905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4" name="Line 134"/>
            <xdr:cNvSpPr>
              <a:spLocks noChangeShapeType="1"/>
            </xdr:cNvSpPr>
          </xdr:nvSpPr>
          <xdr:spPr bwMode="auto">
            <a:xfrm>
              <a:off x="1304925" y="9658350"/>
              <a:ext cx="0" cy="1905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5" name="Line 135"/>
            <xdr:cNvSpPr>
              <a:spLocks noChangeShapeType="1"/>
            </xdr:cNvSpPr>
          </xdr:nvSpPr>
          <xdr:spPr bwMode="auto">
            <a:xfrm>
              <a:off x="1724025" y="9648825"/>
              <a:ext cx="0" cy="1809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6" name="Line 151"/>
            <xdr:cNvSpPr>
              <a:spLocks noChangeShapeType="1"/>
            </xdr:cNvSpPr>
          </xdr:nvSpPr>
          <xdr:spPr bwMode="auto">
            <a:xfrm flipV="1">
              <a:off x="1724025" y="9096375"/>
              <a:ext cx="0" cy="1619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7" name="Line 142"/>
            <xdr:cNvSpPr>
              <a:spLocks noChangeShapeType="1"/>
            </xdr:cNvSpPr>
          </xdr:nvSpPr>
          <xdr:spPr bwMode="auto">
            <a:xfrm>
              <a:off x="1743075" y="9277350"/>
              <a:ext cx="20955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8" name="Line 142"/>
            <xdr:cNvSpPr>
              <a:spLocks noChangeShapeType="1"/>
            </xdr:cNvSpPr>
          </xdr:nvSpPr>
          <xdr:spPr bwMode="auto">
            <a:xfrm>
              <a:off x="1743075" y="9391650"/>
              <a:ext cx="20955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twoCellAnchor>
    <xdr:from>
      <xdr:col>3</xdr:col>
      <xdr:colOff>756285</xdr:colOff>
      <xdr:row>39</xdr:row>
      <xdr:rowOff>161925</xdr:rowOff>
    </xdr:from>
    <xdr:to>
      <xdr:col>4</xdr:col>
      <xdr:colOff>765810</xdr:colOff>
      <xdr:row>40</xdr:row>
      <xdr:rowOff>87890</xdr:rowOff>
    </xdr:to>
    <xdr:sp macro="" textlink="">
      <xdr:nvSpPr>
        <xdr:cNvPr id="137" name="Text 219"/>
        <xdr:cNvSpPr txBox="1">
          <a:spLocks noChangeArrowheads="1"/>
        </xdr:cNvSpPr>
      </xdr:nvSpPr>
      <xdr:spPr bwMode="auto">
        <a:xfrm>
          <a:off x="2451735" y="9144000"/>
          <a:ext cx="847725" cy="154565"/>
        </a:xfrm>
        <a:prstGeom prst="rect">
          <a:avLst/>
        </a:prstGeom>
        <a:solidFill>
          <a:srgbClr val="FFFFFF"/>
        </a:solidFill>
        <a:ln w="1">
          <a:solidFill>
            <a:srgbClr val="000000"/>
          </a:solidFill>
          <a:miter lim="800000"/>
          <a:headEnd/>
          <a:tailEnd/>
        </a:ln>
      </xdr:spPr>
      <xdr:txBody>
        <a:bodyPr vertOverflow="clip" wrap="square" lIns="27432" tIns="22860" rIns="27432" bIns="0" anchor="t" upright="1"/>
        <a:lstStyle/>
        <a:p>
          <a:pPr algn="ctr" rtl="0">
            <a:defRPr sz="1000"/>
          </a:pPr>
          <a:r>
            <a:rPr lang="en-US" sz="1000" b="0" i="0" u="none" strike="noStrike" baseline="0">
              <a:solidFill>
                <a:srgbClr val="000000"/>
              </a:solidFill>
              <a:latin typeface="Times New Roman"/>
              <a:cs typeface="Times New Roman"/>
            </a:rPr>
            <a:t>051-TA13</a:t>
          </a:r>
        </a:p>
      </xdr:txBody>
    </xdr:sp>
    <xdr:clientData/>
  </xdr:twoCellAnchor>
  <xdr:twoCellAnchor>
    <xdr:from>
      <xdr:col>3</xdr:col>
      <xdr:colOff>752475</xdr:colOff>
      <xdr:row>33</xdr:row>
      <xdr:rowOff>133350</xdr:rowOff>
    </xdr:from>
    <xdr:to>
      <xdr:col>4</xdr:col>
      <xdr:colOff>723900</xdr:colOff>
      <xdr:row>34</xdr:row>
      <xdr:rowOff>59315</xdr:rowOff>
    </xdr:to>
    <xdr:sp macro="" textlink="">
      <xdr:nvSpPr>
        <xdr:cNvPr id="138" name="Text 219"/>
        <xdr:cNvSpPr txBox="1">
          <a:spLocks noChangeArrowheads="1"/>
        </xdr:cNvSpPr>
      </xdr:nvSpPr>
      <xdr:spPr bwMode="auto">
        <a:xfrm>
          <a:off x="2447925" y="7743825"/>
          <a:ext cx="809625" cy="154565"/>
        </a:xfrm>
        <a:prstGeom prst="rect">
          <a:avLst/>
        </a:prstGeom>
        <a:solidFill>
          <a:srgbClr val="FFFFFF"/>
        </a:solidFill>
        <a:ln w="1">
          <a:solidFill>
            <a:srgbClr val="000000"/>
          </a:solidFill>
          <a:miter lim="800000"/>
          <a:headEnd/>
          <a:tailEnd/>
        </a:ln>
      </xdr:spPr>
      <xdr:txBody>
        <a:bodyPr vertOverflow="clip" wrap="square" lIns="27432" tIns="22860" rIns="27432" bIns="0" anchor="t" upright="1"/>
        <a:lstStyle/>
        <a:p>
          <a:pPr algn="ctr" rtl="0">
            <a:defRPr sz="1000"/>
          </a:pPr>
          <a:r>
            <a:rPr lang="en-US" sz="1000" b="0" i="0" u="none" strike="noStrike" baseline="0">
              <a:solidFill>
                <a:srgbClr val="000000"/>
              </a:solidFill>
              <a:latin typeface="Times New Roman"/>
              <a:cs typeface="Times New Roman"/>
            </a:rPr>
            <a:t>411-TA13</a:t>
          </a:r>
        </a:p>
      </xdr:txBody>
    </xdr:sp>
    <xdr:clientData/>
  </xdr:twoCellAnchor>
  <xdr:twoCellAnchor>
    <xdr:from>
      <xdr:col>3</xdr:col>
      <xdr:colOff>723900</xdr:colOff>
      <xdr:row>27</xdr:row>
      <xdr:rowOff>123825</xdr:rowOff>
    </xdr:from>
    <xdr:to>
      <xdr:col>4</xdr:col>
      <xdr:colOff>695325</xdr:colOff>
      <xdr:row>28</xdr:row>
      <xdr:rowOff>49790</xdr:rowOff>
    </xdr:to>
    <xdr:sp macro="" textlink="">
      <xdr:nvSpPr>
        <xdr:cNvPr id="139" name="Text 219"/>
        <xdr:cNvSpPr txBox="1">
          <a:spLocks noChangeArrowheads="1"/>
        </xdr:cNvSpPr>
      </xdr:nvSpPr>
      <xdr:spPr bwMode="auto">
        <a:xfrm>
          <a:off x="2419350" y="6362700"/>
          <a:ext cx="809625" cy="154565"/>
        </a:xfrm>
        <a:prstGeom prst="rect">
          <a:avLst/>
        </a:prstGeom>
        <a:solidFill>
          <a:srgbClr val="FFFFFF"/>
        </a:solidFill>
        <a:ln w="1">
          <a:solidFill>
            <a:srgbClr val="000000"/>
          </a:solidFill>
          <a:miter lim="800000"/>
          <a:headEnd/>
          <a:tailEnd/>
        </a:ln>
      </xdr:spPr>
      <xdr:txBody>
        <a:bodyPr vertOverflow="clip" wrap="square" lIns="27432" tIns="22860" rIns="27432" bIns="0" anchor="t" upright="1"/>
        <a:lstStyle/>
        <a:p>
          <a:pPr algn="ctr" rtl="0">
            <a:defRPr sz="1000"/>
          </a:pPr>
          <a:r>
            <a:rPr lang="en-US" sz="1000" b="0" i="0" u="none" strike="noStrike" baseline="0">
              <a:solidFill>
                <a:srgbClr val="000000"/>
              </a:solidFill>
              <a:latin typeface="Times New Roman"/>
              <a:cs typeface="Times New Roman"/>
            </a:rPr>
            <a:t>311-TA13</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9</xdr:col>
      <xdr:colOff>152400</xdr:colOff>
      <xdr:row>43</xdr:row>
      <xdr:rowOff>0</xdr:rowOff>
    </xdr:from>
    <xdr:to>
      <xdr:col>9</xdr:col>
      <xdr:colOff>361950</xdr:colOff>
      <xdr:row>43</xdr:row>
      <xdr:rowOff>0</xdr:rowOff>
    </xdr:to>
    <xdr:sp macro="" textlink="">
      <xdr:nvSpPr>
        <xdr:cNvPr id="2" name="Rectangle 1"/>
        <xdr:cNvSpPr>
          <a:spLocks noChangeArrowheads="1"/>
        </xdr:cNvSpPr>
      </xdr:nvSpPr>
      <xdr:spPr bwMode="auto">
        <a:xfrm>
          <a:off x="5495925" y="9896475"/>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9</xdr:col>
      <xdr:colOff>19050</xdr:colOff>
      <xdr:row>43</xdr:row>
      <xdr:rowOff>0</xdr:rowOff>
    </xdr:from>
    <xdr:to>
      <xdr:col>9</xdr:col>
      <xdr:colOff>333375</xdr:colOff>
      <xdr:row>43</xdr:row>
      <xdr:rowOff>0</xdr:rowOff>
    </xdr:to>
    <xdr:sp macro="" textlink="">
      <xdr:nvSpPr>
        <xdr:cNvPr id="3" name="Rectangle 2"/>
        <xdr:cNvSpPr>
          <a:spLocks noChangeArrowheads="1"/>
        </xdr:cNvSpPr>
      </xdr:nvSpPr>
      <xdr:spPr bwMode="auto">
        <a:xfrm>
          <a:off x="5362575" y="9896475"/>
          <a:ext cx="3143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9</xdr:col>
      <xdr:colOff>28575</xdr:colOff>
      <xdr:row>43</xdr:row>
      <xdr:rowOff>0</xdr:rowOff>
    </xdr:from>
    <xdr:to>
      <xdr:col>9</xdr:col>
      <xdr:colOff>342900</xdr:colOff>
      <xdr:row>43</xdr:row>
      <xdr:rowOff>0</xdr:rowOff>
    </xdr:to>
    <xdr:sp macro="" textlink="">
      <xdr:nvSpPr>
        <xdr:cNvPr id="4" name="Rectangle 3"/>
        <xdr:cNvSpPr>
          <a:spLocks noChangeArrowheads="1"/>
        </xdr:cNvSpPr>
      </xdr:nvSpPr>
      <xdr:spPr bwMode="auto">
        <a:xfrm>
          <a:off x="5372100" y="9896475"/>
          <a:ext cx="3143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9</xdr:col>
      <xdr:colOff>0</xdr:colOff>
      <xdr:row>43</xdr:row>
      <xdr:rowOff>0</xdr:rowOff>
    </xdr:from>
    <xdr:to>
      <xdr:col>9</xdr:col>
      <xdr:colOff>409575</xdr:colOff>
      <xdr:row>43</xdr:row>
      <xdr:rowOff>0</xdr:rowOff>
    </xdr:to>
    <xdr:sp macro="" textlink="">
      <xdr:nvSpPr>
        <xdr:cNvPr id="5" name="Rectangle 4"/>
        <xdr:cNvSpPr>
          <a:spLocks noChangeArrowheads="1"/>
        </xdr:cNvSpPr>
      </xdr:nvSpPr>
      <xdr:spPr bwMode="auto">
        <a:xfrm>
          <a:off x="5343525" y="9896475"/>
          <a:ext cx="4095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9</xdr:col>
      <xdr:colOff>142875</xdr:colOff>
      <xdr:row>43</xdr:row>
      <xdr:rowOff>0</xdr:rowOff>
    </xdr:from>
    <xdr:to>
      <xdr:col>9</xdr:col>
      <xdr:colOff>361950</xdr:colOff>
      <xdr:row>43</xdr:row>
      <xdr:rowOff>0</xdr:rowOff>
    </xdr:to>
    <xdr:sp macro="" textlink="">
      <xdr:nvSpPr>
        <xdr:cNvPr id="6" name="Rectangle 5"/>
        <xdr:cNvSpPr>
          <a:spLocks noChangeArrowheads="1"/>
        </xdr:cNvSpPr>
      </xdr:nvSpPr>
      <xdr:spPr bwMode="auto">
        <a:xfrm>
          <a:off x="5486400" y="9896475"/>
          <a:ext cx="2190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3</xdr:col>
      <xdr:colOff>114300</xdr:colOff>
      <xdr:row>42</xdr:row>
      <xdr:rowOff>141817</xdr:rowOff>
    </xdr:from>
    <xdr:to>
      <xdr:col>3</xdr:col>
      <xdr:colOff>409575</xdr:colOff>
      <xdr:row>43</xdr:row>
      <xdr:rowOff>37042</xdr:rowOff>
    </xdr:to>
    <xdr:sp macro="" textlink="">
      <xdr:nvSpPr>
        <xdr:cNvPr id="7" name="Radius"/>
        <xdr:cNvSpPr txBox="1">
          <a:spLocks noChangeArrowheads="1"/>
        </xdr:cNvSpPr>
      </xdr:nvSpPr>
      <xdr:spPr bwMode="auto">
        <a:xfrm>
          <a:off x="1809750" y="9809692"/>
          <a:ext cx="295275" cy="123825"/>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328.0</a:t>
          </a:r>
        </a:p>
      </xdr:txBody>
    </xdr:sp>
    <xdr:clientData/>
  </xdr:twoCellAnchor>
  <xdr:twoCellAnchor>
    <xdr:from>
      <xdr:col>3</xdr:col>
      <xdr:colOff>258384</xdr:colOff>
      <xdr:row>40</xdr:row>
      <xdr:rowOff>145294</xdr:rowOff>
    </xdr:from>
    <xdr:to>
      <xdr:col>3</xdr:col>
      <xdr:colOff>545494</xdr:colOff>
      <xdr:row>41</xdr:row>
      <xdr:rowOff>9222</xdr:rowOff>
    </xdr:to>
    <xdr:sp macro="" textlink="">
      <xdr:nvSpPr>
        <xdr:cNvPr id="8" name="Height"/>
        <xdr:cNvSpPr txBox="1">
          <a:spLocks noChangeArrowheads="1"/>
        </xdr:cNvSpPr>
      </xdr:nvSpPr>
      <xdr:spPr bwMode="auto">
        <a:xfrm>
          <a:off x="1953834" y="9355969"/>
          <a:ext cx="287110" cy="92528"/>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57.5</a:t>
          </a:r>
        </a:p>
      </xdr:txBody>
    </xdr:sp>
    <xdr:clientData/>
  </xdr:twoCellAnchor>
  <xdr:twoCellAnchor>
    <xdr:from>
      <xdr:col>2</xdr:col>
      <xdr:colOff>28575</xdr:colOff>
      <xdr:row>41</xdr:row>
      <xdr:rowOff>104775</xdr:rowOff>
    </xdr:from>
    <xdr:to>
      <xdr:col>2</xdr:col>
      <xdr:colOff>285750</xdr:colOff>
      <xdr:row>41</xdr:row>
      <xdr:rowOff>219075</xdr:rowOff>
    </xdr:to>
    <xdr:sp macro="" textlink="">
      <xdr:nvSpPr>
        <xdr:cNvPr id="9" name="Clear"/>
        <xdr:cNvSpPr txBox="1">
          <a:spLocks noChangeArrowheads="1"/>
        </xdr:cNvSpPr>
      </xdr:nvSpPr>
      <xdr:spPr bwMode="auto">
        <a:xfrm>
          <a:off x="1228725" y="9544050"/>
          <a:ext cx="257175" cy="114300"/>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62.5</a:t>
          </a:r>
        </a:p>
      </xdr:txBody>
    </xdr:sp>
    <xdr:clientData/>
  </xdr:twoCellAnchor>
  <xdr:twoCellAnchor>
    <xdr:from>
      <xdr:col>2</xdr:col>
      <xdr:colOff>368753</xdr:colOff>
      <xdr:row>42</xdr:row>
      <xdr:rowOff>51557</xdr:rowOff>
    </xdr:from>
    <xdr:to>
      <xdr:col>3</xdr:col>
      <xdr:colOff>64709</xdr:colOff>
      <xdr:row>42</xdr:row>
      <xdr:rowOff>156332</xdr:rowOff>
    </xdr:to>
    <xdr:sp macro="" textlink="">
      <xdr:nvSpPr>
        <xdr:cNvPr id="10" name="Thickness"/>
        <xdr:cNvSpPr txBox="1">
          <a:spLocks noChangeArrowheads="1"/>
        </xdr:cNvSpPr>
      </xdr:nvSpPr>
      <xdr:spPr bwMode="auto">
        <a:xfrm>
          <a:off x="1568903" y="9719432"/>
          <a:ext cx="191256" cy="104775"/>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65.5</a:t>
          </a:r>
        </a:p>
      </xdr:txBody>
    </xdr:sp>
    <xdr:clientData/>
  </xdr:twoCellAnchor>
  <xdr:twoCellAnchor>
    <xdr:from>
      <xdr:col>3</xdr:col>
      <xdr:colOff>200025</xdr:colOff>
      <xdr:row>35</xdr:row>
      <xdr:rowOff>123825</xdr:rowOff>
    </xdr:from>
    <xdr:to>
      <xdr:col>3</xdr:col>
      <xdr:colOff>504825</xdr:colOff>
      <xdr:row>36</xdr:row>
      <xdr:rowOff>28575</xdr:rowOff>
    </xdr:to>
    <xdr:sp macro="" textlink="">
      <xdr:nvSpPr>
        <xdr:cNvPr id="11" name="Depth2"/>
        <xdr:cNvSpPr txBox="1">
          <a:spLocks noChangeArrowheads="1"/>
        </xdr:cNvSpPr>
      </xdr:nvSpPr>
      <xdr:spPr bwMode="auto">
        <a:xfrm>
          <a:off x="1895475" y="8191500"/>
          <a:ext cx="304800" cy="133350"/>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38.41</a:t>
          </a:r>
        </a:p>
      </xdr:txBody>
    </xdr:sp>
    <xdr:clientData/>
  </xdr:twoCellAnchor>
  <xdr:twoCellAnchor>
    <xdr:from>
      <xdr:col>1</xdr:col>
      <xdr:colOff>190500</xdr:colOff>
      <xdr:row>33</xdr:row>
      <xdr:rowOff>180975</xdr:rowOff>
    </xdr:from>
    <xdr:to>
      <xdr:col>2</xdr:col>
      <xdr:colOff>9525</xdr:colOff>
      <xdr:row>34</xdr:row>
      <xdr:rowOff>66675</xdr:rowOff>
    </xdr:to>
    <xdr:sp macro="" textlink="">
      <xdr:nvSpPr>
        <xdr:cNvPr id="12" name="Tip2"/>
        <xdr:cNvSpPr txBox="1">
          <a:spLocks noChangeArrowheads="1"/>
        </xdr:cNvSpPr>
      </xdr:nvSpPr>
      <xdr:spPr bwMode="auto">
        <a:xfrm>
          <a:off x="981075" y="7791450"/>
          <a:ext cx="228600" cy="114300"/>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3.00</a:t>
          </a:r>
        </a:p>
      </xdr:txBody>
    </xdr:sp>
    <xdr:clientData/>
  </xdr:twoCellAnchor>
  <xdr:twoCellAnchor>
    <xdr:from>
      <xdr:col>2</xdr:col>
      <xdr:colOff>161925</xdr:colOff>
      <xdr:row>33</xdr:row>
      <xdr:rowOff>38100</xdr:rowOff>
    </xdr:from>
    <xdr:to>
      <xdr:col>2</xdr:col>
      <xdr:colOff>485775</xdr:colOff>
      <xdr:row>33</xdr:row>
      <xdr:rowOff>180975</xdr:rowOff>
    </xdr:to>
    <xdr:sp macro="" textlink="">
      <xdr:nvSpPr>
        <xdr:cNvPr id="13" name="Opening"/>
        <xdr:cNvSpPr txBox="1">
          <a:spLocks noChangeArrowheads="1"/>
        </xdr:cNvSpPr>
      </xdr:nvSpPr>
      <xdr:spPr bwMode="auto">
        <a:xfrm>
          <a:off x="1362075" y="7648575"/>
          <a:ext cx="323850" cy="142875"/>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3.00</a:t>
          </a:r>
        </a:p>
      </xdr:txBody>
    </xdr:sp>
    <xdr:clientData/>
  </xdr:twoCellAnchor>
  <xdr:twoCellAnchor>
    <xdr:from>
      <xdr:col>2</xdr:col>
      <xdr:colOff>142875</xdr:colOff>
      <xdr:row>36</xdr:row>
      <xdr:rowOff>190500</xdr:rowOff>
    </xdr:from>
    <xdr:to>
      <xdr:col>3</xdr:col>
      <xdr:colOff>0</xdr:colOff>
      <xdr:row>37</xdr:row>
      <xdr:rowOff>66675</xdr:rowOff>
    </xdr:to>
    <xdr:sp macro="" textlink="">
      <xdr:nvSpPr>
        <xdr:cNvPr id="14" name="Width3"/>
        <xdr:cNvSpPr txBox="1">
          <a:spLocks noChangeArrowheads="1"/>
        </xdr:cNvSpPr>
      </xdr:nvSpPr>
      <xdr:spPr bwMode="auto">
        <a:xfrm>
          <a:off x="1343025" y="8486775"/>
          <a:ext cx="352425" cy="104775"/>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14.12</a:t>
          </a:r>
        </a:p>
      </xdr:txBody>
    </xdr:sp>
    <xdr:clientData/>
  </xdr:twoCellAnchor>
  <xdr:twoCellAnchor>
    <xdr:from>
      <xdr:col>2</xdr:col>
      <xdr:colOff>161925</xdr:colOff>
      <xdr:row>34</xdr:row>
      <xdr:rowOff>161925</xdr:rowOff>
    </xdr:from>
    <xdr:to>
      <xdr:col>2</xdr:col>
      <xdr:colOff>485775</xdr:colOff>
      <xdr:row>35</xdr:row>
      <xdr:rowOff>66675</xdr:rowOff>
    </xdr:to>
    <xdr:sp macro="" textlink="">
      <xdr:nvSpPr>
        <xdr:cNvPr id="15" name="Width2"/>
        <xdr:cNvSpPr txBox="1">
          <a:spLocks noChangeArrowheads="1"/>
        </xdr:cNvSpPr>
      </xdr:nvSpPr>
      <xdr:spPr bwMode="auto">
        <a:xfrm>
          <a:off x="1362075" y="8001000"/>
          <a:ext cx="323850" cy="133350"/>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5.72</a:t>
          </a:r>
        </a:p>
      </xdr:txBody>
    </xdr:sp>
    <xdr:clientData/>
  </xdr:twoCellAnchor>
  <xdr:twoCellAnchor>
    <xdr:from>
      <xdr:col>1</xdr:col>
      <xdr:colOff>390525</xdr:colOff>
      <xdr:row>33</xdr:row>
      <xdr:rowOff>171450</xdr:rowOff>
    </xdr:from>
    <xdr:to>
      <xdr:col>3</xdr:col>
      <xdr:colOff>352425</xdr:colOff>
      <xdr:row>37</xdr:row>
      <xdr:rowOff>209550</xdr:rowOff>
    </xdr:to>
    <xdr:grpSp>
      <xdr:nvGrpSpPr>
        <xdr:cNvPr id="16" name="Group 190"/>
        <xdr:cNvGrpSpPr>
          <a:grpSpLocks/>
        </xdr:cNvGrpSpPr>
      </xdr:nvGrpSpPr>
      <xdr:grpSpPr bwMode="auto">
        <a:xfrm>
          <a:off x="1181100" y="7781925"/>
          <a:ext cx="866775" cy="952500"/>
          <a:chOff x="120" y="793"/>
          <a:chExt cx="91" cy="100"/>
        </a:xfrm>
      </xdr:grpSpPr>
      <xdr:sp macro="" textlink="">
        <xdr:nvSpPr>
          <xdr:cNvPr id="17" name="Line 100"/>
          <xdr:cNvSpPr>
            <a:spLocks noChangeShapeType="1"/>
          </xdr:cNvSpPr>
        </xdr:nvSpPr>
        <xdr:spPr bwMode="auto">
          <a:xfrm>
            <a:off x="139" y="813"/>
            <a:ext cx="32"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8" name="Line 149"/>
          <xdr:cNvSpPr>
            <a:spLocks noChangeShapeType="1"/>
          </xdr:cNvSpPr>
        </xdr:nvSpPr>
        <xdr:spPr bwMode="auto">
          <a:xfrm>
            <a:off x="128" y="793"/>
            <a:ext cx="1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9" name="Line 150"/>
          <xdr:cNvSpPr>
            <a:spLocks noChangeShapeType="1"/>
          </xdr:cNvSpPr>
        </xdr:nvSpPr>
        <xdr:spPr bwMode="auto">
          <a:xfrm flipH="1">
            <a:off x="164" y="793"/>
            <a:ext cx="1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0" name="Line 151"/>
          <xdr:cNvSpPr>
            <a:spLocks noChangeShapeType="1"/>
          </xdr:cNvSpPr>
        </xdr:nvSpPr>
        <xdr:spPr bwMode="auto">
          <a:xfrm flipH="1">
            <a:off x="127" y="879"/>
            <a:ext cx="19" cy="0"/>
          </a:xfrm>
          <a:prstGeom prst="line">
            <a:avLst/>
          </a:prstGeom>
          <a:noFill/>
          <a:ln w="9525">
            <a:solidFill>
              <a:srgbClr val="000000"/>
            </a:solidFill>
            <a:round/>
            <a:headEnd/>
            <a:tailEnd type="arrow" w="sm" len="sm"/>
          </a:ln>
          <a:extLst>
            <a:ext uri="{909E8E84-426E-40DD-AFC4-6F175D3DCCD1}">
              <a14:hiddenFill xmlns:a14="http://schemas.microsoft.com/office/drawing/2010/main">
                <a:noFill/>
              </a14:hiddenFill>
            </a:ext>
          </a:extLst>
        </xdr:spPr>
      </xdr:sp>
      <xdr:sp macro="" textlink="">
        <xdr:nvSpPr>
          <xdr:cNvPr id="21" name="Line 152"/>
          <xdr:cNvSpPr>
            <a:spLocks noChangeShapeType="1"/>
          </xdr:cNvSpPr>
        </xdr:nvSpPr>
        <xdr:spPr bwMode="auto">
          <a:xfrm>
            <a:off x="147" y="880"/>
            <a:ext cx="37" cy="0"/>
          </a:xfrm>
          <a:prstGeom prst="line">
            <a:avLst/>
          </a:prstGeom>
          <a:noFill/>
          <a:ln w="9525">
            <a:solidFill>
              <a:srgbClr val="000000"/>
            </a:solidFill>
            <a:round/>
            <a:headEnd/>
            <a:tailEnd type="arrow" w="sm" len="sm"/>
          </a:ln>
          <a:extLst>
            <a:ext uri="{909E8E84-426E-40DD-AFC4-6F175D3DCCD1}">
              <a14:hiddenFill xmlns:a14="http://schemas.microsoft.com/office/drawing/2010/main">
                <a:noFill/>
              </a14:hiddenFill>
            </a:ext>
          </a:extLst>
        </xdr:spPr>
      </xdr:sp>
      <xdr:sp macro="" textlink="">
        <xdr:nvSpPr>
          <xdr:cNvPr id="22" name="Line 156"/>
          <xdr:cNvSpPr>
            <a:spLocks noChangeShapeType="1"/>
          </xdr:cNvSpPr>
        </xdr:nvSpPr>
        <xdr:spPr bwMode="auto">
          <a:xfrm flipV="1">
            <a:off x="194" y="893"/>
            <a:ext cx="1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3" name="Line 157"/>
          <xdr:cNvSpPr>
            <a:spLocks noChangeShapeType="1"/>
          </xdr:cNvSpPr>
        </xdr:nvSpPr>
        <xdr:spPr bwMode="auto">
          <a:xfrm flipV="1">
            <a:off x="204" y="794"/>
            <a:ext cx="0" cy="38"/>
          </a:xfrm>
          <a:prstGeom prst="line">
            <a:avLst/>
          </a:prstGeom>
          <a:noFill/>
          <a:ln w="9525">
            <a:solidFill>
              <a:srgbClr val="000000"/>
            </a:solidFill>
            <a:round/>
            <a:headEnd/>
            <a:tailEnd type="arrow" w="sm" len="sm"/>
          </a:ln>
          <a:extLst>
            <a:ext uri="{909E8E84-426E-40DD-AFC4-6F175D3DCCD1}">
              <a14:hiddenFill xmlns:a14="http://schemas.microsoft.com/office/drawing/2010/main">
                <a:noFill/>
              </a14:hiddenFill>
            </a:ext>
          </a:extLst>
        </xdr:spPr>
      </xdr:sp>
      <xdr:sp macro="" textlink="">
        <xdr:nvSpPr>
          <xdr:cNvPr id="24" name="Line 158"/>
          <xdr:cNvSpPr>
            <a:spLocks noChangeShapeType="1"/>
          </xdr:cNvSpPr>
        </xdr:nvSpPr>
        <xdr:spPr bwMode="auto">
          <a:xfrm>
            <a:off x="204" y="849"/>
            <a:ext cx="0" cy="43"/>
          </a:xfrm>
          <a:prstGeom prst="line">
            <a:avLst/>
          </a:prstGeom>
          <a:noFill/>
          <a:ln w="9525">
            <a:solidFill>
              <a:srgbClr val="000000"/>
            </a:solidFill>
            <a:round/>
            <a:headEnd/>
            <a:tailEnd type="arrow" w="sm" len="sm"/>
          </a:ln>
          <a:extLst>
            <a:ext uri="{909E8E84-426E-40DD-AFC4-6F175D3DCCD1}">
              <a14:hiddenFill xmlns:a14="http://schemas.microsoft.com/office/drawing/2010/main">
                <a:noFill/>
              </a14:hiddenFill>
            </a:ext>
          </a:extLst>
        </xdr:spPr>
      </xdr:sp>
      <xdr:sp macro="" textlink="">
        <xdr:nvSpPr>
          <xdr:cNvPr id="25" name="Line 159"/>
          <xdr:cNvSpPr>
            <a:spLocks noChangeShapeType="1"/>
          </xdr:cNvSpPr>
        </xdr:nvSpPr>
        <xdr:spPr bwMode="auto">
          <a:xfrm>
            <a:off x="194" y="793"/>
            <a:ext cx="1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6" name="Line 160"/>
          <xdr:cNvSpPr>
            <a:spLocks noChangeShapeType="1"/>
          </xdr:cNvSpPr>
        </xdr:nvSpPr>
        <xdr:spPr bwMode="auto">
          <a:xfrm flipH="1">
            <a:off x="120" y="804"/>
            <a:ext cx="26"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7" name="Line 161"/>
          <xdr:cNvSpPr>
            <a:spLocks noChangeShapeType="1"/>
          </xdr:cNvSpPr>
        </xdr:nvSpPr>
        <xdr:spPr bwMode="auto">
          <a:xfrm flipV="1">
            <a:off x="127" y="874"/>
            <a:ext cx="0" cy="19"/>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8" name="Line 162"/>
          <xdr:cNvSpPr>
            <a:spLocks noChangeShapeType="1"/>
          </xdr:cNvSpPr>
        </xdr:nvSpPr>
        <xdr:spPr bwMode="auto">
          <a:xfrm flipV="1">
            <a:off x="184" y="871"/>
            <a:ext cx="0" cy="2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9" name="Line 163"/>
          <xdr:cNvSpPr>
            <a:spLocks noChangeShapeType="1"/>
          </xdr:cNvSpPr>
        </xdr:nvSpPr>
        <xdr:spPr bwMode="auto">
          <a:xfrm flipV="1">
            <a:off x="137" y="804"/>
            <a:ext cx="10" cy="9"/>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0" name="Line 164"/>
          <xdr:cNvSpPr>
            <a:spLocks noChangeShapeType="1"/>
          </xdr:cNvSpPr>
        </xdr:nvSpPr>
        <xdr:spPr bwMode="auto">
          <a:xfrm flipH="1">
            <a:off x="127" y="813"/>
            <a:ext cx="10" cy="79"/>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1" name="Line 165"/>
          <xdr:cNvSpPr>
            <a:spLocks noChangeShapeType="1"/>
          </xdr:cNvSpPr>
        </xdr:nvSpPr>
        <xdr:spPr bwMode="auto">
          <a:xfrm flipV="1">
            <a:off x="147" y="793"/>
            <a:ext cx="0" cy="11"/>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2" name="Line 166"/>
          <xdr:cNvSpPr>
            <a:spLocks noChangeShapeType="1"/>
          </xdr:cNvSpPr>
        </xdr:nvSpPr>
        <xdr:spPr bwMode="auto">
          <a:xfrm>
            <a:off x="164" y="793"/>
            <a:ext cx="0" cy="11"/>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3" name="Line 168"/>
          <xdr:cNvSpPr>
            <a:spLocks noChangeShapeType="1"/>
          </xdr:cNvSpPr>
        </xdr:nvSpPr>
        <xdr:spPr bwMode="auto">
          <a:xfrm>
            <a:off x="132" y="793"/>
            <a:ext cx="0" cy="11"/>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4" name="Line 169"/>
          <xdr:cNvSpPr>
            <a:spLocks noChangeShapeType="1"/>
          </xdr:cNvSpPr>
        </xdr:nvSpPr>
        <xdr:spPr bwMode="auto">
          <a:xfrm flipH="1" flipV="1">
            <a:off x="132" y="793"/>
            <a:ext cx="2" cy="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5" name="Line 170"/>
          <xdr:cNvSpPr>
            <a:spLocks noChangeShapeType="1"/>
          </xdr:cNvSpPr>
        </xdr:nvSpPr>
        <xdr:spPr bwMode="auto">
          <a:xfrm flipV="1">
            <a:off x="130" y="793"/>
            <a:ext cx="2" cy="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6" name="Line 171"/>
          <xdr:cNvSpPr>
            <a:spLocks noChangeShapeType="1"/>
          </xdr:cNvSpPr>
        </xdr:nvSpPr>
        <xdr:spPr bwMode="auto">
          <a:xfrm flipV="1">
            <a:off x="132" y="800"/>
            <a:ext cx="2" cy="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7" name="Line 172"/>
          <xdr:cNvSpPr>
            <a:spLocks noChangeShapeType="1"/>
          </xdr:cNvSpPr>
        </xdr:nvSpPr>
        <xdr:spPr bwMode="auto">
          <a:xfrm flipH="1" flipV="1">
            <a:off x="130" y="800"/>
            <a:ext cx="2" cy="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8" name="Line 173"/>
          <xdr:cNvSpPr>
            <a:spLocks noChangeShapeType="1"/>
          </xdr:cNvSpPr>
        </xdr:nvSpPr>
        <xdr:spPr bwMode="auto">
          <a:xfrm>
            <a:off x="173" y="813"/>
            <a:ext cx="11" cy="79"/>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9" name="Line 174"/>
          <xdr:cNvSpPr>
            <a:spLocks noChangeShapeType="1"/>
          </xdr:cNvSpPr>
        </xdr:nvSpPr>
        <xdr:spPr bwMode="auto">
          <a:xfrm>
            <a:off x="164" y="805"/>
            <a:ext cx="9" cy="8"/>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0" name="Line 175"/>
          <xdr:cNvSpPr>
            <a:spLocks noChangeShapeType="1"/>
          </xdr:cNvSpPr>
        </xdr:nvSpPr>
        <xdr:spPr bwMode="auto">
          <a:xfrm>
            <a:off x="127" y="893"/>
            <a:ext cx="5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1" name="Line 176"/>
          <xdr:cNvSpPr>
            <a:spLocks noChangeShapeType="1"/>
          </xdr:cNvSpPr>
        </xdr:nvSpPr>
        <xdr:spPr bwMode="auto">
          <a:xfrm>
            <a:off x="147" y="796"/>
            <a:ext cx="1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2" name="Line 177"/>
          <xdr:cNvSpPr>
            <a:spLocks noChangeShapeType="1"/>
          </xdr:cNvSpPr>
        </xdr:nvSpPr>
        <xdr:spPr bwMode="auto">
          <a:xfrm flipH="1">
            <a:off x="147" y="794"/>
            <a:ext cx="3" cy="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3" name="Line 178"/>
          <xdr:cNvSpPr>
            <a:spLocks noChangeShapeType="1"/>
          </xdr:cNvSpPr>
        </xdr:nvSpPr>
        <xdr:spPr bwMode="auto">
          <a:xfrm flipH="1" flipV="1">
            <a:off x="147" y="796"/>
            <a:ext cx="3" cy="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4" name="Line 179"/>
          <xdr:cNvSpPr>
            <a:spLocks noChangeShapeType="1"/>
          </xdr:cNvSpPr>
        </xdr:nvSpPr>
        <xdr:spPr bwMode="auto">
          <a:xfrm flipH="1">
            <a:off x="147" y="794"/>
            <a:ext cx="3" cy="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5" name="Line 180"/>
          <xdr:cNvSpPr>
            <a:spLocks noChangeShapeType="1"/>
          </xdr:cNvSpPr>
        </xdr:nvSpPr>
        <xdr:spPr bwMode="auto">
          <a:xfrm flipV="1">
            <a:off x="161" y="796"/>
            <a:ext cx="3" cy="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6" name="Line 181"/>
          <xdr:cNvSpPr>
            <a:spLocks noChangeShapeType="1"/>
          </xdr:cNvSpPr>
        </xdr:nvSpPr>
        <xdr:spPr bwMode="auto">
          <a:xfrm>
            <a:off x="161" y="794"/>
            <a:ext cx="3" cy="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7" name="Line 182"/>
          <xdr:cNvSpPr>
            <a:spLocks noChangeShapeType="1"/>
          </xdr:cNvSpPr>
        </xdr:nvSpPr>
        <xdr:spPr bwMode="auto">
          <a:xfrm flipH="1" flipV="1">
            <a:off x="139" y="813"/>
            <a:ext cx="4" cy="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8" name="Line 183"/>
          <xdr:cNvSpPr>
            <a:spLocks noChangeShapeType="1"/>
          </xdr:cNvSpPr>
        </xdr:nvSpPr>
        <xdr:spPr bwMode="auto">
          <a:xfrm flipV="1">
            <a:off x="168" y="813"/>
            <a:ext cx="3" cy="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9" name="Line 184"/>
          <xdr:cNvSpPr>
            <a:spLocks noChangeShapeType="1"/>
          </xdr:cNvSpPr>
        </xdr:nvSpPr>
        <xdr:spPr bwMode="auto">
          <a:xfrm flipH="1" flipV="1">
            <a:off x="168" y="811"/>
            <a:ext cx="3" cy="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0" name="Line 185"/>
          <xdr:cNvSpPr>
            <a:spLocks noChangeShapeType="1"/>
          </xdr:cNvSpPr>
        </xdr:nvSpPr>
        <xdr:spPr bwMode="auto">
          <a:xfrm flipV="1">
            <a:off x="139" y="811"/>
            <a:ext cx="4" cy="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3</xdr:col>
      <xdr:colOff>123825</xdr:colOff>
      <xdr:row>29</xdr:row>
      <xdr:rowOff>85725</xdr:rowOff>
    </xdr:from>
    <xdr:to>
      <xdr:col>3</xdr:col>
      <xdr:colOff>409575</xdr:colOff>
      <xdr:row>29</xdr:row>
      <xdr:rowOff>209550</xdr:rowOff>
    </xdr:to>
    <xdr:sp macro="" textlink="">
      <xdr:nvSpPr>
        <xdr:cNvPr id="51" name="Depth"/>
        <xdr:cNvSpPr txBox="1">
          <a:spLocks noChangeArrowheads="1"/>
        </xdr:cNvSpPr>
      </xdr:nvSpPr>
      <xdr:spPr bwMode="auto">
        <a:xfrm>
          <a:off x="1819275" y="6781800"/>
          <a:ext cx="285750" cy="123825"/>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73.0</a:t>
          </a:r>
        </a:p>
      </xdr:txBody>
    </xdr:sp>
    <xdr:clientData/>
  </xdr:twoCellAnchor>
  <xdr:twoCellAnchor>
    <xdr:from>
      <xdr:col>1</xdr:col>
      <xdr:colOff>38100</xdr:colOff>
      <xdr:row>31</xdr:row>
      <xdr:rowOff>0</xdr:rowOff>
    </xdr:from>
    <xdr:to>
      <xdr:col>2</xdr:col>
      <xdr:colOff>19050</xdr:colOff>
      <xdr:row>31</xdr:row>
      <xdr:rowOff>104775</xdr:rowOff>
    </xdr:to>
    <xdr:sp macro="" textlink="">
      <xdr:nvSpPr>
        <xdr:cNvPr id="52" name="Tip"/>
        <xdr:cNvSpPr txBox="1">
          <a:spLocks noChangeArrowheads="1"/>
        </xdr:cNvSpPr>
      </xdr:nvSpPr>
      <xdr:spPr bwMode="auto">
        <a:xfrm>
          <a:off x="828675" y="7153275"/>
          <a:ext cx="390525" cy="104775"/>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13.15</a:t>
          </a:r>
        </a:p>
      </xdr:txBody>
    </xdr:sp>
    <xdr:clientData/>
  </xdr:twoCellAnchor>
  <xdr:twoCellAnchor>
    <xdr:from>
      <xdr:col>2</xdr:col>
      <xdr:colOff>142875</xdr:colOff>
      <xdr:row>26</xdr:row>
      <xdr:rowOff>200025</xdr:rowOff>
    </xdr:from>
    <xdr:to>
      <xdr:col>3</xdr:col>
      <xdr:colOff>47625</xdr:colOff>
      <xdr:row>27</xdr:row>
      <xdr:rowOff>66675</xdr:rowOff>
    </xdr:to>
    <xdr:sp macro="" textlink="">
      <xdr:nvSpPr>
        <xdr:cNvPr id="53" name="Width"/>
        <xdr:cNvSpPr txBox="1">
          <a:spLocks noChangeArrowheads="1"/>
        </xdr:cNvSpPr>
      </xdr:nvSpPr>
      <xdr:spPr bwMode="auto">
        <a:xfrm>
          <a:off x="1343025" y="6210300"/>
          <a:ext cx="400050" cy="95250"/>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17.3</a:t>
          </a:r>
        </a:p>
      </xdr:txBody>
    </xdr:sp>
    <xdr:clientData/>
  </xdr:twoCellAnchor>
  <xdr:twoCellAnchor>
    <xdr:from>
      <xdr:col>1</xdr:col>
      <xdr:colOff>333375</xdr:colOff>
      <xdr:row>27</xdr:row>
      <xdr:rowOff>57150</xdr:rowOff>
    </xdr:from>
    <xdr:to>
      <xdr:col>3</xdr:col>
      <xdr:colOff>371475</xdr:colOff>
      <xdr:row>31</xdr:row>
      <xdr:rowOff>219075</xdr:rowOff>
    </xdr:to>
    <xdr:grpSp>
      <xdr:nvGrpSpPr>
        <xdr:cNvPr id="54" name="Group 254"/>
        <xdr:cNvGrpSpPr>
          <a:grpSpLocks/>
        </xdr:cNvGrpSpPr>
      </xdr:nvGrpSpPr>
      <xdr:grpSpPr bwMode="auto">
        <a:xfrm>
          <a:off x="1123950" y="6296025"/>
          <a:ext cx="942975" cy="1076325"/>
          <a:chOff x="118" y="637"/>
          <a:chExt cx="99" cy="113"/>
        </a:xfrm>
      </xdr:grpSpPr>
      <xdr:sp macro="" textlink="">
        <xdr:nvSpPr>
          <xdr:cNvPr id="55" name="Line 229"/>
          <xdr:cNvSpPr>
            <a:spLocks noChangeShapeType="1"/>
          </xdr:cNvSpPr>
        </xdr:nvSpPr>
        <xdr:spPr bwMode="auto">
          <a:xfrm flipH="1">
            <a:off x="182" y="651"/>
            <a:ext cx="1" cy="1"/>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6" name="Line 230"/>
          <xdr:cNvSpPr>
            <a:spLocks noChangeShapeType="1"/>
          </xdr:cNvSpPr>
        </xdr:nvSpPr>
        <xdr:spPr bwMode="auto">
          <a:xfrm flipH="1">
            <a:off x="134" y="652"/>
            <a:ext cx="4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7" name="Line 231"/>
          <xdr:cNvSpPr>
            <a:spLocks noChangeShapeType="1"/>
          </xdr:cNvSpPr>
        </xdr:nvSpPr>
        <xdr:spPr bwMode="auto">
          <a:xfrm>
            <a:off x="183" y="651"/>
            <a:ext cx="0" cy="7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8" name="Line 232"/>
          <xdr:cNvSpPr>
            <a:spLocks noChangeShapeType="1"/>
          </xdr:cNvSpPr>
        </xdr:nvSpPr>
        <xdr:spPr bwMode="auto">
          <a:xfrm>
            <a:off x="136" y="652"/>
            <a:ext cx="0" cy="7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9" name="Line 233"/>
          <xdr:cNvSpPr>
            <a:spLocks noChangeShapeType="1"/>
          </xdr:cNvSpPr>
        </xdr:nvSpPr>
        <xdr:spPr bwMode="auto">
          <a:xfrm>
            <a:off x="130" y="724"/>
            <a:ext cx="0" cy="6"/>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0" name="Line 234"/>
          <xdr:cNvSpPr>
            <a:spLocks noChangeShapeType="1"/>
          </xdr:cNvSpPr>
        </xdr:nvSpPr>
        <xdr:spPr bwMode="auto">
          <a:xfrm flipH="1">
            <a:off x="190" y="729"/>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1" name="Line 235"/>
          <xdr:cNvSpPr>
            <a:spLocks noChangeShapeType="1"/>
          </xdr:cNvSpPr>
        </xdr:nvSpPr>
        <xdr:spPr bwMode="auto">
          <a:xfrm>
            <a:off x="130" y="730"/>
            <a:ext cx="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2" name="Line 236"/>
          <xdr:cNvSpPr>
            <a:spLocks noChangeShapeType="1"/>
          </xdr:cNvSpPr>
        </xdr:nvSpPr>
        <xdr:spPr bwMode="auto">
          <a:xfrm>
            <a:off x="182" y="729"/>
            <a:ext cx="0" cy="9"/>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3" name="Line 237"/>
          <xdr:cNvSpPr>
            <a:spLocks noChangeShapeType="1"/>
          </xdr:cNvSpPr>
        </xdr:nvSpPr>
        <xdr:spPr bwMode="auto">
          <a:xfrm>
            <a:off x="137" y="731"/>
            <a:ext cx="0" cy="8"/>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4" name="Line 238"/>
          <xdr:cNvSpPr>
            <a:spLocks noChangeShapeType="1"/>
          </xdr:cNvSpPr>
        </xdr:nvSpPr>
        <xdr:spPr bwMode="auto">
          <a:xfrm>
            <a:off x="182" y="739"/>
            <a:ext cx="13"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5" name="Line 239"/>
          <xdr:cNvSpPr>
            <a:spLocks noChangeShapeType="1"/>
          </xdr:cNvSpPr>
        </xdr:nvSpPr>
        <xdr:spPr bwMode="auto">
          <a:xfrm flipH="1">
            <a:off x="121" y="739"/>
            <a:ext cx="16"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6" name="Line 240"/>
          <xdr:cNvSpPr>
            <a:spLocks noChangeShapeType="1"/>
          </xdr:cNvSpPr>
        </xdr:nvSpPr>
        <xdr:spPr bwMode="auto">
          <a:xfrm>
            <a:off x="190" y="653"/>
            <a:ext cx="2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7" name="Line 241"/>
          <xdr:cNvSpPr>
            <a:spLocks noChangeShapeType="1"/>
          </xdr:cNvSpPr>
        </xdr:nvSpPr>
        <xdr:spPr bwMode="auto">
          <a:xfrm flipV="1">
            <a:off x="200" y="654"/>
            <a:ext cx="0" cy="31"/>
          </a:xfrm>
          <a:prstGeom prst="line">
            <a:avLst/>
          </a:prstGeom>
          <a:noFill/>
          <a:ln w="9525">
            <a:solidFill>
              <a:srgbClr val="000000"/>
            </a:solidFill>
            <a:round/>
            <a:headEnd/>
            <a:tailEnd type="arrow" w="med" len="sm"/>
          </a:ln>
          <a:extLst>
            <a:ext uri="{909E8E84-426E-40DD-AFC4-6F175D3DCCD1}">
              <a14:hiddenFill xmlns:a14="http://schemas.microsoft.com/office/drawing/2010/main">
                <a:noFill/>
              </a14:hiddenFill>
            </a:ext>
          </a:extLst>
        </xdr:spPr>
      </xdr:sp>
      <xdr:sp macro="" textlink="">
        <xdr:nvSpPr>
          <xdr:cNvPr id="68" name="Line 242"/>
          <xdr:cNvSpPr>
            <a:spLocks noChangeShapeType="1"/>
          </xdr:cNvSpPr>
        </xdr:nvSpPr>
        <xdr:spPr bwMode="auto">
          <a:xfrm>
            <a:off x="200" y="708"/>
            <a:ext cx="0" cy="29"/>
          </a:xfrm>
          <a:prstGeom prst="line">
            <a:avLst/>
          </a:prstGeom>
          <a:noFill/>
          <a:ln w="9525">
            <a:solidFill>
              <a:srgbClr val="000000"/>
            </a:solidFill>
            <a:round/>
            <a:headEnd/>
            <a:tailEnd type="arrow" w="med" len="sm"/>
          </a:ln>
          <a:extLst>
            <a:ext uri="{909E8E84-426E-40DD-AFC4-6F175D3DCCD1}">
              <a14:hiddenFill xmlns:a14="http://schemas.microsoft.com/office/drawing/2010/main">
                <a:noFill/>
              </a14:hiddenFill>
            </a:ext>
          </a:extLst>
        </xdr:spPr>
      </xdr:sp>
      <xdr:sp macro="" textlink="">
        <xdr:nvSpPr>
          <xdr:cNvPr id="69" name="Line 243"/>
          <xdr:cNvSpPr>
            <a:spLocks noChangeShapeType="1"/>
          </xdr:cNvSpPr>
        </xdr:nvSpPr>
        <xdr:spPr bwMode="auto">
          <a:xfrm flipV="1">
            <a:off x="124" y="740"/>
            <a:ext cx="0" cy="10"/>
          </a:xfrm>
          <a:prstGeom prst="line">
            <a:avLst/>
          </a:prstGeom>
          <a:noFill/>
          <a:ln w="9525">
            <a:solidFill>
              <a:srgbClr val="000000"/>
            </a:solidFill>
            <a:round/>
            <a:headEnd/>
            <a:tailEnd type="arrow" w="sm" len="sm"/>
          </a:ln>
          <a:extLst>
            <a:ext uri="{909E8E84-426E-40DD-AFC4-6F175D3DCCD1}">
              <a14:hiddenFill xmlns:a14="http://schemas.microsoft.com/office/drawing/2010/main">
                <a:noFill/>
              </a14:hiddenFill>
            </a:ext>
          </a:extLst>
        </xdr:spPr>
      </xdr:sp>
      <xdr:sp macro="" textlink="">
        <xdr:nvSpPr>
          <xdr:cNvPr id="70" name="Line 244"/>
          <xdr:cNvSpPr>
            <a:spLocks noChangeShapeType="1"/>
          </xdr:cNvSpPr>
        </xdr:nvSpPr>
        <xdr:spPr bwMode="auto">
          <a:xfrm>
            <a:off x="122" y="714"/>
            <a:ext cx="0" cy="8"/>
          </a:xfrm>
          <a:prstGeom prst="line">
            <a:avLst/>
          </a:prstGeom>
          <a:noFill/>
          <a:ln w="9525">
            <a:solidFill>
              <a:srgbClr val="000000"/>
            </a:solidFill>
            <a:round/>
            <a:headEnd/>
            <a:tailEnd type="arrow" w="sm" len="sm"/>
          </a:ln>
          <a:extLst>
            <a:ext uri="{909E8E84-426E-40DD-AFC4-6F175D3DCCD1}">
              <a14:hiddenFill xmlns:a14="http://schemas.microsoft.com/office/drawing/2010/main">
                <a:noFill/>
              </a14:hiddenFill>
            </a:ext>
          </a:extLst>
        </xdr:spPr>
      </xdr:sp>
      <xdr:sp macro="" textlink="">
        <xdr:nvSpPr>
          <xdr:cNvPr id="71" name="Line 245"/>
          <xdr:cNvSpPr>
            <a:spLocks noChangeShapeType="1"/>
          </xdr:cNvSpPr>
        </xdr:nvSpPr>
        <xdr:spPr bwMode="auto">
          <a:xfrm>
            <a:off x="118" y="724"/>
            <a:ext cx="1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2" name="Line 246"/>
          <xdr:cNvSpPr>
            <a:spLocks noChangeShapeType="1"/>
          </xdr:cNvSpPr>
        </xdr:nvSpPr>
        <xdr:spPr bwMode="auto">
          <a:xfrm flipV="1">
            <a:off x="183" y="637"/>
            <a:ext cx="0" cy="1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3" name="Line 247"/>
          <xdr:cNvSpPr>
            <a:spLocks noChangeShapeType="1"/>
          </xdr:cNvSpPr>
        </xdr:nvSpPr>
        <xdr:spPr bwMode="auto">
          <a:xfrm flipV="1">
            <a:off x="135" y="638"/>
            <a:ext cx="0" cy="9"/>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4" name="Line 248"/>
          <xdr:cNvSpPr>
            <a:spLocks noChangeShapeType="1"/>
          </xdr:cNvSpPr>
        </xdr:nvSpPr>
        <xdr:spPr bwMode="auto">
          <a:xfrm>
            <a:off x="144" y="643"/>
            <a:ext cx="36" cy="0"/>
          </a:xfrm>
          <a:prstGeom prst="line">
            <a:avLst/>
          </a:prstGeom>
          <a:noFill/>
          <a:ln w="9525">
            <a:solidFill>
              <a:srgbClr val="000000"/>
            </a:solidFill>
            <a:round/>
            <a:headEnd/>
            <a:tailEnd type="arrow" w="sm" len="sm"/>
          </a:ln>
          <a:extLst>
            <a:ext uri="{909E8E84-426E-40DD-AFC4-6F175D3DCCD1}">
              <a14:hiddenFill xmlns:a14="http://schemas.microsoft.com/office/drawing/2010/main">
                <a:noFill/>
              </a14:hiddenFill>
            </a:ext>
          </a:extLst>
        </xdr:spPr>
      </xdr:sp>
      <xdr:sp macro="" textlink="">
        <xdr:nvSpPr>
          <xdr:cNvPr id="75" name="Line 249"/>
          <xdr:cNvSpPr>
            <a:spLocks noChangeShapeType="1"/>
          </xdr:cNvSpPr>
        </xdr:nvSpPr>
        <xdr:spPr bwMode="auto">
          <a:xfrm flipH="1">
            <a:off x="139" y="643"/>
            <a:ext cx="6" cy="0"/>
          </a:xfrm>
          <a:prstGeom prst="line">
            <a:avLst/>
          </a:prstGeom>
          <a:noFill/>
          <a:ln w="9525">
            <a:solidFill>
              <a:srgbClr val="000000"/>
            </a:solidFill>
            <a:round/>
            <a:headEnd/>
            <a:tailEnd type="arrow" w="sm" len="sm"/>
          </a:ln>
          <a:extLst>
            <a:ext uri="{909E8E84-426E-40DD-AFC4-6F175D3DCCD1}">
              <a14:hiddenFill xmlns:a14="http://schemas.microsoft.com/office/drawing/2010/main">
                <a:noFill/>
              </a14:hiddenFill>
            </a:ext>
          </a:extLst>
        </xdr:spPr>
      </xdr:sp>
      <xdr:sp macro="" textlink="">
        <xdr:nvSpPr>
          <xdr:cNvPr id="76" name="Line 250"/>
          <xdr:cNvSpPr>
            <a:spLocks noChangeShapeType="1"/>
          </xdr:cNvSpPr>
        </xdr:nvSpPr>
        <xdr:spPr bwMode="auto">
          <a:xfrm>
            <a:off x="130" y="724"/>
            <a:ext cx="6"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7" name="Line 251"/>
          <xdr:cNvSpPr>
            <a:spLocks noChangeShapeType="1"/>
          </xdr:cNvSpPr>
        </xdr:nvSpPr>
        <xdr:spPr bwMode="auto">
          <a:xfrm>
            <a:off x="182" y="730"/>
            <a:ext cx="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8" name="Line 252"/>
          <xdr:cNvSpPr>
            <a:spLocks noChangeShapeType="1"/>
          </xdr:cNvSpPr>
        </xdr:nvSpPr>
        <xdr:spPr bwMode="auto">
          <a:xfrm flipV="1">
            <a:off x="190" y="722"/>
            <a:ext cx="0" cy="6"/>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9" name="Line 253"/>
          <xdr:cNvSpPr>
            <a:spLocks noChangeShapeType="1"/>
          </xdr:cNvSpPr>
        </xdr:nvSpPr>
        <xdr:spPr bwMode="auto">
          <a:xfrm>
            <a:off x="183" y="723"/>
            <a:ext cx="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9</xdr:col>
      <xdr:colOff>152400</xdr:colOff>
      <xdr:row>44</xdr:row>
      <xdr:rowOff>0</xdr:rowOff>
    </xdr:from>
    <xdr:to>
      <xdr:col>9</xdr:col>
      <xdr:colOff>361950</xdr:colOff>
      <xdr:row>44</xdr:row>
      <xdr:rowOff>0</xdr:rowOff>
    </xdr:to>
    <xdr:sp macro="" textlink="">
      <xdr:nvSpPr>
        <xdr:cNvPr id="80" name="Rectangle 255"/>
        <xdr:cNvSpPr>
          <a:spLocks noChangeArrowheads="1"/>
        </xdr:cNvSpPr>
      </xdr:nvSpPr>
      <xdr:spPr bwMode="auto">
        <a:xfrm>
          <a:off x="5495925" y="10106025"/>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9</xdr:col>
      <xdr:colOff>19050</xdr:colOff>
      <xdr:row>44</xdr:row>
      <xdr:rowOff>0</xdr:rowOff>
    </xdr:from>
    <xdr:to>
      <xdr:col>9</xdr:col>
      <xdr:colOff>333375</xdr:colOff>
      <xdr:row>44</xdr:row>
      <xdr:rowOff>0</xdr:rowOff>
    </xdr:to>
    <xdr:sp macro="" textlink="">
      <xdr:nvSpPr>
        <xdr:cNvPr id="81" name="Rectangle 256"/>
        <xdr:cNvSpPr>
          <a:spLocks noChangeArrowheads="1"/>
        </xdr:cNvSpPr>
      </xdr:nvSpPr>
      <xdr:spPr bwMode="auto">
        <a:xfrm>
          <a:off x="5362575" y="10106025"/>
          <a:ext cx="3143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9</xdr:col>
      <xdr:colOff>28575</xdr:colOff>
      <xdr:row>44</xdr:row>
      <xdr:rowOff>0</xdr:rowOff>
    </xdr:from>
    <xdr:to>
      <xdr:col>9</xdr:col>
      <xdr:colOff>342900</xdr:colOff>
      <xdr:row>44</xdr:row>
      <xdr:rowOff>0</xdr:rowOff>
    </xdr:to>
    <xdr:sp macro="" textlink="">
      <xdr:nvSpPr>
        <xdr:cNvPr id="82" name="Rectangle 257"/>
        <xdr:cNvSpPr>
          <a:spLocks noChangeArrowheads="1"/>
        </xdr:cNvSpPr>
      </xdr:nvSpPr>
      <xdr:spPr bwMode="auto">
        <a:xfrm>
          <a:off x="5372100" y="10106025"/>
          <a:ext cx="3143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9</xdr:col>
      <xdr:colOff>0</xdr:colOff>
      <xdr:row>44</xdr:row>
      <xdr:rowOff>0</xdr:rowOff>
    </xdr:from>
    <xdr:to>
      <xdr:col>9</xdr:col>
      <xdr:colOff>409575</xdr:colOff>
      <xdr:row>44</xdr:row>
      <xdr:rowOff>0</xdr:rowOff>
    </xdr:to>
    <xdr:sp macro="" textlink="">
      <xdr:nvSpPr>
        <xdr:cNvPr id="83" name="Rectangle 258"/>
        <xdr:cNvSpPr>
          <a:spLocks noChangeArrowheads="1"/>
        </xdr:cNvSpPr>
      </xdr:nvSpPr>
      <xdr:spPr bwMode="auto">
        <a:xfrm>
          <a:off x="5343525" y="10106025"/>
          <a:ext cx="4095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9</xdr:col>
      <xdr:colOff>142875</xdr:colOff>
      <xdr:row>44</xdr:row>
      <xdr:rowOff>0</xdr:rowOff>
    </xdr:from>
    <xdr:to>
      <xdr:col>9</xdr:col>
      <xdr:colOff>361950</xdr:colOff>
      <xdr:row>44</xdr:row>
      <xdr:rowOff>0</xdr:rowOff>
    </xdr:to>
    <xdr:sp macro="" textlink="">
      <xdr:nvSpPr>
        <xdr:cNvPr id="84" name="Rectangle 259"/>
        <xdr:cNvSpPr>
          <a:spLocks noChangeArrowheads="1"/>
        </xdr:cNvSpPr>
      </xdr:nvSpPr>
      <xdr:spPr bwMode="auto">
        <a:xfrm>
          <a:off x="5486400" y="10106025"/>
          <a:ext cx="2190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1</xdr:col>
      <xdr:colOff>133350</xdr:colOff>
      <xdr:row>39</xdr:row>
      <xdr:rowOff>180975</xdr:rowOff>
    </xdr:from>
    <xdr:to>
      <xdr:col>3</xdr:col>
      <xdr:colOff>342900</xdr:colOff>
      <xdr:row>43</xdr:row>
      <xdr:rowOff>0</xdr:rowOff>
    </xdr:to>
    <xdr:grpSp>
      <xdr:nvGrpSpPr>
        <xdr:cNvPr id="85" name="Group 3"/>
        <xdr:cNvGrpSpPr>
          <a:grpSpLocks/>
        </xdr:cNvGrpSpPr>
      </xdr:nvGrpSpPr>
      <xdr:grpSpPr bwMode="auto">
        <a:xfrm>
          <a:off x="923925" y="9163050"/>
          <a:ext cx="1114425" cy="733425"/>
          <a:chOff x="921807" y="9129183"/>
          <a:chExt cx="1110192" cy="729192"/>
        </a:xfrm>
      </xdr:grpSpPr>
      <xdr:grpSp>
        <xdr:nvGrpSpPr>
          <xdr:cNvPr id="86" name="Group 112"/>
          <xdr:cNvGrpSpPr>
            <a:grpSpLocks/>
          </xdr:cNvGrpSpPr>
        </xdr:nvGrpSpPr>
        <xdr:grpSpPr bwMode="auto">
          <a:xfrm>
            <a:off x="921807" y="9129183"/>
            <a:ext cx="887941" cy="729192"/>
            <a:chOff x="13440000" y="15720000"/>
            <a:chExt cx="1904539" cy="1540000"/>
          </a:xfrm>
        </xdr:grpSpPr>
        <xdr:grpSp>
          <xdr:nvGrpSpPr>
            <xdr:cNvPr id="97" name="Group 113"/>
            <xdr:cNvGrpSpPr>
              <a:grpSpLocks/>
            </xdr:cNvGrpSpPr>
          </xdr:nvGrpSpPr>
          <xdr:grpSpPr bwMode="auto">
            <a:xfrm>
              <a:off x="13440000" y="15720000"/>
              <a:ext cx="1904539" cy="1540000"/>
              <a:chOff x="13440000" y="15720000"/>
              <a:chExt cx="1904539" cy="1540000"/>
            </a:xfrm>
          </xdr:grpSpPr>
          <xdr:sp macro="" textlink="">
            <xdr:nvSpPr>
              <xdr:cNvPr id="99" name="Line 114"/>
              <xdr:cNvSpPr>
                <a:spLocks noChangeShapeType="1"/>
              </xdr:cNvSpPr>
            </xdr:nvSpPr>
            <xdr:spPr bwMode="auto">
              <a:xfrm flipV="1">
                <a:off x="13440000" y="15720000"/>
                <a:ext cx="6200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0" name="Line 115"/>
              <xdr:cNvSpPr>
                <a:spLocks noChangeShapeType="1"/>
              </xdr:cNvSpPr>
            </xdr:nvSpPr>
            <xdr:spPr bwMode="auto">
              <a:xfrm>
                <a:off x="14060000" y="15720000"/>
                <a:ext cx="0" cy="15400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1" name="Line 116"/>
              <xdr:cNvSpPr>
                <a:spLocks noChangeShapeType="1"/>
              </xdr:cNvSpPr>
            </xdr:nvSpPr>
            <xdr:spPr bwMode="auto">
              <a:xfrm flipV="1">
                <a:off x="14059999" y="15818346"/>
                <a:ext cx="1284540" cy="165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2" name="Line 117"/>
              <xdr:cNvSpPr>
                <a:spLocks noChangeShapeType="1"/>
              </xdr:cNvSpPr>
            </xdr:nvSpPr>
            <xdr:spPr bwMode="auto">
              <a:xfrm flipH="1">
                <a:off x="15340000" y="15820000"/>
                <a:ext cx="0" cy="8200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3" name="Line 118"/>
              <xdr:cNvSpPr>
                <a:spLocks noChangeShapeType="1"/>
              </xdr:cNvSpPr>
            </xdr:nvSpPr>
            <xdr:spPr bwMode="auto">
              <a:xfrm>
                <a:off x="14060000" y="16259998"/>
                <a:ext cx="644580" cy="745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4" name="Line 119"/>
              <xdr:cNvSpPr>
                <a:spLocks noChangeShapeType="1"/>
              </xdr:cNvSpPr>
            </xdr:nvSpPr>
            <xdr:spPr bwMode="auto">
              <a:xfrm>
                <a:off x="14686237" y="15818346"/>
                <a:ext cx="13764" cy="82165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sp macro="" textlink="">
          <xdr:nvSpPr>
            <xdr:cNvPr id="98" name="Line 120"/>
            <xdr:cNvSpPr>
              <a:spLocks noChangeShapeType="1"/>
            </xdr:cNvSpPr>
          </xdr:nvSpPr>
          <xdr:spPr bwMode="auto">
            <a:xfrm flipH="1" flipV="1">
              <a:off x="14720000" y="16640000"/>
              <a:ext cx="6200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nvGrpSpPr>
          <xdr:cNvPr id="87" name="Group 2"/>
          <xdr:cNvGrpSpPr>
            <a:grpSpLocks/>
          </xdr:cNvGrpSpPr>
        </xdr:nvGrpSpPr>
        <xdr:grpSpPr bwMode="auto">
          <a:xfrm>
            <a:off x="1214967" y="9175750"/>
            <a:ext cx="817032" cy="597957"/>
            <a:chOff x="1214967" y="9175750"/>
            <a:chExt cx="817032" cy="597957"/>
          </a:xfrm>
        </xdr:grpSpPr>
        <xdr:sp macro="" textlink="">
          <xdr:nvSpPr>
            <xdr:cNvPr id="88" name="Line 121"/>
            <xdr:cNvSpPr>
              <a:spLocks noChangeShapeType="1"/>
            </xdr:cNvSpPr>
          </xdr:nvSpPr>
          <xdr:spPr bwMode="auto">
            <a:xfrm flipV="1">
              <a:off x="1214967" y="9479492"/>
              <a:ext cx="276225" cy="0"/>
            </a:xfrm>
            <a:prstGeom prst="line">
              <a:avLst/>
            </a:prstGeom>
            <a:noFill/>
            <a:ln w="9525">
              <a:solidFill>
                <a:srgbClr val="000000"/>
              </a:solidFill>
              <a:round/>
              <a:headEnd type="arrow" w="sm" len="sm"/>
              <a:tailEnd type="arrow" w="sm" len="sm"/>
            </a:ln>
            <a:extLst>
              <a:ext uri="{909E8E84-426E-40DD-AFC4-6F175D3DCCD1}">
                <a14:hiddenFill xmlns:a14="http://schemas.microsoft.com/office/drawing/2010/main">
                  <a:noFill/>
                </a14:hiddenFill>
              </a:ext>
            </a:extLst>
          </xdr:spPr>
        </xdr:sp>
        <xdr:grpSp>
          <xdr:nvGrpSpPr>
            <xdr:cNvPr id="89" name="Group 1"/>
            <xdr:cNvGrpSpPr>
              <a:grpSpLocks/>
            </xdr:cNvGrpSpPr>
          </xdr:nvGrpSpPr>
          <xdr:grpSpPr bwMode="auto">
            <a:xfrm>
              <a:off x="1500717" y="9175750"/>
              <a:ext cx="531282" cy="597957"/>
              <a:chOff x="1500717" y="9175750"/>
              <a:chExt cx="531282" cy="597957"/>
            </a:xfrm>
          </xdr:grpSpPr>
          <xdr:sp macro="" textlink="">
            <xdr:nvSpPr>
              <xdr:cNvPr id="90" name="Line 102"/>
              <xdr:cNvSpPr>
                <a:spLocks noChangeShapeType="1"/>
              </xdr:cNvSpPr>
            </xdr:nvSpPr>
            <xdr:spPr bwMode="auto">
              <a:xfrm flipH="1">
                <a:off x="1841499" y="9559925"/>
                <a:ext cx="1905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1" name="Line 103"/>
              <xdr:cNvSpPr>
                <a:spLocks noChangeShapeType="1"/>
              </xdr:cNvSpPr>
            </xdr:nvSpPr>
            <xdr:spPr bwMode="auto">
              <a:xfrm flipV="1">
                <a:off x="1500717" y="9584267"/>
                <a:ext cx="0" cy="132291"/>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2" name="Line 104"/>
              <xdr:cNvSpPr>
                <a:spLocks noChangeShapeType="1"/>
              </xdr:cNvSpPr>
            </xdr:nvSpPr>
            <xdr:spPr bwMode="auto">
              <a:xfrm flipV="1">
                <a:off x="1807633" y="9593792"/>
                <a:ext cx="0" cy="132291"/>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3" name="Line 105"/>
              <xdr:cNvSpPr>
                <a:spLocks noChangeShapeType="1"/>
              </xdr:cNvSpPr>
            </xdr:nvSpPr>
            <xdr:spPr bwMode="auto">
              <a:xfrm flipV="1">
                <a:off x="1510242" y="9630833"/>
                <a:ext cx="287866" cy="0"/>
              </a:xfrm>
              <a:prstGeom prst="line">
                <a:avLst/>
              </a:prstGeom>
              <a:noFill/>
              <a:ln w="9525">
                <a:solidFill>
                  <a:srgbClr val="000000"/>
                </a:solidFill>
                <a:round/>
                <a:headEnd type="arrow" w="sm" len="sm"/>
                <a:tailEnd type="arrow" w="sm" len="sm"/>
              </a:ln>
              <a:extLst>
                <a:ext uri="{909E8E84-426E-40DD-AFC4-6F175D3DCCD1}">
                  <a14:hiddenFill xmlns:a14="http://schemas.microsoft.com/office/drawing/2010/main">
                    <a:noFill/>
                  </a14:hiddenFill>
                </a:ext>
              </a:extLst>
            </xdr:spPr>
          </xdr:sp>
          <xdr:sp macro="" textlink="">
            <xdr:nvSpPr>
              <xdr:cNvPr id="94" name="Line 106"/>
              <xdr:cNvSpPr>
                <a:spLocks noChangeShapeType="1"/>
              </xdr:cNvSpPr>
            </xdr:nvSpPr>
            <xdr:spPr bwMode="auto">
              <a:xfrm flipV="1">
                <a:off x="1940982" y="9572624"/>
                <a:ext cx="1059" cy="201083"/>
              </a:xfrm>
              <a:prstGeom prst="line">
                <a:avLst/>
              </a:prstGeom>
              <a:noFill/>
              <a:ln w="9525">
                <a:solidFill>
                  <a:srgbClr val="000000"/>
                </a:solidFill>
                <a:round/>
                <a:headEnd/>
                <a:tailEnd type="arrow" w="sm" len="sm"/>
              </a:ln>
              <a:extLst>
                <a:ext uri="{909E8E84-426E-40DD-AFC4-6F175D3DCCD1}">
                  <a14:hiddenFill xmlns:a14="http://schemas.microsoft.com/office/drawing/2010/main">
                    <a:noFill/>
                  </a14:hiddenFill>
                </a:ext>
              </a:extLst>
            </xdr:spPr>
          </xdr:sp>
          <xdr:sp macro="" textlink="">
            <xdr:nvSpPr>
              <xdr:cNvPr id="95" name="Line 107"/>
              <xdr:cNvSpPr>
                <a:spLocks noChangeShapeType="1"/>
              </xdr:cNvSpPr>
            </xdr:nvSpPr>
            <xdr:spPr bwMode="auto">
              <a:xfrm flipV="1">
                <a:off x="1942041" y="9191624"/>
                <a:ext cx="5292" cy="352426"/>
              </a:xfrm>
              <a:prstGeom prst="line">
                <a:avLst/>
              </a:prstGeom>
              <a:noFill/>
              <a:ln w="9525">
                <a:solidFill>
                  <a:srgbClr val="000000"/>
                </a:solidFill>
                <a:round/>
                <a:headEnd type="arrow" w="sm" len="sm"/>
                <a:tailEnd type="arrow" w="sm" len="sm"/>
              </a:ln>
              <a:extLst>
                <a:ext uri="{909E8E84-426E-40DD-AFC4-6F175D3DCCD1}">
                  <a14:hiddenFill xmlns:a14="http://schemas.microsoft.com/office/drawing/2010/main">
                    <a:noFill/>
                  </a14:hiddenFill>
                </a:ext>
              </a:extLst>
            </xdr:spPr>
          </xdr:sp>
          <xdr:sp macro="" textlink="">
            <xdr:nvSpPr>
              <xdr:cNvPr id="96" name="Line 102"/>
              <xdr:cNvSpPr>
                <a:spLocks noChangeShapeType="1"/>
              </xdr:cNvSpPr>
            </xdr:nvSpPr>
            <xdr:spPr bwMode="auto">
              <a:xfrm flipH="1">
                <a:off x="1825625" y="9175750"/>
                <a:ext cx="1905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clientData/>
  </xdr:twoCellAnchor>
  <xdr:twoCellAnchor>
    <xdr:from>
      <xdr:col>3</xdr:col>
      <xdr:colOff>628650</xdr:colOff>
      <xdr:row>29</xdr:row>
      <xdr:rowOff>0</xdr:rowOff>
    </xdr:from>
    <xdr:to>
      <xdr:col>4</xdr:col>
      <xdr:colOff>693523</xdr:colOff>
      <xdr:row>29</xdr:row>
      <xdr:rowOff>161925</xdr:rowOff>
    </xdr:to>
    <xdr:sp macro="" textlink="">
      <xdr:nvSpPr>
        <xdr:cNvPr id="105" name="Text 219"/>
        <xdr:cNvSpPr txBox="1">
          <a:spLocks noChangeArrowheads="1"/>
        </xdr:cNvSpPr>
      </xdr:nvSpPr>
      <xdr:spPr bwMode="auto">
        <a:xfrm>
          <a:off x="2324100" y="6696075"/>
          <a:ext cx="903073" cy="161925"/>
        </a:xfrm>
        <a:prstGeom prst="rect">
          <a:avLst/>
        </a:prstGeom>
        <a:solidFill>
          <a:srgbClr val="FFFFFF"/>
        </a:solidFill>
        <a:ln w="1">
          <a:solidFill>
            <a:srgbClr val="000000"/>
          </a:solidFill>
          <a:miter lim="800000"/>
          <a:headEnd/>
          <a:tailEnd/>
        </a:ln>
      </xdr:spPr>
      <xdr:txBody>
        <a:bodyPr vertOverflow="clip" wrap="square" lIns="27432" tIns="22860" rIns="27432" bIns="0" anchor="t" upright="1"/>
        <a:lstStyle/>
        <a:p>
          <a:pPr algn="ctr" rtl="0">
            <a:defRPr sz="1000"/>
          </a:pPr>
          <a:r>
            <a:rPr lang="en-US" sz="1000" b="0" i="0" u="none" strike="noStrike" baseline="0">
              <a:solidFill>
                <a:srgbClr val="000000"/>
              </a:solidFill>
              <a:latin typeface="Times New Roman"/>
              <a:cs typeface="Times New Roman"/>
            </a:rPr>
            <a:t>311-</a:t>
          </a:r>
        </a:p>
      </xdr:txBody>
    </xdr:sp>
    <xdr:clientData/>
  </xdr:twoCellAnchor>
  <xdr:twoCellAnchor>
    <xdr:from>
      <xdr:col>3</xdr:col>
      <xdr:colOff>628650</xdr:colOff>
      <xdr:row>35</xdr:row>
      <xdr:rowOff>9525</xdr:rowOff>
    </xdr:from>
    <xdr:to>
      <xdr:col>4</xdr:col>
      <xdr:colOff>693523</xdr:colOff>
      <xdr:row>35</xdr:row>
      <xdr:rowOff>171450</xdr:rowOff>
    </xdr:to>
    <xdr:sp macro="" textlink="">
      <xdr:nvSpPr>
        <xdr:cNvPr id="106" name="Text 219"/>
        <xdr:cNvSpPr txBox="1">
          <a:spLocks noChangeArrowheads="1"/>
        </xdr:cNvSpPr>
      </xdr:nvSpPr>
      <xdr:spPr bwMode="auto">
        <a:xfrm>
          <a:off x="2324100" y="8077200"/>
          <a:ext cx="903073" cy="161925"/>
        </a:xfrm>
        <a:prstGeom prst="rect">
          <a:avLst/>
        </a:prstGeom>
        <a:solidFill>
          <a:srgbClr val="FFFFFF"/>
        </a:solidFill>
        <a:ln w="1">
          <a:solidFill>
            <a:srgbClr val="000000"/>
          </a:solidFill>
          <a:miter lim="800000"/>
          <a:headEnd/>
          <a:tailEnd/>
        </a:ln>
      </xdr:spPr>
      <xdr:txBody>
        <a:bodyPr vertOverflow="clip" wrap="square" lIns="27432" tIns="22860" rIns="27432" bIns="0" anchor="t" upright="1"/>
        <a:lstStyle/>
        <a:p>
          <a:pPr algn="ctr" rtl="0">
            <a:defRPr sz="1000"/>
          </a:pPr>
          <a:r>
            <a:rPr lang="en-US" sz="1000" b="0" i="0" u="none" strike="noStrike" baseline="0">
              <a:solidFill>
                <a:srgbClr val="000000"/>
              </a:solidFill>
              <a:latin typeface="Times New Roman"/>
              <a:cs typeface="Times New Roman"/>
            </a:rPr>
            <a:t>411-</a:t>
          </a:r>
        </a:p>
      </xdr:txBody>
    </xdr:sp>
    <xdr:clientData/>
  </xdr:twoCellAnchor>
  <xdr:twoCellAnchor>
    <xdr:from>
      <xdr:col>3</xdr:col>
      <xdr:colOff>628650</xdr:colOff>
      <xdr:row>40</xdr:row>
      <xdr:rowOff>180975</xdr:rowOff>
    </xdr:from>
    <xdr:to>
      <xdr:col>4</xdr:col>
      <xdr:colOff>693523</xdr:colOff>
      <xdr:row>41</xdr:row>
      <xdr:rowOff>114300</xdr:rowOff>
    </xdr:to>
    <xdr:sp macro="" textlink="">
      <xdr:nvSpPr>
        <xdr:cNvPr id="107" name="Text 219"/>
        <xdr:cNvSpPr txBox="1">
          <a:spLocks noChangeArrowheads="1"/>
        </xdr:cNvSpPr>
      </xdr:nvSpPr>
      <xdr:spPr bwMode="auto">
        <a:xfrm>
          <a:off x="2324100" y="9391650"/>
          <a:ext cx="903073" cy="161925"/>
        </a:xfrm>
        <a:prstGeom prst="rect">
          <a:avLst/>
        </a:prstGeom>
        <a:solidFill>
          <a:srgbClr val="FFFFFF"/>
        </a:solidFill>
        <a:ln w="1">
          <a:solidFill>
            <a:srgbClr val="000000"/>
          </a:solidFill>
          <a:miter lim="800000"/>
          <a:headEnd/>
          <a:tailEnd/>
        </a:ln>
      </xdr:spPr>
      <xdr:txBody>
        <a:bodyPr vertOverflow="clip" wrap="square" lIns="27432" tIns="22860" rIns="27432" bIns="0" anchor="t" upright="1"/>
        <a:lstStyle/>
        <a:p>
          <a:pPr algn="ctr" rtl="0">
            <a:defRPr sz="1000"/>
          </a:pPr>
          <a:r>
            <a:rPr lang="en-US" sz="1000" b="0" i="0" u="none" strike="noStrike" baseline="0">
              <a:solidFill>
                <a:srgbClr val="000000"/>
              </a:solidFill>
              <a:latin typeface="Times New Roman"/>
              <a:cs typeface="Times New Roman"/>
            </a:rPr>
            <a:t>051-</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8</xdr:row>
      <xdr:rowOff>0</xdr:rowOff>
    </xdr:from>
    <xdr:to>
      <xdr:col>7</xdr:col>
      <xdr:colOff>0</xdr:colOff>
      <xdr:row>8</xdr:row>
      <xdr:rowOff>0</xdr:rowOff>
    </xdr:to>
    <xdr:sp macro="" textlink="">
      <xdr:nvSpPr>
        <xdr:cNvPr id="2" name="Line 1"/>
        <xdr:cNvSpPr>
          <a:spLocks noChangeShapeType="1"/>
        </xdr:cNvSpPr>
      </xdr:nvSpPr>
      <xdr:spPr bwMode="auto">
        <a:xfrm>
          <a:off x="609600" y="1285875"/>
          <a:ext cx="9429750"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9</xdr:row>
      <xdr:rowOff>0</xdr:rowOff>
    </xdr:from>
    <xdr:to>
      <xdr:col>13</xdr:col>
      <xdr:colOff>381000</xdr:colOff>
      <xdr:row>9</xdr:row>
      <xdr:rowOff>9525</xdr:rowOff>
    </xdr:to>
    <xdr:sp macro="" textlink="">
      <xdr:nvSpPr>
        <xdr:cNvPr id="3" name="Line 2"/>
        <xdr:cNvSpPr>
          <a:spLocks noChangeShapeType="1"/>
        </xdr:cNvSpPr>
      </xdr:nvSpPr>
      <xdr:spPr bwMode="auto">
        <a:xfrm flipV="1">
          <a:off x="609600" y="1447800"/>
          <a:ext cx="11877675" cy="9525"/>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10</xdr:col>
      <xdr:colOff>0</xdr:colOff>
      <xdr:row>3</xdr:row>
      <xdr:rowOff>0</xdr:rowOff>
    </xdr:from>
    <xdr:to>
      <xdr:col>10</xdr:col>
      <xdr:colOff>0</xdr:colOff>
      <xdr:row>4</xdr:row>
      <xdr:rowOff>0</xdr:rowOff>
    </xdr:to>
    <xdr:sp macro="" textlink="">
      <xdr:nvSpPr>
        <xdr:cNvPr id="4" name="Line 3"/>
        <xdr:cNvSpPr>
          <a:spLocks noChangeShapeType="1"/>
        </xdr:cNvSpPr>
      </xdr:nvSpPr>
      <xdr:spPr bwMode="auto">
        <a:xfrm flipV="1">
          <a:off x="11858625" y="485775"/>
          <a:ext cx="0" cy="161925"/>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10</xdr:col>
      <xdr:colOff>0</xdr:colOff>
      <xdr:row>3</xdr:row>
      <xdr:rowOff>0</xdr:rowOff>
    </xdr:from>
    <xdr:to>
      <xdr:col>10</xdr:col>
      <xdr:colOff>0</xdr:colOff>
      <xdr:row>4</xdr:row>
      <xdr:rowOff>0</xdr:rowOff>
    </xdr:to>
    <xdr:sp macro="" textlink="">
      <xdr:nvSpPr>
        <xdr:cNvPr id="5" name="Line 4"/>
        <xdr:cNvSpPr>
          <a:spLocks noChangeShapeType="1"/>
        </xdr:cNvSpPr>
      </xdr:nvSpPr>
      <xdr:spPr bwMode="auto">
        <a:xfrm flipV="1">
          <a:off x="11858625" y="485775"/>
          <a:ext cx="0" cy="161925"/>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3</xdr:row>
      <xdr:rowOff>9525</xdr:rowOff>
    </xdr:from>
    <xdr:to>
      <xdr:col>1</xdr:col>
      <xdr:colOff>0</xdr:colOff>
      <xdr:row>7</xdr:row>
      <xdr:rowOff>152400</xdr:rowOff>
    </xdr:to>
    <xdr:sp macro="" textlink="">
      <xdr:nvSpPr>
        <xdr:cNvPr id="6" name="Line 5"/>
        <xdr:cNvSpPr>
          <a:spLocks noChangeShapeType="1"/>
        </xdr:cNvSpPr>
      </xdr:nvSpPr>
      <xdr:spPr bwMode="auto">
        <a:xfrm flipH="1">
          <a:off x="609600" y="495300"/>
          <a:ext cx="0" cy="78105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800100</xdr:colOff>
      <xdr:row>15</xdr:row>
      <xdr:rowOff>161925</xdr:rowOff>
    </xdr:from>
    <xdr:to>
      <xdr:col>5</xdr:col>
      <xdr:colOff>657225</xdr:colOff>
      <xdr:row>36</xdr:row>
      <xdr:rowOff>171450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314325</xdr:colOff>
      <xdr:row>11</xdr:row>
      <xdr:rowOff>0</xdr:rowOff>
    </xdr:from>
    <xdr:to>
      <xdr:col>5</xdr:col>
      <xdr:colOff>590550</xdr:colOff>
      <xdr:row>38</xdr:row>
      <xdr:rowOff>9525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0.64043</cdr:x>
      <cdr:y>0.64951</cdr:y>
    </cdr:from>
    <cdr:to>
      <cdr:x>0.87628</cdr:x>
      <cdr:y>0.6702</cdr:y>
    </cdr:to>
    <cdr:sp macro="" textlink="">
      <cdr:nvSpPr>
        <cdr:cNvPr id="5133" name="Hot Stall"/>
        <cdr:cNvSpPr txBox="1">
          <a:spLocks xmlns:a="http://schemas.openxmlformats.org/drawingml/2006/main" noChangeArrowheads="1"/>
        </cdr:cNvSpPr>
      </cdr:nvSpPr>
      <cdr:spPr bwMode="auto">
        <a:xfrm xmlns:a="http://schemas.openxmlformats.org/drawingml/2006/main">
          <a:off x="3754727" y="4191482"/>
          <a:ext cx="1381590" cy="133416"/>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cdr:spPr>
      <cdr:txBody>
        <a:bodyPr xmlns:a="http://schemas.openxmlformats.org/drawingml/2006/main" vertOverflow="clip" wrap="square" lIns="27432" tIns="18288" rIns="0" bIns="0" anchor="t" upright="1"/>
        <a:lstStyle xmlns:a="http://schemas.openxmlformats.org/drawingml/2006/main"/>
        <a:p xmlns:a="http://schemas.openxmlformats.org/drawingml/2006/main">
          <a:pPr algn="l" rtl="0">
            <a:defRPr sz="1000"/>
          </a:pPr>
          <a:r>
            <a:rPr lang="en-US" sz="800" b="1" i="0" u="none" strike="noStrike" baseline="0">
              <a:solidFill>
                <a:srgbClr val="000000"/>
              </a:solidFill>
              <a:latin typeface="Times New Roman"/>
              <a:cs typeface="Times New Roman"/>
            </a:rPr>
            <a:t>HOT STALL</a:t>
          </a:r>
        </a:p>
      </cdr:txBody>
    </cdr:sp>
  </cdr:relSizeAnchor>
  <cdr:relSizeAnchor xmlns:cdr="http://schemas.openxmlformats.org/drawingml/2006/chartDrawing">
    <cdr:from>
      <cdr:x>0.64043</cdr:x>
      <cdr:y>0.54384</cdr:y>
    </cdr:from>
    <cdr:to>
      <cdr:x>0.92325</cdr:x>
      <cdr:y>0.56897</cdr:y>
    </cdr:to>
    <cdr:sp macro="" textlink="">
      <cdr:nvSpPr>
        <cdr:cNvPr id="5134" name="Cold Stall"/>
        <cdr:cNvSpPr txBox="1">
          <a:spLocks xmlns:a="http://schemas.openxmlformats.org/drawingml/2006/main" noChangeArrowheads="1"/>
        </cdr:cNvSpPr>
      </cdr:nvSpPr>
      <cdr:spPr bwMode="auto">
        <a:xfrm xmlns:a="http://schemas.openxmlformats.org/drawingml/2006/main">
          <a:off x="3754727" y="3510104"/>
          <a:ext cx="1656755" cy="162006"/>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cdr:spPr>
      <cdr:txBody>
        <a:bodyPr xmlns:a="http://schemas.openxmlformats.org/drawingml/2006/main" vertOverflow="clip" wrap="square" lIns="27432" tIns="18288" rIns="0" bIns="0" anchor="t" upright="1"/>
        <a:lstStyle xmlns:a="http://schemas.openxmlformats.org/drawingml/2006/main"/>
        <a:p xmlns:a="http://schemas.openxmlformats.org/drawingml/2006/main">
          <a:pPr algn="l" rtl="0">
            <a:defRPr sz="1000"/>
          </a:pPr>
          <a:r>
            <a:rPr lang="en-US" sz="800" b="1" i="0" u="none" strike="noStrike" baseline="0">
              <a:solidFill>
                <a:srgbClr val="000000"/>
              </a:solidFill>
              <a:latin typeface="Times New Roman"/>
              <a:cs typeface="Times New Roman"/>
            </a:rPr>
            <a:t>COLD (AMBIENT) STALL</a:t>
          </a:r>
        </a:p>
      </cdr:txBody>
    </cdr:sp>
  </cdr:relSizeAnchor>
  <cdr:relSizeAnchor xmlns:cdr="http://schemas.openxmlformats.org/drawingml/2006/chartDrawing">
    <cdr:from>
      <cdr:x>0.66822</cdr:x>
      <cdr:y>0.76059</cdr:y>
    </cdr:from>
    <cdr:to>
      <cdr:x>0.91366</cdr:x>
      <cdr:y>0.78572</cdr:y>
    </cdr:to>
    <cdr:sp macro="" textlink="">
      <cdr:nvSpPr>
        <cdr:cNvPr id="5135" name="Acceleration"/>
        <cdr:cNvSpPr txBox="1">
          <a:spLocks xmlns:a="http://schemas.openxmlformats.org/drawingml/2006/main" noChangeArrowheads="1"/>
        </cdr:cNvSpPr>
      </cdr:nvSpPr>
      <cdr:spPr bwMode="auto">
        <a:xfrm xmlns:a="http://schemas.openxmlformats.org/drawingml/2006/main">
          <a:off x="3917521" y="4907802"/>
          <a:ext cx="1437775" cy="162006"/>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cdr:spPr>
      <cdr:txBody>
        <a:bodyPr xmlns:a="http://schemas.openxmlformats.org/drawingml/2006/main" vertOverflow="clip" wrap="square" lIns="27432" tIns="18288" rIns="0" bIns="0" anchor="t" upright="1"/>
        <a:lstStyle xmlns:a="http://schemas.openxmlformats.org/drawingml/2006/main"/>
        <a:p xmlns:a="http://schemas.openxmlformats.org/drawingml/2006/main">
          <a:pPr algn="l" rtl="0">
            <a:defRPr sz="1000"/>
          </a:pPr>
          <a:r>
            <a:rPr lang="en-US" sz="800" b="1" i="0" u="none" strike="noStrike" baseline="0">
              <a:solidFill>
                <a:srgbClr val="000000"/>
              </a:solidFill>
              <a:latin typeface="Times New Roman"/>
              <a:cs typeface="Times New Roman"/>
            </a:rPr>
            <a:t>ACCELERATION CURVE</a:t>
          </a:r>
        </a:p>
      </cdr:txBody>
    </cdr:sp>
  </cdr:relSizeAnchor>
  <cdr:relSizeAnchor xmlns:cdr="http://schemas.openxmlformats.org/drawingml/2006/chartDrawing">
    <cdr:from>
      <cdr:x>0.29932</cdr:x>
      <cdr:y>0.36182</cdr:y>
    </cdr:from>
    <cdr:to>
      <cdr:x>0.62444</cdr:x>
      <cdr:y>0.3899</cdr:y>
    </cdr:to>
    <cdr:sp macro="" textlink="">
      <cdr:nvSpPr>
        <cdr:cNvPr id="5136" name="Running"/>
        <cdr:cNvSpPr txBox="1">
          <a:spLocks xmlns:a="http://schemas.openxmlformats.org/drawingml/2006/main" noChangeArrowheads="1"/>
        </cdr:cNvSpPr>
      </cdr:nvSpPr>
      <cdr:spPr bwMode="auto">
        <a:xfrm xmlns:a="http://schemas.openxmlformats.org/drawingml/2006/main">
          <a:off x="1756537" y="2336355"/>
          <a:ext cx="1904548" cy="181065"/>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cdr:spPr>
      <cdr:txBody>
        <a:bodyPr xmlns:a="http://schemas.openxmlformats.org/drawingml/2006/main" vertOverflow="clip" wrap="square" lIns="27432" tIns="18288" rIns="0" bIns="0" anchor="t" upright="1"/>
        <a:lstStyle xmlns:a="http://schemas.openxmlformats.org/drawingml/2006/main"/>
        <a:p xmlns:a="http://schemas.openxmlformats.org/drawingml/2006/main">
          <a:pPr algn="l" rtl="0">
            <a:defRPr sz="1000"/>
          </a:pPr>
          <a:r>
            <a:rPr lang="en-US" sz="800" b="1" i="0" u="none" strike="noStrike" baseline="0">
              <a:solidFill>
                <a:srgbClr val="000000"/>
              </a:solidFill>
              <a:latin typeface="Times New Roman"/>
              <a:cs typeface="Times New Roman"/>
            </a:rPr>
            <a:t>RUNNING CONDITION</a:t>
          </a:r>
        </a:p>
      </cdr:txBody>
    </cdr:sp>
  </cdr:relSizeAnchor>
  <cdr:relSizeAnchor xmlns:cdr="http://schemas.openxmlformats.org/drawingml/2006/chartDrawing">
    <cdr:from>
      <cdr:x>0.6242</cdr:x>
      <cdr:y>0.19532</cdr:y>
    </cdr:from>
    <cdr:to>
      <cdr:x>0.94932</cdr:x>
      <cdr:y>0.2234</cdr:y>
    </cdr:to>
    <cdr:sp macro="" textlink="">
      <cdr:nvSpPr>
        <cdr:cNvPr id="5137" name="Load Type"/>
        <cdr:cNvSpPr txBox="1">
          <a:spLocks xmlns:a="http://schemas.openxmlformats.org/drawingml/2006/main" noChangeArrowheads="1"/>
        </cdr:cNvSpPr>
      </cdr:nvSpPr>
      <cdr:spPr bwMode="auto">
        <a:xfrm xmlns:a="http://schemas.openxmlformats.org/drawingml/2006/main">
          <a:off x="3659644" y="1262668"/>
          <a:ext cx="1904547" cy="181066"/>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cdr:spPr>
      <cdr:txBody>
        <a:bodyPr xmlns:a="http://schemas.openxmlformats.org/drawingml/2006/main"/>
        <a:lstStyle xmlns:a="http://schemas.openxmlformats.org/drawingml/2006/main"/>
        <a:p xmlns:a="http://schemas.openxmlformats.org/drawingml/2006/main">
          <a:r>
            <a:rPr lang="en-US"/>
            <a:t>LOAD TYPE: FAN / PUMP</a:t>
          </a:r>
        </a:p>
      </cdr:txBody>
    </cdr:sp>
  </cdr:relSizeAnchor>
</c:userShapes>
</file>

<file path=xl/drawings/drawing8.xml><?xml version="1.0" encoding="utf-8"?>
<xdr:wsDr xmlns:xdr="http://schemas.openxmlformats.org/drawingml/2006/spreadsheetDrawing" xmlns:a="http://schemas.openxmlformats.org/drawingml/2006/main">
  <xdr:twoCellAnchor>
    <xdr:from>
      <xdr:col>0</xdr:col>
      <xdr:colOff>333375</xdr:colOff>
      <xdr:row>16</xdr:row>
      <xdr:rowOff>19050</xdr:rowOff>
    </xdr:from>
    <xdr:to>
      <xdr:col>5</xdr:col>
      <xdr:colOff>904875</xdr:colOff>
      <xdr:row>37</xdr:row>
      <xdr:rowOff>47625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676275</xdr:colOff>
      <xdr:row>16</xdr:row>
      <xdr:rowOff>85724</xdr:rowOff>
    </xdr:from>
    <xdr:to>
      <xdr:col>1</xdr:col>
      <xdr:colOff>57150</xdr:colOff>
      <xdr:row>17</xdr:row>
      <xdr:rowOff>57150</xdr:rowOff>
    </xdr:to>
    <xdr:sp macro="" textlink="">
      <xdr:nvSpPr>
        <xdr:cNvPr id="3" name="RPM11"/>
        <xdr:cNvSpPr txBox="1">
          <a:spLocks noChangeArrowheads="1"/>
        </xdr:cNvSpPr>
      </xdr:nvSpPr>
      <xdr:spPr bwMode="auto">
        <a:xfrm>
          <a:off x="676275" y="3981449"/>
          <a:ext cx="495300" cy="209551"/>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3600</a:t>
          </a:r>
        </a:p>
      </xdr:txBody>
    </xdr:sp>
    <xdr:clientData/>
  </xdr:twoCellAnchor>
  <xdr:twoCellAnchor>
    <xdr:from>
      <xdr:col>0</xdr:col>
      <xdr:colOff>666750</xdr:colOff>
      <xdr:row>18</xdr:row>
      <xdr:rowOff>28574</xdr:rowOff>
    </xdr:from>
    <xdr:to>
      <xdr:col>1</xdr:col>
      <xdr:colOff>47625</xdr:colOff>
      <xdr:row>19</xdr:row>
      <xdr:rowOff>0</xdr:rowOff>
    </xdr:to>
    <xdr:sp macro="" textlink="">
      <xdr:nvSpPr>
        <xdr:cNvPr id="4" name="RPM10"/>
        <xdr:cNvSpPr txBox="1">
          <a:spLocks noChangeArrowheads="1"/>
        </xdr:cNvSpPr>
      </xdr:nvSpPr>
      <xdr:spPr bwMode="auto">
        <a:xfrm>
          <a:off x="666750" y="4400549"/>
          <a:ext cx="495300" cy="209551"/>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3597</a:t>
          </a:r>
        </a:p>
      </xdr:txBody>
    </xdr:sp>
    <xdr:clientData/>
  </xdr:twoCellAnchor>
  <xdr:twoCellAnchor>
    <xdr:from>
      <xdr:col>0</xdr:col>
      <xdr:colOff>657225</xdr:colOff>
      <xdr:row>19</xdr:row>
      <xdr:rowOff>200024</xdr:rowOff>
    </xdr:from>
    <xdr:to>
      <xdr:col>1</xdr:col>
      <xdr:colOff>38100</xdr:colOff>
      <xdr:row>20</xdr:row>
      <xdr:rowOff>171450</xdr:rowOff>
    </xdr:to>
    <xdr:sp macro="" textlink="">
      <xdr:nvSpPr>
        <xdr:cNvPr id="5" name="RPM9"/>
        <xdr:cNvSpPr txBox="1">
          <a:spLocks noChangeArrowheads="1"/>
        </xdr:cNvSpPr>
      </xdr:nvSpPr>
      <xdr:spPr bwMode="auto">
        <a:xfrm>
          <a:off x="657225" y="4810124"/>
          <a:ext cx="495300" cy="209551"/>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3594</a:t>
          </a:r>
        </a:p>
      </xdr:txBody>
    </xdr:sp>
    <xdr:clientData/>
  </xdr:twoCellAnchor>
  <xdr:twoCellAnchor>
    <xdr:from>
      <xdr:col>0</xdr:col>
      <xdr:colOff>657225</xdr:colOff>
      <xdr:row>21</xdr:row>
      <xdr:rowOff>133349</xdr:rowOff>
    </xdr:from>
    <xdr:to>
      <xdr:col>1</xdr:col>
      <xdr:colOff>38100</xdr:colOff>
      <xdr:row>22</xdr:row>
      <xdr:rowOff>104775</xdr:rowOff>
    </xdr:to>
    <xdr:sp macro="" textlink="">
      <xdr:nvSpPr>
        <xdr:cNvPr id="6" name="RPM8"/>
        <xdr:cNvSpPr txBox="1">
          <a:spLocks noChangeArrowheads="1"/>
        </xdr:cNvSpPr>
      </xdr:nvSpPr>
      <xdr:spPr bwMode="auto">
        <a:xfrm>
          <a:off x="657225" y="5219699"/>
          <a:ext cx="495300" cy="209551"/>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3591</a:t>
          </a:r>
        </a:p>
      </xdr:txBody>
    </xdr:sp>
    <xdr:clientData/>
  </xdr:twoCellAnchor>
  <xdr:twoCellAnchor>
    <xdr:from>
      <xdr:col>0</xdr:col>
      <xdr:colOff>666750</xdr:colOff>
      <xdr:row>23</xdr:row>
      <xdr:rowOff>66674</xdr:rowOff>
    </xdr:from>
    <xdr:to>
      <xdr:col>1</xdr:col>
      <xdr:colOff>47625</xdr:colOff>
      <xdr:row>24</xdr:row>
      <xdr:rowOff>38100</xdr:rowOff>
    </xdr:to>
    <xdr:sp macro="" textlink="">
      <xdr:nvSpPr>
        <xdr:cNvPr id="7" name="RPM7"/>
        <xdr:cNvSpPr txBox="1">
          <a:spLocks noChangeArrowheads="1"/>
        </xdr:cNvSpPr>
      </xdr:nvSpPr>
      <xdr:spPr bwMode="auto">
        <a:xfrm>
          <a:off x="666750" y="5629274"/>
          <a:ext cx="495300" cy="209551"/>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3588</a:t>
          </a:r>
        </a:p>
      </xdr:txBody>
    </xdr:sp>
    <xdr:clientData/>
  </xdr:twoCellAnchor>
  <xdr:twoCellAnchor>
    <xdr:from>
      <xdr:col>0</xdr:col>
      <xdr:colOff>666750</xdr:colOff>
      <xdr:row>24</xdr:row>
      <xdr:rowOff>238124</xdr:rowOff>
    </xdr:from>
    <xdr:to>
      <xdr:col>1</xdr:col>
      <xdr:colOff>47625</xdr:colOff>
      <xdr:row>25</xdr:row>
      <xdr:rowOff>209550</xdr:rowOff>
    </xdr:to>
    <xdr:sp macro="" textlink="">
      <xdr:nvSpPr>
        <xdr:cNvPr id="8" name="RPM6"/>
        <xdr:cNvSpPr txBox="1">
          <a:spLocks noChangeArrowheads="1"/>
        </xdr:cNvSpPr>
      </xdr:nvSpPr>
      <xdr:spPr bwMode="auto">
        <a:xfrm>
          <a:off x="666750" y="6038849"/>
          <a:ext cx="495300" cy="209551"/>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3585</a:t>
          </a:r>
        </a:p>
      </xdr:txBody>
    </xdr:sp>
    <xdr:clientData/>
  </xdr:twoCellAnchor>
  <xdr:twoCellAnchor>
    <xdr:from>
      <xdr:col>0</xdr:col>
      <xdr:colOff>657225</xdr:colOff>
      <xdr:row>26</xdr:row>
      <xdr:rowOff>171449</xdr:rowOff>
    </xdr:from>
    <xdr:to>
      <xdr:col>1</xdr:col>
      <xdr:colOff>38100</xdr:colOff>
      <xdr:row>27</xdr:row>
      <xdr:rowOff>142875</xdr:rowOff>
    </xdr:to>
    <xdr:sp macro="" textlink="">
      <xdr:nvSpPr>
        <xdr:cNvPr id="9" name="RPM5"/>
        <xdr:cNvSpPr txBox="1">
          <a:spLocks noChangeArrowheads="1"/>
        </xdr:cNvSpPr>
      </xdr:nvSpPr>
      <xdr:spPr bwMode="auto">
        <a:xfrm>
          <a:off x="657225" y="6448424"/>
          <a:ext cx="495300" cy="209551"/>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3582</a:t>
          </a:r>
        </a:p>
      </xdr:txBody>
    </xdr:sp>
    <xdr:clientData/>
  </xdr:twoCellAnchor>
  <xdr:twoCellAnchor>
    <xdr:from>
      <xdr:col>0</xdr:col>
      <xdr:colOff>647700</xdr:colOff>
      <xdr:row>28</xdr:row>
      <xdr:rowOff>104774</xdr:rowOff>
    </xdr:from>
    <xdr:to>
      <xdr:col>1</xdr:col>
      <xdr:colOff>28575</xdr:colOff>
      <xdr:row>29</xdr:row>
      <xdr:rowOff>76200</xdr:rowOff>
    </xdr:to>
    <xdr:sp macro="" textlink="">
      <xdr:nvSpPr>
        <xdr:cNvPr id="10" name="RPM4"/>
        <xdr:cNvSpPr txBox="1">
          <a:spLocks noChangeArrowheads="1"/>
        </xdr:cNvSpPr>
      </xdr:nvSpPr>
      <xdr:spPr bwMode="auto">
        <a:xfrm>
          <a:off x="647700" y="6857999"/>
          <a:ext cx="495300" cy="209551"/>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3579</a:t>
          </a:r>
        </a:p>
      </xdr:txBody>
    </xdr:sp>
    <xdr:clientData/>
  </xdr:twoCellAnchor>
  <xdr:twoCellAnchor>
    <xdr:from>
      <xdr:col>0</xdr:col>
      <xdr:colOff>647700</xdr:colOff>
      <xdr:row>30</xdr:row>
      <xdr:rowOff>47624</xdr:rowOff>
    </xdr:from>
    <xdr:to>
      <xdr:col>1</xdr:col>
      <xdr:colOff>28575</xdr:colOff>
      <xdr:row>31</xdr:row>
      <xdr:rowOff>19050</xdr:rowOff>
    </xdr:to>
    <xdr:sp macro="" textlink="">
      <xdr:nvSpPr>
        <xdr:cNvPr id="11" name="RPM3"/>
        <xdr:cNvSpPr txBox="1">
          <a:spLocks noChangeArrowheads="1"/>
        </xdr:cNvSpPr>
      </xdr:nvSpPr>
      <xdr:spPr bwMode="auto">
        <a:xfrm>
          <a:off x="647700" y="7277099"/>
          <a:ext cx="495300" cy="209551"/>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3576</a:t>
          </a:r>
        </a:p>
      </xdr:txBody>
    </xdr:sp>
    <xdr:clientData/>
  </xdr:twoCellAnchor>
  <xdr:twoCellAnchor>
    <xdr:from>
      <xdr:col>0</xdr:col>
      <xdr:colOff>647700</xdr:colOff>
      <xdr:row>31</xdr:row>
      <xdr:rowOff>219074</xdr:rowOff>
    </xdr:from>
    <xdr:to>
      <xdr:col>1</xdr:col>
      <xdr:colOff>28575</xdr:colOff>
      <xdr:row>32</xdr:row>
      <xdr:rowOff>190500</xdr:rowOff>
    </xdr:to>
    <xdr:sp macro="" textlink="">
      <xdr:nvSpPr>
        <xdr:cNvPr id="12" name="RPM2"/>
        <xdr:cNvSpPr txBox="1">
          <a:spLocks noChangeArrowheads="1"/>
        </xdr:cNvSpPr>
      </xdr:nvSpPr>
      <xdr:spPr bwMode="auto">
        <a:xfrm>
          <a:off x="647700" y="7686674"/>
          <a:ext cx="495300" cy="209551"/>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3573</a:t>
          </a:r>
        </a:p>
      </xdr:txBody>
    </xdr:sp>
    <xdr:clientData/>
  </xdr:twoCellAnchor>
  <xdr:twoCellAnchor>
    <xdr:from>
      <xdr:col>0</xdr:col>
      <xdr:colOff>657225</xdr:colOff>
      <xdr:row>33</xdr:row>
      <xdr:rowOff>152399</xdr:rowOff>
    </xdr:from>
    <xdr:to>
      <xdr:col>1</xdr:col>
      <xdr:colOff>38100</xdr:colOff>
      <xdr:row>34</xdr:row>
      <xdr:rowOff>123825</xdr:rowOff>
    </xdr:to>
    <xdr:sp macro="" textlink="">
      <xdr:nvSpPr>
        <xdr:cNvPr id="13" name="RPM1"/>
        <xdr:cNvSpPr txBox="1">
          <a:spLocks noChangeArrowheads="1"/>
        </xdr:cNvSpPr>
      </xdr:nvSpPr>
      <xdr:spPr bwMode="auto">
        <a:xfrm>
          <a:off x="657225" y="8096249"/>
          <a:ext cx="495300" cy="209551"/>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3570</a:t>
          </a:r>
        </a:p>
      </xdr:txBody>
    </xdr:sp>
    <xdr:clientData/>
  </xdr:twoCellAnchor>
  <xdr:twoCellAnchor>
    <xdr:from>
      <xdr:col>0</xdr:col>
      <xdr:colOff>438150</xdr:colOff>
      <xdr:row>24</xdr:row>
      <xdr:rowOff>104775</xdr:rowOff>
    </xdr:from>
    <xdr:to>
      <xdr:col>0</xdr:col>
      <xdr:colOff>647700</xdr:colOff>
      <xdr:row>26</xdr:row>
      <xdr:rowOff>209550</xdr:rowOff>
    </xdr:to>
    <xdr:sp macro="" textlink="">
      <xdr:nvSpPr>
        <xdr:cNvPr id="14" name="RPM"/>
        <xdr:cNvSpPr txBox="1">
          <a:spLocks noChangeArrowheads="1"/>
        </xdr:cNvSpPr>
      </xdr:nvSpPr>
      <xdr:spPr bwMode="auto">
        <a:xfrm>
          <a:off x="438150" y="5905500"/>
          <a:ext cx="209550" cy="58102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vert270"/>
        <a:lstStyle/>
        <a:p>
          <a:r>
            <a:rPr lang="en-US"/>
            <a:t>RPM</a:t>
          </a:r>
        </a:p>
      </xdr:txBody>
    </xdr:sp>
    <xdr:clientData/>
  </xdr:twoCellAnchor>
  <xdr:twoCellAnchor>
    <xdr:from>
      <xdr:col>5</xdr:col>
      <xdr:colOff>342901</xdr:colOff>
      <xdr:row>16</xdr:row>
      <xdr:rowOff>85723</xdr:rowOff>
    </xdr:from>
    <xdr:to>
      <xdr:col>5</xdr:col>
      <xdr:colOff>847725</xdr:colOff>
      <xdr:row>17</xdr:row>
      <xdr:rowOff>95249</xdr:rowOff>
    </xdr:to>
    <xdr:sp macro="" textlink="">
      <xdr:nvSpPr>
        <xdr:cNvPr id="15" name="Watts11"/>
        <xdr:cNvSpPr txBox="1">
          <a:spLocks noChangeArrowheads="1"/>
        </xdr:cNvSpPr>
      </xdr:nvSpPr>
      <xdr:spPr bwMode="auto">
        <a:xfrm>
          <a:off x="5915026" y="3981448"/>
          <a:ext cx="504824" cy="247651"/>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4000</a:t>
          </a:r>
        </a:p>
      </xdr:txBody>
    </xdr:sp>
    <xdr:clientData/>
  </xdr:twoCellAnchor>
  <xdr:twoCellAnchor>
    <xdr:from>
      <xdr:col>5</xdr:col>
      <xdr:colOff>370253</xdr:colOff>
      <xdr:row>25</xdr:row>
      <xdr:rowOff>0</xdr:rowOff>
    </xdr:from>
    <xdr:to>
      <xdr:col>5</xdr:col>
      <xdr:colOff>939798</xdr:colOff>
      <xdr:row>26</xdr:row>
      <xdr:rowOff>21909</xdr:rowOff>
    </xdr:to>
    <xdr:sp macro="" textlink="">
      <xdr:nvSpPr>
        <xdr:cNvPr id="16" name="Watts6"/>
        <xdr:cNvSpPr txBox="1">
          <a:spLocks noChangeArrowheads="1"/>
        </xdr:cNvSpPr>
      </xdr:nvSpPr>
      <xdr:spPr bwMode="auto">
        <a:xfrm>
          <a:off x="5942378" y="6038850"/>
          <a:ext cx="569545" cy="260034"/>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2000</a:t>
          </a:r>
        </a:p>
      </xdr:txBody>
    </xdr:sp>
    <xdr:clientData/>
  </xdr:twoCellAnchor>
  <xdr:twoCellAnchor>
    <xdr:from>
      <xdr:col>5</xdr:col>
      <xdr:colOff>361951</xdr:colOff>
      <xdr:row>26</xdr:row>
      <xdr:rowOff>180973</xdr:rowOff>
    </xdr:from>
    <xdr:to>
      <xdr:col>5</xdr:col>
      <xdr:colOff>866775</xdr:colOff>
      <xdr:row>27</xdr:row>
      <xdr:rowOff>190499</xdr:rowOff>
    </xdr:to>
    <xdr:sp macro="" textlink="">
      <xdr:nvSpPr>
        <xdr:cNvPr id="17" name="Watts5"/>
        <xdr:cNvSpPr txBox="1">
          <a:spLocks noChangeArrowheads="1"/>
        </xdr:cNvSpPr>
      </xdr:nvSpPr>
      <xdr:spPr bwMode="auto">
        <a:xfrm>
          <a:off x="5934076" y="6457948"/>
          <a:ext cx="504824" cy="247651"/>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1600</a:t>
          </a:r>
        </a:p>
      </xdr:txBody>
    </xdr:sp>
    <xdr:clientData/>
  </xdr:twoCellAnchor>
  <xdr:twoCellAnchor>
    <xdr:from>
      <xdr:col>5</xdr:col>
      <xdr:colOff>371476</xdr:colOff>
      <xdr:row>28</xdr:row>
      <xdr:rowOff>114298</xdr:rowOff>
    </xdr:from>
    <xdr:to>
      <xdr:col>5</xdr:col>
      <xdr:colOff>876300</xdr:colOff>
      <xdr:row>29</xdr:row>
      <xdr:rowOff>123824</xdr:rowOff>
    </xdr:to>
    <xdr:sp macro="" textlink="">
      <xdr:nvSpPr>
        <xdr:cNvPr id="18" name="Watts4"/>
        <xdr:cNvSpPr txBox="1">
          <a:spLocks noChangeArrowheads="1"/>
        </xdr:cNvSpPr>
      </xdr:nvSpPr>
      <xdr:spPr bwMode="auto">
        <a:xfrm>
          <a:off x="5943601" y="6867523"/>
          <a:ext cx="504824" cy="247651"/>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1200</a:t>
          </a:r>
        </a:p>
      </xdr:txBody>
    </xdr:sp>
    <xdr:clientData/>
  </xdr:twoCellAnchor>
  <xdr:twoCellAnchor>
    <xdr:from>
      <xdr:col>5</xdr:col>
      <xdr:colOff>361951</xdr:colOff>
      <xdr:row>30</xdr:row>
      <xdr:rowOff>38098</xdr:rowOff>
    </xdr:from>
    <xdr:to>
      <xdr:col>5</xdr:col>
      <xdr:colOff>866775</xdr:colOff>
      <xdr:row>31</xdr:row>
      <xdr:rowOff>47624</xdr:rowOff>
    </xdr:to>
    <xdr:sp macro="" textlink="">
      <xdr:nvSpPr>
        <xdr:cNvPr id="19" name="Watts3"/>
        <xdr:cNvSpPr txBox="1">
          <a:spLocks noChangeArrowheads="1"/>
        </xdr:cNvSpPr>
      </xdr:nvSpPr>
      <xdr:spPr bwMode="auto">
        <a:xfrm>
          <a:off x="5934076" y="7267573"/>
          <a:ext cx="504824" cy="247651"/>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800</a:t>
          </a:r>
        </a:p>
      </xdr:txBody>
    </xdr:sp>
    <xdr:clientData/>
  </xdr:twoCellAnchor>
  <xdr:twoCellAnchor>
    <xdr:from>
      <xdr:col>5</xdr:col>
      <xdr:colOff>361951</xdr:colOff>
      <xdr:row>31</xdr:row>
      <xdr:rowOff>219073</xdr:rowOff>
    </xdr:from>
    <xdr:to>
      <xdr:col>5</xdr:col>
      <xdr:colOff>866775</xdr:colOff>
      <xdr:row>32</xdr:row>
      <xdr:rowOff>228599</xdr:rowOff>
    </xdr:to>
    <xdr:sp macro="" textlink="">
      <xdr:nvSpPr>
        <xdr:cNvPr id="20" name="Watts2"/>
        <xdr:cNvSpPr txBox="1">
          <a:spLocks noChangeArrowheads="1"/>
        </xdr:cNvSpPr>
      </xdr:nvSpPr>
      <xdr:spPr bwMode="auto">
        <a:xfrm>
          <a:off x="5934076" y="7686673"/>
          <a:ext cx="504824" cy="247651"/>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400</a:t>
          </a:r>
        </a:p>
      </xdr:txBody>
    </xdr:sp>
    <xdr:clientData/>
  </xdr:twoCellAnchor>
  <xdr:twoCellAnchor>
    <xdr:from>
      <xdr:col>5</xdr:col>
      <xdr:colOff>742950</xdr:colOff>
      <xdr:row>23</xdr:row>
      <xdr:rowOff>38100</xdr:rowOff>
    </xdr:from>
    <xdr:to>
      <xdr:col>5</xdr:col>
      <xdr:colOff>962025</xdr:colOff>
      <xdr:row>28</xdr:row>
      <xdr:rowOff>171450</xdr:rowOff>
    </xdr:to>
    <xdr:sp macro="" textlink="">
      <xdr:nvSpPr>
        <xdr:cNvPr id="21" name="Input Watts"/>
        <xdr:cNvSpPr txBox="1">
          <a:spLocks noChangeArrowheads="1"/>
        </xdr:cNvSpPr>
      </xdr:nvSpPr>
      <xdr:spPr bwMode="auto">
        <a:xfrm>
          <a:off x="6315075" y="5600700"/>
          <a:ext cx="219075" cy="132397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vert270"/>
        <a:lstStyle/>
        <a:p>
          <a:r>
            <a:rPr lang="en-US"/>
            <a:t>Input Watts (kW)</a:t>
          </a:r>
        </a:p>
      </xdr:txBody>
    </xdr:sp>
    <xdr:clientData/>
  </xdr:twoCellAnchor>
  <xdr:twoCellAnchor>
    <xdr:from>
      <xdr:col>5</xdr:col>
      <xdr:colOff>361951</xdr:colOff>
      <xdr:row>23</xdr:row>
      <xdr:rowOff>66673</xdr:rowOff>
    </xdr:from>
    <xdr:to>
      <xdr:col>5</xdr:col>
      <xdr:colOff>866775</xdr:colOff>
      <xdr:row>24</xdr:row>
      <xdr:rowOff>76199</xdr:rowOff>
    </xdr:to>
    <xdr:sp macro="" textlink="">
      <xdr:nvSpPr>
        <xdr:cNvPr id="22" name="Watts7"/>
        <xdr:cNvSpPr txBox="1">
          <a:spLocks noChangeArrowheads="1"/>
        </xdr:cNvSpPr>
      </xdr:nvSpPr>
      <xdr:spPr bwMode="auto">
        <a:xfrm>
          <a:off x="5934076" y="5629273"/>
          <a:ext cx="504824" cy="247651"/>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2400</a:t>
          </a:r>
        </a:p>
      </xdr:txBody>
    </xdr:sp>
    <xdr:clientData/>
  </xdr:twoCellAnchor>
  <xdr:twoCellAnchor>
    <xdr:from>
      <xdr:col>5</xdr:col>
      <xdr:colOff>361951</xdr:colOff>
      <xdr:row>21</xdr:row>
      <xdr:rowOff>133348</xdr:rowOff>
    </xdr:from>
    <xdr:to>
      <xdr:col>5</xdr:col>
      <xdr:colOff>866775</xdr:colOff>
      <xdr:row>22</xdr:row>
      <xdr:rowOff>142874</xdr:rowOff>
    </xdr:to>
    <xdr:sp macro="" textlink="">
      <xdr:nvSpPr>
        <xdr:cNvPr id="23" name="Watts8"/>
        <xdr:cNvSpPr txBox="1">
          <a:spLocks noChangeArrowheads="1"/>
        </xdr:cNvSpPr>
      </xdr:nvSpPr>
      <xdr:spPr bwMode="auto">
        <a:xfrm>
          <a:off x="5934076" y="5219698"/>
          <a:ext cx="504824" cy="247651"/>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2800</a:t>
          </a:r>
        </a:p>
      </xdr:txBody>
    </xdr:sp>
    <xdr:clientData/>
  </xdr:twoCellAnchor>
  <xdr:twoCellAnchor>
    <xdr:from>
      <xdr:col>5</xdr:col>
      <xdr:colOff>352426</xdr:colOff>
      <xdr:row>19</xdr:row>
      <xdr:rowOff>200023</xdr:rowOff>
    </xdr:from>
    <xdr:to>
      <xdr:col>5</xdr:col>
      <xdr:colOff>857250</xdr:colOff>
      <xdr:row>20</xdr:row>
      <xdr:rowOff>209549</xdr:rowOff>
    </xdr:to>
    <xdr:sp macro="" textlink="">
      <xdr:nvSpPr>
        <xdr:cNvPr id="24" name="Watts9"/>
        <xdr:cNvSpPr txBox="1">
          <a:spLocks noChangeArrowheads="1"/>
        </xdr:cNvSpPr>
      </xdr:nvSpPr>
      <xdr:spPr bwMode="auto">
        <a:xfrm>
          <a:off x="5924551" y="4810123"/>
          <a:ext cx="504824" cy="247651"/>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3200</a:t>
          </a:r>
        </a:p>
      </xdr:txBody>
    </xdr:sp>
    <xdr:clientData/>
  </xdr:twoCellAnchor>
  <xdr:twoCellAnchor>
    <xdr:from>
      <xdr:col>5</xdr:col>
      <xdr:colOff>352426</xdr:colOff>
      <xdr:row>18</xdr:row>
      <xdr:rowOff>28573</xdr:rowOff>
    </xdr:from>
    <xdr:to>
      <xdr:col>5</xdr:col>
      <xdr:colOff>857250</xdr:colOff>
      <xdr:row>19</xdr:row>
      <xdr:rowOff>38099</xdr:rowOff>
    </xdr:to>
    <xdr:sp macro="" textlink="">
      <xdr:nvSpPr>
        <xdr:cNvPr id="25" name="Watts10"/>
        <xdr:cNvSpPr txBox="1">
          <a:spLocks noChangeArrowheads="1"/>
        </xdr:cNvSpPr>
      </xdr:nvSpPr>
      <xdr:spPr bwMode="auto">
        <a:xfrm>
          <a:off x="5924551" y="4400548"/>
          <a:ext cx="504824" cy="247651"/>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3600</a:t>
          </a:r>
        </a:p>
      </xdr:txBody>
    </xdr:sp>
    <xdr:clientData/>
  </xdr:twoCellAnchor>
  <xdr:twoCellAnchor>
    <xdr:from>
      <xdr:col>2</xdr:col>
      <xdr:colOff>857250</xdr:colOff>
      <xdr:row>17</xdr:row>
      <xdr:rowOff>19050</xdr:rowOff>
    </xdr:from>
    <xdr:to>
      <xdr:col>3</xdr:col>
      <xdr:colOff>85725</xdr:colOff>
      <xdr:row>17</xdr:row>
      <xdr:rowOff>161925</xdr:rowOff>
    </xdr:to>
    <xdr:sp macro="" textlink="" fLocksText="0">
      <xdr:nvSpPr>
        <xdr:cNvPr id="26" name="Text Box 26"/>
        <xdr:cNvSpPr txBox="1">
          <a:spLocks noChangeArrowheads="1"/>
        </xdr:cNvSpPr>
      </xdr:nvSpPr>
      <xdr:spPr bwMode="auto">
        <a:xfrm>
          <a:off x="3086100" y="4152900"/>
          <a:ext cx="342900" cy="1428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en-US" sz="1000" b="1" i="0" u="none" strike="noStrike" baseline="0">
              <a:solidFill>
                <a:srgbClr val="000000"/>
              </a:solidFill>
              <a:latin typeface="Arial"/>
              <a:cs typeface="Arial"/>
            </a:rPr>
            <a:t>EFF.</a:t>
          </a:r>
        </a:p>
      </xdr:txBody>
    </xdr:sp>
    <xdr:clientData fLocksWithSheet="0"/>
  </xdr:twoCellAnchor>
  <xdr:twoCellAnchor>
    <xdr:from>
      <xdr:col>3</xdr:col>
      <xdr:colOff>504825</xdr:colOff>
      <xdr:row>18</xdr:row>
      <xdr:rowOff>161925</xdr:rowOff>
    </xdr:from>
    <xdr:to>
      <xdr:col>3</xdr:col>
      <xdr:colOff>838200</xdr:colOff>
      <xdr:row>19</xdr:row>
      <xdr:rowOff>95250</xdr:rowOff>
    </xdr:to>
    <xdr:sp macro="" textlink="" fLocksText="0">
      <xdr:nvSpPr>
        <xdr:cNvPr id="27" name="Text Box 27"/>
        <xdr:cNvSpPr txBox="1">
          <a:spLocks noChangeArrowheads="1"/>
        </xdr:cNvSpPr>
      </xdr:nvSpPr>
      <xdr:spPr bwMode="auto">
        <a:xfrm>
          <a:off x="3848100" y="4533900"/>
          <a:ext cx="333375"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en-US" sz="1000" b="1" i="0" u="none" strike="noStrike" baseline="0">
              <a:solidFill>
                <a:srgbClr val="000000"/>
              </a:solidFill>
              <a:latin typeface="Arial"/>
              <a:cs typeface="Arial"/>
            </a:rPr>
            <a:t>P.F.</a:t>
          </a:r>
        </a:p>
      </xdr:txBody>
    </xdr:sp>
    <xdr:clientData fLocksWithSheet="0"/>
  </xdr:twoCellAnchor>
  <xdr:twoCellAnchor>
    <xdr:from>
      <xdr:col>3</xdr:col>
      <xdr:colOff>114300</xdr:colOff>
      <xdr:row>22</xdr:row>
      <xdr:rowOff>57150</xdr:rowOff>
    </xdr:from>
    <xdr:to>
      <xdr:col>3</xdr:col>
      <xdr:colOff>457200</xdr:colOff>
      <xdr:row>22</xdr:row>
      <xdr:rowOff>200025</xdr:rowOff>
    </xdr:to>
    <xdr:sp macro="" textlink="" fLocksText="0">
      <xdr:nvSpPr>
        <xdr:cNvPr id="28" name="Speed"/>
        <xdr:cNvSpPr txBox="1">
          <a:spLocks noChangeArrowheads="1"/>
        </xdr:cNvSpPr>
      </xdr:nvSpPr>
      <xdr:spPr bwMode="auto">
        <a:xfrm>
          <a:off x="3457575" y="5381625"/>
          <a:ext cx="342900" cy="1428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en-US" sz="1000" b="1" i="0" u="none" strike="noStrike" baseline="0">
              <a:solidFill>
                <a:srgbClr val="000000"/>
              </a:solidFill>
              <a:latin typeface="Arial"/>
              <a:cs typeface="Arial"/>
            </a:rPr>
            <a:t>RPM</a:t>
          </a:r>
        </a:p>
      </xdr:txBody>
    </xdr:sp>
    <xdr:clientData fLocksWithSheet="0"/>
  </xdr:twoCellAnchor>
  <xdr:twoCellAnchor>
    <xdr:from>
      <xdr:col>1</xdr:col>
      <xdr:colOff>1000125</xdr:colOff>
      <xdr:row>29</xdr:row>
      <xdr:rowOff>28575</xdr:rowOff>
    </xdr:from>
    <xdr:to>
      <xdr:col>2</xdr:col>
      <xdr:colOff>323850</xdr:colOff>
      <xdr:row>29</xdr:row>
      <xdr:rowOff>180975</xdr:rowOff>
    </xdr:to>
    <xdr:sp macro="" textlink="" fLocksText="0">
      <xdr:nvSpPr>
        <xdr:cNvPr id="29" name="Amps"/>
        <xdr:cNvSpPr txBox="1">
          <a:spLocks noChangeArrowheads="1"/>
        </xdr:cNvSpPr>
      </xdr:nvSpPr>
      <xdr:spPr bwMode="auto">
        <a:xfrm>
          <a:off x="2114550" y="7019925"/>
          <a:ext cx="438150" cy="1524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en-US" sz="1000" b="1" i="0" u="none" strike="noStrike" baseline="0">
              <a:solidFill>
                <a:srgbClr val="000000"/>
              </a:solidFill>
              <a:latin typeface="Arial"/>
              <a:cs typeface="Arial"/>
            </a:rPr>
            <a:t>AMPS</a:t>
          </a:r>
        </a:p>
      </xdr:txBody>
    </xdr:sp>
    <xdr:clientData fLocksWithSheet="0"/>
  </xdr:twoCellAnchor>
  <xdr:twoCellAnchor>
    <xdr:from>
      <xdr:col>2</xdr:col>
      <xdr:colOff>523875</xdr:colOff>
      <xdr:row>32</xdr:row>
      <xdr:rowOff>152400</xdr:rowOff>
    </xdr:from>
    <xdr:to>
      <xdr:col>2</xdr:col>
      <xdr:colOff>1028700</xdr:colOff>
      <xdr:row>33</xdr:row>
      <xdr:rowOff>66675</xdr:rowOff>
    </xdr:to>
    <xdr:sp macro="" textlink="" fLocksText="0">
      <xdr:nvSpPr>
        <xdr:cNvPr id="30" name="Watts"/>
        <xdr:cNvSpPr txBox="1">
          <a:spLocks noChangeArrowheads="1"/>
        </xdr:cNvSpPr>
      </xdr:nvSpPr>
      <xdr:spPr bwMode="auto">
        <a:xfrm>
          <a:off x="2752725" y="7858125"/>
          <a:ext cx="504825" cy="1524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en-US" sz="1000" b="1" i="0" u="none" strike="noStrike" baseline="0">
              <a:solidFill>
                <a:srgbClr val="000000"/>
              </a:solidFill>
              <a:latin typeface="Arial"/>
              <a:cs typeface="Arial"/>
            </a:rPr>
            <a:t>WATTS</a:t>
          </a:r>
        </a:p>
      </xdr:txBody>
    </xdr:sp>
    <xdr:clientData fLocksWithSheet="0"/>
  </xdr:twoCellAnchor>
  <xdr:twoCellAnchor>
    <xdr:from>
      <xdr:col>5</xdr:col>
      <xdr:colOff>351937</xdr:colOff>
      <xdr:row>33</xdr:row>
      <xdr:rowOff>142875</xdr:rowOff>
    </xdr:from>
    <xdr:to>
      <xdr:col>5</xdr:col>
      <xdr:colOff>882649</xdr:colOff>
      <xdr:row>34</xdr:row>
      <xdr:rowOff>164784</xdr:rowOff>
    </xdr:to>
    <xdr:sp macro="" textlink="">
      <xdr:nvSpPr>
        <xdr:cNvPr id="31" name="Watts1"/>
        <xdr:cNvSpPr txBox="1">
          <a:spLocks noChangeArrowheads="1"/>
        </xdr:cNvSpPr>
      </xdr:nvSpPr>
      <xdr:spPr bwMode="auto">
        <a:xfrm>
          <a:off x="5924062" y="8086725"/>
          <a:ext cx="530712" cy="260034"/>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0</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pageSetUpPr fitToPage="1"/>
  </sheetPr>
  <dimension ref="A1:J113"/>
  <sheetViews>
    <sheetView topLeftCell="A7" zoomScale="95" zoomScaleNormal="95" workbookViewId="0">
      <selection activeCell="B3" sqref="B3"/>
    </sheetView>
  </sheetViews>
  <sheetFormatPr defaultRowHeight="12.75"/>
  <cols>
    <col min="1" max="6" width="12.28515625" customWidth="1"/>
    <col min="7" max="7" width="12.42578125" customWidth="1"/>
    <col min="8" max="8" width="12.7109375" customWidth="1"/>
    <col min="9" max="10" width="12.28515625" customWidth="1"/>
  </cols>
  <sheetData>
    <row r="1" spans="1:10" ht="18.75">
      <c r="A1" s="35" t="s">
        <v>167</v>
      </c>
      <c r="B1" s="2"/>
      <c r="C1" s="2"/>
      <c r="D1" s="2"/>
      <c r="E1" s="2"/>
      <c r="F1" s="2"/>
      <c r="G1" s="2"/>
      <c r="H1" s="2"/>
      <c r="I1" s="127" t="s">
        <v>0</v>
      </c>
      <c r="J1" s="127" t="s">
        <v>202</v>
      </c>
    </row>
    <row r="2" spans="1:10" ht="18.75">
      <c r="A2" s="35" t="s">
        <v>173</v>
      </c>
      <c r="B2" s="2"/>
      <c r="C2" s="2"/>
      <c r="D2" s="2"/>
      <c r="E2" s="2"/>
      <c r="F2" s="2"/>
      <c r="G2" s="2"/>
      <c r="H2" s="2"/>
      <c r="I2" s="2"/>
      <c r="J2" s="133" t="s">
        <v>203</v>
      </c>
    </row>
    <row r="3" spans="1:10" ht="15" customHeight="1" thickBot="1">
      <c r="A3" s="51" t="s">
        <v>1</v>
      </c>
      <c r="B3" s="98" t="s">
        <v>201</v>
      </c>
      <c r="C3" s="1"/>
      <c r="D3" s="51"/>
      <c r="E3" s="1"/>
      <c r="F3" s="1"/>
      <c r="G3" s="51" t="s">
        <v>2</v>
      </c>
      <c r="H3" s="151">
        <v>41940</v>
      </c>
      <c r="I3" s="51" t="s">
        <v>3</v>
      </c>
      <c r="J3" s="152">
        <v>0.73060185185185189</v>
      </c>
    </row>
    <row r="4" spans="1:10" ht="15" customHeight="1">
      <c r="A4" s="13" t="s">
        <v>4</v>
      </c>
      <c r="B4" s="13" t="s">
        <v>171</v>
      </c>
      <c r="C4" s="13" t="s">
        <v>5</v>
      </c>
      <c r="D4" s="13" t="s">
        <v>172</v>
      </c>
      <c r="E4" s="13" t="s">
        <v>6</v>
      </c>
      <c r="F4" s="13" t="s">
        <v>7</v>
      </c>
      <c r="G4" s="13" t="s">
        <v>175</v>
      </c>
      <c r="H4" s="13" t="s">
        <v>8</v>
      </c>
      <c r="I4" s="13" t="s">
        <v>9</v>
      </c>
      <c r="J4" s="13" t="s">
        <v>10</v>
      </c>
    </row>
    <row r="5" spans="1:10" ht="15" customHeight="1" thickBot="1">
      <c r="A5" s="52">
        <v>2</v>
      </c>
      <c r="B5" s="115">
        <v>1500</v>
      </c>
      <c r="C5" s="145">
        <v>3600</v>
      </c>
      <c r="D5" s="52" t="s">
        <v>176</v>
      </c>
      <c r="E5" s="145">
        <v>4000</v>
      </c>
      <c r="F5" s="145">
        <v>60</v>
      </c>
      <c r="G5" s="52">
        <v>105</v>
      </c>
      <c r="H5" s="80" t="s">
        <v>236</v>
      </c>
      <c r="I5" s="79" t="s">
        <v>241</v>
      </c>
      <c r="J5" s="52" t="s">
        <v>177</v>
      </c>
    </row>
    <row r="6" spans="1:10" ht="15" customHeight="1" thickBot="1">
      <c r="A6" s="24" t="s">
        <v>11</v>
      </c>
      <c r="B6" s="25"/>
      <c r="C6" s="26"/>
      <c r="D6" s="110" t="s">
        <v>12</v>
      </c>
      <c r="E6" s="43"/>
      <c r="F6" s="15"/>
      <c r="G6" s="16"/>
      <c r="H6" s="44" t="s">
        <v>13</v>
      </c>
      <c r="I6" s="19"/>
      <c r="J6" s="30"/>
    </row>
    <row r="7" spans="1:10" ht="15" customHeight="1" thickBot="1">
      <c r="A7" s="147"/>
      <c r="B7" s="4" t="s">
        <v>14</v>
      </c>
      <c r="C7" s="17" t="s">
        <v>15</v>
      </c>
      <c r="D7" s="147"/>
      <c r="E7" s="19"/>
      <c r="F7" s="4" t="s">
        <v>16</v>
      </c>
      <c r="G7" s="17" t="s">
        <v>17</v>
      </c>
      <c r="H7" s="11" t="s">
        <v>18</v>
      </c>
      <c r="I7" s="70">
        <v>26.179916666666667</v>
      </c>
      <c r="J7" s="108" t="s">
        <v>19</v>
      </c>
    </row>
    <row r="8" spans="1:10" ht="15" customHeight="1">
      <c r="A8" s="7" t="s">
        <v>20</v>
      </c>
      <c r="B8" s="71">
        <v>3.5</v>
      </c>
      <c r="C8" s="54"/>
      <c r="D8" s="7"/>
      <c r="E8" s="53"/>
      <c r="F8" s="4"/>
      <c r="G8" s="17"/>
      <c r="H8" s="11" t="s">
        <v>21</v>
      </c>
      <c r="I8" s="70">
        <v>30.254877608695651</v>
      </c>
      <c r="J8" s="105" t="s">
        <v>22</v>
      </c>
    </row>
    <row r="9" spans="1:10" ht="15" customHeight="1" thickBot="1">
      <c r="A9" s="7" t="s">
        <v>23</v>
      </c>
      <c r="B9" s="71">
        <v>0.93000000715255737</v>
      </c>
      <c r="C9" s="54"/>
      <c r="D9" s="7" t="s">
        <v>24</v>
      </c>
      <c r="E9" s="55" t="s">
        <v>185</v>
      </c>
      <c r="F9" s="109" t="s">
        <v>25</v>
      </c>
      <c r="G9" s="31"/>
      <c r="H9" s="11" t="s">
        <v>26</v>
      </c>
      <c r="I9" s="71">
        <v>28.217397137681161</v>
      </c>
      <c r="J9" s="106">
        <v>592.63296827847694</v>
      </c>
    </row>
    <row r="10" spans="1:10" ht="15" customHeight="1">
      <c r="A10" s="7" t="s">
        <v>27</v>
      </c>
      <c r="B10" s="71">
        <v>500</v>
      </c>
      <c r="C10" s="75">
        <v>500</v>
      </c>
      <c r="D10" s="7"/>
      <c r="E10" s="53"/>
      <c r="F10" s="119" t="s">
        <v>197</v>
      </c>
      <c r="G10" s="117" t="s">
        <v>198</v>
      </c>
      <c r="H10" s="11" t="s">
        <v>28</v>
      </c>
      <c r="I10" s="70">
        <v>17.127578248316492</v>
      </c>
      <c r="J10" s="105" t="s">
        <v>29</v>
      </c>
    </row>
    <row r="11" spans="1:10" ht="15" customHeight="1" thickBot="1">
      <c r="A11" s="7" t="s">
        <v>30</v>
      </c>
      <c r="B11" s="71">
        <v>815</v>
      </c>
      <c r="C11" s="75">
        <v>443</v>
      </c>
      <c r="D11" s="7" t="s">
        <v>31</v>
      </c>
      <c r="E11" s="70">
        <v>0.62956666666666661</v>
      </c>
      <c r="F11" s="120"/>
      <c r="G11" s="116"/>
      <c r="H11" s="11" t="s">
        <v>32</v>
      </c>
      <c r="I11" s="70">
        <v>29.859305480929297</v>
      </c>
      <c r="J11" s="106">
        <v>37826.011086206876</v>
      </c>
    </row>
    <row r="12" spans="1:10" ht="15" customHeight="1">
      <c r="A12" s="7" t="s">
        <v>33</v>
      </c>
      <c r="B12" s="71">
        <v>450</v>
      </c>
      <c r="C12" s="75">
        <v>170</v>
      </c>
      <c r="D12" s="7" t="s">
        <v>34</v>
      </c>
      <c r="E12" s="140" t="s">
        <v>174</v>
      </c>
      <c r="F12" s="126" t="s">
        <v>191</v>
      </c>
      <c r="G12" s="118" t="s">
        <v>190</v>
      </c>
      <c r="H12" s="11" t="s">
        <v>35</v>
      </c>
      <c r="I12" s="70">
        <v>1.5285241314976885</v>
      </c>
      <c r="J12" s="105" t="s">
        <v>36</v>
      </c>
    </row>
    <row r="13" spans="1:10" ht="15" customHeight="1" thickBot="1">
      <c r="A13" s="7" t="s">
        <v>37</v>
      </c>
      <c r="B13" s="71">
        <v>109.5</v>
      </c>
      <c r="C13" s="75">
        <v>98.090000152587891</v>
      </c>
      <c r="D13" s="7" t="s">
        <v>38</v>
      </c>
      <c r="E13" s="72">
        <v>18</v>
      </c>
      <c r="F13" s="126"/>
      <c r="G13" s="118" t="s">
        <v>192</v>
      </c>
      <c r="H13" s="11" t="s">
        <v>40</v>
      </c>
      <c r="I13" s="70">
        <v>1.0132478676712358</v>
      </c>
      <c r="J13" s="106">
        <v>180.47999572753906</v>
      </c>
    </row>
    <row r="14" spans="1:10" ht="15" customHeight="1" thickBot="1">
      <c r="A14" s="136" t="s">
        <v>41</v>
      </c>
      <c r="B14" s="137">
        <v>375.72000122070313</v>
      </c>
      <c r="C14" s="138">
        <v>431.51998901367188</v>
      </c>
      <c r="D14" s="7" t="s">
        <v>42</v>
      </c>
      <c r="E14" s="53" t="s">
        <v>186</v>
      </c>
      <c r="F14" s="53"/>
      <c r="G14" s="118" t="s">
        <v>193</v>
      </c>
      <c r="H14" s="51" t="s">
        <v>43</v>
      </c>
      <c r="I14" s="70">
        <v>1.5487738169240604</v>
      </c>
      <c r="J14" s="105" t="s">
        <v>44</v>
      </c>
    </row>
    <row r="15" spans="1:10" ht="15" customHeight="1" thickBot="1">
      <c r="A15" s="14" t="s">
        <v>45</v>
      </c>
      <c r="B15" s="143"/>
      <c r="C15" s="144"/>
      <c r="D15" s="7" t="s">
        <v>46</v>
      </c>
      <c r="E15" s="53" t="s">
        <v>174</v>
      </c>
      <c r="F15" s="53"/>
      <c r="G15" s="118"/>
      <c r="H15" s="11" t="s">
        <v>47</v>
      </c>
      <c r="I15" s="70">
        <v>0.83543300071747506</v>
      </c>
      <c r="J15" s="106">
        <v>28.511959876543209</v>
      </c>
    </row>
    <row r="16" spans="1:10" ht="15" customHeight="1">
      <c r="A16" s="7" t="s">
        <v>48</v>
      </c>
      <c r="B16" s="53">
        <v>54</v>
      </c>
      <c r="C16" s="54">
        <v>46</v>
      </c>
      <c r="D16" s="7" t="s">
        <v>49</v>
      </c>
      <c r="E16" s="53">
        <v>2</v>
      </c>
      <c r="F16" s="53"/>
      <c r="G16" s="118"/>
      <c r="H16" s="11" t="s">
        <v>50</v>
      </c>
      <c r="I16" s="70">
        <v>0.95529270900034158</v>
      </c>
      <c r="J16" s="107" t="s">
        <v>51</v>
      </c>
    </row>
    <row r="17" spans="1:10" ht="15" customHeight="1" thickBot="1">
      <c r="A17" s="7" t="s">
        <v>52</v>
      </c>
      <c r="B17" s="53" t="s">
        <v>178</v>
      </c>
      <c r="C17" s="54" t="s">
        <v>179</v>
      </c>
      <c r="D17" s="98" t="s">
        <v>53</v>
      </c>
      <c r="E17" s="53" t="s">
        <v>187</v>
      </c>
      <c r="F17" s="53"/>
      <c r="G17" s="118"/>
      <c r="H17" s="11" t="s">
        <v>54</v>
      </c>
      <c r="I17" s="70">
        <v>0.79808305444368111</v>
      </c>
      <c r="J17" s="106">
        <v>620.44504657113816</v>
      </c>
    </row>
    <row r="18" spans="1:10" ht="15" customHeight="1">
      <c r="A18" s="7" t="s">
        <v>55</v>
      </c>
      <c r="B18" s="53" t="s">
        <v>174</v>
      </c>
      <c r="C18" s="75">
        <v>0</v>
      </c>
      <c r="D18" s="7" t="s">
        <v>56</v>
      </c>
      <c r="E18" s="142">
        <v>1367</v>
      </c>
      <c r="F18" s="72">
        <v>690.53700256347656</v>
      </c>
      <c r="G18" s="76"/>
      <c r="H18" s="14" t="s">
        <v>57</v>
      </c>
      <c r="I18" s="134" t="s">
        <v>199</v>
      </c>
      <c r="J18" s="135"/>
    </row>
    <row r="19" spans="1:10" ht="15" customHeight="1">
      <c r="A19" s="7" t="s">
        <v>58</v>
      </c>
      <c r="B19" s="71">
        <v>73</v>
      </c>
      <c r="C19" s="75">
        <v>38.409999847412109</v>
      </c>
      <c r="D19" s="7" t="s">
        <v>59</v>
      </c>
      <c r="E19" s="72">
        <v>162</v>
      </c>
      <c r="F19" s="53"/>
      <c r="G19" s="54"/>
      <c r="H19" s="148"/>
      <c r="I19" s="4" t="s">
        <v>60</v>
      </c>
      <c r="J19" s="32" t="s">
        <v>61</v>
      </c>
    </row>
    <row r="20" spans="1:10" ht="15" customHeight="1">
      <c r="A20" s="7" t="s">
        <v>62</v>
      </c>
      <c r="B20" s="71" t="s">
        <v>180</v>
      </c>
      <c r="C20" s="75"/>
      <c r="D20" s="7" t="s">
        <v>166</v>
      </c>
      <c r="E20" s="69">
        <v>6.499728382145914E-2</v>
      </c>
      <c r="F20" s="53"/>
      <c r="G20" s="54"/>
      <c r="H20" s="11" t="s">
        <v>63</v>
      </c>
      <c r="I20" s="70">
        <v>14.993256568908691</v>
      </c>
      <c r="J20" s="74">
        <v>14.993256568908691</v>
      </c>
    </row>
    <row r="21" spans="1:10" ht="15" customHeight="1">
      <c r="A21" s="7" t="s">
        <v>64</v>
      </c>
      <c r="B21" s="71">
        <v>17.299999237060547</v>
      </c>
      <c r="C21" s="75">
        <v>3</v>
      </c>
      <c r="D21" s="11" t="s">
        <v>188</v>
      </c>
      <c r="E21" s="69">
        <v>8.6705610441592834E-2</v>
      </c>
      <c r="F21" s="69">
        <v>5.538533627986908E-2</v>
      </c>
      <c r="G21" s="73">
        <v>1.7881383410658414E-2</v>
      </c>
      <c r="H21" s="11" t="s">
        <v>65</v>
      </c>
      <c r="I21" s="70">
        <v>16.318153381347656</v>
      </c>
      <c r="J21" s="74">
        <v>13.79779052734375</v>
      </c>
    </row>
    <row r="22" spans="1:10" ht="15" customHeight="1">
      <c r="A22" s="7" t="s">
        <v>66</v>
      </c>
      <c r="B22" s="71">
        <v>13.149999618530273</v>
      </c>
      <c r="C22" s="75">
        <v>3</v>
      </c>
      <c r="D22" s="7" t="s">
        <v>67</v>
      </c>
      <c r="E22" s="53" t="s">
        <v>189</v>
      </c>
      <c r="F22" s="53" t="s">
        <v>189</v>
      </c>
      <c r="G22" s="54" t="s">
        <v>189</v>
      </c>
      <c r="H22" s="11" t="s">
        <v>68</v>
      </c>
      <c r="I22" s="70">
        <v>4.6907854080200195</v>
      </c>
      <c r="J22" s="74">
        <v>4.3235888481140137</v>
      </c>
    </row>
    <row r="23" spans="1:10" ht="15" customHeight="1">
      <c r="A23" s="7" t="s">
        <v>69</v>
      </c>
      <c r="B23" s="71">
        <v>8.8799171447753906</v>
      </c>
      <c r="C23" s="75">
        <v>10.888422012329102</v>
      </c>
      <c r="D23" s="7" t="s">
        <v>70</v>
      </c>
      <c r="E23" s="70">
        <v>1.7419999837875366</v>
      </c>
      <c r="F23" s="70">
        <v>1.7419999837875366</v>
      </c>
      <c r="G23" s="74">
        <v>1.7419999837875366</v>
      </c>
      <c r="H23" s="11" t="s">
        <v>71</v>
      </c>
      <c r="I23" s="70">
        <v>36.260752508692832</v>
      </c>
      <c r="J23" s="17" t="s">
        <v>200</v>
      </c>
    </row>
    <row r="24" spans="1:10" ht="15" customHeight="1">
      <c r="A24" s="7" t="s">
        <v>72</v>
      </c>
      <c r="B24" s="71">
        <v>0</v>
      </c>
      <c r="C24" s="75">
        <v>0.80000001192092896</v>
      </c>
      <c r="D24" s="7" t="s">
        <v>73</v>
      </c>
      <c r="E24" s="70">
        <v>8.8900003433227539</v>
      </c>
      <c r="F24" s="70">
        <v>8.8900003433227539</v>
      </c>
      <c r="G24" s="74">
        <v>8.8900003433227539</v>
      </c>
      <c r="H24" s="11" t="s">
        <v>74</v>
      </c>
      <c r="I24" s="70">
        <v>6.7857612215462551</v>
      </c>
      <c r="J24" s="74">
        <v>6.2545696013546266</v>
      </c>
    </row>
    <row r="25" spans="1:10" ht="15" customHeight="1">
      <c r="A25" s="7" t="s">
        <v>75</v>
      </c>
      <c r="B25" s="53" t="s">
        <v>174</v>
      </c>
      <c r="C25" s="75">
        <v>5.7199997901916504</v>
      </c>
      <c r="D25" s="111" t="s">
        <v>76</v>
      </c>
      <c r="E25" s="55"/>
      <c r="F25" s="55"/>
      <c r="G25" s="62"/>
      <c r="H25" s="11" t="s">
        <v>77</v>
      </c>
      <c r="I25" s="70">
        <v>0.15997232496738434</v>
      </c>
      <c r="J25" s="74">
        <v>0.38708928227424622</v>
      </c>
    </row>
    <row r="26" spans="1:10" ht="15" customHeight="1">
      <c r="A26" s="7" t="s">
        <v>78</v>
      </c>
      <c r="B26" s="55" t="s">
        <v>181</v>
      </c>
      <c r="C26" s="62" t="s">
        <v>182</v>
      </c>
      <c r="D26" s="11" t="s">
        <v>79</v>
      </c>
      <c r="E26" s="71">
        <v>350.54439635699117</v>
      </c>
      <c r="F26" s="71">
        <v>99.602121799609122</v>
      </c>
      <c r="G26" s="75">
        <v>84.531503356144583</v>
      </c>
      <c r="H26" s="11" t="s">
        <v>80</v>
      </c>
      <c r="I26" s="70">
        <v>1.939828634262085</v>
      </c>
      <c r="J26" s="74">
        <v>1.855933666229248</v>
      </c>
    </row>
    <row r="27" spans="1:10" ht="15" customHeight="1" thickBot="1">
      <c r="A27" s="7" t="s">
        <v>81</v>
      </c>
      <c r="B27" s="53" t="s">
        <v>183</v>
      </c>
      <c r="C27" s="54" t="s">
        <v>184</v>
      </c>
      <c r="D27" s="12" t="s">
        <v>82</v>
      </c>
      <c r="E27" s="82" t="s">
        <v>174</v>
      </c>
      <c r="F27" s="82" t="s">
        <v>174</v>
      </c>
      <c r="G27" s="84" t="s">
        <v>174</v>
      </c>
      <c r="H27" s="12" t="s">
        <v>83</v>
      </c>
      <c r="I27" s="81">
        <v>1.9464136362075806</v>
      </c>
      <c r="J27" s="83">
        <v>1.8958712816238403</v>
      </c>
    </row>
    <row r="28" spans="1:10" ht="15" customHeight="1">
      <c r="A28" s="7" t="s">
        <v>84</v>
      </c>
      <c r="B28" s="3"/>
      <c r="C28" s="40"/>
      <c r="D28" s="14" t="s">
        <v>85</v>
      </c>
      <c r="E28" s="23"/>
      <c r="F28" s="20"/>
      <c r="G28" s="43"/>
      <c r="H28" s="16"/>
      <c r="I28" s="29" t="s">
        <v>86</v>
      </c>
      <c r="J28" s="16"/>
    </row>
    <row r="29" spans="1:10" ht="15" customHeight="1">
      <c r="A29" s="8"/>
      <c r="B29" s="36" t="s">
        <v>87</v>
      </c>
      <c r="C29" s="77">
        <v>35.359193128881586</v>
      </c>
      <c r="D29" s="8"/>
      <c r="E29" s="4" t="s">
        <v>88</v>
      </c>
      <c r="F29" s="4" t="s">
        <v>89</v>
      </c>
      <c r="G29" s="4" t="s">
        <v>90</v>
      </c>
      <c r="H29" s="17" t="s">
        <v>91</v>
      </c>
      <c r="I29" s="4" t="s">
        <v>92</v>
      </c>
      <c r="J29" s="17" t="s">
        <v>93</v>
      </c>
    </row>
    <row r="30" spans="1:10" ht="15" customHeight="1" thickBot="1">
      <c r="A30" s="9"/>
      <c r="B30" s="65" t="s">
        <v>94</v>
      </c>
      <c r="C30" s="78">
        <v>35.395463326989393</v>
      </c>
      <c r="D30" s="11" t="s">
        <v>95</v>
      </c>
      <c r="E30" s="71">
        <v>64.009896249999997</v>
      </c>
      <c r="F30" s="71">
        <v>822.8268026733399</v>
      </c>
      <c r="G30" s="71">
        <v>16.298075719697593</v>
      </c>
      <c r="H30" s="76">
        <v>825.61169866255102</v>
      </c>
      <c r="I30" s="72">
        <v>91185.326650496732</v>
      </c>
      <c r="J30" s="76">
        <v>7137.5596796083937</v>
      </c>
    </row>
    <row r="31" spans="1:10" ht="15" customHeight="1">
      <c r="A31" s="24" t="s">
        <v>96</v>
      </c>
      <c r="B31" s="149"/>
      <c r="C31" s="28"/>
      <c r="D31" s="11" t="s">
        <v>97</v>
      </c>
      <c r="E31" s="71">
        <v>7.3000000000000007</v>
      </c>
      <c r="F31" s="71">
        <v>900.81786972818315</v>
      </c>
      <c r="G31" s="71">
        <v>14.887019879183022</v>
      </c>
      <c r="H31" s="76">
        <v>64.051520055403145</v>
      </c>
      <c r="I31" s="72">
        <v>13151.940898031475</v>
      </c>
      <c r="J31" s="76">
        <v>889.00124887406378</v>
      </c>
    </row>
    <row r="32" spans="1:10" ht="15" customHeight="1">
      <c r="A32" s="7" t="s">
        <v>98</v>
      </c>
      <c r="B32" s="70" t="s">
        <v>243</v>
      </c>
      <c r="C32" s="112"/>
      <c r="D32" s="11" t="s">
        <v>99</v>
      </c>
      <c r="E32" s="71">
        <v>28.759685678968431</v>
      </c>
      <c r="F32" s="71">
        <v>1091.0839095383301</v>
      </c>
      <c r="G32" s="71">
        <v>12.290982771289462</v>
      </c>
      <c r="H32" s="76">
        <v>124.87447751931202</v>
      </c>
      <c r="I32" s="10" t="s">
        <v>100</v>
      </c>
      <c r="J32" s="76">
        <v>8026.5609284824577</v>
      </c>
    </row>
    <row r="33" spans="1:10" ht="15" customHeight="1">
      <c r="A33" s="7" t="s">
        <v>101</v>
      </c>
      <c r="B33" s="70" t="s">
        <v>244</v>
      </c>
      <c r="C33" s="113" t="s">
        <v>102</v>
      </c>
      <c r="D33" s="11" t="s">
        <v>97</v>
      </c>
      <c r="E33" s="71">
        <v>3.8409999847412113</v>
      </c>
      <c r="F33" s="71">
        <v>1080.6715018413897</v>
      </c>
      <c r="G33" s="71">
        <v>12.409407957289712</v>
      </c>
      <c r="H33" s="76">
        <v>17.112390357480372</v>
      </c>
      <c r="I33" s="10" t="s">
        <v>103</v>
      </c>
      <c r="J33" s="75" t="s">
        <v>211</v>
      </c>
    </row>
    <row r="34" spans="1:10" ht="15" customHeight="1" thickBot="1">
      <c r="A34" s="18" t="s">
        <v>104</v>
      </c>
      <c r="B34" s="81" t="s">
        <v>245</v>
      </c>
      <c r="C34" s="114">
        <v>13.410493534166763</v>
      </c>
      <c r="D34" s="12" t="s">
        <v>20</v>
      </c>
      <c r="E34" s="81">
        <v>0.35000000000000003</v>
      </c>
      <c r="F34" s="82">
        <v>1980.7686580683064</v>
      </c>
      <c r="G34" s="82">
        <v>6.7703482077735435</v>
      </c>
      <c r="H34" s="85">
        <v>1885.6867642823702</v>
      </c>
      <c r="I34" s="10" t="s">
        <v>105</v>
      </c>
      <c r="J34" s="75">
        <v>6.0500001907348633</v>
      </c>
    </row>
    <row r="35" spans="1:10" ht="15" customHeight="1">
      <c r="A35" s="14" t="s">
        <v>106</v>
      </c>
      <c r="B35" s="15"/>
      <c r="C35" s="15"/>
      <c r="D35" s="139" t="s">
        <v>213</v>
      </c>
      <c r="E35" s="150" t="s">
        <v>212</v>
      </c>
      <c r="F35" s="16"/>
      <c r="G35" s="27" t="s">
        <v>107</v>
      </c>
      <c r="H35" s="87" t="s">
        <v>206</v>
      </c>
      <c r="I35" s="11" t="s">
        <v>108</v>
      </c>
      <c r="J35" s="76" t="s">
        <v>210</v>
      </c>
    </row>
    <row r="36" spans="1:10" ht="15" customHeight="1">
      <c r="A36" s="7" t="s">
        <v>109</v>
      </c>
      <c r="B36" s="4">
        <v>25</v>
      </c>
      <c r="C36" s="4">
        <v>50</v>
      </c>
      <c r="D36" s="4">
        <v>75</v>
      </c>
      <c r="E36" s="4">
        <v>100</v>
      </c>
      <c r="F36" s="17">
        <v>125</v>
      </c>
      <c r="G36" s="11" t="s">
        <v>110</v>
      </c>
      <c r="H36" s="76" t="s">
        <v>204</v>
      </c>
      <c r="I36" s="11" t="s">
        <v>111</v>
      </c>
      <c r="J36" s="76" t="s">
        <v>209</v>
      </c>
    </row>
    <row r="37" spans="1:10" ht="15" customHeight="1" thickBot="1">
      <c r="A37" s="7" t="s">
        <v>112</v>
      </c>
      <c r="B37" s="71" t="s">
        <v>225</v>
      </c>
      <c r="C37" s="71" t="s">
        <v>226</v>
      </c>
      <c r="D37" s="71" t="s">
        <v>227</v>
      </c>
      <c r="E37" s="71" t="s">
        <v>228</v>
      </c>
      <c r="F37" s="75" t="s">
        <v>229</v>
      </c>
      <c r="G37" s="11" t="s">
        <v>113</v>
      </c>
      <c r="H37" s="76" t="s">
        <v>205</v>
      </c>
      <c r="I37" s="12" t="s">
        <v>114</v>
      </c>
      <c r="J37" s="85" t="s">
        <v>208</v>
      </c>
    </row>
    <row r="38" spans="1:10" ht="15" customHeight="1" thickBot="1">
      <c r="A38" s="7" t="s">
        <v>115</v>
      </c>
      <c r="B38" s="70" t="s">
        <v>215</v>
      </c>
      <c r="C38" s="70" t="s">
        <v>216</v>
      </c>
      <c r="D38" s="70" t="s">
        <v>217</v>
      </c>
      <c r="E38" s="70" t="s">
        <v>218</v>
      </c>
      <c r="F38" s="74" t="s">
        <v>219</v>
      </c>
      <c r="G38" s="18" t="s">
        <v>116</v>
      </c>
      <c r="H38" s="85" t="s">
        <v>207</v>
      </c>
      <c r="I38" s="141" t="s">
        <v>214</v>
      </c>
      <c r="J38" s="86">
        <v>13139.5068359375</v>
      </c>
    </row>
    <row r="39" spans="1:10" ht="15" customHeight="1">
      <c r="A39" s="7" t="s">
        <v>117</v>
      </c>
      <c r="B39" s="70" t="s">
        <v>220</v>
      </c>
      <c r="C39" s="70" t="s">
        <v>221</v>
      </c>
      <c r="D39" s="70" t="s">
        <v>222</v>
      </c>
      <c r="E39" s="70" t="s">
        <v>223</v>
      </c>
      <c r="F39" s="74" t="s">
        <v>224</v>
      </c>
      <c r="G39" s="14" t="s">
        <v>118</v>
      </c>
      <c r="H39" s="15"/>
      <c r="I39" s="41" t="s">
        <v>119</v>
      </c>
      <c r="J39" s="42" t="s">
        <v>120</v>
      </c>
    </row>
    <row r="40" spans="1:10" ht="15" customHeight="1">
      <c r="A40" s="7" t="s">
        <v>119</v>
      </c>
      <c r="B40" s="69" t="s">
        <v>238</v>
      </c>
      <c r="C40" s="69" t="s">
        <v>239</v>
      </c>
      <c r="D40" s="69" t="s">
        <v>240</v>
      </c>
      <c r="E40" s="69" t="s">
        <v>241</v>
      </c>
      <c r="F40" s="73" t="s">
        <v>242</v>
      </c>
      <c r="G40" s="37" t="s">
        <v>121</v>
      </c>
      <c r="H40" s="93" t="s">
        <v>246</v>
      </c>
      <c r="I40" s="57"/>
      <c r="J40" s="58"/>
    </row>
    <row r="41" spans="1:10" ht="15" customHeight="1">
      <c r="A41" s="7" t="s">
        <v>5</v>
      </c>
      <c r="B41" s="72" t="s">
        <v>233</v>
      </c>
      <c r="C41" s="72" t="s">
        <v>234</v>
      </c>
      <c r="D41" s="72" t="s">
        <v>235</v>
      </c>
      <c r="E41" s="72" t="s">
        <v>236</v>
      </c>
      <c r="F41" s="76" t="s">
        <v>237</v>
      </c>
      <c r="G41" s="38" t="s">
        <v>122</v>
      </c>
      <c r="H41" s="94" t="s">
        <v>247</v>
      </c>
      <c r="I41" s="59"/>
      <c r="J41" s="60"/>
    </row>
    <row r="42" spans="1:10" ht="15" customHeight="1">
      <c r="A42" s="7" t="s">
        <v>123</v>
      </c>
      <c r="B42" s="70">
        <v>4.369110018304216</v>
      </c>
      <c r="C42" s="70">
        <v>4.369110018304216</v>
      </c>
      <c r="D42" s="70">
        <v>4.369110018304216</v>
      </c>
      <c r="E42" s="70">
        <v>4.369110018304216</v>
      </c>
      <c r="F42" s="74">
        <v>4.369110018304216</v>
      </c>
      <c r="G42" s="37" t="s">
        <v>124</v>
      </c>
      <c r="H42" s="93" t="s">
        <v>248</v>
      </c>
      <c r="I42" s="57"/>
      <c r="J42" s="99">
        <v>0.2041809597680396</v>
      </c>
    </row>
    <row r="43" spans="1:10" ht="15" customHeight="1" thickBot="1">
      <c r="A43" s="18" t="s">
        <v>125</v>
      </c>
      <c r="B43" s="81">
        <v>4.369110018304216</v>
      </c>
      <c r="C43" s="81"/>
      <c r="D43" s="81" t="s">
        <v>251</v>
      </c>
      <c r="E43" s="81"/>
      <c r="F43" s="83"/>
      <c r="G43" s="38" t="s">
        <v>122</v>
      </c>
      <c r="H43" s="94" t="s">
        <v>249</v>
      </c>
      <c r="I43" s="59"/>
      <c r="J43" s="60"/>
    </row>
    <row r="44" spans="1:10" ht="15" customHeight="1">
      <c r="A44" s="6" t="s">
        <v>126</v>
      </c>
      <c r="B44" s="146"/>
      <c r="C44" s="3"/>
      <c r="D44" s="3"/>
      <c r="E44" s="6" t="s">
        <v>127</v>
      </c>
      <c r="F44" s="21"/>
      <c r="G44" s="37" t="s">
        <v>128</v>
      </c>
      <c r="H44" s="95">
        <v>3804.8069071126179</v>
      </c>
      <c r="I44" s="92">
        <v>3.773201360697713E-2</v>
      </c>
      <c r="J44" s="99">
        <v>0.6422158137659566</v>
      </c>
    </row>
    <row r="45" spans="1:10" ht="15" customHeight="1">
      <c r="A45" s="7" t="s">
        <v>129</v>
      </c>
      <c r="B45" s="70">
        <v>0.25606796145439148</v>
      </c>
      <c r="C45" s="5" t="s">
        <v>130</v>
      </c>
      <c r="D45" s="74">
        <v>6.7228577099740505E-3</v>
      </c>
      <c r="E45" s="7" t="s">
        <v>131</v>
      </c>
      <c r="F45" s="76">
        <v>581.77391822307709</v>
      </c>
      <c r="G45" s="39" t="s">
        <v>122</v>
      </c>
      <c r="H45" s="88" t="s">
        <v>250</v>
      </c>
      <c r="I45" s="61"/>
      <c r="J45" s="62"/>
    </row>
    <row r="46" spans="1:10" ht="15" customHeight="1">
      <c r="A46" s="7" t="s">
        <v>132</v>
      </c>
      <c r="B46" s="70">
        <v>0.13914811611175537</v>
      </c>
      <c r="C46" s="5" t="s">
        <v>133</v>
      </c>
      <c r="D46" s="74">
        <v>5.2555808797478676E-3</v>
      </c>
      <c r="E46" s="7" t="s">
        <v>134</v>
      </c>
      <c r="F46" s="76">
        <v>833.28812037815601</v>
      </c>
      <c r="G46" s="38" t="s">
        <v>135</v>
      </c>
      <c r="H46" s="96">
        <v>822.83795991179954</v>
      </c>
      <c r="I46" s="59"/>
      <c r="J46" s="60"/>
    </row>
    <row r="47" spans="1:10" ht="15" customHeight="1">
      <c r="A47" s="7" t="s">
        <v>136</v>
      </c>
      <c r="B47" s="70">
        <v>0.39521607756614685</v>
      </c>
      <c r="C47" s="5" t="s">
        <v>137</v>
      </c>
      <c r="D47" s="74">
        <v>8.243967778980732E-3</v>
      </c>
      <c r="E47" s="7" t="s">
        <v>138</v>
      </c>
      <c r="F47" s="76">
        <v>293.11481725822733</v>
      </c>
      <c r="G47" s="66" t="s">
        <v>139</v>
      </c>
      <c r="H47" s="95">
        <v>3664.0675246310116</v>
      </c>
      <c r="I47" s="92">
        <v>3.6276392604262693E-2</v>
      </c>
      <c r="J47" s="97">
        <v>0.6557217271557344</v>
      </c>
    </row>
    <row r="48" spans="1:10" ht="15" customHeight="1">
      <c r="A48" s="7" t="s">
        <v>140</v>
      </c>
      <c r="B48" s="70">
        <v>1.5254405327141285E-2</v>
      </c>
      <c r="C48" s="5" t="s">
        <v>100</v>
      </c>
      <c r="D48" s="74">
        <v>3.5476811230182648E-2</v>
      </c>
      <c r="E48" s="7" t="s">
        <v>141</v>
      </c>
      <c r="F48" s="76">
        <v>217.47287042351803</v>
      </c>
      <c r="G48" s="67" t="s">
        <v>122</v>
      </c>
      <c r="H48" s="88">
        <v>327.44124438168109</v>
      </c>
      <c r="I48" s="61"/>
      <c r="J48" s="62"/>
    </row>
    <row r="49" spans="1:10" ht="15" customHeight="1" thickBot="1">
      <c r="A49" s="9"/>
      <c r="B49" s="56"/>
      <c r="C49" s="34" t="s">
        <v>142</v>
      </c>
      <c r="D49" s="83">
        <v>0.96452319622039795</v>
      </c>
      <c r="E49" s="18" t="s">
        <v>143</v>
      </c>
      <c r="F49" s="85">
        <v>555.53124447088351</v>
      </c>
      <c r="G49" s="68" t="s">
        <v>135</v>
      </c>
      <c r="H49" s="96">
        <v>806.51147279931365</v>
      </c>
      <c r="I49" s="59"/>
      <c r="J49" s="63"/>
    </row>
    <row r="50" spans="1:10" ht="15" customHeight="1">
      <c r="A50" s="14" t="s">
        <v>196</v>
      </c>
      <c r="B50" s="15"/>
      <c r="C50" s="15"/>
      <c r="D50" s="15"/>
      <c r="E50" s="15"/>
      <c r="F50" s="16"/>
      <c r="G50" s="14" t="s">
        <v>144</v>
      </c>
      <c r="H50" s="15"/>
      <c r="I50" s="43"/>
      <c r="J50" s="28"/>
    </row>
    <row r="51" spans="1:10" ht="15" customHeight="1">
      <c r="A51" s="11" t="s">
        <v>145</v>
      </c>
      <c r="B51" s="53">
        <v>46</v>
      </c>
      <c r="C51" s="10" t="s">
        <v>146</v>
      </c>
      <c r="D51" s="71" t="s">
        <v>174</v>
      </c>
      <c r="E51" s="10" t="s">
        <v>147</v>
      </c>
      <c r="F51" s="75" t="s">
        <v>174</v>
      </c>
      <c r="G51" s="10" t="s">
        <v>148</v>
      </c>
      <c r="H51" s="69">
        <v>6.2082943671400971E-2</v>
      </c>
      <c r="I51" s="46" t="s">
        <v>149</v>
      </c>
      <c r="J51" s="40"/>
    </row>
    <row r="52" spans="1:10" ht="15" customHeight="1">
      <c r="A52" s="11" t="s">
        <v>58</v>
      </c>
      <c r="B52" s="71">
        <v>38.409999847412109</v>
      </c>
      <c r="C52" s="10" t="s">
        <v>150</v>
      </c>
      <c r="D52" s="71" t="s">
        <v>174</v>
      </c>
      <c r="E52" s="10" t="s">
        <v>151</v>
      </c>
      <c r="F52" s="75" t="s">
        <v>174</v>
      </c>
      <c r="G52" s="10" t="s">
        <v>168</v>
      </c>
      <c r="H52" s="71">
        <v>91059.536000000007</v>
      </c>
      <c r="I52" s="100" t="s">
        <v>230</v>
      </c>
      <c r="J52" s="64"/>
    </row>
    <row r="53" spans="1:10" ht="15" customHeight="1">
      <c r="A53" s="11" t="s">
        <v>64</v>
      </c>
      <c r="B53" s="71">
        <v>3</v>
      </c>
      <c r="C53" s="10" t="s">
        <v>152</v>
      </c>
      <c r="D53" s="71" t="s">
        <v>174</v>
      </c>
      <c r="E53" s="10" t="s">
        <v>153</v>
      </c>
      <c r="F53" s="75" t="s">
        <v>174</v>
      </c>
      <c r="G53" s="10" t="s">
        <v>169</v>
      </c>
      <c r="H53" s="70">
        <v>71.481371521856005</v>
      </c>
      <c r="I53" s="45" t="s">
        <v>154</v>
      </c>
      <c r="J53" s="40"/>
    </row>
    <row r="54" spans="1:10" ht="15" customHeight="1">
      <c r="A54" s="11" t="s">
        <v>66</v>
      </c>
      <c r="B54" s="71">
        <v>3</v>
      </c>
      <c r="C54" s="10" t="s">
        <v>155</v>
      </c>
      <c r="D54" s="71" t="s">
        <v>174</v>
      </c>
      <c r="E54" s="10" t="s">
        <v>153</v>
      </c>
      <c r="F54" s="75" t="s">
        <v>174</v>
      </c>
      <c r="G54" s="10" t="s">
        <v>170</v>
      </c>
      <c r="H54" s="72">
        <v>268346.90000000002</v>
      </c>
      <c r="I54" s="101" t="s">
        <v>231</v>
      </c>
      <c r="J54" s="102" t="s">
        <v>194</v>
      </c>
    </row>
    <row r="55" spans="1:10" ht="15" customHeight="1">
      <c r="A55" s="11" t="s">
        <v>156</v>
      </c>
      <c r="B55" s="71">
        <v>14.119999885559082</v>
      </c>
      <c r="C55" s="10" t="s">
        <v>157</v>
      </c>
      <c r="D55" s="71" t="s">
        <v>174</v>
      </c>
      <c r="E55" s="10" t="s">
        <v>158</v>
      </c>
      <c r="F55" s="75" t="s">
        <v>174</v>
      </c>
      <c r="G55" s="10" t="s">
        <v>159</v>
      </c>
      <c r="H55" s="71">
        <v>1</v>
      </c>
      <c r="I55" s="45" t="s">
        <v>160</v>
      </c>
      <c r="J55" s="40"/>
    </row>
    <row r="56" spans="1:10" ht="15" customHeight="1" thickBot="1">
      <c r="A56" s="12" t="s">
        <v>161</v>
      </c>
      <c r="B56" s="82" t="s">
        <v>174</v>
      </c>
      <c r="C56" s="22" t="s">
        <v>162</v>
      </c>
      <c r="D56" s="82" t="s">
        <v>174</v>
      </c>
      <c r="E56" s="22" t="s">
        <v>163</v>
      </c>
      <c r="F56" s="84" t="s">
        <v>174</v>
      </c>
      <c r="G56" s="22" t="s">
        <v>164</v>
      </c>
      <c r="H56" s="81">
        <v>0.69434999999999991</v>
      </c>
      <c r="I56" s="103" t="s">
        <v>232</v>
      </c>
      <c r="J56" s="63" t="s">
        <v>195</v>
      </c>
    </row>
    <row r="57" spans="1:10" ht="15" customHeight="1">
      <c r="A57" s="24" t="s">
        <v>399</v>
      </c>
      <c r="B57" s="43"/>
      <c r="C57" s="43"/>
      <c r="D57" s="43"/>
      <c r="E57" s="43"/>
      <c r="F57" s="28"/>
      <c r="G57" s="121"/>
      <c r="H57" s="122"/>
      <c r="I57" s="122"/>
      <c r="J57" s="123"/>
    </row>
    <row r="58" spans="1:10" ht="15" customHeight="1">
      <c r="A58" s="104" t="s">
        <v>119</v>
      </c>
      <c r="B58" s="4" t="s">
        <v>165</v>
      </c>
      <c r="C58" s="17" t="s">
        <v>400</v>
      </c>
      <c r="D58" s="4" t="s">
        <v>119</v>
      </c>
      <c r="E58" s="4" t="s">
        <v>165</v>
      </c>
      <c r="F58" s="17" t="s">
        <v>401</v>
      </c>
      <c r="G58" s="124"/>
      <c r="H58" s="47"/>
      <c r="I58" s="47"/>
      <c r="J58" s="48"/>
    </row>
    <row r="59" spans="1:10" ht="15" customHeight="1">
      <c r="A59" s="128">
        <v>0</v>
      </c>
      <c r="B59" s="88">
        <v>0</v>
      </c>
      <c r="C59" s="89">
        <v>0.22732029855251312</v>
      </c>
      <c r="D59" s="130">
        <v>0.68736839294433594</v>
      </c>
      <c r="E59" s="88">
        <v>95.850063287592064</v>
      </c>
      <c r="F59" s="89">
        <v>624.90948486328125</v>
      </c>
      <c r="G59" s="124"/>
      <c r="H59" s="47"/>
      <c r="I59" s="47"/>
      <c r="J59" s="48"/>
    </row>
    <row r="60" spans="1:10" ht="15" customHeight="1">
      <c r="A60" s="132">
        <v>2.0000003278255463E-3</v>
      </c>
      <c r="B60" s="88">
        <v>131.84278938549704</v>
      </c>
      <c r="C60" s="89">
        <v>160.06483459472656</v>
      </c>
      <c r="D60" s="130">
        <v>0.79157894849777222</v>
      </c>
      <c r="E60" s="88">
        <v>95.393802886833043</v>
      </c>
      <c r="F60" s="89">
        <v>627.90191650390625</v>
      </c>
      <c r="G60" s="124"/>
      <c r="H60" s="47"/>
      <c r="I60" s="47"/>
      <c r="J60" s="48"/>
    </row>
    <row r="61" spans="1:10" ht="15" customHeight="1">
      <c r="A61" s="132">
        <v>1.0000001639127731E-2</v>
      </c>
      <c r="B61" s="88">
        <v>255</v>
      </c>
      <c r="C61" s="89">
        <v>481.83688354492188</v>
      </c>
      <c r="D61" s="130">
        <v>0.89578944444656372</v>
      </c>
      <c r="E61" s="88">
        <v>95.137040424211989</v>
      </c>
      <c r="F61" s="89">
        <v>630.4407958984375</v>
      </c>
      <c r="G61" s="124"/>
      <c r="H61" s="47"/>
      <c r="I61" s="47"/>
      <c r="J61" s="48"/>
    </row>
    <row r="62" spans="1:10" ht="15" customHeight="1">
      <c r="A62" s="128">
        <v>6.2105264514684677E-2</v>
      </c>
      <c r="B62" s="88">
        <v>151.79291504460514</v>
      </c>
      <c r="C62" s="89">
        <v>565.22125244140625</v>
      </c>
      <c r="D62" s="131">
        <v>1</v>
      </c>
      <c r="E62" s="88">
        <v>95</v>
      </c>
      <c r="F62" s="89">
        <v>632.62030029296875</v>
      </c>
      <c r="G62" s="124"/>
      <c r="H62" s="47"/>
      <c r="I62" s="47"/>
      <c r="J62" s="48"/>
    </row>
    <row r="63" spans="1:10" ht="15" customHeight="1" thickBot="1">
      <c r="A63" s="128">
        <v>0.11421053111553192</v>
      </c>
      <c r="B63" s="88">
        <v>123.43242738356342</v>
      </c>
      <c r="C63" s="89">
        <v>587.3936767578125</v>
      </c>
      <c r="D63" s="383"/>
      <c r="E63" s="384"/>
      <c r="F63" s="385"/>
      <c r="G63" s="124"/>
      <c r="H63" s="47"/>
      <c r="I63" s="47"/>
      <c r="J63" s="48"/>
    </row>
    <row r="64" spans="1:10" ht="15" customHeight="1">
      <c r="A64" s="128">
        <v>0.16631579399108887</v>
      </c>
      <c r="B64" s="88">
        <v>111.11970118394879</v>
      </c>
      <c r="C64" s="89">
        <v>596.70806884765625</v>
      </c>
      <c r="D64" s="386" t="s">
        <v>433</v>
      </c>
      <c r="E64" s="387"/>
      <c r="F64" s="387"/>
      <c r="G64" s="124"/>
      <c r="H64" s="47"/>
      <c r="I64" s="47"/>
      <c r="J64" s="48"/>
    </row>
    <row r="65" spans="1:10" ht="15" customHeight="1">
      <c r="A65" s="128">
        <v>0.27052631974220276</v>
      </c>
      <c r="B65" s="88">
        <v>103.5965244127112</v>
      </c>
      <c r="C65" s="89">
        <v>605.9820556640625</v>
      </c>
      <c r="D65" s="541" t="s">
        <v>418</v>
      </c>
      <c r="E65" s="543" t="s">
        <v>432</v>
      </c>
      <c r="F65" s="544"/>
      <c r="G65" s="124"/>
      <c r="H65" s="47"/>
      <c r="I65" s="47"/>
      <c r="J65" s="48"/>
    </row>
    <row r="66" spans="1:10" ht="15" customHeight="1">
      <c r="A66" s="128">
        <v>0.37473684549331665</v>
      </c>
      <c r="B66" s="88">
        <v>100.03431447771118</v>
      </c>
      <c r="C66" s="89">
        <v>612.095703125</v>
      </c>
      <c r="D66" s="541" t="s">
        <v>415</v>
      </c>
      <c r="E66" s="543" t="s">
        <v>699</v>
      </c>
      <c r="F66" s="544"/>
      <c r="G66" s="124"/>
      <c r="H66" s="47"/>
      <c r="I66" s="47"/>
      <c r="J66" s="48"/>
    </row>
    <row r="67" spans="1:10" ht="15" customHeight="1">
      <c r="A67" s="128">
        <v>0.47894737124443054</v>
      </c>
      <c r="B67" s="88">
        <v>97.925143893182479</v>
      </c>
      <c r="C67" s="89">
        <v>617.11993408203125</v>
      </c>
      <c r="D67" s="541" t="s">
        <v>422</v>
      </c>
      <c r="E67" s="543" t="s">
        <v>700</v>
      </c>
      <c r="F67" s="544"/>
      <c r="G67" s="124"/>
      <c r="H67" s="47"/>
      <c r="I67" s="47"/>
      <c r="J67" s="48"/>
    </row>
    <row r="68" spans="1:10" ht="15" customHeight="1" thickBot="1">
      <c r="A68" s="129">
        <v>0.58315789699554443</v>
      </c>
      <c r="B68" s="90">
        <v>96.63049528408132</v>
      </c>
      <c r="C68" s="91">
        <v>621.35333251953125</v>
      </c>
      <c r="D68" s="542" t="s">
        <v>423</v>
      </c>
      <c r="E68" s="545" t="s">
        <v>434</v>
      </c>
      <c r="F68" s="545"/>
      <c r="G68" s="125"/>
      <c r="H68" s="49"/>
      <c r="I68" s="49"/>
      <c r="J68" s="50"/>
    </row>
    <row r="69" spans="1:10" ht="15" customHeight="1">
      <c r="A69" s="33"/>
      <c r="B69" s="33"/>
      <c r="C69" s="33"/>
      <c r="D69" s="33"/>
      <c r="E69" s="33"/>
      <c r="F69" s="33"/>
      <c r="G69" s="33"/>
      <c r="H69" s="33"/>
      <c r="I69" s="33"/>
      <c r="J69" s="33"/>
    </row>
    <row r="70" spans="1:10" ht="15" customHeight="1">
      <c r="A70" s="33"/>
      <c r="B70" s="33"/>
      <c r="C70" s="33"/>
      <c r="D70" s="33"/>
      <c r="E70" s="33"/>
      <c r="F70" s="33"/>
      <c r="G70" s="33"/>
      <c r="H70" s="33"/>
      <c r="I70" s="33"/>
      <c r="J70" s="33"/>
    </row>
    <row r="71" spans="1:10">
      <c r="A71" s="1"/>
      <c r="B71" s="1"/>
      <c r="C71" s="1"/>
      <c r="D71" s="1"/>
      <c r="E71" s="1"/>
      <c r="F71" s="1"/>
      <c r="G71" s="1"/>
      <c r="H71" s="1"/>
      <c r="I71" s="1"/>
      <c r="J71" s="1"/>
    </row>
    <row r="99" spans="1:9">
      <c r="A99" s="382" t="s">
        <v>431</v>
      </c>
      <c r="B99" s="382"/>
      <c r="C99" s="382"/>
      <c r="D99" s="382"/>
      <c r="E99" s="382"/>
      <c r="F99" s="382"/>
      <c r="G99" s="382"/>
      <c r="H99" s="382"/>
      <c r="I99" s="382"/>
    </row>
    <row r="100" spans="1:9">
      <c r="A100" s="382">
        <v>100</v>
      </c>
      <c r="B100" s="382"/>
      <c r="C100" s="382"/>
      <c r="D100" s="382"/>
      <c r="E100" s="382"/>
      <c r="F100" s="382"/>
      <c r="G100" s="382"/>
      <c r="H100" s="382"/>
      <c r="I100" s="382"/>
    </row>
    <row r="101" spans="1:9">
      <c r="A101" s="382">
        <v>99.599998474121094</v>
      </c>
      <c r="B101" s="382"/>
      <c r="C101" s="382"/>
      <c r="D101" s="382"/>
      <c r="E101" s="382"/>
      <c r="F101" s="382"/>
      <c r="G101" s="382"/>
      <c r="H101" s="382"/>
      <c r="I101" s="382"/>
    </row>
    <row r="102" spans="1:9">
      <c r="A102" s="382">
        <v>98</v>
      </c>
      <c r="B102" s="382"/>
      <c r="C102" s="382"/>
      <c r="D102" s="382"/>
      <c r="E102" s="382"/>
      <c r="F102" s="382"/>
      <c r="G102" s="382"/>
      <c r="H102" s="382"/>
      <c r="I102" s="382"/>
    </row>
    <row r="103" spans="1:9">
      <c r="A103" s="382">
        <v>83.852630615234375</v>
      </c>
      <c r="B103" s="382"/>
      <c r="C103" s="382"/>
      <c r="D103" s="382"/>
      <c r="E103" s="382"/>
      <c r="F103" s="382"/>
      <c r="G103" s="382"/>
      <c r="H103" s="382"/>
      <c r="I103" s="382"/>
    </row>
    <row r="104" spans="1:9">
      <c r="A104" s="382">
        <v>70.305259704589844</v>
      </c>
      <c r="B104" s="382"/>
      <c r="C104" s="382"/>
      <c r="D104" s="382"/>
      <c r="E104" s="382"/>
      <c r="F104" s="382"/>
      <c r="G104" s="382"/>
      <c r="H104" s="382"/>
      <c r="I104" s="382"/>
    </row>
    <row r="105" spans="1:9">
      <c r="A105" s="382">
        <v>57.410526275634766</v>
      </c>
      <c r="B105" s="382"/>
      <c r="C105" s="382"/>
      <c r="D105" s="382"/>
      <c r="E105" s="382"/>
      <c r="F105" s="382"/>
      <c r="G105" s="382"/>
      <c r="H105" s="382"/>
      <c r="I105" s="382"/>
    </row>
    <row r="106" spans="1:9">
      <c r="A106" s="382">
        <v>38.010524749755859</v>
      </c>
      <c r="B106" s="382"/>
      <c r="C106" s="382"/>
      <c r="D106" s="382"/>
      <c r="E106" s="382"/>
      <c r="F106" s="382"/>
      <c r="G106" s="382"/>
      <c r="H106" s="382"/>
      <c r="I106" s="382"/>
    </row>
    <row r="107" spans="1:9">
      <c r="A107" s="382">
        <v>24.778947830200195</v>
      </c>
      <c r="B107" s="382"/>
      <c r="C107" s="382"/>
      <c r="D107" s="382"/>
      <c r="E107" s="382"/>
      <c r="F107" s="382"/>
      <c r="G107" s="382"/>
      <c r="H107" s="382"/>
      <c r="I107" s="382"/>
    </row>
    <row r="108" spans="1:9">
      <c r="A108" s="382">
        <v>15.684209823608398</v>
      </c>
      <c r="B108" s="382"/>
      <c r="C108" s="382"/>
      <c r="D108" s="382"/>
      <c r="E108" s="382"/>
      <c r="F108" s="382"/>
      <c r="G108" s="382"/>
      <c r="H108" s="382"/>
      <c r="I108" s="382"/>
    </row>
    <row r="109" spans="1:9">
      <c r="A109" s="382">
        <v>9.0105257034301758</v>
      </c>
      <c r="B109" s="382"/>
      <c r="C109" s="382"/>
      <c r="D109" s="382"/>
      <c r="E109" s="382"/>
      <c r="F109" s="382"/>
      <c r="G109" s="382"/>
      <c r="H109" s="382"/>
      <c r="I109" s="382"/>
    </row>
    <row r="110" spans="1:9">
      <c r="A110" s="382">
        <v>6.2526321411132813</v>
      </c>
      <c r="B110" s="382"/>
      <c r="C110" s="382"/>
      <c r="D110" s="382"/>
      <c r="E110" s="382"/>
      <c r="F110" s="382"/>
      <c r="G110" s="382"/>
      <c r="H110" s="382"/>
      <c r="I110" s="382"/>
    </row>
    <row r="111" spans="1:9">
      <c r="A111" s="382">
        <v>7.8315787315368652</v>
      </c>
      <c r="B111" s="382"/>
      <c r="C111" s="382"/>
      <c r="D111" s="382"/>
      <c r="E111" s="382"/>
      <c r="F111" s="382"/>
      <c r="G111" s="382"/>
      <c r="H111" s="382"/>
      <c r="I111" s="382"/>
    </row>
    <row r="112" spans="1:9">
      <c r="A112" s="382">
        <v>14.70526123046875</v>
      </c>
      <c r="B112" s="382"/>
      <c r="C112" s="382"/>
      <c r="D112" s="382"/>
      <c r="E112" s="382"/>
      <c r="F112" s="382"/>
      <c r="G112" s="382"/>
      <c r="H112" s="382"/>
      <c r="I112" s="382"/>
    </row>
    <row r="113" spans="1:9">
      <c r="A113" s="382">
        <v>30</v>
      </c>
      <c r="B113" s="382"/>
      <c r="C113" s="382"/>
      <c r="D113" s="382"/>
      <c r="E113" s="382"/>
      <c r="F113" s="382"/>
      <c r="G113" s="382"/>
      <c r="H113" s="382"/>
      <c r="I113" s="382"/>
    </row>
  </sheetData>
  <printOptions horizontalCentered="1"/>
  <pageMargins left="0.86614173228346503" right="0" top="0.23622047244094499" bottom="0.23622047244094499" header="0" footer="0"/>
  <pageSetup scale="76"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Z53"/>
  <sheetViews>
    <sheetView topLeftCell="A4" workbookViewId="0">
      <selection activeCell="G39" sqref="G39"/>
    </sheetView>
  </sheetViews>
  <sheetFormatPr defaultColWidth="9.140625" defaultRowHeight="15.75"/>
  <cols>
    <col min="1" max="1" width="11.85546875" style="300" customWidth="1"/>
    <col min="2" max="2" width="6.140625" style="300" customWidth="1"/>
    <col min="3" max="3" width="7.42578125" style="300" customWidth="1"/>
    <col min="4" max="5" width="12.5703125" style="300" customWidth="1"/>
    <col min="6" max="6" width="9.42578125" style="300" customWidth="1"/>
    <col min="7" max="7" width="5.7109375" style="300" customWidth="1"/>
    <col min="8" max="8" width="7.85546875" style="300" customWidth="1"/>
    <col min="9" max="9" width="6.5703125" style="300" customWidth="1"/>
    <col min="10" max="10" width="12" style="301" customWidth="1"/>
    <col min="11" max="11" width="12" style="300" customWidth="1"/>
    <col min="12" max="26" width="9.140625" style="153"/>
    <col min="27" max="16384" width="9.140625" style="154"/>
  </cols>
  <sheetData>
    <row r="1" spans="1:26" ht="20.25" customHeight="1">
      <c r="A1" s="629" t="s">
        <v>252</v>
      </c>
      <c r="B1" s="629"/>
      <c r="C1" s="629"/>
      <c r="D1" s="629"/>
      <c r="E1" s="629"/>
      <c r="F1" s="629"/>
      <c r="G1" s="629"/>
      <c r="H1" s="629"/>
      <c r="I1" s="629"/>
      <c r="J1" s="629"/>
      <c r="K1" s="629"/>
    </row>
    <row r="2" spans="1:26" ht="20.25" customHeight="1">
      <c r="A2" s="630" t="s">
        <v>253</v>
      </c>
      <c r="B2" s="630"/>
      <c r="C2" s="630"/>
      <c r="D2" s="630"/>
      <c r="E2" s="630"/>
      <c r="F2" s="630"/>
      <c r="G2" s="630"/>
      <c r="H2" s="630"/>
      <c r="I2" s="630"/>
      <c r="J2" s="630"/>
      <c r="K2" s="630"/>
    </row>
    <row r="3" spans="1:26" ht="18.75" customHeight="1" thickBot="1">
      <c r="A3" s="155" t="s">
        <v>1</v>
      </c>
      <c r="B3" s="156" t="s">
        <v>364</v>
      </c>
      <c r="C3" s="157"/>
      <c r="D3" s="157"/>
      <c r="E3" s="157"/>
      <c r="F3" s="158"/>
      <c r="G3" s="157"/>
      <c r="H3" s="157"/>
      <c r="I3" s="155" t="s">
        <v>254</v>
      </c>
      <c r="J3" s="631" t="s">
        <v>692</v>
      </c>
      <c r="K3" s="631"/>
    </row>
    <row r="4" spans="1:26" s="167" customFormat="1" ht="18.399999999999999" customHeight="1" thickBot="1">
      <c r="A4" s="159" t="s">
        <v>365</v>
      </c>
      <c r="B4" s="160"/>
      <c r="C4" s="161"/>
      <c r="D4" s="161"/>
      <c r="E4" s="161"/>
      <c r="F4" s="161"/>
      <c r="G4" s="161"/>
      <c r="H4" s="161"/>
      <c r="I4" s="161"/>
      <c r="J4" s="161"/>
      <c r="K4" s="162"/>
      <c r="L4" s="163"/>
      <c r="M4" s="163"/>
      <c r="N4" s="163"/>
      <c r="O4" s="163"/>
      <c r="P4" s="163"/>
      <c r="Q4" s="164" t="s">
        <v>255</v>
      </c>
      <c r="R4" s="165"/>
      <c r="S4" s="163"/>
      <c r="T4" s="164" t="s">
        <v>256</v>
      </c>
      <c r="U4" s="166"/>
      <c r="V4" s="163"/>
      <c r="W4" s="163"/>
      <c r="X4" s="163"/>
      <c r="Y4" s="163"/>
      <c r="Z4" s="163"/>
    </row>
    <row r="5" spans="1:26" s="167" customFormat="1" ht="18.399999999999999" customHeight="1">
      <c r="A5" s="632" t="s">
        <v>257</v>
      </c>
      <c r="B5" s="633"/>
      <c r="C5" s="633"/>
      <c r="D5" s="168"/>
      <c r="E5" s="169"/>
      <c r="F5" s="170" t="s">
        <v>258</v>
      </c>
      <c r="G5" s="171"/>
      <c r="H5" s="171"/>
      <c r="I5" s="172"/>
      <c r="J5" s="173" t="s">
        <v>259</v>
      </c>
      <c r="K5" s="174" t="s">
        <v>260</v>
      </c>
      <c r="L5" s="163"/>
      <c r="M5" s="163"/>
      <c r="N5" s="163"/>
      <c r="O5" s="163"/>
      <c r="P5" s="163"/>
      <c r="Q5" s="175" t="s">
        <v>261</v>
      </c>
      <c r="R5" s="176"/>
      <c r="S5" s="163"/>
      <c r="T5" s="175" t="s">
        <v>262</v>
      </c>
      <c r="U5" s="177"/>
      <c r="V5" s="163"/>
      <c r="W5" s="163"/>
      <c r="X5" s="163"/>
      <c r="Y5" s="163"/>
      <c r="Z5" s="163"/>
    </row>
    <row r="6" spans="1:26" s="167" customFormat="1" ht="18.399999999999999" customHeight="1">
      <c r="A6" s="634" t="s">
        <v>67</v>
      </c>
      <c r="B6" s="635"/>
      <c r="C6" s="635"/>
      <c r="D6" s="636" t="s">
        <v>266</v>
      </c>
      <c r="E6" s="637"/>
      <c r="F6" s="567" t="s">
        <v>264</v>
      </c>
      <c r="G6" s="568"/>
      <c r="H6" s="568"/>
      <c r="I6" s="568"/>
      <c r="J6" s="568"/>
      <c r="K6" s="569"/>
      <c r="L6" s="163"/>
      <c r="M6" s="163"/>
      <c r="N6" s="163"/>
      <c r="O6" s="163"/>
      <c r="P6" s="163"/>
      <c r="Q6" s="175" t="s">
        <v>265</v>
      </c>
      <c r="R6" s="176"/>
      <c r="S6" s="163"/>
      <c r="T6" s="175" t="s">
        <v>266</v>
      </c>
      <c r="U6" s="177"/>
      <c r="V6" s="163"/>
      <c r="W6" s="163"/>
      <c r="X6" s="163"/>
      <c r="Y6" s="163"/>
      <c r="Z6" s="163"/>
    </row>
    <row r="7" spans="1:26" s="167" customFormat="1" ht="18.399999999999999" customHeight="1">
      <c r="A7" s="625" t="s">
        <v>20</v>
      </c>
      <c r="B7" s="626"/>
      <c r="C7" s="626"/>
      <c r="D7" s="627">
        <v>3.5</v>
      </c>
      <c r="E7" s="628"/>
      <c r="F7" s="178" t="s">
        <v>267</v>
      </c>
      <c r="G7" s="179"/>
      <c r="H7" s="180"/>
      <c r="I7" s="181"/>
      <c r="J7" s="182">
        <v>43</v>
      </c>
      <c r="K7" s="183" t="s">
        <v>174</v>
      </c>
      <c r="L7" s="163"/>
      <c r="M7" s="163"/>
      <c r="N7" s="163"/>
      <c r="O7" s="163"/>
      <c r="P7" s="163"/>
      <c r="Q7" s="175" t="s">
        <v>268</v>
      </c>
      <c r="R7" s="176"/>
      <c r="S7" s="163"/>
      <c r="T7" s="175" t="s">
        <v>263</v>
      </c>
      <c r="U7" s="177"/>
      <c r="V7" s="163"/>
      <c r="W7" s="163"/>
      <c r="X7" s="163"/>
      <c r="Y7" s="163"/>
      <c r="Z7" s="163"/>
    </row>
    <row r="8" spans="1:26" s="167" customFormat="1" ht="18.399999999999999" customHeight="1">
      <c r="A8" s="625" t="s">
        <v>269</v>
      </c>
      <c r="B8" s="626"/>
      <c r="C8" s="626"/>
      <c r="D8" s="611">
        <v>500</v>
      </c>
      <c r="E8" s="607"/>
      <c r="F8" s="184" t="s">
        <v>270</v>
      </c>
      <c r="G8" s="185"/>
      <c r="H8" s="186"/>
      <c r="I8" s="187"/>
      <c r="J8" s="188">
        <v>37432</v>
      </c>
      <c r="K8" s="189" t="s">
        <v>174</v>
      </c>
      <c r="L8" s="163"/>
      <c r="M8" s="163"/>
      <c r="N8" s="163"/>
      <c r="O8" s="163"/>
      <c r="P8" s="163"/>
      <c r="Q8" s="175" t="s">
        <v>271</v>
      </c>
      <c r="R8" s="176"/>
      <c r="S8" s="163"/>
      <c r="T8" s="175" t="s">
        <v>272</v>
      </c>
      <c r="U8" s="177"/>
      <c r="V8" s="163"/>
      <c r="W8" s="163"/>
      <c r="X8" s="163"/>
      <c r="Y8" s="163"/>
      <c r="Z8" s="163"/>
    </row>
    <row r="9" spans="1:26" s="167" customFormat="1" ht="18.399999999999999" customHeight="1">
      <c r="A9" s="620" t="s">
        <v>273</v>
      </c>
      <c r="B9" s="621"/>
      <c r="C9" s="622"/>
      <c r="D9" s="611">
        <v>9</v>
      </c>
      <c r="E9" s="607"/>
      <c r="F9" s="178" t="s">
        <v>274</v>
      </c>
      <c r="G9" s="179"/>
      <c r="H9" s="190">
        <v>3</v>
      </c>
      <c r="I9" s="191" t="s">
        <v>275</v>
      </c>
      <c r="J9" s="192">
        <v>365</v>
      </c>
      <c r="K9" s="189" t="s">
        <v>174</v>
      </c>
      <c r="L9" s="163"/>
      <c r="M9" s="163"/>
      <c r="N9" s="163"/>
      <c r="O9" s="163"/>
      <c r="P9" s="163"/>
      <c r="Q9" s="175" t="s">
        <v>276</v>
      </c>
      <c r="R9" s="176"/>
      <c r="S9" s="163"/>
      <c r="T9" s="175" t="s">
        <v>277</v>
      </c>
      <c r="U9" s="177"/>
      <c r="V9" s="163"/>
      <c r="W9" s="163"/>
      <c r="X9" s="163"/>
      <c r="Y9" s="163"/>
      <c r="Z9" s="163"/>
    </row>
    <row r="10" spans="1:26" s="167" customFormat="1" ht="18.399999999999999" customHeight="1" thickBot="1">
      <c r="A10" s="620" t="s">
        <v>278</v>
      </c>
      <c r="B10" s="621"/>
      <c r="C10" s="622"/>
      <c r="D10" s="594" t="s">
        <v>186</v>
      </c>
      <c r="E10" s="595"/>
      <c r="F10" s="178" t="s">
        <v>279</v>
      </c>
      <c r="G10" s="179"/>
      <c r="H10" s="190">
        <v>3</v>
      </c>
      <c r="I10" s="191" t="s">
        <v>275</v>
      </c>
      <c r="J10" s="192">
        <v>1150</v>
      </c>
      <c r="K10" s="189" t="s">
        <v>174</v>
      </c>
      <c r="L10" s="163"/>
      <c r="M10" s="163"/>
      <c r="N10" s="163"/>
      <c r="O10" s="163"/>
      <c r="P10" s="163"/>
      <c r="Q10" s="175" t="s">
        <v>280</v>
      </c>
      <c r="R10" s="176"/>
      <c r="S10" s="163"/>
      <c r="T10" s="193" t="s">
        <v>281</v>
      </c>
      <c r="U10" s="194"/>
      <c r="V10" s="163"/>
      <c r="W10" s="163"/>
      <c r="X10" s="163"/>
      <c r="Y10" s="163"/>
      <c r="Z10" s="163"/>
    </row>
    <row r="11" spans="1:26" s="167" customFormat="1" ht="18.399999999999999" customHeight="1" thickBot="1">
      <c r="A11" s="620" t="s">
        <v>282</v>
      </c>
      <c r="B11" s="621"/>
      <c r="C11" s="622"/>
      <c r="D11" s="589" t="s">
        <v>174</v>
      </c>
      <c r="E11" s="590"/>
      <c r="F11" s="195" t="s">
        <v>283</v>
      </c>
      <c r="G11" s="196"/>
      <c r="H11" s="197">
        <v>3</v>
      </c>
      <c r="I11" s="191" t="s">
        <v>275</v>
      </c>
      <c r="J11" s="198">
        <v>110524</v>
      </c>
      <c r="K11" s="199" t="s">
        <v>174</v>
      </c>
      <c r="L11" s="163"/>
      <c r="M11" s="163"/>
      <c r="N11" s="163"/>
      <c r="O11" s="163"/>
      <c r="P11" s="163"/>
      <c r="Q11" s="193" t="s">
        <v>284</v>
      </c>
      <c r="R11" s="200"/>
      <c r="S11" s="163"/>
      <c r="T11" s="163"/>
      <c r="U11" s="163"/>
      <c r="V11" s="163"/>
      <c r="W11" s="163"/>
      <c r="X11" s="163"/>
      <c r="Y11" s="163"/>
      <c r="Z11" s="163"/>
    </row>
    <row r="12" spans="1:26" s="167" customFormat="1" ht="18.399999999999999" customHeight="1">
      <c r="A12" s="201" t="s">
        <v>285</v>
      </c>
      <c r="C12" s="202"/>
      <c r="D12" s="623" t="s">
        <v>174</v>
      </c>
      <c r="E12" s="624"/>
      <c r="F12" s="591" t="s">
        <v>286</v>
      </c>
      <c r="G12" s="592"/>
      <c r="H12" s="592"/>
      <c r="I12" s="592"/>
      <c r="J12" s="592"/>
      <c r="K12" s="593"/>
      <c r="L12" s="163"/>
      <c r="M12" s="163"/>
      <c r="N12" s="163"/>
      <c r="O12" s="163"/>
      <c r="P12" s="163"/>
      <c r="Q12" s="163"/>
      <c r="R12" s="163"/>
      <c r="S12" s="163"/>
      <c r="T12" s="163"/>
      <c r="U12" s="163"/>
      <c r="V12" s="163"/>
      <c r="W12" s="163"/>
      <c r="X12" s="163"/>
      <c r="Y12" s="163"/>
      <c r="Z12" s="163"/>
    </row>
    <row r="13" spans="1:26" s="167" customFormat="1" ht="18.399999999999999" customHeight="1">
      <c r="A13" s="620" t="s">
        <v>53</v>
      </c>
      <c r="B13" s="621"/>
      <c r="C13" s="622"/>
      <c r="D13" s="614" t="s">
        <v>367</v>
      </c>
      <c r="E13" s="615"/>
      <c r="F13" s="203"/>
      <c r="G13" s="204" t="s">
        <v>287</v>
      </c>
      <c r="H13" s="205"/>
      <c r="I13" s="206" t="s">
        <v>288</v>
      </c>
      <c r="J13" s="207" t="s">
        <v>398</v>
      </c>
      <c r="K13" s="208" t="s">
        <v>174</v>
      </c>
      <c r="L13" s="163"/>
      <c r="M13" s="163"/>
      <c r="N13" s="163"/>
      <c r="O13" s="163"/>
      <c r="P13" s="163"/>
      <c r="Q13" s="163"/>
      <c r="R13" s="163"/>
      <c r="S13" s="163"/>
      <c r="T13" s="163"/>
      <c r="U13" s="163"/>
      <c r="V13" s="163"/>
      <c r="W13" s="163"/>
      <c r="X13" s="163"/>
      <c r="Y13" s="163"/>
      <c r="Z13" s="163"/>
    </row>
    <row r="14" spans="1:26" s="167" customFormat="1" ht="18.399999999999999" customHeight="1">
      <c r="A14" s="620" t="s">
        <v>56</v>
      </c>
      <c r="B14" s="621"/>
      <c r="C14" s="622"/>
      <c r="D14" s="623">
        <v>1367</v>
      </c>
      <c r="E14" s="624"/>
      <c r="F14" s="203"/>
      <c r="G14" s="209" t="s">
        <v>10</v>
      </c>
      <c r="H14" s="210"/>
      <c r="I14" s="210"/>
      <c r="J14" s="192" t="s">
        <v>174</v>
      </c>
      <c r="K14" s="189" t="s">
        <v>174</v>
      </c>
      <c r="L14" s="163"/>
      <c r="M14" s="163"/>
      <c r="N14" s="163"/>
      <c r="O14" s="163"/>
      <c r="P14" s="163"/>
      <c r="Q14" s="163"/>
      <c r="R14" s="163"/>
      <c r="S14" s="163"/>
      <c r="T14" s="163"/>
      <c r="U14" s="163"/>
      <c r="V14" s="163"/>
      <c r="W14" s="163"/>
      <c r="X14" s="163"/>
      <c r="Y14" s="163"/>
      <c r="Z14" s="163"/>
    </row>
    <row r="15" spans="1:26" s="167" customFormat="1" ht="18.399999999999999" customHeight="1">
      <c r="A15" s="608" t="s">
        <v>289</v>
      </c>
      <c r="B15" s="609"/>
      <c r="C15" s="610"/>
      <c r="D15" s="587">
        <v>14.644800186157227</v>
      </c>
      <c r="E15" s="588"/>
      <c r="F15" s="203"/>
      <c r="G15" s="209" t="s">
        <v>290</v>
      </c>
      <c r="H15" s="210"/>
      <c r="I15" s="210"/>
      <c r="J15" s="192" t="s">
        <v>174</v>
      </c>
      <c r="K15" s="189" t="s">
        <v>174</v>
      </c>
      <c r="L15" s="163"/>
      <c r="M15" s="163"/>
      <c r="N15" s="163"/>
      <c r="O15" s="163"/>
      <c r="P15" s="163"/>
      <c r="Q15" s="163"/>
      <c r="R15" s="163"/>
      <c r="S15" s="163"/>
      <c r="T15" s="163"/>
      <c r="U15" s="163"/>
      <c r="V15" s="163"/>
      <c r="W15" s="163"/>
      <c r="X15" s="163"/>
      <c r="Y15" s="163"/>
      <c r="Z15" s="163"/>
    </row>
    <row r="16" spans="1:26" s="167" customFormat="1" ht="18.399999999999999" customHeight="1">
      <c r="A16" s="584" t="s">
        <v>291</v>
      </c>
      <c r="B16" s="585"/>
      <c r="C16" s="586"/>
      <c r="D16" s="587">
        <v>3.7935991287231445</v>
      </c>
      <c r="E16" s="588"/>
      <c r="F16" s="211"/>
      <c r="G16" s="212" t="s">
        <v>17</v>
      </c>
      <c r="H16" s="213"/>
      <c r="I16" s="213"/>
      <c r="J16" s="198" t="s">
        <v>174</v>
      </c>
      <c r="K16" s="199" t="s">
        <v>174</v>
      </c>
      <c r="L16" s="163"/>
      <c r="M16" s="163"/>
      <c r="N16" s="163"/>
      <c r="O16" s="163"/>
      <c r="P16" s="163"/>
      <c r="Q16" s="163"/>
      <c r="R16" s="163"/>
      <c r="S16" s="163"/>
      <c r="T16" s="163"/>
      <c r="U16" s="163"/>
      <c r="V16" s="163"/>
      <c r="W16" s="163"/>
      <c r="X16" s="163"/>
      <c r="Y16" s="163"/>
      <c r="Z16" s="163"/>
    </row>
    <row r="17" spans="1:26" s="167" customFormat="1" ht="18.399999999999999" customHeight="1">
      <c r="A17" s="214" t="s">
        <v>292</v>
      </c>
      <c r="B17" s="215"/>
      <c r="C17" s="216"/>
      <c r="D17" s="589" t="s">
        <v>366</v>
      </c>
      <c r="E17" s="590"/>
      <c r="F17" s="591" t="s">
        <v>293</v>
      </c>
      <c r="G17" s="592"/>
      <c r="H17" s="592"/>
      <c r="I17" s="592"/>
      <c r="J17" s="592"/>
      <c r="K17" s="593"/>
      <c r="L17" s="163"/>
      <c r="M17" s="163"/>
      <c r="N17" s="163"/>
      <c r="O17" s="163"/>
      <c r="P17" s="163"/>
      <c r="Q17" s="163"/>
      <c r="R17" s="163"/>
      <c r="S17" s="163"/>
      <c r="T17" s="163"/>
      <c r="U17" s="163"/>
      <c r="V17" s="163"/>
      <c r="W17" s="163"/>
      <c r="X17" s="163"/>
      <c r="Y17" s="163"/>
      <c r="Z17" s="163"/>
    </row>
    <row r="18" spans="1:26" s="167" customFormat="1" ht="18.399999999999999" customHeight="1">
      <c r="A18" s="217" t="s">
        <v>294</v>
      </c>
      <c r="B18" s="218"/>
      <c r="C18" s="216"/>
      <c r="D18" s="594" t="s">
        <v>174</v>
      </c>
      <c r="E18" s="595"/>
      <c r="F18" s="596"/>
      <c r="G18" s="597"/>
      <c r="H18" s="219" t="s">
        <v>295</v>
      </c>
      <c r="I18" s="220"/>
      <c r="J18" s="188">
        <v>187</v>
      </c>
      <c r="K18" s="189"/>
      <c r="L18" s="163"/>
      <c r="M18" s="163">
        <f>J18*6.5</f>
        <v>1215.5</v>
      </c>
      <c r="N18" s="163"/>
      <c r="O18" s="163"/>
      <c r="P18" s="163"/>
      <c r="Q18" s="163"/>
      <c r="R18" s="163"/>
      <c r="S18" s="163"/>
      <c r="T18" s="163"/>
      <c r="U18" s="163"/>
      <c r="V18" s="163"/>
      <c r="W18" s="163"/>
      <c r="X18" s="163"/>
      <c r="Y18" s="163"/>
      <c r="Z18" s="163"/>
    </row>
    <row r="19" spans="1:26" s="167" customFormat="1" ht="18.399999999999999" customHeight="1">
      <c r="A19" s="602" t="s">
        <v>296</v>
      </c>
      <c r="B19" s="603"/>
      <c r="C19" s="604"/>
      <c r="D19" s="605" t="s">
        <v>174</v>
      </c>
      <c r="E19" s="590"/>
      <c r="F19" s="598"/>
      <c r="G19" s="599"/>
      <c r="H19" s="219" t="s">
        <v>5</v>
      </c>
      <c r="I19" s="181"/>
      <c r="J19" s="188">
        <v>3581</v>
      </c>
      <c r="K19" s="189"/>
      <c r="L19" s="163"/>
      <c r="M19" s="163"/>
      <c r="N19" s="163"/>
      <c r="O19" s="163"/>
      <c r="P19" s="163"/>
      <c r="Q19" s="163"/>
      <c r="R19" s="163"/>
      <c r="S19" s="163"/>
      <c r="T19" s="163"/>
      <c r="U19" s="163"/>
      <c r="V19" s="163"/>
      <c r="W19" s="163"/>
      <c r="X19" s="163"/>
      <c r="Y19" s="163"/>
      <c r="Z19" s="163"/>
    </row>
    <row r="20" spans="1:26" s="167" customFormat="1" ht="18.399999999999999" customHeight="1" thickBot="1">
      <c r="A20" s="221" t="s">
        <v>297</v>
      </c>
      <c r="C20" s="222"/>
      <c r="D20" s="606" t="s">
        <v>185</v>
      </c>
      <c r="E20" s="607"/>
      <c r="F20" s="598"/>
      <c r="G20" s="599"/>
      <c r="H20" s="219" t="s">
        <v>298</v>
      </c>
      <c r="I20" s="181"/>
      <c r="J20" s="192" t="s">
        <v>347</v>
      </c>
      <c r="K20" s="189"/>
      <c r="L20" s="163"/>
      <c r="M20" s="163"/>
      <c r="N20" s="163"/>
      <c r="O20" s="163"/>
      <c r="P20" s="163"/>
      <c r="Q20" s="163"/>
      <c r="R20" s="163"/>
      <c r="S20" s="163"/>
      <c r="T20" s="163"/>
      <c r="U20" s="163"/>
      <c r="V20" s="163"/>
      <c r="W20" s="163"/>
      <c r="X20" s="163"/>
      <c r="Y20" s="163"/>
      <c r="Z20" s="163"/>
    </row>
    <row r="21" spans="1:26" s="167" customFormat="1" ht="18.399999999999999" customHeight="1" thickBot="1">
      <c r="A21" s="608" t="s">
        <v>299</v>
      </c>
      <c r="B21" s="609"/>
      <c r="C21" s="610"/>
      <c r="D21" s="611" t="s">
        <v>174</v>
      </c>
      <c r="E21" s="607"/>
      <c r="F21" s="598"/>
      <c r="G21" s="599"/>
      <c r="H21" s="223" t="s">
        <v>300</v>
      </c>
      <c r="I21" s="181"/>
      <c r="J21" s="192">
        <v>1.1499999999999999</v>
      </c>
      <c r="K21" s="189"/>
      <c r="L21" s="163"/>
      <c r="M21" s="163"/>
      <c r="N21" s="163"/>
      <c r="O21" s="163"/>
      <c r="P21" s="163"/>
      <c r="Q21" s="164" t="s">
        <v>301</v>
      </c>
      <c r="R21" s="166"/>
      <c r="S21" s="163"/>
      <c r="T21" s="163"/>
      <c r="U21" s="163"/>
      <c r="V21" s="163"/>
      <c r="W21" s="163"/>
      <c r="X21" s="163"/>
      <c r="Y21" s="163"/>
      <c r="Z21" s="163"/>
    </row>
    <row r="22" spans="1:26" s="167" customFormat="1" ht="18.399999999999999" customHeight="1">
      <c r="A22" s="217" t="s">
        <v>302</v>
      </c>
      <c r="B22" s="224"/>
      <c r="C22" s="224"/>
      <c r="D22" s="612">
        <v>6.6500000000000004E-2</v>
      </c>
      <c r="E22" s="613"/>
      <c r="F22" s="598"/>
      <c r="G22" s="599"/>
      <c r="H22" s="219" t="s">
        <v>259</v>
      </c>
      <c r="I22" s="181"/>
      <c r="J22" s="192" t="s">
        <v>174</v>
      </c>
      <c r="K22" s="189"/>
      <c r="L22" s="163"/>
      <c r="M22" s="163"/>
      <c r="N22" s="163"/>
      <c r="O22" s="163"/>
      <c r="P22" s="163"/>
      <c r="Q22" s="175" t="s">
        <v>304</v>
      </c>
      <c r="R22" s="177"/>
      <c r="S22" s="163"/>
      <c r="T22" s="163"/>
      <c r="U22" s="163"/>
      <c r="V22" s="163"/>
      <c r="W22" s="163"/>
      <c r="X22" s="163"/>
      <c r="Y22" s="163"/>
      <c r="Z22" s="163"/>
    </row>
    <row r="23" spans="1:26" s="167" customFormat="1" ht="18.399999999999999" customHeight="1">
      <c r="A23" s="225" t="s">
        <v>305</v>
      </c>
      <c r="B23" s="226" t="s">
        <v>306</v>
      </c>
      <c r="C23" s="227"/>
      <c r="D23" s="614">
        <v>789</v>
      </c>
      <c r="E23" s="615"/>
      <c r="F23" s="598"/>
      <c r="G23" s="599"/>
      <c r="H23" s="228" t="s">
        <v>307</v>
      </c>
      <c r="I23" s="229"/>
      <c r="J23" s="230"/>
      <c r="K23" s="231"/>
      <c r="L23" s="163"/>
      <c r="Q23" s="175" t="s">
        <v>308</v>
      </c>
      <c r="R23" s="177"/>
      <c r="S23" s="163"/>
      <c r="T23" s="163"/>
      <c r="U23" s="163"/>
      <c r="V23" s="163"/>
      <c r="W23" s="163"/>
      <c r="X23" s="163"/>
      <c r="Y23" s="163"/>
      <c r="Z23" s="163"/>
    </row>
    <row r="24" spans="1:26" s="167" customFormat="1" ht="18.399999999999999" customHeight="1" thickBot="1">
      <c r="A24" s="232" t="s">
        <v>309</v>
      </c>
      <c r="B24" s="233" t="s">
        <v>310</v>
      </c>
      <c r="C24" s="234"/>
      <c r="D24" s="616" t="s">
        <v>174</v>
      </c>
      <c r="E24" s="617"/>
      <c r="F24" s="598"/>
      <c r="G24" s="599"/>
      <c r="H24" s="219" t="s">
        <v>311</v>
      </c>
      <c r="I24" s="202"/>
      <c r="J24" s="235"/>
      <c r="K24" s="236"/>
      <c r="Q24" s="237" t="s">
        <v>174</v>
      </c>
      <c r="R24" s="238"/>
      <c r="S24" s="163"/>
      <c r="T24" s="163"/>
      <c r="U24" s="163"/>
      <c r="V24" s="163"/>
      <c r="W24" s="163"/>
      <c r="X24" s="163"/>
      <c r="Y24" s="163"/>
      <c r="Z24" s="163"/>
    </row>
    <row r="25" spans="1:26" s="167" customFormat="1" ht="18.399999999999999" customHeight="1">
      <c r="A25" s="239" t="s">
        <v>312</v>
      </c>
      <c r="B25" s="240"/>
      <c r="C25" s="240"/>
      <c r="D25" s="241"/>
      <c r="E25" s="241" t="s">
        <v>313</v>
      </c>
      <c r="F25" s="598"/>
      <c r="G25" s="599"/>
      <c r="H25" s="219" t="s">
        <v>314</v>
      </c>
      <c r="I25" s="202"/>
      <c r="J25" s="242" t="s">
        <v>174</v>
      </c>
      <c r="K25" s="236"/>
      <c r="R25" s="163"/>
      <c r="S25" s="163"/>
      <c r="T25" s="163"/>
      <c r="U25" s="163"/>
      <c r="V25" s="163"/>
      <c r="W25" s="163"/>
      <c r="X25" s="163"/>
      <c r="Y25" s="163"/>
      <c r="Z25" s="163"/>
    </row>
    <row r="26" spans="1:26" s="167" customFormat="1" ht="18.399999999999999" customHeight="1">
      <c r="A26" s="243" t="s">
        <v>315</v>
      </c>
      <c r="B26" s="244"/>
      <c r="C26" s="245"/>
      <c r="D26" s="246" t="s">
        <v>369</v>
      </c>
      <c r="E26" s="246" t="s">
        <v>370</v>
      </c>
      <c r="F26" s="600"/>
      <c r="G26" s="601"/>
      <c r="H26" s="618"/>
      <c r="I26" s="619"/>
      <c r="J26" s="247"/>
      <c r="K26" s="248"/>
      <c r="R26" s="163"/>
      <c r="S26" s="163"/>
      <c r="T26" s="163"/>
      <c r="U26" s="163"/>
      <c r="V26" s="163"/>
      <c r="W26" s="163"/>
      <c r="X26" s="163"/>
      <c r="Y26" s="163"/>
      <c r="Z26" s="163"/>
    </row>
    <row r="27" spans="1:26" s="167" customFormat="1" ht="18.399999999999999" customHeight="1">
      <c r="A27" s="565" t="s">
        <v>316</v>
      </c>
      <c r="B27" s="566"/>
      <c r="C27" s="566"/>
      <c r="D27" s="566"/>
      <c r="E27" s="566"/>
      <c r="F27" s="567" t="s">
        <v>317</v>
      </c>
      <c r="G27" s="568"/>
      <c r="H27" s="568"/>
      <c r="I27" s="568"/>
      <c r="J27" s="568"/>
      <c r="K27" s="569"/>
      <c r="R27" s="163"/>
      <c r="S27" s="163"/>
      <c r="T27" s="163"/>
      <c r="U27" s="163"/>
      <c r="V27" s="163"/>
      <c r="W27" s="163"/>
      <c r="X27" s="163"/>
      <c r="Y27" s="163"/>
      <c r="Z27" s="163"/>
    </row>
    <row r="28" spans="1:26" s="167" customFormat="1" ht="18.399999999999999" customHeight="1">
      <c r="A28" s="572"/>
      <c r="B28" s="573"/>
      <c r="C28" s="573"/>
      <c r="D28" s="573"/>
      <c r="E28" s="574"/>
      <c r="F28" s="249"/>
      <c r="G28" s="250"/>
      <c r="H28" s="209" t="s">
        <v>318</v>
      </c>
      <c r="I28" s="251" t="s">
        <v>368</v>
      </c>
      <c r="J28" s="188">
        <v>1183</v>
      </c>
      <c r="K28" s="252" t="s">
        <v>174</v>
      </c>
      <c r="M28" s="167">
        <f>(J28/J18)*100</f>
        <v>632.62032085561498</v>
      </c>
      <c r="N28" s="253"/>
      <c r="R28" s="163"/>
      <c r="S28" s="163"/>
      <c r="T28" s="163"/>
      <c r="U28" s="163"/>
      <c r="V28" s="163"/>
      <c r="W28" s="163"/>
      <c r="X28" s="163"/>
      <c r="Y28" s="163"/>
      <c r="Z28" s="163"/>
    </row>
    <row r="29" spans="1:26" s="167" customFormat="1" ht="18.399999999999999" customHeight="1">
      <c r="A29" s="572"/>
      <c r="B29" s="573"/>
      <c r="C29" s="573"/>
      <c r="D29" s="573"/>
      <c r="E29" s="574"/>
      <c r="F29" s="254"/>
      <c r="G29" s="255"/>
      <c r="H29" s="209" t="s">
        <v>319</v>
      </c>
      <c r="I29" s="256">
        <v>60</v>
      </c>
      <c r="J29" s="188">
        <v>97</v>
      </c>
      <c r="K29" s="183" t="s">
        <v>174</v>
      </c>
      <c r="Q29" s="163"/>
      <c r="R29" s="163"/>
      <c r="S29" s="163"/>
      <c r="T29" s="163"/>
      <c r="U29" s="163"/>
      <c r="V29" s="163"/>
      <c r="W29" s="163"/>
      <c r="X29" s="163"/>
      <c r="Y29" s="163"/>
      <c r="Z29" s="163"/>
    </row>
    <row r="30" spans="1:26" s="167" customFormat="1" ht="18.399999999999999" customHeight="1">
      <c r="A30" s="572"/>
      <c r="B30" s="573"/>
      <c r="C30" s="573"/>
      <c r="D30" s="573"/>
      <c r="E30" s="574"/>
      <c r="F30" s="254"/>
      <c r="G30" s="255"/>
      <c r="H30" s="209" t="s">
        <v>320</v>
      </c>
      <c r="I30" s="256">
        <v>175</v>
      </c>
      <c r="J30" s="188">
        <v>256</v>
      </c>
      <c r="K30" s="183" t="s">
        <v>174</v>
      </c>
      <c r="L30" s="163"/>
      <c r="R30" s="163"/>
      <c r="S30" s="163"/>
      <c r="T30" s="163"/>
      <c r="U30" s="163"/>
      <c r="V30" s="163"/>
      <c r="W30" s="163"/>
      <c r="X30" s="163"/>
      <c r="Y30" s="163"/>
      <c r="Z30" s="163"/>
    </row>
    <row r="31" spans="1:26" s="167" customFormat="1" ht="18.399999999999999" customHeight="1">
      <c r="A31" s="572"/>
      <c r="B31" s="573"/>
      <c r="C31" s="573"/>
      <c r="D31" s="573"/>
      <c r="E31" s="574"/>
      <c r="F31" s="254"/>
      <c r="G31" s="255"/>
      <c r="H31" s="209" t="s">
        <v>321</v>
      </c>
      <c r="I31" s="210"/>
      <c r="J31" s="257">
        <v>0.52</v>
      </c>
      <c r="K31" s="183" t="s">
        <v>174</v>
      </c>
      <c r="L31" s="163"/>
      <c r="R31" s="163"/>
      <c r="S31" s="163"/>
      <c r="T31" s="163"/>
      <c r="U31" s="163"/>
      <c r="V31" s="163"/>
      <c r="W31" s="163"/>
      <c r="X31" s="163"/>
      <c r="Y31" s="163"/>
      <c r="Z31" s="163"/>
    </row>
    <row r="32" spans="1:26" s="167" customFormat="1" ht="18.399999999999999" customHeight="1">
      <c r="A32" s="575"/>
      <c r="B32" s="576"/>
      <c r="C32" s="576"/>
      <c r="D32" s="576"/>
      <c r="E32" s="577"/>
      <c r="F32" s="254"/>
      <c r="G32" s="258" t="s">
        <v>322</v>
      </c>
      <c r="H32" s="209" t="s">
        <v>323</v>
      </c>
      <c r="I32" s="259"/>
      <c r="J32" s="182">
        <v>94.6</v>
      </c>
      <c r="K32" s="183" t="s">
        <v>174</v>
      </c>
      <c r="L32" s="163"/>
      <c r="N32" s="260"/>
      <c r="R32" s="163"/>
      <c r="S32" s="163"/>
      <c r="T32" s="163"/>
      <c r="U32" s="163"/>
      <c r="V32" s="163"/>
      <c r="W32" s="163"/>
      <c r="X32" s="163"/>
      <c r="Y32" s="163"/>
      <c r="Z32" s="163"/>
    </row>
    <row r="33" spans="1:26" s="167" customFormat="1" ht="18.399999999999999" customHeight="1">
      <c r="A33" s="565" t="s">
        <v>324</v>
      </c>
      <c r="B33" s="566"/>
      <c r="C33" s="566"/>
      <c r="D33" s="566"/>
      <c r="E33" s="578"/>
      <c r="F33" s="261"/>
      <c r="G33" s="262"/>
      <c r="H33" s="263" t="s">
        <v>325</v>
      </c>
      <c r="I33" s="264"/>
      <c r="J33" s="265">
        <v>91.4</v>
      </c>
      <c r="K33" s="252" t="s">
        <v>174</v>
      </c>
      <c r="L33" s="163"/>
      <c r="R33" s="163"/>
      <c r="S33" s="163"/>
      <c r="T33" s="163"/>
      <c r="U33" s="163"/>
      <c r="V33" s="163"/>
      <c r="W33" s="163"/>
      <c r="X33" s="163"/>
      <c r="Y33" s="163"/>
      <c r="Z33" s="163"/>
    </row>
    <row r="34" spans="1:26" s="167" customFormat="1" ht="18.399999999999999" customHeight="1">
      <c r="A34" s="572"/>
      <c r="B34" s="573"/>
      <c r="C34" s="573"/>
      <c r="D34" s="573"/>
      <c r="E34" s="574"/>
      <c r="F34" s="184" t="s">
        <v>326</v>
      </c>
      <c r="G34" s="266"/>
      <c r="H34" s="267" t="s">
        <v>14</v>
      </c>
      <c r="I34" s="268"/>
      <c r="J34" s="269">
        <v>8558</v>
      </c>
      <c r="K34" s="252" t="s">
        <v>174</v>
      </c>
      <c r="L34" s="270"/>
      <c r="M34" s="271"/>
      <c r="R34" s="163"/>
      <c r="S34" s="163"/>
      <c r="T34" s="163"/>
      <c r="U34" s="163"/>
      <c r="V34" s="163"/>
      <c r="W34" s="163"/>
      <c r="X34" s="163"/>
      <c r="Y34" s="163"/>
      <c r="Z34" s="163"/>
    </row>
    <row r="35" spans="1:26" s="167" customFormat="1" ht="18.399999999999999" customHeight="1">
      <c r="A35" s="572"/>
      <c r="B35" s="573"/>
      <c r="C35" s="573"/>
      <c r="D35" s="573"/>
      <c r="E35" s="574"/>
      <c r="F35" s="203"/>
      <c r="G35" s="272"/>
      <c r="H35" s="273" t="s">
        <v>15</v>
      </c>
      <c r="I35" s="274"/>
      <c r="J35" s="188">
        <v>5723</v>
      </c>
      <c r="K35" s="252" t="s">
        <v>174</v>
      </c>
      <c r="M35" s="271"/>
      <c r="R35" s="163"/>
      <c r="S35" s="163"/>
      <c r="T35" s="163"/>
      <c r="U35" s="163"/>
      <c r="V35" s="163"/>
      <c r="W35" s="163"/>
      <c r="X35" s="163"/>
      <c r="Y35" s="163"/>
      <c r="Z35" s="163"/>
    </row>
    <row r="36" spans="1:26" s="167" customFormat="1" ht="18.399999999999999" customHeight="1">
      <c r="A36" s="572"/>
      <c r="B36" s="573"/>
      <c r="C36" s="573"/>
      <c r="D36" s="573"/>
      <c r="E36" s="574"/>
      <c r="F36" s="203"/>
      <c r="G36" s="272"/>
      <c r="H36" s="273" t="s">
        <v>327</v>
      </c>
      <c r="I36" s="274"/>
      <c r="J36" s="188">
        <v>7716</v>
      </c>
      <c r="K36" s="252" t="s">
        <v>174</v>
      </c>
      <c r="Q36" s="163"/>
      <c r="R36" s="163"/>
      <c r="S36" s="163"/>
      <c r="T36" s="163"/>
      <c r="U36" s="163"/>
      <c r="V36" s="163"/>
      <c r="W36" s="163"/>
      <c r="X36" s="163"/>
      <c r="Y36" s="163"/>
      <c r="Z36" s="163"/>
    </row>
    <row r="37" spans="1:26" s="167" customFormat="1" ht="18.399999999999999" customHeight="1">
      <c r="A37" s="572"/>
      <c r="B37" s="573"/>
      <c r="C37" s="573"/>
      <c r="D37" s="573"/>
      <c r="E37" s="574"/>
      <c r="F37" s="254"/>
      <c r="G37" s="272"/>
      <c r="H37" s="273" t="s">
        <v>328</v>
      </c>
      <c r="I37" s="274"/>
      <c r="J37" s="188">
        <v>29347</v>
      </c>
      <c r="K37" s="275" t="s">
        <v>174</v>
      </c>
      <c r="M37" s="276"/>
      <c r="R37" s="163"/>
      <c r="S37" s="163"/>
      <c r="T37" s="163"/>
      <c r="U37" s="163"/>
      <c r="V37" s="163"/>
      <c r="W37" s="163"/>
      <c r="X37" s="163"/>
      <c r="Y37" s="163"/>
      <c r="Z37" s="163"/>
    </row>
    <row r="38" spans="1:26" s="167" customFormat="1" ht="18.399999999999999" customHeight="1">
      <c r="A38" s="575"/>
      <c r="B38" s="576"/>
      <c r="C38" s="576"/>
      <c r="D38" s="576"/>
      <c r="E38" s="577"/>
      <c r="F38" s="211"/>
      <c r="G38" s="277"/>
      <c r="H38" s="278" t="s">
        <v>329</v>
      </c>
      <c r="I38" s="279"/>
      <c r="J38" s="280">
        <v>13140</v>
      </c>
      <c r="K38" s="252" t="s">
        <v>174</v>
      </c>
      <c r="R38" s="163"/>
      <c r="S38" s="163"/>
      <c r="T38" s="163"/>
      <c r="U38" s="163"/>
      <c r="V38" s="163"/>
      <c r="W38" s="163"/>
      <c r="X38" s="163"/>
      <c r="Y38" s="163"/>
      <c r="Z38" s="163"/>
    </row>
    <row r="39" spans="1:26" s="167" customFormat="1" ht="18.399999999999999" customHeight="1">
      <c r="A39" s="565" t="s">
        <v>330</v>
      </c>
      <c r="B39" s="566"/>
      <c r="C39" s="566"/>
      <c r="D39" s="566"/>
      <c r="E39" s="566"/>
      <c r="F39" s="281" t="s">
        <v>331</v>
      </c>
      <c r="G39" s="282"/>
      <c r="H39" s="282"/>
      <c r="I39" s="282"/>
      <c r="J39" s="282"/>
      <c r="K39" s="283"/>
      <c r="R39" s="163"/>
      <c r="S39" s="163"/>
      <c r="T39" s="163"/>
      <c r="U39" s="163"/>
      <c r="V39" s="163"/>
      <c r="W39" s="163"/>
      <c r="X39" s="163"/>
      <c r="Y39" s="163"/>
      <c r="Z39" s="163"/>
    </row>
    <row r="40" spans="1:26" s="167" customFormat="1" ht="18.399999999999999" customHeight="1">
      <c r="A40" s="572"/>
      <c r="B40" s="573"/>
      <c r="C40" s="573"/>
      <c r="D40" s="573"/>
      <c r="E40" s="574"/>
      <c r="F40" s="284"/>
      <c r="G40" s="285" t="s">
        <v>752</v>
      </c>
      <c r="H40" s="285"/>
      <c r="I40" s="285"/>
      <c r="J40" s="285"/>
      <c r="K40" s="286"/>
      <c r="R40" s="163"/>
      <c r="S40" s="163"/>
      <c r="T40" s="163"/>
      <c r="U40" s="163"/>
      <c r="V40" s="163"/>
      <c r="W40" s="163"/>
      <c r="X40" s="163"/>
      <c r="Y40" s="163"/>
      <c r="Z40" s="163"/>
    </row>
    <row r="41" spans="1:26" s="167" customFormat="1" ht="18.399999999999999" customHeight="1">
      <c r="A41" s="572"/>
      <c r="B41" s="573"/>
      <c r="C41" s="573"/>
      <c r="D41" s="573"/>
      <c r="E41" s="574"/>
      <c r="F41" s="284"/>
      <c r="G41" s="287" t="s">
        <v>751</v>
      </c>
      <c r="H41" s="287"/>
      <c r="I41" s="287"/>
      <c r="J41" s="287"/>
      <c r="K41" s="288"/>
      <c r="L41" s="289"/>
      <c r="R41" s="163"/>
      <c r="S41" s="163"/>
      <c r="T41" s="163"/>
      <c r="U41" s="163"/>
      <c r="V41" s="163"/>
      <c r="W41" s="163"/>
      <c r="X41" s="163"/>
      <c r="Y41" s="163"/>
      <c r="Z41" s="163"/>
    </row>
    <row r="42" spans="1:26" s="167" customFormat="1" ht="18.399999999999999" customHeight="1">
      <c r="A42" s="572"/>
      <c r="B42" s="573"/>
      <c r="C42" s="573"/>
      <c r="D42" s="573"/>
      <c r="E42" s="574"/>
      <c r="F42" s="284"/>
      <c r="G42" s="287"/>
      <c r="H42" s="287"/>
      <c r="I42" s="287"/>
      <c r="J42" s="287"/>
      <c r="K42" s="288"/>
      <c r="L42" s="163"/>
      <c r="M42" s="163"/>
      <c r="N42" s="163"/>
      <c r="O42" s="163"/>
      <c r="P42" s="163"/>
      <c r="Q42" s="163"/>
      <c r="R42" s="163"/>
      <c r="S42" s="163"/>
      <c r="T42" s="163"/>
      <c r="U42" s="163"/>
      <c r="V42" s="163"/>
      <c r="W42" s="163"/>
      <c r="X42" s="163"/>
      <c r="Y42" s="163"/>
      <c r="Z42" s="163"/>
    </row>
    <row r="43" spans="1:26" s="167" customFormat="1" ht="18.399999999999999" customHeight="1">
      <c r="A43" s="572"/>
      <c r="B43" s="573"/>
      <c r="C43" s="573"/>
      <c r="D43" s="573"/>
      <c r="E43" s="574"/>
      <c r="F43" s="284"/>
      <c r="G43" s="287" t="s">
        <v>695</v>
      </c>
      <c r="H43" s="287"/>
      <c r="I43" s="287"/>
      <c r="J43" s="287"/>
      <c r="K43" s="288"/>
      <c r="L43" s="163"/>
      <c r="M43" s="163"/>
      <c r="N43" s="163"/>
      <c r="O43" s="163"/>
      <c r="P43" s="163"/>
      <c r="Q43" s="163"/>
      <c r="R43" s="163"/>
      <c r="S43" s="163"/>
      <c r="T43" s="163"/>
      <c r="U43" s="163"/>
      <c r="V43" s="163"/>
      <c r="W43" s="163"/>
      <c r="X43" s="163"/>
      <c r="Y43" s="163"/>
      <c r="Z43" s="163"/>
    </row>
    <row r="44" spans="1:26" s="167" customFormat="1" ht="17.100000000000001" customHeight="1" thickBot="1">
      <c r="A44" s="579"/>
      <c r="B44" s="580"/>
      <c r="C44" s="580"/>
      <c r="D44" s="580"/>
      <c r="E44" s="581"/>
      <c r="F44" s="284"/>
      <c r="G44" s="287" t="s">
        <v>697</v>
      </c>
      <c r="H44" s="287"/>
      <c r="I44" s="287"/>
      <c r="J44" s="287"/>
      <c r="K44" s="288"/>
      <c r="L44" s="163"/>
      <c r="M44" s="163"/>
      <c r="N44" s="163"/>
      <c r="O44" s="163"/>
      <c r="P44" s="163"/>
      <c r="Q44" s="163"/>
      <c r="R44" s="163"/>
      <c r="S44" s="163"/>
      <c r="T44" s="163"/>
      <c r="U44" s="163"/>
      <c r="V44" s="163"/>
      <c r="W44" s="163"/>
      <c r="X44" s="163"/>
      <c r="Y44" s="163"/>
      <c r="Z44" s="163"/>
    </row>
    <row r="45" spans="1:26" s="167" customFormat="1" ht="17.100000000000001" customHeight="1">
      <c r="A45" s="290" t="s">
        <v>332</v>
      </c>
      <c r="B45" s="582"/>
      <c r="C45" s="583"/>
      <c r="D45" s="291" t="s">
        <v>333</v>
      </c>
      <c r="E45" s="292" t="s">
        <v>334</v>
      </c>
      <c r="F45" s="293"/>
      <c r="G45" s="287"/>
      <c r="H45" s="287"/>
      <c r="I45" s="287"/>
      <c r="J45" s="287"/>
      <c r="K45" s="288"/>
      <c r="L45" s="163"/>
      <c r="M45" s="163"/>
      <c r="N45" s="163"/>
      <c r="O45" s="163"/>
      <c r="P45" s="163"/>
      <c r="Q45" s="163"/>
      <c r="R45" s="163"/>
      <c r="S45" s="163"/>
      <c r="T45" s="163"/>
      <c r="U45" s="163"/>
      <c r="V45" s="163"/>
      <c r="W45" s="163"/>
      <c r="X45" s="163"/>
      <c r="Y45" s="163"/>
      <c r="Z45" s="163"/>
    </row>
    <row r="46" spans="1:26" s="167" customFormat="1" ht="17.100000000000001" customHeight="1" thickBot="1">
      <c r="A46" s="294" t="s">
        <v>335</v>
      </c>
      <c r="B46" s="570"/>
      <c r="C46" s="571"/>
      <c r="D46" s="295" t="s">
        <v>335</v>
      </c>
      <c r="E46" s="296">
        <v>41940</v>
      </c>
      <c r="F46" s="297"/>
      <c r="G46" s="298" t="s">
        <v>696</v>
      </c>
      <c r="H46" s="298"/>
      <c r="I46" s="298"/>
      <c r="J46" s="298"/>
      <c r="K46" s="299"/>
      <c r="L46" s="163"/>
      <c r="M46" s="163"/>
      <c r="N46" s="163"/>
      <c r="O46" s="163"/>
      <c r="P46" s="163"/>
      <c r="Q46" s="163"/>
      <c r="R46" s="163"/>
      <c r="S46" s="163"/>
      <c r="T46" s="163"/>
      <c r="U46" s="163"/>
      <c r="V46" s="163"/>
      <c r="W46" s="163"/>
      <c r="X46" s="163"/>
      <c r="Y46" s="163"/>
      <c r="Z46" s="163"/>
    </row>
    <row r="47" spans="1:26" s="167" customFormat="1" ht="17.100000000000001" customHeight="1">
      <c r="F47" s="300"/>
      <c r="G47" s="163"/>
      <c r="H47" s="163"/>
      <c r="I47" s="163"/>
      <c r="J47" s="163"/>
      <c r="K47" s="163"/>
      <c r="L47" s="163"/>
      <c r="M47" s="163"/>
      <c r="N47" s="163"/>
      <c r="O47" s="163"/>
      <c r="P47" s="163"/>
      <c r="Q47" s="163"/>
      <c r="R47" s="163"/>
      <c r="S47" s="163"/>
      <c r="T47" s="163"/>
      <c r="U47" s="163"/>
    </row>
    <row r="48" spans="1:26" s="167" customFormat="1" ht="17.100000000000001" customHeight="1">
      <c r="F48" s="163"/>
      <c r="G48" s="163"/>
      <c r="H48" s="163"/>
      <c r="I48" s="163"/>
      <c r="J48" s="163"/>
      <c r="K48" s="163"/>
    </row>
    <row r="49" spans="2:26" ht="17.100000000000001" customHeight="1">
      <c r="F49" s="153"/>
      <c r="G49" s="153"/>
      <c r="H49" s="153"/>
      <c r="I49" s="153"/>
      <c r="J49" s="153"/>
      <c r="K49" s="153"/>
      <c r="L49" s="154"/>
      <c r="M49" s="154"/>
      <c r="N49" s="154"/>
      <c r="O49" s="154"/>
      <c r="P49" s="154"/>
      <c r="Q49" s="154"/>
      <c r="R49" s="154"/>
      <c r="S49" s="154"/>
      <c r="T49" s="154"/>
      <c r="U49" s="154"/>
      <c r="V49" s="154"/>
      <c r="W49" s="154"/>
      <c r="X49" s="154"/>
      <c r="Y49" s="154"/>
      <c r="Z49" s="154"/>
    </row>
    <row r="50" spans="2:26">
      <c r="F50" s="153"/>
      <c r="G50" s="153"/>
      <c r="H50" s="153"/>
      <c r="I50" s="153"/>
      <c r="J50" s="153"/>
      <c r="K50" s="153"/>
      <c r="L50" s="154"/>
      <c r="M50" s="154"/>
      <c r="N50" s="154"/>
      <c r="O50" s="154"/>
      <c r="P50" s="154"/>
      <c r="Q50" s="154"/>
      <c r="R50" s="154"/>
      <c r="S50" s="154"/>
      <c r="T50" s="154"/>
      <c r="U50" s="154"/>
      <c r="V50" s="154"/>
      <c r="W50" s="154"/>
      <c r="X50" s="154"/>
      <c r="Y50" s="154"/>
      <c r="Z50" s="154"/>
    </row>
    <row r="51" spans="2:26">
      <c r="F51" s="153"/>
      <c r="G51" s="153"/>
      <c r="H51" s="153"/>
      <c r="I51" s="153"/>
      <c r="J51" s="153"/>
      <c r="K51" s="153"/>
      <c r="L51" s="154"/>
      <c r="M51" s="154"/>
      <c r="N51" s="154"/>
      <c r="O51" s="154"/>
      <c r="P51" s="154"/>
      <c r="Q51" s="154"/>
      <c r="R51" s="154"/>
      <c r="S51" s="154"/>
      <c r="T51" s="154"/>
      <c r="U51" s="154"/>
      <c r="V51" s="154"/>
      <c r="W51" s="154"/>
      <c r="X51" s="154"/>
      <c r="Y51" s="154"/>
      <c r="Z51" s="154"/>
    </row>
    <row r="52" spans="2:26">
      <c r="B52" s="153"/>
      <c r="C52" s="153"/>
      <c r="D52" s="153"/>
      <c r="E52" s="153"/>
      <c r="F52" s="153"/>
      <c r="G52" s="153"/>
      <c r="H52" s="153"/>
      <c r="I52" s="153"/>
      <c r="J52" s="153"/>
      <c r="K52" s="153"/>
      <c r="Q52" s="154"/>
      <c r="R52" s="154"/>
      <c r="S52" s="154"/>
      <c r="T52" s="154"/>
      <c r="U52" s="154"/>
      <c r="V52" s="154"/>
      <c r="W52" s="154"/>
      <c r="X52" s="154"/>
      <c r="Y52" s="154"/>
      <c r="Z52" s="154"/>
    </row>
    <row r="53" spans="2:26">
      <c r="F53" s="153"/>
      <c r="G53" s="153"/>
      <c r="H53" s="153"/>
      <c r="I53" s="153"/>
      <c r="J53" s="153"/>
      <c r="K53" s="153"/>
      <c r="Q53" s="154"/>
      <c r="R53" s="154"/>
      <c r="S53" s="154"/>
      <c r="T53" s="154"/>
      <c r="U53" s="154"/>
      <c r="V53" s="154"/>
      <c r="W53" s="154"/>
      <c r="X53" s="154"/>
      <c r="Y53" s="154"/>
      <c r="Z53" s="154"/>
    </row>
  </sheetData>
  <mergeCells count="49">
    <mergeCell ref="A1:K1"/>
    <mergeCell ref="A2:K2"/>
    <mergeCell ref="J3:K3"/>
    <mergeCell ref="A5:C5"/>
    <mergeCell ref="A6:C6"/>
    <mergeCell ref="D6:E6"/>
    <mergeCell ref="F6:K6"/>
    <mergeCell ref="F12:K12"/>
    <mergeCell ref="A7:C7"/>
    <mergeCell ref="D7:E7"/>
    <mergeCell ref="A8:C8"/>
    <mergeCell ref="D8:E8"/>
    <mergeCell ref="A9:C9"/>
    <mergeCell ref="D9:E9"/>
    <mergeCell ref="A10:C10"/>
    <mergeCell ref="D10:E10"/>
    <mergeCell ref="A11:C11"/>
    <mergeCell ref="D11:E11"/>
    <mergeCell ref="D12:E12"/>
    <mergeCell ref="A13:C13"/>
    <mergeCell ref="D13:E13"/>
    <mergeCell ref="A14:C14"/>
    <mergeCell ref="D14:E14"/>
    <mergeCell ref="A15:C15"/>
    <mergeCell ref="D15:E15"/>
    <mergeCell ref="A16:C16"/>
    <mergeCell ref="D16:E16"/>
    <mergeCell ref="D17:E17"/>
    <mergeCell ref="F17:K17"/>
    <mergeCell ref="D18:E18"/>
    <mergeCell ref="F18:G26"/>
    <mergeCell ref="A19:C19"/>
    <mergeCell ref="D19:E19"/>
    <mergeCell ref="D20:E20"/>
    <mergeCell ref="A21:C21"/>
    <mergeCell ref="D21:E21"/>
    <mergeCell ref="D22:E22"/>
    <mergeCell ref="D23:E23"/>
    <mergeCell ref="D24:E24"/>
    <mergeCell ref="H26:I26"/>
    <mergeCell ref="A27:E27"/>
    <mergeCell ref="F27:K27"/>
    <mergeCell ref="B46:C46"/>
    <mergeCell ref="A28:E32"/>
    <mergeCell ref="A33:E33"/>
    <mergeCell ref="A34:E38"/>
    <mergeCell ref="A39:E39"/>
    <mergeCell ref="A40:E44"/>
    <mergeCell ref="B45:C45"/>
  </mergeCells>
  <dataValidations count="3">
    <dataValidation type="list" allowBlank="1" showInputMessage="1" sqref="D6:E6">
      <formula1>$T$5:$T$10</formula1>
    </dataValidation>
    <dataValidation type="list" allowBlank="1" showErrorMessage="1" error="Choose from list!" sqref="D21">
      <formula1>$Q$22:$Q$24</formula1>
    </dataValidation>
    <dataValidation type="list" allowBlank="1" showInputMessage="1" errorTitle="Hold on!" error="Enter a valid motor type!" prompt="Motor Type  Select one from the list or input name" sqref="K4">
      <formula1>$Q$5:$Q$11</formula1>
    </dataValidation>
  </dataValidations>
  <printOptions horizontalCentered="1" verticalCentered="1"/>
  <pageMargins left="0.25" right="0.25" top="0.5" bottom="0.5" header="0.5" footer="0.5"/>
  <pageSetup scale="82" orientation="portrait" blackAndWhite="1" horizontalDpi="300"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Z53"/>
  <sheetViews>
    <sheetView topLeftCell="A4" zoomScaleNormal="100" workbookViewId="0">
      <selection activeCell="M32" sqref="M32"/>
    </sheetView>
  </sheetViews>
  <sheetFormatPr defaultRowHeight="15.75"/>
  <cols>
    <col min="1" max="1" width="11.85546875" style="300" customWidth="1"/>
    <col min="2" max="2" width="6.140625" style="300" customWidth="1"/>
    <col min="3" max="3" width="7.42578125" style="300" customWidth="1"/>
    <col min="4" max="5" width="12.5703125" style="300" customWidth="1"/>
    <col min="6" max="6" width="9.42578125" style="300" customWidth="1"/>
    <col min="7" max="7" width="5.7109375" style="300" customWidth="1"/>
    <col min="8" max="8" width="7.85546875" style="300" customWidth="1"/>
    <col min="9" max="9" width="6.5703125" style="300" customWidth="1"/>
    <col min="10" max="10" width="12" style="301" customWidth="1"/>
    <col min="11" max="11" width="12" style="300" customWidth="1"/>
    <col min="12" max="26" width="9.140625" style="153"/>
    <col min="27" max="256" width="9.140625" style="154"/>
    <col min="257" max="257" width="11.85546875" style="154" customWidth="1"/>
    <col min="258" max="258" width="6.140625" style="154" customWidth="1"/>
    <col min="259" max="259" width="7.42578125" style="154" customWidth="1"/>
    <col min="260" max="261" width="12.5703125" style="154" customWidth="1"/>
    <col min="262" max="262" width="9.42578125" style="154" customWidth="1"/>
    <col min="263" max="263" width="5.7109375" style="154" customWidth="1"/>
    <col min="264" max="264" width="7.85546875" style="154" customWidth="1"/>
    <col min="265" max="265" width="6.5703125" style="154" customWidth="1"/>
    <col min="266" max="267" width="12" style="154" customWidth="1"/>
    <col min="268" max="512" width="9.140625" style="154"/>
    <col min="513" max="513" width="11.85546875" style="154" customWidth="1"/>
    <col min="514" max="514" width="6.140625" style="154" customWidth="1"/>
    <col min="515" max="515" width="7.42578125" style="154" customWidth="1"/>
    <col min="516" max="517" width="12.5703125" style="154" customWidth="1"/>
    <col min="518" max="518" width="9.42578125" style="154" customWidth="1"/>
    <col min="519" max="519" width="5.7109375" style="154" customWidth="1"/>
    <col min="520" max="520" width="7.85546875" style="154" customWidth="1"/>
    <col min="521" max="521" width="6.5703125" style="154" customWidth="1"/>
    <col min="522" max="523" width="12" style="154" customWidth="1"/>
    <col min="524" max="768" width="9.140625" style="154"/>
    <col min="769" max="769" width="11.85546875" style="154" customWidth="1"/>
    <col min="770" max="770" width="6.140625" style="154" customWidth="1"/>
    <col min="771" max="771" width="7.42578125" style="154" customWidth="1"/>
    <col min="772" max="773" width="12.5703125" style="154" customWidth="1"/>
    <col min="774" max="774" width="9.42578125" style="154" customWidth="1"/>
    <col min="775" max="775" width="5.7109375" style="154" customWidth="1"/>
    <col min="776" max="776" width="7.85546875" style="154" customWidth="1"/>
    <col min="777" max="777" width="6.5703125" style="154" customWidth="1"/>
    <col min="778" max="779" width="12" style="154" customWidth="1"/>
    <col min="780" max="1024" width="9.140625" style="154"/>
    <col min="1025" max="1025" width="11.85546875" style="154" customWidth="1"/>
    <col min="1026" max="1026" width="6.140625" style="154" customWidth="1"/>
    <col min="1027" max="1027" width="7.42578125" style="154" customWidth="1"/>
    <col min="1028" max="1029" width="12.5703125" style="154" customWidth="1"/>
    <col min="1030" max="1030" width="9.42578125" style="154" customWidth="1"/>
    <col min="1031" max="1031" width="5.7109375" style="154" customWidth="1"/>
    <col min="1032" max="1032" width="7.85546875" style="154" customWidth="1"/>
    <col min="1033" max="1033" width="6.5703125" style="154" customWidth="1"/>
    <col min="1034" max="1035" width="12" style="154" customWidth="1"/>
    <col min="1036" max="1280" width="9.140625" style="154"/>
    <col min="1281" max="1281" width="11.85546875" style="154" customWidth="1"/>
    <col min="1282" max="1282" width="6.140625" style="154" customWidth="1"/>
    <col min="1283" max="1283" width="7.42578125" style="154" customWidth="1"/>
    <col min="1284" max="1285" width="12.5703125" style="154" customWidth="1"/>
    <col min="1286" max="1286" width="9.42578125" style="154" customWidth="1"/>
    <col min="1287" max="1287" width="5.7109375" style="154" customWidth="1"/>
    <col min="1288" max="1288" width="7.85546875" style="154" customWidth="1"/>
    <col min="1289" max="1289" width="6.5703125" style="154" customWidth="1"/>
    <col min="1290" max="1291" width="12" style="154" customWidth="1"/>
    <col min="1292" max="1536" width="9.140625" style="154"/>
    <col min="1537" max="1537" width="11.85546875" style="154" customWidth="1"/>
    <col min="1538" max="1538" width="6.140625" style="154" customWidth="1"/>
    <col min="1539" max="1539" width="7.42578125" style="154" customWidth="1"/>
    <col min="1540" max="1541" width="12.5703125" style="154" customWidth="1"/>
    <col min="1542" max="1542" width="9.42578125" style="154" customWidth="1"/>
    <col min="1543" max="1543" width="5.7109375" style="154" customWidth="1"/>
    <col min="1544" max="1544" width="7.85546875" style="154" customWidth="1"/>
    <col min="1545" max="1545" width="6.5703125" style="154" customWidth="1"/>
    <col min="1546" max="1547" width="12" style="154" customWidth="1"/>
    <col min="1548" max="1792" width="9.140625" style="154"/>
    <col min="1793" max="1793" width="11.85546875" style="154" customWidth="1"/>
    <col min="1794" max="1794" width="6.140625" style="154" customWidth="1"/>
    <col min="1795" max="1795" width="7.42578125" style="154" customWidth="1"/>
    <col min="1796" max="1797" width="12.5703125" style="154" customWidth="1"/>
    <col min="1798" max="1798" width="9.42578125" style="154" customWidth="1"/>
    <col min="1799" max="1799" width="5.7109375" style="154" customWidth="1"/>
    <col min="1800" max="1800" width="7.85546875" style="154" customWidth="1"/>
    <col min="1801" max="1801" width="6.5703125" style="154" customWidth="1"/>
    <col min="1802" max="1803" width="12" style="154" customWidth="1"/>
    <col min="1804" max="2048" width="9.140625" style="154"/>
    <col min="2049" max="2049" width="11.85546875" style="154" customWidth="1"/>
    <col min="2050" max="2050" width="6.140625" style="154" customWidth="1"/>
    <col min="2051" max="2051" width="7.42578125" style="154" customWidth="1"/>
    <col min="2052" max="2053" width="12.5703125" style="154" customWidth="1"/>
    <col min="2054" max="2054" width="9.42578125" style="154" customWidth="1"/>
    <col min="2055" max="2055" width="5.7109375" style="154" customWidth="1"/>
    <col min="2056" max="2056" width="7.85546875" style="154" customWidth="1"/>
    <col min="2057" max="2057" width="6.5703125" style="154" customWidth="1"/>
    <col min="2058" max="2059" width="12" style="154" customWidth="1"/>
    <col min="2060" max="2304" width="9.140625" style="154"/>
    <col min="2305" max="2305" width="11.85546875" style="154" customWidth="1"/>
    <col min="2306" max="2306" width="6.140625" style="154" customWidth="1"/>
    <col min="2307" max="2307" width="7.42578125" style="154" customWidth="1"/>
    <col min="2308" max="2309" width="12.5703125" style="154" customWidth="1"/>
    <col min="2310" max="2310" width="9.42578125" style="154" customWidth="1"/>
    <col min="2311" max="2311" width="5.7109375" style="154" customWidth="1"/>
    <col min="2312" max="2312" width="7.85546875" style="154" customWidth="1"/>
    <col min="2313" max="2313" width="6.5703125" style="154" customWidth="1"/>
    <col min="2314" max="2315" width="12" style="154" customWidth="1"/>
    <col min="2316" max="2560" width="9.140625" style="154"/>
    <col min="2561" max="2561" width="11.85546875" style="154" customWidth="1"/>
    <col min="2562" max="2562" width="6.140625" style="154" customWidth="1"/>
    <col min="2563" max="2563" width="7.42578125" style="154" customWidth="1"/>
    <col min="2564" max="2565" width="12.5703125" style="154" customWidth="1"/>
    <col min="2566" max="2566" width="9.42578125" style="154" customWidth="1"/>
    <col min="2567" max="2567" width="5.7109375" style="154" customWidth="1"/>
    <col min="2568" max="2568" width="7.85546875" style="154" customWidth="1"/>
    <col min="2569" max="2569" width="6.5703125" style="154" customWidth="1"/>
    <col min="2570" max="2571" width="12" style="154" customWidth="1"/>
    <col min="2572" max="2816" width="9.140625" style="154"/>
    <col min="2817" max="2817" width="11.85546875" style="154" customWidth="1"/>
    <col min="2818" max="2818" width="6.140625" style="154" customWidth="1"/>
    <col min="2819" max="2819" width="7.42578125" style="154" customWidth="1"/>
    <col min="2820" max="2821" width="12.5703125" style="154" customWidth="1"/>
    <col min="2822" max="2822" width="9.42578125" style="154" customWidth="1"/>
    <col min="2823" max="2823" width="5.7109375" style="154" customWidth="1"/>
    <col min="2824" max="2824" width="7.85546875" style="154" customWidth="1"/>
    <col min="2825" max="2825" width="6.5703125" style="154" customWidth="1"/>
    <col min="2826" max="2827" width="12" style="154" customWidth="1"/>
    <col min="2828" max="3072" width="9.140625" style="154"/>
    <col min="3073" max="3073" width="11.85546875" style="154" customWidth="1"/>
    <col min="3074" max="3074" width="6.140625" style="154" customWidth="1"/>
    <col min="3075" max="3075" width="7.42578125" style="154" customWidth="1"/>
    <col min="3076" max="3077" width="12.5703125" style="154" customWidth="1"/>
    <col min="3078" max="3078" width="9.42578125" style="154" customWidth="1"/>
    <col min="3079" max="3079" width="5.7109375" style="154" customWidth="1"/>
    <col min="3080" max="3080" width="7.85546875" style="154" customWidth="1"/>
    <col min="3081" max="3081" width="6.5703125" style="154" customWidth="1"/>
    <col min="3082" max="3083" width="12" style="154" customWidth="1"/>
    <col min="3084" max="3328" width="9.140625" style="154"/>
    <col min="3329" max="3329" width="11.85546875" style="154" customWidth="1"/>
    <col min="3330" max="3330" width="6.140625" style="154" customWidth="1"/>
    <col min="3331" max="3331" width="7.42578125" style="154" customWidth="1"/>
    <col min="3332" max="3333" width="12.5703125" style="154" customWidth="1"/>
    <col min="3334" max="3334" width="9.42578125" style="154" customWidth="1"/>
    <col min="3335" max="3335" width="5.7109375" style="154" customWidth="1"/>
    <col min="3336" max="3336" width="7.85546875" style="154" customWidth="1"/>
    <col min="3337" max="3337" width="6.5703125" style="154" customWidth="1"/>
    <col min="3338" max="3339" width="12" style="154" customWidth="1"/>
    <col min="3340" max="3584" width="9.140625" style="154"/>
    <col min="3585" max="3585" width="11.85546875" style="154" customWidth="1"/>
    <col min="3586" max="3586" width="6.140625" style="154" customWidth="1"/>
    <col min="3587" max="3587" width="7.42578125" style="154" customWidth="1"/>
    <col min="3588" max="3589" width="12.5703125" style="154" customWidth="1"/>
    <col min="3590" max="3590" width="9.42578125" style="154" customWidth="1"/>
    <col min="3591" max="3591" width="5.7109375" style="154" customWidth="1"/>
    <col min="3592" max="3592" width="7.85546875" style="154" customWidth="1"/>
    <col min="3593" max="3593" width="6.5703125" style="154" customWidth="1"/>
    <col min="3594" max="3595" width="12" style="154" customWidth="1"/>
    <col min="3596" max="3840" width="9.140625" style="154"/>
    <col min="3841" max="3841" width="11.85546875" style="154" customWidth="1"/>
    <col min="3842" max="3842" width="6.140625" style="154" customWidth="1"/>
    <col min="3843" max="3843" width="7.42578125" style="154" customWidth="1"/>
    <col min="3844" max="3845" width="12.5703125" style="154" customWidth="1"/>
    <col min="3846" max="3846" width="9.42578125" style="154" customWidth="1"/>
    <col min="3847" max="3847" width="5.7109375" style="154" customWidth="1"/>
    <col min="3848" max="3848" width="7.85546875" style="154" customWidth="1"/>
    <col min="3849" max="3849" width="6.5703125" style="154" customWidth="1"/>
    <col min="3850" max="3851" width="12" style="154" customWidth="1"/>
    <col min="3852" max="4096" width="9.140625" style="154"/>
    <col min="4097" max="4097" width="11.85546875" style="154" customWidth="1"/>
    <col min="4098" max="4098" width="6.140625" style="154" customWidth="1"/>
    <col min="4099" max="4099" width="7.42578125" style="154" customWidth="1"/>
    <col min="4100" max="4101" width="12.5703125" style="154" customWidth="1"/>
    <col min="4102" max="4102" width="9.42578125" style="154" customWidth="1"/>
    <col min="4103" max="4103" width="5.7109375" style="154" customWidth="1"/>
    <col min="4104" max="4104" width="7.85546875" style="154" customWidth="1"/>
    <col min="4105" max="4105" width="6.5703125" style="154" customWidth="1"/>
    <col min="4106" max="4107" width="12" style="154" customWidth="1"/>
    <col min="4108" max="4352" width="9.140625" style="154"/>
    <col min="4353" max="4353" width="11.85546875" style="154" customWidth="1"/>
    <col min="4354" max="4354" width="6.140625" style="154" customWidth="1"/>
    <col min="4355" max="4355" width="7.42578125" style="154" customWidth="1"/>
    <col min="4356" max="4357" width="12.5703125" style="154" customWidth="1"/>
    <col min="4358" max="4358" width="9.42578125" style="154" customWidth="1"/>
    <col min="4359" max="4359" width="5.7109375" style="154" customWidth="1"/>
    <col min="4360" max="4360" width="7.85546875" style="154" customWidth="1"/>
    <col min="4361" max="4361" width="6.5703125" style="154" customWidth="1"/>
    <col min="4362" max="4363" width="12" style="154" customWidth="1"/>
    <col min="4364" max="4608" width="9.140625" style="154"/>
    <col min="4609" max="4609" width="11.85546875" style="154" customWidth="1"/>
    <col min="4610" max="4610" width="6.140625" style="154" customWidth="1"/>
    <col min="4611" max="4611" width="7.42578125" style="154" customWidth="1"/>
    <col min="4612" max="4613" width="12.5703125" style="154" customWidth="1"/>
    <col min="4614" max="4614" width="9.42578125" style="154" customWidth="1"/>
    <col min="4615" max="4615" width="5.7109375" style="154" customWidth="1"/>
    <col min="4616" max="4616" width="7.85546875" style="154" customWidth="1"/>
    <col min="4617" max="4617" width="6.5703125" style="154" customWidth="1"/>
    <col min="4618" max="4619" width="12" style="154" customWidth="1"/>
    <col min="4620" max="4864" width="9.140625" style="154"/>
    <col min="4865" max="4865" width="11.85546875" style="154" customWidth="1"/>
    <col min="4866" max="4866" width="6.140625" style="154" customWidth="1"/>
    <col min="4867" max="4867" width="7.42578125" style="154" customWidth="1"/>
    <col min="4868" max="4869" width="12.5703125" style="154" customWidth="1"/>
    <col min="4870" max="4870" width="9.42578125" style="154" customWidth="1"/>
    <col min="4871" max="4871" width="5.7109375" style="154" customWidth="1"/>
    <col min="4872" max="4872" width="7.85546875" style="154" customWidth="1"/>
    <col min="4873" max="4873" width="6.5703125" style="154" customWidth="1"/>
    <col min="4874" max="4875" width="12" style="154" customWidth="1"/>
    <col min="4876" max="5120" width="9.140625" style="154"/>
    <col min="5121" max="5121" width="11.85546875" style="154" customWidth="1"/>
    <col min="5122" max="5122" width="6.140625" style="154" customWidth="1"/>
    <col min="5123" max="5123" width="7.42578125" style="154" customWidth="1"/>
    <col min="5124" max="5125" width="12.5703125" style="154" customWidth="1"/>
    <col min="5126" max="5126" width="9.42578125" style="154" customWidth="1"/>
    <col min="5127" max="5127" width="5.7109375" style="154" customWidth="1"/>
    <col min="5128" max="5128" width="7.85546875" style="154" customWidth="1"/>
    <col min="5129" max="5129" width="6.5703125" style="154" customWidth="1"/>
    <col min="5130" max="5131" width="12" style="154" customWidth="1"/>
    <col min="5132" max="5376" width="9.140625" style="154"/>
    <col min="5377" max="5377" width="11.85546875" style="154" customWidth="1"/>
    <col min="5378" max="5378" width="6.140625" style="154" customWidth="1"/>
    <col min="5379" max="5379" width="7.42578125" style="154" customWidth="1"/>
    <col min="5380" max="5381" width="12.5703125" style="154" customWidth="1"/>
    <col min="5382" max="5382" width="9.42578125" style="154" customWidth="1"/>
    <col min="5383" max="5383" width="5.7109375" style="154" customWidth="1"/>
    <col min="5384" max="5384" width="7.85546875" style="154" customWidth="1"/>
    <col min="5385" max="5385" width="6.5703125" style="154" customWidth="1"/>
    <col min="5386" max="5387" width="12" style="154" customWidth="1"/>
    <col min="5388" max="5632" width="9.140625" style="154"/>
    <col min="5633" max="5633" width="11.85546875" style="154" customWidth="1"/>
    <col min="5634" max="5634" width="6.140625" style="154" customWidth="1"/>
    <col min="5635" max="5635" width="7.42578125" style="154" customWidth="1"/>
    <col min="5636" max="5637" width="12.5703125" style="154" customWidth="1"/>
    <col min="5638" max="5638" width="9.42578125" style="154" customWidth="1"/>
    <col min="5639" max="5639" width="5.7109375" style="154" customWidth="1"/>
    <col min="5640" max="5640" width="7.85546875" style="154" customWidth="1"/>
    <col min="5641" max="5641" width="6.5703125" style="154" customWidth="1"/>
    <col min="5642" max="5643" width="12" style="154" customWidth="1"/>
    <col min="5644" max="5888" width="9.140625" style="154"/>
    <col min="5889" max="5889" width="11.85546875" style="154" customWidth="1"/>
    <col min="5890" max="5890" width="6.140625" style="154" customWidth="1"/>
    <col min="5891" max="5891" width="7.42578125" style="154" customWidth="1"/>
    <col min="5892" max="5893" width="12.5703125" style="154" customWidth="1"/>
    <col min="5894" max="5894" width="9.42578125" style="154" customWidth="1"/>
    <col min="5895" max="5895" width="5.7109375" style="154" customWidth="1"/>
    <col min="5896" max="5896" width="7.85546875" style="154" customWidth="1"/>
    <col min="5897" max="5897" width="6.5703125" style="154" customWidth="1"/>
    <col min="5898" max="5899" width="12" style="154" customWidth="1"/>
    <col min="5900" max="6144" width="9.140625" style="154"/>
    <col min="6145" max="6145" width="11.85546875" style="154" customWidth="1"/>
    <col min="6146" max="6146" width="6.140625" style="154" customWidth="1"/>
    <col min="6147" max="6147" width="7.42578125" style="154" customWidth="1"/>
    <col min="6148" max="6149" width="12.5703125" style="154" customWidth="1"/>
    <col min="6150" max="6150" width="9.42578125" style="154" customWidth="1"/>
    <col min="6151" max="6151" width="5.7109375" style="154" customWidth="1"/>
    <col min="6152" max="6152" width="7.85546875" style="154" customWidth="1"/>
    <col min="6153" max="6153" width="6.5703125" style="154" customWidth="1"/>
    <col min="6154" max="6155" width="12" style="154" customWidth="1"/>
    <col min="6156" max="6400" width="9.140625" style="154"/>
    <col min="6401" max="6401" width="11.85546875" style="154" customWidth="1"/>
    <col min="6402" max="6402" width="6.140625" style="154" customWidth="1"/>
    <col min="6403" max="6403" width="7.42578125" style="154" customWidth="1"/>
    <col min="6404" max="6405" width="12.5703125" style="154" customWidth="1"/>
    <col min="6406" max="6406" width="9.42578125" style="154" customWidth="1"/>
    <col min="6407" max="6407" width="5.7109375" style="154" customWidth="1"/>
    <col min="6408" max="6408" width="7.85546875" style="154" customWidth="1"/>
    <col min="6409" max="6409" width="6.5703125" style="154" customWidth="1"/>
    <col min="6410" max="6411" width="12" style="154" customWidth="1"/>
    <col min="6412" max="6656" width="9.140625" style="154"/>
    <col min="6657" max="6657" width="11.85546875" style="154" customWidth="1"/>
    <col min="6658" max="6658" width="6.140625" style="154" customWidth="1"/>
    <col min="6659" max="6659" width="7.42578125" style="154" customWidth="1"/>
    <col min="6660" max="6661" width="12.5703125" style="154" customWidth="1"/>
    <col min="6662" max="6662" width="9.42578125" style="154" customWidth="1"/>
    <col min="6663" max="6663" width="5.7109375" style="154" customWidth="1"/>
    <col min="6664" max="6664" width="7.85546875" style="154" customWidth="1"/>
    <col min="6665" max="6665" width="6.5703125" style="154" customWidth="1"/>
    <col min="6666" max="6667" width="12" style="154" customWidth="1"/>
    <col min="6668" max="6912" width="9.140625" style="154"/>
    <col min="6913" max="6913" width="11.85546875" style="154" customWidth="1"/>
    <col min="6914" max="6914" width="6.140625" style="154" customWidth="1"/>
    <col min="6915" max="6915" width="7.42578125" style="154" customWidth="1"/>
    <col min="6916" max="6917" width="12.5703125" style="154" customWidth="1"/>
    <col min="6918" max="6918" width="9.42578125" style="154" customWidth="1"/>
    <col min="6919" max="6919" width="5.7109375" style="154" customWidth="1"/>
    <col min="6920" max="6920" width="7.85546875" style="154" customWidth="1"/>
    <col min="6921" max="6921" width="6.5703125" style="154" customWidth="1"/>
    <col min="6922" max="6923" width="12" style="154" customWidth="1"/>
    <col min="6924" max="7168" width="9.140625" style="154"/>
    <col min="7169" max="7169" width="11.85546875" style="154" customWidth="1"/>
    <col min="7170" max="7170" width="6.140625" style="154" customWidth="1"/>
    <col min="7171" max="7171" width="7.42578125" style="154" customWidth="1"/>
    <col min="7172" max="7173" width="12.5703125" style="154" customWidth="1"/>
    <col min="7174" max="7174" width="9.42578125" style="154" customWidth="1"/>
    <col min="7175" max="7175" width="5.7109375" style="154" customWidth="1"/>
    <col min="7176" max="7176" width="7.85546875" style="154" customWidth="1"/>
    <col min="7177" max="7177" width="6.5703125" style="154" customWidth="1"/>
    <col min="7178" max="7179" width="12" style="154" customWidth="1"/>
    <col min="7180" max="7424" width="9.140625" style="154"/>
    <col min="7425" max="7425" width="11.85546875" style="154" customWidth="1"/>
    <col min="7426" max="7426" width="6.140625" style="154" customWidth="1"/>
    <col min="7427" max="7427" width="7.42578125" style="154" customWidth="1"/>
    <col min="7428" max="7429" width="12.5703125" style="154" customWidth="1"/>
    <col min="7430" max="7430" width="9.42578125" style="154" customWidth="1"/>
    <col min="7431" max="7431" width="5.7109375" style="154" customWidth="1"/>
    <col min="7432" max="7432" width="7.85546875" style="154" customWidth="1"/>
    <col min="7433" max="7433" width="6.5703125" style="154" customWidth="1"/>
    <col min="7434" max="7435" width="12" style="154" customWidth="1"/>
    <col min="7436" max="7680" width="9.140625" style="154"/>
    <col min="7681" max="7681" width="11.85546875" style="154" customWidth="1"/>
    <col min="7682" max="7682" width="6.140625" style="154" customWidth="1"/>
    <col min="7683" max="7683" width="7.42578125" style="154" customWidth="1"/>
    <col min="7684" max="7685" width="12.5703125" style="154" customWidth="1"/>
    <col min="7686" max="7686" width="9.42578125" style="154" customWidth="1"/>
    <col min="7687" max="7687" width="5.7109375" style="154" customWidth="1"/>
    <col min="7688" max="7688" width="7.85546875" style="154" customWidth="1"/>
    <col min="7689" max="7689" width="6.5703125" style="154" customWidth="1"/>
    <col min="7690" max="7691" width="12" style="154" customWidth="1"/>
    <col min="7692" max="7936" width="9.140625" style="154"/>
    <col min="7937" max="7937" width="11.85546875" style="154" customWidth="1"/>
    <col min="7938" max="7938" width="6.140625" style="154" customWidth="1"/>
    <col min="7939" max="7939" width="7.42578125" style="154" customWidth="1"/>
    <col min="7940" max="7941" width="12.5703125" style="154" customWidth="1"/>
    <col min="7942" max="7942" width="9.42578125" style="154" customWidth="1"/>
    <col min="7943" max="7943" width="5.7109375" style="154" customWidth="1"/>
    <col min="7944" max="7944" width="7.85546875" style="154" customWidth="1"/>
    <col min="7945" max="7945" width="6.5703125" style="154" customWidth="1"/>
    <col min="7946" max="7947" width="12" style="154" customWidth="1"/>
    <col min="7948" max="8192" width="9.140625" style="154"/>
    <col min="8193" max="8193" width="11.85546875" style="154" customWidth="1"/>
    <col min="8194" max="8194" width="6.140625" style="154" customWidth="1"/>
    <col min="8195" max="8195" width="7.42578125" style="154" customWidth="1"/>
    <col min="8196" max="8197" width="12.5703125" style="154" customWidth="1"/>
    <col min="8198" max="8198" width="9.42578125" style="154" customWidth="1"/>
    <col min="8199" max="8199" width="5.7109375" style="154" customWidth="1"/>
    <col min="8200" max="8200" width="7.85546875" style="154" customWidth="1"/>
    <col min="8201" max="8201" width="6.5703125" style="154" customWidth="1"/>
    <col min="8202" max="8203" width="12" style="154" customWidth="1"/>
    <col min="8204" max="8448" width="9.140625" style="154"/>
    <col min="8449" max="8449" width="11.85546875" style="154" customWidth="1"/>
    <col min="8450" max="8450" width="6.140625" style="154" customWidth="1"/>
    <col min="8451" max="8451" width="7.42578125" style="154" customWidth="1"/>
    <col min="8452" max="8453" width="12.5703125" style="154" customWidth="1"/>
    <col min="8454" max="8454" width="9.42578125" style="154" customWidth="1"/>
    <col min="8455" max="8455" width="5.7109375" style="154" customWidth="1"/>
    <col min="8456" max="8456" width="7.85546875" style="154" customWidth="1"/>
    <col min="8457" max="8457" width="6.5703125" style="154" customWidth="1"/>
    <col min="8458" max="8459" width="12" style="154" customWidth="1"/>
    <col min="8460" max="8704" width="9.140625" style="154"/>
    <col min="8705" max="8705" width="11.85546875" style="154" customWidth="1"/>
    <col min="8706" max="8706" width="6.140625" style="154" customWidth="1"/>
    <col min="8707" max="8707" width="7.42578125" style="154" customWidth="1"/>
    <col min="8708" max="8709" width="12.5703125" style="154" customWidth="1"/>
    <col min="8710" max="8710" width="9.42578125" style="154" customWidth="1"/>
    <col min="8711" max="8711" width="5.7109375" style="154" customWidth="1"/>
    <col min="8712" max="8712" width="7.85546875" style="154" customWidth="1"/>
    <col min="8713" max="8713" width="6.5703125" style="154" customWidth="1"/>
    <col min="8714" max="8715" width="12" style="154" customWidth="1"/>
    <col min="8716" max="8960" width="9.140625" style="154"/>
    <col min="8961" max="8961" width="11.85546875" style="154" customWidth="1"/>
    <col min="8962" max="8962" width="6.140625" style="154" customWidth="1"/>
    <col min="8963" max="8963" width="7.42578125" style="154" customWidth="1"/>
    <col min="8964" max="8965" width="12.5703125" style="154" customWidth="1"/>
    <col min="8966" max="8966" width="9.42578125" style="154" customWidth="1"/>
    <col min="8967" max="8967" width="5.7109375" style="154" customWidth="1"/>
    <col min="8968" max="8968" width="7.85546875" style="154" customWidth="1"/>
    <col min="8969" max="8969" width="6.5703125" style="154" customWidth="1"/>
    <col min="8970" max="8971" width="12" style="154" customWidth="1"/>
    <col min="8972" max="9216" width="9.140625" style="154"/>
    <col min="9217" max="9217" width="11.85546875" style="154" customWidth="1"/>
    <col min="9218" max="9218" width="6.140625" style="154" customWidth="1"/>
    <col min="9219" max="9219" width="7.42578125" style="154" customWidth="1"/>
    <col min="9220" max="9221" width="12.5703125" style="154" customWidth="1"/>
    <col min="9222" max="9222" width="9.42578125" style="154" customWidth="1"/>
    <col min="9223" max="9223" width="5.7109375" style="154" customWidth="1"/>
    <col min="9224" max="9224" width="7.85546875" style="154" customWidth="1"/>
    <col min="9225" max="9225" width="6.5703125" style="154" customWidth="1"/>
    <col min="9226" max="9227" width="12" style="154" customWidth="1"/>
    <col min="9228" max="9472" width="9.140625" style="154"/>
    <col min="9473" max="9473" width="11.85546875" style="154" customWidth="1"/>
    <col min="9474" max="9474" width="6.140625" style="154" customWidth="1"/>
    <col min="9475" max="9475" width="7.42578125" style="154" customWidth="1"/>
    <col min="9476" max="9477" width="12.5703125" style="154" customWidth="1"/>
    <col min="9478" max="9478" width="9.42578125" style="154" customWidth="1"/>
    <col min="9479" max="9479" width="5.7109375" style="154" customWidth="1"/>
    <col min="9480" max="9480" width="7.85546875" style="154" customWidth="1"/>
    <col min="9481" max="9481" width="6.5703125" style="154" customWidth="1"/>
    <col min="9482" max="9483" width="12" style="154" customWidth="1"/>
    <col min="9484" max="9728" width="9.140625" style="154"/>
    <col min="9729" max="9729" width="11.85546875" style="154" customWidth="1"/>
    <col min="9730" max="9730" width="6.140625" style="154" customWidth="1"/>
    <col min="9731" max="9731" width="7.42578125" style="154" customWidth="1"/>
    <col min="9732" max="9733" width="12.5703125" style="154" customWidth="1"/>
    <col min="9734" max="9734" width="9.42578125" style="154" customWidth="1"/>
    <col min="9735" max="9735" width="5.7109375" style="154" customWidth="1"/>
    <col min="9736" max="9736" width="7.85546875" style="154" customWidth="1"/>
    <col min="9737" max="9737" width="6.5703125" style="154" customWidth="1"/>
    <col min="9738" max="9739" width="12" style="154" customWidth="1"/>
    <col min="9740" max="9984" width="9.140625" style="154"/>
    <col min="9985" max="9985" width="11.85546875" style="154" customWidth="1"/>
    <col min="9986" max="9986" width="6.140625" style="154" customWidth="1"/>
    <col min="9987" max="9987" width="7.42578125" style="154" customWidth="1"/>
    <col min="9988" max="9989" width="12.5703125" style="154" customWidth="1"/>
    <col min="9990" max="9990" width="9.42578125" style="154" customWidth="1"/>
    <col min="9991" max="9991" width="5.7109375" style="154" customWidth="1"/>
    <col min="9992" max="9992" width="7.85546875" style="154" customWidth="1"/>
    <col min="9993" max="9993" width="6.5703125" style="154" customWidth="1"/>
    <col min="9994" max="9995" width="12" style="154" customWidth="1"/>
    <col min="9996" max="10240" width="9.140625" style="154"/>
    <col min="10241" max="10241" width="11.85546875" style="154" customWidth="1"/>
    <col min="10242" max="10242" width="6.140625" style="154" customWidth="1"/>
    <col min="10243" max="10243" width="7.42578125" style="154" customWidth="1"/>
    <col min="10244" max="10245" width="12.5703125" style="154" customWidth="1"/>
    <col min="10246" max="10246" width="9.42578125" style="154" customWidth="1"/>
    <col min="10247" max="10247" width="5.7109375" style="154" customWidth="1"/>
    <col min="10248" max="10248" width="7.85546875" style="154" customWidth="1"/>
    <col min="10249" max="10249" width="6.5703125" style="154" customWidth="1"/>
    <col min="10250" max="10251" width="12" style="154" customWidth="1"/>
    <col min="10252" max="10496" width="9.140625" style="154"/>
    <col min="10497" max="10497" width="11.85546875" style="154" customWidth="1"/>
    <col min="10498" max="10498" width="6.140625" style="154" customWidth="1"/>
    <col min="10499" max="10499" width="7.42578125" style="154" customWidth="1"/>
    <col min="10500" max="10501" width="12.5703125" style="154" customWidth="1"/>
    <col min="10502" max="10502" width="9.42578125" style="154" customWidth="1"/>
    <col min="10503" max="10503" width="5.7109375" style="154" customWidth="1"/>
    <col min="10504" max="10504" width="7.85546875" style="154" customWidth="1"/>
    <col min="10505" max="10505" width="6.5703125" style="154" customWidth="1"/>
    <col min="10506" max="10507" width="12" style="154" customWidth="1"/>
    <col min="10508" max="10752" width="9.140625" style="154"/>
    <col min="10753" max="10753" width="11.85546875" style="154" customWidth="1"/>
    <col min="10754" max="10754" width="6.140625" style="154" customWidth="1"/>
    <col min="10755" max="10755" width="7.42578125" style="154" customWidth="1"/>
    <col min="10756" max="10757" width="12.5703125" style="154" customWidth="1"/>
    <col min="10758" max="10758" width="9.42578125" style="154" customWidth="1"/>
    <col min="10759" max="10759" width="5.7109375" style="154" customWidth="1"/>
    <col min="10760" max="10760" width="7.85546875" style="154" customWidth="1"/>
    <col min="10761" max="10761" width="6.5703125" style="154" customWidth="1"/>
    <col min="10762" max="10763" width="12" style="154" customWidth="1"/>
    <col min="10764" max="11008" width="9.140625" style="154"/>
    <col min="11009" max="11009" width="11.85546875" style="154" customWidth="1"/>
    <col min="11010" max="11010" width="6.140625" style="154" customWidth="1"/>
    <col min="11011" max="11011" width="7.42578125" style="154" customWidth="1"/>
    <col min="11012" max="11013" width="12.5703125" style="154" customWidth="1"/>
    <col min="11014" max="11014" width="9.42578125" style="154" customWidth="1"/>
    <col min="11015" max="11015" width="5.7109375" style="154" customWidth="1"/>
    <col min="11016" max="11016" width="7.85546875" style="154" customWidth="1"/>
    <col min="11017" max="11017" width="6.5703125" style="154" customWidth="1"/>
    <col min="11018" max="11019" width="12" style="154" customWidth="1"/>
    <col min="11020" max="11264" width="9.140625" style="154"/>
    <col min="11265" max="11265" width="11.85546875" style="154" customWidth="1"/>
    <col min="11266" max="11266" width="6.140625" style="154" customWidth="1"/>
    <col min="11267" max="11267" width="7.42578125" style="154" customWidth="1"/>
    <col min="11268" max="11269" width="12.5703125" style="154" customWidth="1"/>
    <col min="11270" max="11270" width="9.42578125" style="154" customWidth="1"/>
    <col min="11271" max="11271" width="5.7109375" style="154" customWidth="1"/>
    <col min="11272" max="11272" width="7.85546875" style="154" customWidth="1"/>
    <col min="11273" max="11273" width="6.5703125" style="154" customWidth="1"/>
    <col min="11274" max="11275" width="12" style="154" customWidth="1"/>
    <col min="11276" max="11520" width="9.140625" style="154"/>
    <col min="11521" max="11521" width="11.85546875" style="154" customWidth="1"/>
    <col min="11522" max="11522" width="6.140625" style="154" customWidth="1"/>
    <col min="11523" max="11523" width="7.42578125" style="154" customWidth="1"/>
    <col min="11524" max="11525" width="12.5703125" style="154" customWidth="1"/>
    <col min="11526" max="11526" width="9.42578125" style="154" customWidth="1"/>
    <col min="11527" max="11527" width="5.7109375" style="154" customWidth="1"/>
    <col min="11528" max="11528" width="7.85546875" style="154" customWidth="1"/>
    <col min="11529" max="11529" width="6.5703125" style="154" customWidth="1"/>
    <col min="11530" max="11531" width="12" style="154" customWidth="1"/>
    <col min="11532" max="11776" width="9.140625" style="154"/>
    <col min="11777" max="11777" width="11.85546875" style="154" customWidth="1"/>
    <col min="11778" max="11778" width="6.140625" style="154" customWidth="1"/>
    <col min="11779" max="11779" width="7.42578125" style="154" customWidth="1"/>
    <col min="11780" max="11781" width="12.5703125" style="154" customWidth="1"/>
    <col min="11782" max="11782" width="9.42578125" style="154" customWidth="1"/>
    <col min="11783" max="11783" width="5.7109375" style="154" customWidth="1"/>
    <col min="11784" max="11784" width="7.85546875" style="154" customWidth="1"/>
    <col min="11785" max="11785" width="6.5703125" style="154" customWidth="1"/>
    <col min="11786" max="11787" width="12" style="154" customWidth="1"/>
    <col min="11788" max="12032" width="9.140625" style="154"/>
    <col min="12033" max="12033" width="11.85546875" style="154" customWidth="1"/>
    <col min="12034" max="12034" width="6.140625" style="154" customWidth="1"/>
    <col min="12035" max="12035" width="7.42578125" style="154" customWidth="1"/>
    <col min="12036" max="12037" width="12.5703125" style="154" customWidth="1"/>
    <col min="12038" max="12038" width="9.42578125" style="154" customWidth="1"/>
    <col min="12039" max="12039" width="5.7109375" style="154" customWidth="1"/>
    <col min="12040" max="12040" width="7.85546875" style="154" customWidth="1"/>
    <col min="12041" max="12041" width="6.5703125" style="154" customWidth="1"/>
    <col min="12042" max="12043" width="12" style="154" customWidth="1"/>
    <col min="12044" max="12288" width="9.140625" style="154"/>
    <col min="12289" max="12289" width="11.85546875" style="154" customWidth="1"/>
    <col min="12290" max="12290" width="6.140625" style="154" customWidth="1"/>
    <col min="12291" max="12291" width="7.42578125" style="154" customWidth="1"/>
    <col min="12292" max="12293" width="12.5703125" style="154" customWidth="1"/>
    <col min="12294" max="12294" width="9.42578125" style="154" customWidth="1"/>
    <col min="12295" max="12295" width="5.7109375" style="154" customWidth="1"/>
    <col min="12296" max="12296" width="7.85546875" style="154" customWidth="1"/>
    <col min="12297" max="12297" width="6.5703125" style="154" customWidth="1"/>
    <col min="12298" max="12299" width="12" style="154" customWidth="1"/>
    <col min="12300" max="12544" width="9.140625" style="154"/>
    <col min="12545" max="12545" width="11.85546875" style="154" customWidth="1"/>
    <col min="12546" max="12546" width="6.140625" style="154" customWidth="1"/>
    <col min="12547" max="12547" width="7.42578125" style="154" customWidth="1"/>
    <col min="12548" max="12549" width="12.5703125" style="154" customWidth="1"/>
    <col min="12550" max="12550" width="9.42578125" style="154" customWidth="1"/>
    <col min="12551" max="12551" width="5.7109375" style="154" customWidth="1"/>
    <col min="12552" max="12552" width="7.85546875" style="154" customWidth="1"/>
    <col min="12553" max="12553" width="6.5703125" style="154" customWidth="1"/>
    <col min="12554" max="12555" width="12" style="154" customWidth="1"/>
    <col min="12556" max="12800" width="9.140625" style="154"/>
    <col min="12801" max="12801" width="11.85546875" style="154" customWidth="1"/>
    <col min="12802" max="12802" width="6.140625" style="154" customWidth="1"/>
    <col min="12803" max="12803" width="7.42578125" style="154" customWidth="1"/>
    <col min="12804" max="12805" width="12.5703125" style="154" customWidth="1"/>
    <col min="12806" max="12806" width="9.42578125" style="154" customWidth="1"/>
    <col min="12807" max="12807" width="5.7109375" style="154" customWidth="1"/>
    <col min="12808" max="12808" width="7.85546875" style="154" customWidth="1"/>
    <col min="12809" max="12809" width="6.5703125" style="154" customWidth="1"/>
    <col min="12810" max="12811" width="12" style="154" customWidth="1"/>
    <col min="12812" max="13056" width="9.140625" style="154"/>
    <col min="13057" max="13057" width="11.85546875" style="154" customWidth="1"/>
    <col min="13058" max="13058" width="6.140625" style="154" customWidth="1"/>
    <col min="13059" max="13059" width="7.42578125" style="154" customWidth="1"/>
    <col min="13060" max="13061" width="12.5703125" style="154" customWidth="1"/>
    <col min="13062" max="13062" width="9.42578125" style="154" customWidth="1"/>
    <col min="13063" max="13063" width="5.7109375" style="154" customWidth="1"/>
    <col min="13064" max="13064" width="7.85546875" style="154" customWidth="1"/>
    <col min="13065" max="13065" width="6.5703125" style="154" customWidth="1"/>
    <col min="13066" max="13067" width="12" style="154" customWidth="1"/>
    <col min="13068" max="13312" width="9.140625" style="154"/>
    <col min="13313" max="13313" width="11.85546875" style="154" customWidth="1"/>
    <col min="13314" max="13314" width="6.140625" style="154" customWidth="1"/>
    <col min="13315" max="13315" width="7.42578125" style="154" customWidth="1"/>
    <col min="13316" max="13317" width="12.5703125" style="154" customWidth="1"/>
    <col min="13318" max="13318" width="9.42578125" style="154" customWidth="1"/>
    <col min="13319" max="13319" width="5.7109375" style="154" customWidth="1"/>
    <col min="13320" max="13320" width="7.85546875" style="154" customWidth="1"/>
    <col min="13321" max="13321" width="6.5703125" style="154" customWidth="1"/>
    <col min="13322" max="13323" width="12" style="154" customWidth="1"/>
    <col min="13324" max="13568" width="9.140625" style="154"/>
    <col min="13569" max="13569" width="11.85546875" style="154" customWidth="1"/>
    <col min="13570" max="13570" width="6.140625" style="154" customWidth="1"/>
    <col min="13571" max="13571" width="7.42578125" style="154" customWidth="1"/>
    <col min="13572" max="13573" width="12.5703125" style="154" customWidth="1"/>
    <col min="13574" max="13574" width="9.42578125" style="154" customWidth="1"/>
    <col min="13575" max="13575" width="5.7109375" style="154" customWidth="1"/>
    <col min="13576" max="13576" width="7.85546875" style="154" customWidth="1"/>
    <col min="13577" max="13577" width="6.5703125" style="154" customWidth="1"/>
    <col min="13578" max="13579" width="12" style="154" customWidth="1"/>
    <col min="13580" max="13824" width="9.140625" style="154"/>
    <col min="13825" max="13825" width="11.85546875" style="154" customWidth="1"/>
    <col min="13826" max="13826" width="6.140625" style="154" customWidth="1"/>
    <col min="13827" max="13827" width="7.42578125" style="154" customWidth="1"/>
    <col min="13828" max="13829" width="12.5703125" style="154" customWidth="1"/>
    <col min="13830" max="13830" width="9.42578125" style="154" customWidth="1"/>
    <col min="13831" max="13831" width="5.7109375" style="154" customWidth="1"/>
    <col min="13832" max="13832" width="7.85546875" style="154" customWidth="1"/>
    <col min="13833" max="13833" width="6.5703125" style="154" customWidth="1"/>
    <col min="13834" max="13835" width="12" style="154" customWidth="1"/>
    <col min="13836" max="14080" width="9.140625" style="154"/>
    <col min="14081" max="14081" width="11.85546875" style="154" customWidth="1"/>
    <col min="14082" max="14082" width="6.140625" style="154" customWidth="1"/>
    <col min="14083" max="14083" width="7.42578125" style="154" customWidth="1"/>
    <col min="14084" max="14085" width="12.5703125" style="154" customWidth="1"/>
    <col min="14086" max="14086" width="9.42578125" style="154" customWidth="1"/>
    <col min="14087" max="14087" width="5.7109375" style="154" customWidth="1"/>
    <col min="14088" max="14088" width="7.85546875" style="154" customWidth="1"/>
    <col min="14089" max="14089" width="6.5703125" style="154" customWidth="1"/>
    <col min="14090" max="14091" width="12" style="154" customWidth="1"/>
    <col min="14092" max="14336" width="9.140625" style="154"/>
    <col min="14337" max="14337" width="11.85546875" style="154" customWidth="1"/>
    <col min="14338" max="14338" width="6.140625" style="154" customWidth="1"/>
    <col min="14339" max="14339" width="7.42578125" style="154" customWidth="1"/>
    <col min="14340" max="14341" width="12.5703125" style="154" customWidth="1"/>
    <col min="14342" max="14342" width="9.42578125" style="154" customWidth="1"/>
    <col min="14343" max="14343" width="5.7109375" style="154" customWidth="1"/>
    <col min="14344" max="14344" width="7.85546875" style="154" customWidth="1"/>
    <col min="14345" max="14345" width="6.5703125" style="154" customWidth="1"/>
    <col min="14346" max="14347" width="12" style="154" customWidth="1"/>
    <col min="14348" max="14592" width="9.140625" style="154"/>
    <col min="14593" max="14593" width="11.85546875" style="154" customWidth="1"/>
    <col min="14594" max="14594" width="6.140625" style="154" customWidth="1"/>
    <col min="14595" max="14595" width="7.42578125" style="154" customWidth="1"/>
    <col min="14596" max="14597" width="12.5703125" style="154" customWidth="1"/>
    <col min="14598" max="14598" width="9.42578125" style="154" customWidth="1"/>
    <col min="14599" max="14599" width="5.7109375" style="154" customWidth="1"/>
    <col min="14600" max="14600" width="7.85546875" style="154" customWidth="1"/>
    <col min="14601" max="14601" width="6.5703125" style="154" customWidth="1"/>
    <col min="14602" max="14603" width="12" style="154" customWidth="1"/>
    <col min="14604" max="14848" width="9.140625" style="154"/>
    <col min="14849" max="14849" width="11.85546875" style="154" customWidth="1"/>
    <col min="14850" max="14850" width="6.140625" style="154" customWidth="1"/>
    <col min="14851" max="14851" width="7.42578125" style="154" customWidth="1"/>
    <col min="14852" max="14853" width="12.5703125" style="154" customWidth="1"/>
    <col min="14854" max="14854" width="9.42578125" style="154" customWidth="1"/>
    <col min="14855" max="14855" width="5.7109375" style="154" customWidth="1"/>
    <col min="14856" max="14856" width="7.85546875" style="154" customWidth="1"/>
    <col min="14857" max="14857" width="6.5703125" style="154" customWidth="1"/>
    <col min="14858" max="14859" width="12" style="154" customWidth="1"/>
    <col min="14860" max="15104" width="9.140625" style="154"/>
    <col min="15105" max="15105" width="11.85546875" style="154" customWidth="1"/>
    <col min="15106" max="15106" width="6.140625" style="154" customWidth="1"/>
    <col min="15107" max="15107" width="7.42578125" style="154" customWidth="1"/>
    <col min="15108" max="15109" width="12.5703125" style="154" customWidth="1"/>
    <col min="15110" max="15110" width="9.42578125" style="154" customWidth="1"/>
    <col min="15111" max="15111" width="5.7109375" style="154" customWidth="1"/>
    <col min="15112" max="15112" width="7.85546875" style="154" customWidth="1"/>
    <col min="15113" max="15113" width="6.5703125" style="154" customWidth="1"/>
    <col min="15114" max="15115" width="12" style="154" customWidth="1"/>
    <col min="15116" max="15360" width="9.140625" style="154"/>
    <col min="15361" max="15361" width="11.85546875" style="154" customWidth="1"/>
    <col min="15362" max="15362" width="6.140625" style="154" customWidth="1"/>
    <col min="15363" max="15363" width="7.42578125" style="154" customWidth="1"/>
    <col min="15364" max="15365" width="12.5703125" style="154" customWidth="1"/>
    <col min="15366" max="15366" width="9.42578125" style="154" customWidth="1"/>
    <col min="15367" max="15367" width="5.7109375" style="154" customWidth="1"/>
    <col min="15368" max="15368" width="7.85546875" style="154" customWidth="1"/>
    <col min="15369" max="15369" width="6.5703125" style="154" customWidth="1"/>
    <col min="15370" max="15371" width="12" style="154" customWidth="1"/>
    <col min="15372" max="15616" width="9.140625" style="154"/>
    <col min="15617" max="15617" width="11.85546875" style="154" customWidth="1"/>
    <col min="15618" max="15618" width="6.140625" style="154" customWidth="1"/>
    <col min="15619" max="15619" width="7.42578125" style="154" customWidth="1"/>
    <col min="15620" max="15621" width="12.5703125" style="154" customWidth="1"/>
    <col min="15622" max="15622" width="9.42578125" style="154" customWidth="1"/>
    <col min="15623" max="15623" width="5.7109375" style="154" customWidth="1"/>
    <col min="15624" max="15624" width="7.85546875" style="154" customWidth="1"/>
    <col min="15625" max="15625" width="6.5703125" style="154" customWidth="1"/>
    <col min="15626" max="15627" width="12" style="154" customWidth="1"/>
    <col min="15628" max="15872" width="9.140625" style="154"/>
    <col min="15873" max="15873" width="11.85546875" style="154" customWidth="1"/>
    <col min="15874" max="15874" width="6.140625" style="154" customWidth="1"/>
    <col min="15875" max="15875" width="7.42578125" style="154" customWidth="1"/>
    <col min="15876" max="15877" width="12.5703125" style="154" customWidth="1"/>
    <col min="15878" max="15878" width="9.42578125" style="154" customWidth="1"/>
    <col min="15879" max="15879" width="5.7109375" style="154" customWidth="1"/>
    <col min="15880" max="15880" width="7.85546875" style="154" customWidth="1"/>
    <col min="15881" max="15881" width="6.5703125" style="154" customWidth="1"/>
    <col min="15882" max="15883" width="12" style="154" customWidth="1"/>
    <col min="15884" max="16128" width="9.140625" style="154"/>
    <col min="16129" max="16129" width="11.85546875" style="154" customWidth="1"/>
    <col min="16130" max="16130" width="6.140625" style="154" customWidth="1"/>
    <col min="16131" max="16131" width="7.42578125" style="154" customWidth="1"/>
    <col min="16132" max="16133" width="12.5703125" style="154" customWidth="1"/>
    <col min="16134" max="16134" width="9.42578125" style="154" customWidth="1"/>
    <col min="16135" max="16135" width="5.7109375" style="154" customWidth="1"/>
    <col min="16136" max="16136" width="7.85546875" style="154" customWidth="1"/>
    <col min="16137" max="16137" width="6.5703125" style="154" customWidth="1"/>
    <col min="16138" max="16139" width="12" style="154" customWidth="1"/>
    <col min="16140" max="16384" width="9.140625" style="154"/>
  </cols>
  <sheetData>
    <row r="1" spans="1:26" ht="20.25" customHeight="1">
      <c r="A1" s="629" t="s">
        <v>252</v>
      </c>
      <c r="B1" s="629"/>
      <c r="C1" s="629"/>
      <c r="D1" s="629"/>
      <c r="E1" s="629"/>
      <c r="F1" s="629"/>
      <c r="G1" s="629"/>
      <c r="H1" s="629"/>
      <c r="I1" s="629"/>
      <c r="J1" s="629"/>
      <c r="K1" s="629"/>
    </row>
    <row r="2" spans="1:26" ht="20.25" customHeight="1">
      <c r="A2" s="630" t="s">
        <v>253</v>
      </c>
      <c r="B2" s="630"/>
      <c r="C2" s="630"/>
      <c r="D2" s="630"/>
      <c r="E2" s="630"/>
      <c r="F2" s="630"/>
      <c r="G2" s="630"/>
      <c r="H2" s="630"/>
      <c r="I2" s="630"/>
      <c r="J2" s="630"/>
      <c r="K2" s="630"/>
    </row>
    <row r="3" spans="1:26" ht="18.75" customHeight="1" thickBot="1">
      <c r="A3" s="155" t="s">
        <v>1</v>
      </c>
      <c r="B3" s="156" t="s">
        <v>364</v>
      </c>
      <c r="C3" s="157"/>
      <c r="D3" s="157"/>
      <c r="E3" s="157"/>
      <c r="F3" s="564"/>
      <c r="G3" s="157"/>
      <c r="H3" s="157"/>
      <c r="I3" s="155" t="s">
        <v>254</v>
      </c>
      <c r="J3" s="631"/>
      <c r="K3" s="631"/>
    </row>
    <row r="4" spans="1:26" s="167" customFormat="1" ht="18.399999999999999" customHeight="1" thickBot="1">
      <c r="A4" s="159" t="s">
        <v>753</v>
      </c>
      <c r="B4" s="160"/>
      <c r="C4" s="161"/>
      <c r="D4" s="161"/>
      <c r="E4" s="161"/>
      <c r="F4" s="161"/>
      <c r="G4" s="161"/>
      <c r="H4" s="161"/>
      <c r="I4" s="161"/>
      <c r="J4" s="161"/>
      <c r="K4" s="162"/>
      <c r="L4" s="163"/>
      <c r="M4" s="163"/>
      <c r="N4" s="163"/>
      <c r="O4" s="163"/>
      <c r="P4" s="163"/>
      <c r="Q4" s="164" t="s">
        <v>255</v>
      </c>
      <c r="R4" s="165"/>
      <c r="S4" s="163"/>
      <c r="T4" s="164" t="s">
        <v>256</v>
      </c>
      <c r="U4" s="166"/>
      <c r="V4" s="163"/>
      <c r="W4" s="163"/>
      <c r="X4" s="163"/>
      <c r="Y4" s="163"/>
      <c r="Z4" s="163"/>
    </row>
    <row r="5" spans="1:26" s="167" customFormat="1" ht="18.399999999999999" customHeight="1">
      <c r="A5" s="632" t="s">
        <v>257</v>
      </c>
      <c r="B5" s="633"/>
      <c r="C5" s="633"/>
      <c r="D5" s="168"/>
      <c r="E5" s="169"/>
      <c r="F5" s="170" t="s">
        <v>258</v>
      </c>
      <c r="G5" s="171"/>
      <c r="H5" s="171"/>
      <c r="I5" s="172"/>
      <c r="J5" s="173" t="s">
        <v>259</v>
      </c>
      <c r="K5" s="174" t="s">
        <v>260</v>
      </c>
      <c r="L5" s="163"/>
      <c r="M5" s="163"/>
      <c r="N5" s="163"/>
      <c r="O5" s="163"/>
      <c r="P5" s="163"/>
      <c r="Q5" s="175" t="s">
        <v>261</v>
      </c>
      <c r="R5" s="176"/>
      <c r="S5" s="163"/>
      <c r="T5" s="175" t="s">
        <v>262</v>
      </c>
      <c r="U5" s="177"/>
      <c r="V5" s="163"/>
      <c r="W5" s="163"/>
      <c r="X5" s="163"/>
      <c r="Y5" s="163"/>
      <c r="Z5" s="163"/>
    </row>
    <row r="6" spans="1:26" s="167" customFormat="1" ht="18.399999999999999" customHeight="1">
      <c r="A6" s="634" t="s">
        <v>67</v>
      </c>
      <c r="B6" s="635"/>
      <c r="C6" s="635"/>
      <c r="D6" s="636" t="s">
        <v>263</v>
      </c>
      <c r="E6" s="637"/>
      <c r="F6" s="567" t="s">
        <v>264</v>
      </c>
      <c r="G6" s="568"/>
      <c r="H6" s="568"/>
      <c r="I6" s="568"/>
      <c r="J6" s="568"/>
      <c r="K6" s="569"/>
      <c r="L6" s="163"/>
      <c r="M6" s="163"/>
      <c r="N6" s="163"/>
      <c r="O6" s="163"/>
      <c r="P6" s="163"/>
      <c r="Q6" s="175" t="s">
        <v>265</v>
      </c>
      <c r="R6" s="176"/>
      <c r="S6" s="163"/>
      <c r="T6" s="175" t="s">
        <v>266</v>
      </c>
      <c r="U6" s="177"/>
      <c r="V6" s="163"/>
      <c r="W6" s="163"/>
      <c r="X6" s="163"/>
      <c r="Y6" s="163"/>
      <c r="Z6" s="163"/>
    </row>
    <row r="7" spans="1:26" s="167" customFormat="1" ht="18.399999999999999" customHeight="1">
      <c r="A7" s="625" t="s">
        <v>20</v>
      </c>
      <c r="B7" s="626"/>
      <c r="C7" s="626"/>
      <c r="D7" s="627">
        <v>3.5</v>
      </c>
      <c r="E7" s="628"/>
      <c r="F7" s="178" t="s">
        <v>267</v>
      </c>
      <c r="G7" s="179"/>
      <c r="H7" s="180"/>
      <c r="I7" s="181"/>
      <c r="J7" s="182" t="s">
        <v>754</v>
      </c>
      <c r="K7" s="183" t="s">
        <v>174</v>
      </c>
      <c r="L7" s="163"/>
      <c r="M7" s="163"/>
      <c r="N7" s="163"/>
      <c r="O7" s="163"/>
      <c r="P7" s="163"/>
      <c r="Q7" s="175" t="s">
        <v>268</v>
      </c>
      <c r="R7" s="176"/>
      <c r="S7" s="163"/>
      <c r="T7" s="175" t="s">
        <v>263</v>
      </c>
      <c r="U7" s="177"/>
      <c r="V7" s="163"/>
      <c r="W7" s="163"/>
      <c r="X7" s="163"/>
      <c r="Y7" s="163"/>
      <c r="Z7" s="163"/>
    </row>
    <row r="8" spans="1:26" s="167" customFormat="1" ht="18.399999999999999" customHeight="1">
      <c r="A8" s="625" t="s">
        <v>269</v>
      </c>
      <c r="B8" s="626"/>
      <c r="C8" s="626"/>
      <c r="D8" s="611">
        <v>500</v>
      </c>
      <c r="E8" s="607"/>
      <c r="F8" s="184" t="s">
        <v>270</v>
      </c>
      <c r="G8" s="185"/>
      <c r="H8" s="186"/>
      <c r="I8" s="187"/>
      <c r="J8" s="188">
        <v>42373</v>
      </c>
      <c r="K8" s="189" t="s">
        <v>174</v>
      </c>
      <c r="L8" s="163"/>
      <c r="M8" s="163"/>
      <c r="N8" s="163"/>
      <c r="O8" s="163"/>
      <c r="P8" s="163"/>
      <c r="Q8" s="175" t="s">
        <v>271</v>
      </c>
      <c r="R8" s="176"/>
      <c r="S8" s="163"/>
      <c r="T8" s="175" t="s">
        <v>272</v>
      </c>
      <c r="U8" s="177"/>
      <c r="V8" s="163"/>
      <c r="W8" s="163"/>
      <c r="X8" s="163"/>
      <c r="Y8" s="163"/>
      <c r="Z8" s="163"/>
    </row>
    <row r="9" spans="1:26" s="167" customFormat="1" ht="18.399999999999999" customHeight="1">
      <c r="A9" s="620" t="s">
        <v>273</v>
      </c>
      <c r="B9" s="621"/>
      <c r="C9" s="622"/>
      <c r="D9" s="611">
        <v>9</v>
      </c>
      <c r="E9" s="607"/>
      <c r="F9" s="178" t="s">
        <v>274</v>
      </c>
      <c r="G9" s="179"/>
      <c r="H9" s="190">
        <v>1</v>
      </c>
      <c r="I9" s="191" t="s">
        <v>275</v>
      </c>
      <c r="J9" s="192">
        <v>350</v>
      </c>
      <c r="K9" s="189" t="s">
        <v>174</v>
      </c>
      <c r="L9" s="163"/>
      <c r="M9" s="163"/>
      <c r="N9" s="163"/>
      <c r="O9" s="163"/>
      <c r="P9" s="163"/>
      <c r="Q9" s="175" t="s">
        <v>276</v>
      </c>
      <c r="R9" s="176"/>
      <c r="S9" s="163"/>
      <c r="T9" s="175" t="s">
        <v>277</v>
      </c>
      <c r="U9" s="177"/>
      <c r="V9" s="163"/>
      <c r="W9" s="163"/>
      <c r="X9" s="163"/>
      <c r="Y9" s="163"/>
      <c r="Z9" s="163"/>
    </row>
    <row r="10" spans="1:26" s="167" customFormat="1" ht="18.399999999999999" customHeight="1" thickBot="1">
      <c r="A10" s="620" t="s">
        <v>278</v>
      </c>
      <c r="B10" s="621"/>
      <c r="C10" s="622"/>
      <c r="D10" s="594" t="s">
        <v>186</v>
      </c>
      <c r="E10" s="595"/>
      <c r="F10" s="178" t="s">
        <v>279</v>
      </c>
      <c r="G10" s="179"/>
      <c r="H10" s="190">
        <v>1</v>
      </c>
      <c r="I10" s="191" t="s">
        <v>275</v>
      </c>
      <c r="J10" s="192">
        <v>1150</v>
      </c>
      <c r="K10" s="189" t="s">
        <v>174</v>
      </c>
      <c r="L10" s="163"/>
      <c r="M10" s="163"/>
      <c r="N10" s="163"/>
      <c r="O10" s="163"/>
      <c r="P10" s="163"/>
      <c r="Q10" s="175" t="s">
        <v>755</v>
      </c>
      <c r="R10" s="176"/>
      <c r="S10" s="163"/>
      <c r="T10" s="193" t="s">
        <v>281</v>
      </c>
      <c r="U10" s="194"/>
      <c r="V10" s="163"/>
      <c r="W10" s="163"/>
      <c r="X10" s="163"/>
      <c r="Y10" s="163"/>
      <c r="Z10" s="163"/>
    </row>
    <row r="11" spans="1:26" s="167" customFormat="1" ht="18.399999999999999" customHeight="1" thickBot="1">
      <c r="A11" s="620" t="s">
        <v>282</v>
      </c>
      <c r="B11" s="621"/>
      <c r="C11" s="622"/>
      <c r="D11" s="589" t="s">
        <v>174</v>
      </c>
      <c r="E11" s="590"/>
      <c r="F11" s="195" t="s">
        <v>283</v>
      </c>
      <c r="G11" s="196"/>
      <c r="H11" s="197">
        <v>1</v>
      </c>
      <c r="I11" s="191" t="s">
        <v>275</v>
      </c>
      <c r="J11" s="198">
        <v>37826</v>
      </c>
      <c r="K11" s="199" t="s">
        <v>174</v>
      </c>
      <c r="L11" s="163"/>
      <c r="M11" s="163"/>
      <c r="N11" s="163"/>
      <c r="O11" s="163"/>
      <c r="P11" s="163"/>
      <c r="Q11" s="175" t="s">
        <v>280</v>
      </c>
      <c r="R11" s="176"/>
      <c r="S11" s="163"/>
      <c r="T11" s="164" t="s">
        <v>756</v>
      </c>
      <c r="U11" s="166"/>
      <c r="V11" s="163"/>
      <c r="W11" s="163"/>
      <c r="X11" s="163"/>
      <c r="Y11" s="163"/>
      <c r="Z11" s="163"/>
    </row>
    <row r="12" spans="1:26" s="167" customFormat="1" ht="18.399999999999999" customHeight="1" thickBot="1">
      <c r="A12" s="201" t="s">
        <v>285</v>
      </c>
      <c r="C12" s="202"/>
      <c r="D12" s="623" t="s">
        <v>174</v>
      </c>
      <c r="E12" s="624"/>
      <c r="F12" s="591" t="s">
        <v>286</v>
      </c>
      <c r="G12" s="592"/>
      <c r="H12" s="592"/>
      <c r="I12" s="592"/>
      <c r="J12" s="592"/>
      <c r="K12" s="593"/>
      <c r="L12" s="163"/>
      <c r="M12" s="163"/>
      <c r="N12" s="163"/>
      <c r="O12" s="163"/>
      <c r="P12" s="163"/>
      <c r="Q12" s="193" t="s">
        <v>284</v>
      </c>
      <c r="R12" s="200"/>
      <c r="S12" s="163"/>
      <c r="T12" s="163"/>
      <c r="U12" s="163"/>
      <c r="V12" s="163"/>
      <c r="W12" s="163"/>
      <c r="X12" s="163"/>
      <c r="Y12" s="163"/>
      <c r="Z12" s="163"/>
    </row>
    <row r="13" spans="1:26" s="167" customFormat="1" ht="18.399999999999999" customHeight="1">
      <c r="A13" s="620" t="s">
        <v>53</v>
      </c>
      <c r="B13" s="621"/>
      <c r="C13" s="622"/>
      <c r="D13" s="614" t="s">
        <v>757</v>
      </c>
      <c r="E13" s="615"/>
      <c r="F13" s="203"/>
      <c r="G13" s="204" t="s">
        <v>287</v>
      </c>
      <c r="H13" s="205"/>
      <c r="I13" s="206" t="s">
        <v>288</v>
      </c>
      <c r="J13" s="207" t="s">
        <v>758</v>
      </c>
      <c r="K13" s="208" t="s">
        <v>174</v>
      </c>
      <c r="L13" s="163"/>
      <c r="M13" s="163"/>
      <c r="N13" s="163"/>
      <c r="O13" s="163"/>
      <c r="P13" s="163"/>
      <c r="Q13" s="163"/>
      <c r="R13" s="163"/>
      <c r="S13" s="163"/>
      <c r="T13" s="163"/>
      <c r="U13" s="163"/>
      <c r="V13" s="163"/>
      <c r="W13" s="163"/>
      <c r="X13" s="163"/>
      <c r="Y13" s="163"/>
      <c r="Z13" s="163"/>
    </row>
    <row r="14" spans="1:26" s="167" customFormat="1" ht="18.399999999999999" customHeight="1">
      <c r="A14" s="620" t="s">
        <v>56</v>
      </c>
      <c r="B14" s="621"/>
      <c r="C14" s="622"/>
      <c r="D14" s="623">
        <v>1367</v>
      </c>
      <c r="E14" s="624"/>
      <c r="F14" s="203"/>
      <c r="G14" s="209" t="s">
        <v>10</v>
      </c>
      <c r="H14" s="210"/>
      <c r="I14" s="210"/>
      <c r="J14" s="192" t="s">
        <v>174</v>
      </c>
      <c r="K14" s="189" t="s">
        <v>174</v>
      </c>
      <c r="L14" s="163"/>
      <c r="M14" s="163"/>
      <c r="N14" s="163"/>
      <c r="O14" s="163"/>
      <c r="P14" s="163"/>
      <c r="Q14" s="163"/>
      <c r="R14" s="163"/>
      <c r="S14" s="163"/>
      <c r="T14" s="163"/>
      <c r="U14" s="163"/>
      <c r="V14" s="163"/>
      <c r="W14" s="163"/>
      <c r="X14" s="163"/>
      <c r="Y14" s="163"/>
      <c r="Z14" s="163"/>
    </row>
    <row r="15" spans="1:26" s="167" customFormat="1" ht="18.399999999999999" customHeight="1">
      <c r="A15" s="608" t="s">
        <v>289</v>
      </c>
      <c r="B15" s="609"/>
      <c r="C15" s="610"/>
      <c r="D15" s="587">
        <v>14.644800186157227</v>
      </c>
      <c r="E15" s="588"/>
      <c r="F15" s="203"/>
      <c r="G15" s="209" t="s">
        <v>290</v>
      </c>
      <c r="H15" s="210"/>
      <c r="I15" s="210"/>
      <c r="J15" s="192" t="s">
        <v>174</v>
      </c>
      <c r="K15" s="189" t="s">
        <v>174</v>
      </c>
      <c r="L15" s="163"/>
      <c r="M15" s="163"/>
      <c r="N15" s="163"/>
      <c r="O15" s="163"/>
      <c r="P15" s="163"/>
      <c r="Q15" s="163"/>
      <c r="R15" s="163"/>
      <c r="S15" s="163"/>
      <c r="T15" s="163"/>
      <c r="U15" s="163"/>
      <c r="V15" s="163"/>
      <c r="W15" s="163"/>
      <c r="X15" s="163"/>
      <c r="Y15" s="163"/>
      <c r="Z15" s="163"/>
    </row>
    <row r="16" spans="1:26" s="167" customFormat="1" ht="18.399999999999999" customHeight="1">
      <c r="A16" s="584" t="s">
        <v>291</v>
      </c>
      <c r="B16" s="585"/>
      <c r="C16" s="586"/>
      <c r="D16" s="587">
        <v>3.7935991287231445</v>
      </c>
      <c r="E16" s="588"/>
      <c r="F16" s="211"/>
      <c r="G16" s="212" t="s">
        <v>17</v>
      </c>
      <c r="H16" s="213"/>
      <c r="I16" s="213"/>
      <c r="J16" s="198" t="s">
        <v>174</v>
      </c>
      <c r="K16" s="199" t="s">
        <v>174</v>
      </c>
      <c r="L16" s="163"/>
      <c r="M16" s="163"/>
      <c r="N16" s="163"/>
      <c r="O16" s="163"/>
      <c r="P16" s="163"/>
      <c r="Q16" s="163"/>
      <c r="R16" s="163"/>
      <c r="S16" s="163"/>
      <c r="T16" s="163"/>
      <c r="U16" s="163"/>
      <c r="V16" s="163"/>
      <c r="W16" s="163"/>
      <c r="X16" s="163"/>
      <c r="Y16" s="163"/>
      <c r="Z16" s="163"/>
    </row>
    <row r="17" spans="1:26" s="167" customFormat="1" ht="18.399999999999999" customHeight="1">
      <c r="A17" s="214" t="s">
        <v>292</v>
      </c>
      <c r="B17" s="215"/>
      <c r="C17" s="216"/>
      <c r="D17" s="589" t="s">
        <v>366</v>
      </c>
      <c r="E17" s="590"/>
      <c r="F17" s="591" t="s">
        <v>293</v>
      </c>
      <c r="G17" s="592"/>
      <c r="H17" s="592"/>
      <c r="I17" s="592"/>
      <c r="J17" s="592"/>
      <c r="K17" s="593"/>
      <c r="L17" s="163"/>
      <c r="M17" s="163"/>
      <c r="N17" s="163"/>
      <c r="O17" s="163"/>
      <c r="P17" s="163"/>
      <c r="Q17" s="163"/>
      <c r="R17" s="163"/>
      <c r="S17" s="163"/>
      <c r="T17" s="163"/>
      <c r="U17" s="163"/>
      <c r="V17" s="163"/>
      <c r="W17" s="163"/>
      <c r="X17" s="163"/>
      <c r="Y17" s="163"/>
      <c r="Z17" s="163"/>
    </row>
    <row r="18" spans="1:26" s="167" customFormat="1" ht="18.399999999999999" customHeight="1">
      <c r="A18" s="217" t="s">
        <v>294</v>
      </c>
      <c r="B18" s="218"/>
      <c r="C18" s="216"/>
      <c r="D18" s="594" t="s">
        <v>174</v>
      </c>
      <c r="E18" s="595"/>
      <c r="F18" s="596"/>
      <c r="G18" s="597"/>
      <c r="H18" s="219" t="s">
        <v>295</v>
      </c>
      <c r="I18" s="220"/>
      <c r="J18" s="188" t="s">
        <v>759</v>
      </c>
      <c r="K18" s="189"/>
      <c r="L18" s="163"/>
      <c r="M18" s="163" t="e">
        <f>J18*6.5</f>
        <v>#VALUE!</v>
      </c>
      <c r="N18" s="163"/>
      <c r="O18" s="163"/>
      <c r="P18" s="163"/>
      <c r="Q18" s="163"/>
      <c r="R18" s="163"/>
      <c r="S18" s="163"/>
      <c r="T18" s="163"/>
      <c r="U18" s="163"/>
      <c r="V18" s="163"/>
      <c r="W18" s="163"/>
      <c r="X18" s="163"/>
      <c r="Y18" s="163"/>
      <c r="Z18" s="163"/>
    </row>
    <row r="19" spans="1:26" s="167" customFormat="1" ht="18.399999999999999" customHeight="1">
      <c r="A19" s="602" t="s">
        <v>296</v>
      </c>
      <c r="B19" s="603"/>
      <c r="C19" s="604"/>
      <c r="D19" s="605" t="s">
        <v>174</v>
      </c>
      <c r="E19" s="590"/>
      <c r="F19" s="598"/>
      <c r="G19" s="599"/>
      <c r="H19" s="219" t="s">
        <v>5</v>
      </c>
      <c r="I19" s="181"/>
      <c r="J19" s="188">
        <v>3580</v>
      </c>
      <c r="K19" s="189"/>
      <c r="L19" s="163"/>
      <c r="M19" s="163"/>
      <c r="N19" s="163"/>
      <c r="O19" s="163"/>
      <c r="P19" s="163"/>
      <c r="Q19" s="163"/>
      <c r="R19" s="163"/>
      <c r="S19" s="163"/>
      <c r="T19" s="163"/>
      <c r="U19" s="163"/>
      <c r="V19" s="163"/>
      <c r="W19" s="163"/>
      <c r="X19" s="163"/>
      <c r="Y19" s="163"/>
      <c r="Z19" s="163"/>
    </row>
    <row r="20" spans="1:26" s="167" customFormat="1" ht="18.399999999999999" customHeight="1" thickBot="1">
      <c r="A20" s="221" t="s">
        <v>297</v>
      </c>
      <c r="C20" s="222"/>
      <c r="D20" s="606" t="s">
        <v>185</v>
      </c>
      <c r="E20" s="607"/>
      <c r="F20" s="598"/>
      <c r="G20" s="599"/>
      <c r="H20" s="219" t="s">
        <v>298</v>
      </c>
      <c r="I20" s="181"/>
      <c r="J20" s="192" t="s">
        <v>347</v>
      </c>
      <c r="K20" s="189"/>
      <c r="L20" s="163"/>
      <c r="M20" s="163"/>
      <c r="N20" s="163"/>
      <c r="O20" s="163"/>
      <c r="P20" s="163"/>
      <c r="Q20" s="163"/>
      <c r="R20" s="163"/>
      <c r="S20" s="163"/>
      <c r="T20" s="163"/>
      <c r="U20" s="163"/>
      <c r="V20" s="163"/>
      <c r="W20" s="163"/>
      <c r="X20" s="163"/>
      <c r="Y20" s="163"/>
      <c r="Z20" s="163"/>
    </row>
    <row r="21" spans="1:26" s="167" customFormat="1" ht="18.399999999999999" customHeight="1" thickBot="1">
      <c r="A21" s="608" t="s">
        <v>299</v>
      </c>
      <c r="B21" s="609"/>
      <c r="C21" s="610"/>
      <c r="D21" s="611" t="s">
        <v>174</v>
      </c>
      <c r="E21" s="607"/>
      <c r="F21" s="598"/>
      <c r="G21" s="599"/>
      <c r="H21" s="223" t="s">
        <v>300</v>
      </c>
      <c r="I21" s="181"/>
      <c r="J21" s="192">
        <v>1.1499999999999999</v>
      </c>
      <c r="K21" s="189"/>
      <c r="L21" s="163"/>
      <c r="M21" s="163"/>
      <c r="N21" s="163"/>
      <c r="O21" s="163"/>
      <c r="P21" s="163"/>
      <c r="Q21" s="164" t="s">
        <v>301</v>
      </c>
      <c r="R21" s="166"/>
      <c r="S21" s="163"/>
      <c r="T21" s="163"/>
      <c r="U21" s="163"/>
      <c r="V21" s="163"/>
      <c r="W21" s="163"/>
      <c r="X21" s="163"/>
      <c r="Y21" s="163"/>
      <c r="Z21" s="163"/>
    </row>
    <row r="22" spans="1:26" s="167" customFormat="1" ht="18.399999999999999" customHeight="1">
      <c r="A22" s="217" t="s">
        <v>302</v>
      </c>
      <c r="B22" s="224"/>
      <c r="C22" s="224"/>
      <c r="D22" s="612">
        <v>6.4999997615814209E-2</v>
      </c>
      <c r="E22" s="613"/>
      <c r="F22" s="598"/>
      <c r="G22" s="599"/>
      <c r="H22" s="219" t="s">
        <v>259</v>
      </c>
      <c r="I22" s="181"/>
      <c r="J22" s="192" t="s">
        <v>303</v>
      </c>
      <c r="K22" s="189"/>
      <c r="L22" s="163"/>
      <c r="M22" s="163"/>
      <c r="N22" s="163"/>
      <c r="O22" s="163"/>
      <c r="P22" s="163"/>
      <c r="Q22" s="175" t="s">
        <v>304</v>
      </c>
      <c r="R22" s="177"/>
      <c r="S22" s="163"/>
      <c r="T22" s="163"/>
      <c r="U22" s="163"/>
      <c r="V22" s="163"/>
      <c r="W22" s="163"/>
      <c r="X22" s="163"/>
      <c r="Y22" s="163"/>
      <c r="Z22" s="163"/>
    </row>
    <row r="23" spans="1:26" s="167" customFormat="1" ht="18.399999999999999" customHeight="1">
      <c r="A23" s="225" t="s">
        <v>305</v>
      </c>
      <c r="B23" s="226" t="s">
        <v>306</v>
      </c>
      <c r="C23" s="227"/>
      <c r="D23" s="614">
        <v>771.2</v>
      </c>
      <c r="E23" s="615"/>
      <c r="F23" s="598"/>
      <c r="G23" s="599"/>
      <c r="H23" s="228" t="s">
        <v>307</v>
      </c>
      <c r="I23" s="229"/>
      <c r="J23" s="230"/>
      <c r="K23" s="231"/>
      <c r="L23" s="163"/>
      <c r="Q23" s="175" t="s">
        <v>308</v>
      </c>
      <c r="R23" s="177"/>
      <c r="S23" s="163"/>
      <c r="T23" s="163"/>
      <c r="U23" s="163"/>
      <c r="V23" s="163"/>
      <c r="W23" s="163"/>
      <c r="X23" s="163"/>
      <c r="Y23" s="163"/>
      <c r="Z23" s="163"/>
    </row>
    <row r="24" spans="1:26" s="167" customFormat="1" ht="18.399999999999999" customHeight="1" thickBot="1">
      <c r="A24" s="232" t="s">
        <v>309</v>
      </c>
      <c r="B24" s="233" t="s">
        <v>310</v>
      </c>
      <c r="C24" s="234"/>
      <c r="D24" s="616" t="s">
        <v>174</v>
      </c>
      <c r="E24" s="617"/>
      <c r="F24" s="598"/>
      <c r="G24" s="599"/>
      <c r="H24" s="219" t="s">
        <v>311</v>
      </c>
      <c r="I24" s="202"/>
      <c r="J24" s="235"/>
      <c r="K24" s="236"/>
      <c r="Q24" s="237" t="s">
        <v>174</v>
      </c>
      <c r="R24" s="238"/>
      <c r="S24" s="163"/>
      <c r="T24" s="163"/>
      <c r="U24" s="163"/>
      <c r="V24" s="163"/>
      <c r="W24" s="163"/>
      <c r="X24" s="163"/>
      <c r="Y24" s="163"/>
      <c r="Z24" s="163"/>
    </row>
    <row r="25" spans="1:26" s="167" customFormat="1" ht="18.399999999999999" customHeight="1">
      <c r="A25" s="561" t="s">
        <v>312</v>
      </c>
      <c r="B25" s="562"/>
      <c r="C25" s="562"/>
      <c r="D25" s="241"/>
      <c r="E25" s="241" t="s">
        <v>313</v>
      </c>
      <c r="F25" s="598"/>
      <c r="G25" s="599"/>
      <c r="H25" s="219" t="s">
        <v>314</v>
      </c>
      <c r="I25" s="202"/>
      <c r="J25" s="242">
        <v>91</v>
      </c>
      <c r="K25" s="236"/>
      <c r="R25" s="163"/>
      <c r="S25" s="163"/>
      <c r="T25" s="163"/>
      <c r="U25" s="163"/>
      <c r="V25" s="163"/>
      <c r="W25" s="163"/>
      <c r="X25" s="163"/>
      <c r="Y25" s="163"/>
      <c r="Z25" s="163"/>
    </row>
    <row r="26" spans="1:26" s="167" customFormat="1" ht="18.399999999999999" customHeight="1">
      <c r="A26" s="243" t="s">
        <v>315</v>
      </c>
      <c r="B26" s="244"/>
      <c r="C26" s="245"/>
      <c r="D26" s="246" t="s">
        <v>369</v>
      </c>
      <c r="E26" s="246" t="s">
        <v>370</v>
      </c>
      <c r="F26" s="600"/>
      <c r="G26" s="601"/>
      <c r="H26" s="618"/>
      <c r="I26" s="619"/>
      <c r="J26" s="247"/>
      <c r="K26" s="248"/>
      <c r="R26" s="163"/>
      <c r="S26" s="163"/>
      <c r="T26" s="163"/>
      <c r="U26" s="163"/>
      <c r="V26" s="163"/>
      <c r="W26" s="163"/>
      <c r="X26" s="163"/>
      <c r="Y26" s="163"/>
      <c r="Z26" s="163"/>
    </row>
    <row r="27" spans="1:26" s="167" customFormat="1" ht="18.399999999999999" customHeight="1">
      <c r="A27" s="565" t="s">
        <v>316</v>
      </c>
      <c r="B27" s="566"/>
      <c r="C27" s="566"/>
      <c r="D27" s="566"/>
      <c r="E27" s="566"/>
      <c r="F27" s="567" t="s">
        <v>317</v>
      </c>
      <c r="G27" s="568"/>
      <c r="H27" s="568"/>
      <c r="I27" s="568"/>
      <c r="J27" s="568"/>
      <c r="K27" s="569"/>
      <c r="R27" s="163"/>
      <c r="S27" s="163"/>
      <c r="T27" s="163"/>
      <c r="U27" s="163"/>
      <c r="V27" s="163"/>
      <c r="W27" s="163"/>
      <c r="X27" s="163"/>
      <c r="Y27" s="163"/>
      <c r="Z27" s="163"/>
    </row>
    <row r="28" spans="1:26" s="167" customFormat="1" ht="18.399999999999999" customHeight="1">
      <c r="A28" s="572"/>
      <c r="B28" s="573"/>
      <c r="C28" s="573"/>
      <c r="D28" s="573"/>
      <c r="E28" s="574"/>
      <c r="F28" s="249"/>
      <c r="G28" s="250"/>
      <c r="H28" s="209" t="s">
        <v>318</v>
      </c>
      <c r="I28" s="251" t="s">
        <v>368</v>
      </c>
      <c r="J28" s="188" t="s">
        <v>760</v>
      </c>
      <c r="K28" s="252" t="s">
        <v>174</v>
      </c>
      <c r="M28" s="167" t="e">
        <f>(J28/J18)*100</f>
        <v>#VALUE!</v>
      </c>
      <c r="N28" s="253"/>
      <c r="R28" s="163"/>
      <c r="S28" s="163"/>
      <c r="T28" s="163"/>
      <c r="U28" s="163"/>
      <c r="V28" s="163"/>
      <c r="W28" s="163"/>
      <c r="X28" s="163"/>
      <c r="Y28" s="163"/>
      <c r="Z28" s="163"/>
    </row>
    <row r="29" spans="1:26" s="167" customFormat="1" ht="18.399999999999999" customHeight="1">
      <c r="A29" s="572"/>
      <c r="B29" s="573"/>
      <c r="C29" s="573"/>
      <c r="D29" s="573"/>
      <c r="E29" s="574"/>
      <c r="F29" s="254"/>
      <c r="G29" s="255"/>
      <c r="H29" s="209" t="s">
        <v>319</v>
      </c>
      <c r="I29" s="256">
        <v>60</v>
      </c>
      <c r="J29" s="188">
        <v>97</v>
      </c>
      <c r="K29" s="183" t="s">
        <v>174</v>
      </c>
      <c r="Q29" s="163"/>
      <c r="R29" s="163"/>
      <c r="S29" s="163"/>
      <c r="T29" s="163"/>
      <c r="U29" s="163"/>
      <c r="V29" s="163"/>
      <c r="W29" s="163"/>
      <c r="X29" s="163"/>
      <c r="Y29" s="163"/>
      <c r="Z29" s="163"/>
    </row>
    <row r="30" spans="1:26" s="167" customFormat="1" ht="18.399999999999999" customHeight="1">
      <c r="A30" s="572"/>
      <c r="B30" s="573"/>
      <c r="C30" s="573"/>
      <c r="D30" s="573"/>
      <c r="E30" s="574"/>
      <c r="F30" s="254"/>
      <c r="G30" s="255"/>
      <c r="H30" s="209" t="s">
        <v>320</v>
      </c>
      <c r="I30" s="256">
        <v>175</v>
      </c>
      <c r="J30" s="188">
        <v>256</v>
      </c>
      <c r="K30" s="183" t="s">
        <v>174</v>
      </c>
      <c r="L30" s="163"/>
      <c r="R30" s="163"/>
      <c r="S30" s="163"/>
      <c r="T30" s="163"/>
      <c r="U30" s="163"/>
      <c r="V30" s="163"/>
      <c r="W30" s="163"/>
      <c r="X30" s="163"/>
      <c r="Y30" s="163"/>
      <c r="Z30" s="163"/>
    </row>
    <row r="31" spans="1:26" s="167" customFormat="1" ht="18.399999999999999" customHeight="1">
      <c r="A31" s="572"/>
      <c r="B31" s="573"/>
      <c r="C31" s="573"/>
      <c r="D31" s="573"/>
      <c r="E31" s="574"/>
      <c r="F31" s="254"/>
      <c r="G31" s="255"/>
      <c r="H31" s="209" t="s">
        <v>321</v>
      </c>
      <c r="I31" s="210"/>
      <c r="J31" s="257">
        <v>0.52</v>
      </c>
      <c r="K31" s="183" t="s">
        <v>174</v>
      </c>
      <c r="L31" s="163"/>
      <c r="R31" s="163"/>
      <c r="S31" s="163"/>
      <c r="T31" s="163"/>
      <c r="U31" s="163"/>
      <c r="V31" s="163"/>
      <c r="W31" s="163"/>
      <c r="X31" s="163"/>
      <c r="Y31" s="163"/>
      <c r="Z31" s="163"/>
    </row>
    <row r="32" spans="1:26" s="167" customFormat="1" ht="18.399999999999999" customHeight="1">
      <c r="A32" s="575"/>
      <c r="B32" s="576"/>
      <c r="C32" s="576"/>
      <c r="D32" s="576"/>
      <c r="E32" s="577"/>
      <c r="F32" s="254"/>
      <c r="G32" s="258" t="s">
        <v>322</v>
      </c>
      <c r="H32" s="209" t="s">
        <v>323</v>
      </c>
      <c r="I32" s="259"/>
      <c r="J32" s="182">
        <v>94.6</v>
      </c>
      <c r="K32" s="183" t="s">
        <v>174</v>
      </c>
      <c r="L32" s="163"/>
      <c r="N32" s="260"/>
      <c r="R32" s="163"/>
      <c r="S32" s="163"/>
      <c r="T32" s="163"/>
      <c r="U32" s="163"/>
      <c r="V32" s="163"/>
      <c r="W32" s="163"/>
      <c r="X32" s="163"/>
      <c r="Y32" s="163"/>
      <c r="Z32" s="163"/>
    </row>
    <row r="33" spans="1:26" s="167" customFormat="1" ht="18.399999999999999" customHeight="1">
      <c r="A33" s="565" t="s">
        <v>324</v>
      </c>
      <c r="B33" s="566"/>
      <c r="C33" s="566"/>
      <c r="D33" s="566"/>
      <c r="E33" s="578"/>
      <c r="F33" s="261"/>
      <c r="G33" s="262"/>
      <c r="H33" s="263" t="s">
        <v>325</v>
      </c>
      <c r="I33" s="264"/>
      <c r="J33" s="265">
        <v>91.4</v>
      </c>
      <c r="K33" s="252" t="s">
        <v>174</v>
      </c>
      <c r="L33" s="163"/>
      <c r="R33" s="163"/>
      <c r="S33" s="163"/>
      <c r="T33" s="163"/>
      <c r="U33" s="163"/>
      <c r="V33" s="163"/>
      <c r="W33" s="163"/>
      <c r="X33" s="163"/>
      <c r="Y33" s="163"/>
      <c r="Z33" s="163"/>
    </row>
    <row r="34" spans="1:26" s="167" customFormat="1" ht="18.399999999999999" customHeight="1">
      <c r="A34" s="572"/>
      <c r="B34" s="573"/>
      <c r="C34" s="573"/>
      <c r="D34" s="573"/>
      <c r="E34" s="574"/>
      <c r="F34" s="184" t="s">
        <v>326</v>
      </c>
      <c r="G34" s="266"/>
      <c r="H34" s="267" t="s">
        <v>14</v>
      </c>
      <c r="I34" s="268"/>
      <c r="J34" s="269">
        <v>8558</v>
      </c>
      <c r="K34" s="252" t="s">
        <v>174</v>
      </c>
      <c r="L34" s="270"/>
      <c r="M34" s="271"/>
      <c r="R34" s="163"/>
      <c r="S34" s="163"/>
      <c r="T34" s="163"/>
      <c r="U34" s="163"/>
      <c r="V34" s="163"/>
      <c r="W34" s="163"/>
      <c r="X34" s="163"/>
      <c r="Y34" s="163"/>
      <c r="Z34" s="163"/>
    </row>
    <row r="35" spans="1:26" s="167" customFormat="1" ht="18.399999999999999" customHeight="1">
      <c r="A35" s="572"/>
      <c r="B35" s="573"/>
      <c r="C35" s="573"/>
      <c r="D35" s="573"/>
      <c r="E35" s="574"/>
      <c r="F35" s="203"/>
      <c r="G35" s="272"/>
      <c r="H35" s="273" t="s">
        <v>15</v>
      </c>
      <c r="I35" s="563"/>
      <c r="J35" s="188">
        <v>5723</v>
      </c>
      <c r="K35" s="252" t="s">
        <v>174</v>
      </c>
      <c r="M35" s="271"/>
      <c r="R35" s="163"/>
      <c r="S35" s="163"/>
      <c r="T35" s="163"/>
      <c r="U35" s="163"/>
      <c r="V35" s="163"/>
      <c r="W35" s="163"/>
      <c r="X35" s="163"/>
      <c r="Y35" s="163"/>
      <c r="Z35" s="163"/>
    </row>
    <row r="36" spans="1:26" s="167" customFormat="1" ht="18.399999999999999" customHeight="1">
      <c r="A36" s="572"/>
      <c r="B36" s="573"/>
      <c r="C36" s="573"/>
      <c r="D36" s="573"/>
      <c r="E36" s="574"/>
      <c r="F36" s="203"/>
      <c r="G36" s="272"/>
      <c r="H36" s="273" t="s">
        <v>327</v>
      </c>
      <c r="I36" s="563"/>
      <c r="J36" s="188">
        <v>7716</v>
      </c>
      <c r="K36" s="252" t="s">
        <v>174</v>
      </c>
      <c r="Q36" s="163"/>
      <c r="R36" s="163"/>
      <c r="S36" s="163"/>
      <c r="T36" s="163"/>
      <c r="U36" s="163"/>
      <c r="V36" s="163"/>
      <c r="W36" s="163"/>
      <c r="X36" s="163"/>
      <c r="Y36" s="163"/>
      <c r="Z36" s="163"/>
    </row>
    <row r="37" spans="1:26" s="167" customFormat="1" ht="18.399999999999999" customHeight="1">
      <c r="A37" s="572"/>
      <c r="B37" s="573"/>
      <c r="C37" s="573"/>
      <c r="D37" s="573"/>
      <c r="E37" s="574"/>
      <c r="F37" s="254"/>
      <c r="G37" s="272"/>
      <c r="H37" s="273" t="s">
        <v>328</v>
      </c>
      <c r="I37" s="563"/>
      <c r="J37" s="188">
        <v>29347</v>
      </c>
      <c r="K37" s="275" t="s">
        <v>174</v>
      </c>
      <c r="M37" s="276"/>
      <c r="R37" s="163"/>
      <c r="S37" s="163"/>
      <c r="T37" s="163"/>
      <c r="U37" s="163"/>
      <c r="V37" s="163"/>
      <c r="W37" s="163"/>
      <c r="X37" s="163"/>
      <c r="Y37" s="163"/>
      <c r="Z37" s="163"/>
    </row>
    <row r="38" spans="1:26" s="167" customFormat="1" ht="18.399999999999999" customHeight="1">
      <c r="A38" s="575"/>
      <c r="B38" s="576"/>
      <c r="C38" s="576"/>
      <c r="D38" s="576"/>
      <c r="E38" s="577"/>
      <c r="F38" s="211"/>
      <c r="G38" s="277"/>
      <c r="H38" s="278" t="s">
        <v>329</v>
      </c>
      <c r="I38" s="279"/>
      <c r="J38" s="280">
        <v>13140</v>
      </c>
      <c r="K38" s="252" t="s">
        <v>174</v>
      </c>
      <c r="R38" s="163"/>
      <c r="S38" s="163"/>
      <c r="T38" s="163"/>
      <c r="U38" s="163"/>
      <c r="V38" s="163"/>
      <c r="W38" s="163"/>
      <c r="X38" s="163"/>
      <c r="Y38" s="163"/>
      <c r="Z38" s="163"/>
    </row>
    <row r="39" spans="1:26" s="167" customFormat="1" ht="18.399999999999999" customHeight="1">
      <c r="A39" s="565" t="s">
        <v>330</v>
      </c>
      <c r="B39" s="566"/>
      <c r="C39" s="566"/>
      <c r="D39" s="566"/>
      <c r="E39" s="566"/>
      <c r="F39" s="281" t="s">
        <v>331</v>
      </c>
      <c r="G39" s="282"/>
      <c r="H39" s="282"/>
      <c r="I39" s="282"/>
      <c r="J39" s="282"/>
      <c r="K39" s="283"/>
      <c r="R39" s="163"/>
      <c r="S39" s="163"/>
      <c r="T39" s="163"/>
      <c r="U39" s="163"/>
      <c r="V39" s="163"/>
      <c r="W39" s="163"/>
      <c r="X39" s="163"/>
      <c r="Y39" s="163"/>
      <c r="Z39" s="163"/>
    </row>
    <row r="40" spans="1:26" s="167" customFormat="1" ht="18.399999999999999" customHeight="1">
      <c r="A40" s="572"/>
      <c r="B40" s="573"/>
      <c r="C40" s="573"/>
      <c r="D40" s="573"/>
      <c r="E40" s="574"/>
      <c r="F40" s="284"/>
      <c r="G40" s="285"/>
      <c r="H40" s="285"/>
      <c r="I40" s="285"/>
      <c r="J40" s="285"/>
      <c r="K40" s="286"/>
      <c r="R40" s="163"/>
      <c r="S40" s="163"/>
      <c r="T40" s="163"/>
      <c r="U40" s="163"/>
      <c r="V40" s="163"/>
      <c r="W40" s="163"/>
      <c r="X40" s="163"/>
      <c r="Y40" s="163"/>
      <c r="Z40" s="163"/>
    </row>
    <row r="41" spans="1:26" s="167" customFormat="1" ht="18.399999999999999" customHeight="1">
      <c r="A41" s="572"/>
      <c r="B41" s="573"/>
      <c r="C41" s="573"/>
      <c r="D41" s="573"/>
      <c r="E41" s="574"/>
      <c r="F41" s="284"/>
      <c r="G41" s="287"/>
      <c r="H41" s="287"/>
      <c r="I41" s="287"/>
      <c r="J41" s="287"/>
      <c r="K41" s="288"/>
      <c r="L41" s="289"/>
      <c r="R41" s="163"/>
      <c r="S41" s="163"/>
      <c r="T41" s="163"/>
      <c r="U41" s="163"/>
      <c r="V41" s="163"/>
      <c r="W41" s="163"/>
      <c r="X41" s="163"/>
      <c r="Y41" s="163"/>
      <c r="Z41" s="163"/>
    </row>
    <row r="42" spans="1:26" s="167" customFormat="1" ht="18.399999999999999" customHeight="1">
      <c r="A42" s="572"/>
      <c r="B42" s="573"/>
      <c r="C42" s="573"/>
      <c r="D42" s="573"/>
      <c r="E42" s="574"/>
      <c r="F42" s="284"/>
      <c r="G42" s="287"/>
      <c r="H42" s="287"/>
      <c r="I42" s="287"/>
      <c r="J42" s="287"/>
      <c r="K42" s="288"/>
      <c r="L42" s="163"/>
      <c r="M42" s="163"/>
      <c r="N42" s="163"/>
      <c r="O42" s="163"/>
      <c r="P42" s="163"/>
      <c r="Q42" s="163"/>
      <c r="R42" s="163"/>
      <c r="S42" s="163"/>
      <c r="T42" s="163"/>
      <c r="U42" s="163"/>
      <c r="V42" s="163"/>
      <c r="W42" s="163"/>
      <c r="X42" s="163"/>
      <c r="Y42" s="163"/>
      <c r="Z42" s="163"/>
    </row>
    <row r="43" spans="1:26" s="167" customFormat="1" ht="18.399999999999999" customHeight="1">
      <c r="A43" s="572"/>
      <c r="B43" s="573"/>
      <c r="C43" s="573"/>
      <c r="D43" s="573"/>
      <c r="E43" s="574"/>
      <c r="F43" s="284"/>
      <c r="G43" s="287"/>
      <c r="H43" s="287"/>
      <c r="I43" s="287"/>
      <c r="J43" s="287"/>
      <c r="K43" s="288"/>
      <c r="L43" s="163"/>
      <c r="M43" s="163"/>
      <c r="N43" s="163"/>
      <c r="O43" s="163"/>
      <c r="P43" s="163"/>
      <c r="Q43" s="163"/>
      <c r="R43" s="163"/>
      <c r="S43" s="163"/>
      <c r="T43" s="163"/>
      <c r="U43" s="163"/>
      <c r="V43" s="163"/>
      <c r="W43" s="163"/>
      <c r="X43" s="163"/>
      <c r="Y43" s="163"/>
      <c r="Z43" s="163"/>
    </row>
    <row r="44" spans="1:26" s="167" customFormat="1" ht="17.100000000000001" customHeight="1" thickBot="1">
      <c r="A44" s="579"/>
      <c r="B44" s="580"/>
      <c r="C44" s="580"/>
      <c r="D44" s="580"/>
      <c r="E44" s="581"/>
      <c r="F44" s="284"/>
      <c r="G44" s="287"/>
      <c r="H44" s="287"/>
      <c r="I44" s="287"/>
      <c r="J44" s="287"/>
      <c r="K44" s="288"/>
      <c r="L44" s="163"/>
      <c r="M44" s="163"/>
      <c r="N44" s="163"/>
      <c r="O44" s="163"/>
      <c r="P44" s="163"/>
      <c r="Q44" s="163"/>
      <c r="R44" s="163"/>
      <c r="S44" s="163"/>
      <c r="T44" s="163"/>
      <c r="U44" s="163"/>
      <c r="V44" s="163"/>
      <c r="W44" s="163"/>
      <c r="X44" s="163"/>
      <c r="Y44" s="163"/>
      <c r="Z44" s="163"/>
    </row>
    <row r="45" spans="1:26" s="167" customFormat="1" ht="17.100000000000001" customHeight="1">
      <c r="A45" s="290" t="s">
        <v>332</v>
      </c>
      <c r="B45" s="582"/>
      <c r="C45" s="583"/>
      <c r="D45" s="291" t="s">
        <v>333</v>
      </c>
      <c r="E45" s="292" t="s">
        <v>761</v>
      </c>
      <c r="F45" s="293"/>
      <c r="G45" s="287"/>
      <c r="H45" s="287"/>
      <c r="I45" s="287"/>
      <c r="J45" s="287"/>
      <c r="K45" s="288"/>
      <c r="L45" s="163"/>
      <c r="M45" s="163"/>
      <c r="N45" s="163"/>
      <c r="O45" s="163"/>
      <c r="P45" s="163"/>
      <c r="Q45" s="163"/>
      <c r="R45" s="163"/>
      <c r="S45" s="163"/>
      <c r="T45" s="163"/>
      <c r="U45" s="163"/>
      <c r="V45" s="163"/>
      <c r="W45" s="163"/>
      <c r="X45" s="163"/>
      <c r="Y45" s="163"/>
      <c r="Z45" s="163"/>
    </row>
    <row r="46" spans="1:26" s="167" customFormat="1" ht="17.100000000000001" customHeight="1" thickBot="1">
      <c r="A46" s="294" t="s">
        <v>335</v>
      </c>
      <c r="B46" s="570"/>
      <c r="C46" s="571"/>
      <c r="D46" s="295" t="s">
        <v>335</v>
      </c>
      <c r="E46" s="296">
        <v>44897</v>
      </c>
      <c r="F46" s="297"/>
      <c r="G46" s="298"/>
      <c r="H46" s="298"/>
      <c r="I46" s="298"/>
      <c r="J46" s="298"/>
      <c r="K46" s="299"/>
      <c r="L46" s="163"/>
      <c r="M46" s="163"/>
      <c r="N46" s="163"/>
      <c r="O46" s="163"/>
      <c r="P46" s="163"/>
      <c r="Q46" s="163"/>
      <c r="R46" s="163"/>
      <c r="S46" s="163"/>
      <c r="T46" s="163"/>
      <c r="U46" s="163"/>
      <c r="V46" s="163"/>
      <c r="W46" s="163"/>
      <c r="X46" s="163"/>
      <c r="Y46" s="163"/>
      <c r="Z46" s="163"/>
    </row>
    <row r="47" spans="1:26" s="167" customFormat="1" ht="17.100000000000001" customHeight="1">
      <c r="F47" s="300"/>
      <c r="G47" s="163"/>
      <c r="H47" s="163"/>
      <c r="I47" s="163"/>
      <c r="J47" s="163"/>
      <c r="K47" s="163"/>
      <c r="L47" s="163"/>
      <c r="M47" s="163"/>
      <c r="N47" s="163"/>
      <c r="O47" s="163"/>
      <c r="P47" s="163"/>
      <c r="Q47" s="163"/>
      <c r="R47" s="163"/>
      <c r="S47" s="163"/>
      <c r="T47" s="163"/>
      <c r="U47" s="163"/>
    </row>
    <row r="48" spans="1:26" s="167" customFormat="1" ht="17.100000000000001" customHeight="1">
      <c r="F48" s="163"/>
      <c r="G48" s="163"/>
      <c r="H48" s="163"/>
      <c r="I48" s="163"/>
      <c r="J48" s="163"/>
      <c r="K48" s="163"/>
    </row>
    <row r="49" spans="2:26" ht="17.100000000000001" customHeight="1">
      <c r="F49" s="153"/>
      <c r="G49" s="153"/>
      <c r="H49" s="153"/>
      <c r="I49" s="153"/>
      <c r="J49" s="153"/>
      <c r="K49" s="153"/>
      <c r="L49" s="154"/>
      <c r="M49" s="154"/>
      <c r="N49" s="154"/>
      <c r="O49" s="154"/>
      <c r="P49" s="154"/>
      <c r="Q49" s="154"/>
      <c r="R49" s="154"/>
      <c r="S49" s="154"/>
      <c r="T49" s="154"/>
      <c r="U49" s="154"/>
      <c r="V49" s="154"/>
      <c r="W49" s="154"/>
      <c r="X49" s="154"/>
      <c r="Y49" s="154"/>
      <c r="Z49" s="154"/>
    </row>
    <row r="50" spans="2:26">
      <c r="F50" s="153"/>
      <c r="G50" s="153"/>
      <c r="H50" s="153"/>
      <c r="I50" s="153"/>
      <c r="J50" s="153"/>
      <c r="K50" s="153"/>
      <c r="L50" s="154"/>
      <c r="M50" s="154"/>
      <c r="N50" s="154"/>
      <c r="O50" s="154"/>
      <c r="P50" s="154"/>
      <c r="Q50" s="154"/>
      <c r="R50" s="154"/>
      <c r="S50" s="154"/>
      <c r="T50" s="154"/>
      <c r="U50" s="154"/>
      <c r="V50" s="154"/>
      <c r="W50" s="154"/>
      <c r="X50" s="154"/>
      <c r="Y50" s="154"/>
      <c r="Z50" s="154"/>
    </row>
    <row r="51" spans="2:26">
      <c r="F51" s="153"/>
      <c r="G51" s="153"/>
      <c r="H51" s="153"/>
      <c r="I51" s="153"/>
      <c r="J51" s="153"/>
      <c r="K51" s="153"/>
      <c r="L51" s="154"/>
      <c r="M51" s="154"/>
      <c r="N51" s="154"/>
      <c r="O51" s="154"/>
      <c r="P51" s="154"/>
      <c r="Q51" s="154"/>
      <c r="R51" s="154"/>
      <c r="S51" s="154"/>
      <c r="T51" s="154"/>
      <c r="U51" s="154"/>
      <c r="V51" s="154"/>
      <c r="W51" s="154"/>
      <c r="X51" s="154"/>
      <c r="Y51" s="154"/>
      <c r="Z51" s="154"/>
    </row>
    <row r="52" spans="2:26">
      <c r="B52" s="153"/>
      <c r="C52" s="153"/>
      <c r="D52" s="153"/>
      <c r="E52" s="153"/>
      <c r="F52" s="153"/>
      <c r="G52" s="153"/>
      <c r="H52" s="153"/>
      <c r="I52" s="153"/>
      <c r="J52" s="153"/>
      <c r="K52" s="153"/>
      <c r="Q52" s="154"/>
      <c r="R52" s="154"/>
      <c r="S52" s="154"/>
      <c r="T52" s="154"/>
      <c r="U52" s="154"/>
      <c r="V52" s="154"/>
      <c r="W52" s="154"/>
      <c r="X52" s="154"/>
      <c r="Y52" s="154"/>
      <c r="Z52" s="154"/>
    </row>
    <row r="53" spans="2:26">
      <c r="F53" s="153"/>
      <c r="G53" s="153"/>
      <c r="H53" s="153"/>
      <c r="I53" s="153"/>
      <c r="J53" s="153"/>
      <c r="K53" s="153"/>
      <c r="Q53" s="154"/>
      <c r="R53" s="154"/>
      <c r="S53" s="154"/>
      <c r="T53" s="154"/>
      <c r="U53" s="154"/>
      <c r="V53" s="154"/>
      <c r="W53" s="154"/>
      <c r="X53" s="154"/>
      <c r="Y53" s="154"/>
      <c r="Z53" s="154"/>
    </row>
  </sheetData>
  <mergeCells count="49">
    <mergeCell ref="A1:K1"/>
    <mergeCell ref="A2:K2"/>
    <mergeCell ref="J3:K3"/>
    <mergeCell ref="A5:C5"/>
    <mergeCell ref="A6:C6"/>
    <mergeCell ref="D6:E6"/>
    <mergeCell ref="F6:K6"/>
    <mergeCell ref="F12:K12"/>
    <mergeCell ref="A7:C7"/>
    <mergeCell ref="D7:E7"/>
    <mergeCell ref="A8:C8"/>
    <mergeCell ref="D8:E8"/>
    <mergeCell ref="A9:C9"/>
    <mergeCell ref="D9:E9"/>
    <mergeCell ref="A10:C10"/>
    <mergeCell ref="D10:E10"/>
    <mergeCell ref="A11:C11"/>
    <mergeCell ref="D11:E11"/>
    <mergeCell ref="D12:E12"/>
    <mergeCell ref="A13:C13"/>
    <mergeCell ref="D13:E13"/>
    <mergeCell ref="A14:C14"/>
    <mergeCell ref="D14:E14"/>
    <mergeCell ref="A15:C15"/>
    <mergeCell ref="D15:E15"/>
    <mergeCell ref="A27:E27"/>
    <mergeCell ref="F27:K27"/>
    <mergeCell ref="A16:C16"/>
    <mergeCell ref="D16:E16"/>
    <mergeCell ref="D17:E17"/>
    <mergeCell ref="F17:K17"/>
    <mergeCell ref="D18:E18"/>
    <mergeCell ref="F18:G26"/>
    <mergeCell ref="A19:C19"/>
    <mergeCell ref="D19:E19"/>
    <mergeCell ref="D20:E20"/>
    <mergeCell ref="A21:C21"/>
    <mergeCell ref="D21:E21"/>
    <mergeCell ref="D22:E22"/>
    <mergeCell ref="D23:E23"/>
    <mergeCell ref="D24:E24"/>
    <mergeCell ref="H26:I26"/>
    <mergeCell ref="B46:C46"/>
    <mergeCell ref="A28:E32"/>
    <mergeCell ref="A33:E33"/>
    <mergeCell ref="A34:E38"/>
    <mergeCell ref="A39:E39"/>
    <mergeCell ref="A40:E44"/>
    <mergeCell ref="B45:C45"/>
  </mergeCells>
  <dataValidations count="3">
    <dataValidation type="list" allowBlank="1" showInputMessage="1" errorTitle="Hold on!" error="Enter a valid motor type!" prompt="Motor Type  Select one from the list or input name" sqref="K4 JG4 TC4 ACY4 AMU4 AWQ4 BGM4 BQI4 CAE4 CKA4 CTW4 DDS4 DNO4 DXK4 EHG4 ERC4 FAY4 FKU4 FUQ4 GEM4 GOI4 GYE4 HIA4 HRW4 IBS4 ILO4 IVK4 JFG4 JPC4 JYY4 KIU4 KSQ4 LCM4 LMI4 LWE4 MGA4 MPW4 MZS4 NJO4 NTK4 ODG4 ONC4 OWY4 PGU4 PQQ4 QAM4 QKI4 QUE4 REA4 RNW4 RXS4 SHO4 SRK4 TBG4 TLC4 TUY4 UEU4 UOQ4 UYM4 VII4 VSE4 WCA4 WLW4 WVS4 K65540 JG65540 TC65540 ACY65540 AMU65540 AWQ65540 BGM65540 BQI65540 CAE65540 CKA65540 CTW65540 DDS65540 DNO65540 DXK65540 EHG65540 ERC65540 FAY65540 FKU65540 FUQ65540 GEM65540 GOI65540 GYE65540 HIA65540 HRW65540 IBS65540 ILO65540 IVK65540 JFG65540 JPC65540 JYY65540 KIU65540 KSQ65540 LCM65540 LMI65540 LWE65540 MGA65540 MPW65540 MZS65540 NJO65540 NTK65540 ODG65540 ONC65540 OWY65540 PGU65540 PQQ65540 QAM65540 QKI65540 QUE65540 REA65540 RNW65540 RXS65540 SHO65540 SRK65540 TBG65540 TLC65540 TUY65540 UEU65540 UOQ65540 UYM65540 VII65540 VSE65540 WCA65540 WLW65540 WVS65540 K131076 JG131076 TC131076 ACY131076 AMU131076 AWQ131076 BGM131076 BQI131076 CAE131076 CKA131076 CTW131076 DDS131076 DNO131076 DXK131076 EHG131076 ERC131076 FAY131076 FKU131076 FUQ131076 GEM131076 GOI131076 GYE131076 HIA131076 HRW131076 IBS131076 ILO131076 IVK131076 JFG131076 JPC131076 JYY131076 KIU131076 KSQ131076 LCM131076 LMI131076 LWE131076 MGA131076 MPW131076 MZS131076 NJO131076 NTK131076 ODG131076 ONC131076 OWY131076 PGU131076 PQQ131076 QAM131076 QKI131076 QUE131076 REA131076 RNW131076 RXS131076 SHO131076 SRK131076 TBG131076 TLC131076 TUY131076 UEU131076 UOQ131076 UYM131076 VII131076 VSE131076 WCA131076 WLW131076 WVS131076 K196612 JG196612 TC196612 ACY196612 AMU196612 AWQ196612 BGM196612 BQI196612 CAE196612 CKA196612 CTW196612 DDS196612 DNO196612 DXK196612 EHG196612 ERC196612 FAY196612 FKU196612 FUQ196612 GEM196612 GOI196612 GYE196612 HIA196612 HRW196612 IBS196612 ILO196612 IVK196612 JFG196612 JPC196612 JYY196612 KIU196612 KSQ196612 LCM196612 LMI196612 LWE196612 MGA196612 MPW196612 MZS196612 NJO196612 NTK196612 ODG196612 ONC196612 OWY196612 PGU196612 PQQ196612 QAM196612 QKI196612 QUE196612 REA196612 RNW196612 RXS196612 SHO196612 SRK196612 TBG196612 TLC196612 TUY196612 UEU196612 UOQ196612 UYM196612 VII196612 VSE196612 WCA196612 WLW196612 WVS196612 K262148 JG262148 TC262148 ACY262148 AMU262148 AWQ262148 BGM262148 BQI262148 CAE262148 CKA262148 CTW262148 DDS262148 DNO262148 DXK262148 EHG262148 ERC262148 FAY262148 FKU262148 FUQ262148 GEM262148 GOI262148 GYE262148 HIA262148 HRW262148 IBS262148 ILO262148 IVK262148 JFG262148 JPC262148 JYY262148 KIU262148 KSQ262148 LCM262148 LMI262148 LWE262148 MGA262148 MPW262148 MZS262148 NJO262148 NTK262148 ODG262148 ONC262148 OWY262148 PGU262148 PQQ262148 QAM262148 QKI262148 QUE262148 REA262148 RNW262148 RXS262148 SHO262148 SRK262148 TBG262148 TLC262148 TUY262148 UEU262148 UOQ262148 UYM262148 VII262148 VSE262148 WCA262148 WLW262148 WVS262148 K327684 JG327684 TC327684 ACY327684 AMU327684 AWQ327684 BGM327684 BQI327684 CAE327684 CKA327684 CTW327684 DDS327684 DNO327684 DXK327684 EHG327684 ERC327684 FAY327684 FKU327684 FUQ327684 GEM327684 GOI327684 GYE327684 HIA327684 HRW327684 IBS327684 ILO327684 IVK327684 JFG327684 JPC327684 JYY327684 KIU327684 KSQ327684 LCM327684 LMI327684 LWE327684 MGA327684 MPW327684 MZS327684 NJO327684 NTK327684 ODG327684 ONC327684 OWY327684 PGU327684 PQQ327684 QAM327684 QKI327684 QUE327684 REA327684 RNW327684 RXS327684 SHO327684 SRK327684 TBG327684 TLC327684 TUY327684 UEU327684 UOQ327684 UYM327684 VII327684 VSE327684 WCA327684 WLW327684 WVS327684 K393220 JG393220 TC393220 ACY393220 AMU393220 AWQ393220 BGM393220 BQI393220 CAE393220 CKA393220 CTW393220 DDS393220 DNO393220 DXK393220 EHG393220 ERC393220 FAY393220 FKU393220 FUQ393220 GEM393220 GOI393220 GYE393220 HIA393220 HRW393220 IBS393220 ILO393220 IVK393220 JFG393220 JPC393220 JYY393220 KIU393220 KSQ393220 LCM393220 LMI393220 LWE393220 MGA393220 MPW393220 MZS393220 NJO393220 NTK393220 ODG393220 ONC393220 OWY393220 PGU393220 PQQ393220 QAM393220 QKI393220 QUE393220 REA393220 RNW393220 RXS393220 SHO393220 SRK393220 TBG393220 TLC393220 TUY393220 UEU393220 UOQ393220 UYM393220 VII393220 VSE393220 WCA393220 WLW393220 WVS393220 K458756 JG458756 TC458756 ACY458756 AMU458756 AWQ458756 BGM458756 BQI458756 CAE458756 CKA458756 CTW458756 DDS458756 DNO458756 DXK458756 EHG458756 ERC458756 FAY458756 FKU458756 FUQ458756 GEM458756 GOI458756 GYE458756 HIA458756 HRW458756 IBS458756 ILO458756 IVK458756 JFG458756 JPC458756 JYY458756 KIU458756 KSQ458756 LCM458756 LMI458756 LWE458756 MGA458756 MPW458756 MZS458756 NJO458756 NTK458756 ODG458756 ONC458756 OWY458756 PGU458756 PQQ458756 QAM458756 QKI458756 QUE458756 REA458756 RNW458756 RXS458756 SHO458756 SRK458756 TBG458756 TLC458756 TUY458756 UEU458756 UOQ458756 UYM458756 VII458756 VSE458756 WCA458756 WLW458756 WVS458756 K524292 JG524292 TC524292 ACY524292 AMU524292 AWQ524292 BGM524292 BQI524292 CAE524292 CKA524292 CTW524292 DDS524292 DNO524292 DXK524292 EHG524292 ERC524292 FAY524292 FKU524292 FUQ524292 GEM524292 GOI524292 GYE524292 HIA524292 HRW524292 IBS524292 ILO524292 IVK524292 JFG524292 JPC524292 JYY524292 KIU524292 KSQ524292 LCM524292 LMI524292 LWE524292 MGA524292 MPW524292 MZS524292 NJO524292 NTK524292 ODG524292 ONC524292 OWY524292 PGU524292 PQQ524292 QAM524292 QKI524292 QUE524292 REA524292 RNW524292 RXS524292 SHO524292 SRK524292 TBG524292 TLC524292 TUY524292 UEU524292 UOQ524292 UYM524292 VII524292 VSE524292 WCA524292 WLW524292 WVS524292 K589828 JG589828 TC589828 ACY589828 AMU589828 AWQ589828 BGM589828 BQI589828 CAE589828 CKA589828 CTW589828 DDS589828 DNO589828 DXK589828 EHG589828 ERC589828 FAY589828 FKU589828 FUQ589828 GEM589828 GOI589828 GYE589828 HIA589828 HRW589828 IBS589828 ILO589828 IVK589828 JFG589828 JPC589828 JYY589828 KIU589828 KSQ589828 LCM589828 LMI589828 LWE589828 MGA589828 MPW589828 MZS589828 NJO589828 NTK589828 ODG589828 ONC589828 OWY589828 PGU589828 PQQ589828 QAM589828 QKI589828 QUE589828 REA589828 RNW589828 RXS589828 SHO589828 SRK589828 TBG589828 TLC589828 TUY589828 UEU589828 UOQ589828 UYM589828 VII589828 VSE589828 WCA589828 WLW589828 WVS589828 K655364 JG655364 TC655364 ACY655364 AMU655364 AWQ655364 BGM655364 BQI655364 CAE655364 CKA655364 CTW655364 DDS655364 DNO655364 DXK655364 EHG655364 ERC655364 FAY655364 FKU655364 FUQ655364 GEM655364 GOI655364 GYE655364 HIA655364 HRW655364 IBS655364 ILO655364 IVK655364 JFG655364 JPC655364 JYY655364 KIU655364 KSQ655364 LCM655364 LMI655364 LWE655364 MGA655364 MPW655364 MZS655364 NJO655364 NTK655364 ODG655364 ONC655364 OWY655364 PGU655364 PQQ655364 QAM655364 QKI655364 QUE655364 REA655364 RNW655364 RXS655364 SHO655364 SRK655364 TBG655364 TLC655364 TUY655364 UEU655364 UOQ655364 UYM655364 VII655364 VSE655364 WCA655364 WLW655364 WVS655364 K720900 JG720900 TC720900 ACY720900 AMU720900 AWQ720900 BGM720900 BQI720900 CAE720900 CKA720900 CTW720900 DDS720900 DNO720900 DXK720900 EHG720900 ERC720900 FAY720900 FKU720900 FUQ720900 GEM720900 GOI720900 GYE720900 HIA720900 HRW720900 IBS720900 ILO720900 IVK720900 JFG720900 JPC720900 JYY720900 KIU720900 KSQ720900 LCM720900 LMI720900 LWE720900 MGA720900 MPW720900 MZS720900 NJO720900 NTK720900 ODG720900 ONC720900 OWY720900 PGU720900 PQQ720900 QAM720900 QKI720900 QUE720900 REA720900 RNW720900 RXS720900 SHO720900 SRK720900 TBG720900 TLC720900 TUY720900 UEU720900 UOQ720900 UYM720900 VII720900 VSE720900 WCA720900 WLW720900 WVS720900 K786436 JG786436 TC786436 ACY786436 AMU786436 AWQ786436 BGM786436 BQI786436 CAE786436 CKA786436 CTW786436 DDS786436 DNO786436 DXK786436 EHG786436 ERC786436 FAY786436 FKU786436 FUQ786436 GEM786436 GOI786436 GYE786436 HIA786436 HRW786436 IBS786436 ILO786436 IVK786436 JFG786436 JPC786436 JYY786436 KIU786436 KSQ786436 LCM786436 LMI786436 LWE786436 MGA786436 MPW786436 MZS786436 NJO786436 NTK786436 ODG786436 ONC786436 OWY786436 PGU786436 PQQ786436 QAM786436 QKI786436 QUE786436 REA786436 RNW786436 RXS786436 SHO786436 SRK786436 TBG786436 TLC786436 TUY786436 UEU786436 UOQ786436 UYM786436 VII786436 VSE786436 WCA786436 WLW786436 WVS786436 K851972 JG851972 TC851972 ACY851972 AMU851972 AWQ851972 BGM851972 BQI851972 CAE851972 CKA851972 CTW851972 DDS851972 DNO851972 DXK851972 EHG851972 ERC851972 FAY851972 FKU851972 FUQ851972 GEM851972 GOI851972 GYE851972 HIA851972 HRW851972 IBS851972 ILO851972 IVK851972 JFG851972 JPC851972 JYY851972 KIU851972 KSQ851972 LCM851972 LMI851972 LWE851972 MGA851972 MPW851972 MZS851972 NJO851972 NTK851972 ODG851972 ONC851972 OWY851972 PGU851972 PQQ851972 QAM851972 QKI851972 QUE851972 REA851972 RNW851972 RXS851972 SHO851972 SRK851972 TBG851972 TLC851972 TUY851972 UEU851972 UOQ851972 UYM851972 VII851972 VSE851972 WCA851972 WLW851972 WVS851972 K917508 JG917508 TC917508 ACY917508 AMU917508 AWQ917508 BGM917508 BQI917508 CAE917508 CKA917508 CTW917508 DDS917508 DNO917508 DXK917508 EHG917508 ERC917508 FAY917508 FKU917508 FUQ917508 GEM917508 GOI917508 GYE917508 HIA917508 HRW917508 IBS917508 ILO917508 IVK917508 JFG917508 JPC917508 JYY917508 KIU917508 KSQ917508 LCM917508 LMI917508 LWE917508 MGA917508 MPW917508 MZS917508 NJO917508 NTK917508 ODG917508 ONC917508 OWY917508 PGU917508 PQQ917508 QAM917508 QKI917508 QUE917508 REA917508 RNW917508 RXS917508 SHO917508 SRK917508 TBG917508 TLC917508 TUY917508 UEU917508 UOQ917508 UYM917508 VII917508 VSE917508 WCA917508 WLW917508 WVS917508 K983044 JG983044 TC983044 ACY983044 AMU983044 AWQ983044 BGM983044 BQI983044 CAE983044 CKA983044 CTW983044 DDS983044 DNO983044 DXK983044 EHG983044 ERC983044 FAY983044 FKU983044 FUQ983044 GEM983044 GOI983044 GYE983044 HIA983044 HRW983044 IBS983044 ILO983044 IVK983044 JFG983044 JPC983044 JYY983044 KIU983044 KSQ983044 LCM983044 LMI983044 LWE983044 MGA983044 MPW983044 MZS983044 NJO983044 NTK983044 ODG983044 ONC983044 OWY983044 PGU983044 PQQ983044 QAM983044 QKI983044 QUE983044 REA983044 RNW983044 RXS983044 SHO983044 SRK983044 TBG983044 TLC983044 TUY983044 UEU983044 UOQ983044 UYM983044 VII983044 VSE983044 WCA983044 WLW983044 WVS983044">
      <formula1>$Q$5:$Q$12</formula1>
    </dataValidation>
    <dataValidation type="list" allowBlank="1" showErrorMessage="1" error="Choose from list!" sqref="D21 IZ21 SV21 ACR21 AMN21 AWJ21 BGF21 BQB21 BZX21 CJT21 CTP21 DDL21 DNH21 DXD21 EGZ21 EQV21 FAR21 FKN21 FUJ21 GEF21 GOB21 GXX21 HHT21 HRP21 IBL21 ILH21 IVD21 JEZ21 JOV21 JYR21 KIN21 KSJ21 LCF21 LMB21 LVX21 MFT21 MPP21 MZL21 NJH21 NTD21 OCZ21 OMV21 OWR21 PGN21 PQJ21 QAF21 QKB21 QTX21 RDT21 RNP21 RXL21 SHH21 SRD21 TAZ21 TKV21 TUR21 UEN21 UOJ21 UYF21 VIB21 VRX21 WBT21 WLP21 WVL21 D65557 IZ65557 SV65557 ACR65557 AMN65557 AWJ65557 BGF65557 BQB65557 BZX65557 CJT65557 CTP65557 DDL65557 DNH65557 DXD65557 EGZ65557 EQV65557 FAR65557 FKN65557 FUJ65557 GEF65557 GOB65557 GXX65557 HHT65557 HRP65557 IBL65557 ILH65557 IVD65557 JEZ65557 JOV65557 JYR65557 KIN65557 KSJ65557 LCF65557 LMB65557 LVX65557 MFT65557 MPP65557 MZL65557 NJH65557 NTD65557 OCZ65557 OMV65557 OWR65557 PGN65557 PQJ65557 QAF65557 QKB65557 QTX65557 RDT65557 RNP65557 RXL65557 SHH65557 SRD65557 TAZ65557 TKV65557 TUR65557 UEN65557 UOJ65557 UYF65557 VIB65557 VRX65557 WBT65557 WLP65557 WVL65557 D131093 IZ131093 SV131093 ACR131093 AMN131093 AWJ131093 BGF131093 BQB131093 BZX131093 CJT131093 CTP131093 DDL131093 DNH131093 DXD131093 EGZ131093 EQV131093 FAR131093 FKN131093 FUJ131093 GEF131093 GOB131093 GXX131093 HHT131093 HRP131093 IBL131093 ILH131093 IVD131093 JEZ131093 JOV131093 JYR131093 KIN131093 KSJ131093 LCF131093 LMB131093 LVX131093 MFT131093 MPP131093 MZL131093 NJH131093 NTD131093 OCZ131093 OMV131093 OWR131093 PGN131093 PQJ131093 QAF131093 QKB131093 QTX131093 RDT131093 RNP131093 RXL131093 SHH131093 SRD131093 TAZ131093 TKV131093 TUR131093 UEN131093 UOJ131093 UYF131093 VIB131093 VRX131093 WBT131093 WLP131093 WVL131093 D196629 IZ196629 SV196629 ACR196629 AMN196629 AWJ196629 BGF196629 BQB196629 BZX196629 CJT196629 CTP196629 DDL196629 DNH196629 DXD196629 EGZ196629 EQV196629 FAR196629 FKN196629 FUJ196629 GEF196629 GOB196629 GXX196629 HHT196629 HRP196629 IBL196629 ILH196629 IVD196629 JEZ196629 JOV196629 JYR196629 KIN196629 KSJ196629 LCF196629 LMB196629 LVX196629 MFT196629 MPP196629 MZL196629 NJH196629 NTD196629 OCZ196629 OMV196629 OWR196629 PGN196629 PQJ196629 QAF196629 QKB196629 QTX196629 RDT196629 RNP196629 RXL196629 SHH196629 SRD196629 TAZ196629 TKV196629 TUR196629 UEN196629 UOJ196629 UYF196629 VIB196629 VRX196629 WBT196629 WLP196629 WVL196629 D262165 IZ262165 SV262165 ACR262165 AMN262165 AWJ262165 BGF262165 BQB262165 BZX262165 CJT262165 CTP262165 DDL262165 DNH262165 DXD262165 EGZ262165 EQV262165 FAR262165 FKN262165 FUJ262165 GEF262165 GOB262165 GXX262165 HHT262165 HRP262165 IBL262165 ILH262165 IVD262165 JEZ262165 JOV262165 JYR262165 KIN262165 KSJ262165 LCF262165 LMB262165 LVX262165 MFT262165 MPP262165 MZL262165 NJH262165 NTD262165 OCZ262165 OMV262165 OWR262165 PGN262165 PQJ262165 QAF262165 QKB262165 QTX262165 RDT262165 RNP262165 RXL262165 SHH262165 SRD262165 TAZ262165 TKV262165 TUR262165 UEN262165 UOJ262165 UYF262165 VIB262165 VRX262165 WBT262165 WLP262165 WVL262165 D327701 IZ327701 SV327701 ACR327701 AMN327701 AWJ327701 BGF327701 BQB327701 BZX327701 CJT327701 CTP327701 DDL327701 DNH327701 DXD327701 EGZ327701 EQV327701 FAR327701 FKN327701 FUJ327701 GEF327701 GOB327701 GXX327701 HHT327701 HRP327701 IBL327701 ILH327701 IVD327701 JEZ327701 JOV327701 JYR327701 KIN327701 KSJ327701 LCF327701 LMB327701 LVX327701 MFT327701 MPP327701 MZL327701 NJH327701 NTD327701 OCZ327701 OMV327701 OWR327701 PGN327701 PQJ327701 QAF327701 QKB327701 QTX327701 RDT327701 RNP327701 RXL327701 SHH327701 SRD327701 TAZ327701 TKV327701 TUR327701 UEN327701 UOJ327701 UYF327701 VIB327701 VRX327701 WBT327701 WLP327701 WVL327701 D393237 IZ393237 SV393237 ACR393237 AMN393237 AWJ393237 BGF393237 BQB393237 BZX393237 CJT393237 CTP393237 DDL393237 DNH393237 DXD393237 EGZ393237 EQV393237 FAR393237 FKN393237 FUJ393237 GEF393237 GOB393237 GXX393237 HHT393237 HRP393237 IBL393237 ILH393237 IVD393237 JEZ393237 JOV393237 JYR393237 KIN393237 KSJ393237 LCF393237 LMB393237 LVX393237 MFT393237 MPP393237 MZL393237 NJH393237 NTD393237 OCZ393237 OMV393237 OWR393237 PGN393237 PQJ393237 QAF393237 QKB393237 QTX393237 RDT393237 RNP393237 RXL393237 SHH393237 SRD393237 TAZ393237 TKV393237 TUR393237 UEN393237 UOJ393237 UYF393237 VIB393237 VRX393237 WBT393237 WLP393237 WVL393237 D458773 IZ458773 SV458773 ACR458773 AMN458773 AWJ458773 BGF458773 BQB458773 BZX458773 CJT458773 CTP458773 DDL458773 DNH458773 DXD458773 EGZ458773 EQV458773 FAR458773 FKN458773 FUJ458773 GEF458773 GOB458773 GXX458773 HHT458773 HRP458773 IBL458773 ILH458773 IVD458773 JEZ458773 JOV458773 JYR458773 KIN458773 KSJ458773 LCF458773 LMB458773 LVX458773 MFT458773 MPP458773 MZL458773 NJH458773 NTD458773 OCZ458773 OMV458773 OWR458773 PGN458773 PQJ458773 QAF458773 QKB458773 QTX458773 RDT458773 RNP458773 RXL458773 SHH458773 SRD458773 TAZ458773 TKV458773 TUR458773 UEN458773 UOJ458773 UYF458773 VIB458773 VRX458773 WBT458773 WLP458773 WVL458773 D524309 IZ524309 SV524309 ACR524309 AMN524309 AWJ524309 BGF524309 BQB524309 BZX524309 CJT524309 CTP524309 DDL524309 DNH524309 DXD524309 EGZ524309 EQV524309 FAR524309 FKN524309 FUJ524309 GEF524309 GOB524309 GXX524309 HHT524309 HRP524309 IBL524309 ILH524309 IVD524309 JEZ524309 JOV524309 JYR524309 KIN524309 KSJ524309 LCF524309 LMB524309 LVX524309 MFT524309 MPP524309 MZL524309 NJH524309 NTD524309 OCZ524309 OMV524309 OWR524309 PGN524309 PQJ524309 QAF524309 QKB524309 QTX524309 RDT524309 RNP524309 RXL524309 SHH524309 SRD524309 TAZ524309 TKV524309 TUR524309 UEN524309 UOJ524309 UYF524309 VIB524309 VRX524309 WBT524309 WLP524309 WVL524309 D589845 IZ589845 SV589845 ACR589845 AMN589845 AWJ589845 BGF589845 BQB589845 BZX589845 CJT589845 CTP589845 DDL589845 DNH589845 DXD589845 EGZ589845 EQV589845 FAR589845 FKN589845 FUJ589845 GEF589845 GOB589845 GXX589845 HHT589845 HRP589845 IBL589845 ILH589845 IVD589845 JEZ589845 JOV589845 JYR589845 KIN589845 KSJ589845 LCF589845 LMB589845 LVX589845 MFT589845 MPP589845 MZL589845 NJH589845 NTD589845 OCZ589845 OMV589845 OWR589845 PGN589845 PQJ589845 QAF589845 QKB589845 QTX589845 RDT589845 RNP589845 RXL589845 SHH589845 SRD589845 TAZ589845 TKV589845 TUR589845 UEN589845 UOJ589845 UYF589845 VIB589845 VRX589845 WBT589845 WLP589845 WVL589845 D655381 IZ655381 SV655381 ACR655381 AMN655381 AWJ655381 BGF655381 BQB655381 BZX655381 CJT655381 CTP655381 DDL655381 DNH655381 DXD655381 EGZ655381 EQV655381 FAR655381 FKN655381 FUJ655381 GEF655381 GOB655381 GXX655381 HHT655381 HRP655381 IBL655381 ILH655381 IVD655381 JEZ655381 JOV655381 JYR655381 KIN655381 KSJ655381 LCF655381 LMB655381 LVX655381 MFT655381 MPP655381 MZL655381 NJH655381 NTD655381 OCZ655381 OMV655381 OWR655381 PGN655381 PQJ655381 QAF655381 QKB655381 QTX655381 RDT655381 RNP655381 RXL655381 SHH655381 SRD655381 TAZ655381 TKV655381 TUR655381 UEN655381 UOJ655381 UYF655381 VIB655381 VRX655381 WBT655381 WLP655381 WVL655381 D720917 IZ720917 SV720917 ACR720917 AMN720917 AWJ720917 BGF720917 BQB720917 BZX720917 CJT720917 CTP720917 DDL720917 DNH720917 DXD720917 EGZ720917 EQV720917 FAR720917 FKN720917 FUJ720917 GEF720917 GOB720917 GXX720917 HHT720917 HRP720917 IBL720917 ILH720917 IVD720917 JEZ720917 JOV720917 JYR720917 KIN720917 KSJ720917 LCF720917 LMB720917 LVX720917 MFT720917 MPP720917 MZL720917 NJH720917 NTD720917 OCZ720917 OMV720917 OWR720917 PGN720917 PQJ720917 QAF720917 QKB720917 QTX720917 RDT720917 RNP720917 RXL720917 SHH720917 SRD720917 TAZ720917 TKV720917 TUR720917 UEN720917 UOJ720917 UYF720917 VIB720917 VRX720917 WBT720917 WLP720917 WVL720917 D786453 IZ786453 SV786453 ACR786453 AMN786453 AWJ786453 BGF786453 BQB786453 BZX786453 CJT786453 CTP786453 DDL786453 DNH786453 DXD786453 EGZ786453 EQV786453 FAR786453 FKN786453 FUJ786453 GEF786453 GOB786453 GXX786453 HHT786453 HRP786453 IBL786453 ILH786453 IVD786453 JEZ786453 JOV786453 JYR786453 KIN786453 KSJ786453 LCF786453 LMB786453 LVX786453 MFT786453 MPP786453 MZL786453 NJH786453 NTD786453 OCZ786453 OMV786453 OWR786453 PGN786453 PQJ786453 QAF786453 QKB786453 QTX786453 RDT786453 RNP786453 RXL786453 SHH786453 SRD786453 TAZ786453 TKV786453 TUR786453 UEN786453 UOJ786453 UYF786453 VIB786453 VRX786453 WBT786453 WLP786453 WVL786453 D851989 IZ851989 SV851989 ACR851989 AMN851989 AWJ851989 BGF851989 BQB851989 BZX851989 CJT851989 CTP851989 DDL851989 DNH851989 DXD851989 EGZ851989 EQV851989 FAR851989 FKN851989 FUJ851989 GEF851989 GOB851989 GXX851989 HHT851989 HRP851989 IBL851989 ILH851989 IVD851989 JEZ851989 JOV851989 JYR851989 KIN851989 KSJ851989 LCF851989 LMB851989 LVX851989 MFT851989 MPP851989 MZL851989 NJH851989 NTD851989 OCZ851989 OMV851989 OWR851989 PGN851989 PQJ851989 QAF851989 QKB851989 QTX851989 RDT851989 RNP851989 RXL851989 SHH851989 SRD851989 TAZ851989 TKV851989 TUR851989 UEN851989 UOJ851989 UYF851989 VIB851989 VRX851989 WBT851989 WLP851989 WVL851989 D917525 IZ917525 SV917525 ACR917525 AMN917525 AWJ917525 BGF917525 BQB917525 BZX917525 CJT917525 CTP917525 DDL917525 DNH917525 DXD917525 EGZ917525 EQV917525 FAR917525 FKN917525 FUJ917525 GEF917525 GOB917525 GXX917525 HHT917525 HRP917525 IBL917525 ILH917525 IVD917525 JEZ917525 JOV917525 JYR917525 KIN917525 KSJ917525 LCF917525 LMB917525 LVX917525 MFT917525 MPP917525 MZL917525 NJH917525 NTD917525 OCZ917525 OMV917525 OWR917525 PGN917525 PQJ917525 QAF917525 QKB917525 QTX917525 RDT917525 RNP917525 RXL917525 SHH917525 SRD917525 TAZ917525 TKV917525 TUR917525 UEN917525 UOJ917525 UYF917525 VIB917525 VRX917525 WBT917525 WLP917525 WVL917525 D983061 IZ983061 SV983061 ACR983061 AMN983061 AWJ983061 BGF983061 BQB983061 BZX983061 CJT983061 CTP983061 DDL983061 DNH983061 DXD983061 EGZ983061 EQV983061 FAR983061 FKN983061 FUJ983061 GEF983061 GOB983061 GXX983061 HHT983061 HRP983061 IBL983061 ILH983061 IVD983061 JEZ983061 JOV983061 JYR983061 KIN983061 KSJ983061 LCF983061 LMB983061 LVX983061 MFT983061 MPP983061 MZL983061 NJH983061 NTD983061 OCZ983061 OMV983061 OWR983061 PGN983061 PQJ983061 QAF983061 QKB983061 QTX983061 RDT983061 RNP983061 RXL983061 SHH983061 SRD983061 TAZ983061 TKV983061 TUR983061 UEN983061 UOJ983061 UYF983061 VIB983061 VRX983061 WBT983061 WLP983061 WVL983061">
      <formula1>$Q$22:$Q$24</formula1>
    </dataValidation>
    <dataValidation type="list" allowBlank="1" showInputMessage="1" sqref="D6:E6 IZ6:JA6 SV6:SW6 ACR6:ACS6 AMN6:AMO6 AWJ6:AWK6 BGF6:BGG6 BQB6:BQC6 BZX6:BZY6 CJT6:CJU6 CTP6:CTQ6 DDL6:DDM6 DNH6:DNI6 DXD6:DXE6 EGZ6:EHA6 EQV6:EQW6 FAR6:FAS6 FKN6:FKO6 FUJ6:FUK6 GEF6:GEG6 GOB6:GOC6 GXX6:GXY6 HHT6:HHU6 HRP6:HRQ6 IBL6:IBM6 ILH6:ILI6 IVD6:IVE6 JEZ6:JFA6 JOV6:JOW6 JYR6:JYS6 KIN6:KIO6 KSJ6:KSK6 LCF6:LCG6 LMB6:LMC6 LVX6:LVY6 MFT6:MFU6 MPP6:MPQ6 MZL6:MZM6 NJH6:NJI6 NTD6:NTE6 OCZ6:ODA6 OMV6:OMW6 OWR6:OWS6 PGN6:PGO6 PQJ6:PQK6 QAF6:QAG6 QKB6:QKC6 QTX6:QTY6 RDT6:RDU6 RNP6:RNQ6 RXL6:RXM6 SHH6:SHI6 SRD6:SRE6 TAZ6:TBA6 TKV6:TKW6 TUR6:TUS6 UEN6:UEO6 UOJ6:UOK6 UYF6:UYG6 VIB6:VIC6 VRX6:VRY6 WBT6:WBU6 WLP6:WLQ6 WVL6:WVM6 D65542:E65542 IZ65542:JA65542 SV65542:SW65542 ACR65542:ACS65542 AMN65542:AMO65542 AWJ65542:AWK65542 BGF65542:BGG65542 BQB65542:BQC65542 BZX65542:BZY65542 CJT65542:CJU65542 CTP65542:CTQ65542 DDL65542:DDM65542 DNH65542:DNI65542 DXD65542:DXE65542 EGZ65542:EHA65542 EQV65542:EQW65542 FAR65542:FAS65542 FKN65542:FKO65542 FUJ65542:FUK65542 GEF65542:GEG65542 GOB65542:GOC65542 GXX65542:GXY65542 HHT65542:HHU65542 HRP65542:HRQ65542 IBL65542:IBM65542 ILH65542:ILI65542 IVD65542:IVE65542 JEZ65542:JFA65542 JOV65542:JOW65542 JYR65542:JYS65542 KIN65542:KIO65542 KSJ65542:KSK65542 LCF65542:LCG65542 LMB65542:LMC65542 LVX65542:LVY65542 MFT65542:MFU65542 MPP65542:MPQ65542 MZL65542:MZM65542 NJH65542:NJI65542 NTD65542:NTE65542 OCZ65542:ODA65542 OMV65542:OMW65542 OWR65542:OWS65542 PGN65542:PGO65542 PQJ65542:PQK65542 QAF65542:QAG65542 QKB65542:QKC65542 QTX65542:QTY65542 RDT65542:RDU65542 RNP65542:RNQ65542 RXL65542:RXM65542 SHH65542:SHI65542 SRD65542:SRE65542 TAZ65542:TBA65542 TKV65542:TKW65542 TUR65542:TUS65542 UEN65542:UEO65542 UOJ65542:UOK65542 UYF65542:UYG65542 VIB65542:VIC65542 VRX65542:VRY65542 WBT65542:WBU65542 WLP65542:WLQ65542 WVL65542:WVM65542 D131078:E131078 IZ131078:JA131078 SV131078:SW131078 ACR131078:ACS131078 AMN131078:AMO131078 AWJ131078:AWK131078 BGF131078:BGG131078 BQB131078:BQC131078 BZX131078:BZY131078 CJT131078:CJU131078 CTP131078:CTQ131078 DDL131078:DDM131078 DNH131078:DNI131078 DXD131078:DXE131078 EGZ131078:EHA131078 EQV131078:EQW131078 FAR131078:FAS131078 FKN131078:FKO131078 FUJ131078:FUK131078 GEF131078:GEG131078 GOB131078:GOC131078 GXX131078:GXY131078 HHT131078:HHU131078 HRP131078:HRQ131078 IBL131078:IBM131078 ILH131078:ILI131078 IVD131078:IVE131078 JEZ131078:JFA131078 JOV131078:JOW131078 JYR131078:JYS131078 KIN131078:KIO131078 KSJ131078:KSK131078 LCF131078:LCG131078 LMB131078:LMC131078 LVX131078:LVY131078 MFT131078:MFU131078 MPP131078:MPQ131078 MZL131078:MZM131078 NJH131078:NJI131078 NTD131078:NTE131078 OCZ131078:ODA131078 OMV131078:OMW131078 OWR131078:OWS131078 PGN131078:PGO131078 PQJ131078:PQK131078 QAF131078:QAG131078 QKB131078:QKC131078 QTX131078:QTY131078 RDT131078:RDU131078 RNP131078:RNQ131078 RXL131078:RXM131078 SHH131078:SHI131078 SRD131078:SRE131078 TAZ131078:TBA131078 TKV131078:TKW131078 TUR131078:TUS131078 UEN131078:UEO131078 UOJ131078:UOK131078 UYF131078:UYG131078 VIB131078:VIC131078 VRX131078:VRY131078 WBT131078:WBU131078 WLP131078:WLQ131078 WVL131078:WVM131078 D196614:E196614 IZ196614:JA196614 SV196614:SW196614 ACR196614:ACS196614 AMN196614:AMO196614 AWJ196614:AWK196614 BGF196614:BGG196614 BQB196614:BQC196614 BZX196614:BZY196614 CJT196614:CJU196614 CTP196614:CTQ196614 DDL196614:DDM196614 DNH196614:DNI196614 DXD196614:DXE196614 EGZ196614:EHA196614 EQV196614:EQW196614 FAR196614:FAS196614 FKN196614:FKO196614 FUJ196614:FUK196614 GEF196614:GEG196614 GOB196614:GOC196614 GXX196614:GXY196614 HHT196614:HHU196614 HRP196614:HRQ196614 IBL196614:IBM196614 ILH196614:ILI196614 IVD196614:IVE196614 JEZ196614:JFA196614 JOV196614:JOW196614 JYR196614:JYS196614 KIN196614:KIO196614 KSJ196614:KSK196614 LCF196614:LCG196614 LMB196614:LMC196614 LVX196614:LVY196614 MFT196614:MFU196614 MPP196614:MPQ196614 MZL196614:MZM196614 NJH196614:NJI196614 NTD196614:NTE196614 OCZ196614:ODA196614 OMV196614:OMW196614 OWR196614:OWS196614 PGN196614:PGO196614 PQJ196614:PQK196614 QAF196614:QAG196614 QKB196614:QKC196614 QTX196614:QTY196614 RDT196614:RDU196614 RNP196614:RNQ196614 RXL196614:RXM196614 SHH196614:SHI196614 SRD196614:SRE196614 TAZ196614:TBA196614 TKV196614:TKW196614 TUR196614:TUS196614 UEN196614:UEO196614 UOJ196614:UOK196614 UYF196614:UYG196614 VIB196614:VIC196614 VRX196614:VRY196614 WBT196614:WBU196614 WLP196614:WLQ196614 WVL196614:WVM196614 D262150:E262150 IZ262150:JA262150 SV262150:SW262150 ACR262150:ACS262150 AMN262150:AMO262150 AWJ262150:AWK262150 BGF262150:BGG262150 BQB262150:BQC262150 BZX262150:BZY262150 CJT262150:CJU262150 CTP262150:CTQ262150 DDL262150:DDM262150 DNH262150:DNI262150 DXD262150:DXE262150 EGZ262150:EHA262150 EQV262150:EQW262150 FAR262150:FAS262150 FKN262150:FKO262150 FUJ262150:FUK262150 GEF262150:GEG262150 GOB262150:GOC262150 GXX262150:GXY262150 HHT262150:HHU262150 HRP262150:HRQ262150 IBL262150:IBM262150 ILH262150:ILI262150 IVD262150:IVE262150 JEZ262150:JFA262150 JOV262150:JOW262150 JYR262150:JYS262150 KIN262150:KIO262150 KSJ262150:KSK262150 LCF262150:LCG262150 LMB262150:LMC262150 LVX262150:LVY262150 MFT262150:MFU262150 MPP262150:MPQ262150 MZL262150:MZM262150 NJH262150:NJI262150 NTD262150:NTE262150 OCZ262150:ODA262150 OMV262150:OMW262150 OWR262150:OWS262150 PGN262150:PGO262150 PQJ262150:PQK262150 QAF262150:QAG262150 QKB262150:QKC262150 QTX262150:QTY262150 RDT262150:RDU262150 RNP262150:RNQ262150 RXL262150:RXM262150 SHH262150:SHI262150 SRD262150:SRE262150 TAZ262150:TBA262150 TKV262150:TKW262150 TUR262150:TUS262150 UEN262150:UEO262150 UOJ262150:UOK262150 UYF262150:UYG262150 VIB262150:VIC262150 VRX262150:VRY262150 WBT262150:WBU262150 WLP262150:WLQ262150 WVL262150:WVM262150 D327686:E327686 IZ327686:JA327686 SV327686:SW327686 ACR327686:ACS327686 AMN327686:AMO327686 AWJ327686:AWK327686 BGF327686:BGG327686 BQB327686:BQC327686 BZX327686:BZY327686 CJT327686:CJU327686 CTP327686:CTQ327686 DDL327686:DDM327686 DNH327686:DNI327686 DXD327686:DXE327686 EGZ327686:EHA327686 EQV327686:EQW327686 FAR327686:FAS327686 FKN327686:FKO327686 FUJ327686:FUK327686 GEF327686:GEG327686 GOB327686:GOC327686 GXX327686:GXY327686 HHT327686:HHU327686 HRP327686:HRQ327686 IBL327686:IBM327686 ILH327686:ILI327686 IVD327686:IVE327686 JEZ327686:JFA327686 JOV327686:JOW327686 JYR327686:JYS327686 KIN327686:KIO327686 KSJ327686:KSK327686 LCF327686:LCG327686 LMB327686:LMC327686 LVX327686:LVY327686 MFT327686:MFU327686 MPP327686:MPQ327686 MZL327686:MZM327686 NJH327686:NJI327686 NTD327686:NTE327686 OCZ327686:ODA327686 OMV327686:OMW327686 OWR327686:OWS327686 PGN327686:PGO327686 PQJ327686:PQK327686 QAF327686:QAG327686 QKB327686:QKC327686 QTX327686:QTY327686 RDT327686:RDU327686 RNP327686:RNQ327686 RXL327686:RXM327686 SHH327686:SHI327686 SRD327686:SRE327686 TAZ327686:TBA327686 TKV327686:TKW327686 TUR327686:TUS327686 UEN327686:UEO327686 UOJ327686:UOK327686 UYF327686:UYG327686 VIB327686:VIC327686 VRX327686:VRY327686 WBT327686:WBU327686 WLP327686:WLQ327686 WVL327686:WVM327686 D393222:E393222 IZ393222:JA393222 SV393222:SW393222 ACR393222:ACS393222 AMN393222:AMO393222 AWJ393222:AWK393222 BGF393222:BGG393222 BQB393222:BQC393222 BZX393222:BZY393222 CJT393222:CJU393222 CTP393222:CTQ393222 DDL393222:DDM393222 DNH393222:DNI393222 DXD393222:DXE393222 EGZ393222:EHA393222 EQV393222:EQW393222 FAR393222:FAS393222 FKN393222:FKO393222 FUJ393222:FUK393222 GEF393222:GEG393222 GOB393222:GOC393222 GXX393222:GXY393222 HHT393222:HHU393222 HRP393222:HRQ393222 IBL393222:IBM393222 ILH393222:ILI393222 IVD393222:IVE393222 JEZ393222:JFA393222 JOV393222:JOW393222 JYR393222:JYS393222 KIN393222:KIO393222 KSJ393222:KSK393222 LCF393222:LCG393222 LMB393222:LMC393222 LVX393222:LVY393222 MFT393222:MFU393222 MPP393222:MPQ393222 MZL393222:MZM393222 NJH393222:NJI393222 NTD393222:NTE393222 OCZ393222:ODA393222 OMV393222:OMW393222 OWR393222:OWS393222 PGN393222:PGO393222 PQJ393222:PQK393222 QAF393222:QAG393222 QKB393222:QKC393222 QTX393222:QTY393222 RDT393222:RDU393222 RNP393222:RNQ393222 RXL393222:RXM393222 SHH393222:SHI393222 SRD393222:SRE393222 TAZ393222:TBA393222 TKV393222:TKW393222 TUR393222:TUS393222 UEN393222:UEO393222 UOJ393222:UOK393222 UYF393222:UYG393222 VIB393222:VIC393222 VRX393222:VRY393222 WBT393222:WBU393222 WLP393222:WLQ393222 WVL393222:WVM393222 D458758:E458758 IZ458758:JA458758 SV458758:SW458758 ACR458758:ACS458758 AMN458758:AMO458758 AWJ458758:AWK458758 BGF458758:BGG458758 BQB458758:BQC458758 BZX458758:BZY458758 CJT458758:CJU458758 CTP458758:CTQ458758 DDL458758:DDM458758 DNH458758:DNI458758 DXD458758:DXE458758 EGZ458758:EHA458758 EQV458758:EQW458758 FAR458758:FAS458758 FKN458758:FKO458758 FUJ458758:FUK458758 GEF458758:GEG458758 GOB458758:GOC458758 GXX458758:GXY458758 HHT458758:HHU458758 HRP458758:HRQ458758 IBL458758:IBM458758 ILH458758:ILI458758 IVD458758:IVE458758 JEZ458758:JFA458758 JOV458758:JOW458758 JYR458758:JYS458758 KIN458758:KIO458758 KSJ458758:KSK458758 LCF458758:LCG458758 LMB458758:LMC458758 LVX458758:LVY458758 MFT458758:MFU458758 MPP458758:MPQ458758 MZL458758:MZM458758 NJH458758:NJI458758 NTD458758:NTE458758 OCZ458758:ODA458758 OMV458758:OMW458758 OWR458758:OWS458758 PGN458758:PGO458758 PQJ458758:PQK458758 QAF458758:QAG458758 QKB458758:QKC458758 QTX458758:QTY458758 RDT458758:RDU458758 RNP458758:RNQ458758 RXL458758:RXM458758 SHH458758:SHI458758 SRD458758:SRE458758 TAZ458758:TBA458758 TKV458758:TKW458758 TUR458758:TUS458758 UEN458758:UEO458758 UOJ458758:UOK458758 UYF458758:UYG458758 VIB458758:VIC458758 VRX458758:VRY458758 WBT458758:WBU458758 WLP458758:WLQ458758 WVL458758:WVM458758 D524294:E524294 IZ524294:JA524294 SV524294:SW524294 ACR524294:ACS524294 AMN524294:AMO524294 AWJ524294:AWK524294 BGF524294:BGG524294 BQB524294:BQC524294 BZX524294:BZY524294 CJT524294:CJU524294 CTP524294:CTQ524294 DDL524294:DDM524294 DNH524294:DNI524294 DXD524294:DXE524294 EGZ524294:EHA524294 EQV524294:EQW524294 FAR524294:FAS524294 FKN524294:FKO524294 FUJ524294:FUK524294 GEF524294:GEG524294 GOB524294:GOC524294 GXX524294:GXY524294 HHT524294:HHU524294 HRP524294:HRQ524294 IBL524294:IBM524294 ILH524294:ILI524294 IVD524294:IVE524294 JEZ524294:JFA524294 JOV524294:JOW524294 JYR524294:JYS524294 KIN524294:KIO524294 KSJ524294:KSK524294 LCF524294:LCG524294 LMB524294:LMC524294 LVX524294:LVY524294 MFT524294:MFU524294 MPP524294:MPQ524294 MZL524294:MZM524294 NJH524294:NJI524294 NTD524294:NTE524294 OCZ524294:ODA524294 OMV524294:OMW524294 OWR524294:OWS524294 PGN524294:PGO524294 PQJ524294:PQK524294 QAF524294:QAG524294 QKB524294:QKC524294 QTX524294:QTY524294 RDT524294:RDU524294 RNP524294:RNQ524294 RXL524294:RXM524294 SHH524294:SHI524294 SRD524294:SRE524294 TAZ524294:TBA524294 TKV524294:TKW524294 TUR524294:TUS524294 UEN524294:UEO524294 UOJ524294:UOK524294 UYF524294:UYG524294 VIB524294:VIC524294 VRX524294:VRY524294 WBT524294:WBU524294 WLP524294:WLQ524294 WVL524294:WVM524294 D589830:E589830 IZ589830:JA589830 SV589830:SW589830 ACR589830:ACS589830 AMN589830:AMO589830 AWJ589830:AWK589830 BGF589830:BGG589830 BQB589830:BQC589830 BZX589830:BZY589830 CJT589830:CJU589830 CTP589830:CTQ589830 DDL589830:DDM589830 DNH589830:DNI589830 DXD589830:DXE589830 EGZ589830:EHA589830 EQV589830:EQW589830 FAR589830:FAS589830 FKN589830:FKO589830 FUJ589830:FUK589830 GEF589830:GEG589830 GOB589830:GOC589830 GXX589830:GXY589830 HHT589830:HHU589830 HRP589830:HRQ589830 IBL589830:IBM589830 ILH589830:ILI589830 IVD589830:IVE589830 JEZ589830:JFA589830 JOV589830:JOW589830 JYR589830:JYS589830 KIN589830:KIO589830 KSJ589830:KSK589830 LCF589830:LCG589830 LMB589830:LMC589830 LVX589830:LVY589830 MFT589830:MFU589830 MPP589830:MPQ589830 MZL589830:MZM589830 NJH589830:NJI589830 NTD589830:NTE589830 OCZ589830:ODA589830 OMV589830:OMW589830 OWR589830:OWS589830 PGN589830:PGO589830 PQJ589830:PQK589830 QAF589830:QAG589830 QKB589830:QKC589830 QTX589830:QTY589830 RDT589830:RDU589830 RNP589830:RNQ589830 RXL589830:RXM589830 SHH589830:SHI589830 SRD589830:SRE589830 TAZ589830:TBA589830 TKV589830:TKW589830 TUR589830:TUS589830 UEN589830:UEO589830 UOJ589830:UOK589830 UYF589830:UYG589830 VIB589830:VIC589830 VRX589830:VRY589830 WBT589830:WBU589830 WLP589830:WLQ589830 WVL589830:WVM589830 D655366:E655366 IZ655366:JA655366 SV655366:SW655366 ACR655366:ACS655366 AMN655366:AMO655366 AWJ655366:AWK655366 BGF655366:BGG655366 BQB655366:BQC655366 BZX655366:BZY655366 CJT655366:CJU655366 CTP655366:CTQ655366 DDL655366:DDM655366 DNH655366:DNI655366 DXD655366:DXE655366 EGZ655366:EHA655366 EQV655366:EQW655366 FAR655366:FAS655366 FKN655366:FKO655366 FUJ655366:FUK655366 GEF655366:GEG655366 GOB655366:GOC655366 GXX655366:GXY655366 HHT655366:HHU655366 HRP655366:HRQ655366 IBL655366:IBM655366 ILH655366:ILI655366 IVD655366:IVE655366 JEZ655366:JFA655366 JOV655366:JOW655366 JYR655366:JYS655366 KIN655366:KIO655366 KSJ655366:KSK655366 LCF655366:LCG655366 LMB655366:LMC655366 LVX655366:LVY655366 MFT655366:MFU655366 MPP655366:MPQ655366 MZL655366:MZM655366 NJH655366:NJI655366 NTD655366:NTE655366 OCZ655366:ODA655366 OMV655366:OMW655366 OWR655366:OWS655366 PGN655366:PGO655366 PQJ655366:PQK655366 QAF655366:QAG655366 QKB655366:QKC655366 QTX655366:QTY655366 RDT655366:RDU655366 RNP655366:RNQ655366 RXL655366:RXM655366 SHH655366:SHI655366 SRD655366:SRE655366 TAZ655366:TBA655366 TKV655366:TKW655366 TUR655366:TUS655366 UEN655366:UEO655366 UOJ655366:UOK655366 UYF655366:UYG655366 VIB655366:VIC655366 VRX655366:VRY655366 WBT655366:WBU655366 WLP655366:WLQ655366 WVL655366:WVM655366 D720902:E720902 IZ720902:JA720902 SV720902:SW720902 ACR720902:ACS720902 AMN720902:AMO720902 AWJ720902:AWK720902 BGF720902:BGG720902 BQB720902:BQC720902 BZX720902:BZY720902 CJT720902:CJU720902 CTP720902:CTQ720902 DDL720902:DDM720902 DNH720902:DNI720902 DXD720902:DXE720902 EGZ720902:EHA720902 EQV720902:EQW720902 FAR720902:FAS720902 FKN720902:FKO720902 FUJ720902:FUK720902 GEF720902:GEG720902 GOB720902:GOC720902 GXX720902:GXY720902 HHT720902:HHU720902 HRP720902:HRQ720902 IBL720902:IBM720902 ILH720902:ILI720902 IVD720902:IVE720902 JEZ720902:JFA720902 JOV720902:JOW720902 JYR720902:JYS720902 KIN720902:KIO720902 KSJ720902:KSK720902 LCF720902:LCG720902 LMB720902:LMC720902 LVX720902:LVY720902 MFT720902:MFU720902 MPP720902:MPQ720902 MZL720902:MZM720902 NJH720902:NJI720902 NTD720902:NTE720902 OCZ720902:ODA720902 OMV720902:OMW720902 OWR720902:OWS720902 PGN720902:PGO720902 PQJ720902:PQK720902 QAF720902:QAG720902 QKB720902:QKC720902 QTX720902:QTY720902 RDT720902:RDU720902 RNP720902:RNQ720902 RXL720902:RXM720902 SHH720902:SHI720902 SRD720902:SRE720902 TAZ720902:TBA720902 TKV720902:TKW720902 TUR720902:TUS720902 UEN720902:UEO720902 UOJ720902:UOK720902 UYF720902:UYG720902 VIB720902:VIC720902 VRX720902:VRY720902 WBT720902:WBU720902 WLP720902:WLQ720902 WVL720902:WVM720902 D786438:E786438 IZ786438:JA786438 SV786438:SW786438 ACR786438:ACS786438 AMN786438:AMO786438 AWJ786438:AWK786438 BGF786438:BGG786438 BQB786438:BQC786438 BZX786438:BZY786438 CJT786438:CJU786438 CTP786438:CTQ786438 DDL786438:DDM786438 DNH786438:DNI786438 DXD786438:DXE786438 EGZ786438:EHA786438 EQV786438:EQW786438 FAR786438:FAS786438 FKN786438:FKO786438 FUJ786438:FUK786438 GEF786438:GEG786438 GOB786438:GOC786438 GXX786438:GXY786438 HHT786438:HHU786438 HRP786438:HRQ786438 IBL786438:IBM786438 ILH786438:ILI786438 IVD786438:IVE786438 JEZ786438:JFA786438 JOV786438:JOW786438 JYR786438:JYS786438 KIN786438:KIO786438 KSJ786438:KSK786438 LCF786438:LCG786438 LMB786438:LMC786438 LVX786438:LVY786438 MFT786438:MFU786438 MPP786438:MPQ786438 MZL786438:MZM786438 NJH786438:NJI786438 NTD786438:NTE786438 OCZ786438:ODA786438 OMV786438:OMW786438 OWR786438:OWS786438 PGN786438:PGO786438 PQJ786438:PQK786438 QAF786438:QAG786438 QKB786438:QKC786438 QTX786438:QTY786438 RDT786438:RDU786438 RNP786438:RNQ786438 RXL786438:RXM786438 SHH786438:SHI786438 SRD786438:SRE786438 TAZ786438:TBA786438 TKV786438:TKW786438 TUR786438:TUS786438 UEN786438:UEO786438 UOJ786438:UOK786438 UYF786438:UYG786438 VIB786438:VIC786438 VRX786438:VRY786438 WBT786438:WBU786438 WLP786438:WLQ786438 WVL786438:WVM786438 D851974:E851974 IZ851974:JA851974 SV851974:SW851974 ACR851974:ACS851974 AMN851974:AMO851974 AWJ851974:AWK851974 BGF851974:BGG851974 BQB851974:BQC851974 BZX851974:BZY851974 CJT851974:CJU851974 CTP851974:CTQ851974 DDL851974:DDM851974 DNH851974:DNI851974 DXD851974:DXE851974 EGZ851974:EHA851974 EQV851974:EQW851974 FAR851974:FAS851974 FKN851974:FKO851974 FUJ851974:FUK851974 GEF851974:GEG851974 GOB851974:GOC851974 GXX851974:GXY851974 HHT851974:HHU851974 HRP851974:HRQ851974 IBL851974:IBM851974 ILH851974:ILI851974 IVD851974:IVE851974 JEZ851974:JFA851974 JOV851974:JOW851974 JYR851974:JYS851974 KIN851974:KIO851974 KSJ851974:KSK851974 LCF851974:LCG851974 LMB851974:LMC851974 LVX851974:LVY851974 MFT851974:MFU851974 MPP851974:MPQ851974 MZL851974:MZM851974 NJH851974:NJI851974 NTD851974:NTE851974 OCZ851974:ODA851974 OMV851974:OMW851974 OWR851974:OWS851974 PGN851974:PGO851974 PQJ851974:PQK851974 QAF851974:QAG851974 QKB851974:QKC851974 QTX851974:QTY851974 RDT851974:RDU851974 RNP851974:RNQ851974 RXL851974:RXM851974 SHH851974:SHI851974 SRD851974:SRE851974 TAZ851974:TBA851974 TKV851974:TKW851974 TUR851974:TUS851974 UEN851974:UEO851974 UOJ851974:UOK851974 UYF851974:UYG851974 VIB851974:VIC851974 VRX851974:VRY851974 WBT851974:WBU851974 WLP851974:WLQ851974 WVL851974:WVM851974 D917510:E917510 IZ917510:JA917510 SV917510:SW917510 ACR917510:ACS917510 AMN917510:AMO917510 AWJ917510:AWK917510 BGF917510:BGG917510 BQB917510:BQC917510 BZX917510:BZY917510 CJT917510:CJU917510 CTP917510:CTQ917510 DDL917510:DDM917510 DNH917510:DNI917510 DXD917510:DXE917510 EGZ917510:EHA917510 EQV917510:EQW917510 FAR917510:FAS917510 FKN917510:FKO917510 FUJ917510:FUK917510 GEF917510:GEG917510 GOB917510:GOC917510 GXX917510:GXY917510 HHT917510:HHU917510 HRP917510:HRQ917510 IBL917510:IBM917510 ILH917510:ILI917510 IVD917510:IVE917510 JEZ917510:JFA917510 JOV917510:JOW917510 JYR917510:JYS917510 KIN917510:KIO917510 KSJ917510:KSK917510 LCF917510:LCG917510 LMB917510:LMC917510 LVX917510:LVY917510 MFT917510:MFU917510 MPP917510:MPQ917510 MZL917510:MZM917510 NJH917510:NJI917510 NTD917510:NTE917510 OCZ917510:ODA917510 OMV917510:OMW917510 OWR917510:OWS917510 PGN917510:PGO917510 PQJ917510:PQK917510 QAF917510:QAG917510 QKB917510:QKC917510 QTX917510:QTY917510 RDT917510:RDU917510 RNP917510:RNQ917510 RXL917510:RXM917510 SHH917510:SHI917510 SRD917510:SRE917510 TAZ917510:TBA917510 TKV917510:TKW917510 TUR917510:TUS917510 UEN917510:UEO917510 UOJ917510:UOK917510 UYF917510:UYG917510 VIB917510:VIC917510 VRX917510:VRY917510 WBT917510:WBU917510 WLP917510:WLQ917510 WVL917510:WVM917510 D983046:E983046 IZ983046:JA983046 SV983046:SW983046 ACR983046:ACS983046 AMN983046:AMO983046 AWJ983046:AWK983046 BGF983046:BGG983046 BQB983046:BQC983046 BZX983046:BZY983046 CJT983046:CJU983046 CTP983046:CTQ983046 DDL983046:DDM983046 DNH983046:DNI983046 DXD983046:DXE983046 EGZ983046:EHA983046 EQV983046:EQW983046 FAR983046:FAS983046 FKN983046:FKO983046 FUJ983046:FUK983046 GEF983046:GEG983046 GOB983046:GOC983046 GXX983046:GXY983046 HHT983046:HHU983046 HRP983046:HRQ983046 IBL983046:IBM983046 ILH983046:ILI983046 IVD983046:IVE983046 JEZ983046:JFA983046 JOV983046:JOW983046 JYR983046:JYS983046 KIN983046:KIO983046 KSJ983046:KSK983046 LCF983046:LCG983046 LMB983046:LMC983046 LVX983046:LVY983046 MFT983046:MFU983046 MPP983046:MPQ983046 MZL983046:MZM983046 NJH983046:NJI983046 NTD983046:NTE983046 OCZ983046:ODA983046 OMV983046:OMW983046 OWR983046:OWS983046 PGN983046:PGO983046 PQJ983046:PQK983046 QAF983046:QAG983046 QKB983046:QKC983046 QTX983046:QTY983046 RDT983046:RDU983046 RNP983046:RNQ983046 RXL983046:RXM983046 SHH983046:SHI983046 SRD983046:SRE983046 TAZ983046:TBA983046 TKV983046:TKW983046 TUR983046:TUS983046 UEN983046:UEO983046 UOJ983046:UOK983046 UYF983046:UYG983046 VIB983046:VIC983046 VRX983046:VRY983046 WBT983046:WBU983046 WLP983046:WLQ983046 WVL983046:WVM983046">
      <formula1>$T$5:$T$11</formula1>
    </dataValidation>
  </dataValidations>
  <printOptions horizontalCentered="1" verticalCentered="1"/>
  <pageMargins left="0.25" right="0.25" top="0.5" bottom="0.5" header="0.5" footer="0.5"/>
  <pageSetup scale="82" orientation="portrait" blackAndWhite="1" horizontalDpi="300" r:id="rId1"/>
  <headerFooter alignWithMargins="0"/>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79"/>
  <sheetViews>
    <sheetView topLeftCell="A52" zoomScale="75" zoomScaleNormal="75" workbookViewId="0"/>
  </sheetViews>
  <sheetFormatPr defaultColWidth="9.140625" defaultRowHeight="12.75"/>
  <cols>
    <col min="1" max="1" width="9.140625" style="307" customWidth="1"/>
    <col min="2" max="2" width="18.140625" style="307" customWidth="1"/>
    <col min="3" max="3" width="21.5703125" style="307" customWidth="1"/>
    <col min="4" max="4" width="21.28515625" style="307" bestFit="1" customWidth="1"/>
    <col min="5" max="5" width="6.85546875" style="307" bestFit="1" customWidth="1"/>
    <col min="6" max="6" width="29.85546875" style="307" customWidth="1"/>
    <col min="7" max="7" width="43.7109375" style="307" customWidth="1"/>
    <col min="8" max="8" width="17.140625" style="307" customWidth="1"/>
    <col min="9" max="9" width="7.85546875" style="307" customWidth="1"/>
    <col min="10" max="10" width="2.28515625" style="307" bestFit="1" customWidth="1"/>
    <col min="11" max="12" width="2.28515625" style="307" customWidth="1"/>
    <col min="13" max="13" width="2.5703125" style="307" bestFit="1" customWidth="1"/>
    <col min="14" max="14" width="2.28515625" style="307" bestFit="1" customWidth="1"/>
    <col min="15" max="16384" width="9.140625" style="307"/>
  </cols>
  <sheetData>
    <row r="1" spans="2:14" ht="12.75" customHeight="1">
      <c r="B1" s="302"/>
      <c r="C1" s="303"/>
      <c r="D1" s="303"/>
      <c r="E1" s="303"/>
      <c r="F1" s="303"/>
      <c r="G1" s="303"/>
      <c r="H1" s="304"/>
      <c r="I1" s="305"/>
      <c r="J1" s="306" t="s">
        <v>336</v>
      </c>
      <c r="K1" s="306" t="s">
        <v>337</v>
      </c>
      <c r="L1" s="306" t="s">
        <v>338</v>
      </c>
      <c r="M1" s="306" t="s">
        <v>337</v>
      </c>
      <c r="N1" s="306"/>
    </row>
    <row r="2" spans="2:14" ht="12.75" customHeight="1">
      <c r="B2" s="662" t="s">
        <v>339</v>
      </c>
      <c r="C2" s="663"/>
      <c r="D2" s="663"/>
      <c r="E2" s="663"/>
      <c r="F2" s="663"/>
      <c r="G2" s="663"/>
      <c r="H2" s="308"/>
      <c r="I2" s="309"/>
      <c r="J2" s="310" t="s">
        <v>340</v>
      </c>
      <c r="K2" s="310" t="s">
        <v>341</v>
      </c>
      <c r="L2" s="310" t="s">
        <v>342</v>
      </c>
      <c r="M2" s="310" t="s">
        <v>343</v>
      </c>
      <c r="N2" s="310" t="s">
        <v>344</v>
      </c>
    </row>
    <row r="3" spans="2:14" ht="12.75" customHeight="1">
      <c r="B3" s="662"/>
      <c r="C3" s="663"/>
      <c r="D3" s="663"/>
      <c r="E3" s="663"/>
      <c r="F3" s="663"/>
      <c r="G3" s="663"/>
      <c r="H3" s="308"/>
      <c r="I3" s="309"/>
      <c r="J3" s="310" t="s">
        <v>345</v>
      </c>
      <c r="K3" s="310"/>
      <c r="L3" s="310" t="s">
        <v>346</v>
      </c>
      <c r="M3" s="310" t="s">
        <v>336</v>
      </c>
      <c r="N3" s="310"/>
    </row>
    <row r="4" spans="2:14" ht="12.75" customHeight="1">
      <c r="B4" s="662"/>
      <c r="C4" s="663"/>
      <c r="D4" s="663"/>
      <c r="E4" s="663"/>
      <c r="F4" s="663"/>
      <c r="G4" s="663"/>
      <c r="H4" s="308"/>
      <c r="I4" s="309"/>
      <c r="J4" s="310" t="s">
        <v>347</v>
      </c>
      <c r="K4" s="310"/>
      <c r="L4" s="310" t="s">
        <v>342</v>
      </c>
      <c r="M4" s="310" t="s">
        <v>340</v>
      </c>
      <c r="N4" s="310"/>
    </row>
    <row r="5" spans="2:14" ht="12.75" customHeight="1">
      <c r="B5" s="311"/>
      <c r="C5" s="312"/>
      <c r="D5" s="312"/>
      <c r="E5" s="312"/>
      <c r="F5" s="312"/>
      <c r="G5" s="312"/>
      <c r="H5" s="308"/>
      <c r="I5" s="309"/>
      <c r="J5" s="310"/>
      <c r="K5" s="310" t="s">
        <v>348</v>
      </c>
      <c r="L5" s="310" t="s">
        <v>337</v>
      </c>
      <c r="M5" s="310"/>
      <c r="N5" s="310" t="s">
        <v>342</v>
      </c>
    </row>
    <row r="6" spans="2:14" ht="12" customHeight="1">
      <c r="B6" s="313"/>
      <c r="C6" s="314"/>
      <c r="D6" s="314"/>
      <c r="F6" s="314"/>
      <c r="H6" s="315"/>
      <c r="I6" s="309"/>
      <c r="J6" s="310" t="s">
        <v>341</v>
      </c>
      <c r="K6" s="310" t="s">
        <v>349</v>
      </c>
      <c r="L6" s="310"/>
      <c r="M6" s="310" t="s">
        <v>337</v>
      </c>
      <c r="N6" s="310" t="s">
        <v>350</v>
      </c>
    </row>
    <row r="7" spans="2:14" ht="12.75" customHeight="1">
      <c r="B7" s="313"/>
      <c r="D7" s="316"/>
      <c r="H7" s="315"/>
      <c r="I7" s="309"/>
      <c r="J7" s="310" t="s">
        <v>351</v>
      </c>
      <c r="K7" s="310" t="s">
        <v>345</v>
      </c>
      <c r="L7" s="310" t="s">
        <v>345</v>
      </c>
      <c r="M7" s="310" t="s">
        <v>340</v>
      </c>
      <c r="N7" s="310" t="s">
        <v>352</v>
      </c>
    </row>
    <row r="8" spans="2:14" ht="12.75" customHeight="1">
      <c r="B8" s="313"/>
      <c r="G8" s="316"/>
      <c r="H8" s="317"/>
      <c r="I8" s="310" t="s">
        <v>352</v>
      </c>
      <c r="J8" s="310" t="s">
        <v>337</v>
      </c>
      <c r="K8" s="310" t="s">
        <v>353</v>
      </c>
      <c r="L8" s="310" t="s">
        <v>340</v>
      </c>
      <c r="M8" s="310" t="s">
        <v>352</v>
      </c>
      <c r="N8" s="310" t="s">
        <v>349</v>
      </c>
    </row>
    <row r="9" spans="2:14">
      <c r="B9" s="310" t="s">
        <v>354</v>
      </c>
      <c r="C9" s="317" t="s">
        <v>355</v>
      </c>
      <c r="D9" s="317" t="s">
        <v>356</v>
      </c>
      <c r="E9" s="317" t="s">
        <v>357</v>
      </c>
      <c r="F9" s="310" t="s">
        <v>358</v>
      </c>
      <c r="G9" s="310" t="s">
        <v>359</v>
      </c>
      <c r="H9" s="310" t="s">
        <v>360</v>
      </c>
      <c r="I9" s="310" t="s">
        <v>347</v>
      </c>
      <c r="J9" s="310" t="s">
        <v>351</v>
      </c>
      <c r="K9" s="310" t="s">
        <v>340</v>
      </c>
      <c r="L9" s="310" t="s">
        <v>353</v>
      </c>
      <c r="M9" s="310" t="s">
        <v>337</v>
      </c>
      <c r="N9" s="310" t="s">
        <v>338</v>
      </c>
    </row>
    <row r="10" spans="2:14" ht="15" customHeight="1">
      <c r="B10" s="318"/>
      <c r="C10" s="319"/>
      <c r="D10" s="319"/>
      <c r="E10" s="319"/>
      <c r="F10" s="320"/>
      <c r="G10" s="321"/>
      <c r="H10" s="321"/>
      <c r="I10" s="322"/>
      <c r="J10" s="323"/>
      <c r="K10" s="323"/>
      <c r="L10" s="323"/>
      <c r="M10" s="323"/>
      <c r="N10" s="324"/>
    </row>
    <row r="11" spans="2:14" ht="15" customHeight="1">
      <c r="B11" s="318"/>
      <c r="C11" s="320"/>
      <c r="D11" s="320"/>
      <c r="E11" s="320"/>
      <c r="F11" s="320"/>
      <c r="G11" s="320"/>
      <c r="H11" s="320"/>
      <c r="I11" s="325"/>
      <c r="J11" s="323"/>
      <c r="K11" s="323"/>
      <c r="L11" s="323"/>
      <c r="M11" s="323"/>
      <c r="N11" s="324"/>
    </row>
    <row r="12" spans="2:14" ht="15" customHeight="1">
      <c r="B12" s="318"/>
      <c r="C12" s="320"/>
      <c r="D12" s="320"/>
      <c r="E12" s="320"/>
      <c r="F12" s="320"/>
      <c r="G12" s="320"/>
      <c r="H12" s="320"/>
      <c r="I12" s="325"/>
      <c r="J12" s="326"/>
      <c r="K12" s="323"/>
      <c r="L12" s="323"/>
      <c r="M12" s="323"/>
      <c r="N12" s="324"/>
    </row>
    <row r="13" spans="2:14" ht="15" customHeight="1">
      <c r="B13" s="318"/>
      <c r="C13" s="320"/>
      <c r="D13" s="320"/>
      <c r="E13" s="320"/>
      <c r="F13" s="320"/>
      <c r="G13" s="320"/>
      <c r="H13" s="320"/>
      <c r="I13" s="325"/>
      <c r="J13" s="323"/>
      <c r="K13" s="323"/>
      <c r="L13" s="323"/>
      <c r="M13" s="323"/>
      <c r="N13" s="324"/>
    </row>
    <row r="14" spans="2:14" ht="15" customHeight="1">
      <c r="B14" s="318"/>
      <c r="C14" s="320"/>
      <c r="D14" s="320"/>
      <c r="E14" s="320"/>
      <c r="F14" s="320"/>
      <c r="G14" s="320"/>
      <c r="H14" s="320"/>
      <c r="I14" s="325"/>
      <c r="J14" s="323"/>
      <c r="K14" s="323"/>
      <c r="L14" s="323"/>
      <c r="M14" s="323"/>
      <c r="N14" s="324"/>
    </row>
    <row r="15" spans="2:14" ht="15" customHeight="1">
      <c r="B15" s="318"/>
      <c r="C15" s="320"/>
      <c r="D15" s="320"/>
      <c r="E15" s="320"/>
      <c r="F15" s="320"/>
      <c r="G15" s="320"/>
      <c r="H15" s="320"/>
      <c r="I15" s="325"/>
      <c r="J15" s="323"/>
      <c r="K15" s="323"/>
      <c r="L15" s="323"/>
      <c r="M15" s="323"/>
      <c r="N15" s="324"/>
    </row>
    <row r="16" spans="2:14" ht="15" customHeight="1">
      <c r="B16" s="318"/>
      <c r="C16" s="320"/>
      <c r="D16" s="320"/>
      <c r="E16" s="320"/>
      <c r="F16" s="320"/>
      <c r="G16" s="320"/>
      <c r="H16" s="320"/>
      <c r="I16" s="325"/>
      <c r="J16" s="323"/>
      <c r="K16" s="323"/>
      <c r="L16" s="323"/>
      <c r="M16" s="323"/>
      <c r="N16" s="324"/>
    </row>
    <row r="17" spans="2:14" ht="15" customHeight="1">
      <c r="B17" s="318"/>
      <c r="C17" s="320"/>
      <c r="D17" s="320"/>
      <c r="E17" s="320"/>
      <c r="F17" s="320"/>
      <c r="G17" s="320"/>
      <c r="H17" s="320"/>
      <c r="I17" s="325"/>
      <c r="J17" s="323"/>
      <c r="K17" s="323"/>
      <c r="L17" s="323"/>
      <c r="M17" s="323"/>
      <c r="N17" s="324"/>
    </row>
    <row r="18" spans="2:14" ht="15" customHeight="1">
      <c r="B18" s="318"/>
      <c r="C18" s="320"/>
      <c r="D18" s="320"/>
      <c r="E18" s="320"/>
      <c r="F18" s="320"/>
      <c r="G18" s="320"/>
      <c r="H18" s="320"/>
      <c r="I18" s="325"/>
      <c r="J18" s="323"/>
      <c r="K18" s="323"/>
      <c r="L18" s="323"/>
      <c r="M18" s="323"/>
      <c r="N18" s="324"/>
    </row>
    <row r="19" spans="2:14" ht="15" customHeight="1">
      <c r="B19" s="318"/>
      <c r="C19" s="320"/>
      <c r="D19" s="320"/>
      <c r="E19" s="320"/>
      <c r="F19" s="320"/>
      <c r="G19" s="320"/>
      <c r="H19" s="320"/>
      <c r="I19" s="325"/>
      <c r="J19" s="323"/>
      <c r="K19" s="323"/>
      <c r="L19" s="323"/>
      <c r="M19" s="323"/>
      <c r="N19" s="324"/>
    </row>
    <row r="20" spans="2:14" ht="15" customHeight="1">
      <c r="B20" s="318"/>
      <c r="C20" s="320"/>
      <c r="D20" s="320"/>
      <c r="E20" s="320"/>
      <c r="F20" s="320"/>
      <c r="G20" s="320"/>
      <c r="H20" s="320"/>
      <c r="I20" s="325"/>
      <c r="J20" s="323"/>
      <c r="K20" s="323"/>
      <c r="L20" s="323"/>
      <c r="M20" s="323"/>
      <c r="N20" s="324"/>
    </row>
    <row r="21" spans="2:14" ht="15" customHeight="1">
      <c r="B21" s="318"/>
      <c r="C21" s="320"/>
      <c r="D21" s="320"/>
      <c r="E21" s="320"/>
      <c r="F21" s="320"/>
      <c r="G21" s="320"/>
      <c r="H21" s="320"/>
      <c r="I21" s="325"/>
      <c r="J21" s="323"/>
      <c r="K21" s="323"/>
      <c r="L21" s="323"/>
      <c r="M21" s="323"/>
      <c r="N21" s="324"/>
    </row>
    <row r="22" spans="2:14" ht="15" customHeight="1">
      <c r="B22" s="318"/>
      <c r="C22" s="320"/>
      <c r="D22" s="320"/>
      <c r="E22" s="320"/>
      <c r="F22" s="320"/>
      <c r="G22" s="320"/>
      <c r="H22" s="320"/>
      <c r="I22" s="325"/>
      <c r="J22" s="323"/>
      <c r="K22" s="323"/>
      <c r="L22" s="323"/>
      <c r="M22" s="323"/>
      <c r="N22" s="324"/>
    </row>
    <row r="23" spans="2:14" ht="15" customHeight="1">
      <c r="B23" s="318"/>
      <c r="C23" s="320"/>
      <c r="D23" s="320"/>
      <c r="E23" s="320"/>
      <c r="F23" s="320"/>
      <c r="G23" s="320"/>
      <c r="H23" s="320"/>
      <c r="I23" s="325"/>
      <c r="J23" s="323"/>
      <c r="K23" s="323"/>
      <c r="L23" s="323"/>
      <c r="M23" s="323"/>
      <c r="N23" s="324"/>
    </row>
    <row r="24" spans="2:14" ht="15" customHeight="1">
      <c r="B24" s="318"/>
      <c r="C24" s="320"/>
      <c r="D24" s="320"/>
      <c r="E24" s="320"/>
      <c r="F24" s="320"/>
      <c r="G24" s="320"/>
      <c r="H24" s="320"/>
      <c r="I24" s="325"/>
      <c r="J24" s="323"/>
      <c r="K24" s="323"/>
      <c r="L24" s="323"/>
      <c r="M24" s="323"/>
      <c r="N24" s="324"/>
    </row>
    <row r="25" spans="2:14" ht="15" customHeight="1">
      <c r="B25" s="318"/>
      <c r="C25" s="320"/>
      <c r="D25" s="320"/>
      <c r="E25" s="320"/>
      <c r="F25" s="320"/>
      <c r="G25" s="320"/>
      <c r="H25" s="320"/>
      <c r="I25" s="325"/>
      <c r="J25" s="323"/>
      <c r="K25" s="323"/>
      <c r="L25" s="323"/>
      <c r="M25" s="323"/>
      <c r="N25" s="324"/>
    </row>
    <row r="26" spans="2:14" ht="15" customHeight="1">
      <c r="B26" s="318"/>
      <c r="C26" s="320"/>
      <c r="D26" s="320"/>
      <c r="E26" s="320"/>
      <c r="F26" s="320"/>
      <c r="G26" s="320"/>
      <c r="H26" s="320"/>
      <c r="I26" s="325"/>
      <c r="J26" s="323"/>
      <c r="K26" s="323"/>
      <c r="L26" s="323"/>
      <c r="M26" s="323"/>
      <c r="N26" s="324"/>
    </row>
    <row r="27" spans="2:14" ht="15" customHeight="1">
      <c r="B27" s="318"/>
      <c r="C27" s="320"/>
      <c r="D27" s="320"/>
      <c r="E27" s="320"/>
      <c r="F27" s="320"/>
      <c r="G27" s="320"/>
      <c r="H27" s="320"/>
      <c r="I27" s="325"/>
      <c r="J27" s="323"/>
      <c r="K27" s="323"/>
      <c r="L27" s="323"/>
      <c r="M27" s="323"/>
      <c r="N27" s="324"/>
    </row>
    <row r="28" spans="2:14" ht="15" customHeight="1">
      <c r="B28" s="318"/>
      <c r="C28" s="320"/>
      <c r="D28" s="320"/>
      <c r="E28" s="320"/>
      <c r="F28" s="320"/>
      <c r="G28" s="320"/>
      <c r="H28" s="320"/>
      <c r="I28" s="325"/>
      <c r="J28" s="323"/>
      <c r="K28" s="323"/>
      <c r="L28" s="323"/>
      <c r="M28" s="323"/>
      <c r="N28" s="324"/>
    </row>
    <row r="29" spans="2:14" ht="15" customHeight="1">
      <c r="B29" s="318"/>
      <c r="C29" s="320"/>
      <c r="D29" s="320"/>
      <c r="E29" s="320"/>
      <c r="F29" s="320"/>
      <c r="G29" s="320"/>
      <c r="H29" s="320"/>
      <c r="I29" s="325"/>
      <c r="J29" s="323"/>
      <c r="K29" s="323"/>
      <c r="L29" s="323"/>
      <c r="M29" s="323"/>
      <c r="N29" s="324"/>
    </row>
    <row r="30" spans="2:14" ht="15" customHeight="1">
      <c r="B30" s="318"/>
      <c r="C30" s="320"/>
      <c r="D30" s="320"/>
      <c r="E30" s="320"/>
      <c r="F30" s="320"/>
      <c r="G30" s="320"/>
      <c r="H30" s="320"/>
      <c r="I30" s="325"/>
      <c r="J30" s="323"/>
      <c r="K30" s="323"/>
      <c r="L30" s="323"/>
      <c r="M30" s="323"/>
      <c r="N30" s="324"/>
    </row>
    <row r="31" spans="2:14" ht="15" customHeight="1">
      <c r="B31" s="318"/>
      <c r="C31" s="320"/>
      <c r="D31" s="320"/>
      <c r="E31" s="320"/>
      <c r="F31" s="320"/>
      <c r="G31" s="320"/>
      <c r="H31" s="320"/>
      <c r="I31" s="325"/>
      <c r="J31" s="323"/>
      <c r="K31" s="323"/>
      <c r="L31" s="323"/>
      <c r="M31" s="323"/>
      <c r="N31" s="324"/>
    </row>
    <row r="32" spans="2:14" ht="15" customHeight="1">
      <c r="B32" s="318"/>
      <c r="C32" s="320"/>
      <c r="D32" s="320"/>
      <c r="E32" s="320"/>
      <c r="F32" s="320"/>
      <c r="G32" s="320"/>
      <c r="H32" s="320"/>
      <c r="I32" s="325"/>
      <c r="J32" s="323"/>
      <c r="K32" s="323"/>
      <c r="L32" s="323"/>
      <c r="M32" s="323"/>
      <c r="N32" s="324"/>
    </row>
    <row r="33" spans="2:14" ht="15" customHeight="1">
      <c r="B33" s="318"/>
      <c r="C33" s="320"/>
      <c r="D33" s="320"/>
      <c r="E33" s="320"/>
      <c r="F33" s="320"/>
      <c r="G33" s="320"/>
      <c r="H33" s="320"/>
      <c r="I33" s="325"/>
      <c r="J33" s="323"/>
      <c r="K33" s="323"/>
      <c r="L33" s="323"/>
      <c r="M33" s="323"/>
      <c r="N33" s="324"/>
    </row>
    <row r="34" spans="2:14" ht="15" customHeight="1">
      <c r="B34" s="318"/>
      <c r="C34" s="320"/>
      <c r="D34" s="320"/>
      <c r="E34" s="320"/>
      <c r="F34" s="320"/>
      <c r="G34" s="320"/>
      <c r="H34" s="320"/>
      <c r="I34" s="325"/>
      <c r="J34" s="323"/>
      <c r="K34" s="323"/>
      <c r="L34" s="323"/>
      <c r="M34" s="323"/>
      <c r="N34" s="324"/>
    </row>
    <row r="35" spans="2:14" ht="15" customHeight="1">
      <c r="B35" s="318"/>
      <c r="C35" s="320"/>
      <c r="D35" s="320"/>
      <c r="E35" s="320"/>
      <c r="F35" s="320"/>
      <c r="G35" s="320"/>
      <c r="H35" s="320"/>
      <c r="I35" s="325"/>
      <c r="J35" s="323"/>
      <c r="K35" s="323"/>
      <c r="L35" s="323"/>
      <c r="M35" s="323"/>
      <c r="N35" s="324"/>
    </row>
    <row r="36" spans="2:14" ht="15" customHeight="1">
      <c r="B36" s="318"/>
      <c r="C36" s="320"/>
      <c r="D36" s="320"/>
      <c r="E36" s="320"/>
      <c r="F36" s="320"/>
      <c r="G36" s="320"/>
      <c r="H36" s="320"/>
      <c r="I36" s="325"/>
      <c r="J36" s="323"/>
      <c r="K36" s="323"/>
      <c r="L36" s="323"/>
      <c r="M36" s="323"/>
      <c r="N36" s="324"/>
    </row>
    <row r="37" spans="2:14" ht="15" customHeight="1">
      <c r="B37" s="318"/>
      <c r="C37" s="320"/>
      <c r="D37" s="320"/>
      <c r="E37" s="320"/>
      <c r="F37" s="320"/>
      <c r="G37" s="320"/>
      <c r="H37" s="320"/>
      <c r="I37" s="325"/>
      <c r="J37" s="323"/>
      <c r="K37" s="323"/>
      <c r="L37" s="323"/>
      <c r="M37" s="323"/>
      <c r="N37" s="324"/>
    </row>
    <row r="38" spans="2:14" ht="15" customHeight="1">
      <c r="B38" s="318"/>
      <c r="C38" s="320"/>
      <c r="D38" s="320"/>
      <c r="E38" s="320"/>
      <c r="F38" s="320"/>
      <c r="G38" s="320"/>
      <c r="H38" s="320"/>
      <c r="I38" s="325"/>
      <c r="J38" s="323"/>
      <c r="K38" s="323"/>
      <c r="L38" s="323"/>
      <c r="M38" s="323"/>
      <c r="N38" s="324"/>
    </row>
    <row r="39" spans="2:14" ht="15" customHeight="1">
      <c r="B39" s="318"/>
      <c r="C39" s="320"/>
      <c r="D39" s="320"/>
      <c r="E39" s="320"/>
      <c r="F39" s="320"/>
      <c r="G39" s="320"/>
      <c r="H39" s="320"/>
      <c r="I39" s="325"/>
      <c r="J39" s="323"/>
      <c r="K39" s="323"/>
      <c r="L39" s="323"/>
      <c r="M39" s="323"/>
      <c r="N39" s="324"/>
    </row>
    <row r="40" spans="2:14" ht="15" customHeight="1">
      <c r="B40" s="318"/>
      <c r="C40" s="320"/>
      <c r="D40" s="320"/>
      <c r="E40" s="320"/>
      <c r="F40" s="320"/>
      <c r="G40" s="320"/>
      <c r="H40" s="320"/>
      <c r="I40" s="325"/>
      <c r="J40" s="323"/>
      <c r="K40" s="323"/>
      <c r="L40" s="323"/>
      <c r="M40" s="323"/>
      <c r="N40" s="324"/>
    </row>
    <row r="41" spans="2:14" ht="15" customHeight="1">
      <c r="B41" s="318"/>
      <c r="C41" s="320"/>
      <c r="D41" s="320"/>
      <c r="E41" s="320"/>
      <c r="F41" s="320"/>
      <c r="G41" s="320"/>
      <c r="H41" s="320"/>
      <c r="I41" s="325"/>
      <c r="J41" s="323"/>
      <c r="K41" s="323"/>
      <c r="L41" s="323"/>
      <c r="M41" s="323"/>
      <c r="N41" s="324"/>
    </row>
    <row r="42" spans="2:14" ht="15" customHeight="1">
      <c r="B42" s="318"/>
      <c r="C42" s="320"/>
      <c r="D42" s="320"/>
      <c r="E42" s="320"/>
      <c r="F42" s="320"/>
      <c r="G42" s="320"/>
      <c r="H42" s="320"/>
      <c r="I42" s="325"/>
      <c r="J42" s="323"/>
      <c r="K42" s="323"/>
      <c r="L42" s="323"/>
      <c r="M42" s="323"/>
      <c r="N42" s="324"/>
    </row>
    <row r="43" spans="2:14" ht="15" customHeight="1">
      <c r="B43" s="318"/>
      <c r="C43" s="320"/>
      <c r="D43" s="320"/>
      <c r="E43" s="320"/>
      <c r="F43" s="320"/>
      <c r="G43" s="320"/>
      <c r="H43" s="320"/>
      <c r="I43" s="325"/>
      <c r="J43" s="323"/>
      <c r="K43" s="323"/>
      <c r="L43" s="323"/>
      <c r="M43" s="323"/>
      <c r="N43" s="324"/>
    </row>
    <row r="44" spans="2:14" ht="15" customHeight="1">
      <c r="B44" s="318"/>
      <c r="C44" s="320"/>
      <c r="D44" s="320"/>
      <c r="E44" s="320"/>
      <c r="F44" s="320"/>
      <c r="G44" s="320"/>
      <c r="H44" s="320"/>
      <c r="I44" s="325"/>
      <c r="J44" s="323"/>
      <c r="K44" s="323"/>
      <c r="L44" s="323"/>
      <c r="M44" s="323"/>
      <c r="N44" s="324"/>
    </row>
    <row r="45" spans="2:14" ht="15" customHeight="1">
      <c r="B45" s="318"/>
      <c r="C45" s="320"/>
      <c r="D45" s="320"/>
      <c r="E45" s="320"/>
      <c r="F45" s="320"/>
      <c r="G45" s="320"/>
      <c r="H45" s="320"/>
      <c r="I45" s="325"/>
      <c r="J45" s="323"/>
      <c r="K45" s="323"/>
      <c r="L45" s="323"/>
      <c r="M45" s="323"/>
      <c r="N45" s="324"/>
    </row>
    <row r="46" spans="2:14" ht="15" customHeight="1">
      <c r="B46" s="318"/>
      <c r="C46" s="320"/>
      <c r="D46" s="320"/>
      <c r="E46" s="320"/>
      <c r="F46" s="320"/>
      <c r="G46" s="320"/>
      <c r="H46" s="320"/>
      <c r="I46" s="325"/>
      <c r="J46" s="323"/>
      <c r="K46" s="323"/>
      <c r="L46" s="323"/>
      <c r="M46" s="323"/>
      <c r="N46" s="324"/>
    </row>
    <row r="47" spans="2:14" ht="15" customHeight="1">
      <c r="B47" s="318"/>
      <c r="C47" s="320"/>
      <c r="D47" s="320"/>
      <c r="E47" s="320"/>
      <c r="F47" s="320"/>
      <c r="G47" s="320"/>
      <c r="H47" s="320"/>
      <c r="I47" s="325"/>
      <c r="J47" s="323"/>
      <c r="K47" s="323"/>
      <c r="L47" s="323"/>
      <c r="M47" s="323"/>
      <c r="N47" s="324"/>
    </row>
    <row r="48" spans="2:14" ht="15" customHeight="1">
      <c r="B48" s="318"/>
      <c r="C48" s="320"/>
      <c r="D48" s="320"/>
      <c r="E48" s="320"/>
      <c r="F48" s="320"/>
      <c r="G48" s="320"/>
      <c r="H48" s="320"/>
      <c r="I48" s="325"/>
      <c r="J48" s="323"/>
      <c r="K48" s="323"/>
      <c r="L48" s="323"/>
      <c r="M48" s="323"/>
      <c r="N48" s="324"/>
    </row>
    <row r="49" spans="2:14" ht="15" customHeight="1">
      <c r="B49" s="318"/>
      <c r="C49" s="320"/>
      <c r="D49" s="320"/>
      <c r="E49" s="320"/>
      <c r="F49" s="320"/>
      <c r="G49" s="320"/>
      <c r="H49" s="320"/>
      <c r="I49" s="325"/>
      <c r="J49" s="323"/>
      <c r="K49" s="323"/>
      <c r="L49" s="323"/>
      <c r="M49" s="323"/>
      <c r="N49" s="324"/>
    </row>
    <row r="50" spans="2:14" ht="15" customHeight="1">
      <c r="B50" s="318"/>
      <c r="C50" s="320"/>
      <c r="D50" s="320"/>
      <c r="E50" s="320"/>
      <c r="F50" s="320"/>
      <c r="G50" s="320"/>
      <c r="H50" s="320"/>
      <c r="I50" s="325"/>
      <c r="J50" s="323"/>
      <c r="K50" s="323"/>
      <c r="L50" s="323"/>
      <c r="M50" s="323"/>
      <c r="N50" s="324"/>
    </row>
    <row r="51" spans="2:14" ht="15" customHeight="1">
      <c r="B51" s="318"/>
      <c r="C51" s="320"/>
      <c r="D51" s="320"/>
      <c r="E51" s="320"/>
      <c r="F51" s="320"/>
      <c r="G51" s="320"/>
      <c r="H51" s="320"/>
      <c r="I51" s="325"/>
      <c r="J51" s="323"/>
      <c r="K51" s="323"/>
      <c r="L51" s="323"/>
      <c r="M51" s="323"/>
      <c r="N51" s="324"/>
    </row>
    <row r="52" spans="2:14" ht="15" customHeight="1" thickBot="1">
      <c r="B52" s="327"/>
      <c r="C52" s="328"/>
      <c r="D52" s="328"/>
      <c r="E52" s="328"/>
      <c r="F52" s="328"/>
      <c r="G52" s="328"/>
      <c r="H52" s="328"/>
      <c r="I52" s="329"/>
      <c r="J52" s="330"/>
      <c r="K52" s="330"/>
      <c r="L52" s="330"/>
      <c r="M52" s="330"/>
      <c r="N52" s="331"/>
    </row>
    <row r="53" spans="2:14" ht="20.25" customHeight="1" thickBot="1">
      <c r="B53" s="664" t="s">
        <v>361</v>
      </c>
      <c r="C53" s="664"/>
      <c r="D53" s="664"/>
      <c r="E53" s="664"/>
      <c r="F53" s="664"/>
      <c r="G53" s="664"/>
      <c r="H53" s="664"/>
      <c r="I53" s="664"/>
      <c r="J53" s="664"/>
      <c r="K53" s="664"/>
      <c r="L53" s="664"/>
      <c r="M53" s="664"/>
      <c r="N53" s="664"/>
    </row>
    <row r="54" spans="2:14" ht="15" customHeight="1" thickBot="1">
      <c r="B54" s="332" t="s">
        <v>362</v>
      </c>
      <c r="C54" s="665" t="s">
        <v>359</v>
      </c>
      <c r="D54" s="666"/>
      <c r="E54" s="666"/>
      <c r="F54" s="666"/>
      <c r="G54" s="666"/>
      <c r="H54" s="333"/>
      <c r="I54" s="665" t="s">
        <v>354</v>
      </c>
      <c r="J54" s="666"/>
      <c r="K54" s="667"/>
      <c r="L54" s="665" t="s">
        <v>363</v>
      </c>
      <c r="M54" s="666"/>
      <c r="N54" s="668"/>
    </row>
    <row r="55" spans="2:14" ht="15" customHeight="1">
      <c r="B55" s="334"/>
      <c r="C55" s="654"/>
      <c r="D55" s="655"/>
      <c r="E55" s="655"/>
      <c r="F55" s="655"/>
      <c r="G55" s="655"/>
      <c r="H55" s="335"/>
      <c r="I55" s="656"/>
      <c r="J55" s="657"/>
      <c r="K55" s="658"/>
      <c r="L55" s="659"/>
      <c r="M55" s="660"/>
      <c r="N55" s="661"/>
    </row>
    <row r="56" spans="2:14" ht="15" customHeight="1">
      <c r="B56" s="336"/>
      <c r="C56" s="638"/>
      <c r="D56" s="639"/>
      <c r="E56" s="639"/>
      <c r="F56" s="639"/>
      <c r="G56" s="639"/>
      <c r="H56" s="337"/>
      <c r="I56" s="640"/>
      <c r="J56" s="641"/>
      <c r="K56" s="642"/>
      <c r="L56" s="643"/>
      <c r="M56" s="644"/>
      <c r="N56" s="645"/>
    </row>
    <row r="57" spans="2:14" ht="15" customHeight="1">
      <c r="B57" s="336"/>
      <c r="C57" s="638"/>
      <c r="D57" s="639"/>
      <c r="E57" s="639"/>
      <c r="F57" s="639"/>
      <c r="G57" s="639"/>
      <c r="H57" s="337"/>
      <c r="I57" s="640"/>
      <c r="J57" s="641"/>
      <c r="K57" s="642"/>
      <c r="L57" s="643"/>
      <c r="M57" s="644"/>
      <c r="N57" s="645"/>
    </row>
    <row r="58" spans="2:14" ht="15" customHeight="1">
      <c r="B58" s="336"/>
      <c r="C58" s="638"/>
      <c r="D58" s="639"/>
      <c r="E58" s="639"/>
      <c r="F58" s="639"/>
      <c r="G58" s="639"/>
      <c r="H58" s="337"/>
      <c r="I58" s="640"/>
      <c r="J58" s="641"/>
      <c r="K58" s="642"/>
      <c r="L58" s="643"/>
      <c r="M58" s="644"/>
      <c r="N58" s="645"/>
    </row>
    <row r="59" spans="2:14" ht="15" customHeight="1">
      <c r="B59" s="336"/>
      <c r="C59" s="638"/>
      <c r="D59" s="639"/>
      <c r="E59" s="639"/>
      <c r="F59" s="639"/>
      <c r="G59" s="639"/>
      <c r="H59" s="337"/>
      <c r="I59" s="640"/>
      <c r="J59" s="641"/>
      <c r="K59" s="642"/>
      <c r="L59" s="643"/>
      <c r="M59" s="644"/>
      <c r="N59" s="645"/>
    </row>
    <row r="60" spans="2:14" ht="15" customHeight="1">
      <c r="B60" s="336"/>
      <c r="C60" s="638"/>
      <c r="D60" s="639"/>
      <c r="E60" s="639"/>
      <c r="F60" s="639"/>
      <c r="G60" s="639"/>
      <c r="H60" s="337"/>
      <c r="I60" s="640"/>
      <c r="J60" s="641"/>
      <c r="K60" s="642"/>
      <c r="L60" s="643"/>
      <c r="M60" s="644"/>
      <c r="N60" s="645"/>
    </row>
    <row r="61" spans="2:14" ht="15" customHeight="1">
      <c r="B61" s="336"/>
      <c r="C61" s="638"/>
      <c r="D61" s="639"/>
      <c r="E61" s="639"/>
      <c r="F61" s="639"/>
      <c r="G61" s="639"/>
      <c r="H61" s="337"/>
      <c r="I61" s="640"/>
      <c r="J61" s="641"/>
      <c r="K61" s="642"/>
      <c r="L61" s="643"/>
      <c r="M61" s="644"/>
      <c r="N61" s="645"/>
    </row>
    <row r="62" spans="2:14" ht="15" customHeight="1">
      <c r="B62" s="336"/>
      <c r="C62" s="638"/>
      <c r="D62" s="639"/>
      <c r="E62" s="639"/>
      <c r="F62" s="639"/>
      <c r="G62" s="639"/>
      <c r="H62" s="337"/>
      <c r="I62" s="640"/>
      <c r="J62" s="641"/>
      <c r="K62" s="642"/>
      <c r="L62" s="643"/>
      <c r="M62" s="644"/>
      <c r="N62" s="645"/>
    </row>
    <row r="63" spans="2:14" ht="15" customHeight="1">
      <c r="B63" s="336"/>
      <c r="C63" s="638"/>
      <c r="D63" s="639"/>
      <c r="E63" s="639"/>
      <c r="F63" s="639"/>
      <c r="G63" s="639"/>
      <c r="H63" s="337"/>
      <c r="I63" s="640"/>
      <c r="J63" s="641"/>
      <c r="K63" s="642"/>
      <c r="L63" s="643"/>
      <c r="M63" s="644"/>
      <c r="N63" s="645"/>
    </row>
    <row r="64" spans="2:14" ht="15" customHeight="1">
      <c r="B64" s="336"/>
      <c r="C64" s="638"/>
      <c r="D64" s="639"/>
      <c r="E64" s="639"/>
      <c r="F64" s="639"/>
      <c r="G64" s="639"/>
      <c r="H64" s="337"/>
      <c r="I64" s="640"/>
      <c r="J64" s="641"/>
      <c r="K64" s="642"/>
      <c r="L64" s="643"/>
      <c r="M64" s="644"/>
      <c r="N64" s="645"/>
    </row>
    <row r="65" spans="2:14" ht="15" customHeight="1">
      <c r="B65" s="336"/>
      <c r="C65" s="638"/>
      <c r="D65" s="639"/>
      <c r="E65" s="639"/>
      <c r="F65" s="639"/>
      <c r="G65" s="639"/>
      <c r="H65" s="337"/>
      <c r="I65" s="640"/>
      <c r="J65" s="641"/>
      <c r="K65" s="642"/>
      <c r="L65" s="643"/>
      <c r="M65" s="644"/>
      <c r="N65" s="645"/>
    </row>
    <row r="66" spans="2:14" ht="15" customHeight="1">
      <c r="B66" s="336"/>
      <c r="C66" s="638"/>
      <c r="D66" s="639"/>
      <c r="E66" s="639"/>
      <c r="F66" s="639"/>
      <c r="G66" s="639"/>
      <c r="H66" s="337"/>
      <c r="I66" s="640"/>
      <c r="J66" s="641"/>
      <c r="K66" s="642"/>
      <c r="L66" s="643"/>
      <c r="M66" s="644"/>
      <c r="N66" s="645"/>
    </row>
    <row r="67" spans="2:14" ht="15" customHeight="1">
      <c r="B67" s="336"/>
      <c r="C67" s="638"/>
      <c r="D67" s="639"/>
      <c r="E67" s="639"/>
      <c r="F67" s="639"/>
      <c r="G67" s="639"/>
      <c r="H67" s="337"/>
      <c r="I67" s="640"/>
      <c r="J67" s="641"/>
      <c r="K67" s="642"/>
      <c r="L67" s="643"/>
      <c r="M67" s="644"/>
      <c r="N67" s="645"/>
    </row>
    <row r="68" spans="2:14" ht="15" customHeight="1">
      <c r="B68" s="336"/>
      <c r="C68" s="638"/>
      <c r="D68" s="639"/>
      <c r="E68" s="639"/>
      <c r="F68" s="639"/>
      <c r="G68" s="639"/>
      <c r="H68" s="337"/>
      <c r="I68" s="640"/>
      <c r="J68" s="641"/>
      <c r="K68" s="642"/>
      <c r="L68" s="643"/>
      <c r="M68" s="644"/>
      <c r="N68" s="645"/>
    </row>
    <row r="69" spans="2:14" ht="15" customHeight="1">
      <c r="B69" s="336"/>
      <c r="C69" s="638"/>
      <c r="D69" s="639"/>
      <c r="E69" s="639"/>
      <c r="F69" s="639"/>
      <c r="G69" s="639"/>
      <c r="H69" s="337"/>
      <c r="I69" s="640"/>
      <c r="J69" s="641"/>
      <c r="K69" s="642"/>
      <c r="L69" s="643"/>
      <c r="M69" s="644"/>
      <c r="N69" s="645"/>
    </row>
    <row r="70" spans="2:14" ht="15" customHeight="1">
      <c r="B70" s="336"/>
      <c r="C70" s="638"/>
      <c r="D70" s="639"/>
      <c r="E70" s="639"/>
      <c r="F70" s="639"/>
      <c r="G70" s="639"/>
      <c r="H70" s="337"/>
      <c r="I70" s="640"/>
      <c r="J70" s="641"/>
      <c r="K70" s="642"/>
      <c r="L70" s="643"/>
      <c r="M70" s="644"/>
      <c r="N70" s="645"/>
    </row>
    <row r="71" spans="2:14" ht="15" customHeight="1">
      <c r="B71" s="336"/>
      <c r="C71" s="638"/>
      <c r="D71" s="639"/>
      <c r="E71" s="639"/>
      <c r="F71" s="639"/>
      <c r="G71" s="639"/>
      <c r="H71" s="337"/>
      <c r="I71" s="640"/>
      <c r="J71" s="641"/>
      <c r="K71" s="642"/>
      <c r="L71" s="643"/>
      <c r="M71" s="644"/>
      <c r="N71" s="645"/>
    </row>
    <row r="72" spans="2:14">
      <c r="B72" s="336"/>
      <c r="C72" s="638"/>
      <c r="D72" s="639"/>
      <c r="E72" s="639"/>
      <c r="F72" s="639"/>
      <c r="G72" s="639"/>
      <c r="H72" s="337"/>
      <c r="I72" s="640"/>
      <c r="J72" s="641"/>
      <c r="K72" s="642"/>
      <c r="L72" s="643"/>
      <c r="M72" s="644"/>
      <c r="N72" s="645"/>
    </row>
    <row r="73" spans="2:14">
      <c r="B73" s="336"/>
      <c r="C73" s="638"/>
      <c r="D73" s="639"/>
      <c r="E73" s="639"/>
      <c r="F73" s="639"/>
      <c r="G73" s="639"/>
      <c r="H73" s="337"/>
      <c r="I73" s="640"/>
      <c r="J73" s="641"/>
      <c r="K73" s="642"/>
      <c r="L73" s="643"/>
      <c r="M73" s="644"/>
      <c r="N73" s="645"/>
    </row>
    <row r="74" spans="2:14">
      <c r="B74" s="336"/>
      <c r="C74" s="638"/>
      <c r="D74" s="639"/>
      <c r="E74" s="639"/>
      <c r="F74" s="639"/>
      <c r="G74" s="639"/>
      <c r="H74" s="337"/>
      <c r="I74" s="640"/>
      <c r="J74" s="641"/>
      <c r="K74" s="642"/>
      <c r="L74" s="643"/>
      <c r="M74" s="644"/>
      <c r="N74" s="645"/>
    </row>
    <row r="75" spans="2:14">
      <c r="B75" s="336"/>
      <c r="C75" s="638"/>
      <c r="D75" s="639"/>
      <c r="E75" s="639"/>
      <c r="F75" s="639"/>
      <c r="G75" s="639"/>
      <c r="H75" s="337"/>
      <c r="I75" s="640"/>
      <c r="J75" s="641"/>
      <c r="K75" s="642"/>
      <c r="L75" s="643"/>
      <c r="M75" s="644"/>
      <c r="N75" s="645"/>
    </row>
    <row r="76" spans="2:14">
      <c r="B76" s="336"/>
      <c r="C76" s="638"/>
      <c r="D76" s="639"/>
      <c r="E76" s="639"/>
      <c r="F76" s="639"/>
      <c r="G76" s="639"/>
      <c r="H76" s="337"/>
      <c r="I76" s="640"/>
      <c r="J76" s="641"/>
      <c r="K76" s="642"/>
      <c r="L76" s="643"/>
      <c r="M76" s="644"/>
      <c r="N76" s="645"/>
    </row>
    <row r="77" spans="2:14">
      <c r="B77" s="336"/>
      <c r="C77" s="638"/>
      <c r="D77" s="639"/>
      <c r="E77" s="639"/>
      <c r="F77" s="639"/>
      <c r="G77" s="639"/>
      <c r="H77" s="337"/>
      <c r="I77" s="640"/>
      <c r="J77" s="641"/>
      <c r="K77" s="642"/>
      <c r="L77" s="643"/>
      <c r="M77" s="644"/>
      <c r="N77" s="645"/>
    </row>
    <row r="78" spans="2:14">
      <c r="B78" s="336"/>
      <c r="C78" s="638"/>
      <c r="D78" s="639"/>
      <c r="E78" s="639"/>
      <c r="F78" s="639"/>
      <c r="G78" s="639"/>
      <c r="H78" s="337"/>
      <c r="I78" s="640"/>
      <c r="J78" s="641"/>
      <c r="K78" s="642"/>
      <c r="L78" s="643"/>
      <c r="M78" s="644"/>
      <c r="N78" s="645"/>
    </row>
    <row r="79" spans="2:14" ht="13.5" thickBot="1">
      <c r="B79" s="338"/>
      <c r="C79" s="646"/>
      <c r="D79" s="647"/>
      <c r="E79" s="647"/>
      <c r="F79" s="647"/>
      <c r="G79" s="647"/>
      <c r="H79" s="339"/>
      <c r="I79" s="648"/>
      <c r="J79" s="649"/>
      <c r="K79" s="650"/>
      <c r="L79" s="651"/>
      <c r="M79" s="652"/>
      <c r="N79" s="653"/>
    </row>
  </sheetData>
  <mergeCells count="80">
    <mergeCell ref="C55:G55"/>
    <mergeCell ref="I55:K55"/>
    <mergeCell ref="L55:N55"/>
    <mergeCell ref="B2:G4"/>
    <mergeCell ref="B53:N53"/>
    <mergeCell ref="C54:G54"/>
    <mergeCell ref="I54:K54"/>
    <mergeCell ref="L54:N54"/>
    <mergeCell ref="C56:G56"/>
    <mergeCell ref="I56:K56"/>
    <mergeCell ref="L56:N56"/>
    <mergeCell ref="C57:G57"/>
    <mergeCell ref="I57:K57"/>
    <mergeCell ref="L57:N57"/>
    <mergeCell ref="C58:G58"/>
    <mergeCell ref="I58:K58"/>
    <mergeCell ref="L58:N58"/>
    <mergeCell ref="C59:G59"/>
    <mergeCell ref="I59:K59"/>
    <mergeCell ref="L59:N59"/>
    <mergeCell ref="C60:G60"/>
    <mergeCell ref="I60:K60"/>
    <mergeCell ref="L60:N60"/>
    <mergeCell ref="C61:G61"/>
    <mergeCell ref="I61:K61"/>
    <mergeCell ref="L61:N61"/>
    <mergeCell ref="C62:G62"/>
    <mergeCell ref="I62:K62"/>
    <mergeCell ref="L62:N62"/>
    <mergeCell ref="C63:G63"/>
    <mergeCell ref="I63:K63"/>
    <mergeCell ref="L63:N63"/>
    <mergeCell ref="C64:G64"/>
    <mergeCell ref="I64:K64"/>
    <mergeCell ref="L64:N64"/>
    <mergeCell ref="C65:G65"/>
    <mergeCell ref="I65:K65"/>
    <mergeCell ref="L65:N65"/>
    <mergeCell ref="C66:G66"/>
    <mergeCell ref="I66:K66"/>
    <mergeCell ref="L66:N66"/>
    <mergeCell ref="C67:G67"/>
    <mergeCell ref="I67:K67"/>
    <mergeCell ref="L67:N67"/>
    <mergeCell ref="C68:G68"/>
    <mergeCell ref="I68:K68"/>
    <mergeCell ref="L68:N68"/>
    <mergeCell ref="C69:G69"/>
    <mergeCell ref="I69:K69"/>
    <mergeCell ref="L69:N69"/>
    <mergeCell ref="C70:G70"/>
    <mergeCell ref="I70:K70"/>
    <mergeCell ref="L70:N70"/>
    <mergeCell ref="C71:G71"/>
    <mergeCell ref="I71:K71"/>
    <mergeCell ref="L71:N71"/>
    <mergeCell ref="C72:G72"/>
    <mergeCell ref="I72:K72"/>
    <mergeCell ref="L72:N72"/>
    <mergeCell ref="C73:G73"/>
    <mergeCell ref="I73:K73"/>
    <mergeCell ref="L73:N73"/>
    <mergeCell ref="C74:G74"/>
    <mergeCell ref="I74:K74"/>
    <mergeCell ref="L74:N74"/>
    <mergeCell ref="C75:G75"/>
    <mergeCell ref="I75:K75"/>
    <mergeCell ref="L75:N75"/>
    <mergeCell ref="C76:G76"/>
    <mergeCell ref="I76:K76"/>
    <mergeCell ref="L76:N76"/>
    <mergeCell ref="C77:G77"/>
    <mergeCell ref="I77:K77"/>
    <mergeCell ref="L77:N77"/>
    <mergeCell ref="C78:G78"/>
    <mergeCell ref="I78:K78"/>
    <mergeCell ref="L78:N78"/>
    <mergeCell ref="C79:G79"/>
    <mergeCell ref="I79:K79"/>
    <mergeCell ref="L79:N79"/>
  </mergeCells>
  <printOptions horizontalCentered="1"/>
  <pageMargins left="0" right="0" top="0.5" bottom="0.5" header="0.5" footer="0.5"/>
  <pageSetup scale="53" orientation="portrait" horizontalDpi="0"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31"/>
  <sheetViews>
    <sheetView workbookViewId="0">
      <selection activeCell="I6" sqref="I6"/>
    </sheetView>
  </sheetViews>
  <sheetFormatPr defaultRowHeight="12.75"/>
  <cols>
    <col min="1" max="6" width="14.7109375" customWidth="1"/>
  </cols>
  <sheetData>
    <row r="1" spans="1:7" ht="20.25">
      <c r="A1" s="689" t="s">
        <v>371</v>
      </c>
      <c r="B1" s="689"/>
      <c r="C1" s="689"/>
      <c r="D1" s="689"/>
      <c r="E1" s="689"/>
      <c r="F1" s="689"/>
    </row>
    <row r="2" spans="1:7" ht="19.5" thickBot="1">
      <c r="A2" s="340"/>
      <c r="B2" s="340"/>
      <c r="C2" s="690" t="s">
        <v>383</v>
      </c>
      <c r="D2" s="690"/>
      <c r="E2" s="340"/>
      <c r="F2" s="340"/>
      <c r="G2" s="340"/>
    </row>
    <row r="3" spans="1:7" ht="19.5">
      <c r="A3" s="677" t="s">
        <v>372</v>
      </c>
      <c r="B3" s="678"/>
      <c r="C3" s="679"/>
      <c r="D3" s="677" t="s">
        <v>373</v>
      </c>
      <c r="E3" s="678"/>
      <c r="F3" s="679"/>
      <c r="G3" s="340"/>
    </row>
    <row r="4" spans="1:7" ht="15.75">
      <c r="A4" s="341" t="s">
        <v>384</v>
      </c>
      <c r="B4" s="691" t="s">
        <v>386</v>
      </c>
      <c r="C4" s="684"/>
      <c r="D4" s="692" t="s">
        <v>397</v>
      </c>
      <c r="E4" s="693"/>
      <c r="F4" s="694"/>
      <c r="G4" s="340"/>
    </row>
    <row r="5" spans="1:7" ht="16.5" thickBot="1">
      <c r="A5" s="342" t="s">
        <v>385</v>
      </c>
      <c r="B5" s="672" t="s">
        <v>385</v>
      </c>
      <c r="C5" s="673"/>
      <c r="D5" s="674" t="s">
        <v>387</v>
      </c>
      <c r="E5" s="675"/>
      <c r="F5" s="676"/>
      <c r="G5" s="340"/>
    </row>
    <row r="6" spans="1:7" ht="19.5">
      <c r="A6" s="677" t="s">
        <v>374</v>
      </c>
      <c r="B6" s="678"/>
      <c r="C6" s="678"/>
      <c r="D6" s="678"/>
      <c r="E6" s="678"/>
      <c r="F6" s="679"/>
      <c r="G6" s="340"/>
    </row>
    <row r="7" spans="1:7" ht="15.75">
      <c r="A7" s="343" t="s">
        <v>375</v>
      </c>
      <c r="B7" s="344" t="s">
        <v>388</v>
      </c>
      <c r="C7" s="345" t="s">
        <v>376</v>
      </c>
      <c r="D7" s="346" t="s">
        <v>389</v>
      </c>
      <c r="E7" s="680" t="s">
        <v>377</v>
      </c>
      <c r="F7" s="681"/>
      <c r="G7" s="340"/>
    </row>
    <row r="8" spans="1:7" ht="16.5" thickBot="1">
      <c r="A8" s="347"/>
      <c r="B8" s="348" t="s">
        <v>385</v>
      </c>
      <c r="C8" s="349"/>
      <c r="D8" s="350" t="s">
        <v>385</v>
      </c>
      <c r="E8" s="682" t="s">
        <v>390</v>
      </c>
      <c r="F8" s="676"/>
      <c r="G8" s="340"/>
    </row>
    <row r="9" spans="1:7" ht="19.5">
      <c r="A9" s="677" t="s">
        <v>378</v>
      </c>
      <c r="B9" s="678"/>
      <c r="C9" s="679"/>
      <c r="D9" s="677" t="s">
        <v>379</v>
      </c>
      <c r="E9" s="678"/>
      <c r="F9" s="679"/>
      <c r="G9" s="340"/>
    </row>
    <row r="10" spans="1:7" ht="15.75">
      <c r="A10" s="351" t="s">
        <v>380</v>
      </c>
      <c r="B10" s="683" t="s">
        <v>391</v>
      </c>
      <c r="C10" s="684"/>
      <c r="D10" s="685" t="s">
        <v>393</v>
      </c>
      <c r="E10" s="686"/>
      <c r="F10" s="352" t="s">
        <v>394</v>
      </c>
      <c r="G10" s="340"/>
    </row>
    <row r="11" spans="1:7" ht="16.5" thickBot="1">
      <c r="A11" s="353" t="s">
        <v>381</v>
      </c>
      <c r="B11" s="675" t="s">
        <v>392</v>
      </c>
      <c r="C11" s="676"/>
      <c r="D11" s="687"/>
      <c r="E11" s="688"/>
      <c r="F11" s="354" t="s">
        <v>385</v>
      </c>
      <c r="G11" s="340"/>
    </row>
    <row r="12" spans="1:7" ht="19.5">
      <c r="A12" s="677" t="s">
        <v>382</v>
      </c>
      <c r="B12" s="678"/>
      <c r="C12" s="678"/>
      <c r="D12" s="678"/>
      <c r="E12" s="678"/>
      <c r="F12" s="679"/>
      <c r="G12" s="340"/>
    </row>
    <row r="13" spans="1:7" ht="16.5" thickBot="1">
      <c r="A13" s="669" t="s">
        <v>395</v>
      </c>
      <c r="B13" s="670"/>
      <c r="C13" s="671" t="s">
        <v>396</v>
      </c>
      <c r="D13" s="671"/>
      <c r="E13" s="671"/>
      <c r="F13" s="355"/>
      <c r="G13" s="340"/>
    </row>
    <row r="14" spans="1:7" ht="18.95" customHeight="1">
      <c r="A14" s="356"/>
      <c r="B14" s="356"/>
      <c r="C14" s="356"/>
      <c r="D14" s="356"/>
      <c r="E14" s="356"/>
      <c r="F14" s="356"/>
      <c r="G14" s="340"/>
    </row>
    <row r="15" spans="1:7" ht="15.75">
      <c r="G15" s="340"/>
    </row>
    <row r="16" spans="1:7" ht="15.75">
      <c r="G16" s="340"/>
    </row>
    <row r="17" spans="7:7" ht="15.75">
      <c r="G17" s="340"/>
    </row>
    <row r="18" spans="7:7" ht="15.75">
      <c r="G18" s="340"/>
    </row>
    <row r="19" spans="7:7" ht="15.75">
      <c r="G19" s="340"/>
    </row>
    <row r="20" spans="7:7" ht="15.75">
      <c r="G20" s="340"/>
    </row>
    <row r="21" spans="7:7" ht="15.75">
      <c r="G21" s="340"/>
    </row>
    <row r="22" spans="7:7" ht="15.75">
      <c r="G22" s="340"/>
    </row>
    <row r="23" spans="7:7" ht="15.75">
      <c r="G23" s="340"/>
    </row>
    <row r="24" spans="7:7" ht="15.75">
      <c r="G24" s="340"/>
    </row>
    <row r="25" spans="7:7" ht="15.75">
      <c r="G25" s="340"/>
    </row>
    <row r="26" spans="7:7" ht="15.75">
      <c r="G26" s="340"/>
    </row>
    <row r="27" spans="7:7" ht="18.95" customHeight="1">
      <c r="G27" s="340"/>
    </row>
    <row r="28" spans="7:7" ht="15.75">
      <c r="G28" s="340"/>
    </row>
    <row r="29" spans="7:7" ht="15.75">
      <c r="G29" s="340"/>
    </row>
    <row r="30" spans="7:7" ht="15.75">
      <c r="G30" s="340"/>
    </row>
    <row r="31" spans="7:7" ht="15.75">
      <c r="G31" s="340"/>
    </row>
  </sheetData>
  <mergeCells count="20">
    <mergeCell ref="A1:F1"/>
    <mergeCell ref="C2:D2"/>
    <mergeCell ref="A3:C3"/>
    <mergeCell ref="D3:F3"/>
    <mergeCell ref="B4:C4"/>
    <mergeCell ref="D4:F4"/>
    <mergeCell ref="A13:B13"/>
    <mergeCell ref="C13:E13"/>
    <mergeCell ref="B5:C5"/>
    <mergeCell ref="D5:F5"/>
    <mergeCell ref="A6:F6"/>
    <mergeCell ref="E7:F7"/>
    <mergeCell ref="E8:F8"/>
    <mergeCell ref="A9:C9"/>
    <mergeCell ref="D9:F9"/>
    <mergeCell ref="B10:C10"/>
    <mergeCell ref="D10:E10"/>
    <mergeCell ref="B11:C11"/>
    <mergeCell ref="D11:E11"/>
    <mergeCell ref="A12:F12"/>
  </mergeCells>
  <printOptions horizontalCentered="1"/>
  <pageMargins left="0.75" right="0.75" top="1" bottom="1" header="0.5" footer="0.5"/>
  <pageSetup orientation="portrait" horizontalDpi="0" verticalDpi="300"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yncVertical="1" syncRef="A1" transitionEvaluation="1"/>
  <dimension ref="A1:N121"/>
  <sheetViews>
    <sheetView showGridLines="0" tabSelected="1" zoomScale="90" workbookViewId="0">
      <selection activeCell="M26" sqref="M26"/>
    </sheetView>
  </sheetViews>
  <sheetFormatPr defaultColWidth="12.5703125" defaultRowHeight="15.75"/>
  <cols>
    <col min="1" max="13" width="7" style="444" customWidth="1"/>
    <col min="14" max="14" width="7.140625" style="444" customWidth="1"/>
    <col min="15" max="16384" width="12.5703125" style="444"/>
  </cols>
  <sheetData>
    <row r="1" spans="1:14" ht="17.100000000000001" customHeight="1">
      <c r="A1" s="437" t="s">
        <v>252</v>
      </c>
      <c r="B1" s="438"/>
      <c r="C1" s="438"/>
      <c r="D1" s="438"/>
      <c r="E1" s="438"/>
      <c r="F1" s="438"/>
      <c r="G1" s="438"/>
      <c r="H1" s="438"/>
      <c r="I1" s="438"/>
      <c r="J1" s="439" t="s">
        <v>592</v>
      </c>
      <c r="K1" s="440"/>
      <c r="L1" s="441" t="s">
        <v>593</v>
      </c>
      <c r="M1" s="442"/>
      <c r="N1" s="443"/>
    </row>
    <row r="2" spans="1:14" ht="17.100000000000001" customHeight="1">
      <c r="A2" s="445" t="s">
        <v>594</v>
      </c>
      <c r="B2" s="446"/>
      <c r="C2" s="446"/>
      <c r="D2" s="446"/>
      <c r="E2" s="446"/>
      <c r="F2" s="446"/>
      <c r="G2" s="446"/>
      <c r="H2" s="446"/>
      <c r="I2" s="446"/>
      <c r="J2" s="447" t="s">
        <v>595</v>
      </c>
      <c r="K2" s="448"/>
      <c r="L2" s="449" t="s">
        <v>596</v>
      </c>
      <c r="M2" s="450"/>
      <c r="N2" s="443"/>
    </row>
    <row r="3" spans="1:14" ht="15.95" customHeight="1">
      <c r="A3" s="451"/>
      <c r="B3" s="452"/>
      <c r="C3" s="452"/>
      <c r="D3" s="452"/>
      <c r="E3" s="452"/>
      <c r="F3" s="452"/>
      <c r="G3" s="452"/>
      <c r="H3" s="452"/>
      <c r="I3" s="452"/>
      <c r="J3" s="447" t="s">
        <v>597</v>
      </c>
      <c r="K3" s="448"/>
      <c r="L3" s="453" t="s">
        <v>762</v>
      </c>
      <c r="M3" s="450"/>
      <c r="N3" s="443"/>
    </row>
    <row r="4" spans="1:14" ht="15.95" customHeight="1">
      <c r="A4" s="454"/>
      <c r="B4" s="452"/>
      <c r="C4" s="452"/>
      <c r="D4" s="452"/>
      <c r="E4" s="452"/>
      <c r="F4" s="452"/>
      <c r="G4" s="452"/>
      <c r="H4" s="452"/>
      <c r="I4" s="452"/>
      <c r="J4" s="447" t="s">
        <v>598</v>
      </c>
      <c r="K4" s="448"/>
      <c r="L4" s="455" t="s">
        <v>763</v>
      </c>
      <c r="M4" s="450"/>
      <c r="N4" s="443"/>
    </row>
    <row r="5" spans="1:14" ht="15.95" customHeight="1">
      <c r="A5" s="451"/>
      <c r="B5" s="452"/>
      <c r="C5" s="452"/>
      <c r="D5" s="452"/>
      <c r="E5" s="452"/>
      <c r="F5" s="452"/>
      <c r="G5" s="452"/>
      <c r="H5" s="452"/>
      <c r="I5" s="452"/>
      <c r="J5" s="447" t="s">
        <v>599</v>
      </c>
      <c r="K5" s="448"/>
      <c r="L5" s="449">
        <v>2</v>
      </c>
      <c r="M5" s="450"/>
      <c r="N5" s="443"/>
    </row>
    <row r="6" spans="1:14" ht="15.95" customHeight="1">
      <c r="A6" s="456" t="s">
        <v>600</v>
      </c>
      <c r="B6" s="452"/>
      <c r="C6" s="452"/>
      <c r="D6" s="452"/>
      <c r="E6" s="452"/>
      <c r="F6" s="452"/>
      <c r="G6" s="452"/>
      <c r="H6" s="452"/>
      <c r="I6" s="452"/>
      <c r="J6" s="447" t="s">
        <v>601</v>
      </c>
      <c r="K6" s="448"/>
      <c r="L6" s="457" t="s">
        <v>764</v>
      </c>
      <c r="M6" s="450"/>
      <c r="N6" s="443"/>
    </row>
    <row r="7" spans="1:14" ht="15.95" customHeight="1" thickBot="1">
      <c r="A7" s="458" t="s">
        <v>602</v>
      </c>
      <c r="B7" s="459"/>
      <c r="C7" s="459"/>
      <c r="D7" s="459"/>
      <c r="E7" s="459"/>
      <c r="F7" s="459"/>
      <c r="G7" s="459"/>
      <c r="H7" s="459"/>
      <c r="I7" s="459"/>
      <c r="J7" s="460" t="s">
        <v>603</v>
      </c>
      <c r="K7" s="461"/>
      <c r="L7" s="462" t="s">
        <v>765</v>
      </c>
      <c r="M7" s="463"/>
      <c r="N7" s="443"/>
    </row>
    <row r="8" spans="1:14" ht="15.95" customHeight="1">
      <c r="A8" s="464"/>
      <c r="B8" s="452"/>
      <c r="C8" s="452"/>
      <c r="D8" s="452"/>
      <c r="E8" s="452"/>
      <c r="F8" s="452"/>
      <c r="G8" s="452"/>
      <c r="H8" s="452"/>
      <c r="I8" s="452"/>
      <c r="J8" s="452"/>
      <c r="K8" s="465"/>
      <c r="L8" s="466"/>
      <c r="M8" s="467"/>
      <c r="N8" s="452"/>
    </row>
    <row r="9" spans="1:14" ht="12" customHeight="1">
      <c r="A9" s="468"/>
      <c r="B9" s="469" t="s">
        <v>604</v>
      </c>
      <c r="C9" s="470"/>
      <c r="D9" s="471"/>
      <c r="E9" s="471"/>
      <c r="F9" s="471"/>
      <c r="G9" s="471"/>
      <c r="H9" s="471"/>
      <c r="I9" s="471"/>
      <c r="J9" s="471"/>
      <c r="K9" s="472"/>
      <c r="L9" s="473"/>
      <c r="M9" s="471"/>
      <c r="N9" s="452"/>
    </row>
    <row r="10" spans="1:14" ht="12" customHeight="1">
      <c r="A10" s="468"/>
      <c r="B10" s="469" t="s">
        <v>605</v>
      </c>
      <c r="C10" s="474"/>
      <c r="D10" s="473"/>
      <c r="E10" s="473"/>
      <c r="F10" s="473"/>
      <c r="G10" s="473"/>
      <c r="H10" s="473"/>
      <c r="I10" s="473"/>
      <c r="J10" s="473"/>
      <c r="K10" s="473"/>
      <c r="L10" s="473"/>
      <c r="M10" s="473"/>
      <c r="N10" s="466"/>
    </row>
    <row r="11" spans="1:14" ht="16.5" thickBot="1">
      <c r="A11" s="475"/>
      <c r="B11" s="475"/>
      <c r="C11" s="475"/>
      <c r="D11" s="475"/>
      <c r="E11" s="475"/>
      <c r="F11" s="475"/>
      <c r="G11" s="475"/>
      <c r="H11" s="475"/>
      <c r="I11" s="475"/>
      <c r="J11" s="475"/>
      <c r="K11" s="475"/>
      <c r="L11" s="475"/>
      <c r="M11" s="475"/>
      <c r="N11" s="475"/>
    </row>
    <row r="12" spans="1:14" ht="20.100000000000001" customHeight="1" thickBot="1">
      <c r="A12" s="476" t="s">
        <v>606</v>
      </c>
      <c r="B12" s="477"/>
      <c r="C12" s="477"/>
      <c r="D12" s="477"/>
      <c r="E12" s="477"/>
      <c r="F12" s="477"/>
      <c r="G12" s="477"/>
      <c r="H12" s="477"/>
      <c r="I12" s="477"/>
      <c r="J12" s="477"/>
      <c r="K12" s="477"/>
      <c r="L12" s="477"/>
      <c r="M12" s="478"/>
      <c r="N12" s="443"/>
    </row>
    <row r="13" spans="1:14" ht="12.95" customHeight="1" thickTop="1">
      <c r="A13" s="479"/>
      <c r="B13" s="480" t="s">
        <v>607</v>
      </c>
      <c r="C13" s="481">
        <v>1500</v>
      </c>
      <c r="D13" s="473"/>
      <c r="E13" s="480" t="s">
        <v>608</v>
      </c>
      <c r="F13" s="481">
        <v>4000</v>
      </c>
      <c r="G13" s="473"/>
      <c r="H13" s="480" t="s">
        <v>609</v>
      </c>
      <c r="I13" s="481" t="s">
        <v>691</v>
      </c>
      <c r="J13" s="473"/>
      <c r="K13" s="473"/>
      <c r="L13" s="480" t="s">
        <v>610</v>
      </c>
      <c r="M13" s="482">
        <v>3600</v>
      </c>
      <c r="N13" s="443"/>
    </row>
    <row r="14" spans="1:14" ht="12.95" customHeight="1">
      <c r="A14" s="479"/>
      <c r="B14" s="480" t="s">
        <v>611</v>
      </c>
      <c r="C14" s="481" t="s">
        <v>177</v>
      </c>
      <c r="D14" s="473"/>
      <c r="E14" s="480" t="s">
        <v>612</v>
      </c>
      <c r="F14" s="481" t="s">
        <v>694</v>
      </c>
      <c r="G14" s="473"/>
      <c r="H14" s="480" t="s">
        <v>613</v>
      </c>
      <c r="I14" s="481">
        <v>187</v>
      </c>
      <c r="J14" s="473"/>
      <c r="K14" s="473"/>
      <c r="L14" s="480" t="s">
        <v>414</v>
      </c>
      <c r="M14" s="482">
        <v>3581</v>
      </c>
      <c r="N14" s="443"/>
    </row>
    <row r="15" spans="1:14" ht="12.95" customHeight="1">
      <c r="A15" s="479"/>
      <c r="B15" s="480" t="s">
        <v>614</v>
      </c>
      <c r="C15" s="481" t="s">
        <v>176</v>
      </c>
      <c r="D15" s="473"/>
      <c r="E15" s="480" t="s">
        <v>615</v>
      </c>
      <c r="F15" s="481">
        <v>1.1499999999999999</v>
      </c>
      <c r="G15" s="473"/>
      <c r="H15" s="483" t="s">
        <v>616</v>
      </c>
      <c r="I15" s="481" t="s">
        <v>174</v>
      </c>
      <c r="J15" s="473"/>
      <c r="K15" s="473"/>
      <c r="L15" s="480" t="s">
        <v>617</v>
      </c>
      <c r="M15" s="482" t="s">
        <v>347</v>
      </c>
      <c r="N15" s="443"/>
    </row>
    <row r="16" spans="1:14" ht="12.95" customHeight="1">
      <c r="A16" s="479"/>
      <c r="B16" s="480" t="s">
        <v>618</v>
      </c>
      <c r="C16" s="481" t="s">
        <v>690</v>
      </c>
      <c r="D16" s="473"/>
      <c r="E16" s="480" t="s">
        <v>619</v>
      </c>
      <c r="F16" s="481" t="s">
        <v>468</v>
      </c>
      <c r="G16" s="473"/>
      <c r="H16" s="484" t="s">
        <v>620</v>
      </c>
      <c r="I16" s="485" t="s">
        <v>347</v>
      </c>
      <c r="J16" s="473"/>
      <c r="K16" s="473"/>
      <c r="L16" s="480" t="s">
        <v>621</v>
      </c>
      <c r="M16" s="482" t="s">
        <v>622</v>
      </c>
      <c r="N16" s="443"/>
    </row>
    <row r="17" spans="1:14" ht="12.95" customHeight="1">
      <c r="A17" s="479"/>
      <c r="B17" s="480" t="s">
        <v>623</v>
      </c>
      <c r="C17" s="486" t="s">
        <v>692</v>
      </c>
      <c r="D17" s="473"/>
      <c r="E17" s="480"/>
      <c r="F17" s="487"/>
      <c r="G17" s="473"/>
      <c r="H17" s="480" t="s">
        <v>624</v>
      </c>
      <c r="I17" s="485"/>
      <c r="J17" s="473"/>
      <c r="K17" s="473"/>
      <c r="L17" s="480"/>
      <c r="M17" s="488"/>
      <c r="N17" s="443"/>
    </row>
    <row r="18" spans="1:14" ht="12.95" customHeight="1" thickBot="1">
      <c r="A18" s="489"/>
      <c r="B18" s="490" t="s">
        <v>625</v>
      </c>
      <c r="C18" s="491" t="s">
        <v>174</v>
      </c>
      <c r="D18" s="492"/>
      <c r="E18" s="493" t="s">
        <v>626</v>
      </c>
      <c r="F18" s="491" t="s">
        <v>174</v>
      </c>
      <c r="G18" s="494"/>
      <c r="H18" s="493" t="s">
        <v>627</v>
      </c>
      <c r="I18" s="491" t="s">
        <v>174</v>
      </c>
      <c r="J18" s="492"/>
      <c r="K18" s="492"/>
      <c r="L18" s="492"/>
      <c r="M18" s="495"/>
      <c r="N18" s="443"/>
    </row>
    <row r="19" spans="1:14" ht="16.5" thickBot="1">
      <c r="A19" s="443"/>
      <c r="B19" s="443"/>
      <c r="C19" s="443"/>
      <c r="D19" s="443"/>
      <c r="E19" s="443"/>
      <c r="F19" s="443"/>
      <c r="G19" s="443"/>
      <c r="H19" s="443"/>
      <c r="I19" s="443"/>
      <c r="J19" s="443"/>
      <c r="K19" s="443"/>
      <c r="L19" s="443"/>
      <c r="M19" s="443"/>
      <c r="N19" s="443"/>
    </row>
    <row r="20" spans="1:14" ht="20.100000000000001" customHeight="1" thickBot="1">
      <c r="A20" s="476"/>
      <c r="B20" s="477"/>
      <c r="C20" s="477"/>
      <c r="D20" s="477"/>
      <c r="E20" s="477"/>
      <c r="F20" s="477"/>
      <c r="G20" s="477"/>
      <c r="H20" s="477"/>
      <c r="I20" s="477"/>
      <c r="J20" s="477"/>
      <c r="K20" s="477"/>
      <c r="L20" s="477"/>
      <c r="M20" s="478"/>
    </row>
    <row r="21" spans="1:14" ht="15.95" customHeight="1" thickTop="1">
      <c r="A21" s="496" t="s">
        <v>628</v>
      </c>
      <c r="B21" s="497"/>
      <c r="C21" s="466"/>
      <c r="D21" s="498"/>
      <c r="E21" s="499" t="s">
        <v>629</v>
      </c>
      <c r="F21" s="500"/>
      <c r="G21" s="500"/>
      <c r="H21" s="501"/>
      <c r="I21" s="502" t="s">
        <v>630</v>
      </c>
      <c r="J21" s="503"/>
      <c r="K21" s="503"/>
      <c r="L21" s="466"/>
      <c r="M21" s="504"/>
    </row>
    <row r="22" spans="1:14" ht="15.95" customHeight="1">
      <c r="A22" s="505"/>
      <c r="B22" s="473"/>
      <c r="C22" s="506" t="s">
        <v>631</v>
      </c>
      <c r="D22" s="507">
        <v>1183</v>
      </c>
      <c r="E22" s="480"/>
      <c r="G22" s="484" t="s">
        <v>632</v>
      </c>
      <c r="H22" s="508">
        <v>2200</v>
      </c>
      <c r="I22" s="506"/>
      <c r="J22" s="473"/>
      <c r="K22" s="506" t="s">
        <v>633</v>
      </c>
      <c r="L22" s="695" t="s">
        <v>698</v>
      </c>
      <c r="M22" s="696"/>
    </row>
    <row r="23" spans="1:14" ht="15.95" customHeight="1">
      <c r="A23" s="505"/>
      <c r="B23" s="506"/>
      <c r="C23" s="509"/>
      <c r="D23" s="510"/>
      <c r="E23" s="480"/>
      <c r="G23" s="480" t="s">
        <v>634</v>
      </c>
      <c r="H23" s="507">
        <v>95</v>
      </c>
      <c r="I23" s="473"/>
      <c r="J23" s="473"/>
      <c r="K23" s="480" t="s">
        <v>635</v>
      </c>
      <c r="L23" s="695" t="s">
        <v>698</v>
      </c>
      <c r="M23" s="696"/>
    </row>
    <row r="24" spans="1:14" ht="15.95" customHeight="1">
      <c r="A24" s="479"/>
      <c r="B24" s="480"/>
      <c r="C24" s="473"/>
      <c r="D24" s="510"/>
      <c r="E24" s="480"/>
      <c r="G24" s="484" t="s">
        <v>636</v>
      </c>
      <c r="H24" s="507">
        <v>255</v>
      </c>
      <c r="I24" s="473"/>
      <c r="J24" s="480"/>
      <c r="K24" s="473"/>
      <c r="L24" s="473"/>
      <c r="M24" s="488"/>
    </row>
    <row r="25" spans="1:14" ht="15.95" customHeight="1" thickBot="1">
      <c r="A25" s="489"/>
      <c r="B25" s="490"/>
      <c r="C25" s="492"/>
      <c r="D25" s="511"/>
      <c r="E25" s="493"/>
      <c r="F25" s="493"/>
      <c r="G25" s="493"/>
      <c r="H25" s="512"/>
      <c r="I25" s="492"/>
      <c r="J25" s="493"/>
      <c r="K25" s="492"/>
      <c r="L25" s="492"/>
      <c r="M25" s="495"/>
    </row>
    <row r="26" spans="1:14" ht="18.95" customHeight="1" thickBot="1">
      <c r="A26" s="513"/>
      <c r="B26" s="513"/>
      <c r="C26" s="513"/>
      <c r="D26" s="514"/>
      <c r="E26" s="514"/>
      <c r="F26" s="514"/>
      <c r="G26" s="514"/>
      <c r="H26" s="514"/>
      <c r="I26" s="514"/>
      <c r="J26" s="514"/>
      <c r="K26" s="514"/>
      <c r="L26" s="514"/>
      <c r="M26" s="443"/>
      <c r="N26" s="443"/>
    </row>
    <row r="27" spans="1:14" ht="20.100000000000001" customHeight="1" thickBot="1">
      <c r="A27" s="515"/>
      <c r="B27" s="516"/>
      <c r="C27" s="516"/>
      <c r="D27" s="516"/>
      <c r="E27" s="516"/>
      <c r="F27" s="516"/>
      <c r="G27" s="517"/>
      <c r="H27" s="516"/>
      <c r="I27" s="516"/>
      <c r="J27" s="516"/>
      <c r="K27" s="516"/>
      <c r="L27" s="516"/>
      <c r="M27" s="518"/>
    </row>
    <row r="28" spans="1:14" ht="15.95" customHeight="1" thickTop="1">
      <c r="A28" s="519" t="s">
        <v>637</v>
      </c>
      <c r="B28" s="497"/>
      <c r="C28" s="466"/>
      <c r="D28" s="466"/>
      <c r="E28" s="500"/>
      <c r="F28" s="500"/>
      <c r="G28" s="520"/>
      <c r="H28" s="499" t="s">
        <v>638</v>
      </c>
      <c r="I28" s="500"/>
      <c r="J28" s="503"/>
      <c r="K28" s="499"/>
      <c r="L28" s="503"/>
      <c r="M28" s="504"/>
    </row>
    <row r="29" spans="1:14" ht="15.95" customHeight="1">
      <c r="A29" s="479"/>
      <c r="B29" s="506"/>
      <c r="C29" s="506" t="s">
        <v>639</v>
      </c>
      <c r="D29" s="521">
        <v>94.6</v>
      </c>
      <c r="E29" s="480"/>
      <c r="F29" s="480"/>
      <c r="G29" s="520"/>
      <c r="H29" s="484"/>
      <c r="I29" s="506"/>
      <c r="J29" s="506" t="s">
        <v>639</v>
      </c>
      <c r="K29" s="521">
        <v>91.4</v>
      </c>
      <c r="L29" s="473"/>
      <c r="M29" s="488"/>
    </row>
    <row r="30" spans="1:14" ht="15.95" customHeight="1">
      <c r="A30" s="522"/>
      <c r="B30" s="473"/>
      <c r="C30" s="506" t="s">
        <v>640</v>
      </c>
      <c r="D30" s="521">
        <v>94.1</v>
      </c>
      <c r="E30" s="480"/>
      <c r="F30" s="480"/>
      <c r="G30" s="520"/>
      <c r="H30" s="480"/>
      <c r="I30" s="473"/>
      <c r="J30" s="506" t="s">
        <v>640</v>
      </c>
      <c r="K30" s="521">
        <v>89.8</v>
      </c>
      <c r="L30" s="473"/>
      <c r="M30" s="488"/>
    </row>
    <row r="31" spans="1:14" ht="15.95" customHeight="1">
      <c r="A31" s="479"/>
      <c r="B31" s="480"/>
      <c r="C31" s="506" t="s">
        <v>641</v>
      </c>
      <c r="D31" s="521">
        <v>92.8</v>
      </c>
      <c r="E31" s="480"/>
      <c r="F31" s="480"/>
      <c r="G31" s="520"/>
      <c r="H31" s="480"/>
      <c r="I31" s="473"/>
      <c r="J31" s="506" t="s">
        <v>641</v>
      </c>
      <c r="K31" s="521">
        <v>85</v>
      </c>
      <c r="L31" s="480"/>
      <c r="M31" s="488"/>
    </row>
    <row r="32" spans="1:14" ht="15.95" customHeight="1" thickBot="1">
      <c r="A32" s="489"/>
      <c r="B32" s="490"/>
      <c r="C32" s="492"/>
      <c r="D32" s="492"/>
      <c r="E32" s="493"/>
      <c r="F32" s="493"/>
      <c r="G32" s="523"/>
      <c r="H32" s="493"/>
      <c r="I32" s="492"/>
      <c r="J32" s="493"/>
      <c r="K32" s="492"/>
      <c r="L32" s="493"/>
      <c r="M32" s="495"/>
    </row>
    <row r="33" spans="1:14" ht="20.100000000000001" customHeight="1" thickBot="1">
      <c r="A33" s="524"/>
      <c r="B33" s="524"/>
      <c r="C33" s="524"/>
      <c r="D33" s="524"/>
      <c r="E33" s="524"/>
      <c r="F33" s="524"/>
      <c r="G33" s="524"/>
      <c r="H33" s="524"/>
      <c r="I33" s="524"/>
      <c r="J33" s="524"/>
      <c r="K33" s="524"/>
      <c r="L33" s="524"/>
      <c r="M33" s="525"/>
      <c r="N33" s="525"/>
    </row>
    <row r="34" spans="1:14" ht="20.100000000000001" customHeight="1" thickBot="1">
      <c r="A34" s="526"/>
      <c r="B34" s="527"/>
      <c r="C34" s="527"/>
      <c r="D34" s="527"/>
      <c r="E34" s="527"/>
      <c r="F34" s="527"/>
      <c r="G34" s="527"/>
      <c r="H34" s="527"/>
      <c r="I34" s="527"/>
      <c r="J34" s="527"/>
      <c r="K34" s="527"/>
      <c r="L34" s="527"/>
      <c r="M34" s="528"/>
    </row>
    <row r="35" spans="1:14" ht="15.95" customHeight="1" thickTop="1">
      <c r="A35" s="529" t="s">
        <v>642</v>
      </c>
      <c r="B35" s="509"/>
      <c r="C35" s="509"/>
      <c r="D35" s="509"/>
      <c r="E35" s="509"/>
      <c r="F35" s="509"/>
      <c r="G35" s="509"/>
      <c r="H35" s="509"/>
      <c r="I35" s="509"/>
      <c r="J35" s="509"/>
      <c r="K35" s="509"/>
      <c r="L35" s="509"/>
      <c r="M35" s="530"/>
    </row>
    <row r="36" spans="1:14" ht="15.95" customHeight="1">
      <c r="A36" s="522" t="s">
        <v>643</v>
      </c>
      <c r="B36" s="509"/>
      <c r="C36" s="509"/>
      <c r="D36" s="509"/>
      <c r="E36" s="509"/>
      <c r="F36" s="509"/>
      <c r="G36" s="509"/>
      <c r="H36" s="509"/>
      <c r="I36" s="509"/>
      <c r="J36" s="509"/>
      <c r="K36" s="509"/>
      <c r="L36" s="509"/>
      <c r="M36" s="530"/>
    </row>
    <row r="37" spans="1:14" ht="15.95" customHeight="1">
      <c r="A37" s="531" t="s">
        <v>644</v>
      </c>
      <c r="B37" s="509"/>
      <c r="C37" s="509"/>
      <c r="D37" s="509"/>
      <c r="E37" s="532"/>
      <c r="F37" s="509"/>
      <c r="G37" s="509"/>
      <c r="H37" s="509"/>
      <c r="I37" s="509"/>
      <c r="J37" s="509"/>
      <c r="K37" s="509"/>
      <c r="L37" s="509"/>
      <c r="M37" s="530"/>
    </row>
    <row r="38" spans="1:14" ht="15.95" customHeight="1">
      <c r="A38" s="533" t="s">
        <v>645</v>
      </c>
      <c r="B38" s="509"/>
      <c r="C38" s="509"/>
      <c r="D38" s="509"/>
      <c r="E38" s="509"/>
      <c r="F38" s="509"/>
      <c r="G38" s="509"/>
      <c r="H38" s="509"/>
      <c r="I38" s="509"/>
      <c r="J38" s="509"/>
      <c r="K38" s="509"/>
      <c r="L38" s="509"/>
      <c r="M38" s="530"/>
    </row>
    <row r="39" spans="1:14" ht="15.95" customHeight="1">
      <c r="A39" s="534" t="s">
        <v>646</v>
      </c>
      <c r="B39" s="509"/>
      <c r="C39" s="509"/>
      <c r="D39" s="509"/>
      <c r="E39" s="509"/>
      <c r="F39" s="509"/>
      <c r="G39" s="509"/>
      <c r="H39" s="509"/>
      <c r="I39" s="509"/>
      <c r="J39" s="509"/>
      <c r="K39" s="509"/>
      <c r="L39" s="509"/>
      <c r="M39" s="530"/>
    </row>
    <row r="40" spans="1:14" ht="15.95" customHeight="1" thickBot="1">
      <c r="A40" s="535" t="s">
        <v>647</v>
      </c>
      <c r="B40" s="536"/>
      <c r="C40" s="536"/>
      <c r="D40" s="536"/>
      <c r="E40" s="536"/>
      <c r="F40" s="536"/>
      <c r="G40" s="536"/>
      <c r="H40" s="536"/>
      <c r="I40" s="536"/>
      <c r="J40" s="536"/>
      <c r="K40" s="536"/>
      <c r="L40" s="536"/>
      <c r="M40" s="537"/>
    </row>
    <row r="41" spans="1:14" ht="15.95" customHeight="1"/>
    <row r="42" spans="1:14" ht="15.95" customHeight="1"/>
    <row r="43" spans="1:14" ht="18">
      <c r="A43" s="538"/>
      <c r="B43" s="538"/>
      <c r="C43" s="538"/>
      <c r="D43" s="538"/>
      <c r="E43" s="538"/>
      <c r="F43" s="538"/>
      <c r="G43" s="538"/>
      <c r="H43" s="443"/>
      <c r="I43" s="443"/>
      <c r="J43" s="539" t="s">
        <v>648</v>
      </c>
      <c r="K43" s="697" t="s">
        <v>334</v>
      </c>
      <c r="L43" s="697"/>
      <c r="M43" s="697"/>
      <c r="N43" s="538"/>
    </row>
    <row r="44" spans="1:14" ht="7.5" customHeight="1">
      <c r="H44" s="443"/>
      <c r="I44" s="443"/>
      <c r="J44" s="443"/>
      <c r="K44" s="443"/>
      <c r="L44" s="443"/>
      <c r="M44" s="443"/>
    </row>
    <row r="45" spans="1:14" ht="16.5">
      <c r="H45" s="443"/>
      <c r="I45" s="443"/>
      <c r="J45" s="539" t="s">
        <v>649</v>
      </c>
      <c r="K45" s="698">
        <v>41940</v>
      </c>
      <c r="L45" s="698"/>
      <c r="M45" s="698"/>
    </row>
    <row r="60" spans="1:5">
      <c r="A60" s="444" t="s">
        <v>174</v>
      </c>
      <c r="B60" s="444" t="s">
        <v>698</v>
      </c>
      <c r="D60" s="444">
        <v>1</v>
      </c>
      <c r="E60" s="540" t="s">
        <v>174</v>
      </c>
    </row>
    <row r="61" spans="1:5">
      <c r="A61" s="444" t="s">
        <v>650</v>
      </c>
      <c r="B61" s="444" t="s">
        <v>651</v>
      </c>
      <c r="D61" s="444">
        <v>1.1499999999999999</v>
      </c>
      <c r="E61" s="540" t="s">
        <v>351</v>
      </c>
    </row>
    <row r="62" spans="1:5">
      <c r="A62" s="444" t="s">
        <v>652</v>
      </c>
      <c r="B62" s="444" t="s">
        <v>653</v>
      </c>
      <c r="E62" s="540" t="s">
        <v>303</v>
      </c>
    </row>
    <row r="63" spans="1:5">
      <c r="B63" s="444" t="s">
        <v>654</v>
      </c>
    </row>
    <row r="64" spans="1:5">
      <c r="B64" s="444" t="s">
        <v>655</v>
      </c>
    </row>
    <row r="65" spans="2:2">
      <c r="B65" s="444" t="s">
        <v>656</v>
      </c>
    </row>
    <row r="66" spans="2:2">
      <c r="B66" s="444" t="s">
        <v>657</v>
      </c>
    </row>
    <row r="67" spans="2:2">
      <c r="B67" s="444" t="s">
        <v>658</v>
      </c>
    </row>
    <row r="68" spans="2:2">
      <c r="B68" s="444" t="s">
        <v>659</v>
      </c>
    </row>
    <row r="69" spans="2:2">
      <c r="B69" s="444" t="s">
        <v>660</v>
      </c>
    </row>
    <row r="70" spans="2:2">
      <c r="B70" s="444" t="s">
        <v>661</v>
      </c>
    </row>
    <row r="71" spans="2:2">
      <c r="B71" s="444" t="s">
        <v>662</v>
      </c>
    </row>
    <row r="72" spans="2:2">
      <c r="B72" s="444" t="s">
        <v>663</v>
      </c>
    </row>
    <row r="73" spans="2:2">
      <c r="B73" s="444" t="s">
        <v>664</v>
      </c>
    </row>
    <row r="74" spans="2:2">
      <c r="B74" s="444" t="s">
        <v>665</v>
      </c>
    </row>
    <row r="75" spans="2:2">
      <c r="B75" s="444" t="s">
        <v>666</v>
      </c>
    </row>
    <row r="76" spans="2:2">
      <c r="B76" s="444" t="s">
        <v>667</v>
      </c>
    </row>
    <row r="77" spans="2:2">
      <c r="B77" s="444" t="s">
        <v>668</v>
      </c>
    </row>
    <row r="78" spans="2:2">
      <c r="B78" s="444" t="s">
        <v>669</v>
      </c>
    </row>
    <row r="79" spans="2:2">
      <c r="B79" s="444" t="s">
        <v>670</v>
      </c>
    </row>
    <row r="80" spans="2:2">
      <c r="B80" s="444" t="s">
        <v>671</v>
      </c>
    </row>
    <row r="81" spans="2:2">
      <c r="B81" s="444">
        <v>6312</v>
      </c>
    </row>
    <row r="82" spans="2:2">
      <c r="B82" s="444" t="s">
        <v>672</v>
      </c>
    </row>
    <row r="83" spans="2:2">
      <c r="B83" s="444" t="s">
        <v>673</v>
      </c>
    </row>
    <row r="84" spans="2:2">
      <c r="B84" s="444" t="s">
        <v>674</v>
      </c>
    </row>
    <row r="85" spans="2:2">
      <c r="B85" s="444" t="s">
        <v>675</v>
      </c>
    </row>
    <row r="86" spans="2:2">
      <c r="B86" s="444">
        <v>6313</v>
      </c>
    </row>
    <row r="87" spans="2:2">
      <c r="B87" s="444" t="s">
        <v>676</v>
      </c>
    </row>
    <row r="88" spans="2:2">
      <c r="B88" s="444" t="s">
        <v>677</v>
      </c>
    </row>
    <row r="89" spans="2:2">
      <c r="B89" s="444" t="s">
        <v>678</v>
      </c>
    </row>
    <row r="90" spans="2:2">
      <c r="B90" s="444">
        <v>6314</v>
      </c>
    </row>
    <row r="91" spans="2:2">
      <c r="B91" s="444" t="s">
        <v>679</v>
      </c>
    </row>
    <row r="92" spans="2:2">
      <c r="B92" s="444">
        <v>6317</v>
      </c>
    </row>
    <row r="93" spans="2:2">
      <c r="B93" s="444" t="s">
        <v>680</v>
      </c>
    </row>
    <row r="94" spans="2:2">
      <c r="B94" s="444">
        <v>6318</v>
      </c>
    </row>
    <row r="95" spans="2:2">
      <c r="B95" s="444" t="s">
        <v>681</v>
      </c>
    </row>
    <row r="96" spans="2:2">
      <c r="B96" s="444" t="s">
        <v>682</v>
      </c>
    </row>
    <row r="97" spans="2:2">
      <c r="B97" s="444" t="s">
        <v>683</v>
      </c>
    </row>
    <row r="98" spans="2:2">
      <c r="B98" s="444">
        <v>6320</v>
      </c>
    </row>
    <row r="99" spans="2:2">
      <c r="B99" s="444" t="s">
        <v>684</v>
      </c>
    </row>
    <row r="100" spans="2:2">
      <c r="B100" s="444" t="s">
        <v>685</v>
      </c>
    </row>
    <row r="101" spans="2:2">
      <c r="B101" s="444" t="s">
        <v>686</v>
      </c>
    </row>
    <row r="102" spans="2:2">
      <c r="B102" s="444" t="s">
        <v>687</v>
      </c>
    </row>
    <row r="103" spans="2:2">
      <c r="B103" s="444" t="s">
        <v>687</v>
      </c>
    </row>
    <row r="119" spans="2:2">
      <c r="B119" s="444" t="s">
        <v>688</v>
      </c>
    </row>
    <row r="121" spans="2:2">
      <c r="B121" s="444" t="s">
        <v>689</v>
      </c>
    </row>
  </sheetData>
  <mergeCells count="4">
    <mergeCell ref="L22:M22"/>
    <mergeCell ref="L23:M23"/>
    <mergeCell ref="K43:M43"/>
    <mergeCell ref="K45:M45"/>
  </mergeCells>
  <dataValidations count="4">
    <dataValidation type="list" allowBlank="1" showInputMessage="1" showErrorMessage="1" prompt="Pick one!" sqref="I15">
      <formula1>$E$60:$E$62</formula1>
    </dataValidation>
    <dataValidation type="list" allowBlank="1" showInputMessage="1" showErrorMessage="1" prompt="Pick from list" sqref="F15">
      <formula1>$D$60:$D$61</formula1>
    </dataValidation>
    <dataValidation type="list" allowBlank="1" showInputMessage="1" showErrorMessage="1" prompt="Choose from list" sqref="L22:L23">
      <formula1>$B$60:$B$103</formula1>
    </dataValidation>
    <dataValidation type="list" errorStyle="warning" allowBlank="1" showInputMessage="1" showErrorMessage="1" error="You should choose from the list!" prompt="Choose Enclosure Type" sqref="F14">
      <formula1>$A$60:$A$62</formula1>
    </dataValidation>
  </dataValidations>
  <printOptions horizontalCentered="1" gridLinesSet="0"/>
  <pageMargins left="0.5" right="0.5" top="0.5" bottom="0.5" header="0.5" footer="0.5"/>
  <pageSetup orientation="portrait" horizontalDpi="4294967292" r:id="rId1"/>
  <headerFooter alignWithMargins="0">
    <oddFooter>&amp;L&amp;"Univers (WN),Regular"&amp;7N:\ELECTRIC\PERFORMA&amp;C&amp;"Univers (WN),Regular"&amp;7&amp;F</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67"/>
  <sheetViews>
    <sheetView workbookViewId="0">
      <selection activeCell="K18" sqref="K18"/>
    </sheetView>
  </sheetViews>
  <sheetFormatPr defaultRowHeight="12.75"/>
  <cols>
    <col min="1" max="6" width="16.7109375" customWidth="1"/>
  </cols>
  <sheetData>
    <row r="1" spans="1:6" ht="18.95" customHeight="1">
      <c r="A1" s="358"/>
      <c r="B1" s="359"/>
      <c r="C1" s="359"/>
      <c r="D1" s="359"/>
      <c r="E1" s="359"/>
      <c r="F1" s="360"/>
    </row>
    <row r="2" spans="1:6" ht="26.1" customHeight="1">
      <c r="A2" s="361" t="s">
        <v>252</v>
      </c>
      <c r="B2" s="362"/>
      <c r="C2" s="362"/>
      <c r="D2" s="362"/>
      <c r="E2" s="362"/>
      <c r="F2" s="363"/>
    </row>
    <row r="3" spans="1:6" ht="18.95" customHeight="1">
      <c r="A3" s="364" t="s">
        <v>402</v>
      </c>
      <c r="B3" s="362"/>
      <c r="C3" s="362"/>
      <c r="D3" s="362"/>
      <c r="E3" s="362"/>
      <c r="F3" s="363"/>
    </row>
    <row r="4" spans="1:6" ht="18.95" customHeight="1">
      <c r="A4" s="365"/>
      <c r="B4" s="366"/>
      <c r="C4" s="366"/>
      <c r="D4" s="366"/>
      <c r="E4" s="366"/>
      <c r="F4" s="367"/>
    </row>
    <row r="5" spans="1:6" ht="18.95" customHeight="1">
      <c r="A5" s="365"/>
      <c r="B5" s="366"/>
      <c r="C5" s="366"/>
      <c r="D5" s="366"/>
      <c r="E5" s="366"/>
      <c r="F5" s="367"/>
    </row>
    <row r="6" spans="1:6" ht="18.95" customHeight="1">
      <c r="A6" s="368" t="s">
        <v>403</v>
      </c>
      <c r="B6" s="699" t="str">
        <f>'Performance Data Sheet'!C17</f>
        <v>M303TCQL11F-C</v>
      </c>
      <c r="C6" s="700"/>
      <c r="D6" s="701"/>
      <c r="E6" s="368" t="s">
        <v>404</v>
      </c>
      <c r="F6" s="369">
        <v>187</v>
      </c>
    </row>
    <row r="7" spans="1:6" ht="18.95" customHeight="1">
      <c r="A7" s="368" t="s">
        <v>405</v>
      </c>
      <c r="B7" s="369" t="str">
        <f>'Performance Data Sheet'!F14</f>
        <v>TEAAC</v>
      </c>
      <c r="C7" s="368" t="s">
        <v>406</v>
      </c>
      <c r="D7" s="369" t="s">
        <v>428</v>
      </c>
      <c r="E7" s="368" t="s">
        <v>407</v>
      </c>
      <c r="F7" s="369" t="str">
        <f>'Performance Data Sheet'!C14</f>
        <v>6810USS</v>
      </c>
    </row>
    <row r="8" spans="1:6" ht="18.95" customHeight="1">
      <c r="A8" s="368" t="s">
        <v>408</v>
      </c>
      <c r="B8" s="369">
        <v>2</v>
      </c>
      <c r="C8" s="368" t="s">
        <v>409</v>
      </c>
      <c r="D8" s="369" t="s">
        <v>410</v>
      </c>
      <c r="E8" s="368" t="s">
        <v>411</v>
      </c>
      <c r="F8" s="369" t="str">
        <f>'Performance Data Sheet'!M15</f>
        <v>F</v>
      </c>
    </row>
    <row r="9" spans="1:6" ht="18.95" customHeight="1">
      <c r="A9" s="368" t="s">
        <v>412</v>
      </c>
      <c r="B9" s="369">
        <v>1500</v>
      </c>
      <c r="C9" s="368" t="s">
        <v>413</v>
      </c>
      <c r="D9" s="369" t="s">
        <v>429</v>
      </c>
      <c r="E9" s="368" t="s">
        <v>2</v>
      </c>
      <c r="F9" s="370">
        <f>'Performance Data Sheet'!K45</f>
        <v>41940</v>
      </c>
    </row>
    <row r="10" spans="1:6" ht="18.95" customHeight="1">
      <c r="A10" s="368" t="s">
        <v>414</v>
      </c>
      <c r="B10" s="369">
        <v>3581</v>
      </c>
      <c r="C10" s="368" t="s">
        <v>415</v>
      </c>
      <c r="D10" s="369" t="s">
        <v>416</v>
      </c>
      <c r="E10" s="368" t="s">
        <v>1</v>
      </c>
      <c r="F10" s="369" t="s">
        <v>364</v>
      </c>
    </row>
    <row r="11" spans="1:6" ht="18.95" customHeight="1">
      <c r="A11" s="365"/>
      <c r="B11" s="366"/>
      <c r="C11" s="366"/>
      <c r="D11" s="366"/>
      <c r="E11" s="366"/>
      <c r="F11" s="367"/>
    </row>
    <row r="12" spans="1:6" ht="18.95" customHeight="1">
      <c r="A12" s="365"/>
      <c r="B12" s="371" t="s">
        <v>417</v>
      </c>
      <c r="C12" s="372" t="s">
        <v>430</v>
      </c>
      <c r="D12" s="371" t="s">
        <v>418</v>
      </c>
      <c r="E12" s="372" t="s">
        <v>416</v>
      </c>
      <c r="F12" s="367"/>
    </row>
    <row r="13" spans="1:6" ht="18.95" customHeight="1">
      <c r="A13" s="365"/>
      <c r="B13" s="371" t="s">
        <v>419</v>
      </c>
      <c r="C13" s="373">
        <v>0.95</v>
      </c>
      <c r="D13" s="371" t="s">
        <v>420</v>
      </c>
      <c r="E13" s="372" t="s">
        <v>416</v>
      </c>
      <c r="F13" s="367"/>
    </row>
    <row r="14" spans="1:6" ht="18.95" customHeight="1">
      <c r="A14" s="365"/>
      <c r="B14" s="371" t="s">
        <v>421</v>
      </c>
      <c r="C14" s="373">
        <v>2.5499999999999998</v>
      </c>
      <c r="D14" s="371" t="s">
        <v>422</v>
      </c>
      <c r="E14" s="372" t="s">
        <v>416</v>
      </c>
      <c r="F14" s="367"/>
    </row>
    <row r="15" spans="1:6" ht="18.95" customHeight="1">
      <c r="A15" s="365"/>
      <c r="B15" s="371" t="s">
        <v>423</v>
      </c>
      <c r="C15" s="372" t="s">
        <v>693</v>
      </c>
      <c r="D15" s="366"/>
      <c r="E15" s="366"/>
      <c r="F15" s="367"/>
    </row>
    <row r="16" spans="1:6" ht="18.95" customHeight="1">
      <c r="A16" s="365"/>
      <c r="B16" s="366"/>
      <c r="C16" s="366"/>
      <c r="D16" s="366"/>
      <c r="E16" s="366"/>
      <c r="F16" s="367"/>
    </row>
    <row r="17" spans="1:6" ht="18.95" customHeight="1">
      <c r="A17" s="365"/>
      <c r="B17" s="366"/>
      <c r="C17" s="366"/>
      <c r="D17" s="366"/>
      <c r="E17" s="366"/>
      <c r="F17" s="367"/>
    </row>
    <row r="18" spans="1:6" ht="18.95" customHeight="1">
      <c r="A18" s="365"/>
      <c r="B18" s="366"/>
      <c r="C18" s="366"/>
      <c r="D18" s="366"/>
      <c r="E18" s="366"/>
      <c r="F18" s="367"/>
    </row>
    <row r="19" spans="1:6" ht="18.95" customHeight="1">
      <c r="A19" s="365"/>
      <c r="B19" s="366"/>
      <c r="C19" s="366"/>
      <c r="D19" s="366"/>
      <c r="E19" s="366"/>
      <c r="F19" s="367"/>
    </row>
    <row r="20" spans="1:6" ht="18.95" customHeight="1">
      <c r="A20" s="365"/>
      <c r="B20" s="366"/>
      <c r="C20" s="366"/>
      <c r="D20" s="366"/>
      <c r="E20" s="366"/>
      <c r="F20" s="367"/>
    </row>
    <row r="21" spans="1:6" ht="18.95" customHeight="1">
      <c r="A21" s="365"/>
      <c r="B21" s="366"/>
      <c r="C21" s="366"/>
      <c r="D21" s="366"/>
      <c r="E21" s="366"/>
      <c r="F21" s="367"/>
    </row>
    <row r="22" spans="1:6" ht="18.95" customHeight="1">
      <c r="A22" s="365"/>
      <c r="B22" s="366"/>
      <c r="C22" s="366"/>
      <c r="D22" s="366"/>
      <c r="E22" s="366"/>
      <c r="F22" s="367"/>
    </row>
    <row r="23" spans="1:6" ht="18.95" customHeight="1">
      <c r="A23" s="365"/>
      <c r="B23" s="366"/>
      <c r="C23" s="366"/>
      <c r="D23" s="366"/>
      <c r="E23" s="366"/>
      <c r="F23" s="367"/>
    </row>
    <row r="24" spans="1:6" ht="18.95" customHeight="1">
      <c r="A24" s="365"/>
      <c r="B24" s="366"/>
      <c r="C24" s="366"/>
      <c r="D24" s="366"/>
      <c r="E24" s="366"/>
      <c r="F24" s="367"/>
    </row>
    <row r="25" spans="1:6" ht="18.95" customHeight="1">
      <c r="A25" s="365"/>
      <c r="B25" s="366"/>
      <c r="C25" s="366"/>
      <c r="D25" s="366"/>
      <c r="E25" s="366"/>
      <c r="F25" s="367"/>
    </row>
    <row r="26" spans="1:6" ht="18.95" customHeight="1">
      <c r="A26" s="365"/>
      <c r="B26" s="366"/>
      <c r="C26" s="366"/>
      <c r="D26" s="366"/>
      <c r="E26" s="366"/>
      <c r="F26" s="367"/>
    </row>
    <row r="27" spans="1:6" ht="18.95" customHeight="1">
      <c r="A27" s="365"/>
      <c r="B27" s="366"/>
      <c r="C27" s="366"/>
      <c r="D27" s="366"/>
      <c r="E27" s="366"/>
      <c r="F27" s="367"/>
    </row>
    <row r="28" spans="1:6" ht="18.95" customHeight="1">
      <c r="A28" s="365"/>
      <c r="B28" s="366"/>
      <c r="C28" s="366"/>
      <c r="D28" s="366"/>
      <c r="E28" s="366"/>
      <c r="F28" s="367"/>
    </row>
    <row r="29" spans="1:6" ht="18.95" customHeight="1">
      <c r="A29" s="365"/>
      <c r="B29" s="366"/>
      <c r="C29" s="366"/>
      <c r="D29" s="366"/>
      <c r="E29" s="366"/>
      <c r="F29" s="367"/>
    </row>
    <row r="30" spans="1:6" ht="18.95" customHeight="1">
      <c r="A30" s="365"/>
      <c r="B30" s="366"/>
      <c r="C30" s="366"/>
      <c r="D30" s="366"/>
      <c r="E30" s="366"/>
      <c r="F30" s="367"/>
    </row>
    <row r="31" spans="1:6" ht="18.95" customHeight="1">
      <c r="A31" s="365"/>
      <c r="B31" s="366"/>
      <c r="C31" s="366"/>
      <c r="D31" s="366"/>
      <c r="E31" s="366"/>
      <c r="F31" s="367"/>
    </row>
    <row r="32" spans="1:6" ht="18.95" customHeight="1">
      <c r="A32" s="365"/>
      <c r="B32" s="366"/>
      <c r="C32" s="366"/>
      <c r="D32" s="366"/>
      <c r="E32" s="366"/>
      <c r="F32" s="367"/>
    </row>
    <row r="33" spans="1:6" ht="18.95" customHeight="1">
      <c r="A33" s="365"/>
      <c r="B33" s="366"/>
      <c r="C33" s="366"/>
      <c r="D33" s="366"/>
      <c r="E33" s="366"/>
      <c r="F33" s="367"/>
    </row>
    <row r="34" spans="1:6" ht="18.95" customHeight="1">
      <c r="A34" s="365"/>
      <c r="B34" s="366"/>
      <c r="C34" s="366"/>
      <c r="D34" s="366"/>
      <c r="E34" s="366"/>
      <c r="F34" s="367"/>
    </row>
    <row r="35" spans="1:6" ht="18.95" customHeight="1">
      <c r="A35" s="365"/>
      <c r="B35" s="366"/>
      <c r="C35" s="366"/>
      <c r="D35" s="366"/>
      <c r="E35" s="366"/>
      <c r="F35" s="367"/>
    </row>
    <row r="36" spans="1:6" ht="18.95" customHeight="1">
      <c r="A36" s="365"/>
      <c r="B36" s="366"/>
      <c r="C36" s="366"/>
      <c r="D36" s="366"/>
      <c r="E36" s="366"/>
      <c r="F36" s="367"/>
    </row>
    <row r="37" spans="1:6" ht="18.95" customHeight="1">
      <c r="A37" s="365"/>
      <c r="B37" s="366"/>
      <c r="C37" s="366"/>
      <c r="D37" s="366"/>
      <c r="E37" s="366"/>
      <c r="F37" s="367"/>
    </row>
    <row r="38" spans="1:6" ht="18.95" customHeight="1">
      <c r="A38" s="365"/>
      <c r="B38" s="366"/>
      <c r="C38" s="366"/>
      <c r="D38" s="366"/>
      <c r="E38" s="366"/>
      <c r="F38" s="367"/>
    </row>
    <row r="39" spans="1:6" ht="18.95" customHeight="1">
      <c r="A39" s="374" t="s">
        <v>424</v>
      </c>
      <c r="B39" s="375"/>
      <c r="C39" s="375"/>
      <c r="D39" s="366"/>
      <c r="E39" s="371" t="s">
        <v>425</v>
      </c>
      <c r="F39" s="376" t="s">
        <v>364</v>
      </c>
    </row>
    <row r="40" spans="1:6" ht="18.95" customHeight="1">
      <c r="A40" s="365"/>
      <c r="B40" s="375"/>
      <c r="C40" s="375"/>
      <c r="D40" s="366"/>
      <c r="E40" s="366"/>
      <c r="F40" s="367"/>
    </row>
    <row r="41" spans="1:6" ht="18.95" customHeight="1">
      <c r="A41" s="365"/>
      <c r="B41" s="375"/>
      <c r="C41" s="375"/>
      <c r="D41" s="366"/>
      <c r="E41" s="366"/>
      <c r="F41" s="367"/>
    </row>
    <row r="42" spans="1:6" ht="18.95" customHeight="1">
      <c r="A42" s="365"/>
      <c r="B42" s="366"/>
      <c r="C42" s="366"/>
      <c r="D42" s="366"/>
      <c r="E42" s="366"/>
      <c r="F42" s="367"/>
    </row>
    <row r="43" spans="1:6" ht="18.95" customHeight="1">
      <c r="A43" s="377"/>
      <c r="B43" s="375"/>
      <c r="C43" s="378" t="s">
        <v>426</v>
      </c>
      <c r="D43" s="379" t="str">
        <f>'Performance Data Sheet'!K43</f>
        <v>Mario L</v>
      </c>
      <c r="E43" s="378" t="s">
        <v>427</v>
      </c>
      <c r="F43" s="379"/>
    </row>
    <row r="44" spans="1:6" ht="15" customHeight="1"/>
    <row r="45" spans="1:6" ht="15" customHeight="1"/>
    <row r="46" spans="1:6" ht="15" customHeight="1"/>
    <row r="47" spans="1:6" ht="15" customHeight="1"/>
    <row r="48" spans="1:6" ht="15" customHeight="1"/>
    <row r="49" spans="1:3" ht="15" customHeight="1"/>
    <row r="50" spans="1:3" ht="15" customHeight="1"/>
    <row r="51" spans="1:3" ht="15" customHeight="1"/>
    <row r="52" spans="1:3" ht="15" customHeight="1"/>
    <row r="53" spans="1:3" ht="15" customHeight="1"/>
    <row r="54" spans="1:3" ht="15" customHeight="1">
      <c r="A54" s="380">
        <v>100</v>
      </c>
      <c r="B54" s="357">
        <v>0</v>
      </c>
      <c r="C54" s="357">
        <v>0.22732029855251312</v>
      </c>
    </row>
    <row r="55" spans="1:3" ht="15" customHeight="1">
      <c r="A55" s="380">
        <v>99.799999967217445</v>
      </c>
      <c r="B55" s="357">
        <v>131.84278938549704</v>
      </c>
      <c r="C55" s="357">
        <v>160.06483459472656</v>
      </c>
    </row>
    <row r="56" spans="1:3" ht="15" customHeight="1">
      <c r="A56" s="380">
        <v>98.999999836087227</v>
      </c>
      <c r="B56" s="357">
        <v>255</v>
      </c>
      <c r="C56" s="357">
        <v>481.83688354492188</v>
      </c>
    </row>
    <row r="57" spans="1:3">
      <c r="A57" s="380">
        <v>93.789473548531532</v>
      </c>
      <c r="B57" s="357">
        <v>151.79291504460514</v>
      </c>
      <c r="C57" s="357">
        <v>565.22125244140625</v>
      </c>
    </row>
    <row r="58" spans="1:3">
      <c r="A58" s="380">
        <v>88.578946888446808</v>
      </c>
      <c r="B58" s="357">
        <v>123.43242738356342</v>
      </c>
      <c r="C58" s="357">
        <v>587.3936767578125</v>
      </c>
    </row>
    <row r="59" spans="1:3">
      <c r="A59" s="380">
        <v>83.368420600891113</v>
      </c>
      <c r="B59" s="357">
        <v>111.11970118394879</v>
      </c>
      <c r="C59" s="357">
        <v>596.70806884765625</v>
      </c>
    </row>
    <row r="60" spans="1:3">
      <c r="A60" s="380">
        <v>72.947368025779724</v>
      </c>
      <c r="B60" s="357">
        <v>103.5965244127112</v>
      </c>
      <c r="C60" s="357">
        <v>605.9820556640625</v>
      </c>
    </row>
    <row r="61" spans="1:3">
      <c r="A61" s="380">
        <v>62.526315450668335</v>
      </c>
      <c r="B61" s="357">
        <v>100.03431447771118</v>
      </c>
      <c r="C61" s="357">
        <v>612.095703125</v>
      </c>
    </row>
    <row r="62" spans="1:3">
      <c r="A62" s="380">
        <v>52.105262875556946</v>
      </c>
      <c r="B62" s="357">
        <v>97.925143893182479</v>
      </c>
      <c r="C62" s="357">
        <v>617.11993408203125</v>
      </c>
    </row>
    <row r="63" spans="1:3">
      <c r="A63" s="380">
        <v>41.684210300445557</v>
      </c>
      <c r="B63" s="357">
        <v>96.63049528408132</v>
      </c>
      <c r="C63" s="357">
        <v>621.35333251953125</v>
      </c>
    </row>
    <row r="64" spans="1:3">
      <c r="A64" s="380">
        <v>31.263160705566406</v>
      </c>
      <c r="B64" s="357">
        <v>95.850063287592064</v>
      </c>
      <c r="C64" s="357">
        <v>624.90948486328125</v>
      </c>
    </row>
    <row r="65" spans="1:3">
      <c r="A65" s="380">
        <v>20.842105150222778</v>
      </c>
      <c r="B65" s="357">
        <v>95.393802886833043</v>
      </c>
      <c r="C65" s="357">
        <v>627.90191650390625</v>
      </c>
    </row>
    <row r="66" spans="1:3">
      <c r="A66" s="380">
        <v>10.421055555343628</v>
      </c>
      <c r="B66" s="357">
        <v>95.137040424211989</v>
      </c>
      <c r="C66" s="357">
        <v>630.4407958984375</v>
      </c>
    </row>
    <row r="67" spans="1:3">
      <c r="A67" s="381">
        <v>0</v>
      </c>
      <c r="B67" s="357">
        <v>95</v>
      </c>
      <c r="C67" s="357">
        <v>632.62030029296875</v>
      </c>
    </row>
  </sheetData>
  <mergeCells count="1">
    <mergeCell ref="B6:D6"/>
  </mergeCells>
  <printOptions horizontalCentered="1" verticalCentered="1"/>
  <pageMargins left="0.59055118110236204" right="0.59055118110236204" top="0.59055118110236204" bottom="0.59055118110236204" header="0" footer="0"/>
  <pageSetup scale="87" orientation="portrait" horizontalDpi="0" verticalDpi="300"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61"/>
  <sheetViews>
    <sheetView topLeftCell="A10" workbookViewId="0">
      <selection activeCell="M18" sqref="M18"/>
    </sheetView>
  </sheetViews>
  <sheetFormatPr defaultColWidth="9.140625" defaultRowHeight="12.75"/>
  <cols>
    <col min="1" max="1" width="19.7109375" style="388" customWidth="1"/>
    <col min="2" max="7" width="10.7109375" style="388" customWidth="1"/>
    <col min="8" max="16384" width="9.140625" style="388"/>
  </cols>
  <sheetData>
    <row r="1" spans="1:12" ht="21" customHeight="1">
      <c r="A1" s="547" t="s">
        <v>435</v>
      </c>
      <c r="B1" s="711" t="s">
        <v>474</v>
      </c>
      <c r="C1" s="711"/>
      <c r="D1" s="711"/>
      <c r="E1" s="711"/>
      <c r="F1" s="711"/>
      <c r="G1" s="711"/>
    </row>
    <row r="2" spans="1:12" ht="15" customHeight="1">
      <c r="A2" s="546"/>
      <c r="B2" s="546"/>
      <c r="C2" s="546"/>
      <c r="D2" s="546"/>
      <c r="E2" s="546"/>
      <c r="F2" s="546"/>
      <c r="G2" s="546"/>
    </row>
    <row r="3" spans="1:12" ht="20.25">
      <c r="A3" s="548" t="s">
        <v>436</v>
      </c>
      <c r="B3" s="546"/>
      <c r="C3" s="546"/>
      <c r="D3" s="546"/>
      <c r="E3" s="546"/>
      <c r="F3" s="546"/>
      <c r="G3" s="546"/>
    </row>
    <row r="4" spans="1:12" ht="12" customHeight="1">
      <c r="A4" s="549"/>
      <c r="B4" s="549"/>
      <c r="C4" s="549"/>
      <c r="D4" s="549" t="s">
        <v>701</v>
      </c>
      <c r="E4" s="549"/>
      <c r="F4" s="549"/>
      <c r="G4" s="549"/>
      <c r="H4" s="389"/>
      <c r="I4" s="389"/>
      <c r="J4" s="389"/>
      <c r="K4" s="389"/>
      <c r="L4" s="389"/>
    </row>
    <row r="5" spans="1:12" ht="15.6" customHeight="1">
      <c r="A5" s="550" t="s">
        <v>5</v>
      </c>
      <c r="B5" s="550" t="s">
        <v>437</v>
      </c>
      <c r="C5" s="550" t="s">
        <v>438</v>
      </c>
      <c r="D5" s="550" t="s">
        <v>439</v>
      </c>
      <c r="E5" s="550" t="s">
        <v>440</v>
      </c>
      <c r="F5" s="550" t="s">
        <v>441</v>
      </c>
      <c r="G5" s="550" t="s">
        <v>442</v>
      </c>
      <c r="H5" s="389"/>
      <c r="I5" s="389"/>
      <c r="J5" s="389"/>
      <c r="K5" s="389"/>
      <c r="L5" s="389"/>
    </row>
    <row r="6" spans="1:12" ht="15.6" customHeight="1">
      <c r="A6" s="551" t="s">
        <v>443</v>
      </c>
      <c r="B6" s="551" t="s">
        <v>165</v>
      </c>
      <c r="C6" s="551" t="s">
        <v>165</v>
      </c>
      <c r="D6" s="551" t="s">
        <v>444</v>
      </c>
      <c r="E6" s="551" t="s">
        <v>135</v>
      </c>
      <c r="F6" s="551" t="s">
        <v>445</v>
      </c>
      <c r="G6" s="551" t="s">
        <v>445</v>
      </c>
      <c r="H6" s="389"/>
      <c r="I6" s="389"/>
      <c r="J6" s="389"/>
      <c r="K6" s="389"/>
      <c r="L6" s="389"/>
    </row>
    <row r="7" spans="1:12" ht="15.95" customHeight="1">
      <c r="A7" s="552" t="s">
        <v>475</v>
      </c>
      <c r="B7" s="552" t="s">
        <v>488</v>
      </c>
      <c r="C7" s="552" t="s">
        <v>501</v>
      </c>
      <c r="D7" s="552" t="s">
        <v>702</v>
      </c>
      <c r="E7" s="552" t="s">
        <v>514</v>
      </c>
      <c r="F7" s="552" t="s">
        <v>703</v>
      </c>
      <c r="G7" s="552" t="s">
        <v>704</v>
      </c>
      <c r="H7" s="389"/>
      <c r="I7" s="389"/>
      <c r="J7" s="389"/>
      <c r="K7" s="389"/>
      <c r="L7" s="389"/>
    </row>
    <row r="8" spans="1:12" ht="15.95" customHeight="1">
      <c r="A8" s="552" t="s">
        <v>476</v>
      </c>
      <c r="B8" s="552" t="s">
        <v>489</v>
      </c>
      <c r="C8" s="552" t="s">
        <v>502</v>
      </c>
      <c r="D8" s="552" t="s">
        <v>705</v>
      </c>
      <c r="E8" s="552" t="s">
        <v>515</v>
      </c>
      <c r="F8" s="552" t="s">
        <v>706</v>
      </c>
      <c r="G8" s="552" t="s">
        <v>707</v>
      </c>
      <c r="H8" s="389"/>
      <c r="I8" s="389"/>
      <c r="J8" s="389"/>
      <c r="K8" s="389"/>
      <c r="L8" s="389"/>
    </row>
    <row r="9" spans="1:12" ht="15.95" customHeight="1">
      <c r="A9" s="552" t="s">
        <v>477</v>
      </c>
      <c r="B9" s="552" t="s">
        <v>490</v>
      </c>
      <c r="C9" s="552" t="s">
        <v>503</v>
      </c>
      <c r="D9" s="552" t="s">
        <v>708</v>
      </c>
      <c r="E9" s="552" t="s">
        <v>516</v>
      </c>
      <c r="F9" s="552" t="s">
        <v>709</v>
      </c>
      <c r="G9" s="552" t="s">
        <v>710</v>
      </c>
      <c r="H9" s="389"/>
      <c r="I9" s="389"/>
      <c r="J9" s="389"/>
      <c r="K9" s="389"/>
      <c r="L9" s="389"/>
    </row>
    <row r="10" spans="1:12" ht="15.95" customHeight="1">
      <c r="A10" s="552" t="s">
        <v>478</v>
      </c>
      <c r="B10" s="552" t="s">
        <v>491</v>
      </c>
      <c r="C10" s="552" t="s">
        <v>504</v>
      </c>
      <c r="D10" s="552" t="s">
        <v>708</v>
      </c>
      <c r="E10" s="552" t="s">
        <v>517</v>
      </c>
      <c r="F10" s="552" t="s">
        <v>711</v>
      </c>
      <c r="G10" s="552" t="s">
        <v>712</v>
      </c>
      <c r="H10" s="389"/>
      <c r="I10" s="389"/>
      <c r="J10" s="389"/>
      <c r="K10" s="389"/>
      <c r="L10" s="389"/>
    </row>
    <row r="11" spans="1:12" ht="15.95" customHeight="1">
      <c r="A11" s="552" t="s">
        <v>479</v>
      </c>
      <c r="B11" s="552" t="s">
        <v>492</v>
      </c>
      <c r="C11" s="552" t="s">
        <v>505</v>
      </c>
      <c r="D11" s="552" t="s">
        <v>713</v>
      </c>
      <c r="E11" s="552" t="s">
        <v>518</v>
      </c>
      <c r="F11" s="552" t="s">
        <v>714</v>
      </c>
      <c r="G11" s="552" t="s">
        <v>715</v>
      </c>
      <c r="H11" s="389"/>
      <c r="I11" s="389"/>
      <c r="J11" s="389"/>
      <c r="K11" s="389"/>
      <c r="L11" s="389"/>
    </row>
    <row r="12" spans="1:12" ht="15.95" customHeight="1">
      <c r="A12" s="552" t="s">
        <v>480</v>
      </c>
      <c r="B12" s="552" t="s">
        <v>493</v>
      </c>
      <c r="C12" s="552" t="s">
        <v>506</v>
      </c>
      <c r="D12" s="552" t="s">
        <v>716</v>
      </c>
      <c r="E12" s="552" t="s">
        <v>519</v>
      </c>
      <c r="F12" s="552" t="s">
        <v>717</v>
      </c>
      <c r="G12" s="552" t="s">
        <v>718</v>
      </c>
      <c r="H12" s="389"/>
      <c r="I12" s="389"/>
      <c r="J12" s="389"/>
      <c r="K12" s="389"/>
      <c r="L12" s="389"/>
    </row>
    <row r="13" spans="1:12" ht="15.95" customHeight="1">
      <c r="A13" s="552" t="s">
        <v>481</v>
      </c>
      <c r="B13" s="552" t="s">
        <v>494</v>
      </c>
      <c r="C13" s="552" t="s">
        <v>507</v>
      </c>
      <c r="D13" s="552" t="s">
        <v>719</v>
      </c>
      <c r="E13" s="552" t="s">
        <v>520</v>
      </c>
      <c r="F13" s="552" t="s">
        <v>720</v>
      </c>
      <c r="G13" s="552" t="s">
        <v>721</v>
      </c>
      <c r="H13" s="389"/>
      <c r="I13" s="389"/>
      <c r="J13" s="389"/>
      <c r="K13" s="389"/>
      <c r="L13" s="389"/>
    </row>
    <row r="14" spans="1:12" ht="15.95" customHeight="1">
      <c r="A14" s="552" t="s">
        <v>482</v>
      </c>
      <c r="B14" s="552" t="s">
        <v>495</v>
      </c>
      <c r="C14" s="552" t="s">
        <v>508</v>
      </c>
      <c r="D14" s="552" t="s">
        <v>722</v>
      </c>
      <c r="E14" s="552" t="s">
        <v>521</v>
      </c>
      <c r="F14" s="552" t="s">
        <v>723</v>
      </c>
      <c r="G14" s="552" t="s">
        <v>724</v>
      </c>
      <c r="H14" s="389"/>
      <c r="I14" s="389"/>
      <c r="J14" s="389"/>
      <c r="K14" s="389"/>
      <c r="L14" s="389"/>
    </row>
    <row r="15" spans="1:12" ht="15.95" customHeight="1">
      <c r="A15" s="552" t="s">
        <v>483</v>
      </c>
      <c r="B15" s="552" t="s">
        <v>496</v>
      </c>
      <c r="C15" s="552" t="s">
        <v>509</v>
      </c>
      <c r="D15" s="552" t="s">
        <v>725</v>
      </c>
      <c r="E15" s="552" t="s">
        <v>522</v>
      </c>
      <c r="F15" s="552" t="s">
        <v>726</v>
      </c>
      <c r="G15" s="552" t="s">
        <v>727</v>
      </c>
      <c r="H15" s="389"/>
      <c r="I15" s="389"/>
      <c r="J15" s="389"/>
      <c r="K15" s="389"/>
      <c r="L15" s="389"/>
    </row>
    <row r="16" spans="1:12" ht="15.95" customHeight="1">
      <c r="A16" s="552" t="s">
        <v>484</v>
      </c>
      <c r="B16" s="552" t="s">
        <v>497</v>
      </c>
      <c r="C16" s="552" t="s">
        <v>510</v>
      </c>
      <c r="D16" s="552" t="s">
        <v>728</v>
      </c>
      <c r="E16" s="552" t="s">
        <v>523</v>
      </c>
      <c r="F16" s="552" t="s">
        <v>729</v>
      </c>
      <c r="G16" s="552" t="s">
        <v>730</v>
      </c>
      <c r="H16" s="389"/>
      <c r="I16" s="389"/>
      <c r="J16" s="389"/>
      <c r="K16" s="389"/>
      <c r="L16" s="389"/>
    </row>
    <row r="17" spans="1:12" ht="15.95" customHeight="1">
      <c r="A17" s="552" t="s">
        <v>485</v>
      </c>
      <c r="B17" s="552" t="s">
        <v>498</v>
      </c>
      <c r="C17" s="552" t="s">
        <v>511</v>
      </c>
      <c r="D17" s="552" t="s">
        <v>731</v>
      </c>
      <c r="E17" s="552" t="s">
        <v>524</v>
      </c>
      <c r="F17" s="552" t="s">
        <v>732</v>
      </c>
      <c r="G17" s="552" t="s">
        <v>733</v>
      </c>
      <c r="H17" s="389"/>
      <c r="I17" s="389"/>
      <c r="J17" s="389"/>
      <c r="K17" s="389"/>
      <c r="L17" s="389"/>
    </row>
    <row r="18" spans="1:12" ht="15.95" customHeight="1">
      <c r="A18" s="552" t="s">
        <v>486</v>
      </c>
      <c r="B18" s="552" t="s">
        <v>499</v>
      </c>
      <c r="C18" s="552" t="s">
        <v>512</v>
      </c>
      <c r="D18" s="552" t="s">
        <v>734</v>
      </c>
      <c r="E18" s="552" t="s">
        <v>525</v>
      </c>
      <c r="F18" s="552" t="s">
        <v>735</v>
      </c>
      <c r="G18" s="552" t="s">
        <v>736</v>
      </c>
      <c r="H18" s="389"/>
      <c r="I18" s="389"/>
      <c r="J18" s="389"/>
      <c r="K18" s="389"/>
      <c r="L18" s="389"/>
    </row>
    <row r="19" spans="1:12" ht="15.95" customHeight="1">
      <c r="A19" s="552" t="s">
        <v>487</v>
      </c>
      <c r="B19" s="552" t="s">
        <v>500</v>
      </c>
      <c r="C19" s="552" t="s">
        <v>513</v>
      </c>
      <c r="D19" s="552" t="s">
        <v>737</v>
      </c>
      <c r="E19" s="552" t="s">
        <v>526</v>
      </c>
      <c r="F19" s="552" t="s">
        <v>738</v>
      </c>
      <c r="G19" s="552" t="s">
        <v>739</v>
      </c>
      <c r="H19" s="389"/>
      <c r="I19" s="389"/>
      <c r="J19" s="389"/>
      <c r="K19" s="389"/>
      <c r="L19" s="389"/>
    </row>
    <row r="20" spans="1:12" ht="15.75">
      <c r="A20" s="549"/>
      <c r="B20" s="549"/>
      <c r="C20" s="549"/>
      <c r="D20" s="549"/>
      <c r="E20" s="549"/>
      <c r="F20" s="549"/>
      <c r="G20" s="549"/>
      <c r="H20" s="389"/>
      <c r="I20" s="389"/>
      <c r="J20" s="389"/>
      <c r="K20" s="389"/>
      <c r="L20" s="389"/>
    </row>
    <row r="21" spans="1:12" ht="15.75">
      <c r="A21" s="549"/>
      <c r="B21" s="549"/>
      <c r="C21" s="549"/>
      <c r="D21" s="712" t="s">
        <v>740</v>
      </c>
      <c r="E21" s="708"/>
      <c r="F21" s="708"/>
      <c r="G21" s="709"/>
      <c r="H21" s="389"/>
      <c r="I21" s="389"/>
      <c r="J21" s="389"/>
      <c r="K21" s="389"/>
      <c r="L21" s="389"/>
    </row>
    <row r="22" spans="1:12" ht="17.25" customHeight="1">
      <c r="A22" s="549"/>
      <c r="B22" s="710" t="s">
        <v>446</v>
      </c>
      <c r="C22" s="710"/>
      <c r="D22" s="710" t="s">
        <v>447</v>
      </c>
      <c r="E22" s="710"/>
      <c r="F22" s="710" t="s">
        <v>448</v>
      </c>
      <c r="G22" s="710"/>
      <c r="H22" s="389"/>
      <c r="I22" s="389"/>
      <c r="J22" s="389"/>
      <c r="K22" s="389"/>
      <c r="L22" s="389"/>
    </row>
    <row r="23" spans="1:12" ht="15.75">
      <c r="A23" s="554" t="s">
        <v>449</v>
      </c>
      <c r="B23" s="706" t="s">
        <v>741</v>
      </c>
      <c r="C23" s="706"/>
      <c r="D23" s="706" t="s">
        <v>742</v>
      </c>
      <c r="E23" s="706"/>
      <c r="F23" s="706" t="s">
        <v>743</v>
      </c>
      <c r="G23" s="706"/>
      <c r="H23" s="389"/>
      <c r="I23" s="389"/>
      <c r="J23" s="389"/>
      <c r="K23" s="389"/>
      <c r="L23" s="389"/>
    </row>
    <row r="24" spans="1:12" ht="18" customHeight="1">
      <c r="A24" s="554" t="s">
        <v>450</v>
      </c>
      <c r="B24" s="706" t="s">
        <v>744</v>
      </c>
      <c r="C24" s="706"/>
      <c r="D24" s="706" t="s">
        <v>745</v>
      </c>
      <c r="E24" s="706"/>
      <c r="F24" s="706" t="s">
        <v>746</v>
      </c>
      <c r="G24" s="706"/>
      <c r="H24" s="389"/>
      <c r="I24" s="389"/>
      <c r="J24" s="389"/>
      <c r="K24" s="389"/>
      <c r="L24" s="389"/>
    </row>
    <row r="25" spans="1:12" ht="15.75">
      <c r="A25" s="554" t="s">
        <v>451</v>
      </c>
      <c r="B25" s="706" t="s">
        <v>747</v>
      </c>
      <c r="C25" s="706"/>
      <c r="D25" s="706" t="s">
        <v>748</v>
      </c>
      <c r="E25" s="706"/>
      <c r="F25" s="706" t="s">
        <v>749</v>
      </c>
      <c r="G25" s="706"/>
      <c r="H25" s="389"/>
      <c r="I25" s="389"/>
      <c r="J25" s="389"/>
      <c r="K25" s="389"/>
      <c r="L25" s="389"/>
    </row>
    <row r="26" spans="1:12" ht="15.75">
      <c r="A26" s="549"/>
      <c r="B26" s="549"/>
      <c r="C26" s="549"/>
      <c r="D26" s="549"/>
      <c r="E26" s="549"/>
      <c r="F26" s="549"/>
      <c r="G26" s="549"/>
      <c r="H26" s="389"/>
      <c r="I26" s="389"/>
      <c r="J26" s="389"/>
      <c r="K26" s="389"/>
      <c r="L26" s="389"/>
    </row>
    <row r="27" spans="1:12" ht="20.25">
      <c r="A27" s="548" t="s">
        <v>452</v>
      </c>
      <c r="B27" s="549"/>
      <c r="C27" s="549"/>
      <c r="D27" s="549"/>
      <c r="E27" s="549"/>
      <c r="F27" s="549"/>
      <c r="G27" s="549"/>
      <c r="H27" s="389"/>
      <c r="I27" s="389"/>
      <c r="J27" s="389"/>
      <c r="K27" s="389"/>
      <c r="L27" s="389"/>
    </row>
    <row r="28" spans="1:12" ht="15.75">
      <c r="A28" s="549"/>
      <c r="B28" s="549"/>
      <c r="C28" s="549"/>
      <c r="D28" s="549"/>
      <c r="E28" s="707" t="s">
        <v>453</v>
      </c>
      <c r="F28" s="708"/>
      <c r="G28" s="709"/>
      <c r="H28" s="389"/>
      <c r="I28" s="389"/>
      <c r="J28" s="389"/>
      <c r="K28" s="389"/>
      <c r="L28" s="389"/>
    </row>
    <row r="29" spans="1:12" ht="15.75">
      <c r="A29" s="549"/>
      <c r="B29" s="710" t="s">
        <v>454</v>
      </c>
      <c r="C29" s="710"/>
      <c r="D29" s="553" t="s">
        <v>455</v>
      </c>
      <c r="E29" s="553" t="s">
        <v>456</v>
      </c>
      <c r="F29" s="710" t="s">
        <v>457</v>
      </c>
      <c r="G29" s="710"/>
      <c r="H29" s="389"/>
      <c r="I29" s="389"/>
      <c r="J29" s="389"/>
      <c r="K29" s="389"/>
      <c r="L29" s="389"/>
    </row>
    <row r="30" spans="1:12" ht="15.75">
      <c r="A30" s="554" t="s">
        <v>458</v>
      </c>
      <c r="B30" s="706" t="s">
        <v>527</v>
      </c>
      <c r="C30" s="706"/>
      <c r="D30" s="552" t="s">
        <v>530</v>
      </c>
      <c r="E30" s="552" t="s">
        <v>459</v>
      </c>
      <c r="F30" s="706" t="s">
        <v>533</v>
      </c>
      <c r="G30" s="706"/>
      <c r="H30" s="389"/>
      <c r="I30" s="389"/>
      <c r="J30" s="389"/>
      <c r="K30" s="389"/>
      <c r="L30" s="389"/>
    </row>
    <row r="31" spans="1:12" ht="15.75">
      <c r="A31" s="554" t="s">
        <v>460</v>
      </c>
      <c r="B31" s="706" t="s">
        <v>528</v>
      </c>
      <c r="C31" s="706"/>
      <c r="D31" s="552" t="s">
        <v>531</v>
      </c>
      <c r="E31" s="552" t="s">
        <v>461</v>
      </c>
      <c r="F31" s="706" t="s">
        <v>534</v>
      </c>
      <c r="G31" s="706"/>
      <c r="H31" s="389"/>
      <c r="I31" s="389"/>
      <c r="J31" s="389"/>
      <c r="K31" s="389"/>
      <c r="L31" s="389"/>
    </row>
    <row r="32" spans="1:12" ht="15.75">
      <c r="A32" s="554" t="s">
        <v>462</v>
      </c>
      <c r="B32" s="706" t="s">
        <v>529</v>
      </c>
      <c r="C32" s="706"/>
      <c r="D32" s="552" t="s">
        <v>532</v>
      </c>
      <c r="E32" s="552" t="s">
        <v>463</v>
      </c>
      <c r="F32" s="706" t="s">
        <v>535</v>
      </c>
      <c r="G32" s="706"/>
      <c r="H32" s="389"/>
      <c r="I32" s="389"/>
      <c r="J32" s="389"/>
      <c r="K32" s="389"/>
      <c r="L32" s="389"/>
    </row>
    <row r="33" spans="1:12" ht="15.75">
      <c r="A33" s="549"/>
      <c r="B33" s="549"/>
      <c r="C33" s="549"/>
      <c r="D33" s="549"/>
      <c r="E33" s="549"/>
      <c r="F33" s="549"/>
      <c r="G33" s="549"/>
      <c r="H33" s="389"/>
      <c r="I33" s="389"/>
      <c r="J33" s="389"/>
      <c r="K33" s="389"/>
      <c r="L33" s="389"/>
    </row>
    <row r="34" spans="1:12" ht="15.75">
      <c r="A34" s="549"/>
      <c r="B34" s="549"/>
      <c r="C34" s="549"/>
      <c r="D34" s="549"/>
      <c r="E34" s="707" t="s">
        <v>464</v>
      </c>
      <c r="F34" s="708"/>
      <c r="G34" s="709"/>
      <c r="H34" s="389"/>
      <c r="I34" s="389"/>
      <c r="J34" s="389"/>
      <c r="K34" s="389"/>
      <c r="L34" s="389"/>
    </row>
    <row r="35" spans="1:12" ht="15.75">
      <c r="A35" s="549"/>
      <c r="B35" s="710" t="s">
        <v>465</v>
      </c>
      <c r="C35" s="710"/>
      <c r="D35" s="553" t="s">
        <v>456</v>
      </c>
      <c r="E35" s="553" t="s">
        <v>466</v>
      </c>
      <c r="F35" s="553" t="s">
        <v>100</v>
      </c>
      <c r="G35" s="553" t="s">
        <v>467</v>
      </c>
      <c r="H35" s="389"/>
      <c r="I35" s="389"/>
      <c r="J35" s="389"/>
      <c r="K35" s="389"/>
      <c r="L35" s="389"/>
    </row>
    <row r="36" spans="1:12" ht="15.75">
      <c r="A36" s="554" t="s">
        <v>458</v>
      </c>
      <c r="B36" s="702" t="s">
        <v>536</v>
      </c>
      <c r="C36" s="703"/>
      <c r="D36" s="555" t="s">
        <v>538</v>
      </c>
      <c r="E36" s="555" t="s">
        <v>468</v>
      </c>
      <c r="F36" s="556" t="s">
        <v>469</v>
      </c>
      <c r="G36" s="552" t="s">
        <v>541</v>
      </c>
      <c r="H36" s="389"/>
      <c r="I36" s="389"/>
      <c r="J36" s="389"/>
      <c r="K36" s="389"/>
      <c r="L36" s="389"/>
    </row>
    <row r="37" spans="1:12" ht="15.75">
      <c r="A37" s="554" t="s">
        <v>460</v>
      </c>
      <c r="B37" s="702" t="s">
        <v>537</v>
      </c>
      <c r="C37" s="703"/>
      <c r="D37" s="555" t="s">
        <v>539</v>
      </c>
      <c r="E37" s="555" t="s">
        <v>468</v>
      </c>
      <c r="F37" s="556" t="s">
        <v>470</v>
      </c>
      <c r="G37" s="557" t="s">
        <v>542</v>
      </c>
      <c r="H37" s="389"/>
      <c r="I37" s="389"/>
      <c r="J37" s="389"/>
      <c r="K37" s="389"/>
      <c r="L37" s="389"/>
    </row>
    <row r="38" spans="1:12" ht="15.75">
      <c r="A38" s="554" t="s">
        <v>462</v>
      </c>
      <c r="B38" s="702" t="s">
        <v>537</v>
      </c>
      <c r="C38" s="703"/>
      <c r="D38" s="555" t="s">
        <v>540</v>
      </c>
      <c r="E38" s="555" t="s">
        <v>468</v>
      </c>
      <c r="F38" s="556" t="s">
        <v>471</v>
      </c>
      <c r="G38" s="552" t="s">
        <v>543</v>
      </c>
      <c r="H38" s="389"/>
      <c r="I38" s="389"/>
      <c r="J38" s="389"/>
      <c r="K38" s="389"/>
      <c r="L38" s="389"/>
    </row>
    <row r="39" spans="1:12" ht="15.75">
      <c r="A39" s="549"/>
      <c r="B39" s="549"/>
      <c r="C39" s="549"/>
      <c r="D39" s="549"/>
      <c r="E39" s="549"/>
      <c r="F39" s="549"/>
      <c r="G39" s="549"/>
      <c r="H39" s="389"/>
      <c r="I39" s="389"/>
      <c r="J39" s="389"/>
      <c r="K39" s="389"/>
      <c r="L39" s="389"/>
    </row>
    <row r="40" spans="1:12" ht="15.75">
      <c r="A40" s="558" t="s">
        <v>472</v>
      </c>
      <c r="B40" s="704" t="s">
        <v>544</v>
      </c>
      <c r="C40" s="704"/>
      <c r="D40" s="705" t="s">
        <v>473</v>
      </c>
      <c r="E40" s="705"/>
      <c r="F40" s="704" t="s">
        <v>545</v>
      </c>
      <c r="G40" s="704"/>
      <c r="H40" s="389"/>
      <c r="I40" s="389"/>
      <c r="J40" s="389"/>
      <c r="K40" s="389"/>
      <c r="L40" s="389"/>
    </row>
    <row r="41" spans="1:12" ht="15.75">
      <c r="A41" s="389"/>
      <c r="B41" s="389"/>
      <c r="C41" s="389"/>
      <c r="D41" s="389"/>
      <c r="E41" s="389"/>
      <c r="F41" s="389"/>
      <c r="G41" s="389"/>
      <c r="H41" s="389"/>
      <c r="I41" s="389"/>
      <c r="J41" s="389"/>
      <c r="K41" s="389"/>
      <c r="L41" s="389"/>
    </row>
    <row r="42" spans="1:12" ht="15.75">
      <c r="A42" s="389"/>
      <c r="B42" s="389"/>
      <c r="C42" s="389"/>
      <c r="D42" s="389"/>
      <c r="E42" s="389"/>
      <c r="F42" s="389"/>
      <c r="G42" s="389"/>
      <c r="H42" s="389"/>
      <c r="I42" s="389"/>
      <c r="J42" s="389"/>
      <c r="K42" s="389"/>
      <c r="L42" s="389"/>
    </row>
    <row r="43" spans="1:12" ht="15.75">
      <c r="A43" s="389"/>
      <c r="B43" s="389"/>
      <c r="C43" s="389"/>
      <c r="D43" s="389"/>
      <c r="E43" s="389"/>
      <c r="F43" s="389"/>
      <c r="G43" s="389"/>
      <c r="H43" s="389"/>
      <c r="I43" s="389"/>
      <c r="J43" s="389"/>
      <c r="K43" s="389"/>
      <c r="L43" s="389"/>
    </row>
    <row r="44" spans="1:12" ht="15.75">
      <c r="A44" s="389"/>
      <c r="B44" s="389"/>
      <c r="C44" s="389"/>
      <c r="D44" s="389"/>
      <c r="E44" s="389"/>
      <c r="F44" s="389"/>
      <c r="G44" s="389"/>
      <c r="H44" s="389"/>
      <c r="I44" s="389"/>
      <c r="J44" s="389"/>
      <c r="K44" s="389"/>
      <c r="L44" s="389"/>
    </row>
    <row r="45" spans="1:12" ht="15.75">
      <c r="A45" s="389"/>
      <c r="B45" s="389"/>
      <c r="C45" s="389"/>
      <c r="D45" s="389"/>
      <c r="E45" s="389"/>
      <c r="F45" s="389"/>
      <c r="G45" s="389"/>
      <c r="H45" s="389"/>
      <c r="I45" s="389"/>
      <c r="J45" s="389"/>
      <c r="K45" s="389"/>
      <c r="L45" s="389"/>
    </row>
    <row r="46" spans="1:12" ht="15.75">
      <c r="A46" s="389"/>
      <c r="B46" s="389"/>
      <c r="C46" s="389"/>
      <c r="D46" s="389"/>
      <c r="E46" s="389"/>
      <c r="F46" s="389"/>
      <c r="G46" s="389"/>
      <c r="H46" s="389"/>
      <c r="I46" s="389"/>
      <c r="J46" s="389"/>
      <c r="K46" s="389"/>
      <c r="L46" s="389"/>
    </row>
    <row r="47" spans="1:12" ht="15.75">
      <c r="A47" s="389"/>
      <c r="B47" s="389"/>
      <c r="C47" s="389"/>
      <c r="D47" s="389"/>
      <c r="E47" s="389"/>
      <c r="F47" s="389"/>
      <c r="G47" s="389"/>
      <c r="H47" s="389"/>
      <c r="I47" s="389"/>
      <c r="J47" s="389"/>
      <c r="K47" s="389"/>
      <c r="L47" s="389"/>
    </row>
    <row r="48" spans="1:12" ht="15.75">
      <c r="A48" s="389"/>
      <c r="B48" s="389"/>
      <c r="C48" s="389"/>
      <c r="D48" s="389"/>
      <c r="E48" s="389"/>
      <c r="F48" s="389"/>
      <c r="G48" s="389"/>
      <c r="H48" s="389"/>
      <c r="I48" s="389"/>
      <c r="J48" s="389"/>
      <c r="K48" s="389"/>
      <c r="L48" s="389"/>
    </row>
    <row r="49" spans="1:12" ht="15.75">
      <c r="A49" s="389"/>
      <c r="B49" s="389"/>
      <c r="C49" s="389"/>
      <c r="D49" s="389"/>
      <c r="E49" s="389"/>
      <c r="F49" s="389"/>
      <c r="G49" s="389"/>
      <c r="H49" s="389"/>
      <c r="I49" s="389"/>
      <c r="J49" s="389"/>
      <c r="K49" s="389"/>
      <c r="L49" s="389"/>
    </row>
    <row r="50" spans="1:12" ht="15.75">
      <c r="A50" s="389"/>
      <c r="B50" s="389"/>
      <c r="C50" s="389"/>
      <c r="D50" s="389"/>
      <c r="E50" s="389"/>
      <c r="F50" s="389"/>
      <c r="G50" s="389"/>
      <c r="H50" s="389"/>
      <c r="I50" s="389"/>
      <c r="J50" s="389"/>
      <c r="K50" s="389"/>
      <c r="L50" s="389"/>
    </row>
    <row r="51" spans="1:12" ht="15.75">
      <c r="A51" s="389"/>
      <c r="B51" s="389"/>
      <c r="C51" s="389"/>
      <c r="D51" s="389"/>
      <c r="E51" s="389"/>
      <c r="F51" s="389"/>
      <c r="G51" s="389"/>
      <c r="H51" s="389"/>
      <c r="I51" s="389"/>
      <c r="J51" s="389"/>
      <c r="K51" s="389"/>
      <c r="L51" s="389"/>
    </row>
    <row r="52" spans="1:12" ht="15.75">
      <c r="A52" s="389"/>
      <c r="B52" s="389"/>
      <c r="C52" s="389"/>
      <c r="D52" s="389"/>
      <c r="E52" s="389"/>
      <c r="F52" s="389"/>
      <c r="G52" s="389"/>
      <c r="H52" s="389"/>
      <c r="I52" s="389"/>
      <c r="J52" s="389"/>
      <c r="K52" s="389"/>
      <c r="L52" s="389"/>
    </row>
    <row r="53" spans="1:12" ht="15.75">
      <c r="A53" s="389"/>
      <c r="B53" s="389"/>
      <c r="C53" s="389"/>
      <c r="D53" s="389"/>
      <c r="E53" s="389"/>
      <c r="F53" s="389"/>
      <c r="G53" s="389"/>
      <c r="H53" s="389"/>
      <c r="I53" s="389"/>
      <c r="J53" s="389"/>
      <c r="K53" s="389"/>
      <c r="L53" s="389"/>
    </row>
    <row r="54" spans="1:12" ht="15.75">
      <c r="A54" s="389"/>
      <c r="B54" s="389"/>
      <c r="C54" s="389"/>
      <c r="D54" s="389"/>
      <c r="E54" s="389"/>
      <c r="F54" s="389"/>
      <c r="G54" s="389"/>
      <c r="H54" s="389"/>
      <c r="I54" s="389"/>
      <c r="J54" s="389"/>
      <c r="K54" s="389"/>
      <c r="L54" s="389"/>
    </row>
    <row r="55" spans="1:12" ht="15.75">
      <c r="A55" s="389"/>
      <c r="B55" s="389"/>
      <c r="C55" s="389"/>
      <c r="D55" s="389"/>
      <c r="E55" s="389"/>
      <c r="F55" s="389"/>
      <c r="G55" s="389"/>
      <c r="H55" s="389"/>
      <c r="I55" s="389"/>
      <c r="J55" s="389"/>
      <c r="K55" s="389"/>
      <c r="L55" s="389"/>
    </row>
    <row r="56" spans="1:12" ht="15.75">
      <c r="A56" s="389"/>
      <c r="B56" s="389"/>
      <c r="C56" s="389"/>
      <c r="D56" s="389"/>
      <c r="E56" s="389"/>
      <c r="F56" s="389"/>
      <c r="G56" s="389"/>
      <c r="H56" s="389"/>
      <c r="I56" s="389"/>
      <c r="J56" s="389"/>
      <c r="K56" s="389"/>
      <c r="L56" s="389"/>
    </row>
    <row r="57" spans="1:12" ht="15.75">
      <c r="A57" s="389"/>
      <c r="B57" s="389"/>
      <c r="C57" s="389"/>
      <c r="D57" s="389"/>
      <c r="E57" s="389"/>
      <c r="F57" s="389"/>
      <c r="G57" s="389"/>
      <c r="H57" s="389"/>
      <c r="I57" s="389"/>
      <c r="J57" s="389"/>
      <c r="K57" s="389"/>
      <c r="L57" s="389"/>
    </row>
    <row r="58" spans="1:12" ht="15.75">
      <c r="A58" s="389"/>
      <c r="B58" s="389"/>
      <c r="C58" s="389"/>
      <c r="D58" s="389"/>
      <c r="E58" s="389"/>
      <c r="F58" s="389"/>
      <c r="G58" s="389"/>
      <c r="H58" s="389"/>
      <c r="I58" s="389"/>
      <c r="J58" s="389"/>
      <c r="K58" s="389"/>
      <c r="L58" s="389"/>
    </row>
    <row r="59" spans="1:12" ht="15.75">
      <c r="A59" s="389"/>
      <c r="B59" s="389"/>
      <c r="C59" s="389"/>
      <c r="D59" s="389"/>
      <c r="E59" s="389"/>
      <c r="F59" s="389"/>
      <c r="G59" s="389"/>
      <c r="H59" s="389"/>
      <c r="I59" s="389"/>
      <c r="J59" s="389"/>
      <c r="K59" s="389"/>
      <c r="L59" s="389"/>
    </row>
    <row r="60" spans="1:12" ht="15.75">
      <c r="A60" s="389"/>
      <c r="B60" s="389"/>
      <c r="C60" s="389"/>
      <c r="D60" s="389"/>
      <c r="E60" s="389"/>
      <c r="F60" s="389"/>
      <c r="G60" s="389"/>
      <c r="H60" s="389"/>
      <c r="I60" s="389"/>
      <c r="J60" s="389"/>
      <c r="K60" s="389"/>
      <c r="L60" s="389"/>
    </row>
    <row r="61" spans="1:12" ht="15.75">
      <c r="A61" s="389"/>
      <c r="B61" s="389"/>
      <c r="C61" s="389"/>
      <c r="D61" s="389"/>
      <c r="E61" s="389"/>
      <c r="F61" s="389"/>
      <c r="G61" s="389"/>
      <c r="H61" s="389"/>
      <c r="I61" s="389"/>
      <c r="J61" s="389"/>
      <c r="K61" s="389"/>
      <c r="L61" s="389"/>
    </row>
  </sheetData>
  <mergeCells count="31">
    <mergeCell ref="B23:C23"/>
    <mergeCell ref="D23:E23"/>
    <mergeCell ref="F23:G23"/>
    <mergeCell ref="B24:C24"/>
    <mergeCell ref="D24:E24"/>
    <mergeCell ref="F24:G24"/>
    <mergeCell ref="B1:G1"/>
    <mergeCell ref="D21:G21"/>
    <mergeCell ref="B22:C22"/>
    <mergeCell ref="D22:E22"/>
    <mergeCell ref="F22:G22"/>
    <mergeCell ref="B31:C31"/>
    <mergeCell ref="F31:G31"/>
    <mergeCell ref="B25:C25"/>
    <mergeCell ref="D25:E25"/>
    <mergeCell ref="F25:G25"/>
    <mergeCell ref="E28:G28"/>
    <mergeCell ref="B29:C29"/>
    <mergeCell ref="F29:G29"/>
    <mergeCell ref="B30:C30"/>
    <mergeCell ref="F30:G30"/>
    <mergeCell ref="B38:C38"/>
    <mergeCell ref="B40:C40"/>
    <mergeCell ref="D40:E40"/>
    <mergeCell ref="F40:G40"/>
    <mergeCell ref="B32:C32"/>
    <mergeCell ref="F32:G32"/>
    <mergeCell ref="E34:G34"/>
    <mergeCell ref="B35:C35"/>
    <mergeCell ref="B36:C36"/>
    <mergeCell ref="B37:C37"/>
  </mergeCells>
  <printOptions horizontalCentered="1"/>
  <pageMargins left="0.75" right="0.75" top="1" bottom="1" header="0.5" footer="0.5"/>
  <pageSetup scale="98" orientation="portrait" horizontalDpi="0" verticalDpi="300"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81"/>
  <sheetViews>
    <sheetView workbookViewId="0">
      <selection activeCell="I12" sqref="I12"/>
    </sheetView>
  </sheetViews>
  <sheetFormatPr defaultColWidth="9.140625" defaultRowHeight="12.75"/>
  <cols>
    <col min="1" max="6" width="16.7109375" style="388" customWidth="1"/>
    <col min="7" max="16384" width="9.140625" style="388"/>
  </cols>
  <sheetData>
    <row r="1" spans="1:6" ht="18.95" customHeight="1">
      <c r="A1" s="391"/>
      <c r="B1" s="392"/>
      <c r="C1" s="392"/>
      <c r="D1" s="392"/>
      <c r="E1" s="392"/>
      <c r="F1" s="393"/>
    </row>
    <row r="2" spans="1:6" ht="26.1" customHeight="1">
      <c r="A2" s="394" t="s">
        <v>252</v>
      </c>
      <c r="B2" s="395"/>
      <c r="C2" s="395"/>
      <c r="D2" s="395"/>
      <c r="E2" s="395"/>
      <c r="F2" s="396"/>
    </row>
    <row r="3" spans="1:6" ht="18.95" customHeight="1">
      <c r="A3" s="713" t="s">
        <v>546</v>
      </c>
      <c r="B3" s="714"/>
      <c r="C3" s="714"/>
      <c r="D3" s="714"/>
      <c r="E3" s="714"/>
      <c r="F3" s="715"/>
    </row>
    <row r="4" spans="1:6" ht="18.95" customHeight="1">
      <c r="A4" s="716" t="s">
        <v>547</v>
      </c>
      <c r="B4" s="717"/>
      <c r="C4" s="717"/>
      <c r="D4" s="717"/>
      <c r="E4" s="717"/>
      <c r="F4" s="718"/>
    </row>
    <row r="5" spans="1:6" ht="18.95" customHeight="1">
      <c r="A5" s="397"/>
      <c r="B5" s="398"/>
      <c r="C5" s="398"/>
      <c r="D5" s="398"/>
      <c r="E5" s="398"/>
      <c r="F5" s="399"/>
    </row>
    <row r="6" spans="1:6" ht="18.95" customHeight="1">
      <c r="A6" s="368" t="s">
        <v>403</v>
      </c>
      <c r="B6" s="699" t="str">
        <f>'Performance Data Sheet'!C17</f>
        <v>M303TCQL11F-C</v>
      </c>
      <c r="C6" s="700"/>
      <c r="D6" s="701"/>
      <c r="E6" s="368" t="s">
        <v>404</v>
      </c>
      <c r="F6" s="369">
        <v>187</v>
      </c>
    </row>
    <row r="7" spans="1:6" ht="18.95" customHeight="1">
      <c r="A7" s="368" t="s">
        <v>405</v>
      </c>
      <c r="B7" s="369" t="str">
        <f>'Performance Data Sheet'!F14</f>
        <v>TEAAC</v>
      </c>
      <c r="C7" s="368" t="s">
        <v>406</v>
      </c>
      <c r="D7" s="369" t="s">
        <v>428</v>
      </c>
      <c r="E7" s="368" t="s">
        <v>407</v>
      </c>
      <c r="F7" s="369" t="str">
        <f>'Performance Data Sheet'!C14</f>
        <v>6810USS</v>
      </c>
    </row>
    <row r="8" spans="1:6" ht="18.95" customHeight="1">
      <c r="A8" s="368" t="s">
        <v>408</v>
      </c>
      <c r="B8" s="369">
        <v>2</v>
      </c>
      <c r="C8" s="368" t="s">
        <v>409</v>
      </c>
      <c r="D8" s="369" t="s">
        <v>410</v>
      </c>
      <c r="E8" s="368" t="s">
        <v>411</v>
      </c>
      <c r="F8" s="369" t="str">
        <f>'Performance Data Sheet'!M15</f>
        <v>F</v>
      </c>
    </row>
    <row r="9" spans="1:6" ht="18.95" customHeight="1">
      <c r="A9" s="368" t="s">
        <v>412</v>
      </c>
      <c r="B9" s="369">
        <v>1500</v>
      </c>
      <c r="C9" s="368" t="s">
        <v>413</v>
      </c>
      <c r="D9" s="369" t="s">
        <v>429</v>
      </c>
      <c r="E9" s="368" t="s">
        <v>2</v>
      </c>
      <c r="F9" s="370">
        <f>'Performance Data Sheet'!K45</f>
        <v>41940</v>
      </c>
    </row>
    <row r="10" spans="1:6" ht="18.95" customHeight="1">
      <c r="A10" s="368" t="s">
        <v>414</v>
      </c>
      <c r="B10" s="369">
        <v>3581</v>
      </c>
      <c r="C10" s="368" t="s">
        <v>415</v>
      </c>
      <c r="D10" s="560" t="s">
        <v>750</v>
      </c>
      <c r="E10" s="368" t="s">
        <v>1</v>
      </c>
      <c r="F10" s="369" t="s">
        <v>364</v>
      </c>
    </row>
    <row r="11" spans="1:6" ht="18.95" customHeight="1">
      <c r="A11" s="397"/>
      <c r="B11" s="398"/>
      <c r="C11" s="398"/>
      <c r="D11" s="398"/>
      <c r="E11" s="398"/>
      <c r="F11" s="399"/>
    </row>
    <row r="12" spans="1:6" ht="18.95" customHeight="1">
      <c r="A12" s="397"/>
      <c r="B12" s="400"/>
      <c r="C12" s="401"/>
      <c r="D12" s="400"/>
      <c r="E12" s="401"/>
      <c r="F12" s="399"/>
    </row>
    <row r="13" spans="1:6" ht="18.95" customHeight="1">
      <c r="A13" s="397"/>
      <c r="B13" s="400"/>
      <c r="C13" s="402"/>
      <c r="D13" s="400"/>
      <c r="E13" s="401"/>
      <c r="F13" s="399"/>
    </row>
    <row r="14" spans="1:6" ht="18.95" customHeight="1">
      <c r="A14" s="397"/>
      <c r="B14" s="400"/>
      <c r="C14" s="402"/>
      <c r="D14" s="400"/>
      <c r="E14" s="401"/>
      <c r="F14" s="399"/>
    </row>
    <row r="15" spans="1:6" ht="18.95" customHeight="1">
      <c r="A15" s="397"/>
      <c r="B15" s="400"/>
      <c r="C15" s="401"/>
      <c r="D15" s="398"/>
      <c r="E15" s="398"/>
      <c r="F15" s="399"/>
    </row>
    <row r="16" spans="1:6" ht="18.95" customHeight="1">
      <c r="A16" s="397"/>
      <c r="B16" s="398"/>
      <c r="C16" s="398"/>
      <c r="D16" s="398"/>
      <c r="E16" s="398"/>
      <c r="F16" s="399"/>
    </row>
    <row r="17" spans="1:6" ht="18.95" customHeight="1">
      <c r="A17" s="397"/>
      <c r="B17" s="398"/>
      <c r="C17" s="398"/>
      <c r="D17" s="398"/>
      <c r="E17" s="398"/>
      <c r="F17" s="399"/>
    </row>
    <row r="18" spans="1:6" ht="18.95" customHeight="1">
      <c r="A18" s="397"/>
      <c r="B18" s="398"/>
      <c r="C18" s="398"/>
      <c r="D18" s="398"/>
      <c r="E18" s="398"/>
      <c r="F18" s="399"/>
    </row>
    <row r="19" spans="1:6" ht="18.95" customHeight="1">
      <c r="A19" s="397"/>
      <c r="B19" s="398"/>
      <c r="C19" s="398"/>
      <c r="D19" s="398"/>
      <c r="E19" s="398"/>
      <c r="F19" s="399"/>
    </row>
    <row r="20" spans="1:6" ht="18.95" customHeight="1">
      <c r="A20" s="397"/>
      <c r="B20" s="398"/>
      <c r="C20" s="398"/>
      <c r="D20" s="398"/>
      <c r="E20" s="398"/>
      <c r="F20" s="399"/>
    </row>
    <row r="21" spans="1:6" ht="18.95" customHeight="1">
      <c r="A21" s="397"/>
      <c r="B21" s="398"/>
      <c r="C21" s="398"/>
      <c r="D21" s="398"/>
      <c r="E21" s="398"/>
      <c r="F21" s="399"/>
    </row>
    <row r="22" spans="1:6" ht="18.95" customHeight="1">
      <c r="A22" s="397"/>
      <c r="B22" s="398"/>
      <c r="C22" s="398"/>
      <c r="D22" s="398"/>
      <c r="E22" s="398"/>
      <c r="F22" s="399"/>
    </row>
    <row r="23" spans="1:6" ht="18.95" customHeight="1">
      <c r="A23" s="397"/>
      <c r="B23" s="398"/>
      <c r="C23" s="398"/>
      <c r="D23" s="398"/>
      <c r="E23" s="398"/>
      <c r="F23" s="399"/>
    </row>
    <row r="24" spans="1:6" ht="18.95" customHeight="1">
      <c r="A24" s="397"/>
      <c r="B24" s="398"/>
      <c r="C24" s="398"/>
      <c r="D24" s="398"/>
      <c r="E24" s="398"/>
      <c r="F24" s="399"/>
    </row>
    <row r="25" spans="1:6" ht="18.95" customHeight="1">
      <c r="A25" s="397"/>
      <c r="B25" s="398"/>
      <c r="C25" s="398"/>
      <c r="D25" s="398"/>
      <c r="E25" s="398"/>
      <c r="F25" s="399"/>
    </row>
    <row r="26" spans="1:6" ht="18.95" customHeight="1">
      <c r="A26" s="397"/>
      <c r="B26" s="398"/>
      <c r="C26" s="398"/>
      <c r="D26" s="398"/>
      <c r="E26" s="398"/>
      <c r="F26" s="399"/>
    </row>
    <row r="27" spans="1:6" ht="18.95" customHeight="1">
      <c r="A27" s="397"/>
      <c r="B27" s="398"/>
      <c r="C27" s="398"/>
      <c r="D27" s="398"/>
      <c r="E27" s="398"/>
      <c r="F27" s="399"/>
    </row>
    <row r="28" spans="1:6" ht="18.95" customHeight="1">
      <c r="A28" s="397"/>
      <c r="B28" s="398"/>
      <c r="C28" s="398"/>
      <c r="D28" s="398"/>
      <c r="E28" s="398"/>
      <c r="F28" s="399"/>
    </row>
    <row r="29" spans="1:6" ht="18.95" customHeight="1">
      <c r="A29" s="397"/>
      <c r="B29" s="398"/>
      <c r="C29" s="398"/>
      <c r="D29" s="398"/>
      <c r="E29" s="398"/>
      <c r="F29" s="399"/>
    </row>
    <row r="30" spans="1:6" ht="18.95" customHeight="1">
      <c r="A30" s="397"/>
      <c r="B30" s="398"/>
      <c r="C30" s="398"/>
      <c r="D30" s="398"/>
      <c r="E30" s="398"/>
      <c r="F30" s="399"/>
    </row>
    <row r="31" spans="1:6" ht="18.95" customHeight="1">
      <c r="A31" s="397"/>
      <c r="B31" s="398"/>
      <c r="C31" s="398"/>
      <c r="D31" s="398"/>
      <c r="E31" s="398"/>
      <c r="F31" s="399"/>
    </row>
    <row r="32" spans="1:6" ht="18.95" customHeight="1">
      <c r="A32" s="397"/>
      <c r="B32" s="398"/>
      <c r="C32" s="398"/>
      <c r="D32" s="398"/>
      <c r="E32" s="398"/>
      <c r="F32" s="399"/>
    </row>
    <row r="33" spans="1:6" ht="18.95" customHeight="1">
      <c r="A33" s="397"/>
      <c r="B33" s="398"/>
      <c r="C33" s="398"/>
      <c r="D33" s="398"/>
      <c r="E33" s="398"/>
      <c r="F33" s="399"/>
    </row>
    <row r="34" spans="1:6" ht="18.95" customHeight="1">
      <c r="A34" s="397"/>
      <c r="B34" s="398"/>
      <c r="C34" s="398"/>
      <c r="D34" s="398"/>
      <c r="E34" s="398"/>
      <c r="F34" s="399"/>
    </row>
    <row r="35" spans="1:6" ht="18.95" customHeight="1">
      <c r="A35" s="397"/>
      <c r="B35" s="398"/>
      <c r="C35" s="398"/>
      <c r="D35" s="398"/>
      <c r="E35" s="398"/>
      <c r="F35" s="399"/>
    </row>
    <row r="36" spans="1:6" ht="18.95" customHeight="1">
      <c r="A36" s="397"/>
      <c r="B36" s="398"/>
      <c r="C36" s="398"/>
      <c r="D36" s="398"/>
      <c r="E36" s="398"/>
      <c r="F36" s="399"/>
    </row>
    <row r="37" spans="1:6" ht="18.95" customHeight="1">
      <c r="A37" s="397"/>
      <c r="B37" s="398"/>
      <c r="C37" s="398"/>
      <c r="D37" s="398"/>
      <c r="E37" s="398"/>
      <c r="F37" s="399"/>
    </row>
    <row r="38" spans="1:6" ht="18.95" customHeight="1">
      <c r="A38" s="397"/>
      <c r="B38" s="398"/>
      <c r="C38" s="398"/>
      <c r="D38" s="398"/>
      <c r="E38" s="398"/>
      <c r="F38" s="399"/>
    </row>
    <row r="39" spans="1:6" ht="18.95" customHeight="1">
      <c r="A39" s="374" t="s">
        <v>424</v>
      </c>
      <c r="B39" s="375"/>
      <c r="C39" s="375"/>
      <c r="D39" s="366"/>
      <c r="E39" s="371" t="s">
        <v>425</v>
      </c>
      <c r="F39" s="376" t="s">
        <v>364</v>
      </c>
    </row>
    <row r="40" spans="1:6" ht="18.95" customHeight="1">
      <c r="A40" s="365"/>
      <c r="B40" s="375"/>
      <c r="C40" s="375"/>
      <c r="D40" s="366"/>
      <c r="E40" s="366"/>
      <c r="F40" s="367"/>
    </row>
    <row r="41" spans="1:6" ht="18.95" customHeight="1">
      <c r="A41" s="365"/>
      <c r="B41" s="375"/>
      <c r="C41" s="375"/>
      <c r="D41" s="366"/>
      <c r="E41" s="366"/>
      <c r="F41" s="367"/>
    </row>
    <row r="42" spans="1:6" ht="18.95" customHeight="1">
      <c r="A42" s="365"/>
      <c r="B42" s="366"/>
      <c r="C42" s="366"/>
      <c r="D42" s="366"/>
      <c r="E42" s="366"/>
      <c r="F42" s="367"/>
    </row>
    <row r="43" spans="1:6" ht="18.95" customHeight="1">
      <c r="A43" s="377"/>
      <c r="B43" s="375"/>
      <c r="C43" s="378" t="s">
        <v>426</v>
      </c>
      <c r="D43" s="379" t="str">
        <f>'Performance Data Sheet'!K43</f>
        <v>Mario L</v>
      </c>
      <c r="E43" s="378" t="s">
        <v>427</v>
      </c>
      <c r="F43" s="379"/>
    </row>
    <row r="44" spans="1:6" ht="15" customHeight="1"/>
    <row r="45" spans="1:6" ht="15" customHeight="1"/>
    <row r="46" spans="1:6" ht="15" customHeight="1"/>
    <row r="47" spans="1:6" ht="15" customHeight="1"/>
    <row r="48" spans="1:6" ht="15" customHeight="1"/>
    <row r="49" spans="6:9" ht="15" customHeight="1"/>
    <row r="50" spans="6:9" ht="15" customHeight="1">
      <c r="F50" s="403" t="e">
        <f>5252.1*B50/D53</f>
        <v>#DIV/0!</v>
      </c>
      <c r="G50" s="403"/>
    </row>
    <row r="51" spans="6:9" ht="15" customHeight="1">
      <c r="G51" s="404"/>
    </row>
    <row r="52" spans="6:9" ht="15" customHeight="1"/>
    <row r="53" spans="6:9" ht="15" customHeight="1"/>
    <row r="54" spans="6:9" ht="15" customHeight="1"/>
    <row r="55" spans="6:9" ht="15" customHeight="1"/>
    <row r="56" spans="6:9" ht="15" customHeight="1"/>
    <row r="62" spans="6:9">
      <c r="I62" s="405"/>
    </row>
    <row r="63" spans="6:9">
      <c r="I63" s="406" t="s">
        <v>39</v>
      </c>
    </row>
    <row r="64" spans="6:9">
      <c r="I64" s="406"/>
    </row>
    <row r="65" spans="1:9">
      <c r="I65" s="406"/>
    </row>
    <row r="66" spans="1:9">
      <c r="D66" s="403" t="e">
        <f>D65/D64</f>
        <v>#DIV/0!</v>
      </c>
    </row>
    <row r="67" spans="1:9">
      <c r="A67" s="407" t="s">
        <v>400</v>
      </c>
      <c r="B67" s="407" t="s">
        <v>548</v>
      </c>
      <c r="C67" s="407" t="s">
        <v>549</v>
      </c>
      <c r="E67" s="407" t="s">
        <v>550</v>
      </c>
      <c r="F67" s="407" t="s">
        <v>551</v>
      </c>
    </row>
    <row r="68" spans="1:9">
      <c r="A68" s="408">
        <v>632.62032085561498</v>
      </c>
      <c r="B68" s="409">
        <v>35</v>
      </c>
      <c r="C68" s="409">
        <v>15</v>
      </c>
      <c r="E68" s="408">
        <f>A68</f>
        <v>632.62032085561498</v>
      </c>
      <c r="F68" s="559">
        <v>1E-4</v>
      </c>
    </row>
    <row r="69" spans="1:9">
      <c r="A69" s="408">
        <f>FLOOR(A68,100)</f>
        <v>600</v>
      </c>
      <c r="B69" s="409">
        <f>((A68/A69)^2)*B68</f>
        <v>38.909156840503186</v>
      </c>
      <c r="C69" s="409">
        <f>((A68/A69)^2)*C68</f>
        <v>16.675352931644223</v>
      </c>
      <c r="E69" s="408">
        <v>631.55080213903739</v>
      </c>
      <c r="F69" s="559">
        <v>0.66699999570846558</v>
      </c>
    </row>
    <row r="70" spans="1:9">
      <c r="A70" s="408">
        <f>A69-100</f>
        <v>500</v>
      </c>
      <c r="B70" s="409">
        <f>((A68/A70)^2)*B68</f>
        <v>56.029185850324566</v>
      </c>
      <c r="C70" s="409">
        <f>((A68/A70)^2)*C68</f>
        <v>24.012508221567671</v>
      </c>
      <c r="E70" s="408">
        <v>629.19786096256678</v>
      </c>
      <c r="F70" s="559">
        <v>1.2439999580383301</v>
      </c>
    </row>
    <row r="71" spans="1:9">
      <c r="A71" s="408">
        <f>A70-100</f>
        <v>400</v>
      </c>
      <c r="B71" s="409">
        <f>((A68/A71)^2)*B68</f>
        <v>87.545602891132148</v>
      </c>
      <c r="C71" s="409">
        <f>((A68/A71)^2)*C68</f>
        <v>37.519544096199496</v>
      </c>
      <c r="E71" s="408">
        <v>626.41711229946532</v>
      </c>
      <c r="F71" s="559">
        <v>1.7910000085830688</v>
      </c>
    </row>
    <row r="72" spans="1:9">
      <c r="A72" s="408">
        <f>A71-100</f>
        <v>300</v>
      </c>
      <c r="B72" s="409">
        <f>((A68/A72)^2)*B68</f>
        <v>155.63662736201275</v>
      </c>
      <c r="C72" s="409"/>
      <c r="E72" s="408">
        <v>623.15508021390372</v>
      </c>
      <c r="F72" s="559">
        <v>2.3380000591278076</v>
      </c>
    </row>
    <row r="73" spans="1:9">
      <c r="A73" s="408">
        <f>A72-100</f>
        <v>200</v>
      </c>
      <c r="B73" s="409">
        <f>((A68/A73)^2)*B68</f>
        <v>350.18241156452859</v>
      </c>
      <c r="C73" s="409"/>
      <c r="E73" s="408">
        <v>619.25133689839572</v>
      </c>
      <c r="F73" s="559">
        <v>2.9090001583099365</v>
      </c>
    </row>
    <row r="74" spans="1:9">
      <c r="A74" s="408">
        <v>255</v>
      </c>
      <c r="B74" s="409">
        <f>((A68/A74)^2)*B68</f>
        <v>215.41401711005219</v>
      </c>
      <c r="C74" s="409">
        <f>((A68/A74)^2)*C68</f>
        <v>92.320293047165222</v>
      </c>
      <c r="E74" s="408">
        <v>614.59893048128345</v>
      </c>
      <c r="F74" s="559">
        <v>3.5250000953674316</v>
      </c>
    </row>
    <row r="75" spans="1:9">
      <c r="A75" s="410">
        <v>180</v>
      </c>
      <c r="B75" s="409">
        <f>((A68/A75)^2)*B69</f>
        <v>480.61031302821448</v>
      </c>
      <c r="C75" s="409">
        <f>((A68/A75)^2)*C68</f>
        <v>185.28169924049132</v>
      </c>
      <c r="E75" s="408">
        <v>609.03743315508029</v>
      </c>
      <c r="F75" s="559">
        <v>4.2140002250671387</v>
      </c>
    </row>
    <row r="76" spans="1:9">
      <c r="A76" s="410">
        <v>145</v>
      </c>
      <c r="B76" s="409">
        <f>((A68/A76)^2)*B68</f>
        <v>666.22099703120796</v>
      </c>
      <c r="C76" s="409">
        <f>((A68/A76)^2)*C68</f>
        <v>285.52328444194626</v>
      </c>
      <c r="E76" s="408">
        <v>601.33689839572196</v>
      </c>
      <c r="F76" s="559">
        <v>5.0280003547668457</v>
      </c>
    </row>
    <row r="77" spans="1:9">
      <c r="A77" s="410">
        <v>125</v>
      </c>
      <c r="B77" s="409"/>
      <c r="C77" s="408">
        <f>CEILING(C76*2,100)</f>
        <v>600</v>
      </c>
      <c r="E77" s="408">
        <v>592.0320855614973</v>
      </c>
      <c r="F77" s="559">
        <v>5.4820003509521484</v>
      </c>
    </row>
    <row r="78" spans="1:9">
      <c r="A78" s="410">
        <v>125</v>
      </c>
      <c r="B78" s="409"/>
      <c r="C78" s="408">
        <f>2*C77</f>
        <v>1200</v>
      </c>
      <c r="E78" s="408">
        <v>576.31016042780743</v>
      </c>
      <c r="F78" s="559">
        <v>5.883000373840332</v>
      </c>
    </row>
    <row r="79" spans="1:9">
      <c r="A79" s="410">
        <v>125</v>
      </c>
      <c r="B79" s="410"/>
      <c r="C79" s="410">
        <v>10000</v>
      </c>
      <c r="E79" s="408">
        <v>523.52941176470586</v>
      </c>
      <c r="F79" s="559">
        <v>6.0980005264282227</v>
      </c>
    </row>
    <row r="80" spans="1:9">
      <c r="E80" s="408">
        <v>320.96256684491982</v>
      </c>
      <c r="F80" s="559">
        <v>6.137000560760498</v>
      </c>
    </row>
    <row r="81" spans="5:6">
      <c r="E81" s="408">
        <v>0</v>
      </c>
      <c r="F81" s="559">
        <v>6.1950006484985352</v>
      </c>
    </row>
  </sheetData>
  <mergeCells count="3">
    <mergeCell ref="A3:F3"/>
    <mergeCell ref="A4:F4"/>
    <mergeCell ref="B6:D6"/>
  </mergeCells>
  <printOptions horizontalCentered="1" verticalCentered="1"/>
  <pageMargins left="0.59055118110236204" right="0.59055118110236204" top="0.59055118110236204" bottom="0.59055118110236204" header="0" footer="0"/>
  <pageSetup scale="87" orientation="portrait" horizontalDpi="0" verticalDpi="300"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3"/>
  <sheetViews>
    <sheetView workbookViewId="0">
      <selection sqref="A1:K1"/>
    </sheetView>
  </sheetViews>
  <sheetFormatPr defaultColWidth="9.140625" defaultRowHeight="12.75"/>
  <cols>
    <col min="1" max="1" width="9.5703125" style="388" customWidth="1"/>
    <col min="2" max="11" width="7.7109375" style="388" customWidth="1"/>
    <col min="12" max="16384" width="9.140625" style="388"/>
  </cols>
  <sheetData>
    <row r="1" spans="1:12" ht="20.25">
      <c r="A1" s="723" t="s">
        <v>552</v>
      </c>
      <c r="B1" s="723"/>
      <c r="C1" s="723"/>
      <c r="D1" s="723"/>
      <c r="E1" s="723"/>
      <c r="F1" s="723"/>
      <c r="G1" s="723"/>
      <c r="H1" s="723"/>
      <c r="I1" s="723"/>
      <c r="J1" s="723"/>
      <c r="K1" s="723"/>
      <c r="L1" s="389"/>
    </row>
    <row r="2" spans="1:12" ht="30" customHeight="1">
      <c r="A2" s="389"/>
      <c r="B2" s="389"/>
      <c r="C2" s="389"/>
      <c r="D2" s="389"/>
      <c r="E2" s="389"/>
      <c r="F2" s="389"/>
      <c r="G2" s="389"/>
      <c r="H2" s="389"/>
      <c r="I2" s="389"/>
      <c r="J2" s="389"/>
      <c r="K2" s="389"/>
      <c r="L2" s="389"/>
    </row>
    <row r="3" spans="1:12" ht="19.5">
      <c r="A3" s="411" t="s">
        <v>435</v>
      </c>
      <c r="B3" s="412" t="s">
        <v>474</v>
      </c>
      <c r="C3" s="389"/>
      <c r="D3" s="389"/>
      <c r="E3" s="389"/>
      <c r="F3" s="389"/>
      <c r="G3" s="389"/>
      <c r="H3" s="389"/>
      <c r="I3" s="389"/>
      <c r="J3" s="389"/>
      <c r="K3" s="389"/>
      <c r="L3" s="389"/>
    </row>
    <row r="4" spans="1:12" ht="12" customHeight="1">
      <c r="A4" s="389"/>
      <c r="B4" s="389"/>
      <c r="C4" s="389"/>
      <c r="D4" s="389"/>
      <c r="E4" s="389"/>
      <c r="F4" s="389"/>
      <c r="G4" s="389"/>
      <c r="H4" s="389"/>
      <c r="I4" s="389"/>
      <c r="J4" s="389"/>
      <c r="K4" s="389"/>
      <c r="L4" s="389"/>
    </row>
    <row r="5" spans="1:12" ht="19.5">
      <c r="A5" s="413" t="s">
        <v>553</v>
      </c>
      <c r="B5" s="414"/>
      <c r="C5" s="414"/>
      <c r="D5" s="414"/>
      <c r="E5" s="414"/>
      <c r="F5" s="389"/>
      <c r="G5" s="389"/>
      <c r="H5" s="389"/>
      <c r="I5" s="389"/>
      <c r="J5" s="389"/>
      <c r="K5" s="389"/>
      <c r="L5" s="389"/>
    </row>
    <row r="6" spans="1:12" ht="17.25" customHeight="1">
      <c r="A6" s="389"/>
      <c r="B6" s="389"/>
      <c r="C6" s="389"/>
      <c r="D6" s="389"/>
      <c r="E6" s="389"/>
      <c r="F6" s="389"/>
      <c r="G6" s="389"/>
      <c r="H6" s="389"/>
      <c r="I6" s="389"/>
      <c r="J6" s="389"/>
      <c r="K6" s="389"/>
      <c r="L6" s="389"/>
    </row>
    <row r="7" spans="1:12" ht="15.75">
      <c r="A7" s="389"/>
      <c r="B7" s="415" t="s">
        <v>554</v>
      </c>
      <c r="C7" s="416">
        <v>0</v>
      </c>
      <c r="D7" s="415" t="s">
        <v>554</v>
      </c>
      <c r="E7" s="417" t="s">
        <v>555</v>
      </c>
      <c r="F7" s="415" t="s">
        <v>554</v>
      </c>
      <c r="G7" s="417" t="s">
        <v>556</v>
      </c>
      <c r="H7" s="415" t="s">
        <v>557</v>
      </c>
      <c r="I7" s="417">
        <v>0</v>
      </c>
      <c r="J7" s="415" t="s">
        <v>557</v>
      </c>
      <c r="K7" s="417">
        <v>5.0000000000000001E-3</v>
      </c>
      <c r="L7" s="389"/>
    </row>
    <row r="8" spans="1:12" ht="15.75">
      <c r="A8" s="390" t="s">
        <v>558</v>
      </c>
      <c r="B8" s="722">
        <v>6</v>
      </c>
      <c r="C8" s="722"/>
      <c r="D8" s="722">
        <v>12</v>
      </c>
      <c r="E8" s="722"/>
      <c r="F8" s="722">
        <v>0</v>
      </c>
      <c r="G8" s="722"/>
      <c r="H8" s="722" t="s">
        <v>573</v>
      </c>
      <c r="I8" s="722"/>
      <c r="J8" s="722" t="s">
        <v>574</v>
      </c>
      <c r="K8" s="722"/>
      <c r="L8" s="389"/>
    </row>
    <row r="9" spans="1:12" ht="15.75">
      <c r="A9" s="390" t="s">
        <v>559</v>
      </c>
      <c r="B9" s="722">
        <v>10</v>
      </c>
      <c r="C9" s="722"/>
      <c r="D9" s="722">
        <v>16</v>
      </c>
      <c r="E9" s="722"/>
      <c r="F9" s="722">
        <v>4</v>
      </c>
      <c r="G9" s="722"/>
      <c r="H9" s="722" t="s">
        <v>575</v>
      </c>
      <c r="I9" s="722"/>
      <c r="J9" s="722" t="s">
        <v>576</v>
      </c>
      <c r="K9" s="722"/>
      <c r="L9" s="389"/>
    </row>
    <row r="10" spans="1:12" ht="15.75">
      <c r="A10" s="390" t="s">
        <v>560</v>
      </c>
      <c r="B10" s="722">
        <v>8</v>
      </c>
      <c r="C10" s="722"/>
      <c r="D10" s="722">
        <v>14</v>
      </c>
      <c r="E10" s="722"/>
      <c r="F10" s="722">
        <v>2</v>
      </c>
      <c r="G10" s="722"/>
      <c r="H10" s="722" t="s">
        <v>577</v>
      </c>
      <c r="I10" s="722"/>
      <c r="J10" s="722" t="s">
        <v>578</v>
      </c>
      <c r="K10" s="722"/>
      <c r="L10" s="389"/>
    </row>
    <row r="11" spans="1:12" ht="26.25" customHeight="1">
      <c r="A11" s="389"/>
      <c r="B11" s="389"/>
      <c r="C11" s="389"/>
      <c r="D11" s="389"/>
      <c r="E11" s="389"/>
      <c r="F11" s="389"/>
      <c r="G11" s="389"/>
      <c r="H11" s="389"/>
      <c r="I11" s="389"/>
      <c r="J11" s="389"/>
      <c r="K11" s="389"/>
      <c r="L11" s="389"/>
    </row>
    <row r="12" spans="1:12" ht="19.5">
      <c r="A12" s="413" t="s">
        <v>561</v>
      </c>
      <c r="B12" s="389"/>
      <c r="C12" s="389"/>
      <c r="D12" s="389"/>
      <c r="E12" s="389"/>
      <c r="F12" s="389"/>
      <c r="G12" s="389"/>
      <c r="H12" s="389"/>
      <c r="I12" s="389"/>
      <c r="J12" s="389"/>
      <c r="K12" s="389"/>
      <c r="L12" s="389"/>
    </row>
    <row r="13" spans="1:12" ht="15.75">
      <c r="A13" s="389"/>
      <c r="B13" s="389"/>
      <c r="C13" s="389"/>
      <c r="D13" s="389"/>
      <c r="E13" s="389"/>
      <c r="F13" s="389"/>
      <c r="G13" s="389"/>
      <c r="H13" s="389"/>
      <c r="I13" s="389"/>
      <c r="J13" s="389"/>
      <c r="K13" s="389"/>
      <c r="L13" s="389"/>
    </row>
    <row r="14" spans="1:12" ht="15.75">
      <c r="A14" s="389"/>
      <c r="B14" s="719" t="s">
        <v>562</v>
      </c>
      <c r="C14" s="720"/>
      <c r="D14" s="721" t="s">
        <v>579</v>
      </c>
      <c r="E14" s="722"/>
      <c r="F14" s="719" t="s">
        <v>563</v>
      </c>
      <c r="G14" s="720"/>
      <c r="H14" s="721" t="s">
        <v>584</v>
      </c>
      <c r="I14" s="722"/>
      <c r="J14" s="389"/>
      <c r="K14" s="389"/>
      <c r="L14" s="389"/>
    </row>
    <row r="15" spans="1:12" ht="15.75">
      <c r="A15" s="389"/>
      <c r="B15" s="719" t="s">
        <v>564</v>
      </c>
      <c r="C15" s="720"/>
      <c r="D15" s="721" t="s">
        <v>580</v>
      </c>
      <c r="E15" s="722"/>
      <c r="F15" s="719" t="s">
        <v>565</v>
      </c>
      <c r="G15" s="720"/>
      <c r="H15" s="721" t="s">
        <v>585</v>
      </c>
      <c r="I15" s="722"/>
      <c r="J15" s="389"/>
      <c r="K15" s="389"/>
      <c r="L15" s="389"/>
    </row>
    <row r="16" spans="1:12" ht="15.75">
      <c r="A16" s="389"/>
      <c r="B16" s="719" t="s">
        <v>566</v>
      </c>
      <c r="C16" s="720"/>
      <c r="D16" s="721" t="s">
        <v>581</v>
      </c>
      <c r="E16" s="722"/>
      <c r="F16" s="719" t="s">
        <v>567</v>
      </c>
      <c r="G16" s="720"/>
      <c r="H16" s="721" t="s">
        <v>586</v>
      </c>
      <c r="I16" s="722"/>
      <c r="J16" s="389"/>
      <c r="K16" s="389"/>
      <c r="L16" s="389"/>
    </row>
    <row r="17" spans="1:12" ht="15.75">
      <c r="A17" s="389"/>
      <c r="B17" s="719" t="s">
        <v>568</v>
      </c>
      <c r="C17" s="720"/>
      <c r="D17" s="721" t="s">
        <v>582</v>
      </c>
      <c r="E17" s="722"/>
      <c r="F17" s="719" t="s">
        <v>569</v>
      </c>
      <c r="G17" s="720"/>
      <c r="H17" s="721" t="s">
        <v>587</v>
      </c>
      <c r="I17" s="722"/>
      <c r="J17" s="389"/>
      <c r="K17" s="389"/>
      <c r="L17" s="389"/>
    </row>
    <row r="18" spans="1:12" ht="15.75">
      <c r="A18" s="389"/>
      <c r="B18" s="719" t="s">
        <v>570</v>
      </c>
      <c r="C18" s="720"/>
      <c r="D18" s="721" t="s">
        <v>583</v>
      </c>
      <c r="E18" s="722"/>
      <c r="F18" s="719" t="s">
        <v>571</v>
      </c>
      <c r="G18" s="720"/>
      <c r="H18" s="721" t="s">
        <v>588</v>
      </c>
      <c r="I18" s="722"/>
      <c r="J18" s="389"/>
      <c r="K18" s="389"/>
      <c r="L18" s="389"/>
    </row>
    <row r="19" spans="1:12" ht="27" customHeight="1">
      <c r="A19" s="389"/>
      <c r="B19" s="389"/>
      <c r="C19" s="389"/>
      <c r="D19" s="389"/>
      <c r="E19" s="389"/>
      <c r="F19" s="389"/>
      <c r="G19" s="389"/>
      <c r="H19" s="389"/>
      <c r="I19" s="389"/>
      <c r="J19" s="389"/>
      <c r="K19" s="389"/>
      <c r="L19" s="389"/>
    </row>
    <row r="20" spans="1:12" ht="19.5">
      <c r="A20" s="413" t="s">
        <v>572</v>
      </c>
      <c r="B20" s="389"/>
      <c r="C20" s="389"/>
      <c r="D20" s="389"/>
      <c r="E20" s="389"/>
      <c r="F20" s="389"/>
      <c r="G20" s="389"/>
      <c r="H20" s="389"/>
      <c r="I20" s="389"/>
      <c r="J20" s="389"/>
      <c r="K20" s="389"/>
      <c r="L20" s="389"/>
    </row>
    <row r="21" spans="1:12" ht="15.75">
      <c r="A21" s="389"/>
      <c r="B21" s="389"/>
      <c r="C21" s="389"/>
      <c r="D21" s="389"/>
      <c r="E21" s="389"/>
      <c r="F21" s="389"/>
      <c r="G21" s="389"/>
      <c r="H21" s="389"/>
      <c r="I21" s="389"/>
      <c r="J21" s="389"/>
      <c r="K21" s="389"/>
      <c r="L21" s="389"/>
    </row>
    <row r="22" spans="1:12" ht="19.5">
      <c r="A22" s="389"/>
      <c r="B22" s="413" t="s">
        <v>589</v>
      </c>
      <c r="C22" s="389"/>
      <c r="D22" s="389"/>
      <c r="E22" s="389"/>
      <c r="F22" s="389"/>
      <c r="G22" s="389"/>
      <c r="H22" s="389"/>
      <c r="I22" s="389"/>
      <c r="J22" s="389"/>
      <c r="K22" s="389"/>
      <c r="L22" s="389"/>
    </row>
    <row r="23" spans="1:12" ht="15.75">
      <c r="A23" s="389"/>
      <c r="B23" s="389"/>
      <c r="C23" s="389"/>
      <c r="D23" s="389"/>
      <c r="E23" s="389"/>
      <c r="F23" s="389"/>
      <c r="G23" s="389"/>
      <c r="H23" s="389"/>
      <c r="I23" s="389"/>
      <c r="J23" s="389"/>
      <c r="K23" s="389"/>
      <c r="L23" s="389"/>
    </row>
    <row r="24" spans="1:12" ht="15.75">
      <c r="A24" s="389"/>
      <c r="B24" s="389"/>
      <c r="C24" s="389"/>
      <c r="D24" s="389"/>
      <c r="E24" s="389"/>
      <c r="F24" s="389"/>
      <c r="G24" s="389"/>
      <c r="H24" s="389"/>
      <c r="I24" s="389"/>
      <c r="J24" s="389"/>
      <c r="K24" s="389"/>
      <c r="L24" s="389"/>
    </row>
    <row r="25" spans="1:12" ht="15.75">
      <c r="A25" s="389"/>
      <c r="B25" s="389"/>
      <c r="C25" s="389"/>
      <c r="D25" s="389"/>
      <c r="E25" s="389"/>
      <c r="F25" s="389"/>
      <c r="G25" s="389"/>
      <c r="H25" s="389"/>
      <c r="I25" s="389"/>
      <c r="J25" s="389"/>
      <c r="K25" s="389"/>
      <c r="L25" s="389"/>
    </row>
    <row r="26" spans="1:12" ht="15.75">
      <c r="A26" s="389"/>
      <c r="B26" s="389"/>
      <c r="C26" s="389"/>
      <c r="D26" s="389"/>
      <c r="E26" s="389"/>
      <c r="F26" s="389"/>
      <c r="G26" s="389"/>
      <c r="H26" s="389"/>
      <c r="I26" s="389"/>
      <c r="J26" s="389"/>
      <c r="K26" s="389"/>
      <c r="L26" s="389"/>
    </row>
    <row r="27" spans="1:12" ht="15.75">
      <c r="A27" s="389"/>
      <c r="B27" s="389"/>
      <c r="C27" s="389"/>
      <c r="D27" s="389"/>
      <c r="E27" s="389"/>
      <c r="F27" s="389"/>
      <c r="G27" s="389"/>
      <c r="H27" s="389"/>
      <c r="I27" s="389"/>
      <c r="J27" s="389"/>
      <c r="K27" s="389"/>
      <c r="L27" s="389"/>
    </row>
    <row r="28" spans="1:12" ht="15.75">
      <c r="A28" s="389"/>
      <c r="B28" s="389"/>
      <c r="C28" s="389"/>
      <c r="D28" s="389"/>
      <c r="E28" s="389"/>
      <c r="F28" s="389"/>
      <c r="G28" s="389"/>
      <c r="H28" s="389"/>
      <c r="I28" s="389"/>
      <c r="J28" s="389"/>
      <c r="K28" s="389"/>
      <c r="L28" s="389"/>
    </row>
    <row r="29" spans="1:12" ht="15.75">
      <c r="A29" s="389"/>
      <c r="B29" s="389"/>
      <c r="C29" s="389"/>
      <c r="D29" s="389"/>
      <c r="E29" s="389"/>
      <c r="F29" s="389"/>
      <c r="G29" s="389"/>
      <c r="H29" s="389"/>
      <c r="I29" s="389"/>
      <c r="J29" s="389"/>
      <c r="K29" s="389"/>
      <c r="L29" s="389"/>
    </row>
    <row r="30" spans="1:12" ht="15.75">
      <c r="A30" s="389"/>
      <c r="B30" s="389"/>
      <c r="C30" s="389"/>
      <c r="D30" s="389"/>
      <c r="E30" s="389"/>
      <c r="F30" s="389"/>
      <c r="G30" s="389"/>
      <c r="H30" s="389"/>
      <c r="I30" s="389"/>
      <c r="J30" s="389"/>
      <c r="K30" s="389"/>
      <c r="L30" s="389"/>
    </row>
    <row r="31" spans="1:12" ht="15.75">
      <c r="A31" s="389"/>
      <c r="B31" s="389"/>
      <c r="C31" s="389"/>
      <c r="D31" s="389"/>
      <c r="E31" s="389"/>
      <c r="F31" s="389"/>
      <c r="G31" s="389"/>
      <c r="H31" s="389"/>
      <c r="I31" s="389"/>
      <c r="J31" s="389"/>
      <c r="K31" s="389"/>
      <c r="L31" s="389"/>
    </row>
    <row r="32" spans="1:12" ht="15.75">
      <c r="A32" s="389"/>
      <c r="B32" s="389"/>
      <c r="C32" s="389"/>
      <c r="D32" s="389"/>
      <c r="E32" s="389"/>
      <c r="F32" s="389"/>
      <c r="G32" s="389"/>
      <c r="H32" s="389"/>
      <c r="I32" s="389"/>
      <c r="J32" s="389"/>
      <c r="K32" s="389"/>
      <c r="L32" s="389"/>
    </row>
    <row r="33" spans="1:12" ht="15.75">
      <c r="A33" s="389"/>
      <c r="B33" s="389"/>
      <c r="C33" s="389"/>
      <c r="D33" s="389"/>
      <c r="E33" s="389"/>
      <c r="F33" s="389"/>
      <c r="G33" s="389"/>
      <c r="H33" s="389"/>
      <c r="I33" s="389"/>
      <c r="J33" s="389"/>
      <c r="K33" s="389"/>
      <c r="L33" s="389"/>
    </row>
  </sheetData>
  <mergeCells count="36">
    <mergeCell ref="A1:K1"/>
    <mergeCell ref="B8:C8"/>
    <mergeCell ref="D8:E8"/>
    <mergeCell ref="F8:G8"/>
    <mergeCell ref="H8:I8"/>
    <mergeCell ref="J8:K8"/>
    <mergeCell ref="B10:C10"/>
    <mergeCell ref="D10:E10"/>
    <mergeCell ref="F10:G10"/>
    <mergeCell ref="H10:I10"/>
    <mergeCell ref="J10:K10"/>
    <mergeCell ref="B9:C9"/>
    <mergeCell ref="D9:E9"/>
    <mergeCell ref="F9:G9"/>
    <mergeCell ref="H9:I9"/>
    <mergeCell ref="J9:K9"/>
    <mergeCell ref="B14:C14"/>
    <mergeCell ref="D14:E14"/>
    <mergeCell ref="F14:G14"/>
    <mergeCell ref="H14:I14"/>
    <mergeCell ref="B15:C15"/>
    <mergeCell ref="D15:E15"/>
    <mergeCell ref="F15:G15"/>
    <mergeCell ref="H15:I15"/>
    <mergeCell ref="B18:C18"/>
    <mergeCell ref="D18:E18"/>
    <mergeCell ref="F18:G18"/>
    <mergeCell ref="H18:I18"/>
    <mergeCell ref="B16:C16"/>
    <mergeCell ref="D16:E16"/>
    <mergeCell ref="F16:G16"/>
    <mergeCell ref="H16:I16"/>
    <mergeCell ref="B17:C17"/>
    <mergeCell ref="D17:E17"/>
    <mergeCell ref="F17:G17"/>
    <mergeCell ref="H17:I17"/>
  </mergeCells>
  <printOptions horizontalCentered="1"/>
  <pageMargins left="0.75" right="0.75" top="1" bottom="1" header="0.5" footer="0.5"/>
  <pageSetup orientation="portrait" horizontalDpi="0" verticalDpi="300"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67"/>
  <sheetViews>
    <sheetView workbookViewId="0">
      <selection activeCell="J29" sqref="J29"/>
    </sheetView>
  </sheetViews>
  <sheetFormatPr defaultColWidth="9.140625" defaultRowHeight="12.75"/>
  <cols>
    <col min="1" max="6" width="16.7109375" style="388" customWidth="1"/>
    <col min="7" max="16384" width="9.140625" style="388"/>
  </cols>
  <sheetData>
    <row r="1" spans="1:6" ht="18.95" customHeight="1">
      <c r="A1" s="391"/>
      <c r="B1" s="392"/>
      <c r="C1" s="392"/>
      <c r="D1" s="392"/>
      <c r="E1" s="392"/>
      <c r="F1" s="393"/>
    </row>
    <row r="2" spans="1:6" ht="26.1" customHeight="1">
      <c r="A2" s="394" t="s">
        <v>252</v>
      </c>
      <c r="B2" s="395"/>
      <c r="C2" s="395"/>
      <c r="D2" s="395"/>
      <c r="E2" s="395"/>
      <c r="F2" s="396"/>
    </row>
    <row r="3" spans="1:6" ht="18.95" customHeight="1">
      <c r="A3" s="418" t="s">
        <v>590</v>
      </c>
      <c r="B3" s="395"/>
      <c r="C3" s="395"/>
      <c r="D3" s="395"/>
      <c r="E3" s="395"/>
      <c r="F3" s="396"/>
    </row>
    <row r="4" spans="1:6" ht="18.95" customHeight="1">
      <c r="A4" s="716" t="s">
        <v>547</v>
      </c>
      <c r="B4" s="717"/>
      <c r="C4" s="717"/>
      <c r="D4" s="717"/>
      <c r="E4" s="717"/>
      <c r="F4" s="718"/>
    </row>
    <row r="5" spans="1:6" ht="18.95" customHeight="1">
      <c r="A5" s="397"/>
      <c r="B5" s="398"/>
      <c r="C5" s="398"/>
      <c r="D5" s="398"/>
      <c r="E5" s="398"/>
      <c r="F5" s="399"/>
    </row>
    <row r="6" spans="1:6" ht="18.95" customHeight="1">
      <c r="A6" s="368" t="s">
        <v>403</v>
      </c>
      <c r="B6" s="699" t="str">
        <f>'Performance Data Sheet'!C17</f>
        <v>M303TCQL11F-C</v>
      </c>
      <c r="C6" s="700"/>
      <c r="D6" s="701"/>
      <c r="E6" s="368" t="s">
        <v>404</v>
      </c>
      <c r="F6" s="369">
        <v>187</v>
      </c>
    </row>
    <row r="7" spans="1:6" ht="18.95" customHeight="1">
      <c r="A7" s="368" t="s">
        <v>405</v>
      </c>
      <c r="B7" s="369" t="str">
        <f>'Performance Data Sheet'!F14</f>
        <v>TEAAC</v>
      </c>
      <c r="C7" s="368" t="s">
        <v>406</v>
      </c>
      <c r="D7" s="369" t="s">
        <v>428</v>
      </c>
      <c r="E7" s="368" t="s">
        <v>407</v>
      </c>
      <c r="F7" s="369" t="str">
        <f>'Performance Data Sheet'!C14</f>
        <v>6810USS</v>
      </c>
    </row>
    <row r="8" spans="1:6" ht="18.95" customHeight="1">
      <c r="A8" s="368" t="s">
        <v>408</v>
      </c>
      <c r="B8" s="369">
        <v>2</v>
      </c>
      <c r="C8" s="368" t="s">
        <v>409</v>
      </c>
      <c r="D8" s="369" t="s">
        <v>410</v>
      </c>
      <c r="E8" s="368" t="s">
        <v>411</v>
      </c>
      <c r="F8" s="369" t="str">
        <f>'Performance Data Sheet'!M15</f>
        <v>F</v>
      </c>
    </row>
    <row r="9" spans="1:6" ht="18.95" customHeight="1">
      <c r="A9" s="368" t="s">
        <v>412</v>
      </c>
      <c r="B9" s="369">
        <v>1500</v>
      </c>
      <c r="C9" s="368" t="s">
        <v>413</v>
      </c>
      <c r="D9" s="369" t="s">
        <v>429</v>
      </c>
      <c r="E9" s="368" t="s">
        <v>2</v>
      </c>
      <c r="F9" s="370">
        <f>'Performance Data Sheet'!K45</f>
        <v>41940</v>
      </c>
    </row>
    <row r="10" spans="1:6" ht="18.95" customHeight="1">
      <c r="A10" s="368" t="s">
        <v>414</v>
      </c>
      <c r="B10" s="369">
        <v>3581</v>
      </c>
      <c r="C10" s="368" t="s">
        <v>415</v>
      </c>
      <c r="D10" s="369" t="s">
        <v>416</v>
      </c>
      <c r="E10" s="368" t="s">
        <v>1</v>
      </c>
      <c r="F10" s="369" t="s">
        <v>364</v>
      </c>
    </row>
    <row r="11" spans="1:6" ht="18.95" customHeight="1">
      <c r="A11" s="397"/>
      <c r="B11" s="398"/>
      <c r="C11" s="398"/>
      <c r="D11" s="398"/>
      <c r="E11" s="398"/>
      <c r="F11" s="399"/>
    </row>
    <row r="12" spans="1:6" ht="18.95" customHeight="1">
      <c r="A12" s="365"/>
      <c r="B12" s="371" t="s">
        <v>417</v>
      </c>
      <c r="C12" s="372" t="s">
        <v>430</v>
      </c>
      <c r="D12" s="371" t="s">
        <v>418</v>
      </c>
      <c r="E12" s="372" t="s">
        <v>416</v>
      </c>
      <c r="F12" s="399"/>
    </row>
    <row r="13" spans="1:6" ht="18.95" customHeight="1">
      <c r="A13" s="365"/>
      <c r="B13" s="371" t="s">
        <v>419</v>
      </c>
      <c r="C13" s="373">
        <v>0.95</v>
      </c>
      <c r="D13" s="371" t="s">
        <v>420</v>
      </c>
      <c r="E13" s="372" t="s">
        <v>416</v>
      </c>
      <c r="F13" s="399"/>
    </row>
    <row r="14" spans="1:6" ht="18.95" customHeight="1">
      <c r="A14" s="365"/>
      <c r="B14" s="371" t="s">
        <v>421</v>
      </c>
      <c r="C14" s="373">
        <v>2.5499999999999998</v>
      </c>
      <c r="D14" s="371" t="s">
        <v>422</v>
      </c>
      <c r="E14" s="372" t="s">
        <v>416</v>
      </c>
      <c r="F14" s="399"/>
    </row>
    <row r="15" spans="1:6" ht="18.95" customHeight="1">
      <c r="A15" s="365"/>
      <c r="B15" s="371" t="s">
        <v>423</v>
      </c>
      <c r="C15" s="372" t="s">
        <v>693</v>
      </c>
      <c r="D15" s="366"/>
      <c r="E15" s="366"/>
      <c r="F15" s="399"/>
    </row>
    <row r="16" spans="1:6" ht="18.95" customHeight="1">
      <c r="A16" s="397"/>
      <c r="B16" s="398"/>
      <c r="C16" s="398"/>
      <c r="D16" s="398"/>
      <c r="E16" s="398"/>
      <c r="F16" s="399"/>
    </row>
    <row r="17" spans="1:8" ht="18.95" customHeight="1">
      <c r="A17" s="397"/>
      <c r="B17" s="398"/>
      <c r="C17" s="398"/>
      <c r="D17" s="398"/>
      <c r="E17" s="398"/>
      <c r="F17" s="399"/>
    </row>
    <row r="18" spans="1:8" ht="18.95" customHeight="1">
      <c r="A18" s="397"/>
      <c r="B18" s="398"/>
      <c r="C18" s="398"/>
      <c r="D18" s="398"/>
      <c r="E18" s="398"/>
      <c r="F18" s="399"/>
    </row>
    <row r="19" spans="1:8" ht="18.95" customHeight="1">
      <c r="A19" s="397"/>
      <c r="B19" s="398"/>
      <c r="C19" s="398"/>
      <c r="D19" s="398"/>
      <c r="E19" s="398"/>
      <c r="F19" s="399"/>
    </row>
    <row r="20" spans="1:8" ht="18.95" customHeight="1">
      <c r="A20" s="397"/>
      <c r="B20" s="398"/>
      <c r="C20" s="398"/>
      <c r="D20" s="398"/>
      <c r="E20" s="398"/>
      <c r="F20" s="399"/>
    </row>
    <row r="21" spans="1:8" ht="18.95" customHeight="1">
      <c r="A21" s="397"/>
      <c r="B21" s="398"/>
      <c r="C21" s="398"/>
      <c r="D21" s="398"/>
      <c r="E21" s="398"/>
      <c r="F21" s="399"/>
    </row>
    <row r="22" spans="1:8" ht="18.95" customHeight="1">
      <c r="A22" s="397"/>
      <c r="B22" s="398"/>
      <c r="C22" s="398"/>
      <c r="D22" s="398"/>
      <c r="E22" s="398"/>
      <c r="F22" s="399"/>
    </row>
    <row r="23" spans="1:8" ht="18.95" customHeight="1">
      <c r="A23" s="397"/>
      <c r="B23" s="398"/>
      <c r="C23" s="398"/>
      <c r="D23" s="398"/>
      <c r="E23" s="398"/>
      <c r="F23" s="399"/>
    </row>
    <row r="24" spans="1:8" ht="18.95" customHeight="1">
      <c r="A24" s="397"/>
      <c r="B24" s="398"/>
      <c r="C24" s="398"/>
      <c r="D24" s="398"/>
      <c r="E24" s="398"/>
      <c r="F24" s="399"/>
      <c r="H24" s="419"/>
    </row>
    <row r="25" spans="1:8" ht="18.95" customHeight="1">
      <c r="A25" s="397"/>
      <c r="B25" s="398"/>
      <c r="C25" s="398"/>
      <c r="D25" s="398"/>
      <c r="E25" s="398"/>
      <c r="F25" s="399"/>
    </row>
    <row r="26" spans="1:8" ht="18.95" customHeight="1">
      <c r="A26" s="397"/>
      <c r="B26" s="398"/>
      <c r="C26" s="398"/>
      <c r="D26" s="398"/>
      <c r="E26" s="398"/>
      <c r="F26" s="399"/>
    </row>
    <row r="27" spans="1:8" ht="18.95" customHeight="1">
      <c r="A27" s="397"/>
      <c r="B27" s="398"/>
      <c r="C27" s="398"/>
      <c r="D27" s="398"/>
      <c r="E27" s="398"/>
      <c r="F27" s="399"/>
    </row>
    <row r="28" spans="1:8" ht="18.95" customHeight="1">
      <c r="A28" s="397"/>
      <c r="B28" s="398"/>
      <c r="C28" s="398"/>
      <c r="D28" s="398"/>
      <c r="E28" s="398"/>
      <c r="F28" s="399"/>
    </row>
    <row r="29" spans="1:8" ht="18.95" customHeight="1">
      <c r="A29" s="397"/>
      <c r="B29" s="398"/>
      <c r="C29" s="398"/>
      <c r="D29" s="398"/>
      <c r="E29" s="398"/>
      <c r="F29" s="399"/>
    </row>
    <row r="30" spans="1:8" ht="18.95" customHeight="1">
      <c r="A30" s="397"/>
      <c r="B30" s="398"/>
      <c r="C30" s="398"/>
      <c r="D30" s="398"/>
      <c r="E30" s="398"/>
      <c r="F30" s="399"/>
    </row>
    <row r="31" spans="1:8" ht="18.95" customHeight="1">
      <c r="A31" s="397"/>
      <c r="B31" s="398"/>
      <c r="C31" s="398"/>
      <c r="D31" s="398"/>
      <c r="E31" s="398"/>
      <c r="F31" s="399"/>
    </row>
    <row r="32" spans="1:8" ht="18.95" customHeight="1">
      <c r="A32" s="397"/>
      <c r="B32" s="398"/>
      <c r="C32" s="398"/>
      <c r="D32" s="398"/>
      <c r="E32" s="398"/>
      <c r="F32" s="399"/>
    </row>
    <row r="33" spans="1:6" ht="18.95" customHeight="1">
      <c r="A33" s="397"/>
      <c r="B33" s="398"/>
      <c r="C33" s="398"/>
      <c r="D33" s="398"/>
      <c r="E33" s="398"/>
      <c r="F33" s="399"/>
    </row>
    <row r="34" spans="1:6" ht="18.95" customHeight="1">
      <c r="A34" s="397"/>
      <c r="B34" s="398"/>
      <c r="C34" s="398"/>
      <c r="D34" s="398"/>
      <c r="E34" s="398"/>
      <c r="F34" s="399"/>
    </row>
    <row r="35" spans="1:6" ht="18.95" customHeight="1">
      <c r="A35" s="397"/>
      <c r="B35" s="398"/>
      <c r="C35" s="398"/>
      <c r="D35" s="398"/>
      <c r="E35" s="398"/>
      <c r="F35" s="399"/>
    </row>
    <row r="36" spans="1:6" ht="18.95" customHeight="1">
      <c r="A36" s="397"/>
      <c r="B36" s="398"/>
      <c r="C36" s="398"/>
      <c r="D36" s="398"/>
      <c r="E36" s="398"/>
      <c r="F36" s="399"/>
    </row>
    <row r="37" spans="1:6" ht="18.95" customHeight="1">
      <c r="A37" s="397"/>
      <c r="B37" s="398"/>
      <c r="C37" s="398"/>
      <c r="D37" s="398"/>
      <c r="E37" s="398"/>
      <c r="F37" s="399"/>
    </row>
    <row r="38" spans="1:6" ht="18.95" customHeight="1">
      <c r="A38" s="397"/>
      <c r="B38" s="398"/>
      <c r="C38" s="398"/>
      <c r="D38" s="398"/>
      <c r="E38" s="398"/>
      <c r="F38" s="399"/>
    </row>
    <row r="39" spans="1:6" ht="18.95" customHeight="1">
      <c r="A39" s="374" t="s">
        <v>424</v>
      </c>
      <c r="B39" s="375"/>
      <c r="C39" s="375"/>
      <c r="D39" s="366"/>
      <c r="E39" s="371" t="s">
        <v>425</v>
      </c>
      <c r="F39" s="376" t="s">
        <v>364</v>
      </c>
    </row>
    <row r="40" spans="1:6" ht="18.95" customHeight="1">
      <c r="A40" s="365"/>
      <c r="B40" s="375"/>
      <c r="C40" s="375"/>
      <c r="D40" s="366"/>
      <c r="E40" s="366"/>
      <c r="F40" s="367"/>
    </row>
    <row r="41" spans="1:6" ht="18.95" customHeight="1">
      <c r="A41" s="365"/>
      <c r="B41" s="375"/>
      <c r="C41" s="375"/>
      <c r="D41" s="366"/>
      <c r="E41" s="366"/>
      <c r="F41" s="367"/>
    </row>
    <row r="42" spans="1:6" ht="18.95" customHeight="1">
      <c r="A42" s="365"/>
      <c r="B42" s="366"/>
      <c r="C42" s="366"/>
      <c r="D42" s="366"/>
      <c r="E42" s="366"/>
      <c r="F42" s="367"/>
    </row>
    <row r="43" spans="1:6" ht="18.95" customHeight="1">
      <c r="A43" s="377"/>
      <c r="B43" s="375"/>
      <c r="C43" s="378" t="s">
        <v>426</v>
      </c>
      <c r="D43" s="379" t="str">
        <f>'Performance Data Sheet'!K43</f>
        <v>Mario L</v>
      </c>
      <c r="E43" s="378" t="s">
        <v>427</v>
      </c>
      <c r="F43" s="379"/>
    </row>
    <row r="44" spans="1:6" ht="15" customHeight="1"/>
    <row r="45" spans="1:6" ht="15" customHeight="1"/>
    <row r="46" spans="1:6" ht="15" customHeight="1"/>
    <row r="47" spans="1:6" ht="15" customHeight="1"/>
    <row r="48" spans="1:6" ht="15" customHeight="1"/>
    <row r="49" spans="1:6" ht="15" customHeight="1"/>
    <row r="50" spans="1:6" ht="15" customHeight="1"/>
    <row r="51" spans="1:6" ht="15" customHeight="1"/>
    <row r="52" spans="1:6" ht="15" customHeight="1" thickBot="1"/>
    <row r="53" spans="1:6" ht="15" customHeight="1" thickBot="1">
      <c r="A53" s="420" t="s">
        <v>431</v>
      </c>
      <c r="B53" s="420" t="s">
        <v>142</v>
      </c>
      <c r="C53" s="420" t="s">
        <v>120</v>
      </c>
      <c r="D53" s="420" t="s">
        <v>135</v>
      </c>
      <c r="E53" s="420" t="s">
        <v>5</v>
      </c>
      <c r="F53" s="421" t="s">
        <v>591</v>
      </c>
    </row>
    <row r="54" spans="1:6" ht="15" customHeight="1">
      <c r="A54" s="422">
        <v>0</v>
      </c>
      <c r="B54" s="423"/>
      <c r="C54" s="424"/>
      <c r="D54" s="424">
        <v>44.032791603095397</v>
      </c>
      <c r="E54" s="424">
        <v>100</v>
      </c>
      <c r="F54" s="425">
        <v>0.92900000000000005</v>
      </c>
    </row>
    <row r="55" spans="1:6" ht="15" customHeight="1">
      <c r="A55" s="426">
        <v>25</v>
      </c>
      <c r="B55" s="427">
        <v>88.730491638183594</v>
      </c>
      <c r="C55" s="428">
        <v>68.121566772460938</v>
      </c>
      <c r="D55" s="428">
        <v>66.806053161621094</v>
      </c>
      <c r="E55" s="428">
        <v>84.61527921524339</v>
      </c>
      <c r="F55" s="429">
        <v>7.882216389574773</v>
      </c>
    </row>
    <row r="56" spans="1:6" ht="15" customHeight="1">
      <c r="A56" s="426">
        <v>50</v>
      </c>
      <c r="B56" s="427">
        <v>92.800056457519531</v>
      </c>
      <c r="C56" s="428">
        <v>84.99273681640625</v>
      </c>
      <c r="D56" s="428">
        <v>102.39372253417969</v>
      </c>
      <c r="E56" s="428">
        <v>69.130834391721322</v>
      </c>
      <c r="F56" s="429">
        <v>15.073115410932536</v>
      </c>
    </row>
    <row r="57" spans="1:6">
      <c r="A57" s="426">
        <v>75</v>
      </c>
      <c r="B57" s="427">
        <v>94.057197570800781</v>
      </c>
      <c r="C57" s="428">
        <v>89.774215698242188</v>
      </c>
      <c r="D57" s="428">
        <v>143.46664428710938</v>
      </c>
      <c r="E57" s="428">
        <v>53.395528960281347</v>
      </c>
      <c r="F57" s="429">
        <v>22.307478052004345</v>
      </c>
    </row>
    <row r="58" spans="1:6">
      <c r="A58" s="426">
        <v>100</v>
      </c>
      <c r="B58" s="427">
        <v>94.552177429199219</v>
      </c>
      <c r="C58" s="428">
        <v>91.376884460449219</v>
      </c>
      <c r="D58" s="428">
        <v>186.94999694824219</v>
      </c>
      <c r="E58" s="428">
        <v>37.598990310165803</v>
      </c>
      <c r="F58" s="429">
        <v>29.587596562304046</v>
      </c>
    </row>
    <row r="59" spans="1:6" ht="13.5" thickBot="1">
      <c r="A59" s="430">
        <v>125</v>
      </c>
      <c r="B59" s="431">
        <v>94.734626770019531</v>
      </c>
      <c r="C59" s="432">
        <v>91.828872680664063</v>
      </c>
      <c r="D59" s="432">
        <v>232.08943176269531</v>
      </c>
      <c r="E59" s="432">
        <v>21.487240988581924</v>
      </c>
      <c r="F59" s="433">
        <v>36.913269138270039</v>
      </c>
    </row>
    <row r="60" spans="1:6">
      <c r="A60" s="434"/>
      <c r="B60" s="435"/>
      <c r="C60" s="435"/>
    </row>
    <row r="61" spans="1:6">
      <c r="A61" s="434"/>
      <c r="B61" s="435"/>
      <c r="C61" s="435"/>
    </row>
    <row r="62" spans="1:6">
      <c r="A62" s="434"/>
      <c r="B62" s="435"/>
      <c r="C62" s="435"/>
    </row>
    <row r="63" spans="1:6">
      <c r="A63" s="434"/>
      <c r="B63" s="435"/>
      <c r="C63" s="435"/>
    </row>
    <row r="64" spans="1:6">
      <c r="A64" s="434"/>
      <c r="B64" s="435"/>
      <c r="C64" s="435"/>
    </row>
    <row r="65" spans="1:3">
      <c r="A65" s="434"/>
      <c r="B65" s="435"/>
      <c r="C65" s="435"/>
    </row>
    <row r="66" spans="1:3">
      <c r="A66" s="434"/>
      <c r="B66" s="435"/>
      <c r="C66" s="435"/>
    </row>
    <row r="67" spans="1:3">
      <c r="A67" s="436"/>
      <c r="B67" s="435"/>
      <c r="C67" s="435"/>
    </row>
  </sheetData>
  <mergeCells count="2">
    <mergeCell ref="A4:F4"/>
    <mergeCell ref="B6:D6"/>
  </mergeCells>
  <printOptions horizontalCentered="1" verticalCentered="1"/>
  <pageMargins left="0.59055118110236204" right="0.59055118110236204" top="0.59055118110236204" bottom="0.59055118110236204" header="0" footer="0"/>
  <pageSetup scale="87" orientation="portrait" horizontalDpi="0" verticalDpi="300"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11</vt:i4>
      </vt:variant>
    </vt:vector>
  </HeadingPairs>
  <TitlesOfParts>
    <vt:vector size="22" baseType="lpstr">
      <vt:lpstr>DesignSheet</vt:lpstr>
      <vt:lpstr>Data Sheet</vt:lpstr>
      <vt:lpstr>Data Sheet1</vt:lpstr>
      <vt:lpstr>LoginSheet</vt:lpstr>
      <vt:lpstr>Form</vt:lpstr>
      <vt:lpstr>Performance Data Sheet</vt:lpstr>
      <vt:lpstr>STCurve</vt:lpstr>
      <vt:lpstr>StallTime</vt:lpstr>
      <vt:lpstr>Thermdam</vt:lpstr>
      <vt:lpstr>MagNoise</vt:lpstr>
      <vt:lpstr>Performance</vt:lpstr>
      <vt:lpstr>'Data Sheet'!Print_Area</vt:lpstr>
      <vt:lpstr>'Data Sheet1'!Print_Area</vt:lpstr>
      <vt:lpstr>DesignSheet!Print_Area</vt:lpstr>
      <vt:lpstr>Form!Print_Area</vt:lpstr>
      <vt:lpstr>LoginSheet!Print_Area</vt:lpstr>
      <vt:lpstr>Performance!Print_Area</vt:lpstr>
      <vt:lpstr>'Performance Data Sheet'!Print_Area</vt:lpstr>
      <vt:lpstr>StallTime!Print_Area</vt:lpstr>
      <vt:lpstr>STCurve!Print_Area</vt:lpstr>
      <vt:lpstr>Thermdam!Print_Area</vt:lpstr>
      <vt:lpstr>Print_Area_MI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DesOut</dc:title>
  <dc:creator>Toshiba International Corp</dc:creator>
  <cp:lastModifiedBy>Guerrettaz, Andrew</cp:lastModifiedBy>
  <cp:lastPrinted>2014-10-30T18:46:28Z</cp:lastPrinted>
  <dcterms:created xsi:type="dcterms:W3CDTF">1997-10-03T20:37:30Z</dcterms:created>
  <dcterms:modified xsi:type="dcterms:W3CDTF">2022-12-05T13:06:42Z</dcterms:modified>
</cp:coreProperties>
</file>