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N:\DESPRO\BASE MV DESIGNS\TEAAC\"/>
    </mc:Choice>
  </mc:AlternateContent>
  <xr:revisionPtr revIDLastSave="0" documentId="13_ncr:1_{6A3A4E9F-A3AC-4A15-AA2C-382C3C34D4F0}" xr6:coauthVersionLast="47" xr6:coauthVersionMax="47" xr10:uidLastSave="{00000000-0000-0000-0000-000000000000}"/>
  <bookViews>
    <workbookView xWindow="-120" yWindow="-120" windowWidth="29040" windowHeight="17520" activeTab="1" xr2:uid="{428402A1-BEBA-4A1A-BEAC-BE4F3C0BAE87}"/>
  </bookViews>
  <sheets>
    <sheet name="DesignSheet" sheetId="5" r:id="rId1"/>
    <sheet name="Data Sheet" sheetId="6" r:id="rId2"/>
    <sheet name="Performance Data Sheet" sheetId="1" r:id="rId3"/>
    <sheet name="STCurve" sheetId="2" r:id="rId4"/>
    <sheet name="Thermdam" sheetId="3" r:id="rId5"/>
    <sheet name="Performance" sheetId="4" r:id="rId6"/>
    <sheet name="StallTime" sheetId="7" r:id="rId7"/>
  </sheets>
  <definedNames>
    <definedName name="_Regression_Int" localSheetId="2" hidden="1">1</definedName>
    <definedName name="_xlnm.Print_Area" localSheetId="1">'Data Sheet'!$A$1:$K$46</definedName>
    <definedName name="_xlnm.Print_Area" localSheetId="0">DesignSheet!$A$1:$J$69</definedName>
    <definedName name="_xlnm.Print_Area" localSheetId="5">Performance!$A$1:$F$43</definedName>
    <definedName name="_xlnm.Print_Area" localSheetId="2">'Performance Data Sheet'!$A$1:$M$44</definedName>
    <definedName name="_xlnm.Print_Area" localSheetId="6">StallTime!$A$1:$G$40</definedName>
    <definedName name="_xlnm.Print_Area" localSheetId="3">STCurve!$A$1:$F$43</definedName>
    <definedName name="_xlnm.Print_Area" localSheetId="4">Thermdam!$A$1:$F$43</definedName>
    <definedName name="Print_Area_MI">'Performance Data Sheet'!$A$10:$N$42</definedName>
    <definedName name="Z_852987ED_B4F5_11D1_ABEC_0000832EB49E_.wvu.PrintArea" localSheetId="5" hidden="1">Performance!$A$1:$F$43</definedName>
    <definedName name="Z_852987ED_B4F5_11D1_ABEC_0000832EB49E_.wvu.PrintArea" localSheetId="3" hidden="1">STCurve!$A$1:$F$43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7" i="6" l="1"/>
  <c r="Q38" i="6"/>
  <c r="Q39" i="6"/>
  <c r="Q40" i="6"/>
  <c r="Q41" i="6"/>
  <c r="Q42" i="6"/>
  <c r="Q43" i="6"/>
  <c r="Q36" i="6"/>
  <c r="T45" i="6"/>
  <c r="P45" i="6" s="1"/>
  <c r="S45" i="6"/>
  <c r="S37" i="6"/>
  <c r="T37" i="6"/>
  <c r="S38" i="6"/>
  <c r="T38" i="6"/>
  <c r="S39" i="6"/>
  <c r="T39" i="6"/>
  <c r="S40" i="6"/>
  <c r="T40" i="6"/>
  <c r="S41" i="6"/>
  <c r="T41" i="6"/>
  <c r="S42" i="6"/>
  <c r="T42" i="6"/>
  <c r="S43" i="6"/>
  <c r="T43" i="6"/>
  <c r="T36" i="6"/>
  <c r="S36" i="6"/>
  <c r="M28" i="6"/>
  <c r="N28" i="6"/>
  <c r="M18" i="6"/>
  <c r="M52" i="5"/>
  <c r="M50" i="5"/>
  <c r="M49" i="5"/>
  <c r="M48" i="5"/>
  <c r="M47" i="5"/>
  <c r="M53" i="5" s="1"/>
  <c r="M46" i="5"/>
  <c r="M41" i="5"/>
  <c r="N41" i="5" s="1"/>
  <c r="L41" i="5"/>
  <c r="M40" i="5"/>
  <c r="N40" i="5" s="1"/>
  <c r="L40" i="5"/>
  <c r="M39" i="5"/>
  <c r="N39" i="5" s="1"/>
  <c r="L39" i="5"/>
  <c r="M38" i="5"/>
  <c r="N38" i="5" s="1"/>
  <c r="L38" i="5"/>
  <c r="P34" i="5"/>
  <c r="P33" i="5"/>
  <c r="M33" i="5"/>
  <c r="P32" i="5"/>
  <c r="M32" i="5"/>
  <c r="P31" i="5"/>
  <c r="M31" i="5"/>
  <c r="P30" i="5"/>
  <c r="M30" i="5"/>
  <c r="M29" i="5"/>
  <c r="F59" i="4"/>
  <c r="E59" i="4"/>
  <c r="F58" i="4"/>
  <c r="F57" i="4"/>
  <c r="E57" i="4"/>
  <c r="F56" i="4"/>
  <c r="F55" i="4"/>
  <c r="E55" i="4"/>
  <c r="F54" i="4"/>
  <c r="O47" i="4"/>
  <c r="N47" i="4"/>
  <c r="O46" i="4"/>
  <c r="N46" i="4"/>
  <c r="O45" i="4"/>
  <c r="N45" i="4"/>
  <c r="O44" i="4"/>
  <c r="N44" i="4"/>
  <c r="O43" i="4"/>
  <c r="N43" i="4"/>
  <c r="D43" i="4"/>
  <c r="O42" i="4"/>
  <c r="N42" i="4"/>
  <c r="O41" i="4"/>
  <c r="N41" i="4"/>
  <c r="O40" i="4"/>
  <c r="N40" i="4"/>
  <c r="O39" i="4"/>
  <c r="N39" i="4"/>
  <c r="F39" i="4"/>
  <c r="C39" i="4"/>
  <c r="O38" i="4"/>
  <c r="N38" i="4"/>
  <c r="O37" i="4"/>
  <c r="N37" i="4"/>
  <c r="C15" i="4"/>
  <c r="C13" i="4"/>
  <c r="C12" i="4"/>
  <c r="B10" i="4"/>
  <c r="E58" i="4" s="1"/>
  <c r="F9" i="4"/>
  <c r="B9" i="4"/>
  <c r="F8" i="4"/>
  <c r="F7" i="4"/>
  <c r="D7" i="4"/>
  <c r="B7" i="4"/>
  <c r="F6" i="4"/>
  <c r="B6" i="4"/>
  <c r="C77" i="3"/>
  <c r="C78" i="3" s="1"/>
  <c r="C76" i="3"/>
  <c r="B76" i="3"/>
  <c r="C75" i="3"/>
  <c r="C74" i="3"/>
  <c r="B74" i="3"/>
  <c r="A69" i="3"/>
  <c r="A70" i="3" s="1"/>
  <c r="E68" i="3"/>
  <c r="D66" i="3"/>
  <c r="F50" i="3"/>
  <c r="D43" i="3"/>
  <c r="F39" i="3"/>
  <c r="C39" i="3"/>
  <c r="C15" i="3"/>
  <c r="C13" i="3"/>
  <c r="C12" i="3"/>
  <c r="B10" i="3"/>
  <c r="F9" i="3"/>
  <c r="B9" i="3"/>
  <c r="F8" i="3"/>
  <c r="F7" i="3"/>
  <c r="D7" i="3"/>
  <c r="B7" i="3"/>
  <c r="F6" i="3"/>
  <c r="B6" i="3"/>
  <c r="H67" i="2"/>
  <c r="H66" i="2"/>
  <c r="H65" i="2"/>
  <c r="H64" i="2"/>
  <c r="H63" i="2"/>
  <c r="H62" i="2"/>
  <c r="H61" i="2"/>
  <c r="H60" i="2"/>
  <c r="H59" i="2"/>
  <c r="H58" i="2"/>
  <c r="H57" i="2"/>
  <c r="H56" i="2"/>
  <c r="H55" i="2"/>
  <c r="H54" i="2"/>
  <c r="D43" i="2"/>
  <c r="F39" i="2"/>
  <c r="C39" i="2"/>
  <c r="C15" i="2"/>
  <c r="C13" i="2"/>
  <c r="C12" i="2"/>
  <c r="B10" i="2"/>
  <c r="F9" i="2"/>
  <c r="B9" i="2"/>
  <c r="F8" i="2"/>
  <c r="F7" i="2"/>
  <c r="D7" i="2"/>
  <c r="B7" i="2"/>
  <c r="F6" i="2"/>
  <c r="B6" i="2"/>
  <c r="A71" i="3" l="1"/>
  <c r="C70" i="3"/>
  <c r="B70" i="3"/>
  <c r="B69" i="3"/>
  <c r="B75" i="3" s="1"/>
  <c r="E56" i="4"/>
  <c r="C69" i="3"/>
  <c r="C71" i="3" l="1"/>
  <c r="B71" i="3"/>
  <c r="A72" i="3"/>
  <c r="B72" i="3" l="1"/>
  <c r="A73" i="3"/>
  <c r="B7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K4" authorId="0" shapeId="0" xr:uid="{100A7CFB-52C8-41E6-956E-00F2CF72E1DE}">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xr:uid="{82114390-1ABE-456A-B46D-CFD3F1BB1900}">
      <text>
        <r>
          <rPr>
            <b/>
            <sz val="8"/>
            <color indexed="81"/>
            <rFont val="Tahoma"/>
            <family val="2"/>
          </rPr>
          <t>Choose Steel Type
from list or input name</t>
        </r>
      </text>
    </comment>
    <comment ref="D21" authorId="0" shapeId="0" xr:uid="{0A9DFB71-7782-4A29-8962-DB764C84375A}">
      <text>
        <r>
          <rPr>
            <b/>
            <sz val="8"/>
            <color indexed="81"/>
            <rFont val="Tahoma"/>
            <family val="2"/>
          </rPr>
          <t>Choose Method of coil connection from list!</t>
        </r>
        <r>
          <rPr>
            <sz val="8"/>
            <color indexed="81"/>
            <rFont val="Tahoma"/>
            <family val="2"/>
          </rPr>
          <t xml:space="preserve">
</t>
        </r>
      </text>
    </comment>
  </commentList>
</comments>
</file>

<file path=xl/sharedStrings.xml><?xml version="1.0" encoding="utf-8"?>
<sst xmlns="http://schemas.openxmlformats.org/spreadsheetml/2006/main" count="895" uniqueCount="711">
  <si>
    <t>TOSHIBA INTERNATIONAL CORPORATION</t>
  </si>
  <si>
    <t>INDEX</t>
  </si>
  <si>
    <t>MPCF-1033</t>
  </si>
  <si>
    <t>Industrial Division / Houston Motor Plant</t>
  </si>
  <si>
    <t>SHEET NO.</t>
  </si>
  <si>
    <t>1 of 1</t>
  </si>
  <si>
    <t>ISSUED</t>
  </si>
  <si>
    <t>7/31/13</t>
  </si>
  <si>
    <t>SUPERSEDES</t>
  </si>
  <si>
    <t>11/8/96</t>
  </si>
  <si>
    <t>REVISION</t>
  </si>
  <si>
    <t>SQUIRREL CAGE INDUCTION MOTOR</t>
  </si>
  <si>
    <t>WRITTEN BY</t>
  </si>
  <si>
    <t>MDC</t>
  </si>
  <si>
    <t>PERFORMANCE SPECIFICATIONS</t>
  </si>
  <si>
    <t>APPROVED BY</t>
  </si>
  <si>
    <t>PAA</t>
  </si>
  <si>
    <t>CUSTOMER:</t>
  </si>
  <si>
    <t>CLYDE UNION PUMPS CANADA LTD</t>
  </si>
  <si>
    <t>TIC SR No.:</t>
  </si>
  <si>
    <t>2306938.1</t>
  </si>
  <si>
    <t>MOTOR NAMEPLATE DATA</t>
  </si>
  <si>
    <t>H.P.:</t>
  </si>
  <si>
    <t>VOLTS:</t>
  </si>
  <si>
    <t>3 PH /</t>
  </si>
  <si>
    <t>60 Hz</t>
  </si>
  <si>
    <t>S. RPM:</t>
  </si>
  <si>
    <t>FRAME:</t>
  </si>
  <si>
    <t>5812USS</t>
  </si>
  <si>
    <t>ENCL:</t>
  </si>
  <si>
    <t>TEAAC</t>
  </si>
  <si>
    <t>FLAMPS:</t>
  </si>
  <si>
    <t>FLRPM:</t>
  </si>
  <si>
    <t>FORM:</t>
  </si>
  <si>
    <t>FCKNW4</t>
  </si>
  <si>
    <t>S.F.:</t>
  </si>
  <si>
    <t>1.0</t>
  </si>
  <si>
    <t>NEMA DESIGN:</t>
  </si>
  <si>
    <t>-</t>
  </si>
  <si>
    <t>INSUL CLASS:</t>
  </si>
  <si>
    <t>F</t>
  </si>
  <si>
    <t>TYPE:</t>
  </si>
  <si>
    <t>TIKE</t>
  </si>
  <si>
    <t>AMB.:</t>
  </si>
  <si>
    <t>40°C</t>
  </si>
  <si>
    <t>CODE:</t>
  </si>
  <si>
    <t>DUTY:</t>
  </si>
  <si>
    <t>Cont.</t>
  </si>
  <si>
    <t>MODEL No.:</t>
  </si>
  <si>
    <t>A1-10134386</t>
  </si>
  <si>
    <t>kW:</t>
  </si>
  <si>
    <t>NOM. EFF.:</t>
  </si>
  <si>
    <t>MIN. EFF.:</t>
  </si>
  <si>
    <t>P.F.:</t>
  </si>
  <si>
    <t>AMPERAGE</t>
  </si>
  <si>
    <t>TORQUES</t>
  </si>
  <si>
    <t>**BEARINGS:</t>
  </si>
  <si>
    <t>LOCKED ROTOR:</t>
  </si>
  <si>
    <t>FULL LOAD (lb-ft.):</t>
  </si>
  <si>
    <t>DRIVE END:</t>
  </si>
  <si>
    <t>REFER TO NP</t>
  </si>
  <si>
    <t>LOCKED ROTOR (%):</t>
  </si>
  <si>
    <t>OPPOSITE DRIVE END:</t>
  </si>
  <si>
    <t>BREAK DOWN (%):</t>
  </si>
  <si>
    <t>EFFICIENCY</t>
  </si>
  <si>
    <t>POWER FACTOR</t>
  </si>
  <si>
    <t>FULL LOAD:</t>
  </si>
  <si>
    <t>3/4 LOAD:</t>
  </si>
  <si>
    <t>1/2 LOAD:</t>
  </si>
  <si>
    <t>ALL CHARACTERISTICS ARE AVERAGE EXPECTED VALUES BASED UPON RATED VOLTAGE,</t>
  </si>
  <si>
    <t>FREQUENCY AND SINEWAVE POWER INPUT.</t>
  </si>
  <si>
    <t xml:space="preserve">THE DECLARED LOCKED ROTOR CURRENT HAS A TOLERANCE OF 20%.  </t>
  </si>
  <si>
    <t>* TEMPERATURE RISE WILL BE CONSISTENT WITH INSULATION, AMBIENT AND SERVICE FACTOR AS</t>
  </si>
  <si>
    <t>DEFINED BY NEMA-MG-12  OR  -20.</t>
  </si>
  <si>
    <t>** BEARINGS ARE THE ONLY RECOMMENDED SPARE PART(S).</t>
  </si>
  <si>
    <t>CERTIFIED BY:</t>
  </si>
  <si>
    <t>Zichao Xie</t>
  </si>
  <si>
    <t>DATE:</t>
  </si>
  <si>
    <t>6205ZZ</t>
  </si>
  <si>
    <t>TEFC</t>
  </si>
  <si>
    <t>6206UU</t>
  </si>
  <si>
    <t>A</t>
  </si>
  <si>
    <t>ODP</t>
  </si>
  <si>
    <t>6207ZZ</t>
  </si>
  <si>
    <t>B</t>
  </si>
  <si>
    <t>6208UU</t>
  </si>
  <si>
    <t>6211ZZ</t>
  </si>
  <si>
    <t>6211C3</t>
  </si>
  <si>
    <t>6211ZZC3</t>
  </si>
  <si>
    <t>6305UUC3</t>
  </si>
  <si>
    <t>6306UUC3</t>
  </si>
  <si>
    <t>6308C3</t>
  </si>
  <si>
    <t>6308UU</t>
  </si>
  <si>
    <t>6308ZC3</t>
  </si>
  <si>
    <t>6309UU</t>
  </si>
  <si>
    <t>6309UUC3</t>
  </si>
  <si>
    <t>6309C3</t>
  </si>
  <si>
    <t>6309C3XS</t>
  </si>
  <si>
    <t>6309ZC3</t>
  </si>
  <si>
    <t>6310ZZ</t>
  </si>
  <si>
    <t>6310C3</t>
  </si>
  <si>
    <t>6310C3XS</t>
  </si>
  <si>
    <t>6310ZZC3</t>
  </si>
  <si>
    <t>6312C3</t>
  </si>
  <si>
    <t>6312ZZ</t>
  </si>
  <si>
    <t>6312ZZC3</t>
  </si>
  <si>
    <t>6312C3XS</t>
  </si>
  <si>
    <t>6313ZZ</t>
  </si>
  <si>
    <t>6313ZZC3</t>
  </si>
  <si>
    <t>6313C3</t>
  </si>
  <si>
    <t>6314C3</t>
  </si>
  <si>
    <t>6317C3</t>
  </si>
  <si>
    <t>NU318</t>
  </si>
  <si>
    <t>6318C3</t>
  </si>
  <si>
    <t>NU318C3</t>
  </si>
  <si>
    <t>6320C3</t>
  </si>
  <si>
    <t>NU322</t>
  </si>
  <si>
    <t>NU322C3</t>
  </si>
  <si>
    <t>NU324C3</t>
  </si>
  <si>
    <t>6314C3XS</t>
  </si>
  <si>
    <t>6317C3XS</t>
  </si>
  <si>
    <t>Speed Torque/Current Curve</t>
  </si>
  <si>
    <t>Model #:</t>
  </si>
  <si>
    <t>FLAmps:</t>
  </si>
  <si>
    <t>Enclosure:</t>
  </si>
  <si>
    <t>Voltage:</t>
  </si>
  <si>
    <t>Frame:</t>
  </si>
  <si>
    <t>Pole:</t>
  </si>
  <si>
    <t>Frequency:</t>
  </si>
  <si>
    <t>3 PH / 60 Hz</t>
  </si>
  <si>
    <t>Ins. Class:</t>
  </si>
  <si>
    <t>HP:</t>
  </si>
  <si>
    <t>Rotor Inertia:</t>
  </si>
  <si>
    <t>222.9 lb-ft²</t>
  </si>
  <si>
    <t>Date:</t>
  </si>
  <si>
    <t>Load Inertia:</t>
  </si>
  <si>
    <t>790.4 lb-ft²</t>
  </si>
  <si>
    <t>File:</t>
  </si>
  <si>
    <t>h040052</t>
  </si>
  <si>
    <t>Locked Rotor Amps:</t>
  </si>
  <si>
    <t>Load Type:</t>
  </si>
  <si>
    <t>Fan / Pump</t>
  </si>
  <si>
    <t>Locked Rotor Torque:</t>
  </si>
  <si>
    <t>Starting at:</t>
  </si>
  <si>
    <t>FV / 0.80 (V)</t>
  </si>
  <si>
    <t>Breakdown Torque:</t>
  </si>
  <si>
    <t>Accel. Time:</t>
  </si>
  <si>
    <t>9.2 / 20.4 (s)</t>
  </si>
  <si>
    <t>Rated Torque:</t>
  </si>
  <si>
    <t>Comments:</t>
  </si>
  <si>
    <t>PROJECT</t>
  </si>
  <si>
    <t>D.E.Curve #:</t>
  </si>
  <si>
    <t>Prepared by:</t>
  </si>
  <si>
    <t>Checked by:</t>
  </si>
  <si>
    <t>Load</t>
  </si>
  <si>
    <t>Torque 80%</t>
  </si>
  <si>
    <t>LRA 80%</t>
  </si>
  <si>
    <t>Thermal Limit &amp; Acceleration Curves</t>
  </si>
  <si>
    <t>Design Values (For Reference Only)</t>
  </si>
  <si>
    <t xml:space="preserve"> </t>
  </si>
  <si>
    <t>Current (%)</t>
  </si>
  <si>
    <t>Cold</t>
  </si>
  <si>
    <t>Hot</t>
  </si>
  <si>
    <t>CURRENT (%)</t>
  </si>
  <si>
    <t>Accel. Time</t>
  </si>
  <si>
    <t>Performance Curve</t>
  </si>
  <si>
    <t>SPEED</t>
  </si>
  <si>
    <t>KW</t>
  </si>
  <si>
    <t>SYNC SPEED</t>
  </si>
  <si>
    <t>NEW SPEED LOWER RANGE</t>
  </si>
  <si>
    <t>NEW kW UPPER RANGE</t>
  </si>
  <si>
    <t>ADJUSTED</t>
  </si>
  <si>
    <t>Efficiency</t>
  </si>
  <si>
    <t>PF</t>
  </si>
  <si>
    <t>Amps</t>
  </si>
  <si>
    <t>RPM</t>
  </si>
  <si>
    <t>Input Watts</t>
  </si>
  <si>
    <t>ORIGINAL</t>
  </si>
  <si>
    <t xml:space="preserve">                              TOSHIBA INTERNATIONAL CORPORATION</t>
  </si>
  <si>
    <t>Calc. Code:</t>
  </si>
  <si>
    <t>2-2-2-0-1-2</t>
  </si>
  <si>
    <t xml:space="preserve">             3-PHASE SQUIRREL CAGE INDUCTION MOTOR DESIGN SHEET</t>
  </si>
  <si>
    <t>B.L.-1  P.F.-1</t>
  </si>
  <si>
    <t>N:\DESPRO\RAT FILES\BS2M25U.rat</t>
  </si>
  <si>
    <t>Time:</t>
  </si>
  <si>
    <t>Pole</t>
  </si>
  <si>
    <t>HP</t>
  </si>
  <si>
    <t>Form</t>
  </si>
  <si>
    <t>Voltage</t>
  </si>
  <si>
    <t>Frequency</t>
  </si>
  <si>
    <t>Temperature</t>
  </si>
  <si>
    <t>FLSpeed</t>
  </si>
  <si>
    <t>FLSlip</t>
  </si>
  <si>
    <t xml:space="preserve">Frame </t>
  </si>
  <si>
    <t>FCKNW</t>
  </si>
  <si>
    <t>3580.1 / 3579.5</t>
  </si>
  <si>
    <t>0.0055 / 0.0057</t>
  </si>
  <si>
    <t>5811/12UDZ</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</si>
  <si>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</si>
  <si>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</si>
  <si>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</si>
  <si>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</si>
  <si>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</si>
  <si>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</si>
  <si>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</si>
  <si>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</si>
  <si>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</si>
  <si>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</si>
  <si>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</si>
  <si>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</si>
  <si>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</si>
  <si>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</si>
  <si>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1 ~ 16</t>
  </si>
  <si>
    <t>Cross Section Area</t>
  </si>
  <si>
    <t>Mean Value</t>
  </si>
  <si>
    <t>Core Length</t>
  </si>
  <si>
    <t>UB: 304.0</t>
  </si>
  <si>
    <t>UER: 1750.0</t>
  </si>
  <si>
    <t>Eff.T.W.St.</t>
  </si>
  <si>
    <t>WS</t>
  </si>
  <si>
    <t>OD</t>
  </si>
  <si>
    <t>Coil Pitch</t>
  </si>
  <si>
    <t>Eff.T.W.Rt.</t>
  </si>
  <si>
    <t>ID</t>
  </si>
  <si>
    <t>Slot Fill</t>
  </si>
  <si>
    <t>EBL: 50.0</t>
  </si>
  <si>
    <t>ERD1: 281.0</t>
  </si>
  <si>
    <t xml:space="preserve">St.Carter Fac. </t>
  </si>
  <si>
    <t>IS</t>
  </si>
  <si>
    <t>Core Depth</t>
  </si>
  <si>
    <t>Con./Slot</t>
  </si>
  <si>
    <t>ERT: 70.00</t>
  </si>
  <si>
    <t>Rt.Carter Fac.</t>
  </si>
  <si>
    <t>Eff.Core L.</t>
  </si>
  <si>
    <t>Wire Size 1</t>
  </si>
  <si>
    <t>(.102"x.204")x1</t>
  </si>
  <si>
    <t>ERH: 25.00</t>
  </si>
  <si>
    <t>Carter Factor</t>
  </si>
  <si>
    <t>Volts / Turn</t>
  </si>
  <si>
    <t>Slot Data</t>
  </si>
  <si>
    <t>Wire Size 2</t>
  </si>
  <si>
    <t>(.102"x.229")x1</t>
  </si>
  <si>
    <t>Short. Factor</t>
  </si>
  <si>
    <t>Number</t>
  </si>
  <si>
    <t>// Circuits</t>
  </si>
  <si>
    <t>Distrib. Factor</t>
  </si>
  <si>
    <t>AC</t>
  </si>
  <si>
    <t>Kind</t>
  </si>
  <si>
    <t>Open</t>
  </si>
  <si>
    <t>Trapeze</t>
  </si>
  <si>
    <t>Connection</t>
  </si>
  <si>
    <t>Delta</t>
  </si>
  <si>
    <t>Wind. Factor</t>
  </si>
  <si>
    <t>Skew</t>
  </si>
  <si>
    <t>MCL</t>
  </si>
  <si>
    <t>Reactance</t>
  </si>
  <si>
    <t>(Coeff.: 0.1069)</t>
  </si>
  <si>
    <t>Depth</t>
  </si>
  <si>
    <t>No.Cond./Ph.</t>
  </si>
  <si>
    <t>Running</t>
  </si>
  <si>
    <t>Start</t>
  </si>
  <si>
    <t>Width</t>
  </si>
  <si>
    <t>10.20 - 10.20</t>
  </si>
  <si>
    <t>Res.     (20°C)</t>
  </si>
  <si>
    <t>Stator Slot</t>
  </si>
  <si>
    <t>Opening</t>
  </si>
  <si>
    <t>(105°C)</t>
  </si>
  <si>
    <t>Rotor Slot</t>
  </si>
  <si>
    <t>Tip Depth</t>
  </si>
  <si>
    <t>Material</t>
  </si>
  <si>
    <t>CU</t>
  </si>
  <si>
    <t>Zigzag</t>
  </si>
  <si>
    <t>T.Min.Wid.</t>
  </si>
  <si>
    <t>Spec.Resist.</t>
  </si>
  <si>
    <t>Coil End</t>
  </si>
  <si>
    <t>Skew R.: 0.00</t>
  </si>
  <si>
    <t>Low. R.</t>
  </si>
  <si>
    <t>Spec.Gravity</t>
  </si>
  <si>
    <t>Belt Leakage</t>
  </si>
  <si>
    <t>Up. R.</t>
  </si>
  <si>
    <t>Weight (kg)</t>
  </si>
  <si>
    <t>Total Resist.</t>
  </si>
  <si>
    <t>Wedge Dep.</t>
  </si>
  <si>
    <t>2.83 - 2.00</t>
  </si>
  <si>
    <t>Magnetic</t>
  </si>
  <si>
    <t>Wire 1</t>
  </si>
  <si>
    <t>Total React.</t>
  </si>
  <si>
    <t>Duct</t>
  </si>
  <si>
    <t>10 x 10</t>
  </si>
  <si>
    <t>9 x 10</t>
  </si>
  <si>
    <t>Wire 2</t>
  </si>
  <si>
    <t>Impedance</t>
  </si>
  <si>
    <t>Effective Depth (S=1)</t>
  </si>
  <si>
    <t>Magnetic Circuit Data</t>
  </si>
  <si>
    <t>Core Loss Data</t>
  </si>
  <si>
    <t>Res.=</t>
  </si>
  <si>
    <t>Length</t>
  </si>
  <si>
    <t>Section</t>
  </si>
  <si>
    <t>Density</t>
  </si>
  <si>
    <t>AT</t>
  </si>
  <si>
    <t>Volume</t>
  </si>
  <si>
    <t>Loss</t>
  </si>
  <si>
    <t>125RPM</t>
  </si>
  <si>
    <r>
      <t>Kline/in</t>
    </r>
    <r>
      <rPr>
        <i/>
        <vertAlign val="superscript"/>
        <sz val="10"/>
        <rFont val="Times New Roman"/>
        <family val="1"/>
      </rPr>
      <t>2</t>
    </r>
  </si>
  <si>
    <t>Reac.=</t>
  </si>
  <si>
    <t>Primary Core</t>
  </si>
  <si>
    <t>100RPM</t>
  </si>
  <si>
    <t>Excitation Data</t>
  </si>
  <si>
    <t>Tooth</t>
  </si>
  <si>
    <t>75RPM</t>
  </si>
  <si>
    <t>Excit.Amps</t>
  </si>
  <si>
    <t>20.140 / 16.814</t>
  </si>
  <si>
    <t>Second.Core</t>
  </si>
  <si>
    <t>Total</t>
  </si>
  <si>
    <t>50RPM</t>
  </si>
  <si>
    <t>Core Loss</t>
  </si>
  <si>
    <t>1.051 / 0.878</t>
  </si>
  <si>
    <t>Flux / Pole</t>
  </si>
  <si>
    <t>C.L.C.</t>
  </si>
  <si>
    <t>1.75 / 0.85</t>
  </si>
  <si>
    <t>25RPM</t>
  </si>
  <si>
    <t>NoLoad</t>
  </si>
  <si>
    <t>34.93 / 29.16</t>
  </si>
  <si>
    <t>S.F.C.</t>
  </si>
  <si>
    <t>Load Characteristics</t>
  </si>
  <si>
    <t>Temp. Rise @ 100%:</t>
  </si>
  <si>
    <t>72 / 67</t>
  </si>
  <si>
    <t>No Load Loss</t>
  </si>
  <si>
    <t>26412.7 / 23212.2</t>
  </si>
  <si>
    <t>W.Loss</t>
  </si>
  <si>
    <t>11379.4 / 5496.2</t>
  </si>
  <si>
    <t>Load (%)</t>
  </si>
  <si>
    <t>Primary Loss</t>
  </si>
  <si>
    <t>7079.5 / 6868.8</t>
  </si>
  <si>
    <t>S.Loss</t>
  </si>
  <si>
    <t>1249.8 / 603.6</t>
  </si>
  <si>
    <t>Current (A)</t>
  </si>
  <si>
    <t>53.41 / 53.89</t>
  </si>
  <si>
    <t>82.49 / 83.23</t>
  </si>
  <si>
    <t>115.74 / 116.77</t>
  </si>
  <si>
    <t>150.89 / 152.24</t>
  </si>
  <si>
    <t>187.41 / 189.08</t>
  </si>
  <si>
    <t>Second. Loss</t>
  </si>
  <si>
    <t>5315.8 / 5521.9</t>
  </si>
  <si>
    <t>Total C.Loss</t>
  </si>
  <si>
    <t>12629.1 / 6099.9</t>
  </si>
  <si>
    <t xml:space="preserve">Efficiency </t>
  </si>
  <si>
    <t>0.895 / 0.893</t>
  </si>
  <si>
    <t>0.940 / 0.938</t>
  </si>
  <si>
    <t>0.955 / 0.953</t>
  </si>
  <si>
    <t>0.961 / 0.959</t>
  </si>
  <si>
    <t>0.963 / 0.961</t>
  </si>
  <si>
    <t>Frict.&amp; Wind.</t>
  </si>
  <si>
    <t>13500.0 / 17822.6</t>
  </si>
  <si>
    <t>Stray Loss</t>
  </si>
  <si>
    <t>Eff.</t>
  </si>
  <si>
    <t>P.F.</t>
  </si>
  <si>
    <t>0.704 / 0.699</t>
  </si>
  <si>
    <t>0.867 / 0.862</t>
  </si>
  <si>
    <t>0.913 / 0.907</t>
  </si>
  <si>
    <t>0.928 / 0.922</t>
  </si>
  <si>
    <t>0.932 / 0.926</t>
  </si>
  <si>
    <t>Starting Data</t>
  </si>
  <si>
    <t>Slip</t>
  </si>
  <si>
    <t>PF.</t>
  </si>
  <si>
    <t>0.0014 / 0.0016</t>
  </si>
  <si>
    <t>0.0028 / 0.0030</t>
  </si>
  <si>
    <t>0.0041 / 0.0043</t>
  </si>
  <si>
    <t>0.0069 / 0.0071</t>
  </si>
  <si>
    <t xml:space="preserve">LRA </t>
  </si>
  <si>
    <t>977.4 / 944.6</t>
  </si>
  <si>
    <t>Current</t>
  </si>
  <si>
    <t>3594.9 / 3594.2</t>
  </si>
  <si>
    <t>3590.0 / 3589.3</t>
  </si>
  <si>
    <t>3585.1 / 3584.4</t>
  </si>
  <si>
    <t>3575.1 / 3574.4</t>
  </si>
  <si>
    <t>%</t>
  </si>
  <si>
    <t>647.7 / 626.0</t>
  </si>
  <si>
    <t>L (Inv., MH)</t>
  </si>
  <si>
    <t>LRT (kg.m)</t>
  </si>
  <si>
    <t>338.6 / 239.5</t>
  </si>
  <si>
    <t>(No Load)</t>
  </si>
  <si>
    <t>Correlated to: lab 1125 1126.dat</t>
  </si>
  <si>
    <t>133.5 / 94.4</t>
  </si>
  <si>
    <t>Design Parameters (Full Load)</t>
  </si>
  <si>
    <t>Magnetic Pull  &amp; Thrust</t>
  </si>
  <si>
    <t>BDT (kW)</t>
  </si>
  <si>
    <t>IM/IW</t>
  </si>
  <si>
    <t>I*R1/E</t>
  </si>
  <si>
    <t>Rosenberg</t>
  </si>
  <si>
    <t>327.5 / 218.9</t>
  </si>
  <si>
    <t>IW*X/E</t>
  </si>
  <si>
    <t>I*R2/E</t>
  </si>
  <si>
    <t>Schwisky</t>
  </si>
  <si>
    <r>
      <t>HP</t>
    </r>
    <r>
      <rPr>
        <vertAlign val="superscript"/>
        <sz val="10"/>
        <rFont val="Arial"/>
        <family val="2"/>
      </rPr>
      <t>0.95</t>
    </r>
  </si>
  <si>
    <t>SUM</t>
  </si>
  <si>
    <t>Friction/OP.</t>
  </si>
  <si>
    <t>Tsurumi</t>
  </si>
  <si>
    <t>Max. Output</t>
  </si>
  <si>
    <r>
      <t>HP</t>
    </r>
    <r>
      <rPr>
        <vertAlign val="superscript"/>
        <sz val="10"/>
        <rFont val="Arial"/>
        <family val="2"/>
      </rPr>
      <t>1.5</t>
    </r>
  </si>
  <si>
    <t>IH/I</t>
  </si>
  <si>
    <t>Thrust (1mm)</t>
  </si>
  <si>
    <r>
      <t>(RPM/1000)</t>
    </r>
    <r>
      <rPr>
        <vertAlign val="superscript"/>
        <sz val="10"/>
        <rFont val="Arial"/>
        <family val="2"/>
      </rPr>
      <t>2.4</t>
    </r>
  </si>
  <si>
    <t>Thrust (3 mm)</t>
  </si>
  <si>
    <r>
      <t>(RPM/1000)</t>
    </r>
    <r>
      <rPr>
        <vertAlign val="superscript"/>
        <sz val="10"/>
        <rFont val="Arial"/>
        <family val="2"/>
      </rPr>
      <t>1.8</t>
    </r>
  </si>
  <si>
    <t>Single Cage Data</t>
  </si>
  <si>
    <t>Miscellaneous Data</t>
  </si>
  <si>
    <t>Slot Number</t>
  </si>
  <si>
    <t>Slit Width</t>
  </si>
  <si>
    <t>T.M.Wid.Low.</t>
  </si>
  <si>
    <t>Watt Rad.</t>
  </si>
  <si>
    <t>Coil Cur. Density</t>
  </si>
  <si>
    <t>k</t>
  </si>
  <si>
    <t>Slit Depth</t>
  </si>
  <si>
    <t>Cal.T.W.Up.</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</si>
  <si>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</si>
  <si>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3.13 / 3.15</t>
  </si>
  <si>
    <t>Hz</t>
  </si>
  <si>
    <t>L.S.Up.Wid.</t>
  </si>
  <si>
    <t>Cal.M.T.Wid.</t>
  </si>
  <si>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</si>
  <si>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t>Bar Cur. Den.</t>
  </si>
  <si>
    <t>Load Inertia</t>
  </si>
  <si>
    <t>L.S.Low.Wid.</t>
  </si>
  <si>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</si>
  <si>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UB: 4.77 / 4.81</t>
  </si>
  <si>
    <t>LB:  -</t>
  </si>
  <si>
    <t>Up. Sl. Wid.</t>
  </si>
  <si>
    <t>L.S.Depth</t>
  </si>
  <si>
    <t>X2S</t>
  </si>
  <si>
    <t>IMC</t>
  </si>
  <si>
    <t>ER Cur. Den.</t>
  </si>
  <si>
    <t>Up. Sl. Dep.</t>
  </si>
  <si>
    <t>T.M.Wid.Up.</t>
  </si>
  <si>
    <t>X3S</t>
  </si>
  <si>
    <t>Coil Pitch Ct.</t>
  </si>
  <si>
    <t>UER: 5.02 / 5.06</t>
  </si>
  <si>
    <t>LER:  -</t>
  </si>
  <si>
    <t>S-T Curve Data</t>
  </si>
  <si>
    <t>Torque (%)</t>
  </si>
  <si>
    <t>INDUCTION MOTOR DATA SHEET</t>
  </si>
  <si>
    <t>BS2M25U</t>
  </si>
  <si>
    <t>HRW / Model Number:</t>
  </si>
  <si>
    <t>M253TCQL11F-C</t>
  </si>
  <si>
    <t>Type: TIKE - Form: FCKNW - 2 Pole - 1250 HP - 4000 V - 60 Hz - 5811/12UDZ - Class F</t>
  </si>
  <si>
    <t>Motor Type Selection</t>
  </si>
  <si>
    <t>Electrical Steel Table</t>
  </si>
  <si>
    <t>Motor Parameters</t>
  </si>
  <si>
    <t>PERFORMANCE</t>
  </si>
  <si>
    <t>DESIGN</t>
  </si>
  <si>
    <t>TEST</t>
  </si>
  <si>
    <t>EPACT</t>
  </si>
  <si>
    <t>M22 - 26Ga.</t>
  </si>
  <si>
    <t>NL &amp; Impedance Test</t>
  </si>
  <si>
    <t>EQP-III</t>
  </si>
  <si>
    <t>M36 - 26Ga.</t>
  </si>
  <si>
    <t>No load amps</t>
  </si>
  <si>
    <t>Exp.Prf.</t>
  </si>
  <si>
    <t>NCB1 - 26Ga.</t>
  </si>
  <si>
    <t>Stack length</t>
  </si>
  <si>
    <t>No load watts</t>
  </si>
  <si>
    <t>Exp.Prf.-EQPIII</t>
  </si>
  <si>
    <t>M43 - 26Ga.</t>
  </si>
  <si>
    <t>Number of turns per coil</t>
  </si>
  <si>
    <t>Impedance amps</t>
  </si>
  <si>
    <t>f</t>
  </si>
  <si>
    <t>Prem. Eff.</t>
  </si>
  <si>
    <t>M45 - 26Ga.</t>
  </si>
  <si>
    <r>
      <t>Wire 1 (</t>
    </r>
    <r>
      <rPr>
        <b/>
        <i/>
        <sz val="10"/>
        <color indexed="8"/>
        <rFont val="Times New Roman"/>
        <family val="1"/>
      </rPr>
      <t>061-0023-04</t>
    </r>
    <r>
      <rPr>
        <i/>
        <sz val="10"/>
        <color indexed="8"/>
        <rFont val="Times New Roman"/>
        <family val="1"/>
      </rPr>
      <t>)</t>
    </r>
  </si>
  <si>
    <t>Impedance volts</t>
  </si>
  <si>
    <t>Standard Eff.</t>
  </si>
  <si>
    <t>M54 - 26Ga.</t>
  </si>
  <si>
    <r>
      <t>Wire 2 (</t>
    </r>
    <r>
      <rPr>
        <b/>
        <i/>
        <sz val="10"/>
        <color indexed="8"/>
        <rFont val="Times New Roman"/>
        <family val="1"/>
      </rPr>
      <t>061-0020-07</t>
    </r>
    <r>
      <rPr>
        <i/>
        <sz val="10"/>
        <color indexed="8"/>
        <rFont val="Times New Roman"/>
        <family val="1"/>
      </rPr>
      <t>)</t>
    </r>
  </si>
  <si>
    <t>Impedance watts</t>
  </si>
  <si>
    <t>OWP</t>
  </si>
  <si>
    <t>TIPA Lam</t>
  </si>
  <si>
    <r>
      <t xml:space="preserve">Slot fill - </t>
    </r>
    <r>
      <rPr>
        <i/>
        <sz val="9"/>
        <color indexed="8"/>
        <rFont val="Times New Roman"/>
        <family val="1"/>
      </rPr>
      <t>circle/square method (%)</t>
    </r>
  </si>
  <si>
    <t>Temperature Rise (°C)</t>
  </si>
  <si>
    <t>Dry Kiln</t>
  </si>
  <si>
    <t>1 x Delta</t>
  </si>
  <si>
    <t>Winding</t>
  </si>
  <si>
    <t>80/115</t>
  </si>
  <si>
    <t>72 / 95</t>
  </si>
  <si>
    <t>Allowance for ins. depth</t>
  </si>
  <si>
    <t xml:space="preserve">Bearing  PS/OS </t>
  </si>
  <si>
    <t>Allowance for ins. width</t>
  </si>
  <si>
    <t>Slot/Wire arrangement</t>
  </si>
  <si>
    <t>18 x 2</t>
  </si>
  <si>
    <t>Nameplate Data</t>
  </si>
  <si>
    <t>Effective cross section for coil</t>
  </si>
  <si>
    <t>FLC (A)</t>
  </si>
  <si>
    <t>Coil grouping</t>
  </si>
  <si>
    <t>Coil pitch (slot number)</t>
  </si>
  <si>
    <t>CODE</t>
  </si>
  <si>
    <t>Method of coil connection</t>
  </si>
  <si>
    <t>S. F.</t>
  </si>
  <si>
    <t>Method of Connection</t>
  </si>
  <si>
    <t>Resistance per phase @ 20 °C</t>
  </si>
  <si>
    <t>Skip</t>
  </si>
  <si>
    <t>Coil Weight</t>
  </si>
  <si>
    <t>Wire1</t>
  </si>
  <si>
    <t xml:space="preserve">Nom.Eff. (%): </t>
  </si>
  <si>
    <t>Adjacent</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</si>
  <si>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</si>
  <si>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</si>
  <si>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</si>
  <si>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</si>
  <si>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</si>
  <si>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</si>
  <si>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</si>
  <si>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315 / 1958</t>
  </si>
  <si>
    <t>481 / 506</t>
  </si>
  <si>
    <t>Stator Slot Shape                                      (Reference)</t>
  </si>
  <si>
    <t>Performance</t>
  </si>
  <si>
    <t>LRC (A)</t>
  </si>
  <si>
    <t xml:space="preserve"> - </t>
  </si>
  <si>
    <t>LRT (%)</t>
  </si>
  <si>
    <t>BDT (%)</t>
  </si>
  <si>
    <t>SLIP (%)</t>
  </si>
  <si>
    <t>IEEE-B</t>
  </si>
  <si>
    <t>Eff. (%)</t>
  </si>
  <si>
    <t>Rotor Slot Shape                                       (Reference)</t>
  </si>
  <si>
    <t>PF (%)</t>
  </si>
  <si>
    <t>Losses (Watts)</t>
  </si>
  <si>
    <t>Core</t>
  </si>
  <si>
    <t>F &amp; W</t>
  </si>
  <si>
    <t xml:space="preserve">Stray </t>
  </si>
  <si>
    <t>End Ring                                                   (Reference)</t>
  </si>
  <si>
    <t>Note</t>
  </si>
  <si>
    <t>RNP OF BS2M25U</t>
  </si>
  <si>
    <t xml:space="preserve">LINK: </t>
  </si>
  <si>
    <t>H040052.RAT &amp; LAB 1125 &amp; 1126.DAT</t>
  </si>
  <si>
    <t>RSO2: 400-N157-01</t>
  </si>
  <si>
    <t>350-N129-05</t>
  </si>
  <si>
    <t>Approved</t>
  </si>
  <si>
    <t>Design</t>
  </si>
  <si>
    <t>A.GRACIA</t>
  </si>
  <si>
    <t>Date</t>
  </si>
  <si>
    <t>REV0. FIRST ISSUE</t>
  </si>
  <si>
    <t>Rating:</t>
  </si>
  <si>
    <t>2 Pole - 1250.0 HP - 3600 RPM - 4000 V - 60 Hz</t>
  </si>
  <si>
    <t>Starting Performance</t>
  </si>
  <si>
    <t>Load Type: Fan / Pump - 790.4 lb-ft²</t>
  </si>
  <si>
    <t>Motor</t>
  </si>
  <si>
    <t xml:space="preserve">Load </t>
  </si>
  <si>
    <t>Accel.</t>
  </si>
  <si>
    <t xml:space="preserve"> Line</t>
  </si>
  <si>
    <t>Stator</t>
  </si>
  <si>
    <t>Rotor</t>
  </si>
  <si>
    <t>Speed Increment</t>
  </si>
  <si>
    <t>Time (s)</t>
  </si>
  <si>
    <t>kW / s</t>
  </si>
  <si>
    <t>0~364</t>
  </si>
  <si>
    <t>90.1</t>
  </si>
  <si>
    <t>22.5</t>
  </si>
  <si>
    <t>0.966</t>
  </si>
  <si>
    <t>943.2</t>
  </si>
  <si>
    <t>268.3</t>
  </si>
  <si>
    <t>834.2</t>
  </si>
  <si>
    <t>364~728</t>
  </si>
  <si>
    <t>90.3</t>
  </si>
  <si>
    <t>11.4</t>
  </si>
  <si>
    <t>0.829</t>
  </si>
  <si>
    <t>939.4</t>
  </si>
  <si>
    <t>228.4</t>
  </si>
  <si>
    <t>644.4</t>
  </si>
  <si>
    <t>728~1091</t>
  </si>
  <si>
    <t>90.7</t>
  </si>
  <si>
    <t>7.0</t>
  </si>
  <si>
    <t>0.780</t>
  </si>
  <si>
    <t>935.1</t>
  </si>
  <si>
    <t>213.2</t>
  </si>
  <si>
    <t>540.1</t>
  </si>
  <si>
    <t>1091~1455</t>
  </si>
  <si>
    <t>91.3</t>
  </si>
  <si>
    <t>7.2</t>
  </si>
  <si>
    <t>0.777</t>
  </si>
  <si>
    <t>930.1</t>
  </si>
  <si>
    <t>210.1</t>
  </si>
  <si>
    <t>471.9</t>
  </si>
  <si>
    <t>1455~1819</t>
  </si>
  <si>
    <t>92.3</t>
  </si>
  <si>
    <t>11.3</t>
  </si>
  <si>
    <t>0.807</t>
  </si>
  <si>
    <t>924.5</t>
  </si>
  <si>
    <t>215.9</t>
  </si>
  <si>
    <t>423.0</t>
  </si>
  <si>
    <t>1819~2183</t>
  </si>
  <si>
    <t>93.8</t>
  </si>
  <si>
    <t>18.6</t>
  </si>
  <si>
    <t>0.869</t>
  </si>
  <si>
    <t>918.3</t>
  </si>
  <si>
    <t>229.3</t>
  </si>
  <si>
    <t>382.8</t>
  </si>
  <si>
    <t>2183~2547</t>
  </si>
  <si>
    <t>96.2</t>
  </si>
  <si>
    <t>28.5</t>
  </si>
  <si>
    <t>0.965</t>
  </si>
  <si>
    <t>911.3</t>
  </si>
  <si>
    <t>251.2</t>
  </si>
  <si>
    <t>345.0</t>
  </si>
  <si>
    <t>2547~2910</t>
  </si>
  <si>
    <t>101.1</t>
  </si>
  <si>
    <t>43.1</t>
  </si>
  <si>
    <t>1.124</t>
  </si>
  <si>
    <t>901.6</t>
  </si>
  <si>
    <t>287.9</t>
  </si>
  <si>
    <t>308.2</t>
  </si>
  <si>
    <t>2910~3092</t>
  </si>
  <si>
    <t>110.7</t>
  </si>
  <si>
    <t>57.6</t>
  </si>
  <si>
    <t>0.615</t>
  </si>
  <si>
    <t>889.0</t>
  </si>
  <si>
    <t>153.4</t>
  </si>
  <si>
    <t>236.4</t>
  </si>
  <si>
    <t>3092~3274</t>
  </si>
  <si>
    <t>131.8</t>
  </si>
  <si>
    <t>69.9</t>
  </si>
  <si>
    <t>0.528</t>
  </si>
  <si>
    <t>865.8</t>
  </si>
  <si>
    <t>127.7</t>
  </si>
  <si>
    <t>166.8</t>
  </si>
  <si>
    <t>3274~3456</t>
  </si>
  <si>
    <t>180.9</t>
  </si>
  <si>
    <t>83.1</t>
  </si>
  <si>
    <t>0.334</t>
  </si>
  <si>
    <t>785.8</t>
  </si>
  <si>
    <t>74.9</t>
  </si>
  <si>
    <t>85.1</t>
  </si>
  <si>
    <t>3456~3571</t>
  </si>
  <si>
    <t>162.3</t>
  </si>
  <si>
    <t>94.1</t>
  </si>
  <si>
    <t>0.303</t>
  </si>
  <si>
    <t>480.3</t>
  </si>
  <si>
    <t>49.1</t>
  </si>
  <si>
    <t>78.9</t>
  </si>
  <si>
    <t>3571~3580</t>
  </si>
  <si>
    <t>104.8</t>
  </si>
  <si>
    <t>99.2</t>
  </si>
  <si>
    <t>0.291</t>
  </si>
  <si>
    <t>145.6</t>
  </si>
  <si>
    <t>2.1</t>
  </si>
  <si>
    <t>67.3</t>
  </si>
  <si>
    <t>Acceleration Time:  9.2 s</t>
  </si>
  <si>
    <t>Energy</t>
  </si>
  <si>
    <t>First Start</t>
  </si>
  <si>
    <t>Second Start</t>
  </si>
  <si>
    <t>Stator Winding Rise</t>
  </si>
  <si>
    <t>2312 kW / s</t>
  </si>
  <si>
    <t>22°C</t>
  </si>
  <si>
    <t>43°C</t>
  </si>
  <si>
    <t>Rotor Bar Rise</t>
  </si>
  <si>
    <t>4128 kW / s</t>
  </si>
  <si>
    <t>124°C</t>
  </si>
  <si>
    <t>249°C</t>
  </si>
  <si>
    <t>End Ring Rise</t>
  </si>
  <si>
    <t>456 kW / s</t>
  </si>
  <si>
    <t>45°C</t>
  </si>
  <si>
    <t>90°C</t>
  </si>
  <si>
    <t>Locked Rotor Thermal Capability</t>
  </si>
  <si>
    <t>Cold Condition</t>
  </si>
  <si>
    <t>Rate of Rise</t>
  </si>
  <si>
    <t>Power</t>
  </si>
  <si>
    <t>Rise Limit</t>
  </si>
  <si>
    <t>Max Time</t>
  </si>
  <si>
    <t>Stator Copper</t>
  </si>
  <si>
    <t>3.1°C / s</t>
  </si>
  <si>
    <t>327.9 kW</t>
  </si>
  <si>
    <t>160°C</t>
  </si>
  <si>
    <t>52.1 s</t>
  </si>
  <si>
    <t>Rotor Bar</t>
  </si>
  <si>
    <t>22.8°C / s</t>
  </si>
  <si>
    <t>755.8 kW</t>
  </si>
  <si>
    <t>260°C</t>
  </si>
  <si>
    <t>11.4 s</t>
  </si>
  <si>
    <t>Rotor ER</t>
  </si>
  <si>
    <t>8.2°C / s</t>
  </si>
  <si>
    <t>83.4 kW</t>
  </si>
  <si>
    <t>180°C</t>
  </si>
  <si>
    <t>22.0 s</t>
  </si>
  <si>
    <t>Hot Condition</t>
  </si>
  <si>
    <t>Hot Temp.</t>
  </si>
  <si>
    <t>Ambient</t>
  </si>
  <si>
    <t>Max.Time</t>
  </si>
  <si>
    <t>72°C    +</t>
  </si>
  <si>
    <t>88°C    +</t>
  </si>
  <si>
    <t>=    200°C</t>
  </si>
  <si>
    <t>28.6 s</t>
  </si>
  <si>
    <t>97°C    +</t>
  </si>
  <si>
    <t>163°C   +</t>
  </si>
  <si>
    <t>=    300°C</t>
  </si>
  <si>
    <t>7.2 s</t>
  </si>
  <si>
    <t>83°C   +</t>
  </si>
  <si>
    <t>=    220°C</t>
  </si>
  <si>
    <t>10.2 s</t>
  </si>
  <si>
    <t>Cold Stall Time:</t>
  </si>
  <si>
    <t>17.4 s</t>
  </si>
  <si>
    <t>Hot Stall Time:</t>
  </si>
  <si>
    <t>8.0 s</t>
  </si>
  <si>
    <t>LAB N2501MTR47</t>
  </si>
  <si>
    <t>N2501MTR47</t>
  </si>
  <si>
    <t>V</t>
  </si>
  <si>
    <t>I</t>
  </si>
  <si>
    <t>logV</t>
  </si>
  <si>
    <t>logI</t>
  </si>
  <si>
    <t>%FLA</t>
  </si>
  <si>
    <t>A1-10136700</t>
  </si>
  <si>
    <t>TOP HAT: 135-N201-121USS GREATER THAN 85dBA BUT LESS THAN 90dBA</t>
  </si>
  <si>
    <t>TOP- HAT 135-N213-112316 FOR 85dBA</t>
  </si>
  <si>
    <t>NOT SUITABLE FOR API IF DOL</t>
  </si>
  <si>
    <t>135-N213-105 TOP HAT PRODUCED 82.2 dBA (see A1-10136699 LAB RT-51926 (new fan cover)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</si>
</sst>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General_)"/>
    <numFmt numFmtId="165" formatCode="0.0"/>
    <numFmt numFmtId="166" formatCode="0.000"/>
    <numFmt numFmtId="167" formatCode="0.0%"/>
    <numFmt numFmtId="168" formatCode="0.00000"/>
    <numFmt numFmtId="169" formatCode="0.0000"/>
    <numFmt numFmtId="170" formatCode=".0000"/>
  </numFmts>
  <fonts count="76">
    <font>
      <sz val="14"/>
      <color theme="1"/>
      <name val="Aptos Narrow"/>
      <family val="2"/>
      <scheme val="minor"/>
    </font>
    <font>
      <sz val="12"/>
      <name val="Helv"/>
    </font>
    <font>
      <sz val="14"/>
      <name val="Univers (W1)"/>
      <family val="2"/>
    </font>
    <font>
      <sz val="8"/>
      <name val="Univers (W1)"/>
      <family val="2"/>
    </font>
    <font>
      <sz val="10"/>
      <name val="Univers (W1)"/>
      <family val="2"/>
    </font>
    <font>
      <sz val="12"/>
      <name val="Univers (W1)"/>
      <family val="2"/>
    </font>
    <font>
      <sz val="15"/>
      <name val="Univers (W1)"/>
      <family val="2"/>
    </font>
    <font>
      <sz val="12"/>
      <name val="Script"/>
      <family val="4"/>
      <charset val="255"/>
    </font>
    <font>
      <sz val="9"/>
      <name val="Univers (W1)"/>
      <family val="2"/>
    </font>
    <font>
      <sz val="13"/>
      <name val="Univers (W1)"/>
      <family val="2"/>
    </font>
    <font>
      <b/>
      <sz val="10"/>
      <name val="Univers (W1)"/>
      <family val="2"/>
    </font>
    <font>
      <sz val="9"/>
      <name val="Univers (W1)"/>
    </font>
    <font>
      <b/>
      <sz val="13"/>
      <name val="Univers (W1)"/>
      <family val="2"/>
    </font>
    <font>
      <sz val="12"/>
      <name val="Lucida Handwriting"/>
      <family val="4"/>
    </font>
    <font>
      <sz val="12"/>
      <name val="Univers (W1)"/>
    </font>
    <font>
      <sz val="10"/>
      <name val="Arial"/>
      <family val="2"/>
    </font>
    <font>
      <sz val="14"/>
      <name val="Times New Roman"/>
      <family val="1"/>
    </font>
    <font>
      <b/>
      <u/>
      <sz val="22"/>
      <name val="Times New Roman"/>
      <family val="1"/>
    </font>
    <font>
      <b/>
      <u/>
      <sz val="16"/>
      <name val="Times New Roman"/>
      <family val="1"/>
    </font>
    <font>
      <b/>
      <i/>
      <sz val="14"/>
      <name val="Times New Roman"/>
      <family val="1"/>
    </font>
    <font>
      <sz val="10"/>
      <name val="Times New Roman"/>
      <family val="1"/>
    </font>
    <font>
      <i/>
      <sz val="10"/>
      <name val="Times New Roman"/>
      <family val="1"/>
    </font>
    <font>
      <b/>
      <i/>
      <u/>
      <sz val="14"/>
      <name val="Times New Roman"/>
      <family val="1"/>
    </font>
    <font>
      <sz val="10"/>
      <color indexed="9"/>
      <name val="Arial"/>
      <family val="2"/>
    </font>
    <font>
      <sz val="10"/>
      <color indexed="8"/>
      <name val="Arial"/>
      <family val="2"/>
    </font>
    <font>
      <sz val="10"/>
      <color indexed="10"/>
      <name val="Arial"/>
      <family val="2"/>
    </font>
    <font>
      <b/>
      <sz val="14"/>
      <name val="Times New Roman"/>
      <family val="1"/>
    </font>
    <font>
      <i/>
      <sz val="9"/>
      <name val="Times New Roman"/>
      <family val="1"/>
    </font>
    <font>
      <b/>
      <i/>
      <sz val="10"/>
      <name val="Times New Roman"/>
      <family val="1"/>
    </font>
    <font>
      <b/>
      <sz val="10"/>
      <name val="Times New Roman"/>
      <family val="1"/>
    </font>
    <font>
      <i/>
      <vertAlign val="superscript"/>
      <sz val="10"/>
      <name val="Times New Roman"/>
      <family val="1"/>
    </font>
    <font>
      <sz val="10"/>
      <color theme="1"/>
      <name val="Times New Roman"/>
      <family val="1"/>
    </font>
    <font>
      <b/>
      <sz val="10"/>
      <color indexed="12"/>
      <name val="Arial"/>
      <family val="2"/>
    </font>
    <font>
      <sz val="10"/>
      <color theme="3"/>
      <name val="Times New Roman"/>
      <family val="1"/>
    </font>
    <font>
      <vertAlign val="superscript"/>
      <sz val="10"/>
      <name val="Arial"/>
      <family val="2"/>
    </font>
    <font>
      <sz val="8"/>
      <name val="Times New Roman"/>
      <family val="1"/>
    </font>
    <font>
      <sz val="12"/>
      <name val="Arial"/>
      <family val="2"/>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b/>
      <i/>
      <sz val="10"/>
      <color indexed="8"/>
      <name val="Times New Roman"/>
      <family val="1"/>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u/>
      <sz val="10"/>
      <color indexed="8"/>
      <name val="Univers (W1)"/>
    </font>
    <font>
      <sz val="20"/>
      <color indexed="8"/>
      <name val="WP Greek Century"/>
      <charset val="2"/>
    </font>
    <font>
      <sz val="10"/>
      <color indexed="8"/>
      <name val="WP Greek Century"/>
      <charset val="2"/>
    </font>
    <font>
      <b/>
      <i/>
      <sz val="12"/>
      <color indexed="8"/>
      <name val="Brush Script MT"/>
      <family val="4"/>
    </font>
    <font>
      <b/>
      <i/>
      <sz val="12"/>
      <color indexed="8"/>
      <name val="Bradley Hand ITC"/>
      <family val="4"/>
    </font>
    <font>
      <b/>
      <sz val="8"/>
      <color indexed="81"/>
      <name val="Tahoma"/>
      <family val="2"/>
    </font>
    <font>
      <sz val="8"/>
      <color indexed="81"/>
      <name val="Tahoma"/>
      <family val="2"/>
    </font>
    <font>
      <sz val="12"/>
      <name val="Times New Roman"/>
      <family val="1"/>
    </font>
    <font>
      <i/>
      <sz val="12"/>
      <name val="Times New Roman"/>
      <family val="1"/>
    </font>
    <font>
      <b/>
      <i/>
      <sz val="12"/>
      <name val="Times New Roman"/>
      <family val="1"/>
    </font>
    <font>
      <sz val="14"/>
      <color theme="1"/>
      <name val="Aptos Narrow"/>
      <family val="2"/>
      <scheme val="minor"/>
    </font>
    <font>
      <b/>
      <sz val="11"/>
      <color rgb="FFFF0000"/>
      <name val="Times New Roman"/>
      <family val="1"/>
    </font>
    <font>
      <b/>
      <sz val="14"/>
      <color rgb="FFFF0000"/>
      <name val="Times New Roman"/>
      <family val="1"/>
    </font>
    <font>
      <b/>
      <sz val="11"/>
      <color rgb="FFFF0000"/>
      <name val="Univers (W1)"/>
    </font>
    <font>
      <b/>
      <sz val="18"/>
      <color rgb="FFFF0000"/>
      <name val="Times New Roman"/>
      <family val="1"/>
    </font>
  </fonts>
  <fills count="10">
    <fill>
      <patternFill patternType="none"/>
    </fill>
    <fill>
      <patternFill patternType="gray125"/>
    </fill>
    <fill>
      <patternFill patternType="solid">
        <fgColor indexed="9"/>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6" tint="0.59996337778862885"/>
        <bgColor indexed="64"/>
      </patternFill>
    </fill>
    <fill>
      <patternFill patternType="solid">
        <fgColor rgb="FFFFFF99"/>
        <bgColor indexed="64"/>
      </patternFill>
    </fill>
    <fill>
      <patternFill patternType="solid">
        <fgColor theme="9" tint="0.59996337778862885"/>
        <bgColor indexed="64"/>
      </patternFill>
    </fill>
    <fill>
      <patternFill patternType="solid">
        <fgColor rgb="FF92D050"/>
        <bgColor indexed="64"/>
      </patternFill>
    </fill>
    <fill>
      <patternFill patternType="solid">
        <fgColor rgb="FFFFFF00"/>
        <bgColor indexed="64"/>
      </patternFill>
    </fill>
  </fills>
  <borders count="14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uble">
        <color indexed="8"/>
      </bottom>
      <diagonal/>
    </border>
    <border>
      <left/>
      <right/>
      <top style="medium">
        <color indexed="64"/>
      </top>
      <bottom style="double">
        <color indexed="8"/>
      </bottom>
      <diagonal/>
    </border>
    <border>
      <left/>
      <right style="medium">
        <color indexed="64"/>
      </right>
      <top style="medium">
        <color indexed="64"/>
      </top>
      <bottom style="double">
        <color indexed="8"/>
      </bottom>
      <diagonal/>
    </border>
    <border>
      <left/>
      <right style="medium">
        <color indexed="64"/>
      </right>
      <top/>
      <bottom/>
      <diagonal/>
    </border>
    <border>
      <left/>
      <right style="thin">
        <color indexed="64"/>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ashed">
        <color indexed="64"/>
      </top>
      <bottom style="dashed">
        <color indexed="64"/>
      </bottom>
      <diagonal/>
    </border>
    <border>
      <left style="medium">
        <color indexed="64"/>
      </left>
      <right/>
      <top style="dashed">
        <color indexed="64"/>
      </top>
      <bottom/>
      <diagonal/>
    </border>
    <border>
      <left style="medium">
        <color indexed="64"/>
      </left>
      <right/>
      <top/>
      <bottom style="dashed">
        <color indexed="64"/>
      </bottom>
      <diagonal/>
    </border>
    <border>
      <left/>
      <right/>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right style="medium">
        <color indexed="64"/>
      </right>
      <top/>
      <bottom style="hair">
        <color indexed="23"/>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style="hair">
        <color indexed="23"/>
      </left>
      <right style="medium">
        <color indexed="64"/>
      </right>
      <top style="hair">
        <color indexed="23"/>
      </top>
      <bottom style="hair">
        <color indexed="55"/>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s>
  <cellStyleXfs count="6">
    <xf numFmtId="0" fontId="0" fillId="0" borderId="0"/>
    <xf numFmtId="164" fontId="1" fillId="0" borderId="0"/>
    <xf numFmtId="0" fontId="15" fillId="0" borderId="0"/>
    <xf numFmtId="0" fontId="14" fillId="0" borderId="0"/>
    <xf numFmtId="0" fontId="14" fillId="0" borderId="0"/>
    <xf numFmtId="9" fontId="71" fillId="0" borderId="0" applyFont="0" applyFill="0" applyBorder="0" applyAlignment="0" applyProtection="0"/>
  </cellStyleXfs>
  <cellXfs count="592">
    <xf numFmtId="0" fontId="0" fillId="0" borderId="0" xfId="0"/>
    <xf numFmtId="164" fontId="2" fillId="0" borderId="1" xfId="1" applyFont="1" applyBorder="1" applyAlignment="1">
      <alignment horizontal="centerContinuous"/>
    </xf>
    <xf numFmtId="164" fontId="2" fillId="0" borderId="2" xfId="1" applyFont="1" applyBorder="1" applyAlignment="1">
      <alignment horizontal="centerContinuous"/>
    </xf>
    <xf numFmtId="164" fontId="3" fillId="0" borderId="3" xfId="1" applyFont="1" applyBorder="1" applyAlignment="1">
      <alignment horizontal="left"/>
    </xf>
    <xf numFmtId="164" fontId="4" fillId="0" borderId="4" xfId="1" applyFont="1" applyBorder="1"/>
    <xf numFmtId="164" fontId="3" fillId="0" borderId="5" xfId="1" applyFont="1" applyBorder="1" applyAlignment="1">
      <alignment horizontal="centerContinuous"/>
    </xf>
    <xf numFmtId="164" fontId="4" fillId="0" borderId="6" xfId="1" applyFont="1" applyBorder="1" applyAlignment="1">
      <alignment horizontal="centerContinuous"/>
    </xf>
    <xf numFmtId="164" fontId="5" fillId="0" borderId="0" xfId="1" applyFont="1"/>
    <xf numFmtId="164" fontId="1" fillId="0" borderId="0" xfId="1"/>
    <xf numFmtId="164" fontId="2" fillId="0" borderId="7" xfId="1" applyFont="1" applyBorder="1" applyAlignment="1">
      <alignment horizontal="centerContinuous"/>
    </xf>
    <xf numFmtId="164" fontId="2" fillId="0" borderId="0" xfId="1" applyFont="1" applyAlignment="1">
      <alignment horizontal="centerContinuous"/>
    </xf>
    <xf numFmtId="164" fontId="3" fillId="0" borderId="8" xfId="1" applyFont="1" applyBorder="1" applyAlignment="1">
      <alignment horizontal="left"/>
    </xf>
    <xf numFmtId="164" fontId="4" fillId="0" borderId="9" xfId="1" applyFont="1" applyBorder="1"/>
    <xf numFmtId="164" fontId="3" fillId="0" borderId="10" xfId="1" applyFont="1" applyBorder="1" applyAlignment="1">
      <alignment horizontal="centerContinuous"/>
    </xf>
    <xf numFmtId="164" fontId="4" fillId="0" borderId="11" xfId="1" applyFont="1" applyBorder="1" applyAlignment="1">
      <alignment horizontal="centerContinuous"/>
    </xf>
    <xf numFmtId="164" fontId="4" fillId="0" borderId="7" xfId="1" applyFont="1" applyBorder="1" applyAlignment="1">
      <alignment horizontal="centerContinuous"/>
    </xf>
    <xf numFmtId="164" fontId="4" fillId="0" borderId="0" xfId="1" applyFont="1" applyAlignment="1">
      <alignment horizontal="centerContinuous"/>
    </xf>
    <xf numFmtId="164" fontId="3" fillId="0" borderId="10" xfId="1" quotePrefix="1" applyFont="1" applyBorder="1" applyAlignment="1">
      <alignment horizontal="centerContinuous"/>
    </xf>
    <xf numFmtId="164" fontId="6" fillId="0" borderId="7" xfId="1" applyFont="1" applyBorder="1" applyAlignment="1">
      <alignment horizontal="centerContinuous"/>
    </xf>
    <xf numFmtId="164" fontId="5" fillId="0" borderId="7" xfId="1" applyFont="1" applyBorder="1" applyAlignment="1">
      <alignment horizontal="centerContinuous"/>
    </xf>
    <xf numFmtId="164" fontId="5" fillId="0" borderId="12" xfId="1" applyFont="1" applyBorder="1" applyAlignment="1">
      <alignment horizontal="centerContinuous"/>
    </xf>
    <xf numFmtId="164" fontId="4" fillId="0" borderId="13" xfId="1" applyFont="1" applyBorder="1" applyAlignment="1">
      <alignment horizontal="centerContinuous"/>
    </xf>
    <xf numFmtId="164" fontId="3" fillId="0" borderId="12" xfId="1" applyFont="1" applyBorder="1" applyAlignment="1">
      <alignment horizontal="left"/>
    </xf>
    <xf numFmtId="164" fontId="4" fillId="0" borderId="14" xfId="1" applyFont="1" applyBorder="1"/>
    <xf numFmtId="164" fontId="7" fillId="0" borderId="13" xfId="1" applyFont="1" applyBorder="1" applyAlignment="1">
      <alignment horizontal="centerContinuous"/>
    </xf>
    <xf numFmtId="164" fontId="4" fillId="0" borderId="15" xfId="1" applyFont="1" applyBorder="1" applyAlignment="1">
      <alignment horizontal="centerContinuous"/>
    </xf>
    <xf numFmtId="164" fontId="5" fillId="0" borderId="0" xfId="1" applyFont="1" applyAlignment="1">
      <alignment horizontal="centerContinuous"/>
    </xf>
    <xf numFmtId="164" fontId="3" fillId="0" borderId="0" xfId="1" applyFont="1" applyAlignment="1">
      <alignment horizontal="left"/>
    </xf>
    <xf numFmtId="164" fontId="4" fillId="0" borderId="0" xfId="1" applyFont="1"/>
    <xf numFmtId="164" fontId="3" fillId="0" borderId="0" xfId="1" applyFont="1" applyAlignment="1">
      <alignment horizontal="centerContinuous"/>
    </xf>
    <xf numFmtId="164" fontId="8" fillId="0" borderId="0" xfId="1" applyFont="1"/>
    <xf numFmtId="164" fontId="8" fillId="0" borderId="0" xfId="1" applyFont="1" applyAlignment="1">
      <alignment horizontal="right"/>
    </xf>
    <xf numFmtId="164" fontId="8" fillId="0" borderId="0" xfId="1" applyFont="1" applyAlignment="1" applyProtection="1">
      <alignment horizontal="left"/>
      <protection locked="0"/>
    </xf>
    <xf numFmtId="164" fontId="8" fillId="0" borderId="0" xfId="1" applyFont="1" applyAlignment="1">
      <alignment horizontal="centerContinuous"/>
    </xf>
    <xf numFmtId="164" fontId="8" fillId="0" borderId="0" xfId="1" applyFont="1" applyAlignment="1">
      <alignment horizontal="left"/>
    </xf>
    <xf numFmtId="49" fontId="8" fillId="0" borderId="0" xfId="1" quotePrefix="1" applyNumberFormat="1" applyFont="1" applyAlignment="1" applyProtection="1">
      <alignment horizontal="left"/>
      <protection locked="0"/>
    </xf>
    <xf numFmtId="164" fontId="9" fillId="0" borderId="16" xfId="1" applyFont="1" applyBorder="1" applyAlignment="1">
      <alignment horizontal="centerContinuous"/>
    </xf>
    <xf numFmtId="164" fontId="5" fillId="0" borderId="17" xfId="1" applyFont="1" applyBorder="1" applyAlignment="1">
      <alignment horizontal="centerContinuous"/>
    </xf>
    <xf numFmtId="164" fontId="5" fillId="0" borderId="18" xfId="1" applyFont="1" applyBorder="1" applyAlignment="1">
      <alignment horizontal="centerContinuous"/>
    </xf>
    <xf numFmtId="164" fontId="8" fillId="0" borderId="7" xfId="1" applyFont="1" applyBorder="1"/>
    <xf numFmtId="164" fontId="8" fillId="0" borderId="0" xfId="1" applyFont="1" applyAlignment="1" applyProtection="1">
      <alignment horizontal="center"/>
      <protection locked="0"/>
    </xf>
    <xf numFmtId="164" fontId="8" fillId="0" borderId="19" xfId="1" applyFont="1" applyBorder="1" applyAlignment="1" applyProtection="1">
      <alignment horizontal="center"/>
      <protection locked="0"/>
    </xf>
    <xf numFmtId="164" fontId="8" fillId="0" borderId="0" xfId="1" applyFont="1" applyAlignment="1">
      <alignment horizontal="center"/>
    </xf>
    <xf numFmtId="49" fontId="8" fillId="0" borderId="0" xfId="1" applyNumberFormat="1" applyFont="1" applyAlignment="1">
      <alignment horizontal="center"/>
    </xf>
    <xf numFmtId="164" fontId="8" fillId="0" borderId="0" xfId="1" quotePrefix="1" applyFont="1" applyAlignment="1">
      <alignment horizontal="right"/>
    </xf>
    <xf numFmtId="164" fontId="8" fillId="0" borderId="0" xfId="1" quotePrefix="1" applyFont="1" applyAlignment="1" applyProtection="1">
      <alignment horizontal="center"/>
      <protection locked="0"/>
    </xf>
    <xf numFmtId="164" fontId="8" fillId="0" borderId="19" xfId="1" applyFont="1" applyBorder="1"/>
    <xf numFmtId="164" fontId="8" fillId="0" borderId="12" xfId="1" applyFont="1" applyBorder="1"/>
    <xf numFmtId="164" fontId="8" fillId="0" borderId="13" xfId="1" applyFont="1" applyBorder="1" applyAlignment="1">
      <alignment horizontal="right"/>
    </xf>
    <xf numFmtId="165" fontId="8" fillId="0" borderId="13" xfId="1" quotePrefix="1" applyNumberFormat="1" applyFont="1" applyBorder="1" applyAlignment="1" applyProtection="1">
      <alignment horizontal="center"/>
      <protection locked="0"/>
    </xf>
    <xf numFmtId="164" fontId="8" fillId="0" borderId="13" xfId="1" applyFont="1" applyBorder="1"/>
    <xf numFmtId="165" fontId="8" fillId="0" borderId="13" xfId="1" applyNumberFormat="1" applyFont="1" applyBorder="1"/>
    <xf numFmtId="164" fontId="8" fillId="0" borderId="15" xfId="1" applyFont="1" applyBorder="1"/>
    <xf numFmtId="164" fontId="10" fillId="0" borderId="7" xfId="1" quotePrefix="1" applyFont="1" applyBorder="1" applyAlignment="1">
      <alignment horizontal="left"/>
    </xf>
    <xf numFmtId="164" fontId="4" fillId="0" borderId="0" xfId="1" quotePrefix="1" applyFont="1" applyAlignment="1">
      <alignment horizontal="right"/>
    </xf>
    <xf numFmtId="164" fontId="4" fillId="0" borderId="20" xfId="1" applyFont="1" applyBorder="1"/>
    <xf numFmtId="164" fontId="10" fillId="0" borderId="0" xfId="1" applyFont="1" applyAlignment="1">
      <alignment horizontal="left"/>
    </xf>
    <xf numFmtId="164" fontId="4" fillId="0" borderId="0" xfId="1" applyFont="1" applyAlignment="1">
      <alignment horizontal="right"/>
    </xf>
    <xf numFmtId="164" fontId="4" fillId="0" borderId="20" xfId="1" applyFont="1" applyBorder="1" applyAlignment="1">
      <alignment horizontal="right"/>
    </xf>
    <xf numFmtId="164" fontId="10" fillId="0" borderId="0" xfId="1" quotePrefix="1" applyFont="1" applyAlignment="1">
      <alignment horizontal="left"/>
    </xf>
    <xf numFmtId="164" fontId="4" fillId="0" borderId="19" xfId="1" applyFont="1" applyBorder="1"/>
    <xf numFmtId="164" fontId="1" fillId="0" borderId="7" xfId="1" applyBorder="1"/>
    <xf numFmtId="164" fontId="8" fillId="0" borderId="20" xfId="1" applyFont="1" applyBorder="1" applyAlignment="1" applyProtection="1">
      <alignment horizontal="center"/>
      <protection locked="0"/>
    </xf>
    <xf numFmtId="0" fontId="8" fillId="0" borderId="20" xfId="1" applyNumberFormat="1" applyFont="1" applyBorder="1" applyAlignment="1">
      <alignment horizontal="center"/>
    </xf>
    <xf numFmtId="164" fontId="8" fillId="0" borderId="20" xfId="1" applyFont="1" applyBorder="1"/>
    <xf numFmtId="164" fontId="8" fillId="0" borderId="14" xfId="1" applyFont="1" applyBorder="1"/>
    <xf numFmtId="164" fontId="8" fillId="0" borderId="14" xfId="1" applyFont="1" applyBorder="1" applyAlignment="1">
      <alignment horizontal="left"/>
    </xf>
    <xf numFmtId="164" fontId="9" fillId="0" borderId="21" xfId="1" applyFont="1" applyBorder="1" applyAlignment="1">
      <alignment horizontal="centerContinuous"/>
    </xf>
    <xf numFmtId="164" fontId="5" fillId="0" borderId="22" xfId="1" applyFont="1" applyBorder="1" applyAlignment="1">
      <alignment horizontal="centerContinuous"/>
    </xf>
    <xf numFmtId="164" fontId="1" fillId="0" borderId="23" xfId="1" applyBorder="1"/>
    <xf numFmtId="164" fontId="5" fillId="0" borderId="24" xfId="1" applyFont="1" applyBorder="1" applyAlignment="1">
      <alignment horizontal="centerContinuous"/>
    </xf>
    <xf numFmtId="164" fontId="10" fillId="0" borderId="7" xfId="1" applyFont="1" applyBorder="1" applyAlignment="1">
      <alignment horizontal="left"/>
    </xf>
    <xf numFmtId="164" fontId="1" fillId="0" borderId="20" xfId="1" applyBorder="1"/>
    <xf numFmtId="165" fontId="8" fillId="0" borderId="0" xfId="1" applyNumberFormat="1" applyFont="1" applyAlignment="1" applyProtection="1">
      <alignment horizontal="center"/>
      <protection locked="0"/>
    </xf>
    <xf numFmtId="164" fontId="8" fillId="0" borderId="7" xfId="1" applyFont="1" applyBorder="1" applyAlignment="1">
      <alignment horizontal="left"/>
    </xf>
    <xf numFmtId="164" fontId="1" fillId="0" borderId="14" xfId="1" applyBorder="1"/>
    <xf numFmtId="164" fontId="5" fillId="0" borderId="0" xfId="1" applyFont="1" applyAlignment="1">
      <alignment horizontal="left"/>
    </xf>
    <xf numFmtId="164" fontId="5" fillId="0" borderId="21" xfId="1" applyFont="1" applyBorder="1"/>
    <xf numFmtId="164" fontId="4" fillId="0" borderId="22" xfId="1" applyFont="1" applyBorder="1" applyAlignment="1">
      <alignment horizontal="left"/>
    </xf>
    <xf numFmtId="164" fontId="4" fillId="0" borderId="24" xfId="1" applyFont="1" applyBorder="1" applyAlignment="1">
      <alignment horizontal="left"/>
    </xf>
    <xf numFmtId="164" fontId="8" fillId="0" borderId="7" xfId="1" quotePrefix="1" applyFont="1" applyBorder="1" applyAlignment="1">
      <alignment horizontal="left"/>
    </xf>
    <xf numFmtId="164" fontId="8" fillId="0" borderId="19" xfId="1" applyFont="1" applyBorder="1" applyAlignment="1">
      <alignment horizontal="left"/>
    </xf>
    <xf numFmtId="164" fontId="11" fillId="0" borderId="25" xfId="1" applyFont="1" applyBorder="1"/>
    <xf numFmtId="164" fontId="8" fillId="0" borderId="0" xfId="1" quotePrefix="1" applyFont="1" applyAlignment="1">
      <alignment horizontal="left"/>
    </xf>
    <xf numFmtId="164" fontId="8" fillId="0" borderId="26" xfId="1" quotePrefix="1" applyFont="1" applyBorder="1" applyAlignment="1">
      <alignment horizontal="left"/>
    </xf>
    <xf numFmtId="164" fontId="8" fillId="0" borderId="27" xfId="1" quotePrefix="1" applyFont="1" applyBorder="1" applyAlignment="1">
      <alignment horizontal="left"/>
    </xf>
    <xf numFmtId="164" fontId="8" fillId="0" borderId="12" xfId="1" applyFont="1" applyBorder="1" applyAlignment="1">
      <alignment horizontal="left"/>
    </xf>
    <xf numFmtId="164" fontId="8" fillId="0" borderId="13" xfId="1" applyFont="1" applyBorder="1" applyAlignment="1">
      <alignment horizontal="left"/>
    </xf>
    <xf numFmtId="164" fontId="8" fillId="0" borderId="15" xfId="1" applyFont="1" applyBorder="1" applyAlignment="1">
      <alignment horizontal="left"/>
    </xf>
    <xf numFmtId="164" fontId="4" fillId="0" borderId="0" xfId="1" applyFont="1" applyAlignment="1">
      <alignment horizontal="left"/>
    </xf>
    <xf numFmtId="164" fontId="12" fillId="0" borderId="0" xfId="1" applyFont="1" applyAlignment="1">
      <alignment horizontal="right"/>
    </xf>
    <xf numFmtId="164" fontId="1" fillId="0" borderId="0" xfId="1" applyAlignment="1">
      <alignment horizontal="right"/>
    </xf>
    <xf numFmtId="0" fontId="16" fillId="0" borderId="29" xfId="2" applyFont="1" applyBorder="1"/>
    <xf numFmtId="0" fontId="16" fillId="0" borderId="30" xfId="2" applyFont="1" applyBorder="1"/>
    <xf numFmtId="0" fontId="16" fillId="0" borderId="31" xfId="2" applyFont="1" applyBorder="1"/>
    <xf numFmtId="0" fontId="15" fillId="0" borderId="0" xfId="2"/>
    <xf numFmtId="0" fontId="17" fillId="0" borderId="32" xfId="2" applyFont="1" applyBorder="1" applyAlignment="1">
      <alignment horizontal="centerContinuous"/>
    </xf>
    <xf numFmtId="0" fontId="16" fillId="0" borderId="0" xfId="2" applyFont="1" applyAlignment="1">
      <alignment horizontal="centerContinuous"/>
    </xf>
    <xf numFmtId="0" fontId="16" fillId="0" borderId="20" xfId="2" applyFont="1" applyBorder="1" applyAlignment="1">
      <alignment horizontal="centerContinuous"/>
    </xf>
    <xf numFmtId="0" fontId="18" fillId="0" borderId="32" xfId="2" applyFont="1" applyBorder="1" applyAlignment="1">
      <alignment horizontal="centerContinuous"/>
    </xf>
    <xf numFmtId="0" fontId="16" fillId="0" borderId="32" xfId="2" applyFont="1" applyBorder="1"/>
    <xf numFmtId="0" fontId="16" fillId="0" borderId="0" xfId="2" applyFont="1"/>
    <xf numFmtId="0" fontId="16" fillId="0" borderId="20" xfId="2" applyFont="1" applyBorder="1"/>
    <xf numFmtId="0" fontId="19" fillId="0" borderId="33" xfId="2" applyFont="1" applyBorder="1" applyAlignment="1">
      <alignment horizontal="right"/>
    </xf>
    <xf numFmtId="0" fontId="16" fillId="0" borderId="33" xfId="2" applyFont="1" applyBorder="1" applyAlignment="1">
      <alignment horizontal="center"/>
    </xf>
    <xf numFmtId="14" fontId="16" fillId="0" borderId="33" xfId="2" applyNumberFormat="1" applyFont="1" applyBorder="1" applyAlignment="1">
      <alignment horizontal="center"/>
    </xf>
    <xf numFmtId="0" fontId="19" fillId="0" borderId="0" xfId="2" applyFont="1" applyAlignment="1">
      <alignment horizontal="right"/>
    </xf>
    <xf numFmtId="0" fontId="16" fillId="0" borderId="0" xfId="2" applyFont="1" applyAlignment="1">
      <alignment horizontal="center"/>
    </xf>
    <xf numFmtId="9" fontId="16" fillId="0" borderId="0" xfId="2" applyNumberFormat="1" applyFont="1" applyAlignment="1">
      <alignment horizontal="center"/>
    </xf>
    <xf numFmtId="0" fontId="19" fillId="0" borderId="32" xfId="2" applyFont="1" applyBorder="1" applyAlignment="1">
      <alignment horizontal="right"/>
    </xf>
    <xf numFmtId="0" fontId="16" fillId="0" borderId="10" xfId="2" applyFont="1" applyBorder="1"/>
    <xf numFmtId="49" fontId="16" fillId="0" borderId="10" xfId="2" applyNumberFormat="1" applyFont="1" applyBorder="1"/>
    <xf numFmtId="0" fontId="16" fillId="0" borderId="9" xfId="2" applyFont="1" applyBorder="1" applyAlignment="1">
      <alignment horizontal="center"/>
    </xf>
    <xf numFmtId="0" fontId="16" fillId="0" borderId="37" xfId="2" applyFont="1" applyBorder="1"/>
    <xf numFmtId="0" fontId="19" fillId="0" borderId="34" xfId="2" applyFont="1" applyBorder="1" applyAlignment="1">
      <alignment horizontal="right"/>
    </xf>
    <xf numFmtId="0" fontId="16" fillId="0" borderId="36" xfId="2" applyFont="1" applyBorder="1"/>
    <xf numFmtId="165" fontId="20" fillId="0" borderId="0" xfId="2" applyNumberFormat="1" applyFont="1" applyAlignment="1">
      <alignment horizontal="center"/>
    </xf>
    <xf numFmtId="165" fontId="21" fillId="0" borderId="0" xfId="2" quotePrefix="1" applyNumberFormat="1" applyFont="1" applyAlignment="1">
      <alignment horizontal="center"/>
    </xf>
    <xf numFmtId="165" fontId="21" fillId="0" borderId="0" xfId="2" applyNumberFormat="1" applyFont="1" applyAlignment="1">
      <alignment horizontal="center"/>
    </xf>
    <xf numFmtId="0" fontId="23" fillId="0" borderId="0" xfId="2" applyFont="1"/>
    <xf numFmtId="0" fontId="24" fillId="0" borderId="0" xfId="2" applyFont="1"/>
    <xf numFmtId="0" fontId="20" fillId="0" borderId="33" xfId="2" applyFont="1" applyBorder="1" applyAlignment="1">
      <alignment horizontal="center"/>
    </xf>
    <xf numFmtId="1" fontId="20" fillId="2" borderId="33" xfId="2" applyNumberFormat="1" applyFont="1" applyFill="1" applyBorder="1" applyAlignment="1">
      <alignment horizontal="center"/>
    </xf>
    <xf numFmtId="2" fontId="20" fillId="2" borderId="33" xfId="2" applyNumberFormat="1" applyFont="1" applyFill="1" applyBorder="1" applyAlignment="1">
      <alignment horizontal="center"/>
    </xf>
    <xf numFmtId="0" fontId="20" fillId="2" borderId="33" xfId="2" applyFont="1" applyFill="1" applyBorder="1" applyAlignment="1">
      <alignment horizontal="center"/>
    </xf>
    <xf numFmtId="0" fontId="25" fillId="0" borderId="0" xfId="2" applyFont="1"/>
    <xf numFmtId="0" fontId="15" fillId="0" borderId="0" xfId="2" applyAlignment="1">
      <alignment horizontal="center"/>
    </xf>
    <xf numFmtId="0" fontId="15" fillId="0" borderId="0" xfId="2" applyAlignment="1">
      <alignment horizontal="right"/>
    </xf>
    <xf numFmtId="0" fontId="15" fillId="3" borderId="0" xfId="2" applyFill="1"/>
    <xf numFmtId="0" fontId="15" fillId="4" borderId="0" xfId="2" applyFill="1"/>
    <xf numFmtId="165" fontId="15" fillId="0" borderId="0" xfId="2" applyNumberFormat="1" applyAlignment="1">
      <alignment horizontal="center"/>
    </xf>
    <xf numFmtId="0" fontId="20" fillId="0" borderId="41" xfId="2" applyFont="1" applyBorder="1" applyAlignment="1">
      <alignment horizontal="center"/>
    </xf>
    <xf numFmtId="0" fontId="20" fillId="0" borderId="15" xfId="2" applyFont="1" applyBorder="1" applyAlignment="1">
      <alignment horizontal="center"/>
    </xf>
    <xf numFmtId="165" fontId="21" fillId="0" borderId="42" xfId="2" quotePrefix="1" applyNumberFormat="1" applyFont="1" applyBorder="1" applyAlignment="1">
      <alignment horizontal="center"/>
    </xf>
    <xf numFmtId="165" fontId="20" fillId="0" borderId="9" xfId="2" applyNumberFormat="1" applyFont="1" applyBorder="1" applyAlignment="1">
      <alignment horizontal="center"/>
    </xf>
    <xf numFmtId="165" fontId="20" fillId="0" borderId="43" xfId="2" applyNumberFormat="1" applyFont="1" applyBorder="1" applyAlignment="1">
      <alignment horizontal="center"/>
    </xf>
    <xf numFmtId="165" fontId="20" fillId="0" borderId="44" xfId="2" applyNumberFormat="1" applyFont="1" applyBorder="1" applyAlignment="1">
      <alignment horizontal="center"/>
    </xf>
    <xf numFmtId="165" fontId="21" fillId="0" borderId="45" xfId="2" quotePrefix="1" applyNumberFormat="1" applyFont="1" applyBorder="1" applyAlignment="1">
      <alignment horizontal="center"/>
    </xf>
    <xf numFmtId="165" fontId="20" fillId="0" borderId="36" xfId="2" applyNumberFormat="1" applyFont="1" applyBorder="1" applyAlignment="1">
      <alignment horizontal="center"/>
    </xf>
    <xf numFmtId="165" fontId="20" fillId="0" borderId="33" xfId="2" applyNumberFormat="1" applyFont="1" applyBorder="1" applyAlignment="1">
      <alignment horizontal="center"/>
    </xf>
    <xf numFmtId="165" fontId="20" fillId="0" borderId="46" xfId="2" applyNumberFormat="1" applyFont="1" applyBorder="1" applyAlignment="1">
      <alignment horizontal="center"/>
    </xf>
    <xf numFmtId="165" fontId="21" fillId="0" borderId="47" xfId="2" quotePrefix="1" applyNumberFormat="1" applyFont="1" applyBorder="1" applyAlignment="1">
      <alignment horizontal="center"/>
    </xf>
    <xf numFmtId="165" fontId="20" fillId="0" borderId="48" xfId="2" applyNumberFormat="1" applyFont="1" applyBorder="1" applyAlignment="1">
      <alignment horizontal="center"/>
    </xf>
    <xf numFmtId="165" fontId="20" fillId="0" borderId="49" xfId="2" applyNumberFormat="1" applyFont="1" applyBorder="1" applyAlignment="1">
      <alignment horizontal="center"/>
    </xf>
    <xf numFmtId="165" fontId="20" fillId="0" borderId="50" xfId="2" applyNumberFormat="1" applyFont="1" applyBorder="1" applyAlignment="1">
      <alignment horizontal="center"/>
    </xf>
    <xf numFmtId="0" fontId="26" fillId="0" borderId="0" xfId="2" applyFont="1" applyAlignment="1">
      <alignment horizontal="centerContinuous"/>
    </xf>
    <xf numFmtId="0" fontId="15" fillId="0" borderId="0" xfId="2" applyAlignment="1">
      <alignment horizontal="centerContinuous"/>
    </xf>
    <xf numFmtId="0" fontId="21" fillId="0" borderId="0" xfId="2" applyFont="1" applyAlignment="1">
      <alignment horizontal="centerContinuous"/>
    </xf>
    <xf numFmtId="0" fontId="27" fillId="0" borderId="0" xfId="2" applyFont="1" applyAlignment="1">
      <alignment horizontal="center"/>
    </xf>
    <xf numFmtId="0" fontId="21" fillId="0" borderId="0" xfId="2" applyFont="1" applyAlignment="1">
      <alignment horizontal="right"/>
    </xf>
    <xf numFmtId="0" fontId="21" fillId="0" borderId="0" xfId="2" applyFont="1"/>
    <xf numFmtId="0" fontId="20" fillId="0" borderId="0" xfId="2" applyFont="1"/>
    <xf numFmtId="14" fontId="21" fillId="0" borderId="0" xfId="2" applyNumberFormat="1" applyFont="1" applyAlignment="1">
      <alignment horizontal="center"/>
    </xf>
    <xf numFmtId="19" fontId="21" fillId="0" borderId="0" xfId="2" applyNumberFormat="1" applyFont="1"/>
    <xf numFmtId="0" fontId="28" fillId="0" borderId="51" xfId="2" applyFont="1" applyBorder="1" applyAlignment="1">
      <alignment horizontal="center"/>
    </xf>
    <xf numFmtId="0" fontId="28" fillId="0" borderId="52" xfId="2" applyFont="1" applyBorder="1" applyAlignment="1">
      <alignment horizontal="center"/>
    </xf>
    <xf numFmtId="0" fontId="20" fillId="0" borderId="47" xfId="2" applyFont="1" applyBorder="1" applyAlignment="1">
      <alignment horizontal="center"/>
    </xf>
    <xf numFmtId="2" fontId="20" fillId="0" borderId="47" xfId="2" applyNumberFormat="1" applyFont="1" applyBorder="1" applyAlignment="1">
      <alignment horizontal="center"/>
    </xf>
    <xf numFmtId="1" fontId="20" fillId="0" borderId="47" xfId="2" applyNumberFormat="1" applyFont="1" applyBorder="1" applyAlignment="1">
      <alignment horizontal="center"/>
    </xf>
    <xf numFmtId="1" fontId="20" fillId="0" borderId="53" xfId="2" applyNumberFormat="1" applyFont="1" applyBorder="1" applyAlignment="1">
      <alignment horizontal="center"/>
    </xf>
    <xf numFmtId="165" fontId="20" fillId="0" borderId="47" xfId="2" applyNumberFormat="1" applyFont="1" applyBorder="1" applyAlignment="1">
      <alignment horizontal="center"/>
    </xf>
    <xf numFmtId="166" fontId="20" fillId="0" borderId="47" xfId="2" applyNumberFormat="1" applyFont="1" applyBorder="1" applyAlignment="1">
      <alignment horizontal="center"/>
    </xf>
    <xf numFmtId="0" fontId="28" fillId="0" borderId="3" xfId="2" applyFont="1" applyBorder="1"/>
    <xf numFmtId="0" fontId="21" fillId="0" borderId="5" xfId="2" applyFont="1" applyBorder="1" applyAlignment="1">
      <alignment horizontal="center"/>
    </xf>
    <xf numFmtId="0" fontId="21" fillId="0" borderId="6" xfId="2" applyFont="1" applyBorder="1" applyAlignment="1">
      <alignment horizontal="center"/>
    </xf>
    <xf numFmtId="0" fontId="28" fillId="0" borderId="3" xfId="2" applyFont="1" applyBorder="1" applyAlignment="1">
      <alignment horizontal="left"/>
    </xf>
    <xf numFmtId="0" fontId="20" fillId="5" borderId="0" xfId="2" applyFont="1" applyFill="1"/>
    <xf numFmtId="0" fontId="20" fillId="0" borderId="2" xfId="2" applyFont="1" applyBorder="1"/>
    <xf numFmtId="0" fontId="20" fillId="0" borderId="54" xfId="2" applyFont="1" applyBorder="1"/>
    <xf numFmtId="0" fontId="28" fillId="0" borderId="0" xfId="2" applyFont="1"/>
    <xf numFmtId="0" fontId="20" fillId="0" borderId="0" xfId="2" applyFont="1" applyAlignment="1">
      <alignment horizontal="centerContinuous"/>
    </xf>
    <xf numFmtId="0" fontId="20" fillId="0" borderId="6" xfId="2" applyFont="1" applyBorder="1" applyAlignment="1">
      <alignment horizontal="centerContinuous"/>
    </xf>
    <xf numFmtId="0" fontId="15" fillId="0" borderId="7" xfId="2" applyBorder="1"/>
    <xf numFmtId="0" fontId="21" fillId="0" borderId="33" xfId="2" applyFont="1" applyBorder="1" applyAlignment="1">
      <alignment horizontal="center"/>
    </xf>
    <xf numFmtId="0" fontId="21" fillId="0" borderId="46" xfId="2" applyFont="1" applyBorder="1" applyAlignment="1">
      <alignment horizontal="center"/>
    </xf>
    <xf numFmtId="0" fontId="20" fillId="0" borderId="33" xfId="2" applyFont="1" applyBorder="1" applyAlignment="1">
      <alignment horizontal="centerContinuous"/>
    </xf>
    <xf numFmtId="0" fontId="21" fillId="0" borderId="55" xfId="2" applyFont="1" applyBorder="1" applyAlignment="1">
      <alignment horizontal="right"/>
    </xf>
    <xf numFmtId="166" fontId="20" fillId="0" borderId="33" xfId="2" applyNumberFormat="1" applyFont="1" applyBorder="1" applyAlignment="1">
      <alignment horizontal="center"/>
    </xf>
    <xf numFmtId="0" fontId="21" fillId="0" borderId="53" xfId="2" applyFont="1" applyBorder="1" applyAlignment="1">
      <alignment horizontal="center"/>
    </xf>
    <xf numFmtId="2" fontId="20" fillId="0" borderId="33" xfId="2" applyNumberFormat="1" applyFont="1" applyBorder="1" applyAlignment="1">
      <alignment horizontal="center"/>
    </xf>
    <xf numFmtId="0" fontId="20" fillId="0" borderId="46" xfId="2" applyFont="1" applyBorder="1" applyAlignment="1">
      <alignment horizontal="center"/>
    </xf>
    <xf numFmtId="0" fontId="21" fillId="0" borderId="55" xfId="2" applyFont="1" applyBorder="1"/>
    <xf numFmtId="0" fontId="21" fillId="0" borderId="52" xfId="2" applyFont="1" applyBorder="1" applyAlignment="1">
      <alignment horizontal="center"/>
    </xf>
    <xf numFmtId="0" fontId="20" fillId="0" borderId="0" xfId="2" applyFont="1" applyAlignment="1">
      <alignment horizontal="center"/>
    </xf>
    <xf numFmtId="0" fontId="21" fillId="0" borderId="34" xfId="2" applyFont="1" applyBorder="1" applyAlignment="1">
      <alignment horizontal="centerContinuous"/>
    </xf>
    <xf numFmtId="0" fontId="20" fillId="0" borderId="56" xfId="2" applyFont="1" applyBorder="1" applyAlignment="1">
      <alignment horizontal="centerContinuous"/>
    </xf>
    <xf numFmtId="165" fontId="20" fillId="0" borderId="41" xfId="2" applyNumberFormat="1" applyFont="1" applyBorder="1" applyAlignment="1">
      <alignment horizontal="center"/>
    </xf>
    <xf numFmtId="2" fontId="20" fillId="0" borderId="46" xfId="2" applyNumberFormat="1" applyFont="1" applyBorder="1" applyAlignment="1">
      <alignment horizontal="center"/>
    </xf>
    <xf numFmtId="0" fontId="20" fillId="0" borderId="57" xfId="2" applyFont="1" applyBorder="1" applyAlignment="1">
      <alignment horizontal="left"/>
    </xf>
    <xf numFmtId="0" fontId="20" fillId="0" borderId="19" xfId="2" applyFont="1" applyBorder="1" applyAlignment="1">
      <alignment horizontal="left"/>
    </xf>
    <xf numFmtId="0" fontId="20" fillId="0" borderId="43" xfId="2" applyFont="1" applyBorder="1" applyAlignment="1">
      <alignment horizontal="left"/>
    </xf>
    <xf numFmtId="0" fontId="20" fillId="0" borderId="11" xfId="2" applyFont="1" applyBorder="1" applyAlignment="1">
      <alignment horizontal="left"/>
    </xf>
    <xf numFmtId="167" fontId="20" fillId="6" borderId="33" xfId="2" applyNumberFormat="1" applyFont="1" applyFill="1" applyBorder="1" applyAlignment="1">
      <alignment horizontal="center"/>
    </xf>
    <xf numFmtId="0" fontId="20" fillId="0" borderId="33" xfId="2" applyFont="1" applyBorder="1" applyAlignment="1">
      <alignment horizontal="left"/>
    </xf>
    <xf numFmtId="0" fontId="20" fillId="0" borderId="46" xfId="2" applyFont="1" applyBorder="1" applyAlignment="1">
      <alignment horizontal="left"/>
    </xf>
    <xf numFmtId="0" fontId="21" fillId="0" borderId="58" xfId="2" applyFont="1" applyBorder="1" applyAlignment="1">
      <alignment horizontal="right"/>
    </xf>
    <xf numFmtId="2" fontId="20" fillId="0" borderId="14" xfId="2" applyNumberFormat="1" applyFont="1" applyBorder="1" applyAlignment="1">
      <alignment horizontal="center"/>
    </xf>
    <xf numFmtId="2" fontId="20" fillId="0" borderId="15" xfId="2" applyNumberFormat="1" applyFont="1" applyBorder="1" applyAlignment="1">
      <alignment horizontal="center"/>
    </xf>
    <xf numFmtId="0" fontId="28" fillId="0" borderId="1" xfId="2" applyFont="1" applyBorder="1"/>
    <xf numFmtId="165" fontId="20" fillId="0" borderId="2" xfId="2" applyNumberFormat="1" applyFont="1" applyBorder="1" applyAlignment="1">
      <alignment horizontal="center"/>
    </xf>
    <xf numFmtId="165" fontId="20" fillId="0" borderId="54" xfId="2" applyNumberFormat="1" applyFont="1" applyBorder="1" applyAlignment="1">
      <alignment horizontal="center"/>
    </xf>
    <xf numFmtId="0" fontId="21" fillId="0" borderId="59" xfId="2" applyFont="1" applyBorder="1" applyAlignment="1">
      <alignment horizontal="center"/>
    </xf>
    <xf numFmtId="165" fontId="29" fillId="0" borderId="33" xfId="2" applyNumberFormat="1" applyFont="1" applyBorder="1" applyAlignment="1">
      <alignment horizontal="center"/>
    </xf>
    <xf numFmtId="0" fontId="28" fillId="0" borderId="2" xfId="2" applyFont="1" applyBorder="1" applyAlignment="1">
      <alignment horizontal="centerContinuous"/>
    </xf>
    <xf numFmtId="0" fontId="28" fillId="0" borderId="54" xfId="2" applyFont="1" applyBorder="1" applyAlignment="1">
      <alignment horizontal="centerContinuous"/>
    </xf>
    <xf numFmtId="0" fontId="15" fillId="0" borderId="55" xfId="2" applyBorder="1"/>
    <xf numFmtId="0" fontId="21" fillId="0" borderId="46" xfId="2" applyFont="1" applyBorder="1" applyAlignment="1">
      <alignment horizontal="centerContinuous"/>
    </xf>
    <xf numFmtId="168" fontId="20" fillId="0" borderId="33" xfId="2" applyNumberFormat="1" applyFont="1" applyBorder="1" applyAlignment="1">
      <alignment horizontal="center"/>
    </xf>
    <xf numFmtId="166" fontId="20" fillId="0" borderId="46" xfId="2" applyNumberFormat="1" applyFont="1" applyBorder="1" applyAlignment="1">
      <alignment horizontal="center"/>
    </xf>
    <xf numFmtId="169" fontId="20" fillId="0" borderId="33" xfId="2" applyNumberFormat="1" applyFont="1" applyBorder="1" applyAlignment="1">
      <alignment horizontal="center"/>
    </xf>
    <xf numFmtId="169" fontId="20" fillId="0" borderId="46" xfId="2" applyNumberFormat="1" applyFont="1" applyBorder="1" applyAlignment="1">
      <alignment horizontal="center"/>
    </xf>
    <xf numFmtId="0" fontId="21" fillId="0" borderId="7" xfId="2" applyFont="1" applyBorder="1"/>
    <xf numFmtId="0" fontId="20" fillId="0" borderId="19" xfId="2" applyFont="1" applyBorder="1" applyAlignment="1">
      <alignment horizontal="center"/>
    </xf>
    <xf numFmtId="0" fontId="21" fillId="0" borderId="60" xfId="2" applyFont="1" applyBorder="1" applyAlignment="1">
      <alignment horizontal="right"/>
    </xf>
    <xf numFmtId="2" fontId="20" fillId="0" borderId="49" xfId="2" applyNumberFormat="1" applyFont="1" applyBorder="1" applyAlignment="1">
      <alignment horizontal="center"/>
    </xf>
    <xf numFmtId="2" fontId="20" fillId="0" borderId="50" xfId="2" applyNumberFormat="1" applyFont="1" applyBorder="1" applyAlignment="1">
      <alignment horizontal="center"/>
    </xf>
    <xf numFmtId="166" fontId="20" fillId="0" borderId="49" xfId="2" applyNumberFormat="1" applyFont="1" applyBorder="1" applyAlignment="1">
      <alignment horizontal="center"/>
    </xf>
    <xf numFmtId="166" fontId="20" fillId="0" borderId="50" xfId="2" applyNumberFormat="1" applyFont="1" applyBorder="1" applyAlignment="1">
      <alignment horizontal="center"/>
    </xf>
    <xf numFmtId="0" fontId="20" fillId="0" borderId="19" xfId="2" applyFont="1" applyBorder="1"/>
    <xf numFmtId="0" fontId="21" fillId="0" borderId="2" xfId="2" applyFont="1" applyBorder="1" applyAlignment="1">
      <alignment horizontal="centerContinuous"/>
    </xf>
    <xf numFmtId="0" fontId="20" fillId="0" borderId="2" xfId="2" applyFont="1" applyBorder="1" applyAlignment="1">
      <alignment horizontal="centerContinuous"/>
    </xf>
    <xf numFmtId="0" fontId="20" fillId="0" borderId="5" xfId="2" applyFont="1" applyBorder="1"/>
    <xf numFmtId="0" fontId="28" fillId="0" borderId="61" xfId="2" applyFont="1" applyBorder="1"/>
    <xf numFmtId="0" fontId="20" fillId="0" borderId="55" xfId="2" applyFont="1" applyBorder="1"/>
    <xf numFmtId="0" fontId="20" fillId="0" borderId="34" xfId="2" applyFont="1" applyBorder="1" applyAlignment="1">
      <alignment horizontal="right"/>
    </xf>
    <xf numFmtId="2" fontId="20" fillId="0" borderId="56" xfId="2" applyNumberFormat="1" applyFont="1" applyBorder="1" applyAlignment="1">
      <alignment horizontal="center"/>
    </xf>
    <xf numFmtId="165" fontId="15" fillId="0" borderId="0" xfId="2" applyNumberFormat="1"/>
    <xf numFmtId="0" fontId="20" fillId="0" borderId="60" xfId="2" applyFont="1" applyBorder="1"/>
    <xf numFmtId="0" fontId="20" fillId="0" borderId="62" xfId="2" applyFont="1" applyBorder="1" applyAlignment="1">
      <alignment horizontal="right"/>
    </xf>
    <xf numFmtId="2" fontId="20" fillId="0" borderId="63" xfId="2" applyNumberFormat="1" applyFont="1" applyBorder="1" applyAlignment="1">
      <alignment horizontal="center"/>
    </xf>
    <xf numFmtId="2" fontId="15" fillId="0" borderId="33" xfId="2" applyNumberFormat="1" applyBorder="1" applyAlignment="1">
      <alignment horizontal="center"/>
    </xf>
    <xf numFmtId="165" fontId="15" fillId="0" borderId="46" xfId="2" applyNumberFormat="1" applyBorder="1" applyAlignment="1">
      <alignment horizontal="center"/>
    </xf>
    <xf numFmtId="165" fontId="15" fillId="0" borderId="33" xfId="2" applyNumberFormat="1" applyBorder="1" applyAlignment="1">
      <alignment horizontal="center"/>
    </xf>
    <xf numFmtId="0" fontId="15" fillId="0" borderId="5" xfId="2" applyBorder="1"/>
    <xf numFmtId="0" fontId="20" fillId="0" borderId="6" xfId="2" applyFont="1" applyBorder="1"/>
    <xf numFmtId="0" fontId="20" fillId="0" borderId="56" xfId="2" applyFont="1" applyBorder="1" applyAlignment="1">
      <alignment horizontal="center"/>
    </xf>
    <xf numFmtId="0" fontId="21" fillId="0" borderId="33" xfId="2" applyFont="1" applyBorder="1" applyAlignment="1">
      <alignment horizontal="right"/>
    </xf>
    <xf numFmtId="0" fontId="21" fillId="0" borderId="0" xfId="2" applyFont="1" applyAlignment="1">
      <alignment horizontal="center"/>
    </xf>
    <xf numFmtId="0" fontId="21" fillId="0" borderId="60" xfId="2" applyFont="1" applyBorder="1"/>
    <xf numFmtId="169" fontId="20" fillId="0" borderId="0" xfId="2" applyNumberFormat="1" applyFont="1" applyAlignment="1">
      <alignment horizontal="center"/>
    </xf>
    <xf numFmtId="166" fontId="15" fillId="0" borderId="49" xfId="2" applyNumberFormat="1" applyBorder="1" applyAlignment="1">
      <alignment horizontal="center"/>
    </xf>
    <xf numFmtId="2" fontId="15" fillId="0" borderId="49" xfId="2" applyNumberFormat="1" applyBorder="1" applyAlignment="1">
      <alignment horizontal="center"/>
    </xf>
    <xf numFmtId="165" fontId="15" fillId="0" borderId="50" xfId="2" applyNumberFormat="1" applyBorder="1" applyAlignment="1">
      <alignment horizontal="center"/>
    </xf>
    <xf numFmtId="0" fontId="20" fillId="0" borderId="2" xfId="2" applyFont="1" applyBorder="1" applyAlignment="1">
      <alignment horizontal="right"/>
    </xf>
    <xf numFmtId="49" fontId="20" fillId="0" borderId="2" xfId="2" applyNumberFormat="1" applyFont="1" applyBorder="1" applyAlignment="1">
      <alignment horizontal="center"/>
    </xf>
    <xf numFmtId="0" fontId="21" fillId="0" borderId="64" xfId="2" applyFont="1" applyBorder="1" applyAlignment="1">
      <alignment horizontal="right"/>
    </xf>
    <xf numFmtId="165" fontId="20" fillId="0" borderId="65" xfId="2" applyNumberFormat="1" applyFont="1" applyBorder="1" applyAlignment="1">
      <alignment horizontal="center"/>
    </xf>
    <xf numFmtId="2" fontId="31" fillId="0" borderId="33" xfId="2" applyNumberFormat="1" applyFont="1" applyBorder="1" applyAlignment="1">
      <alignment horizontal="center"/>
    </xf>
    <xf numFmtId="2" fontId="31" fillId="0" borderId="46" xfId="2" applyNumberFormat="1" applyFont="1" applyBorder="1" applyAlignment="1">
      <alignment horizontal="center"/>
    </xf>
    <xf numFmtId="0" fontId="32" fillId="0" borderId="0" xfId="2" applyFont="1"/>
    <xf numFmtId="166" fontId="31" fillId="0" borderId="33" xfId="2" applyNumberFormat="1" applyFont="1" applyBorder="1" applyAlignment="1">
      <alignment horizontal="center"/>
    </xf>
    <xf numFmtId="166" fontId="31" fillId="0" borderId="46" xfId="2" applyNumberFormat="1" applyFont="1" applyBorder="1" applyAlignment="1">
      <alignment horizontal="center"/>
    </xf>
    <xf numFmtId="0" fontId="21" fillId="0" borderId="66" xfId="2" applyFont="1" applyBorder="1" applyAlignment="1">
      <alignment horizontal="right"/>
    </xf>
    <xf numFmtId="165" fontId="20" fillId="0" borderId="67" xfId="2" applyNumberFormat="1" applyFont="1" applyBorder="1" applyAlignment="1">
      <alignment horizontal="center"/>
    </xf>
    <xf numFmtId="169" fontId="15" fillId="0" borderId="0" xfId="2" applyNumberFormat="1"/>
    <xf numFmtId="0" fontId="21" fillId="0" borderId="68" xfId="2" applyFont="1" applyBorder="1" applyAlignment="1">
      <alignment horizontal="center"/>
    </xf>
    <xf numFmtId="0" fontId="21" fillId="0" borderId="65" xfId="2" applyFont="1" applyBorder="1" applyAlignment="1">
      <alignment horizontal="center"/>
    </xf>
    <xf numFmtId="169" fontId="31" fillId="0" borderId="33" xfId="2" applyNumberFormat="1" applyFont="1" applyBorder="1" applyAlignment="1">
      <alignment horizontal="center"/>
    </xf>
    <xf numFmtId="169" fontId="31" fillId="0" borderId="46" xfId="2" applyNumberFormat="1" applyFont="1" applyBorder="1" applyAlignment="1">
      <alignment horizontal="center"/>
    </xf>
    <xf numFmtId="0" fontId="21" fillId="0" borderId="69" xfId="2" applyFont="1" applyBorder="1" applyAlignment="1">
      <alignment horizontal="right"/>
    </xf>
    <xf numFmtId="165" fontId="20" fillId="0" borderId="31" xfId="2" applyNumberFormat="1" applyFont="1" applyBorder="1" applyAlignment="1">
      <alignment horizontal="center"/>
    </xf>
    <xf numFmtId="0" fontId="20" fillId="0" borderId="70" xfId="2" applyFont="1" applyBorder="1" applyAlignment="1">
      <alignment horizontal="center"/>
    </xf>
    <xf numFmtId="0" fontId="20" fillId="0" borderId="71" xfId="2" applyFont="1" applyBorder="1" applyAlignment="1">
      <alignment horizontal="center"/>
    </xf>
    <xf numFmtId="165" fontId="31" fillId="0" borderId="33" xfId="2" applyNumberFormat="1" applyFont="1" applyBorder="1" applyAlignment="1">
      <alignment horizontal="center"/>
    </xf>
    <xf numFmtId="165" fontId="31" fillId="0" borderId="46" xfId="2" applyNumberFormat="1" applyFont="1" applyBorder="1" applyAlignment="1">
      <alignment horizontal="center"/>
    </xf>
    <xf numFmtId="0" fontId="21" fillId="0" borderId="72" xfId="2" applyFont="1" applyBorder="1" applyAlignment="1">
      <alignment horizontal="right"/>
    </xf>
    <xf numFmtId="0" fontId="20" fillId="0" borderId="43" xfId="2" applyFont="1" applyBorder="1" applyAlignment="1">
      <alignment horizontal="center"/>
    </xf>
    <xf numFmtId="0" fontId="20" fillId="0" borderId="11" xfId="2" applyFont="1" applyBorder="1" applyAlignment="1">
      <alignment horizontal="center"/>
    </xf>
    <xf numFmtId="2" fontId="20" fillId="0" borderId="71" xfId="2" applyNumberFormat="1" applyFont="1" applyBorder="1" applyAlignment="1">
      <alignment horizontal="center"/>
    </xf>
    <xf numFmtId="166" fontId="31" fillId="0" borderId="49" xfId="2" applyNumberFormat="1" applyFont="1" applyBorder="1" applyAlignment="1">
      <alignment horizontal="center"/>
    </xf>
    <xf numFmtId="166" fontId="33" fillId="0" borderId="62" xfId="2" applyNumberFormat="1" applyFont="1" applyBorder="1" applyAlignment="1">
      <alignment horizontal="center"/>
    </xf>
    <xf numFmtId="166" fontId="33" fillId="0" borderId="73" xfId="2" applyNumberFormat="1" applyFont="1" applyBorder="1" applyAlignment="1">
      <alignment horizontal="center"/>
    </xf>
    <xf numFmtId="166" fontId="33" fillId="0" borderId="63" xfId="2" applyNumberFormat="1" applyFont="1" applyBorder="1" applyAlignment="1">
      <alignment horizontal="center"/>
    </xf>
    <xf numFmtId="0" fontId="28" fillId="0" borderId="64" xfId="2" applyFont="1" applyBorder="1"/>
    <xf numFmtId="0" fontId="20" fillId="0" borderId="74" xfId="2" applyFont="1" applyBorder="1"/>
    <xf numFmtId="0" fontId="20" fillId="0" borderId="65" xfId="2" applyFont="1" applyBorder="1"/>
    <xf numFmtId="165" fontId="20" fillId="0" borderId="70" xfId="2" applyNumberFormat="1" applyFont="1" applyBorder="1" applyAlignment="1">
      <alignment horizontal="center"/>
    </xf>
    <xf numFmtId="166" fontId="20" fillId="0" borderId="70" xfId="2" applyNumberFormat="1" applyFont="1" applyBorder="1" applyAlignment="1">
      <alignment horizontal="center"/>
    </xf>
    <xf numFmtId="0" fontId="21" fillId="0" borderId="33" xfId="2" applyFont="1" applyBorder="1"/>
    <xf numFmtId="0" fontId="21" fillId="0" borderId="75" xfId="2" applyFont="1" applyBorder="1" applyAlignment="1">
      <alignment horizontal="right"/>
    </xf>
    <xf numFmtId="165" fontId="20" fillId="0" borderId="57" xfId="2" applyNumberFormat="1" applyFont="1" applyBorder="1" applyAlignment="1">
      <alignment horizontal="center"/>
    </xf>
    <xf numFmtId="0" fontId="20" fillId="0" borderId="57" xfId="2" applyFont="1" applyBorder="1" applyAlignment="1">
      <alignment horizontal="center"/>
    </xf>
    <xf numFmtId="1" fontId="20" fillId="0" borderId="43" xfId="2" applyNumberFormat="1" applyFont="1" applyBorder="1" applyAlignment="1">
      <alignment horizontal="center"/>
    </xf>
    <xf numFmtId="165" fontId="15" fillId="0" borderId="0" xfId="2" applyNumberFormat="1" applyAlignment="1">
      <alignment horizontal="left"/>
    </xf>
    <xf numFmtId="0" fontId="21" fillId="0" borderId="70" xfId="2" applyFont="1" applyBorder="1" applyAlignment="1">
      <alignment horizontal="right"/>
    </xf>
    <xf numFmtId="2" fontId="20" fillId="0" borderId="19" xfId="2" applyNumberFormat="1" applyFont="1" applyBorder="1" applyAlignment="1">
      <alignment horizontal="center"/>
    </xf>
    <xf numFmtId="0" fontId="21" fillId="0" borderId="57" xfId="2" applyFont="1" applyBorder="1" applyAlignment="1">
      <alignment horizontal="right"/>
    </xf>
    <xf numFmtId="2" fontId="15" fillId="0" borderId="0" xfId="2" applyNumberFormat="1" applyAlignment="1">
      <alignment horizontal="left"/>
    </xf>
    <xf numFmtId="0" fontId="20" fillId="0" borderId="49" xfId="2" applyFont="1" applyBorder="1" applyAlignment="1">
      <alignment horizontal="center"/>
    </xf>
    <xf numFmtId="0" fontId="21" fillId="0" borderId="49" xfId="2" applyFont="1" applyBorder="1"/>
    <xf numFmtId="0" fontId="21" fillId="0" borderId="43" xfId="2" applyFont="1" applyBorder="1" applyAlignment="1">
      <alignment horizontal="right"/>
    </xf>
    <xf numFmtId="0" fontId="15" fillId="0" borderId="0" xfId="2" applyAlignment="1">
      <alignment horizontal="left"/>
    </xf>
    <xf numFmtId="0" fontId="21" fillId="0" borderId="0" xfId="2" applyFont="1" applyAlignment="1">
      <alignment horizontal="left"/>
    </xf>
    <xf numFmtId="2" fontId="20" fillId="0" borderId="10" xfId="2" applyNumberFormat="1" applyFont="1" applyBorder="1" applyAlignment="1">
      <alignment horizontal="centerContinuous"/>
    </xf>
    <xf numFmtId="0" fontId="20" fillId="0" borderId="11" xfId="2" applyFont="1" applyBorder="1" applyAlignment="1">
      <alignment horizontal="centerContinuous"/>
    </xf>
    <xf numFmtId="1" fontId="15" fillId="0" borderId="0" xfId="2" applyNumberFormat="1" applyAlignment="1">
      <alignment horizontal="left"/>
    </xf>
    <xf numFmtId="0" fontId="20" fillId="0" borderId="10" xfId="2" applyFont="1" applyBorder="1" applyAlignment="1">
      <alignment horizontal="center"/>
    </xf>
    <xf numFmtId="0" fontId="21" fillId="0" borderId="49" xfId="2" applyFont="1" applyBorder="1" applyAlignment="1">
      <alignment horizontal="right"/>
    </xf>
    <xf numFmtId="0" fontId="20" fillId="0" borderId="13" xfId="2" applyFont="1" applyBorder="1" applyAlignment="1">
      <alignment horizontal="center"/>
    </xf>
    <xf numFmtId="0" fontId="35" fillId="0" borderId="3" xfId="2" applyFont="1" applyBorder="1"/>
    <xf numFmtId="0" fontId="35" fillId="0" borderId="5" xfId="2" applyFont="1" applyBorder="1"/>
    <xf numFmtId="0" fontId="35" fillId="0" borderId="6" xfId="2" applyFont="1" applyBorder="1"/>
    <xf numFmtId="0" fontId="21" fillId="0" borderId="55" xfId="2" applyFont="1" applyBorder="1" applyAlignment="1">
      <alignment horizontal="center"/>
    </xf>
    <xf numFmtId="0" fontId="35" fillId="0" borderId="7" xfId="2" applyFont="1" applyBorder="1"/>
    <xf numFmtId="0" fontId="35" fillId="0" borderId="0" xfId="2" applyFont="1"/>
    <xf numFmtId="0" fontId="35" fillId="0" borderId="19" xfId="2" applyFont="1" applyBorder="1"/>
    <xf numFmtId="2" fontId="21" fillId="0" borderId="75" xfId="2" quotePrefix="1" applyNumberFormat="1" applyFont="1" applyBorder="1" applyAlignment="1">
      <alignment horizontal="center"/>
    </xf>
    <xf numFmtId="165" fontId="20" fillId="0" borderId="76" xfId="2" applyNumberFormat="1" applyFont="1" applyBorder="1" applyAlignment="1">
      <alignment horizontal="center"/>
    </xf>
    <xf numFmtId="2" fontId="21" fillId="0" borderId="57" xfId="2" quotePrefix="1" applyNumberFormat="1" applyFont="1" applyBorder="1" applyAlignment="1">
      <alignment horizontal="center"/>
    </xf>
    <xf numFmtId="166" fontId="21" fillId="0" borderId="75" xfId="2" quotePrefix="1" applyNumberFormat="1" applyFont="1" applyBorder="1" applyAlignment="1">
      <alignment horizontal="center"/>
    </xf>
    <xf numFmtId="2" fontId="21" fillId="0" borderId="57" xfId="2" applyNumberFormat="1" applyFont="1" applyBorder="1" applyAlignment="1">
      <alignment horizontal="center"/>
    </xf>
    <xf numFmtId="2" fontId="21" fillId="0" borderId="58" xfId="2" quotePrefix="1" applyNumberFormat="1" applyFont="1" applyBorder="1" applyAlignment="1">
      <alignment horizontal="center"/>
    </xf>
    <xf numFmtId="165" fontId="20" fillId="0" borderId="77" xfId="2" applyNumberFormat="1" applyFont="1" applyBorder="1" applyAlignment="1">
      <alignment horizontal="center"/>
    </xf>
    <xf numFmtId="165" fontId="20" fillId="0" borderId="78" xfId="2" applyNumberFormat="1" applyFont="1" applyBorder="1" applyAlignment="1">
      <alignment horizontal="center"/>
    </xf>
    <xf numFmtId="2" fontId="21" fillId="0" borderId="77" xfId="2" applyNumberFormat="1" applyFont="1" applyBorder="1" applyAlignment="1">
      <alignment horizontal="center"/>
    </xf>
    <xf numFmtId="0" fontId="35" fillId="0" borderId="12" xfId="2" applyFont="1" applyBorder="1"/>
    <xf numFmtId="0" fontId="35" fillId="0" borderId="13" xfId="2" applyFont="1" applyBorder="1"/>
    <xf numFmtId="0" fontId="35" fillId="0" borderId="15" xfId="2" applyFont="1" applyBorder="1"/>
    <xf numFmtId="0" fontId="36" fillId="7" borderId="0" xfId="2" applyFont="1" applyFill="1"/>
    <xf numFmtId="0" fontId="35" fillId="7" borderId="0" xfId="2" applyFont="1" applyFill="1"/>
    <xf numFmtId="0" fontId="38" fillId="0" borderId="0" xfId="3" applyFont="1"/>
    <xf numFmtId="0" fontId="39" fillId="0" borderId="0" xfId="3" applyFont="1"/>
    <xf numFmtId="0" fontId="40" fillId="2" borderId="0" xfId="3" applyFont="1" applyFill="1" applyAlignment="1">
      <alignment horizontal="center"/>
    </xf>
    <xf numFmtId="0" fontId="41" fillId="2" borderId="0" xfId="3" applyFont="1" applyFill="1" applyAlignment="1">
      <alignment horizontal="right"/>
    </xf>
    <xf numFmtId="0" fontId="42" fillId="2" borderId="0" xfId="3" applyFont="1" applyFill="1"/>
    <xf numFmtId="0" fontId="43" fillId="2" borderId="0" xfId="3" applyFont="1" applyFill="1"/>
    <xf numFmtId="0" fontId="44" fillId="0" borderId="38" xfId="3" applyFont="1" applyBorder="1" applyAlignment="1">
      <alignment horizontal="left" vertical="center"/>
    </xf>
    <xf numFmtId="0" fontId="44" fillId="0" borderId="39" xfId="3" applyFont="1" applyBorder="1" applyAlignment="1">
      <alignment vertical="center"/>
    </xf>
    <xf numFmtId="0" fontId="14" fillId="0" borderId="39" xfId="3" applyBorder="1"/>
    <xf numFmtId="0" fontId="44" fillId="0" borderId="40" xfId="3" applyFont="1" applyBorder="1" applyAlignment="1">
      <alignment horizontal="right" vertical="center"/>
    </xf>
    <xf numFmtId="0" fontId="45" fillId="0" borderId="0" xfId="3" applyFont="1"/>
    <xf numFmtId="0" fontId="46" fillId="0" borderId="38" xfId="3" applyFont="1" applyBorder="1"/>
    <xf numFmtId="0" fontId="45" fillId="0" borderId="40" xfId="3" applyFont="1" applyBorder="1"/>
    <xf numFmtId="0" fontId="46" fillId="0" borderId="40" xfId="3" applyFont="1" applyBorder="1"/>
    <xf numFmtId="0" fontId="47" fillId="0" borderId="0" xfId="3" applyFont="1"/>
    <xf numFmtId="0" fontId="48" fillId="2" borderId="5" xfId="3" applyFont="1" applyFill="1" applyBorder="1" applyAlignment="1">
      <alignment horizontal="center"/>
    </xf>
    <xf numFmtId="0" fontId="48" fillId="2" borderId="4" xfId="3" applyFont="1" applyFill="1" applyBorder="1" applyAlignment="1">
      <alignment horizontal="center"/>
    </xf>
    <xf numFmtId="0" fontId="48" fillId="2" borderId="0" xfId="3" quotePrefix="1" applyFont="1" applyFill="1" applyAlignment="1">
      <alignment horizontal="left"/>
    </xf>
    <xf numFmtId="0" fontId="49" fillId="2" borderId="79" xfId="3" applyFont="1" applyFill="1" applyBorder="1" applyAlignment="1">
      <alignment horizontal="right"/>
    </xf>
    <xf numFmtId="0" fontId="48" fillId="2" borderId="80" xfId="3" applyFont="1" applyFill="1" applyBorder="1" applyAlignment="1">
      <alignment horizontal="center"/>
    </xf>
    <xf numFmtId="0" fontId="48" fillId="2" borderId="19" xfId="3" applyFont="1" applyFill="1" applyBorder="1" applyAlignment="1">
      <alignment horizontal="center"/>
    </xf>
    <xf numFmtId="0" fontId="46" fillId="0" borderId="7" xfId="3" applyFont="1" applyBorder="1"/>
    <xf numFmtId="0" fontId="45" fillId="0" borderId="19" xfId="3" applyFont="1" applyBorder="1"/>
    <xf numFmtId="0" fontId="46" fillId="0" borderId="19" xfId="3" applyFont="1" applyBorder="1"/>
    <xf numFmtId="0" fontId="50" fillId="2" borderId="88" xfId="3" applyFont="1" applyFill="1" applyBorder="1"/>
    <xf numFmtId="0" fontId="50" fillId="2" borderId="89" xfId="3" applyFont="1" applyFill="1" applyBorder="1"/>
    <xf numFmtId="0" fontId="53" fillId="2" borderId="89" xfId="3" applyFont="1" applyFill="1" applyBorder="1"/>
    <xf numFmtId="0" fontId="53" fillId="2" borderId="90" xfId="3" applyFont="1" applyFill="1" applyBorder="1"/>
    <xf numFmtId="165" fontId="52" fillId="2" borderId="85" xfId="3" applyNumberFormat="1" applyFont="1" applyFill="1" applyBorder="1" applyAlignment="1">
      <alignment horizontal="center"/>
    </xf>
    <xf numFmtId="0" fontId="52" fillId="2" borderId="91" xfId="3" applyFont="1" applyFill="1" applyBorder="1" applyAlignment="1">
      <alignment horizontal="center"/>
    </xf>
    <xf numFmtId="0" fontId="50" fillId="2" borderId="92" xfId="3" applyFont="1" applyFill="1" applyBorder="1"/>
    <xf numFmtId="0" fontId="50" fillId="2" borderId="93" xfId="3" applyFont="1" applyFill="1" applyBorder="1"/>
    <xf numFmtId="0" fontId="53" fillId="2" borderId="93" xfId="3" applyFont="1" applyFill="1" applyBorder="1"/>
    <xf numFmtId="0" fontId="53" fillId="2" borderId="94" xfId="3" applyFont="1" applyFill="1" applyBorder="1"/>
    <xf numFmtId="1" fontId="52" fillId="2" borderId="85" xfId="3" applyNumberFormat="1" applyFont="1" applyFill="1" applyBorder="1" applyAlignment="1">
      <alignment horizontal="center"/>
    </xf>
    <xf numFmtId="0" fontId="52" fillId="2" borderId="95" xfId="3" applyFont="1" applyFill="1" applyBorder="1" applyAlignment="1">
      <alignment horizontal="center"/>
    </xf>
    <xf numFmtId="0" fontId="54" fillId="2" borderId="89" xfId="3" applyFont="1" applyFill="1" applyBorder="1"/>
    <xf numFmtId="0" fontId="55" fillId="2" borderId="90" xfId="3" applyFont="1" applyFill="1" applyBorder="1" applyAlignment="1">
      <alignment horizontal="left"/>
    </xf>
    <xf numFmtId="0" fontId="52" fillId="2" borderId="85" xfId="3" applyFont="1" applyFill="1" applyBorder="1" applyAlignment="1">
      <alignment horizontal="center"/>
    </xf>
    <xf numFmtId="0" fontId="46" fillId="0" borderId="12" xfId="3" applyFont="1" applyBorder="1"/>
    <xf numFmtId="0" fontId="46" fillId="0" borderId="15" xfId="3" applyFont="1" applyBorder="1"/>
    <xf numFmtId="0" fontId="50" fillId="2" borderId="97" xfId="3" applyFont="1" applyFill="1" applyBorder="1"/>
    <xf numFmtId="0" fontId="50" fillId="2" borderId="98" xfId="3" applyFont="1" applyFill="1" applyBorder="1"/>
    <xf numFmtId="0" fontId="54" fillId="2" borderId="98" xfId="3" applyFont="1" applyFill="1" applyBorder="1"/>
    <xf numFmtId="0" fontId="52" fillId="2" borderId="99" xfId="3" applyFont="1" applyFill="1" applyBorder="1" applyAlignment="1">
      <alignment horizontal="center"/>
    </xf>
    <xf numFmtId="0" fontId="52" fillId="2" borderId="100" xfId="3" applyFont="1" applyFill="1" applyBorder="1" applyAlignment="1">
      <alignment horizontal="center"/>
    </xf>
    <xf numFmtId="0" fontId="50" fillId="2" borderId="84" xfId="3" quotePrefix="1" applyFont="1" applyFill="1" applyBorder="1" applyAlignment="1">
      <alignment horizontal="left"/>
    </xf>
    <xf numFmtId="0" fontId="47" fillId="0" borderId="90" xfId="3" applyFont="1" applyBorder="1"/>
    <xf numFmtId="0" fontId="45" fillId="0" borderId="15" xfId="3" applyFont="1" applyBorder="1"/>
    <xf numFmtId="0" fontId="50" fillId="2" borderId="32" xfId="3" quotePrefix="1" applyFont="1" applyFill="1" applyBorder="1" applyAlignment="1">
      <alignment horizontal="left"/>
    </xf>
    <xf numFmtId="0" fontId="50" fillId="2" borderId="82" xfId="3" applyFont="1" applyFill="1" applyBorder="1"/>
    <xf numFmtId="0" fontId="53" fillId="2" borderId="82" xfId="3" applyFont="1" applyFill="1" applyBorder="1"/>
    <xf numFmtId="0" fontId="58" fillId="2" borderId="82" xfId="3" applyFont="1" applyFill="1" applyBorder="1" applyAlignment="1">
      <alignment horizontal="right"/>
    </xf>
    <xf numFmtId="49" fontId="52" fillId="2" borderId="82" xfId="3" applyNumberFormat="1" applyFont="1" applyFill="1" applyBorder="1" applyAlignment="1">
      <alignment horizontal="center"/>
    </xf>
    <xf numFmtId="0" fontId="52" fillId="2" borderId="104" xfId="3" applyFont="1" applyFill="1" applyBorder="1" applyAlignment="1">
      <alignment horizontal="center"/>
    </xf>
    <xf numFmtId="0" fontId="50" fillId="2" borderId="85" xfId="3" applyFont="1" applyFill="1" applyBorder="1"/>
    <xf numFmtId="0" fontId="53" fillId="2" borderId="85" xfId="3" applyFont="1" applyFill="1" applyBorder="1"/>
    <xf numFmtId="0" fontId="50" fillId="2" borderId="90" xfId="3" applyFont="1" applyFill="1" applyBorder="1" applyAlignment="1">
      <alignment horizontal="left"/>
    </xf>
    <xf numFmtId="0" fontId="50" fillId="2" borderId="37" xfId="3" quotePrefix="1" applyFont="1" applyFill="1" applyBorder="1" applyAlignment="1">
      <alignment horizontal="left"/>
    </xf>
    <xf numFmtId="0" fontId="50" fillId="2" borderId="99" xfId="3" applyFont="1" applyFill="1" applyBorder="1"/>
    <xf numFmtId="0" fontId="53" fillId="2" borderId="99" xfId="3" applyFont="1" applyFill="1" applyBorder="1"/>
    <xf numFmtId="0" fontId="50" fillId="2" borderId="84" xfId="3" applyFont="1" applyFill="1" applyBorder="1" applyAlignment="1">
      <alignment horizontal="left"/>
    </xf>
    <xf numFmtId="0" fontId="45" fillId="2" borderId="105" xfId="3" applyFont="1" applyFill="1" applyBorder="1"/>
    <xf numFmtId="0" fontId="45" fillId="2" borderId="90" xfId="3" applyFont="1" applyFill="1" applyBorder="1"/>
    <xf numFmtId="0" fontId="50" fillId="2" borderId="84" xfId="3" applyFont="1" applyFill="1" applyBorder="1"/>
    <xf numFmtId="0" fontId="45" fillId="2" borderId="89" xfId="3" applyFont="1" applyFill="1" applyBorder="1"/>
    <xf numFmtId="0" fontId="50" fillId="2" borderId="105" xfId="3" applyFont="1" applyFill="1" applyBorder="1"/>
    <xf numFmtId="0" fontId="58" fillId="2" borderId="90" xfId="3" applyFont="1" applyFill="1" applyBorder="1" applyAlignment="1">
      <alignment horizontal="right"/>
    </xf>
    <xf numFmtId="0" fontId="50" fillId="2" borderId="81" xfId="3" quotePrefix="1" applyFont="1" applyFill="1" applyBorder="1" applyAlignment="1">
      <alignment horizontal="left"/>
    </xf>
    <xf numFmtId="0" fontId="47" fillId="0" borderId="112" xfId="3" applyFont="1" applyBorder="1"/>
    <xf numFmtId="0" fontId="50" fillId="2" borderId="105" xfId="3" quotePrefix="1" applyFont="1" applyFill="1" applyBorder="1" applyAlignment="1">
      <alignment horizontal="left"/>
    </xf>
    <xf numFmtId="0" fontId="45" fillId="2" borderId="85" xfId="3" applyFont="1" applyFill="1" applyBorder="1"/>
    <xf numFmtId="0" fontId="50" fillId="2" borderId="113" xfId="3" applyFont="1" applyFill="1" applyBorder="1" applyAlignment="1">
      <alignment horizontal="left"/>
    </xf>
    <xf numFmtId="0" fontId="50" fillId="2" borderId="89" xfId="3" quotePrefix="1" applyFont="1" applyFill="1" applyBorder="1" applyAlignment="1">
      <alignment horizontal="center"/>
    </xf>
    <xf numFmtId="0" fontId="45" fillId="2" borderId="90" xfId="3" quotePrefix="1" applyFont="1" applyFill="1" applyBorder="1" applyAlignment="1">
      <alignment horizontal="center"/>
    </xf>
    <xf numFmtId="0" fontId="50" fillId="2" borderId="114" xfId="3" applyFont="1" applyFill="1" applyBorder="1"/>
    <xf numFmtId="0" fontId="47" fillId="0" borderId="115" xfId="3" applyFont="1" applyBorder="1"/>
    <xf numFmtId="0" fontId="52" fillId="0" borderId="115" xfId="3" applyFont="1" applyBorder="1" applyAlignment="1">
      <alignment horizontal="center"/>
    </xf>
    <xf numFmtId="0" fontId="52" fillId="0" borderId="116" xfId="3" applyFont="1" applyBorder="1" applyAlignment="1">
      <alignment horizontal="center"/>
    </xf>
    <xf numFmtId="0" fontId="50" fillId="2" borderId="117" xfId="3" applyFont="1" applyFill="1" applyBorder="1" applyAlignment="1">
      <alignment horizontal="center"/>
    </xf>
    <xf numFmtId="0" fontId="50" fillId="2" borderId="98" xfId="3" quotePrefix="1" applyFont="1" applyFill="1" applyBorder="1" applyAlignment="1">
      <alignment horizontal="center"/>
    </xf>
    <xf numFmtId="0" fontId="45" fillId="2" borderId="118" xfId="3" quotePrefix="1" applyFont="1" applyFill="1" applyBorder="1" applyAlignment="1">
      <alignment horizontal="center"/>
    </xf>
    <xf numFmtId="0" fontId="52" fillId="0" borderId="90" xfId="3" applyFont="1" applyBorder="1" applyAlignment="1">
      <alignment horizontal="center"/>
    </xf>
    <xf numFmtId="0" fontId="52" fillId="0" borderId="95" xfId="3" applyFont="1" applyBorder="1" applyAlignment="1">
      <alignment horizontal="center"/>
    </xf>
    <xf numFmtId="0" fontId="52" fillId="0" borderId="12" xfId="3" applyFont="1" applyBorder="1"/>
    <xf numFmtId="0" fontId="59" fillId="0" borderId="15" xfId="3" applyFont="1" applyBorder="1"/>
    <xf numFmtId="0" fontId="41" fillId="0" borderId="121" xfId="3" applyFont="1" applyBorder="1" applyAlignment="1">
      <alignment horizontal="left"/>
    </xf>
    <xf numFmtId="0" fontId="41" fillId="0" borderId="30" xfId="3" applyFont="1" applyBorder="1" applyAlignment="1">
      <alignment horizontal="left"/>
    </xf>
    <xf numFmtId="0" fontId="56" fillId="2" borderId="122" xfId="3" applyFont="1" applyFill="1" applyBorder="1" applyAlignment="1">
      <alignment horizontal="center"/>
    </xf>
    <xf numFmtId="165" fontId="52" fillId="0" borderId="90" xfId="3" applyNumberFormat="1" applyFont="1" applyBorder="1" applyAlignment="1">
      <alignment horizontal="center"/>
    </xf>
    <xf numFmtId="0" fontId="50" fillId="2" borderId="123" xfId="3" applyFont="1" applyFill="1" applyBorder="1" applyAlignment="1">
      <alignment horizontal="left"/>
    </xf>
    <xf numFmtId="0" fontId="45" fillId="2" borderId="124" xfId="3" applyFont="1" applyFill="1" applyBorder="1"/>
    <xf numFmtId="0" fontId="45" fillId="2" borderId="125" xfId="3" applyFont="1" applyFill="1" applyBorder="1"/>
    <xf numFmtId="0" fontId="52" fillId="2" borderId="126" xfId="3" applyFont="1" applyFill="1" applyBorder="1" applyAlignment="1">
      <alignment horizontal="center"/>
    </xf>
    <xf numFmtId="0" fontId="47" fillId="0" borderId="99" xfId="3" applyFont="1" applyBorder="1"/>
    <xf numFmtId="0" fontId="47" fillId="0" borderId="100" xfId="3" applyFont="1" applyBorder="1"/>
    <xf numFmtId="0" fontId="47" fillId="0" borderId="106" xfId="3" applyFont="1" applyBorder="1"/>
    <xf numFmtId="0" fontId="50" fillId="2" borderId="115" xfId="3" applyFont="1" applyFill="1" applyBorder="1"/>
    <xf numFmtId="0" fontId="58" fillId="2" borderId="85" xfId="3" applyFont="1" applyFill="1" applyBorder="1" applyAlignment="1">
      <alignment horizontal="right" shrinkToFit="1"/>
    </xf>
    <xf numFmtId="0" fontId="52" fillId="2" borderId="127" xfId="3" applyFont="1" applyFill="1" applyBorder="1" applyAlignment="1">
      <alignment horizontal="center"/>
    </xf>
    <xf numFmtId="0" fontId="50" fillId="2" borderId="32" xfId="3" applyFont="1" applyFill="1" applyBorder="1"/>
    <xf numFmtId="0" fontId="50" fillId="2" borderId="79" xfId="3" applyFont="1" applyFill="1" applyBorder="1"/>
    <xf numFmtId="0" fontId="58" fillId="2" borderId="85" xfId="3" applyFont="1" applyFill="1" applyBorder="1" applyAlignment="1">
      <alignment horizontal="right"/>
    </xf>
    <xf numFmtId="2" fontId="52" fillId="2" borderId="85" xfId="3" applyNumberFormat="1" applyFont="1" applyFill="1" applyBorder="1" applyAlignment="1">
      <alignment horizontal="center"/>
    </xf>
    <xf numFmtId="0" fontId="58" fillId="2" borderId="79" xfId="3" applyFont="1" applyFill="1" applyBorder="1" applyAlignment="1">
      <alignment horizontal="right"/>
    </xf>
    <xf numFmtId="0" fontId="58" fillId="2" borderId="85" xfId="3" applyFont="1" applyFill="1" applyBorder="1"/>
    <xf numFmtId="0" fontId="61" fillId="0" borderId="0" xfId="3" applyFont="1"/>
    <xf numFmtId="0" fontId="50" fillId="2" borderId="128" xfId="3" applyFont="1" applyFill="1" applyBorder="1"/>
    <xf numFmtId="0" fontId="50" fillId="2" borderId="129" xfId="3" applyFont="1" applyFill="1" applyBorder="1"/>
    <xf numFmtId="0" fontId="50" fillId="2" borderId="130" xfId="3" applyFont="1" applyFill="1" applyBorder="1"/>
    <xf numFmtId="0" fontId="58" fillId="2" borderId="130" xfId="3" applyFont="1" applyFill="1" applyBorder="1"/>
    <xf numFmtId="165" fontId="52" fillId="2" borderId="130" xfId="3" applyNumberFormat="1" applyFont="1" applyFill="1" applyBorder="1" applyAlignment="1">
      <alignment horizontal="center"/>
    </xf>
    <xf numFmtId="0" fontId="50" fillId="2" borderId="94" xfId="3" applyFont="1" applyFill="1" applyBorder="1"/>
    <xf numFmtId="0" fontId="50" fillId="2" borderId="122" xfId="3" applyFont="1" applyFill="1" applyBorder="1" applyAlignment="1">
      <alignment horizontal="left"/>
    </xf>
    <xf numFmtId="0" fontId="50" fillId="2" borderId="94" xfId="3" applyFont="1" applyFill="1" applyBorder="1" applyAlignment="1">
      <alignment horizontal="left"/>
    </xf>
    <xf numFmtId="1" fontId="52" fillId="2" borderId="82" xfId="3" applyNumberFormat="1" applyFont="1" applyFill="1" applyBorder="1" applyAlignment="1">
      <alignment horizontal="center"/>
    </xf>
    <xf numFmtId="0" fontId="62" fillId="0" borderId="0" xfId="3" quotePrefix="1" applyFont="1" applyAlignment="1">
      <alignment horizontal="left"/>
    </xf>
    <xf numFmtId="0" fontId="47" fillId="0" borderId="0" xfId="4" applyFont="1"/>
    <xf numFmtId="0" fontId="50" fillId="2" borderId="0" xfId="3" applyFont="1" applyFill="1"/>
    <xf numFmtId="0" fontId="50" fillId="2" borderId="105" xfId="3" applyFont="1" applyFill="1" applyBorder="1" applyAlignment="1">
      <alignment horizontal="left"/>
    </xf>
    <xf numFmtId="165" fontId="52" fillId="2" borderId="91" xfId="3" applyNumberFormat="1" applyFont="1" applyFill="1" applyBorder="1" applyAlignment="1">
      <alignment horizontal="center"/>
    </xf>
    <xf numFmtId="1" fontId="47" fillId="0" borderId="0" xfId="3" applyNumberFormat="1" applyFont="1"/>
    <xf numFmtId="0" fontId="50" fillId="2" borderId="10" xfId="3" applyFont="1" applyFill="1" applyBorder="1"/>
    <xf numFmtId="0" fontId="50" fillId="2" borderId="126" xfId="3" applyFont="1" applyFill="1" applyBorder="1" applyAlignment="1">
      <alignment horizontal="left"/>
    </xf>
    <xf numFmtId="0" fontId="50" fillId="2" borderId="118" xfId="3" applyFont="1" applyFill="1" applyBorder="1" applyAlignment="1">
      <alignment horizontal="left"/>
    </xf>
    <xf numFmtId="1" fontId="52" fillId="2" borderId="99" xfId="3" applyNumberFormat="1" applyFont="1" applyFill="1" applyBorder="1" applyAlignment="1">
      <alignment horizontal="center"/>
    </xf>
    <xf numFmtId="0" fontId="41" fillId="2" borderId="101" xfId="3" applyFont="1" applyFill="1" applyBorder="1" applyAlignment="1">
      <alignment horizontal="left"/>
    </xf>
    <xf numFmtId="0" fontId="41" fillId="2" borderId="102" xfId="3" applyFont="1" applyFill="1" applyBorder="1" applyAlignment="1">
      <alignment horizontal="left"/>
    </xf>
    <xf numFmtId="0" fontId="41" fillId="2" borderId="103" xfId="3" applyFont="1" applyFill="1" applyBorder="1" applyAlignment="1">
      <alignment horizontal="left"/>
    </xf>
    <xf numFmtId="0" fontId="43" fillId="2" borderId="32" xfId="3" applyFont="1" applyFill="1" applyBorder="1"/>
    <xf numFmtId="0" fontId="47" fillId="2" borderId="93" xfId="3" applyFont="1" applyFill="1" applyBorder="1" applyAlignment="1">
      <alignment horizontal="left"/>
    </xf>
    <xf numFmtId="0" fontId="47" fillId="2" borderId="104" xfId="3" applyFont="1" applyFill="1" applyBorder="1" applyAlignment="1">
      <alignment horizontal="left"/>
    </xf>
    <xf numFmtId="0" fontId="43" fillId="2" borderId="89" xfId="3" applyFont="1" applyFill="1" applyBorder="1" applyAlignment="1">
      <alignment horizontal="left"/>
    </xf>
    <xf numFmtId="0" fontId="43" fillId="2" borderId="95" xfId="3" applyFont="1" applyFill="1" applyBorder="1" applyAlignment="1">
      <alignment horizontal="left"/>
    </xf>
    <xf numFmtId="0" fontId="63" fillId="0" borderId="0" xfId="3" applyFont="1"/>
    <xf numFmtId="0" fontId="50" fillId="0" borderId="131" xfId="3" applyFont="1" applyBorder="1"/>
    <xf numFmtId="0" fontId="50" fillId="2" borderId="134" xfId="3" applyFont="1" applyFill="1" applyBorder="1"/>
    <xf numFmtId="0" fontId="65" fillId="2" borderId="135" xfId="3" applyFont="1" applyFill="1" applyBorder="1" applyAlignment="1">
      <alignment horizontal="center" shrinkToFit="1"/>
    </xf>
    <xf numFmtId="0" fontId="43" fillId="2" borderId="7" xfId="3" applyFont="1" applyFill="1" applyBorder="1"/>
    <xf numFmtId="0" fontId="50" fillId="2" borderId="136" xfId="3" applyFont="1" applyFill="1" applyBorder="1"/>
    <xf numFmtId="0" fontId="50" fillId="2" borderId="13" xfId="3" applyFont="1" applyFill="1" applyBorder="1"/>
    <xf numFmtId="14" fontId="45" fillId="2" borderId="139" xfId="3" applyNumberFormat="1" applyFont="1" applyFill="1" applyBorder="1" applyAlignment="1">
      <alignment horizontal="center"/>
    </xf>
    <xf numFmtId="0" fontId="43" fillId="0" borderId="13" xfId="3" applyFont="1" applyBorder="1"/>
    <xf numFmtId="0" fontId="43" fillId="2" borderId="140" xfId="3" applyFont="1" applyFill="1" applyBorder="1" applyAlignment="1">
      <alignment horizontal="left"/>
    </xf>
    <xf numFmtId="0" fontId="43" fillId="2" borderId="141" xfId="3" applyFont="1" applyFill="1" applyBorder="1" applyAlignment="1">
      <alignment horizontal="left"/>
    </xf>
    <xf numFmtId="0" fontId="43" fillId="0" borderId="0" xfId="3" applyFont="1"/>
    <xf numFmtId="0" fontId="26" fillId="0" borderId="0" xfId="2" applyFont="1" applyAlignment="1">
      <alignment horizontal="right"/>
    </xf>
    <xf numFmtId="0" fontId="37" fillId="0" borderId="0" xfId="2" applyFont="1"/>
    <xf numFmtId="0" fontId="68" fillId="0" borderId="0" xfId="2" applyFont="1"/>
    <xf numFmtId="0" fontId="69" fillId="0" borderId="70" xfId="2" applyFont="1" applyBorder="1" applyAlignment="1">
      <alignment horizontal="center"/>
    </xf>
    <xf numFmtId="0" fontId="69" fillId="0" borderId="43" xfId="2" applyFont="1" applyBorder="1" applyAlignment="1">
      <alignment horizontal="center"/>
    </xf>
    <xf numFmtId="0" fontId="68" fillId="0" borderId="33" xfId="2" applyFont="1" applyBorder="1" applyAlignment="1">
      <alignment horizontal="center"/>
    </xf>
    <xf numFmtId="0" fontId="69" fillId="0" borderId="33" xfId="2" applyFont="1" applyBorder="1" applyAlignment="1">
      <alignment horizontal="center"/>
    </xf>
    <xf numFmtId="0" fontId="69" fillId="0" borderId="33" xfId="2" applyFont="1" applyBorder="1" applyAlignment="1">
      <alignment horizontal="right"/>
    </xf>
    <xf numFmtId="0" fontId="68" fillId="0" borderId="35" xfId="2" applyFont="1" applyBorder="1" applyAlignment="1">
      <alignment horizontal="center"/>
    </xf>
    <xf numFmtId="0" fontId="68" fillId="0" borderId="36" xfId="2" quotePrefix="1" applyFont="1" applyBorder="1" applyAlignment="1">
      <alignment horizontal="center"/>
    </xf>
    <xf numFmtId="0" fontId="68" fillId="0" borderId="36" xfId="2" applyFont="1" applyBorder="1" applyAlignment="1">
      <alignment horizontal="center"/>
    </xf>
    <xf numFmtId="0" fontId="69" fillId="0" borderId="0" xfId="2" applyFont="1" applyAlignment="1">
      <alignment horizontal="right"/>
    </xf>
    <xf numFmtId="0" fontId="41" fillId="2" borderId="29" xfId="3" applyFont="1" applyFill="1" applyBorder="1"/>
    <xf numFmtId="0" fontId="41" fillId="2" borderId="30" xfId="3" applyFont="1" applyFill="1" applyBorder="1"/>
    <xf numFmtId="0" fontId="41" fillId="2" borderId="71" xfId="3" applyFont="1" applyFill="1" applyBorder="1"/>
    <xf numFmtId="167" fontId="47" fillId="0" borderId="0" xfId="5" applyNumberFormat="1" applyFont="1"/>
    <xf numFmtId="9" fontId="45" fillId="0" borderId="0" xfId="5" applyFont="1"/>
    <xf numFmtId="0" fontId="47" fillId="8" borderId="0" xfId="3" applyFont="1" applyFill="1"/>
    <xf numFmtId="9" fontId="45" fillId="8" borderId="0" xfId="5" applyFont="1" applyFill="1"/>
    <xf numFmtId="0" fontId="45" fillId="8" borderId="0" xfId="3" applyFont="1" applyFill="1"/>
    <xf numFmtId="14" fontId="47" fillId="0" borderId="0" xfId="3" applyNumberFormat="1" applyFont="1"/>
    <xf numFmtId="0" fontId="72" fillId="2" borderId="89" xfId="4" applyFont="1" applyFill="1" applyBorder="1" applyAlignment="1">
      <alignment horizontal="left"/>
    </xf>
    <xf numFmtId="0" fontId="72" fillId="2" borderId="89" xfId="3" applyFont="1" applyFill="1" applyBorder="1" applyAlignment="1">
      <alignment horizontal="left"/>
    </xf>
    <xf numFmtId="0" fontId="43" fillId="9" borderId="89" xfId="3" applyFont="1" applyFill="1" applyBorder="1" applyAlignment="1">
      <alignment horizontal="left"/>
    </xf>
    <xf numFmtId="0" fontId="43" fillId="9" borderId="95" xfId="3" applyFont="1" applyFill="1" applyBorder="1" applyAlignment="1">
      <alignment horizontal="left"/>
    </xf>
    <xf numFmtId="0" fontId="73" fillId="9" borderId="89" xfId="3" applyFont="1" applyFill="1" applyBorder="1" applyAlignment="1">
      <alignment horizontal="left"/>
    </xf>
    <xf numFmtId="167" fontId="74" fillId="9" borderId="0" xfId="5" applyNumberFormat="1" applyFont="1" applyFill="1"/>
    <xf numFmtId="0" fontId="41" fillId="0" borderId="121" xfId="3" applyFont="1" applyBorder="1" applyAlignment="1">
      <alignment horizontal="left"/>
    </xf>
    <xf numFmtId="0" fontId="41" fillId="0" borderId="30" xfId="3" applyFont="1" applyBorder="1" applyAlignment="1">
      <alignment horizontal="left"/>
    </xf>
    <xf numFmtId="14" fontId="45" fillId="2" borderId="137" xfId="3" applyNumberFormat="1" applyFont="1" applyFill="1" applyBorder="1" applyAlignment="1">
      <alignment horizontal="center"/>
    </xf>
    <xf numFmtId="14" fontId="45" fillId="2" borderId="138" xfId="3" applyNumberFormat="1" applyFont="1" applyFill="1" applyBorder="1" applyAlignment="1">
      <alignment horizontal="center"/>
    </xf>
    <xf numFmtId="0" fontId="47" fillId="0" borderId="7" xfId="3" applyFont="1" applyBorder="1" applyAlignment="1">
      <alignment horizontal="center"/>
    </xf>
    <xf numFmtId="0" fontId="47" fillId="0" borderId="0" xfId="3" applyFont="1" applyAlignment="1">
      <alignment horizontal="center"/>
    </xf>
    <xf numFmtId="0" fontId="47" fillId="0" borderId="20" xfId="3" applyFont="1" applyBorder="1" applyAlignment="1">
      <alignment horizontal="center"/>
    </xf>
    <xf numFmtId="0" fontId="47" fillId="0" borderId="8" xfId="3" applyFont="1" applyBorder="1" applyAlignment="1">
      <alignment horizontal="center"/>
    </xf>
    <xf numFmtId="0" fontId="47" fillId="0" borderId="10" xfId="3" applyFont="1" applyBorder="1" applyAlignment="1">
      <alignment horizontal="center"/>
    </xf>
    <xf numFmtId="0" fontId="47" fillId="0" borderId="9" xfId="3" applyFont="1" applyBorder="1" applyAlignment="1">
      <alignment horizontal="center"/>
    </xf>
    <xf numFmtId="0" fontId="41" fillId="0" borderId="31" xfId="3" applyFont="1" applyBorder="1" applyAlignment="1">
      <alignment horizontal="left"/>
    </xf>
    <xf numFmtId="0" fontId="47" fillId="0" borderId="12" xfId="3" applyFont="1" applyBorder="1" applyAlignment="1">
      <alignment horizontal="center"/>
    </xf>
    <xf numFmtId="0" fontId="47" fillId="0" borderId="13" xfId="3" applyFont="1" applyBorder="1" applyAlignment="1">
      <alignment horizontal="center"/>
    </xf>
    <xf numFmtId="0" fontId="47" fillId="0" borderId="14" xfId="3" applyFont="1" applyBorder="1" applyAlignment="1">
      <alignment horizontal="center"/>
    </xf>
    <xf numFmtId="0" fontId="64" fillId="2" borderId="132" xfId="3" applyFont="1" applyFill="1" applyBorder="1" applyAlignment="1">
      <alignment horizontal="center"/>
    </xf>
    <xf numFmtId="0" fontId="64" fillId="2" borderId="133" xfId="3" applyFont="1" applyFill="1" applyBorder="1" applyAlignment="1">
      <alignment horizontal="center"/>
    </xf>
    <xf numFmtId="0" fontId="50" fillId="2" borderId="96" xfId="3" quotePrefix="1" applyFont="1" applyFill="1" applyBorder="1" applyAlignment="1">
      <alignment horizontal="left"/>
    </xf>
    <xf numFmtId="0" fontId="50" fillId="2" borderId="89" xfId="3" quotePrefix="1" applyFont="1" applyFill="1" applyBorder="1" applyAlignment="1">
      <alignment horizontal="left"/>
    </xf>
    <xf numFmtId="0" fontId="50" fillId="2" borderId="90" xfId="3" quotePrefix="1" applyFont="1" applyFill="1" applyBorder="1" applyAlignment="1">
      <alignment horizontal="left"/>
    </xf>
    <xf numFmtId="2" fontId="52" fillId="2" borderId="86" xfId="3" applyNumberFormat="1" applyFont="1" applyFill="1" applyBorder="1" applyAlignment="1">
      <alignment horizontal="center"/>
    </xf>
    <xf numFmtId="2" fontId="52" fillId="2" borderId="87" xfId="3" applyNumberFormat="1" applyFont="1" applyFill="1" applyBorder="1" applyAlignment="1">
      <alignment horizontal="center"/>
    </xf>
    <xf numFmtId="0" fontId="52" fillId="2" borderId="86" xfId="3" applyFont="1" applyFill="1" applyBorder="1" applyAlignment="1">
      <alignment horizontal="center"/>
    </xf>
    <xf numFmtId="0" fontId="52" fillId="2" borderId="87" xfId="3" applyFont="1" applyFill="1" applyBorder="1" applyAlignment="1">
      <alignment horizontal="center"/>
    </xf>
    <xf numFmtId="0" fontId="41" fillId="0" borderId="101" xfId="3" applyFont="1" applyBorder="1" applyAlignment="1">
      <alignment horizontal="left"/>
    </xf>
    <xf numFmtId="0" fontId="41" fillId="0" borderId="102" xfId="3" applyFont="1" applyBorder="1" applyAlignment="1">
      <alignment horizontal="left"/>
    </xf>
    <xf numFmtId="0" fontId="41" fillId="0" borderId="103" xfId="3" applyFont="1" applyBorder="1" applyAlignment="1">
      <alignment horizontal="left"/>
    </xf>
    <xf numFmtId="165" fontId="52" fillId="2" borderId="86" xfId="3" applyNumberFormat="1" applyFont="1" applyFill="1" applyBorder="1" applyAlignment="1">
      <alignment horizontal="center"/>
    </xf>
    <xf numFmtId="165" fontId="52" fillId="2" borderId="87" xfId="3" applyNumberFormat="1" applyFont="1" applyFill="1" applyBorder="1" applyAlignment="1">
      <alignment horizontal="center"/>
    </xf>
    <xf numFmtId="0" fontId="50" fillId="2" borderId="106" xfId="3" applyFont="1" applyFill="1" applyBorder="1" applyAlignment="1">
      <alignment horizontal="center"/>
    </xf>
    <xf numFmtId="0" fontId="50" fillId="2" borderId="107" xfId="3" applyFont="1" applyFill="1" applyBorder="1" applyAlignment="1">
      <alignment horizontal="center"/>
    </xf>
    <xf numFmtId="0" fontId="50" fillId="2" borderId="32" xfId="3" applyFont="1" applyFill="1" applyBorder="1" applyAlignment="1">
      <alignment horizontal="center"/>
    </xf>
    <xf numFmtId="0" fontId="50" fillId="2" borderId="0" xfId="3" applyFont="1" applyFill="1" applyAlignment="1">
      <alignment horizontal="center"/>
    </xf>
    <xf numFmtId="0" fontId="50" fillId="2" borderId="37" xfId="3" applyFont="1" applyFill="1" applyBorder="1" applyAlignment="1">
      <alignment horizontal="center"/>
    </xf>
    <xf numFmtId="0" fontId="50" fillId="2" borderId="10" xfId="3" applyFont="1" applyFill="1" applyBorder="1" applyAlignment="1">
      <alignment horizontal="center"/>
    </xf>
    <xf numFmtId="0" fontId="50" fillId="2" borderId="108" xfId="3" applyFont="1" applyFill="1" applyBorder="1" applyAlignment="1">
      <alignment horizontal="left"/>
    </xf>
    <xf numFmtId="0" fontId="50" fillId="2" borderId="109" xfId="3" applyFont="1" applyFill="1" applyBorder="1" applyAlignment="1">
      <alignment horizontal="left"/>
    </xf>
    <xf numFmtId="0" fontId="50" fillId="2" borderId="110" xfId="3" applyFont="1" applyFill="1" applyBorder="1" applyAlignment="1">
      <alignment horizontal="left"/>
    </xf>
    <xf numFmtId="0" fontId="52" fillId="2" borderId="111" xfId="3" applyFont="1" applyFill="1" applyBorder="1" applyAlignment="1">
      <alignment horizontal="center"/>
    </xf>
    <xf numFmtId="0" fontId="52" fillId="0" borderId="111" xfId="3" applyFont="1" applyBorder="1" applyAlignment="1">
      <alignment horizontal="center"/>
    </xf>
    <xf numFmtId="0" fontId="52" fillId="0" borderId="87" xfId="3" applyFont="1" applyBorder="1" applyAlignment="1">
      <alignment horizontal="center"/>
    </xf>
    <xf numFmtId="0" fontId="50" fillId="2" borderId="96" xfId="3" applyFont="1" applyFill="1" applyBorder="1" applyAlignment="1">
      <alignment horizontal="left"/>
    </xf>
    <xf numFmtId="0" fontId="50" fillId="2" borderId="89" xfId="3" applyFont="1" applyFill="1" applyBorder="1" applyAlignment="1">
      <alignment horizontal="left"/>
    </xf>
    <xf numFmtId="0" fontId="50" fillId="2" borderId="90" xfId="3" applyFont="1" applyFill="1" applyBorder="1" applyAlignment="1">
      <alignment horizontal="left"/>
    </xf>
    <xf numFmtId="0" fontId="52" fillId="0" borderId="86" xfId="3" applyFont="1" applyBorder="1" applyAlignment="1">
      <alignment horizontal="center"/>
    </xf>
    <xf numFmtId="170" fontId="52" fillId="2" borderId="86" xfId="3" applyNumberFormat="1" applyFont="1" applyFill="1" applyBorder="1" applyAlignment="1">
      <alignment horizontal="center"/>
    </xf>
    <xf numFmtId="170" fontId="52" fillId="2" borderId="87" xfId="3" applyNumberFormat="1" applyFont="1" applyFill="1" applyBorder="1" applyAlignment="1">
      <alignment horizontal="center"/>
    </xf>
    <xf numFmtId="1" fontId="52" fillId="2" borderId="86" xfId="3" applyNumberFormat="1" applyFont="1" applyFill="1" applyBorder="1" applyAlignment="1">
      <alignment horizontal="center"/>
    </xf>
    <xf numFmtId="1" fontId="52" fillId="2" borderId="87" xfId="3" applyNumberFormat="1" applyFont="1" applyFill="1" applyBorder="1" applyAlignment="1">
      <alignment horizontal="center"/>
    </xf>
    <xf numFmtId="1" fontId="52" fillId="2" borderId="119" xfId="3" applyNumberFormat="1" applyFont="1" applyFill="1" applyBorder="1" applyAlignment="1">
      <alignment horizontal="center"/>
    </xf>
    <xf numFmtId="1" fontId="52" fillId="2" borderId="120" xfId="3" applyNumberFormat="1" applyFont="1" applyFill="1" applyBorder="1" applyAlignment="1">
      <alignment horizontal="center"/>
    </xf>
    <xf numFmtId="0" fontId="47" fillId="0" borderId="126" xfId="3" applyFont="1" applyBorder="1" applyAlignment="1">
      <alignment horizontal="left"/>
    </xf>
    <xf numFmtId="0" fontId="47" fillId="0" borderId="98" xfId="3" applyFont="1" applyBorder="1" applyAlignment="1">
      <alignment horizontal="left"/>
    </xf>
    <xf numFmtId="0" fontId="50" fillId="0" borderId="96" xfId="3" applyFont="1" applyBorder="1" applyAlignment="1">
      <alignment horizontal="left"/>
    </xf>
    <xf numFmtId="0" fontId="50" fillId="0" borderId="89" xfId="3" applyFont="1" applyBorder="1" applyAlignment="1">
      <alignment horizontal="left"/>
    </xf>
    <xf numFmtId="0" fontId="50" fillId="0" borderId="90" xfId="3" applyFont="1" applyBorder="1" applyAlignment="1">
      <alignment horizontal="left"/>
    </xf>
    <xf numFmtId="165" fontId="52" fillId="0" borderId="86" xfId="3" applyNumberFormat="1" applyFont="1" applyBorder="1" applyAlignment="1">
      <alignment horizontal="center"/>
    </xf>
    <xf numFmtId="165" fontId="52" fillId="0" borderId="87" xfId="3" applyNumberFormat="1" applyFont="1" applyBorder="1" applyAlignment="1">
      <alignment horizontal="center"/>
    </xf>
    <xf numFmtId="0" fontId="50" fillId="0" borderId="84" xfId="3" applyFont="1" applyBorder="1" applyAlignment="1">
      <alignment horizontal="left"/>
    </xf>
    <xf numFmtId="0" fontId="50" fillId="0" borderId="85" xfId="3" applyFont="1" applyBorder="1" applyAlignment="1">
      <alignment horizontal="left"/>
    </xf>
    <xf numFmtId="2" fontId="52" fillId="0" borderId="86" xfId="3" applyNumberFormat="1" applyFont="1" applyBorder="1" applyAlignment="1">
      <alignment horizontal="center"/>
    </xf>
    <xf numFmtId="2" fontId="52" fillId="0" borderId="87" xfId="3" applyNumberFormat="1" applyFont="1" applyBorder="1" applyAlignment="1">
      <alignment horizontal="center"/>
    </xf>
    <xf numFmtId="0" fontId="37" fillId="0" borderId="0" xfId="3" applyFont="1" applyAlignment="1">
      <alignment horizontal="center"/>
    </xf>
    <xf numFmtId="0" fontId="40" fillId="2" borderId="0" xfId="3" applyFont="1" applyFill="1" applyAlignment="1">
      <alignment horizontal="center"/>
    </xf>
    <xf numFmtId="0" fontId="42" fillId="2" borderId="13" xfId="3" applyFont="1" applyFill="1" applyBorder="1" applyAlignment="1">
      <alignment horizontal="center"/>
    </xf>
    <xf numFmtId="0" fontId="48" fillId="2" borderId="3" xfId="3" applyFont="1" applyFill="1" applyBorder="1" applyAlignment="1">
      <alignment horizontal="left"/>
    </xf>
    <xf numFmtId="0" fontId="48" fillId="2" borderId="5" xfId="3" applyFont="1" applyFill="1" applyBorder="1" applyAlignment="1">
      <alignment horizontal="left"/>
    </xf>
    <xf numFmtId="0" fontId="50" fillId="0" borderId="81" xfId="3" applyFont="1" applyBorder="1" applyAlignment="1">
      <alignment horizontal="left"/>
    </xf>
    <xf numFmtId="0" fontId="50" fillId="0" borderId="82" xfId="3" applyFont="1" applyBorder="1" applyAlignment="1">
      <alignment horizontal="left"/>
    </xf>
    <xf numFmtId="0" fontId="51" fillId="2" borderId="83" xfId="3" applyFont="1" applyFill="1" applyBorder="1" applyAlignment="1">
      <alignment horizontal="center"/>
    </xf>
    <xf numFmtId="0" fontId="51" fillId="2" borderId="79" xfId="3" applyFont="1" applyFill="1" applyBorder="1" applyAlignment="1">
      <alignment horizontal="center"/>
    </xf>
    <xf numFmtId="0" fontId="41" fillId="2" borderId="29" xfId="3" applyFont="1" applyFill="1" applyBorder="1" applyAlignment="1">
      <alignment horizontal="left"/>
    </xf>
    <xf numFmtId="0" fontId="41" fillId="2" borderId="30" xfId="3" applyFont="1" applyFill="1" applyBorder="1" applyAlignment="1">
      <alignment horizontal="left"/>
    </xf>
    <xf numFmtId="0" fontId="41" fillId="2" borderId="71" xfId="3" applyFont="1" applyFill="1" applyBorder="1" applyAlignment="1">
      <alignment horizontal="left"/>
    </xf>
    <xf numFmtId="164" fontId="13" fillId="0" borderId="28" xfId="1" applyFont="1" applyBorder="1" applyAlignment="1" applyProtection="1">
      <alignment horizontal="center"/>
      <protection locked="0"/>
    </xf>
    <xf numFmtId="14" fontId="14" fillId="0" borderId="28" xfId="1" quotePrefix="1" applyNumberFormat="1" applyFont="1" applyBorder="1" applyAlignment="1" applyProtection="1">
      <alignment horizontal="center"/>
      <protection locked="0"/>
    </xf>
    <xf numFmtId="0" fontId="16" fillId="0" borderId="34" xfId="2" applyFont="1" applyBorder="1" applyAlignment="1">
      <alignment horizontal="center"/>
    </xf>
    <xf numFmtId="0" fontId="16" fillId="0" borderId="35" xfId="2" applyFont="1" applyBorder="1" applyAlignment="1">
      <alignment horizontal="center"/>
    </xf>
    <xf numFmtId="0" fontId="16" fillId="0" borderId="36" xfId="2" applyFont="1" applyBorder="1" applyAlignment="1">
      <alignment horizontal="center"/>
    </xf>
    <xf numFmtId="0" fontId="18" fillId="0" borderId="32" xfId="2" applyFont="1" applyBorder="1" applyAlignment="1">
      <alignment horizontal="center"/>
    </xf>
    <xf numFmtId="0" fontId="18" fillId="0" borderId="0" xfId="2" applyFont="1" applyAlignment="1">
      <alignment horizontal="center"/>
    </xf>
    <xf numFmtId="0" fontId="18" fillId="0" borderId="20" xfId="2" applyFont="1" applyBorder="1" applyAlignment="1">
      <alignment horizontal="center"/>
    </xf>
    <xf numFmtId="0" fontId="22" fillId="0" borderId="32" xfId="2" applyFont="1" applyBorder="1" applyAlignment="1">
      <alignment horizontal="center"/>
    </xf>
    <xf numFmtId="0" fontId="22" fillId="0" borderId="0" xfId="2" applyFont="1" applyAlignment="1">
      <alignment horizontal="center"/>
    </xf>
    <xf numFmtId="0" fontId="22" fillId="0" borderId="20" xfId="2" applyFont="1" applyBorder="1" applyAlignment="1">
      <alignment horizontal="center"/>
    </xf>
    <xf numFmtId="0" fontId="15" fillId="0" borderId="38" xfId="2" applyBorder="1" applyAlignment="1">
      <alignment horizontal="center"/>
    </xf>
    <xf numFmtId="0" fontId="15" fillId="0" borderId="39" xfId="2" applyBorder="1" applyAlignment="1">
      <alignment horizontal="center"/>
    </xf>
    <xf numFmtId="0" fontId="15" fillId="0" borderId="40" xfId="2" applyBorder="1" applyAlignment="1">
      <alignment horizontal="center"/>
    </xf>
    <xf numFmtId="0" fontId="68" fillId="0" borderId="34" xfId="2" applyFont="1" applyBorder="1" applyAlignment="1">
      <alignment horizontal="right"/>
    </xf>
    <xf numFmtId="0" fontId="68" fillId="0" borderId="35" xfId="2" applyFont="1" applyBorder="1" applyAlignment="1">
      <alignment horizontal="right"/>
    </xf>
    <xf numFmtId="0" fontId="44" fillId="0" borderId="0" xfId="2" applyFont="1" applyAlignment="1">
      <alignment horizontal="center"/>
    </xf>
    <xf numFmtId="0" fontId="69" fillId="0" borderId="0" xfId="2" applyFont="1" applyAlignment="1">
      <alignment horizontal="right"/>
    </xf>
    <xf numFmtId="0" fontId="68" fillId="0" borderId="33" xfId="2" applyFont="1" applyBorder="1" applyAlignment="1">
      <alignment horizontal="center"/>
    </xf>
    <xf numFmtId="0" fontId="44" fillId="0" borderId="34" xfId="2" applyFont="1" applyBorder="1" applyAlignment="1">
      <alignment horizontal="center"/>
    </xf>
    <xf numFmtId="0" fontId="44" fillId="0" borderId="35" xfId="2" applyFont="1" applyBorder="1" applyAlignment="1">
      <alignment horizontal="center"/>
    </xf>
    <xf numFmtId="0" fontId="44" fillId="0" borderId="36" xfId="2" applyFont="1" applyBorder="1" applyAlignment="1">
      <alignment horizontal="center"/>
    </xf>
    <xf numFmtId="0" fontId="69" fillId="0" borderId="33" xfId="2" applyFont="1" applyBorder="1" applyAlignment="1">
      <alignment horizontal="center"/>
    </xf>
    <xf numFmtId="0" fontId="26" fillId="0" borderId="0" xfId="2" applyFont="1" applyAlignment="1">
      <alignment horizontal="center"/>
    </xf>
    <xf numFmtId="0" fontId="70" fillId="0" borderId="34" xfId="2" applyFont="1" applyBorder="1" applyAlignment="1">
      <alignment horizontal="center"/>
    </xf>
    <xf numFmtId="0" fontId="75" fillId="0" borderId="0" xfId="3" applyFont="1"/>
  </cellXfs>
  <cellStyles count="6">
    <cellStyle name="Normal" xfId="0" builtinId="0"/>
    <cellStyle name="Normal 2" xfId="3" xr:uid="{FA2E2BBD-807F-457E-B354-9A3C9C66E850}"/>
    <cellStyle name="Normal 3" xfId="2" xr:uid="{715D1E76-ABC6-453E-955B-0D784404DCBB}"/>
    <cellStyle name="Normal 4" xfId="1" xr:uid="{7EE4A505-9C93-40BC-BA21-74603A4E9B25}"/>
    <cellStyle name="Normal_OPTEST" xfId="4" xr:uid="{E0D582EB-585E-46BD-85B9-FE8E537FC019}"/>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964642350740643"/>
          <c:y val="2.1013255695979179E-2"/>
        </c:manualLayout>
      </c:layout>
      <c:overlay val="0"/>
      <c:spPr>
        <a:noFill/>
        <a:ln w="25400">
          <a:noFill/>
        </a:ln>
      </c:spPr>
    </c:title>
    <c:autoTitleDeleted val="0"/>
    <c:plotArea>
      <c:layout>
        <c:manualLayout>
          <c:layoutTarget val="inner"/>
          <c:xMode val="edge"/>
          <c:yMode val="edge"/>
          <c:x val="0.16982326707498097"/>
          <c:y val="0.1134708694282645"/>
          <c:w val="0.67929306829992386"/>
          <c:h val="0.68082521656958694"/>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0.01</c:v>
                </c:pt>
                <c:pt idx="2">
                  <c:v>0.05</c:v>
                </c:pt>
                <c:pt idx="3" formatCode="0.00">
                  <c:v>0.1</c:v>
                </c:pt>
                <c:pt idx="4" formatCode="0.00">
                  <c:v>0.15</c:v>
                </c:pt>
                <c:pt idx="5" formatCode="0.00">
                  <c:v>0.2</c:v>
                </c:pt>
                <c:pt idx="6" formatCode="0.00">
                  <c:v>0.3</c:v>
                </c:pt>
                <c:pt idx="7" formatCode="0.00">
                  <c:v>0.4</c:v>
                </c:pt>
                <c:pt idx="8" formatCode="0.00">
                  <c:v>0.5</c:v>
                </c:pt>
                <c:pt idx="9" formatCode="0.00">
                  <c:v>0.6</c:v>
                </c:pt>
                <c:pt idx="10" formatCode="0.00">
                  <c:v>0.7</c:v>
                </c:pt>
                <c:pt idx="11" formatCode="0.00">
                  <c:v>0.8</c:v>
                </c:pt>
                <c:pt idx="12" formatCode="0.00">
                  <c:v>0.9</c:v>
                </c:pt>
                <c:pt idx="13" formatCode="0.00">
                  <c:v>1</c:v>
                </c:pt>
              </c:numCache>
            </c:numRef>
          </c:xVal>
          <c:yVal>
            <c:numRef>
              <c:f>(DesignSheet!$B$59:$B$68,DesignSheet!$E$59:$E$62)</c:f>
              <c:numCache>
                <c:formatCode>0.0</c:formatCode>
                <c:ptCount val="14"/>
                <c:pt idx="0">
                  <c:v>0</c:v>
                </c:pt>
                <c:pt idx="1">
                  <c:v>172.3902508155191</c:v>
                </c:pt>
                <c:pt idx="2">
                  <c:v>338.01356311847553</c:v>
                </c:pt>
                <c:pt idx="3">
                  <c:v>259.024792450593</c:v>
                </c:pt>
                <c:pt idx="4">
                  <c:v>214.72144398768665</c:v>
                </c:pt>
                <c:pt idx="5">
                  <c:v>193.62575739598589</c:v>
                </c:pt>
                <c:pt idx="6">
                  <c:v>176.61341845816253</c:v>
                </c:pt>
                <c:pt idx="7">
                  <c:v>168.7074349112838</c:v>
                </c:pt>
                <c:pt idx="8">
                  <c:v>162.16014212471745</c:v>
                </c:pt>
                <c:pt idx="9">
                  <c:v>155.78203263158386</c:v>
                </c:pt>
                <c:pt idx="10">
                  <c:v>149.63994195476928</c:v>
                </c:pt>
                <c:pt idx="11">
                  <c:v>143.90813520846527</c:v>
                </c:pt>
                <c:pt idx="12">
                  <c:v>138.62258954471417</c:v>
                </c:pt>
                <c:pt idx="13">
                  <c:v>133.89956264072188</c:v>
                </c:pt>
              </c:numCache>
            </c:numRef>
          </c:yVal>
          <c:smooth val="1"/>
          <c:extLst>
            <c:ext xmlns:c16="http://schemas.microsoft.com/office/drawing/2014/chart" uri="{C3380CC4-5D6E-409C-BE32-E72D297353CC}">
              <c16:uniqueId val="{00000000-B80F-45D8-ABE3-92873B6FC956}"/>
            </c:ext>
          </c:extLst>
        </c:ser>
        <c:dLbls>
          <c:showLegendKey val="0"/>
          <c:showVal val="0"/>
          <c:showCatName val="0"/>
          <c:showSerName val="0"/>
          <c:showPercent val="0"/>
          <c:showBubbleSize val="0"/>
        </c:dLbls>
        <c:axId val="1172775688"/>
        <c:axId val="1"/>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0.01</c:v>
                </c:pt>
                <c:pt idx="2">
                  <c:v>0.05</c:v>
                </c:pt>
                <c:pt idx="3" formatCode="0.00">
                  <c:v>0.1</c:v>
                </c:pt>
                <c:pt idx="4" formatCode="0.00">
                  <c:v>0.15</c:v>
                </c:pt>
                <c:pt idx="5" formatCode="0.00">
                  <c:v>0.2</c:v>
                </c:pt>
                <c:pt idx="6" formatCode="0.00">
                  <c:v>0.3</c:v>
                </c:pt>
                <c:pt idx="7" formatCode="0.00">
                  <c:v>0.4</c:v>
                </c:pt>
                <c:pt idx="8" formatCode="0.00">
                  <c:v>0.5</c:v>
                </c:pt>
                <c:pt idx="9" formatCode="0.00">
                  <c:v>0.6</c:v>
                </c:pt>
                <c:pt idx="10" formatCode="0.00">
                  <c:v>0.7</c:v>
                </c:pt>
                <c:pt idx="11" formatCode="0.00">
                  <c:v>0.8</c:v>
                </c:pt>
                <c:pt idx="12" formatCode="0.00">
                  <c:v>0.9</c:v>
                </c:pt>
                <c:pt idx="13" formatCode="0.00">
                  <c:v>1</c:v>
                </c:pt>
              </c:numCache>
            </c:numRef>
          </c:xVal>
          <c:yVal>
            <c:numRef>
              <c:f>(DesignSheet!$C$59:$C$68,DesignSheet!$F$59:$F$62)</c:f>
              <c:numCache>
                <c:formatCode>0.0</c:formatCode>
                <c:ptCount val="14"/>
                <c:pt idx="0">
                  <c:v>0</c:v>
                </c:pt>
                <c:pt idx="1">
                  <c:v>255.12759399414063</c:v>
                </c:pt>
                <c:pt idx="2">
                  <c:v>773.72955322265625</c:v>
                </c:pt>
                <c:pt idx="3">
                  <c:v>909.608642578125</c:v>
                </c:pt>
                <c:pt idx="4">
                  <c:v>945.1734619140625</c:v>
                </c:pt>
                <c:pt idx="5">
                  <c:v>959.37158203125</c:v>
                </c:pt>
                <c:pt idx="6">
                  <c:v>972.1224365234375</c:v>
                </c:pt>
                <c:pt idx="7">
                  <c:v>980.104248046875</c:v>
                </c:pt>
                <c:pt idx="8">
                  <c:v>987.08966064453125</c:v>
                </c:pt>
                <c:pt idx="9">
                  <c:v>993.45465087890625</c:v>
                </c:pt>
                <c:pt idx="10">
                  <c:v>999.1475830078125</c:v>
                </c:pt>
                <c:pt idx="11">
                  <c:v>1004.1593017578125</c:v>
                </c:pt>
                <c:pt idx="12">
                  <c:v>1008.3631591796875</c:v>
                </c:pt>
                <c:pt idx="13">
                  <c:v>1012.2077026367188</c:v>
                </c:pt>
              </c:numCache>
            </c:numRef>
          </c:yVal>
          <c:smooth val="1"/>
          <c:extLst>
            <c:ext xmlns:c16="http://schemas.microsoft.com/office/drawing/2014/chart" uri="{C3380CC4-5D6E-409C-BE32-E72D297353CC}">
              <c16:uniqueId val="{00000001-B80F-45D8-ABE3-92873B6FC956}"/>
            </c:ext>
          </c:extLst>
        </c:ser>
        <c:dLbls>
          <c:showLegendKey val="0"/>
          <c:showVal val="0"/>
          <c:showCatName val="0"/>
          <c:showSerName val="0"/>
          <c:showPercent val="0"/>
          <c:showBubbleSize val="0"/>
        </c:dLbls>
        <c:axId val="3"/>
        <c:axId val="4"/>
      </c:scatterChart>
      <c:valAx>
        <c:axId val="1172775688"/>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751078528976983"/>
              <c:y val="0.8909565716050199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391649319697107E-2"/>
              <c:y val="0.2899812523434570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172775688"/>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a:t>
                </a:r>
              </a:p>
            </c:rich>
          </c:tx>
          <c:layout>
            <c:manualLayout>
              <c:xMode val="edge"/>
              <c:yMode val="edge"/>
              <c:x val="0.92683199082873269"/>
              <c:y val="0.2563603079026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39122880692545009"/>
          <c:y val="2.8517110266159697E-2"/>
        </c:manualLayout>
      </c:layout>
      <c:overlay val="0"/>
      <c:spPr>
        <a:noFill/>
        <a:ln w="25400">
          <a:noFill/>
        </a:ln>
      </c:spPr>
    </c:title>
    <c:autoTitleDeleted val="0"/>
    <c:plotArea>
      <c:layout>
        <c:manualLayout>
          <c:layoutTarget val="inner"/>
          <c:xMode val="edge"/>
          <c:yMode val="edge"/>
          <c:x val="0.13859672868134712"/>
          <c:y val="0.14068454124263052"/>
          <c:w val="0.71228192208388519"/>
          <c:h val="0.63308043559183735"/>
        </c:manualLayout>
      </c:layout>
      <c:scatterChart>
        <c:scatterStyle val="smoothMarker"/>
        <c:varyColors val="0"/>
        <c:ser>
          <c:idx val="0"/>
          <c:order val="0"/>
          <c:tx>
            <c:v>Torque (FV / 0.80)</c:v>
          </c:tx>
          <c:spPr>
            <a:ln w="25400">
              <a:solidFill>
                <a:srgbClr val="000000"/>
              </a:solidFill>
              <a:prstDash val="solid"/>
            </a:ln>
          </c:spPr>
          <c:marker>
            <c:symbol val="none"/>
          </c:marker>
          <c:xVal>
            <c:numRef>
              <c:f>STCurve!$A$54:$A$67</c:f>
              <c:numCache>
                <c:formatCode>0.0</c:formatCode>
                <c:ptCount val="14"/>
                <c:pt idx="0">
                  <c:v>100</c:v>
                </c:pt>
                <c:pt idx="1">
                  <c:v>99.200000055134296</c:v>
                </c:pt>
                <c:pt idx="2">
                  <c:v>96.000000089406967</c:v>
                </c:pt>
                <c:pt idx="3">
                  <c:v>90.947368741035461</c:v>
                </c:pt>
                <c:pt idx="4">
                  <c:v>85.894736647605896</c:v>
                </c:pt>
                <c:pt idx="5">
                  <c:v>80.842104554176331</c:v>
                </c:pt>
                <c:pt idx="6">
                  <c:v>70.7368403673172</c:v>
                </c:pt>
                <c:pt idx="7">
                  <c:v>60.631579160690308</c:v>
                </c:pt>
                <c:pt idx="8">
                  <c:v>50.526314973831177</c:v>
                </c:pt>
                <c:pt idx="9">
                  <c:v>40.421050786972046</c:v>
                </c:pt>
                <c:pt idx="10">
                  <c:v>30.315792560577393</c:v>
                </c:pt>
                <c:pt idx="11">
                  <c:v>20.210522413253784</c:v>
                </c:pt>
                <c:pt idx="12">
                  <c:v>10.105264186859131</c:v>
                </c:pt>
                <c:pt idx="13">
                  <c:v>0</c:v>
                </c:pt>
              </c:numCache>
            </c:numRef>
          </c:xVal>
          <c:yVal>
            <c:numRef>
              <c:f>STCurve!$B$54:$B$67</c:f>
              <c:numCache>
                <c:formatCode>0.0</c:formatCode>
                <c:ptCount val="14"/>
                <c:pt idx="0">
                  <c:v>0</c:v>
                </c:pt>
                <c:pt idx="1">
                  <c:v>109.6521252316408</c:v>
                </c:pt>
                <c:pt idx="2">
                  <c:v>215</c:v>
                </c:pt>
                <c:pt idx="3">
                  <c:v>146.7691145754126</c:v>
                </c:pt>
                <c:pt idx="4">
                  <c:v>116.85355088653151</c:v>
                </c:pt>
                <c:pt idx="5">
                  <c:v>104.57849682727522</c:v>
                </c:pt>
                <c:pt idx="6">
                  <c:v>97.672794606912049</c:v>
                </c:pt>
                <c:pt idx="7">
                  <c:v>94.685376035447604</c:v>
                </c:pt>
                <c:pt idx="8">
                  <c:v>92.860141020113687</c:v>
                </c:pt>
                <c:pt idx="9">
                  <c:v>91.66323367039476</c:v>
                </c:pt>
                <c:pt idx="10">
                  <c:v>90.897040095978994</c:v>
                </c:pt>
                <c:pt idx="11">
                  <c:v>90.42714756115187</c:v>
                </c:pt>
                <c:pt idx="12">
                  <c:v>90.150608070899466</c:v>
                </c:pt>
                <c:pt idx="13">
                  <c:v>90</c:v>
                </c:pt>
              </c:numCache>
            </c:numRef>
          </c:yVal>
          <c:smooth val="1"/>
          <c:extLst>
            <c:ext xmlns:c16="http://schemas.microsoft.com/office/drawing/2014/chart" uri="{C3380CC4-5D6E-409C-BE32-E72D297353CC}">
              <c16:uniqueId val="{00000000-C26B-443F-A4D4-AF09A8584808}"/>
            </c:ext>
          </c:extLst>
        </c:ser>
        <c:dLbls>
          <c:showLegendKey val="0"/>
          <c:showVal val="0"/>
          <c:showCatName val="0"/>
          <c:showSerName val="0"/>
          <c:showPercent val="0"/>
          <c:showBubbleSize val="0"/>
        </c:dLbls>
        <c:axId val="807277576"/>
        <c:axId val="1"/>
      </c:scatterChart>
      <c:scatterChart>
        <c:scatterStyle val="lineMarker"/>
        <c:varyColors val="0"/>
        <c:ser>
          <c:idx val="2"/>
          <c:order val="2"/>
          <c:tx>
            <c:v>Load (Fan / Pump)</c:v>
          </c:tx>
          <c:spPr>
            <a:ln w="25400">
              <a:solidFill>
                <a:srgbClr val="000000"/>
              </a:solidFill>
              <a:prstDash val="sysDash"/>
            </a:ln>
            <a:effectLst/>
          </c:spPr>
          <c:marker>
            <c:symbol val="none"/>
          </c:marker>
          <c:xVal>
            <c:numRef>
              <c:f>STCurve!$A$54:$A$67</c:f>
              <c:numCache>
                <c:formatCode>0.0</c:formatCode>
                <c:ptCount val="14"/>
                <c:pt idx="0">
                  <c:v>100</c:v>
                </c:pt>
                <c:pt idx="1">
                  <c:v>99.200000055134296</c:v>
                </c:pt>
                <c:pt idx="2">
                  <c:v>96.000000089406967</c:v>
                </c:pt>
                <c:pt idx="3">
                  <c:v>90.947368741035461</c:v>
                </c:pt>
                <c:pt idx="4">
                  <c:v>85.894736647605896</c:v>
                </c:pt>
                <c:pt idx="5">
                  <c:v>80.842104554176331</c:v>
                </c:pt>
                <c:pt idx="6">
                  <c:v>70.7368403673172</c:v>
                </c:pt>
                <c:pt idx="7">
                  <c:v>60.631579160690308</c:v>
                </c:pt>
                <c:pt idx="8">
                  <c:v>50.526314973831177</c:v>
                </c:pt>
                <c:pt idx="9">
                  <c:v>40.421050786972046</c:v>
                </c:pt>
                <c:pt idx="10">
                  <c:v>30.315792560577393</c:v>
                </c:pt>
                <c:pt idx="11">
                  <c:v>20.210522413253784</c:v>
                </c:pt>
                <c:pt idx="12">
                  <c:v>10.105264186859131</c:v>
                </c:pt>
                <c:pt idx="13">
                  <c:v>0</c:v>
                </c:pt>
              </c:numCache>
            </c:numRef>
          </c:xVal>
          <c:yVal>
            <c:numRef>
              <c:f>STCurve!$D$54:$D$67</c:f>
              <c:numCache>
                <c:formatCode>0.0</c:formatCode>
                <c:ptCount val="14"/>
                <c:pt idx="0">
                  <c:v>100</c:v>
                </c:pt>
                <c:pt idx="1">
                  <c:v>98.400001525878906</c:v>
                </c:pt>
                <c:pt idx="2">
                  <c:v>89.75</c:v>
                </c:pt>
                <c:pt idx="3">
                  <c:v>76.463157653808594</c:v>
                </c:pt>
                <c:pt idx="4">
                  <c:v>63.326316833496094</c:v>
                </c:pt>
                <c:pt idx="5">
                  <c:v>51.852630615234375</c:v>
                </c:pt>
                <c:pt idx="6">
                  <c:v>34.252628326416016</c:v>
                </c:pt>
                <c:pt idx="7">
                  <c:v>22.694736480712891</c:v>
                </c:pt>
                <c:pt idx="8">
                  <c:v>14.421051979064941</c:v>
                </c:pt>
                <c:pt idx="9">
                  <c:v>8.2526302337646484</c:v>
                </c:pt>
                <c:pt idx="10">
                  <c:v>6.0631585121154785</c:v>
                </c:pt>
                <c:pt idx="11">
                  <c:v>7.9578952789306641</c:v>
                </c:pt>
                <c:pt idx="12">
                  <c:v>14.926315307617188</c:v>
                </c:pt>
                <c:pt idx="13">
                  <c:v>30</c:v>
                </c:pt>
              </c:numCache>
            </c:numRef>
          </c:yVal>
          <c:smooth val="1"/>
          <c:extLst>
            <c:ext xmlns:c16="http://schemas.microsoft.com/office/drawing/2014/chart" uri="{C3380CC4-5D6E-409C-BE32-E72D297353CC}">
              <c16:uniqueId val="{00000001-C26B-443F-A4D4-AF09A8584808}"/>
            </c:ext>
          </c:extLst>
        </c:ser>
        <c:ser>
          <c:idx val="3"/>
          <c:order val="3"/>
          <c:spPr>
            <a:ln w="25400">
              <a:solidFill>
                <a:srgbClr val="000000"/>
              </a:solidFill>
              <a:prstDash val="solid"/>
            </a:ln>
            <a:effectLst/>
          </c:spPr>
          <c:marker>
            <c:symbol val="none"/>
          </c:marker>
          <c:xVal>
            <c:numRef>
              <c:f>STCurve!$A$54:$A$67</c:f>
              <c:numCache>
                <c:formatCode>0.0</c:formatCode>
                <c:ptCount val="14"/>
                <c:pt idx="0">
                  <c:v>100</c:v>
                </c:pt>
                <c:pt idx="1">
                  <c:v>99.200000055134296</c:v>
                </c:pt>
                <c:pt idx="2">
                  <c:v>96.000000089406967</c:v>
                </c:pt>
                <c:pt idx="3">
                  <c:v>90.947368741035461</c:v>
                </c:pt>
                <c:pt idx="4">
                  <c:v>85.894736647605896</c:v>
                </c:pt>
                <c:pt idx="5">
                  <c:v>80.842104554176331</c:v>
                </c:pt>
                <c:pt idx="6">
                  <c:v>70.7368403673172</c:v>
                </c:pt>
                <c:pt idx="7">
                  <c:v>60.631579160690308</c:v>
                </c:pt>
                <c:pt idx="8">
                  <c:v>50.526314973831177</c:v>
                </c:pt>
                <c:pt idx="9">
                  <c:v>40.421050786972046</c:v>
                </c:pt>
                <c:pt idx="10">
                  <c:v>30.315792560577393</c:v>
                </c:pt>
                <c:pt idx="11">
                  <c:v>20.210522413253784</c:v>
                </c:pt>
                <c:pt idx="12">
                  <c:v>10.105264186859131</c:v>
                </c:pt>
                <c:pt idx="13">
                  <c:v>0</c:v>
                </c:pt>
              </c:numCache>
            </c:numRef>
          </c:xVal>
          <c:yVal>
            <c:numRef>
              <c:f>STCurve!$E$54:$E$67</c:f>
              <c:numCache>
                <c:formatCode>0.0</c:formatCode>
                <c:ptCount val="14"/>
                <c:pt idx="0">
                  <c:v>0</c:v>
                </c:pt>
                <c:pt idx="1">
                  <c:v>70.177360489885771</c:v>
                </c:pt>
                <c:pt idx="2">
                  <c:v>137.60000410079959</c:v>
                </c:pt>
                <c:pt idx="3">
                  <c:v>93.932239127523815</c:v>
                </c:pt>
                <c:pt idx="4">
                  <c:v>74.786276642867179</c:v>
                </c:pt>
                <c:pt idx="5">
                  <c:v>66.930241252489083</c:v>
                </c:pt>
                <c:pt idx="6">
                  <c:v>62.510592683273295</c:v>
                </c:pt>
                <c:pt idx="7">
                  <c:v>60.598644384105299</c:v>
                </c:pt>
                <c:pt idx="8">
                  <c:v>59.430490052416587</c:v>
                </c:pt>
                <c:pt idx="9">
                  <c:v>58.664469521774897</c:v>
                </c:pt>
                <c:pt idx="10">
                  <c:v>58.17410817903599</c:v>
                </c:pt>
                <c:pt idx="11">
                  <c:v>57.873375748198463</c:v>
                </c:pt>
                <c:pt idx="12">
                  <c:v>57.696393321048973</c:v>
                </c:pt>
                <c:pt idx="13">
                  <c:v>57.600001716613782</c:v>
                </c:pt>
              </c:numCache>
            </c:numRef>
          </c:yVal>
          <c:smooth val="1"/>
          <c:extLst>
            <c:ext xmlns:c16="http://schemas.microsoft.com/office/drawing/2014/chart" uri="{C3380CC4-5D6E-409C-BE32-E72D297353CC}">
              <c16:uniqueId val="{00000002-C26B-443F-A4D4-AF09A8584808}"/>
            </c:ext>
          </c:extLst>
        </c:ser>
        <c:dLbls>
          <c:showLegendKey val="0"/>
          <c:showVal val="0"/>
          <c:showCatName val="0"/>
          <c:showSerName val="0"/>
          <c:showPercent val="0"/>
          <c:showBubbleSize val="0"/>
        </c:dLbls>
        <c:axId val="807277576"/>
        <c:axId val="1"/>
      </c:scatterChart>
      <c:scatterChart>
        <c:scatterStyle val="lineMarker"/>
        <c:varyColors val="0"/>
        <c:ser>
          <c:idx val="1"/>
          <c:order val="1"/>
          <c:tx>
            <c:v>Current (FV / 0.80)</c:v>
          </c:tx>
          <c:spPr>
            <a:ln w="25400">
              <a:solidFill>
                <a:srgbClr val="000000"/>
              </a:solidFill>
              <a:prstDash val="lgDash"/>
            </a:ln>
          </c:spPr>
          <c:marker>
            <c:symbol val="none"/>
          </c:marker>
          <c:xVal>
            <c:numRef>
              <c:f>STCurve!$A$54:$A$67</c:f>
              <c:numCache>
                <c:formatCode>0.0</c:formatCode>
                <c:ptCount val="14"/>
                <c:pt idx="0">
                  <c:v>100</c:v>
                </c:pt>
                <c:pt idx="1">
                  <c:v>99.200000055134296</c:v>
                </c:pt>
                <c:pt idx="2">
                  <c:v>96.000000089406967</c:v>
                </c:pt>
                <c:pt idx="3">
                  <c:v>90.947368741035461</c:v>
                </c:pt>
                <c:pt idx="4">
                  <c:v>85.894736647605896</c:v>
                </c:pt>
                <c:pt idx="5">
                  <c:v>80.842104554176331</c:v>
                </c:pt>
                <c:pt idx="6">
                  <c:v>70.7368403673172</c:v>
                </c:pt>
                <c:pt idx="7">
                  <c:v>60.631579160690308</c:v>
                </c:pt>
                <c:pt idx="8">
                  <c:v>50.526314973831177</c:v>
                </c:pt>
                <c:pt idx="9">
                  <c:v>40.421050786972046</c:v>
                </c:pt>
                <c:pt idx="10">
                  <c:v>30.315792560577393</c:v>
                </c:pt>
                <c:pt idx="11">
                  <c:v>20.210522413253784</c:v>
                </c:pt>
                <c:pt idx="12">
                  <c:v>10.105264186859131</c:v>
                </c:pt>
                <c:pt idx="13">
                  <c:v>0</c:v>
                </c:pt>
              </c:numCache>
            </c:numRef>
          </c:xVal>
          <c:yVal>
            <c:numRef>
              <c:f>STCurve!$C$54:$C$67</c:f>
              <c:numCache>
                <c:formatCode>0.0</c:formatCode>
                <c:ptCount val="14"/>
                <c:pt idx="0">
                  <c:v>0.22980530560016632</c:v>
                </c:pt>
                <c:pt idx="1">
                  <c:v>156.70252990722656</c:v>
                </c:pt>
                <c:pt idx="2">
                  <c:v>475.23428344726563</c:v>
                </c:pt>
                <c:pt idx="3">
                  <c:v>558.69293212890625</c:v>
                </c:pt>
                <c:pt idx="4">
                  <c:v>580.53729248046875</c:v>
                </c:pt>
                <c:pt idx="5">
                  <c:v>589.2579345703125</c:v>
                </c:pt>
                <c:pt idx="6">
                  <c:v>597.08966064453125</c:v>
                </c:pt>
                <c:pt idx="7">
                  <c:v>601.9921875</c:v>
                </c:pt>
                <c:pt idx="8">
                  <c:v>606.28271484375</c:v>
                </c:pt>
                <c:pt idx="9">
                  <c:v>610.19219970703125</c:v>
                </c:pt>
                <c:pt idx="10">
                  <c:v>613.6888427734375</c:v>
                </c:pt>
                <c:pt idx="11">
                  <c:v>616.76708984375</c:v>
                </c:pt>
                <c:pt idx="12">
                  <c:v>619.34918212890625</c:v>
                </c:pt>
                <c:pt idx="13">
                  <c:v>621.71051025390625</c:v>
                </c:pt>
              </c:numCache>
            </c:numRef>
          </c:yVal>
          <c:smooth val="1"/>
          <c:extLst>
            <c:ext xmlns:c16="http://schemas.microsoft.com/office/drawing/2014/chart" uri="{C3380CC4-5D6E-409C-BE32-E72D297353CC}">
              <c16:uniqueId val="{00000003-C26B-443F-A4D4-AF09A8584808}"/>
            </c:ext>
          </c:extLst>
        </c:ser>
        <c:ser>
          <c:idx val="4"/>
          <c:order val="4"/>
          <c:spPr>
            <a:ln w="25400">
              <a:solidFill>
                <a:srgbClr val="000000"/>
              </a:solidFill>
              <a:prstDash val="lgDash"/>
            </a:ln>
            <a:effectLst/>
          </c:spPr>
          <c:marker>
            <c:symbol val="none"/>
          </c:marker>
          <c:xVal>
            <c:numRef>
              <c:f>STCurve!$A$54:$A$67</c:f>
              <c:numCache>
                <c:formatCode>0.0</c:formatCode>
                <c:ptCount val="14"/>
                <c:pt idx="0">
                  <c:v>100</c:v>
                </c:pt>
                <c:pt idx="1">
                  <c:v>99.200000055134296</c:v>
                </c:pt>
                <c:pt idx="2">
                  <c:v>96.000000089406967</c:v>
                </c:pt>
                <c:pt idx="3">
                  <c:v>90.947368741035461</c:v>
                </c:pt>
                <c:pt idx="4">
                  <c:v>85.894736647605896</c:v>
                </c:pt>
                <c:pt idx="5">
                  <c:v>80.842104554176331</c:v>
                </c:pt>
                <c:pt idx="6">
                  <c:v>70.7368403673172</c:v>
                </c:pt>
                <c:pt idx="7">
                  <c:v>60.631579160690308</c:v>
                </c:pt>
                <c:pt idx="8">
                  <c:v>50.526314973831177</c:v>
                </c:pt>
                <c:pt idx="9">
                  <c:v>40.421050786972046</c:v>
                </c:pt>
                <c:pt idx="10">
                  <c:v>30.315792560577393</c:v>
                </c:pt>
                <c:pt idx="11">
                  <c:v>20.210522413253784</c:v>
                </c:pt>
                <c:pt idx="12">
                  <c:v>10.105264186859131</c:v>
                </c:pt>
                <c:pt idx="13">
                  <c:v>0</c:v>
                </c:pt>
              </c:numCache>
            </c:numRef>
          </c:xVal>
          <c:yVal>
            <c:numRef>
              <c:f>STCurve!$F$54:$F$67</c:f>
              <c:numCache>
                <c:formatCode>0.0</c:formatCode>
                <c:ptCount val="14"/>
                <c:pt idx="0">
                  <c:v>27.944326400756836</c:v>
                </c:pt>
                <c:pt idx="1">
                  <c:v>125.36202239990234</c:v>
                </c:pt>
                <c:pt idx="2">
                  <c:v>380.18743896484375</c:v>
                </c:pt>
                <c:pt idx="3">
                  <c:v>446.954345703125</c:v>
                </c:pt>
                <c:pt idx="4">
                  <c:v>464.42984008789063</c:v>
                </c:pt>
                <c:pt idx="5">
                  <c:v>471.40634155273438</c:v>
                </c:pt>
                <c:pt idx="6">
                  <c:v>477.67172241210938</c:v>
                </c:pt>
                <c:pt idx="7">
                  <c:v>481.59375</c:v>
                </c:pt>
                <c:pt idx="8">
                  <c:v>485.02618408203125</c:v>
                </c:pt>
                <c:pt idx="9">
                  <c:v>488.15377807617188</c:v>
                </c:pt>
                <c:pt idx="10">
                  <c:v>490.95108032226563</c:v>
                </c:pt>
                <c:pt idx="11">
                  <c:v>493.41366577148438</c:v>
                </c:pt>
                <c:pt idx="12">
                  <c:v>495.47933959960938</c:v>
                </c:pt>
                <c:pt idx="13">
                  <c:v>497.368408203125</c:v>
                </c:pt>
              </c:numCache>
            </c:numRef>
          </c:yVal>
          <c:smooth val="1"/>
          <c:extLst>
            <c:ext xmlns:c16="http://schemas.microsoft.com/office/drawing/2014/chart" uri="{C3380CC4-5D6E-409C-BE32-E72D297353CC}">
              <c16:uniqueId val="{00000004-C26B-443F-A4D4-AF09A8584808}"/>
            </c:ext>
          </c:extLst>
        </c:ser>
        <c:dLbls>
          <c:showLegendKey val="0"/>
          <c:showVal val="0"/>
          <c:showCatName val="0"/>
          <c:showSerName val="0"/>
          <c:showPercent val="0"/>
          <c:showBubbleSize val="0"/>
        </c:dLbls>
        <c:axId val="3"/>
        <c:axId val="4"/>
      </c:scatterChart>
      <c:valAx>
        <c:axId val="807277576"/>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7186075424"/>
              <c:y val="0.8460084029420276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
        <c:crosses val="autoZero"/>
        <c:crossBetween val="midCat"/>
        <c:majorUnit val="20"/>
        <c:minorUnit val="20"/>
      </c:valAx>
      <c:valAx>
        <c:axId val="1"/>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175438596492E-2"/>
              <c:y val="0.2965781463628833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807277576"/>
        <c:crosses val="autoZero"/>
        <c:crossBetween val="midCat"/>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75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306119629783"/>
              <c:y val="0.29277586499406205"/>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3"/>
        <c:crosses val="max"/>
        <c:crossBetween val="midCat"/>
        <c:majorUnit val="150"/>
      </c:valAx>
      <c:spPr>
        <a:solidFill>
          <a:srgbClr val="FFFFFF"/>
        </a:solidFill>
        <a:ln w="12700">
          <a:solidFill>
            <a:srgbClr val="000000"/>
          </a:solidFill>
          <a:prstDash val="solid"/>
        </a:ln>
      </c:spPr>
    </c:plotArea>
    <c:legend>
      <c:legendPos val="r"/>
      <c:legendEntry>
        <c:idx val="2"/>
        <c:delete val="1"/>
      </c:legendEntry>
      <c:legendEntry>
        <c:idx val="4"/>
        <c:delete val="1"/>
      </c:legendEntry>
      <c:layout>
        <c:manualLayout>
          <c:xMode val="edge"/>
          <c:yMode val="edge"/>
          <c:x val="0.34210581572040333"/>
          <c:y val="0.89036835224494282"/>
          <c:w val="0.24147497352304645"/>
          <c:h val="0.10963164775505724"/>
        </c:manualLayout>
      </c:layout>
      <c:overlay val="0"/>
      <c:spPr>
        <a:solidFill>
          <a:srgbClr val="FFFFFF"/>
        </a:solidFill>
        <a:ln w="25400">
          <a:noFill/>
        </a:ln>
      </c:spPr>
      <c:txPr>
        <a:bodyPr/>
        <a:lstStyle/>
        <a:p>
          <a:pPr>
            <a:defRPr sz="84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6"/>
          <c:y val="2.3668656149350608E-2"/>
          <c:w val="0.81921824104234531"/>
          <c:h val="0.86834382247930042"/>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621.71052631578948</c:v>
                </c:pt>
                <c:pt idx="1">
                  <c:v>600</c:v>
                </c:pt>
                <c:pt idx="2">
                  <c:v>500</c:v>
                </c:pt>
                <c:pt idx="3">
                  <c:v>400</c:v>
                </c:pt>
              </c:numCache>
            </c:numRef>
          </c:xVal>
          <c:yVal>
            <c:numRef>
              <c:f>Thermdam!$B$68:$B$71</c:f>
              <c:numCache>
                <c:formatCode>0.00</c:formatCode>
                <c:ptCount val="4"/>
                <c:pt idx="0">
                  <c:v>24.848041534423828</c:v>
                </c:pt>
                <c:pt idx="1">
                  <c:v>26.678788535028612</c:v>
                </c:pt>
                <c:pt idx="2">
                  <c:v>38.417455490441206</c:v>
                </c:pt>
                <c:pt idx="3">
                  <c:v>60.027274203814386</c:v>
                </c:pt>
              </c:numCache>
            </c:numRef>
          </c:yVal>
          <c:smooth val="1"/>
          <c:extLst>
            <c:ext xmlns:c16="http://schemas.microsoft.com/office/drawing/2014/chart" uri="{C3380CC4-5D6E-409C-BE32-E72D297353CC}">
              <c16:uniqueId val="{00000000-9625-4E30-80F7-86F42C5B7313}"/>
            </c:ext>
          </c:extLst>
        </c:ser>
        <c:ser>
          <c:idx val="1"/>
          <c:order val="1"/>
          <c:tx>
            <c:v>Hot Stall</c:v>
          </c:tx>
          <c:spPr>
            <a:ln w="25400">
              <a:solidFill>
                <a:srgbClr val="996666"/>
              </a:solidFill>
              <a:prstDash val="solid"/>
            </a:ln>
          </c:spPr>
          <c:marker>
            <c:symbol val="none"/>
          </c:marker>
          <c:xVal>
            <c:numRef>
              <c:f>Thermdam!$A$68:$A$71</c:f>
              <c:numCache>
                <c:formatCode>0</c:formatCode>
                <c:ptCount val="4"/>
                <c:pt idx="0">
                  <c:v>621.71052631578948</c:v>
                </c:pt>
                <c:pt idx="1">
                  <c:v>600</c:v>
                </c:pt>
                <c:pt idx="2">
                  <c:v>500</c:v>
                </c:pt>
                <c:pt idx="3">
                  <c:v>400</c:v>
                </c:pt>
              </c:numCache>
            </c:numRef>
          </c:xVal>
          <c:yVal>
            <c:numRef>
              <c:f>Thermdam!$C$68:$C$71</c:f>
              <c:numCache>
                <c:formatCode>0.00</c:formatCode>
                <c:ptCount val="4"/>
                <c:pt idx="0">
                  <c:v>11.483563014439175</c:v>
                </c:pt>
                <c:pt idx="1">
                  <c:v>12.329645733506396</c:v>
                </c:pt>
                <c:pt idx="2">
                  <c:v>17.754689856249215</c:v>
                </c:pt>
                <c:pt idx="3">
                  <c:v>27.741702900389395</c:v>
                </c:pt>
              </c:numCache>
            </c:numRef>
          </c:yVal>
          <c:smooth val="1"/>
          <c:extLst>
            <c:ext xmlns:c16="http://schemas.microsoft.com/office/drawing/2014/chart" uri="{C3380CC4-5D6E-409C-BE32-E72D297353CC}">
              <c16:uniqueId val="{00000001-9625-4E30-80F7-86F42C5B7313}"/>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300</c:v>
                </c:pt>
                <c:pt idx="1">
                  <c:v>200</c:v>
                </c:pt>
                <c:pt idx="2">
                  <c:v>215</c:v>
                </c:pt>
                <c:pt idx="3" formatCode="General">
                  <c:v>180</c:v>
                </c:pt>
                <c:pt idx="4" formatCode="General">
                  <c:v>120</c:v>
                </c:pt>
                <c:pt idx="5" formatCode="General">
                  <c:v>110</c:v>
                </c:pt>
                <c:pt idx="6" formatCode="General">
                  <c:v>110</c:v>
                </c:pt>
                <c:pt idx="7" formatCode="General">
                  <c:v>110</c:v>
                </c:pt>
              </c:numCache>
            </c:numRef>
          </c:xVal>
          <c:yVal>
            <c:numRef>
              <c:f>Thermdam!$C$72:$C$79</c:f>
              <c:numCache>
                <c:formatCode>0.00</c:formatCode>
                <c:ptCount val="8"/>
                <c:pt idx="2">
                  <c:v>96.023200953213689</c:v>
                </c:pt>
                <c:pt idx="3">
                  <c:v>136.99606370562663</c:v>
                </c:pt>
                <c:pt idx="4">
                  <c:v>308.24114333765988</c:v>
                </c:pt>
                <c:pt idx="5" formatCode="0">
                  <c:v>700</c:v>
                </c:pt>
                <c:pt idx="6" formatCode="0">
                  <c:v>1400</c:v>
                </c:pt>
                <c:pt idx="7" formatCode="General">
                  <c:v>10000</c:v>
                </c:pt>
              </c:numCache>
            </c:numRef>
          </c:yVal>
          <c:smooth val="1"/>
          <c:extLst>
            <c:ext xmlns:c16="http://schemas.microsoft.com/office/drawing/2014/chart" uri="{C3380CC4-5D6E-409C-BE32-E72D297353CC}">
              <c16:uniqueId val="{00000002-9625-4E30-80F7-86F42C5B7313}"/>
            </c:ext>
          </c:extLst>
        </c:ser>
        <c:ser>
          <c:idx val="3"/>
          <c:order val="3"/>
          <c:tx>
            <c:v>Acceleration Curve</c:v>
          </c:tx>
          <c:spPr>
            <a:ln w="25400">
              <a:solidFill>
                <a:srgbClr val="336666"/>
              </a:solidFill>
              <a:prstDash val="solid"/>
            </a:ln>
          </c:spPr>
          <c:marker>
            <c:symbol val="none"/>
          </c:marker>
          <c:xVal>
            <c:numRef>
              <c:f>Thermdam!$E$68:$E$81</c:f>
              <c:numCache>
                <c:formatCode>0</c:formatCode>
                <c:ptCount val="14"/>
                <c:pt idx="0">
                  <c:v>621.71052631578948</c:v>
                </c:pt>
                <c:pt idx="1">
                  <c:v>620.52631578947364</c:v>
                </c:pt>
                <c:pt idx="2">
                  <c:v>618.02631578947364</c:v>
                </c:pt>
                <c:pt idx="3">
                  <c:v>615.1973684210526</c:v>
                </c:pt>
                <c:pt idx="4">
                  <c:v>611.90789473684208</c:v>
                </c:pt>
                <c:pt idx="5">
                  <c:v>608.22368421052636</c:v>
                </c:pt>
                <c:pt idx="6">
                  <c:v>604.14473684210532</c:v>
                </c:pt>
                <c:pt idx="7">
                  <c:v>599.53947368421052</c:v>
                </c:pt>
                <c:pt idx="8">
                  <c:v>593.15789473684208</c:v>
                </c:pt>
                <c:pt idx="9">
                  <c:v>584.86842105263156</c:v>
                </c:pt>
                <c:pt idx="10">
                  <c:v>569.60526315789468</c:v>
                </c:pt>
                <c:pt idx="11">
                  <c:v>516.97368421052636</c:v>
                </c:pt>
                <c:pt idx="12">
                  <c:v>315.98684210526318</c:v>
                </c:pt>
                <c:pt idx="13">
                  <c:v>0</c:v>
                </c:pt>
              </c:numCache>
            </c:numRef>
          </c:xVal>
          <c:yVal>
            <c:numRef>
              <c:f>Thermdam!$F$68:$F$81</c:f>
              <c:numCache>
                <c:formatCode>0.00</c:formatCode>
                <c:ptCount val="14"/>
                <c:pt idx="0">
                  <c:v>1E-4</c:v>
                </c:pt>
                <c:pt idx="1">
                  <c:v>0.9660000205039978</c:v>
                </c:pt>
                <c:pt idx="2">
                  <c:v>1.7950000762939453</c:v>
                </c:pt>
                <c:pt idx="3">
                  <c:v>2.5750000476837158</c:v>
                </c:pt>
                <c:pt idx="4">
                  <c:v>3.3519999980926514</c:v>
                </c:pt>
                <c:pt idx="5">
                  <c:v>4.1589999198913574</c:v>
                </c:pt>
                <c:pt idx="6">
                  <c:v>5.0279998779296875</c:v>
                </c:pt>
                <c:pt idx="7">
                  <c:v>5.9930000305175781</c:v>
                </c:pt>
                <c:pt idx="8">
                  <c:v>7.1170001029968262</c:v>
                </c:pt>
                <c:pt idx="9">
                  <c:v>7.7319998741149902</c:v>
                </c:pt>
                <c:pt idx="10">
                  <c:v>8.2600002288818359</c:v>
                </c:pt>
                <c:pt idx="11">
                  <c:v>8.5939998626708984</c:v>
                </c:pt>
                <c:pt idx="12">
                  <c:v>8.8970003128051758</c:v>
                </c:pt>
                <c:pt idx="13">
                  <c:v>9.1880006790161133</c:v>
                </c:pt>
              </c:numCache>
            </c:numRef>
          </c:yVal>
          <c:smooth val="1"/>
          <c:extLst>
            <c:ext xmlns:c16="http://schemas.microsoft.com/office/drawing/2014/chart" uri="{C3380CC4-5D6E-409C-BE32-E72D297353CC}">
              <c16:uniqueId val="{00000003-9625-4E30-80F7-86F42C5B7313}"/>
            </c:ext>
          </c:extLst>
        </c:ser>
        <c:dLbls>
          <c:showLegendKey val="0"/>
          <c:showVal val="0"/>
          <c:showCatName val="0"/>
          <c:showSerName val="0"/>
          <c:showPercent val="0"/>
          <c:showBubbleSize val="0"/>
        </c:dLbls>
        <c:axId val="807277936"/>
        <c:axId val="1"/>
      </c:scatterChart>
      <c:valAx>
        <c:axId val="807277936"/>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44625407168"/>
              <c:y val="0.94970476323595643"/>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At val="0.1"/>
        <c:crossBetween val="midCat"/>
        <c:majorUnit val="100"/>
      </c:valAx>
      <c:valAx>
        <c:axId val="1"/>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18892508145E-2"/>
              <c:y val="0.3757399555824752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807277936"/>
        <c:crosses val="autoZero"/>
        <c:crossBetween val="midCat"/>
        <c:minorUnit val="10"/>
      </c:valAx>
      <c:spPr>
        <a:noFill/>
        <a:ln w="25400">
          <a:noFill/>
        </a:ln>
      </c:spPr>
    </c:plotArea>
    <c:plotVisOnly val="1"/>
    <c:dispBlanksAs val="gap"/>
    <c:showDLblsOverMax val="0"/>
  </c:chart>
  <c:spPr>
    <a:solidFill>
      <a:srgbClr val="FFFFFF"/>
    </a:solidFill>
    <a:ln w="6350">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Performance!$B$54:$B$59</c:f>
              <c:numCache>
                <c:formatCode>0.0</c:formatCode>
                <c:ptCount val="6"/>
                <c:pt idx="1">
                  <c:v>89.099998474121094</c:v>
                </c:pt>
                <c:pt idx="2">
                  <c:v>93.699996948242188</c:v>
                </c:pt>
                <c:pt idx="3">
                  <c:v>95.200004577636719</c:v>
                </c:pt>
                <c:pt idx="4">
                  <c:v>95.800003051757813</c:v>
                </c:pt>
                <c:pt idx="5">
                  <c:v>96.100006103515625</c:v>
                </c:pt>
              </c:numCache>
            </c:numRef>
          </c:yVal>
          <c:smooth val="1"/>
          <c:extLst>
            <c:ext xmlns:c16="http://schemas.microsoft.com/office/drawing/2014/chart" uri="{C3380CC4-5D6E-409C-BE32-E72D297353CC}">
              <c16:uniqueId val="{00000000-D033-4A5C-A21F-E3733ABFE60A}"/>
            </c:ext>
          </c:extLst>
        </c:ser>
        <c:ser>
          <c:idx val="1"/>
          <c:order val="1"/>
          <c:spPr>
            <a:ln w="25400">
              <a:solidFill>
                <a:srgbClr val="000000"/>
              </a:solidFill>
              <a:prstDash val="solid"/>
            </a:ln>
          </c:spPr>
          <c:marker>
            <c:symbol val="none"/>
          </c:marker>
          <c:xVal>
            <c:numRef>
              <c:f>Performance!$A$55:$A$59</c:f>
              <c:numCache>
                <c:formatCode>0.0</c:formatCode>
                <c:ptCount val="5"/>
                <c:pt idx="0">
                  <c:v>25</c:v>
                </c:pt>
                <c:pt idx="1">
                  <c:v>50</c:v>
                </c:pt>
                <c:pt idx="2">
                  <c:v>75</c:v>
                </c:pt>
                <c:pt idx="3">
                  <c:v>100</c:v>
                </c:pt>
                <c:pt idx="4">
                  <c:v>125</c:v>
                </c:pt>
              </c:numCache>
            </c:numRef>
          </c:xVal>
          <c:yVal>
            <c:numRef>
              <c:f>Performance!$C$55:$C$59</c:f>
              <c:numCache>
                <c:formatCode>0.0</c:formatCode>
                <c:ptCount val="5"/>
                <c:pt idx="0">
                  <c:v>70.300003051757813</c:v>
                </c:pt>
                <c:pt idx="1">
                  <c:v>86.099998474121094</c:v>
                </c:pt>
                <c:pt idx="2">
                  <c:v>90.699996948242188</c:v>
                </c:pt>
                <c:pt idx="3">
                  <c:v>92.299995422363281</c:v>
                </c:pt>
                <c:pt idx="4">
                  <c:v>92.699996948242188</c:v>
                </c:pt>
              </c:numCache>
            </c:numRef>
          </c:yVal>
          <c:smooth val="1"/>
          <c:extLst>
            <c:ext xmlns:c16="http://schemas.microsoft.com/office/drawing/2014/chart" uri="{C3380CC4-5D6E-409C-BE32-E72D297353CC}">
              <c16:uniqueId val="{00000001-D033-4A5C-A21F-E3733ABFE60A}"/>
            </c:ext>
          </c:extLst>
        </c:ser>
        <c:ser>
          <c:idx val="3"/>
          <c:order val="3"/>
          <c:spPr>
            <a:ln w="25400">
              <a:solidFill>
                <a:srgbClr val="3333CC"/>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Performance!$E$54:$E$59</c:f>
              <c:numCache>
                <c:formatCode>0.0</c:formatCode>
                <c:ptCount val="6"/>
                <c:pt idx="0">
                  <c:v>100</c:v>
                </c:pt>
                <c:pt idx="1">
                  <c:v>82.403157552059085</c:v>
                </c:pt>
                <c:pt idx="2">
                  <c:v>66.497395833315139</c:v>
                </c:pt>
                <c:pt idx="3">
                  <c:v>50.253906250015156</c:v>
                </c:pt>
                <c:pt idx="4">
                  <c:v>33.333333333333329</c:v>
                </c:pt>
                <c:pt idx="5">
                  <c:v>21.14990234375</c:v>
                </c:pt>
              </c:numCache>
            </c:numRef>
          </c:yVal>
          <c:smooth val="1"/>
          <c:extLst>
            <c:ext xmlns:c16="http://schemas.microsoft.com/office/drawing/2014/chart" uri="{C3380CC4-5D6E-409C-BE32-E72D297353CC}">
              <c16:uniqueId val="{00000002-D033-4A5C-A21F-E3733ABFE60A}"/>
            </c:ext>
          </c:extLst>
        </c:ser>
        <c:ser>
          <c:idx val="4"/>
          <c:order val="4"/>
          <c:spPr>
            <a:ln w="25400">
              <a:solidFill>
                <a:srgbClr val="339933"/>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Performance!$F$54:$F$59</c:f>
              <c:numCache>
                <c:formatCode>0.0</c:formatCode>
                <c:ptCount val="6"/>
                <c:pt idx="0">
                  <c:v>0.58030000000000004</c:v>
                </c:pt>
                <c:pt idx="1">
                  <c:v>6.5435525000000005</c:v>
                </c:pt>
                <c:pt idx="2">
                  <c:v>12.438897500000001</c:v>
                </c:pt>
                <c:pt idx="3">
                  <c:v>18.3489325</c:v>
                </c:pt>
                <c:pt idx="4">
                  <c:v>24.319162500000001</c:v>
                </c:pt>
                <c:pt idx="5">
                  <c:v>30.333199999999998</c:v>
                </c:pt>
              </c:numCache>
            </c:numRef>
          </c:yVal>
          <c:smooth val="1"/>
          <c:extLst>
            <c:ext xmlns:c16="http://schemas.microsoft.com/office/drawing/2014/chart" uri="{C3380CC4-5D6E-409C-BE32-E72D297353CC}">
              <c16:uniqueId val="{00000003-D033-4A5C-A21F-E3733ABFE60A}"/>
            </c:ext>
          </c:extLst>
        </c:ser>
        <c:dLbls>
          <c:showLegendKey val="0"/>
          <c:showVal val="0"/>
          <c:showCatName val="0"/>
          <c:showSerName val="0"/>
          <c:showPercent val="0"/>
          <c:showBubbleSize val="0"/>
        </c:dLbls>
        <c:axId val="932557032"/>
        <c:axId val="1"/>
      </c:scatterChart>
      <c:scatterChart>
        <c:scatterStyle val="lineMarker"/>
        <c:varyColors val="0"/>
        <c:ser>
          <c:idx val="2"/>
          <c:order val="2"/>
          <c:spPr>
            <a:ln w="25400">
              <a:solidFill>
                <a:srgbClr val="33330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Performance!$D$54:$D$59</c:f>
              <c:numCache>
                <c:formatCode>0.0</c:formatCode>
                <c:ptCount val="6"/>
                <c:pt idx="0">
                  <c:v>29</c:v>
                </c:pt>
                <c:pt idx="1">
                  <c:v>53.740001678466797</c:v>
                </c:pt>
                <c:pt idx="2">
                  <c:v>83.410003662109375</c:v>
                </c:pt>
                <c:pt idx="3">
                  <c:v>116.80000305175781</c:v>
                </c:pt>
                <c:pt idx="4">
                  <c:v>152.1199951171875</c:v>
                </c:pt>
                <c:pt idx="5">
                  <c:v>188.91999816894531</c:v>
                </c:pt>
              </c:numCache>
            </c:numRef>
          </c:yVal>
          <c:smooth val="1"/>
          <c:extLst>
            <c:ext xmlns:c16="http://schemas.microsoft.com/office/drawing/2014/chart" uri="{C3380CC4-5D6E-409C-BE32-E72D297353CC}">
              <c16:uniqueId val="{00000004-D033-4A5C-A21F-E3733ABFE60A}"/>
            </c:ext>
          </c:extLst>
        </c:ser>
        <c:dLbls>
          <c:showLegendKey val="0"/>
          <c:showVal val="0"/>
          <c:showCatName val="0"/>
          <c:showSerName val="0"/>
          <c:showPercent val="0"/>
          <c:showBubbleSize val="0"/>
        </c:dLbls>
        <c:axId val="3"/>
        <c:axId val="4"/>
      </c:scatterChart>
      <c:valAx>
        <c:axId val="932557032"/>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6581008769"/>
              <c:y val="0.9204563350035790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
        <c:crossesAt val="0"/>
        <c:crossBetween val="midCat"/>
        <c:majorUnit val="25"/>
        <c:minorUnit val="12.5"/>
      </c:valAx>
      <c:valAx>
        <c:axId val="1"/>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0773159169"/>
              <c:y val="0.25568221585938122"/>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932557032"/>
        <c:crosses val="autoZero"/>
        <c:crossBetween val="midCat"/>
        <c:majorUnit val="10"/>
        <c:minorUnit val="5"/>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20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6960467141"/>
              <c:y val="0.32007635409210211"/>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3"/>
        <c:crosses val="max"/>
        <c:crossBetween val="midCat"/>
        <c:majorUnit val="20"/>
      </c:valAx>
      <c:spPr>
        <a:solidFill>
          <a:srgbClr val="FFFFFF"/>
        </a:solidFill>
        <a:ln w="12700">
          <a:solidFill>
            <a:srgbClr val="808080"/>
          </a:solidFill>
          <a:prstDash val="solid"/>
        </a:ln>
      </c:spPr>
    </c:plotArea>
    <c:plotVisOnly val="1"/>
    <c:dispBlanksAs val="gap"/>
    <c:showDLblsOverMax val="0"/>
  </c:chart>
  <c:spPr>
    <a:solidFill>
      <a:srgbClr val="FFFFFF"/>
    </a:solidFill>
    <a:ln w="6350">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 name="Chart 1">
          <a:extLst>
            <a:ext uri="{FF2B5EF4-FFF2-40B4-BE49-F238E27FC236}">
              <a16:creationId xmlns:a16="http://schemas.microsoft.com/office/drawing/2014/main" id="{8E8CBDDC-8D8D-4D0F-B2B1-CA96A6C65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152400</xdr:colOff>
      <xdr:row>43</xdr:row>
      <xdr:rowOff>0</xdr:rowOff>
    </xdr:from>
    <xdr:to>
      <xdr:col>9</xdr:col>
      <xdr:colOff>361950</xdr:colOff>
      <xdr:row>43</xdr:row>
      <xdr:rowOff>0</xdr:rowOff>
    </xdr:to>
    <xdr:sp macro="" textlink="">
      <xdr:nvSpPr>
        <xdr:cNvPr id="2" name="Rectangle 1">
          <a:extLst>
            <a:ext uri="{FF2B5EF4-FFF2-40B4-BE49-F238E27FC236}">
              <a16:creationId xmlns:a16="http://schemas.microsoft.com/office/drawing/2014/main" id="{0CCE6ADE-737A-41C0-BCBB-B10CB856BA79}"/>
            </a:ext>
          </a:extLst>
        </xdr:cNvPr>
        <xdr:cNvSpPr>
          <a:spLocks noChangeArrowheads="1"/>
        </xdr:cNvSpPr>
      </xdr:nvSpPr>
      <xdr:spPr bwMode="auto">
        <a:xfrm>
          <a:off x="54959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3" name="Rectangle 2">
          <a:extLst>
            <a:ext uri="{FF2B5EF4-FFF2-40B4-BE49-F238E27FC236}">
              <a16:creationId xmlns:a16="http://schemas.microsoft.com/office/drawing/2014/main" id="{E735211A-DE78-492B-B28D-A3421F14F67A}"/>
            </a:ext>
          </a:extLst>
        </xdr:cNvPr>
        <xdr:cNvSpPr>
          <a:spLocks noChangeArrowheads="1"/>
        </xdr:cNvSpPr>
      </xdr:nvSpPr>
      <xdr:spPr bwMode="auto">
        <a:xfrm>
          <a:off x="53625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4" name="Rectangle 3">
          <a:extLst>
            <a:ext uri="{FF2B5EF4-FFF2-40B4-BE49-F238E27FC236}">
              <a16:creationId xmlns:a16="http://schemas.microsoft.com/office/drawing/2014/main" id="{E091F08E-804A-486E-B3B8-29FD42BFDA88}"/>
            </a:ext>
          </a:extLst>
        </xdr:cNvPr>
        <xdr:cNvSpPr>
          <a:spLocks noChangeArrowheads="1"/>
        </xdr:cNvSpPr>
      </xdr:nvSpPr>
      <xdr:spPr bwMode="auto">
        <a:xfrm>
          <a:off x="53721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5" name="Rectangle 4">
          <a:extLst>
            <a:ext uri="{FF2B5EF4-FFF2-40B4-BE49-F238E27FC236}">
              <a16:creationId xmlns:a16="http://schemas.microsoft.com/office/drawing/2014/main" id="{97A40F6E-DBB6-453F-BE94-ECAAB8D4A775}"/>
            </a:ext>
          </a:extLst>
        </xdr:cNvPr>
        <xdr:cNvSpPr>
          <a:spLocks noChangeArrowheads="1"/>
        </xdr:cNvSpPr>
      </xdr:nvSpPr>
      <xdr:spPr bwMode="auto">
        <a:xfrm>
          <a:off x="53435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6" name="Rectangle 5">
          <a:extLst>
            <a:ext uri="{FF2B5EF4-FFF2-40B4-BE49-F238E27FC236}">
              <a16:creationId xmlns:a16="http://schemas.microsoft.com/office/drawing/2014/main" id="{A11C114B-1FBF-4AFD-BE63-AE2ABDD6A531}"/>
            </a:ext>
          </a:extLst>
        </xdr:cNvPr>
        <xdr:cNvSpPr>
          <a:spLocks noChangeArrowheads="1"/>
        </xdr:cNvSpPr>
      </xdr:nvSpPr>
      <xdr:spPr bwMode="auto">
        <a:xfrm>
          <a:off x="54864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114300</xdr:colOff>
      <xdr:row>42</xdr:row>
      <xdr:rowOff>141817</xdr:rowOff>
    </xdr:from>
    <xdr:to>
      <xdr:col>3</xdr:col>
      <xdr:colOff>411594</xdr:colOff>
      <xdr:row>43</xdr:row>
      <xdr:rowOff>37042</xdr:rowOff>
    </xdr:to>
    <xdr:sp macro="" textlink="">
      <xdr:nvSpPr>
        <xdr:cNvPr id="7" name="Radius">
          <a:extLst>
            <a:ext uri="{FF2B5EF4-FFF2-40B4-BE49-F238E27FC236}">
              <a16:creationId xmlns:a16="http://schemas.microsoft.com/office/drawing/2014/main" id="{C307D633-62E0-4D84-9090-F28A3121C34B}"/>
            </a:ext>
          </a:extLst>
        </xdr:cNvPr>
        <xdr:cNvSpPr txBox="1">
          <a:spLocks noChangeArrowheads="1"/>
        </xdr:cNvSpPr>
      </xdr:nvSpPr>
      <xdr:spPr bwMode="auto">
        <a:xfrm>
          <a:off x="1809750" y="9809692"/>
          <a:ext cx="297294"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281.0</a:t>
          </a:r>
        </a:p>
      </xdr:txBody>
    </xdr:sp>
    <xdr:clientData/>
  </xdr:twoCellAnchor>
  <xdr:twoCellAnchor>
    <xdr:from>
      <xdr:col>3</xdr:col>
      <xdr:colOff>260289</xdr:colOff>
      <xdr:row>40</xdr:row>
      <xdr:rowOff>145294</xdr:rowOff>
    </xdr:from>
    <xdr:to>
      <xdr:col>3</xdr:col>
      <xdr:colOff>547399</xdr:colOff>
      <xdr:row>41</xdr:row>
      <xdr:rowOff>9222</xdr:rowOff>
    </xdr:to>
    <xdr:sp macro="" textlink="">
      <xdr:nvSpPr>
        <xdr:cNvPr id="8" name="Height">
          <a:extLst>
            <a:ext uri="{FF2B5EF4-FFF2-40B4-BE49-F238E27FC236}">
              <a16:creationId xmlns:a16="http://schemas.microsoft.com/office/drawing/2014/main" id="{9FE296B7-9F80-473D-8653-33C6C4ADBB47}"/>
            </a:ext>
          </a:extLst>
        </xdr:cNvPr>
        <xdr:cNvSpPr txBox="1">
          <a:spLocks noChangeArrowheads="1"/>
        </xdr:cNvSpPr>
      </xdr:nvSpPr>
      <xdr:spPr bwMode="auto">
        <a:xfrm>
          <a:off x="1955739" y="9355969"/>
          <a:ext cx="287110" cy="92528"/>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25.0</a:t>
          </a:r>
        </a:p>
      </xdr:txBody>
    </xdr:sp>
    <xdr:clientData/>
  </xdr:twoCellAnchor>
  <xdr:twoCellAnchor>
    <xdr:from>
      <xdr:col>2</xdr:col>
      <xdr:colOff>28575</xdr:colOff>
      <xdr:row>41</xdr:row>
      <xdr:rowOff>104775</xdr:rowOff>
    </xdr:from>
    <xdr:to>
      <xdr:col>2</xdr:col>
      <xdr:colOff>278186</xdr:colOff>
      <xdr:row>41</xdr:row>
      <xdr:rowOff>219075</xdr:rowOff>
    </xdr:to>
    <xdr:sp macro="" textlink="">
      <xdr:nvSpPr>
        <xdr:cNvPr id="9" name="Clear">
          <a:extLst>
            <a:ext uri="{FF2B5EF4-FFF2-40B4-BE49-F238E27FC236}">
              <a16:creationId xmlns:a16="http://schemas.microsoft.com/office/drawing/2014/main" id="{AD106BDA-4675-4A17-B8D0-94789B5AC044}"/>
            </a:ext>
          </a:extLst>
        </xdr:cNvPr>
        <xdr:cNvSpPr txBox="1">
          <a:spLocks noChangeArrowheads="1"/>
        </xdr:cNvSpPr>
      </xdr:nvSpPr>
      <xdr:spPr bwMode="auto">
        <a:xfrm>
          <a:off x="1228725" y="9544050"/>
          <a:ext cx="249611"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50.0</a:t>
          </a:r>
        </a:p>
      </xdr:txBody>
    </xdr:sp>
    <xdr:clientData/>
  </xdr:twoCellAnchor>
  <xdr:twoCellAnchor>
    <xdr:from>
      <xdr:col>2</xdr:col>
      <xdr:colOff>361133</xdr:colOff>
      <xdr:row>42</xdr:row>
      <xdr:rowOff>51557</xdr:rowOff>
    </xdr:from>
    <xdr:to>
      <xdr:col>3</xdr:col>
      <xdr:colOff>74686</xdr:colOff>
      <xdr:row>42</xdr:row>
      <xdr:rowOff>156332</xdr:rowOff>
    </xdr:to>
    <xdr:sp macro="" textlink="">
      <xdr:nvSpPr>
        <xdr:cNvPr id="10" name="Thickness">
          <a:extLst>
            <a:ext uri="{FF2B5EF4-FFF2-40B4-BE49-F238E27FC236}">
              <a16:creationId xmlns:a16="http://schemas.microsoft.com/office/drawing/2014/main" id="{EFAB318D-9D86-42B7-87D9-8F892E6CEF69}"/>
            </a:ext>
          </a:extLst>
        </xdr:cNvPr>
        <xdr:cNvSpPr txBox="1">
          <a:spLocks noChangeArrowheads="1"/>
        </xdr:cNvSpPr>
      </xdr:nvSpPr>
      <xdr:spPr bwMode="auto">
        <a:xfrm>
          <a:off x="1561283" y="9719432"/>
          <a:ext cx="208853"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70.0</a:t>
          </a:r>
        </a:p>
      </xdr:txBody>
    </xdr:sp>
    <xdr:clientData/>
  </xdr:twoCellAnchor>
  <xdr:twoCellAnchor>
    <xdr:from>
      <xdr:col>3</xdr:col>
      <xdr:colOff>200025</xdr:colOff>
      <xdr:row>35</xdr:row>
      <xdr:rowOff>123825</xdr:rowOff>
    </xdr:from>
    <xdr:to>
      <xdr:col>3</xdr:col>
      <xdr:colOff>506791</xdr:colOff>
      <xdr:row>36</xdr:row>
      <xdr:rowOff>28575</xdr:rowOff>
    </xdr:to>
    <xdr:sp macro="" textlink="">
      <xdr:nvSpPr>
        <xdr:cNvPr id="11" name="Depth2">
          <a:extLst>
            <a:ext uri="{FF2B5EF4-FFF2-40B4-BE49-F238E27FC236}">
              <a16:creationId xmlns:a16="http://schemas.microsoft.com/office/drawing/2014/main" id="{37E479D3-3987-4D6A-A942-1795B8459738}"/>
            </a:ext>
          </a:extLst>
        </xdr:cNvPr>
        <xdr:cNvSpPr txBox="1">
          <a:spLocks noChangeArrowheads="1"/>
        </xdr:cNvSpPr>
      </xdr:nvSpPr>
      <xdr:spPr bwMode="auto">
        <a:xfrm>
          <a:off x="1895475" y="8191500"/>
          <a:ext cx="306766"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36.41</a:t>
          </a:r>
        </a:p>
      </xdr:txBody>
    </xdr:sp>
    <xdr:clientData/>
  </xdr:twoCellAnchor>
  <xdr:twoCellAnchor>
    <xdr:from>
      <xdr:col>1</xdr:col>
      <xdr:colOff>190500</xdr:colOff>
      <xdr:row>33</xdr:row>
      <xdr:rowOff>180975</xdr:rowOff>
    </xdr:from>
    <xdr:to>
      <xdr:col>2</xdr:col>
      <xdr:colOff>9525</xdr:colOff>
      <xdr:row>34</xdr:row>
      <xdr:rowOff>66675</xdr:rowOff>
    </xdr:to>
    <xdr:sp macro="" textlink="">
      <xdr:nvSpPr>
        <xdr:cNvPr id="12" name="Tip2">
          <a:extLst>
            <a:ext uri="{FF2B5EF4-FFF2-40B4-BE49-F238E27FC236}">
              <a16:creationId xmlns:a16="http://schemas.microsoft.com/office/drawing/2014/main" id="{B0788AB1-6A46-4B0C-BBEC-7C2D00EFBB5B}"/>
            </a:ext>
          </a:extLst>
        </xdr:cNvPr>
        <xdr:cNvSpPr txBox="1">
          <a:spLocks noChangeArrowheads="1"/>
        </xdr:cNvSpPr>
      </xdr:nvSpPr>
      <xdr:spPr bwMode="auto">
        <a:xfrm>
          <a:off x="981075" y="7791450"/>
          <a:ext cx="228600"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161925</xdr:colOff>
      <xdr:row>33</xdr:row>
      <xdr:rowOff>38100</xdr:rowOff>
    </xdr:from>
    <xdr:to>
      <xdr:col>2</xdr:col>
      <xdr:colOff>487829</xdr:colOff>
      <xdr:row>33</xdr:row>
      <xdr:rowOff>180975</xdr:rowOff>
    </xdr:to>
    <xdr:sp macro="" textlink="">
      <xdr:nvSpPr>
        <xdr:cNvPr id="13" name="Opening">
          <a:extLst>
            <a:ext uri="{FF2B5EF4-FFF2-40B4-BE49-F238E27FC236}">
              <a16:creationId xmlns:a16="http://schemas.microsoft.com/office/drawing/2014/main" id="{3007456D-BC92-4125-A538-2BBD69DD4CE7}"/>
            </a:ext>
          </a:extLst>
        </xdr:cNvPr>
        <xdr:cNvSpPr txBox="1">
          <a:spLocks noChangeArrowheads="1"/>
        </xdr:cNvSpPr>
      </xdr:nvSpPr>
      <xdr:spPr bwMode="auto">
        <a:xfrm>
          <a:off x="1362075" y="7648575"/>
          <a:ext cx="325904" cy="1428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144780</xdr:colOff>
      <xdr:row>36</xdr:row>
      <xdr:rowOff>190500</xdr:rowOff>
    </xdr:from>
    <xdr:to>
      <xdr:col>3</xdr:col>
      <xdr:colOff>91</xdr:colOff>
      <xdr:row>37</xdr:row>
      <xdr:rowOff>66675</xdr:rowOff>
    </xdr:to>
    <xdr:sp macro="" textlink="">
      <xdr:nvSpPr>
        <xdr:cNvPr id="14" name="Width3">
          <a:extLst>
            <a:ext uri="{FF2B5EF4-FFF2-40B4-BE49-F238E27FC236}">
              <a16:creationId xmlns:a16="http://schemas.microsoft.com/office/drawing/2014/main" id="{FAF38274-30D8-4921-9D3F-F3ACC3EC3697}"/>
            </a:ext>
          </a:extLst>
        </xdr:cNvPr>
        <xdr:cNvSpPr txBox="1">
          <a:spLocks noChangeArrowheads="1"/>
        </xdr:cNvSpPr>
      </xdr:nvSpPr>
      <xdr:spPr bwMode="auto">
        <a:xfrm>
          <a:off x="1344930" y="8486775"/>
          <a:ext cx="350611"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14.12</a:t>
          </a:r>
        </a:p>
      </xdr:txBody>
    </xdr:sp>
    <xdr:clientData/>
  </xdr:twoCellAnchor>
  <xdr:twoCellAnchor>
    <xdr:from>
      <xdr:col>2</xdr:col>
      <xdr:colOff>161925</xdr:colOff>
      <xdr:row>34</xdr:row>
      <xdr:rowOff>161925</xdr:rowOff>
    </xdr:from>
    <xdr:to>
      <xdr:col>2</xdr:col>
      <xdr:colOff>487829</xdr:colOff>
      <xdr:row>35</xdr:row>
      <xdr:rowOff>66675</xdr:rowOff>
    </xdr:to>
    <xdr:sp macro="" textlink="">
      <xdr:nvSpPr>
        <xdr:cNvPr id="15" name="Width2">
          <a:extLst>
            <a:ext uri="{FF2B5EF4-FFF2-40B4-BE49-F238E27FC236}">
              <a16:creationId xmlns:a16="http://schemas.microsoft.com/office/drawing/2014/main" id="{D3BC97F8-886D-4232-9734-C0420484CC2D}"/>
            </a:ext>
          </a:extLst>
        </xdr:cNvPr>
        <xdr:cNvSpPr txBox="1">
          <a:spLocks noChangeArrowheads="1"/>
        </xdr:cNvSpPr>
      </xdr:nvSpPr>
      <xdr:spPr bwMode="auto">
        <a:xfrm>
          <a:off x="1362075" y="8001000"/>
          <a:ext cx="325904"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4.72</a:t>
          </a:r>
        </a:p>
      </xdr:txBody>
    </xdr:sp>
    <xdr:clientData/>
  </xdr:twoCellAnchor>
  <xdr:twoCellAnchor>
    <xdr:from>
      <xdr:col>1</xdr:col>
      <xdr:colOff>390525</xdr:colOff>
      <xdr:row>33</xdr:row>
      <xdr:rowOff>171450</xdr:rowOff>
    </xdr:from>
    <xdr:to>
      <xdr:col>3</xdr:col>
      <xdr:colOff>352425</xdr:colOff>
      <xdr:row>37</xdr:row>
      <xdr:rowOff>209550</xdr:rowOff>
    </xdr:to>
    <xdr:grpSp>
      <xdr:nvGrpSpPr>
        <xdr:cNvPr id="16" name="Group 190">
          <a:extLst>
            <a:ext uri="{FF2B5EF4-FFF2-40B4-BE49-F238E27FC236}">
              <a16:creationId xmlns:a16="http://schemas.microsoft.com/office/drawing/2014/main" id="{DA995F55-0EFA-4480-864B-2AAD4574EB03}"/>
            </a:ext>
          </a:extLst>
        </xdr:cNvPr>
        <xdr:cNvGrpSpPr>
          <a:grpSpLocks/>
        </xdr:cNvGrpSpPr>
      </xdr:nvGrpSpPr>
      <xdr:grpSpPr bwMode="auto">
        <a:xfrm>
          <a:off x="1181100" y="7781925"/>
          <a:ext cx="866775" cy="952500"/>
          <a:chOff x="120" y="793"/>
          <a:chExt cx="91" cy="100"/>
        </a:xfrm>
      </xdr:grpSpPr>
      <xdr:sp macro="" textlink="">
        <xdr:nvSpPr>
          <xdr:cNvPr id="17" name="Line 100">
            <a:extLst>
              <a:ext uri="{FF2B5EF4-FFF2-40B4-BE49-F238E27FC236}">
                <a16:creationId xmlns:a16="http://schemas.microsoft.com/office/drawing/2014/main" id="{8CC45004-0714-B493-1B2E-883D795E68E3}"/>
              </a:ext>
            </a:extLst>
          </xdr:cNvPr>
          <xdr:cNvSpPr>
            <a:spLocks noChangeShapeType="1"/>
          </xdr:cNvSpPr>
        </xdr:nvSpPr>
        <xdr:spPr bwMode="auto">
          <a:xfrm>
            <a:off x="139" y="813"/>
            <a:ext cx="3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149">
            <a:extLst>
              <a:ext uri="{FF2B5EF4-FFF2-40B4-BE49-F238E27FC236}">
                <a16:creationId xmlns:a16="http://schemas.microsoft.com/office/drawing/2014/main" id="{69118E40-D54C-FE04-8B36-D8737F40A2E0}"/>
              </a:ext>
            </a:extLst>
          </xdr:cNvPr>
          <xdr:cNvSpPr>
            <a:spLocks noChangeShapeType="1"/>
          </xdr:cNvSpPr>
        </xdr:nvSpPr>
        <xdr:spPr bwMode="auto">
          <a:xfrm>
            <a:off x="128" y="793"/>
            <a:ext cx="1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150">
            <a:extLst>
              <a:ext uri="{FF2B5EF4-FFF2-40B4-BE49-F238E27FC236}">
                <a16:creationId xmlns:a16="http://schemas.microsoft.com/office/drawing/2014/main" id="{575F494C-4F23-1AAE-1A88-446D530FED2D}"/>
              </a:ext>
            </a:extLst>
          </xdr:cNvPr>
          <xdr:cNvSpPr>
            <a:spLocks noChangeShapeType="1"/>
          </xdr:cNvSpPr>
        </xdr:nvSpPr>
        <xdr:spPr bwMode="auto">
          <a:xfrm flipH="1">
            <a:off x="164" y="793"/>
            <a:ext cx="1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151">
            <a:extLst>
              <a:ext uri="{FF2B5EF4-FFF2-40B4-BE49-F238E27FC236}">
                <a16:creationId xmlns:a16="http://schemas.microsoft.com/office/drawing/2014/main" id="{B7E6C1FF-48AF-7D2D-F6F6-D466B966A1A8}"/>
              </a:ext>
            </a:extLst>
          </xdr:cNvPr>
          <xdr:cNvSpPr>
            <a:spLocks noChangeShapeType="1"/>
          </xdr:cNvSpPr>
        </xdr:nvSpPr>
        <xdr:spPr bwMode="auto">
          <a:xfrm flipH="1">
            <a:off x="127" y="879"/>
            <a:ext cx="19"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1" name="Line 152">
            <a:extLst>
              <a:ext uri="{FF2B5EF4-FFF2-40B4-BE49-F238E27FC236}">
                <a16:creationId xmlns:a16="http://schemas.microsoft.com/office/drawing/2014/main" id="{ADFFE7FB-F00D-0505-B45A-D7A5236C2871}"/>
              </a:ext>
            </a:extLst>
          </xdr:cNvPr>
          <xdr:cNvSpPr>
            <a:spLocks noChangeShapeType="1"/>
          </xdr:cNvSpPr>
        </xdr:nvSpPr>
        <xdr:spPr bwMode="auto">
          <a:xfrm>
            <a:off x="147" y="880"/>
            <a:ext cx="37"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2" name="Line 156">
            <a:extLst>
              <a:ext uri="{FF2B5EF4-FFF2-40B4-BE49-F238E27FC236}">
                <a16:creationId xmlns:a16="http://schemas.microsoft.com/office/drawing/2014/main" id="{D76D1E85-BAEF-B68D-B4B7-7AF318DC9A8B}"/>
              </a:ext>
            </a:extLst>
          </xdr:cNvPr>
          <xdr:cNvSpPr>
            <a:spLocks noChangeShapeType="1"/>
          </xdr:cNvSpPr>
        </xdr:nvSpPr>
        <xdr:spPr bwMode="auto">
          <a:xfrm flipV="1">
            <a:off x="194" y="893"/>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157">
            <a:extLst>
              <a:ext uri="{FF2B5EF4-FFF2-40B4-BE49-F238E27FC236}">
                <a16:creationId xmlns:a16="http://schemas.microsoft.com/office/drawing/2014/main" id="{B51613EE-B39E-5234-BC49-96785EB04BCD}"/>
              </a:ext>
            </a:extLst>
          </xdr:cNvPr>
          <xdr:cNvSpPr>
            <a:spLocks noChangeShapeType="1"/>
          </xdr:cNvSpPr>
        </xdr:nvSpPr>
        <xdr:spPr bwMode="auto">
          <a:xfrm flipV="1">
            <a:off x="204" y="794"/>
            <a:ext cx="0" cy="3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4" name="Line 158">
            <a:extLst>
              <a:ext uri="{FF2B5EF4-FFF2-40B4-BE49-F238E27FC236}">
                <a16:creationId xmlns:a16="http://schemas.microsoft.com/office/drawing/2014/main" id="{0833769C-1285-8116-1851-DE383328773C}"/>
              </a:ext>
            </a:extLst>
          </xdr:cNvPr>
          <xdr:cNvSpPr>
            <a:spLocks noChangeShapeType="1"/>
          </xdr:cNvSpPr>
        </xdr:nvSpPr>
        <xdr:spPr bwMode="auto">
          <a:xfrm>
            <a:off x="204" y="849"/>
            <a:ext cx="0" cy="4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5" name="Line 159">
            <a:extLst>
              <a:ext uri="{FF2B5EF4-FFF2-40B4-BE49-F238E27FC236}">
                <a16:creationId xmlns:a16="http://schemas.microsoft.com/office/drawing/2014/main" id="{403201F4-3937-DE43-B798-7DA203897E3D}"/>
              </a:ext>
            </a:extLst>
          </xdr:cNvPr>
          <xdr:cNvSpPr>
            <a:spLocks noChangeShapeType="1"/>
          </xdr:cNvSpPr>
        </xdr:nvSpPr>
        <xdr:spPr bwMode="auto">
          <a:xfrm>
            <a:off x="194" y="793"/>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160">
            <a:extLst>
              <a:ext uri="{FF2B5EF4-FFF2-40B4-BE49-F238E27FC236}">
                <a16:creationId xmlns:a16="http://schemas.microsoft.com/office/drawing/2014/main" id="{FCF92A46-ED3B-43EA-9A80-09C8B7F70FC6}"/>
              </a:ext>
            </a:extLst>
          </xdr:cNvPr>
          <xdr:cNvSpPr>
            <a:spLocks noChangeShapeType="1"/>
          </xdr:cNvSpPr>
        </xdr:nvSpPr>
        <xdr:spPr bwMode="auto">
          <a:xfrm flipH="1">
            <a:off x="120" y="804"/>
            <a:ext cx="2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161">
            <a:extLst>
              <a:ext uri="{FF2B5EF4-FFF2-40B4-BE49-F238E27FC236}">
                <a16:creationId xmlns:a16="http://schemas.microsoft.com/office/drawing/2014/main" id="{0DA05A4B-793C-6345-798D-A62F70B8B76F}"/>
              </a:ext>
            </a:extLst>
          </xdr:cNvPr>
          <xdr:cNvSpPr>
            <a:spLocks noChangeShapeType="1"/>
          </xdr:cNvSpPr>
        </xdr:nvSpPr>
        <xdr:spPr bwMode="auto">
          <a:xfrm flipV="1">
            <a:off x="127" y="874"/>
            <a:ext cx="0" cy="1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162">
            <a:extLst>
              <a:ext uri="{FF2B5EF4-FFF2-40B4-BE49-F238E27FC236}">
                <a16:creationId xmlns:a16="http://schemas.microsoft.com/office/drawing/2014/main" id="{61B2A0A7-2D65-B033-56C3-5046C37572C1}"/>
              </a:ext>
            </a:extLst>
          </xdr:cNvPr>
          <xdr:cNvSpPr>
            <a:spLocks noChangeShapeType="1"/>
          </xdr:cNvSpPr>
        </xdr:nvSpPr>
        <xdr:spPr bwMode="auto">
          <a:xfrm flipV="1">
            <a:off x="184" y="871"/>
            <a:ext cx="0" cy="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163">
            <a:extLst>
              <a:ext uri="{FF2B5EF4-FFF2-40B4-BE49-F238E27FC236}">
                <a16:creationId xmlns:a16="http://schemas.microsoft.com/office/drawing/2014/main" id="{2AD4705F-DC10-20C8-38E8-4C4F620FDB9E}"/>
              </a:ext>
            </a:extLst>
          </xdr:cNvPr>
          <xdr:cNvSpPr>
            <a:spLocks noChangeShapeType="1"/>
          </xdr:cNvSpPr>
        </xdr:nvSpPr>
        <xdr:spPr bwMode="auto">
          <a:xfrm flipV="1">
            <a:off x="137" y="804"/>
            <a:ext cx="1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164">
            <a:extLst>
              <a:ext uri="{FF2B5EF4-FFF2-40B4-BE49-F238E27FC236}">
                <a16:creationId xmlns:a16="http://schemas.microsoft.com/office/drawing/2014/main" id="{2B6C6954-A865-3058-6004-925E04F65666}"/>
              </a:ext>
            </a:extLst>
          </xdr:cNvPr>
          <xdr:cNvSpPr>
            <a:spLocks noChangeShapeType="1"/>
          </xdr:cNvSpPr>
        </xdr:nvSpPr>
        <xdr:spPr bwMode="auto">
          <a:xfrm flipH="1">
            <a:off x="127" y="813"/>
            <a:ext cx="10" cy="7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165">
            <a:extLst>
              <a:ext uri="{FF2B5EF4-FFF2-40B4-BE49-F238E27FC236}">
                <a16:creationId xmlns:a16="http://schemas.microsoft.com/office/drawing/2014/main" id="{27BED438-DF3F-D162-9D1D-76C492DB69ED}"/>
              </a:ext>
            </a:extLst>
          </xdr:cNvPr>
          <xdr:cNvSpPr>
            <a:spLocks noChangeShapeType="1"/>
          </xdr:cNvSpPr>
        </xdr:nvSpPr>
        <xdr:spPr bwMode="auto">
          <a:xfrm flipV="1">
            <a:off x="147"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166">
            <a:extLst>
              <a:ext uri="{FF2B5EF4-FFF2-40B4-BE49-F238E27FC236}">
                <a16:creationId xmlns:a16="http://schemas.microsoft.com/office/drawing/2014/main" id="{A03CB295-3733-0A57-65B7-215CD2719FA0}"/>
              </a:ext>
            </a:extLst>
          </xdr:cNvPr>
          <xdr:cNvSpPr>
            <a:spLocks noChangeShapeType="1"/>
          </xdr:cNvSpPr>
        </xdr:nvSpPr>
        <xdr:spPr bwMode="auto">
          <a:xfrm>
            <a:off x="164"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168">
            <a:extLst>
              <a:ext uri="{FF2B5EF4-FFF2-40B4-BE49-F238E27FC236}">
                <a16:creationId xmlns:a16="http://schemas.microsoft.com/office/drawing/2014/main" id="{69E6C8E5-1992-C33A-1147-A2A1D08E8D3A}"/>
              </a:ext>
            </a:extLst>
          </xdr:cNvPr>
          <xdr:cNvSpPr>
            <a:spLocks noChangeShapeType="1"/>
          </xdr:cNvSpPr>
        </xdr:nvSpPr>
        <xdr:spPr bwMode="auto">
          <a:xfrm>
            <a:off x="132"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169">
            <a:extLst>
              <a:ext uri="{FF2B5EF4-FFF2-40B4-BE49-F238E27FC236}">
                <a16:creationId xmlns:a16="http://schemas.microsoft.com/office/drawing/2014/main" id="{08187F4E-60ED-E249-BAF1-C4F95E401F5F}"/>
              </a:ext>
            </a:extLst>
          </xdr:cNvPr>
          <xdr:cNvSpPr>
            <a:spLocks noChangeShapeType="1"/>
          </xdr:cNvSpPr>
        </xdr:nvSpPr>
        <xdr:spPr bwMode="auto">
          <a:xfrm flipH="1" flipV="1">
            <a:off x="132" y="793"/>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170">
            <a:extLst>
              <a:ext uri="{FF2B5EF4-FFF2-40B4-BE49-F238E27FC236}">
                <a16:creationId xmlns:a16="http://schemas.microsoft.com/office/drawing/2014/main" id="{C63481CD-F012-5549-5021-D841694DECCA}"/>
              </a:ext>
            </a:extLst>
          </xdr:cNvPr>
          <xdr:cNvSpPr>
            <a:spLocks noChangeShapeType="1"/>
          </xdr:cNvSpPr>
        </xdr:nvSpPr>
        <xdr:spPr bwMode="auto">
          <a:xfrm flipV="1">
            <a:off x="130" y="793"/>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171">
            <a:extLst>
              <a:ext uri="{FF2B5EF4-FFF2-40B4-BE49-F238E27FC236}">
                <a16:creationId xmlns:a16="http://schemas.microsoft.com/office/drawing/2014/main" id="{74348DAD-F34B-D75C-9209-527082E8B004}"/>
              </a:ext>
            </a:extLst>
          </xdr:cNvPr>
          <xdr:cNvSpPr>
            <a:spLocks noChangeShapeType="1"/>
          </xdr:cNvSpPr>
        </xdr:nvSpPr>
        <xdr:spPr bwMode="auto">
          <a:xfrm flipV="1">
            <a:off x="132" y="800"/>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172">
            <a:extLst>
              <a:ext uri="{FF2B5EF4-FFF2-40B4-BE49-F238E27FC236}">
                <a16:creationId xmlns:a16="http://schemas.microsoft.com/office/drawing/2014/main" id="{9EB39AF4-22B7-7874-2B0D-9535EA1EF83A}"/>
              </a:ext>
            </a:extLst>
          </xdr:cNvPr>
          <xdr:cNvSpPr>
            <a:spLocks noChangeShapeType="1"/>
          </xdr:cNvSpPr>
        </xdr:nvSpPr>
        <xdr:spPr bwMode="auto">
          <a:xfrm flipH="1" flipV="1">
            <a:off x="130" y="800"/>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173">
            <a:extLst>
              <a:ext uri="{FF2B5EF4-FFF2-40B4-BE49-F238E27FC236}">
                <a16:creationId xmlns:a16="http://schemas.microsoft.com/office/drawing/2014/main" id="{DE591C87-FB42-A37A-6239-F5EECEBF819C}"/>
              </a:ext>
            </a:extLst>
          </xdr:cNvPr>
          <xdr:cNvSpPr>
            <a:spLocks noChangeShapeType="1"/>
          </xdr:cNvSpPr>
        </xdr:nvSpPr>
        <xdr:spPr bwMode="auto">
          <a:xfrm>
            <a:off x="173" y="813"/>
            <a:ext cx="11" cy="7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174">
            <a:extLst>
              <a:ext uri="{FF2B5EF4-FFF2-40B4-BE49-F238E27FC236}">
                <a16:creationId xmlns:a16="http://schemas.microsoft.com/office/drawing/2014/main" id="{C9B6620F-1FD1-119D-CD07-F2A7666A32EA}"/>
              </a:ext>
            </a:extLst>
          </xdr:cNvPr>
          <xdr:cNvSpPr>
            <a:spLocks noChangeShapeType="1"/>
          </xdr:cNvSpPr>
        </xdr:nvSpPr>
        <xdr:spPr bwMode="auto">
          <a:xfrm>
            <a:off x="164" y="805"/>
            <a:ext cx="9"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175">
            <a:extLst>
              <a:ext uri="{FF2B5EF4-FFF2-40B4-BE49-F238E27FC236}">
                <a16:creationId xmlns:a16="http://schemas.microsoft.com/office/drawing/2014/main" id="{8FA8CB7B-0B30-D5C1-0448-17394D43D321}"/>
              </a:ext>
            </a:extLst>
          </xdr:cNvPr>
          <xdr:cNvSpPr>
            <a:spLocks noChangeShapeType="1"/>
          </xdr:cNvSpPr>
        </xdr:nvSpPr>
        <xdr:spPr bwMode="auto">
          <a:xfrm>
            <a:off x="127" y="893"/>
            <a:ext cx="5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176">
            <a:extLst>
              <a:ext uri="{FF2B5EF4-FFF2-40B4-BE49-F238E27FC236}">
                <a16:creationId xmlns:a16="http://schemas.microsoft.com/office/drawing/2014/main" id="{1EC5BE6B-F241-594B-017E-F11F42B4DC04}"/>
              </a:ext>
            </a:extLst>
          </xdr:cNvPr>
          <xdr:cNvSpPr>
            <a:spLocks noChangeShapeType="1"/>
          </xdr:cNvSpPr>
        </xdr:nvSpPr>
        <xdr:spPr bwMode="auto">
          <a:xfrm>
            <a:off x="147" y="796"/>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177">
            <a:extLst>
              <a:ext uri="{FF2B5EF4-FFF2-40B4-BE49-F238E27FC236}">
                <a16:creationId xmlns:a16="http://schemas.microsoft.com/office/drawing/2014/main" id="{F4DA5CC4-2A49-9E1E-CBD7-2477E7A6C83A}"/>
              </a:ext>
            </a:extLst>
          </xdr:cNvPr>
          <xdr:cNvSpPr>
            <a:spLocks noChangeShapeType="1"/>
          </xdr:cNvSpPr>
        </xdr:nvSpPr>
        <xdr:spPr bwMode="auto">
          <a:xfrm flipH="1">
            <a:off x="147"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178">
            <a:extLst>
              <a:ext uri="{FF2B5EF4-FFF2-40B4-BE49-F238E27FC236}">
                <a16:creationId xmlns:a16="http://schemas.microsoft.com/office/drawing/2014/main" id="{DC54E256-48D1-86A0-D7A6-311CF96D9AB1}"/>
              </a:ext>
            </a:extLst>
          </xdr:cNvPr>
          <xdr:cNvSpPr>
            <a:spLocks noChangeShapeType="1"/>
          </xdr:cNvSpPr>
        </xdr:nvSpPr>
        <xdr:spPr bwMode="auto">
          <a:xfrm flipH="1" flipV="1">
            <a:off x="147" y="796"/>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 name="Line 179">
            <a:extLst>
              <a:ext uri="{FF2B5EF4-FFF2-40B4-BE49-F238E27FC236}">
                <a16:creationId xmlns:a16="http://schemas.microsoft.com/office/drawing/2014/main" id="{E6AEDD11-9CE0-D24F-5492-E5D78EEDCDEB}"/>
              </a:ext>
            </a:extLst>
          </xdr:cNvPr>
          <xdr:cNvSpPr>
            <a:spLocks noChangeShapeType="1"/>
          </xdr:cNvSpPr>
        </xdr:nvSpPr>
        <xdr:spPr bwMode="auto">
          <a:xfrm flipH="1">
            <a:off x="147"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180">
            <a:extLst>
              <a:ext uri="{FF2B5EF4-FFF2-40B4-BE49-F238E27FC236}">
                <a16:creationId xmlns:a16="http://schemas.microsoft.com/office/drawing/2014/main" id="{C0FC4C9E-B79E-3F87-4FCA-9D484730ED50}"/>
              </a:ext>
            </a:extLst>
          </xdr:cNvPr>
          <xdr:cNvSpPr>
            <a:spLocks noChangeShapeType="1"/>
          </xdr:cNvSpPr>
        </xdr:nvSpPr>
        <xdr:spPr bwMode="auto">
          <a:xfrm flipV="1">
            <a:off x="161" y="796"/>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181">
            <a:extLst>
              <a:ext uri="{FF2B5EF4-FFF2-40B4-BE49-F238E27FC236}">
                <a16:creationId xmlns:a16="http://schemas.microsoft.com/office/drawing/2014/main" id="{D1C69BEE-EDF8-5E1D-AD1E-93A85609D8B7}"/>
              </a:ext>
            </a:extLst>
          </xdr:cNvPr>
          <xdr:cNvSpPr>
            <a:spLocks noChangeShapeType="1"/>
          </xdr:cNvSpPr>
        </xdr:nvSpPr>
        <xdr:spPr bwMode="auto">
          <a:xfrm>
            <a:off x="161"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182">
            <a:extLst>
              <a:ext uri="{FF2B5EF4-FFF2-40B4-BE49-F238E27FC236}">
                <a16:creationId xmlns:a16="http://schemas.microsoft.com/office/drawing/2014/main" id="{E750655A-D96A-BA47-1910-56C46D9C4144}"/>
              </a:ext>
            </a:extLst>
          </xdr:cNvPr>
          <xdr:cNvSpPr>
            <a:spLocks noChangeShapeType="1"/>
          </xdr:cNvSpPr>
        </xdr:nvSpPr>
        <xdr:spPr bwMode="auto">
          <a:xfrm flipH="1" flipV="1">
            <a:off x="139" y="813"/>
            <a:ext cx="4"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183">
            <a:extLst>
              <a:ext uri="{FF2B5EF4-FFF2-40B4-BE49-F238E27FC236}">
                <a16:creationId xmlns:a16="http://schemas.microsoft.com/office/drawing/2014/main" id="{35B4FBCF-DEBF-67B0-0A19-5F6E4CA15D49}"/>
              </a:ext>
            </a:extLst>
          </xdr:cNvPr>
          <xdr:cNvSpPr>
            <a:spLocks noChangeShapeType="1"/>
          </xdr:cNvSpPr>
        </xdr:nvSpPr>
        <xdr:spPr bwMode="auto">
          <a:xfrm flipV="1">
            <a:off x="168" y="813"/>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184">
            <a:extLst>
              <a:ext uri="{FF2B5EF4-FFF2-40B4-BE49-F238E27FC236}">
                <a16:creationId xmlns:a16="http://schemas.microsoft.com/office/drawing/2014/main" id="{D493BC71-75EC-D97D-15B6-E43AAC49F906}"/>
              </a:ext>
            </a:extLst>
          </xdr:cNvPr>
          <xdr:cNvSpPr>
            <a:spLocks noChangeShapeType="1"/>
          </xdr:cNvSpPr>
        </xdr:nvSpPr>
        <xdr:spPr bwMode="auto">
          <a:xfrm flipH="1" flipV="1">
            <a:off x="168" y="811"/>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185">
            <a:extLst>
              <a:ext uri="{FF2B5EF4-FFF2-40B4-BE49-F238E27FC236}">
                <a16:creationId xmlns:a16="http://schemas.microsoft.com/office/drawing/2014/main" id="{8AF78513-E7A6-CFB5-9BB5-EE8E86A90AF3}"/>
              </a:ext>
            </a:extLst>
          </xdr:cNvPr>
          <xdr:cNvSpPr>
            <a:spLocks noChangeShapeType="1"/>
          </xdr:cNvSpPr>
        </xdr:nvSpPr>
        <xdr:spPr bwMode="auto">
          <a:xfrm flipV="1">
            <a:off x="139" y="811"/>
            <a:ext cx="4"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123825</xdr:colOff>
      <xdr:row>29</xdr:row>
      <xdr:rowOff>85725</xdr:rowOff>
    </xdr:from>
    <xdr:to>
      <xdr:col>3</xdr:col>
      <xdr:colOff>411649</xdr:colOff>
      <xdr:row>29</xdr:row>
      <xdr:rowOff>202266</xdr:rowOff>
    </xdr:to>
    <xdr:sp macro="" textlink="">
      <xdr:nvSpPr>
        <xdr:cNvPr id="51" name="Depth">
          <a:extLst>
            <a:ext uri="{FF2B5EF4-FFF2-40B4-BE49-F238E27FC236}">
              <a16:creationId xmlns:a16="http://schemas.microsoft.com/office/drawing/2014/main" id="{82280D69-D369-4568-A657-854F30704BBF}"/>
            </a:ext>
          </a:extLst>
        </xdr:cNvPr>
        <xdr:cNvSpPr txBox="1">
          <a:spLocks noChangeArrowheads="1"/>
        </xdr:cNvSpPr>
      </xdr:nvSpPr>
      <xdr:spPr bwMode="auto">
        <a:xfrm>
          <a:off x="1819275" y="6781800"/>
          <a:ext cx="287824" cy="116541"/>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62.5</a:t>
          </a:r>
        </a:p>
      </xdr:txBody>
    </xdr:sp>
    <xdr:clientData/>
  </xdr:twoCellAnchor>
  <xdr:twoCellAnchor>
    <xdr:from>
      <xdr:col>1</xdr:col>
      <xdr:colOff>38100</xdr:colOff>
      <xdr:row>31</xdr:row>
      <xdr:rowOff>0</xdr:rowOff>
    </xdr:from>
    <xdr:to>
      <xdr:col>2</xdr:col>
      <xdr:colOff>11505</xdr:colOff>
      <xdr:row>31</xdr:row>
      <xdr:rowOff>104775</xdr:rowOff>
    </xdr:to>
    <xdr:sp macro="" textlink="">
      <xdr:nvSpPr>
        <xdr:cNvPr id="52" name="Tip">
          <a:extLst>
            <a:ext uri="{FF2B5EF4-FFF2-40B4-BE49-F238E27FC236}">
              <a16:creationId xmlns:a16="http://schemas.microsoft.com/office/drawing/2014/main" id="{74939832-DF09-45CC-A0CC-A65332A75766}"/>
            </a:ext>
          </a:extLst>
        </xdr:cNvPr>
        <xdr:cNvSpPr txBox="1">
          <a:spLocks noChangeArrowheads="1"/>
        </xdr:cNvSpPr>
      </xdr:nvSpPr>
      <xdr:spPr bwMode="auto">
        <a:xfrm>
          <a:off x="828675" y="7153275"/>
          <a:ext cx="38298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2.83</a:t>
          </a:r>
        </a:p>
      </xdr:txBody>
    </xdr:sp>
    <xdr:clientData/>
  </xdr:twoCellAnchor>
  <xdr:twoCellAnchor>
    <xdr:from>
      <xdr:col>2</xdr:col>
      <xdr:colOff>144780</xdr:colOff>
      <xdr:row>26</xdr:row>
      <xdr:rowOff>200025</xdr:rowOff>
    </xdr:from>
    <xdr:to>
      <xdr:col>3</xdr:col>
      <xdr:colOff>47743</xdr:colOff>
      <xdr:row>27</xdr:row>
      <xdr:rowOff>66675</xdr:rowOff>
    </xdr:to>
    <xdr:sp macro="" textlink="">
      <xdr:nvSpPr>
        <xdr:cNvPr id="53" name="Width">
          <a:extLst>
            <a:ext uri="{FF2B5EF4-FFF2-40B4-BE49-F238E27FC236}">
              <a16:creationId xmlns:a16="http://schemas.microsoft.com/office/drawing/2014/main" id="{AEE0FB8B-6F06-48C3-B1BA-36AB1572F6BD}"/>
            </a:ext>
          </a:extLst>
        </xdr:cNvPr>
        <xdr:cNvSpPr txBox="1">
          <a:spLocks noChangeArrowheads="1"/>
        </xdr:cNvSpPr>
      </xdr:nvSpPr>
      <xdr:spPr bwMode="auto">
        <a:xfrm>
          <a:off x="1344930" y="6210300"/>
          <a:ext cx="398263"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14.5</a:t>
          </a:r>
        </a:p>
      </xdr:txBody>
    </xdr:sp>
    <xdr:clientData/>
  </xdr:twoCellAnchor>
  <xdr:twoCellAnchor>
    <xdr:from>
      <xdr:col>1</xdr:col>
      <xdr:colOff>333375</xdr:colOff>
      <xdr:row>27</xdr:row>
      <xdr:rowOff>57150</xdr:rowOff>
    </xdr:from>
    <xdr:to>
      <xdr:col>3</xdr:col>
      <xdr:colOff>371475</xdr:colOff>
      <xdr:row>31</xdr:row>
      <xdr:rowOff>219075</xdr:rowOff>
    </xdr:to>
    <xdr:grpSp>
      <xdr:nvGrpSpPr>
        <xdr:cNvPr id="54" name="Group 254">
          <a:extLst>
            <a:ext uri="{FF2B5EF4-FFF2-40B4-BE49-F238E27FC236}">
              <a16:creationId xmlns:a16="http://schemas.microsoft.com/office/drawing/2014/main" id="{850F343B-6CB9-473D-8922-2A5B8567B81D}"/>
            </a:ext>
          </a:extLst>
        </xdr:cNvPr>
        <xdr:cNvGrpSpPr>
          <a:grpSpLocks/>
        </xdr:cNvGrpSpPr>
      </xdr:nvGrpSpPr>
      <xdr:grpSpPr bwMode="auto">
        <a:xfrm>
          <a:off x="1123950" y="6296025"/>
          <a:ext cx="942975" cy="1076325"/>
          <a:chOff x="118" y="637"/>
          <a:chExt cx="99" cy="113"/>
        </a:xfrm>
      </xdr:grpSpPr>
      <xdr:sp macro="" textlink="">
        <xdr:nvSpPr>
          <xdr:cNvPr id="55" name="Line 229">
            <a:extLst>
              <a:ext uri="{FF2B5EF4-FFF2-40B4-BE49-F238E27FC236}">
                <a16:creationId xmlns:a16="http://schemas.microsoft.com/office/drawing/2014/main" id="{385F826D-8D6D-A929-790B-A4E268B15AEB}"/>
              </a:ext>
            </a:extLst>
          </xdr:cNvPr>
          <xdr:cNvSpPr>
            <a:spLocks noChangeShapeType="1"/>
          </xdr:cNvSpPr>
        </xdr:nvSpPr>
        <xdr:spPr bwMode="auto">
          <a:xfrm flipH="1">
            <a:off x="182" y="651"/>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230">
            <a:extLst>
              <a:ext uri="{FF2B5EF4-FFF2-40B4-BE49-F238E27FC236}">
                <a16:creationId xmlns:a16="http://schemas.microsoft.com/office/drawing/2014/main" id="{0CB7919D-FBD2-1881-9489-0502512647F6}"/>
              </a:ext>
            </a:extLst>
          </xdr:cNvPr>
          <xdr:cNvSpPr>
            <a:spLocks noChangeShapeType="1"/>
          </xdr:cNvSpPr>
        </xdr:nvSpPr>
        <xdr:spPr bwMode="auto">
          <a:xfrm flipH="1">
            <a:off x="134" y="652"/>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231">
            <a:extLst>
              <a:ext uri="{FF2B5EF4-FFF2-40B4-BE49-F238E27FC236}">
                <a16:creationId xmlns:a16="http://schemas.microsoft.com/office/drawing/2014/main" id="{E8375156-6B2A-9809-AC62-A3B7DDDD4CB3}"/>
              </a:ext>
            </a:extLst>
          </xdr:cNvPr>
          <xdr:cNvSpPr>
            <a:spLocks noChangeShapeType="1"/>
          </xdr:cNvSpPr>
        </xdr:nvSpPr>
        <xdr:spPr bwMode="auto">
          <a:xfrm>
            <a:off x="183" y="651"/>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 name="Line 232">
            <a:extLst>
              <a:ext uri="{FF2B5EF4-FFF2-40B4-BE49-F238E27FC236}">
                <a16:creationId xmlns:a16="http://schemas.microsoft.com/office/drawing/2014/main" id="{3C29DC32-9FBB-876C-B963-5A670229FEEF}"/>
              </a:ext>
            </a:extLst>
          </xdr:cNvPr>
          <xdr:cNvSpPr>
            <a:spLocks noChangeShapeType="1"/>
          </xdr:cNvSpPr>
        </xdr:nvSpPr>
        <xdr:spPr bwMode="auto">
          <a:xfrm>
            <a:off x="136" y="652"/>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233">
            <a:extLst>
              <a:ext uri="{FF2B5EF4-FFF2-40B4-BE49-F238E27FC236}">
                <a16:creationId xmlns:a16="http://schemas.microsoft.com/office/drawing/2014/main" id="{4A3F4786-2D93-D18B-A641-52222C4BA396}"/>
              </a:ext>
            </a:extLst>
          </xdr:cNvPr>
          <xdr:cNvSpPr>
            <a:spLocks noChangeShapeType="1"/>
          </xdr:cNvSpPr>
        </xdr:nvSpPr>
        <xdr:spPr bwMode="auto">
          <a:xfrm>
            <a:off x="130" y="724"/>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234">
            <a:extLst>
              <a:ext uri="{FF2B5EF4-FFF2-40B4-BE49-F238E27FC236}">
                <a16:creationId xmlns:a16="http://schemas.microsoft.com/office/drawing/2014/main" id="{3C47EF7B-0E60-1000-F0AD-D5FCAEE146BA}"/>
              </a:ext>
            </a:extLst>
          </xdr:cNvPr>
          <xdr:cNvSpPr>
            <a:spLocks noChangeShapeType="1"/>
          </xdr:cNvSpPr>
        </xdr:nvSpPr>
        <xdr:spPr bwMode="auto">
          <a:xfrm flipH="1">
            <a:off x="190" y="729"/>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235">
            <a:extLst>
              <a:ext uri="{FF2B5EF4-FFF2-40B4-BE49-F238E27FC236}">
                <a16:creationId xmlns:a16="http://schemas.microsoft.com/office/drawing/2014/main" id="{69AA499A-B0B8-40C3-121E-3B0A89D7F384}"/>
              </a:ext>
            </a:extLst>
          </xdr:cNvPr>
          <xdr:cNvSpPr>
            <a:spLocks noChangeShapeType="1"/>
          </xdr:cNvSpPr>
        </xdr:nvSpPr>
        <xdr:spPr bwMode="auto">
          <a:xfrm>
            <a:off x="130" y="730"/>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236">
            <a:extLst>
              <a:ext uri="{FF2B5EF4-FFF2-40B4-BE49-F238E27FC236}">
                <a16:creationId xmlns:a16="http://schemas.microsoft.com/office/drawing/2014/main" id="{135BCBD0-4CF6-68F1-E475-088ABF13686A}"/>
              </a:ext>
            </a:extLst>
          </xdr:cNvPr>
          <xdr:cNvSpPr>
            <a:spLocks noChangeShapeType="1"/>
          </xdr:cNvSpPr>
        </xdr:nvSpPr>
        <xdr:spPr bwMode="auto">
          <a:xfrm>
            <a:off x="182" y="729"/>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237">
            <a:extLst>
              <a:ext uri="{FF2B5EF4-FFF2-40B4-BE49-F238E27FC236}">
                <a16:creationId xmlns:a16="http://schemas.microsoft.com/office/drawing/2014/main" id="{A775876F-B48A-B72F-2FBE-02743AAEC5F8}"/>
              </a:ext>
            </a:extLst>
          </xdr:cNvPr>
          <xdr:cNvSpPr>
            <a:spLocks noChangeShapeType="1"/>
          </xdr:cNvSpPr>
        </xdr:nvSpPr>
        <xdr:spPr bwMode="auto">
          <a:xfrm>
            <a:off x="137" y="731"/>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238">
            <a:extLst>
              <a:ext uri="{FF2B5EF4-FFF2-40B4-BE49-F238E27FC236}">
                <a16:creationId xmlns:a16="http://schemas.microsoft.com/office/drawing/2014/main" id="{EEC3C499-B892-E278-74DA-591E0627D101}"/>
              </a:ext>
            </a:extLst>
          </xdr:cNvPr>
          <xdr:cNvSpPr>
            <a:spLocks noChangeShapeType="1"/>
          </xdr:cNvSpPr>
        </xdr:nvSpPr>
        <xdr:spPr bwMode="auto">
          <a:xfrm>
            <a:off x="182" y="739"/>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239">
            <a:extLst>
              <a:ext uri="{FF2B5EF4-FFF2-40B4-BE49-F238E27FC236}">
                <a16:creationId xmlns:a16="http://schemas.microsoft.com/office/drawing/2014/main" id="{2DE8A1F2-2F18-572B-4253-98EEA37A4B65}"/>
              </a:ext>
            </a:extLst>
          </xdr:cNvPr>
          <xdr:cNvSpPr>
            <a:spLocks noChangeShapeType="1"/>
          </xdr:cNvSpPr>
        </xdr:nvSpPr>
        <xdr:spPr bwMode="auto">
          <a:xfrm flipH="1">
            <a:off x="121" y="739"/>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240">
            <a:extLst>
              <a:ext uri="{FF2B5EF4-FFF2-40B4-BE49-F238E27FC236}">
                <a16:creationId xmlns:a16="http://schemas.microsoft.com/office/drawing/2014/main" id="{64DFF238-05ED-5CB3-F562-D352F78375DA}"/>
              </a:ext>
            </a:extLst>
          </xdr:cNvPr>
          <xdr:cNvSpPr>
            <a:spLocks noChangeShapeType="1"/>
          </xdr:cNvSpPr>
        </xdr:nvSpPr>
        <xdr:spPr bwMode="auto">
          <a:xfrm>
            <a:off x="190" y="653"/>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241">
            <a:extLst>
              <a:ext uri="{FF2B5EF4-FFF2-40B4-BE49-F238E27FC236}">
                <a16:creationId xmlns:a16="http://schemas.microsoft.com/office/drawing/2014/main" id="{B0D71E0B-B178-99DD-9299-D735FFB6A69E}"/>
              </a:ext>
            </a:extLst>
          </xdr:cNvPr>
          <xdr:cNvSpPr>
            <a:spLocks noChangeShapeType="1"/>
          </xdr:cNvSpPr>
        </xdr:nvSpPr>
        <xdr:spPr bwMode="auto">
          <a:xfrm flipV="1">
            <a:off x="200" y="654"/>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68" name="Line 242">
            <a:extLst>
              <a:ext uri="{FF2B5EF4-FFF2-40B4-BE49-F238E27FC236}">
                <a16:creationId xmlns:a16="http://schemas.microsoft.com/office/drawing/2014/main" id="{5C2BAEDE-ED5C-B6D4-63C1-75CAFA6729B3}"/>
              </a:ext>
            </a:extLst>
          </xdr:cNvPr>
          <xdr:cNvSpPr>
            <a:spLocks noChangeShapeType="1"/>
          </xdr:cNvSpPr>
        </xdr:nvSpPr>
        <xdr:spPr bwMode="auto">
          <a:xfrm>
            <a:off x="200" y="708"/>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69" name="Line 243">
            <a:extLst>
              <a:ext uri="{FF2B5EF4-FFF2-40B4-BE49-F238E27FC236}">
                <a16:creationId xmlns:a16="http://schemas.microsoft.com/office/drawing/2014/main" id="{15BE722A-7400-4732-C2BB-0722C9E190DE}"/>
              </a:ext>
            </a:extLst>
          </xdr:cNvPr>
          <xdr:cNvSpPr>
            <a:spLocks noChangeShapeType="1"/>
          </xdr:cNvSpPr>
        </xdr:nvSpPr>
        <xdr:spPr bwMode="auto">
          <a:xfrm flipV="1">
            <a:off x="124" y="740"/>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0" name="Line 244">
            <a:extLst>
              <a:ext uri="{FF2B5EF4-FFF2-40B4-BE49-F238E27FC236}">
                <a16:creationId xmlns:a16="http://schemas.microsoft.com/office/drawing/2014/main" id="{1C790914-AE8C-5BBD-D4B1-D21F3701315F}"/>
              </a:ext>
            </a:extLst>
          </xdr:cNvPr>
          <xdr:cNvSpPr>
            <a:spLocks noChangeShapeType="1"/>
          </xdr:cNvSpPr>
        </xdr:nvSpPr>
        <xdr:spPr bwMode="auto">
          <a:xfrm>
            <a:off x="122" y="714"/>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1" name="Line 245">
            <a:extLst>
              <a:ext uri="{FF2B5EF4-FFF2-40B4-BE49-F238E27FC236}">
                <a16:creationId xmlns:a16="http://schemas.microsoft.com/office/drawing/2014/main" id="{C3A7ED19-5376-101C-E353-6B5BB0AE75C0}"/>
              </a:ext>
            </a:extLst>
          </xdr:cNvPr>
          <xdr:cNvSpPr>
            <a:spLocks noChangeShapeType="1"/>
          </xdr:cNvSpPr>
        </xdr:nvSpPr>
        <xdr:spPr bwMode="auto">
          <a:xfrm>
            <a:off x="118" y="724"/>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246">
            <a:extLst>
              <a:ext uri="{FF2B5EF4-FFF2-40B4-BE49-F238E27FC236}">
                <a16:creationId xmlns:a16="http://schemas.microsoft.com/office/drawing/2014/main" id="{D5D1C88D-6C2F-6B76-B95C-7C2932D40650}"/>
              </a:ext>
            </a:extLst>
          </xdr:cNvPr>
          <xdr:cNvSpPr>
            <a:spLocks noChangeShapeType="1"/>
          </xdr:cNvSpPr>
        </xdr:nvSpPr>
        <xdr:spPr bwMode="auto">
          <a:xfrm flipV="1">
            <a:off x="183" y="637"/>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247">
            <a:extLst>
              <a:ext uri="{FF2B5EF4-FFF2-40B4-BE49-F238E27FC236}">
                <a16:creationId xmlns:a16="http://schemas.microsoft.com/office/drawing/2014/main" id="{A3867014-D83C-0346-EF83-64FEC7346BC4}"/>
              </a:ext>
            </a:extLst>
          </xdr:cNvPr>
          <xdr:cNvSpPr>
            <a:spLocks noChangeShapeType="1"/>
          </xdr:cNvSpPr>
        </xdr:nvSpPr>
        <xdr:spPr bwMode="auto">
          <a:xfrm flipV="1">
            <a:off x="135" y="638"/>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248">
            <a:extLst>
              <a:ext uri="{FF2B5EF4-FFF2-40B4-BE49-F238E27FC236}">
                <a16:creationId xmlns:a16="http://schemas.microsoft.com/office/drawing/2014/main" id="{DE0D3AED-2153-0DBA-8D3E-8832FE1AF2BF}"/>
              </a:ext>
            </a:extLst>
          </xdr:cNvPr>
          <xdr:cNvSpPr>
            <a:spLocks noChangeShapeType="1"/>
          </xdr:cNvSpPr>
        </xdr:nvSpPr>
        <xdr:spPr bwMode="auto">
          <a:xfrm>
            <a:off x="144" y="643"/>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5" name="Line 249">
            <a:extLst>
              <a:ext uri="{FF2B5EF4-FFF2-40B4-BE49-F238E27FC236}">
                <a16:creationId xmlns:a16="http://schemas.microsoft.com/office/drawing/2014/main" id="{A32166DB-6585-36E0-931F-3A7A970991BB}"/>
              </a:ext>
            </a:extLst>
          </xdr:cNvPr>
          <xdr:cNvSpPr>
            <a:spLocks noChangeShapeType="1"/>
          </xdr:cNvSpPr>
        </xdr:nvSpPr>
        <xdr:spPr bwMode="auto">
          <a:xfrm flipH="1">
            <a:off x="139" y="643"/>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6" name="Line 250">
            <a:extLst>
              <a:ext uri="{FF2B5EF4-FFF2-40B4-BE49-F238E27FC236}">
                <a16:creationId xmlns:a16="http://schemas.microsoft.com/office/drawing/2014/main" id="{4603BCAB-C4DB-7C44-49F0-85884235ECD1}"/>
              </a:ext>
            </a:extLst>
          </xdr:cNvPr>
          <xdr:cNvSpPr>
            <a:spLocks noChangeShapeType="1"/>
          </xdr:cNvSpPr>
        </xdr:nvSpPr>
        <xdr:spPr bwMode="auto">
          <a:xfrm>
            <a:off x="130" y="724"/>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251">
            <a:extLst>
              <a:ext uri="{FF2B5EF4-FFF2-40B4-BE49-F238E27FC236}">
                <a16:creationId xmlns:a16="http://schemas.microsoft.com/office/drawing/2014/main" id="{C397CA4D-6675-63C7-6202-2A932D342981}"/>
              </a:ext>
            </a:extLst>
          </xdr:cNvPr>
          <xdr:cNvSpPr>
            <a:spLocks noChangeShapeType="1"/>
          </xdr:cNvSpPr>
        </xdr:nvSpPr>
        <xdr:spPr bwMode="auto">
          <a:xfrm>
            <a:off x="182" y="730"/>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 name="Line 252">
            <a:extLst>
              <a:ext uri="{FF2B5EF4-FFF2-40B4-BE49-F238E27FC236}">
                <a16:creationId xmlns:a16="http://schemas.microsoft.com/office/drawing/2014/main" id="{B55C8240-0B32-8DC3-26B5-D95007A69058}"/>
              </a:ext>
            </a:extLst>
          </xdr:cNvPr>
          <xdr:cNvSpPr>
            <a:spLocks noChangeShapeType="1"/>
          </xdr:cNvSpPr>
        </xdr:nvSpPr>
        <xdr:spPr bwMode="auto">
          <a:xfrm flipV="1">
            <a:off x="190" y="722"/>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253">
            <a:extLst>
              <a:ext uri="{FF2B5EF4-FFF2-40B4-BE49-F238E27FC236}">
                <a16:creationId xmlns:a16="http://schemas.microsoft.com/office/drawing/2014/main" id="{63763EF2-272E-1461-DBA0-0B29088C7F40}"/>
              </a:ext>
            </a:extLst>
          </xdr:cNvPr>
          <xdr:cNvSpPr>
            <a:spLocks noChangeShapeType="1"/>
          </xdr:cNvSpPr>
        </xdr:nvSpPr>
        <xdr:spPr bwMode="auto">
          <a:xfrm>
            <a:off x="183" y="723"/>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xdr:col>
      <xdr:colOff>152400</xdr:colOff>
      <xdr:row>44</xdr:row>
      <xdr:rowOff>0</xdr:rowOff>
    </xdr:from>
    <xdr:to>
      <xdr:col>9</xdr:col>
      <xdr:colOff>361950</xdr:colOff>
      <xdr:row>44</xdr:row>
      <xdr:rowOff>0</xdr:rowOff>
    </xdr:to>
    <xdr:sp macro="" textlink="">
      <xdr:nvSpPr>
        <xdr:cNvPr id="80" name="Rectangle 255">
          <a:extLst>
            <a:ext uri="{FF2B5EF4-FFF2-40B4-BE49-F238E27FC236}">
              <a16:creationId xmlns:a16="http://schemas.microsoft.com/office/drawing/2014/main" id="{EE1D0844-EDAF-4D59-B478-7449B9C7AFED}"/>
            </a:ext>
          </a:extLst>
        </xdr:cNvPr>
        <xdr:cNvSpPr>
          <a:spLocks noChangeArrowheads="1"/>
        </xdr:cNvSpPr>
      </xdr:nvSpPr>
      <xdr:spPr bwMode="auto">
        <a:xfrm>
          <a:off x="549592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81" name="Rectangle 256">
          <a:extLst>
            <a:ext uri="{FF2B5EF4-FFF2-40B4-BE49-F238E27FC236}">
              <a16:creationId xmlns:a16="http://schemas.microsoft.com/office/drawing/2014/main" id="{B672D285-B4D3-4D61-853A-2FBD8AB34E10}"/>
            </a:ext>
          </a:extLst>
        </xdr:cNvPr>
        <xdr:cNvSpPr>
          <a:spLocks noChangeArrowheads="1"/>
        </xdr:cNvSpPr>
      </xdr:nvSpPr>
      <xdr:spPr bwMode="auto">
        <a:xfrm>
          <a:off x="536257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82" name="Rectangle 257">
          <a:extLst>
            <a:ext uri="{FF2B5EF4-FFF2-40B4-BE49-F238E27FC236}">
              <a16:creationId xmlns:a16="http://schemas.microsoft.com/office/drawing/2014/main" id="{E3E28CC9-7C75-4DCB-87A1-B7CFA6F66C63}"/>
            </a:ext>
          </a:extLst>
        </xdr:cNvPr>
        <xdr:cNvSpPr>
          <a:spLocks noChangeArrowheads="1"/>
        </xdr:cNvSpPr>
      </xdr:nvSpPr>
      <xdr:spPr bwMode="auto">
        <a:xfrm>
          <a:off x="537210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83" name="Rectangle 258">
          <a:extLst>
            <a:ext uri="{FF2B5EF4-FFF2-40B4-BE49-F238E27FC236}">
              <a16:creationId xmlns:a16="http://schemas.microsoft.com/office/drawing/2014/main" id="{7CB03A5F-28D5-4E14-B531-D426AE4DF536}"/>
            </a:ext>
          </a:extLst>
        </xdr:cNvPr>
        <xdr:cNvSpPr>
          <a:spLocks noChangeArrowheads="1"/>
        </xdr:cNvSpPr>
      </xdr:nvSpPr>
      <xdr:spPr bwMode="auto">
        <a:xfrm>
          <a:off x="534352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84" name="Rectangle 259">
          <a:extLst>
            <a:ext uri="{FF2B5EF4-FFF2-40B4-BE49-F238E27FC236}">
              <a16:creationId xmlns:a16="http://schemas.microsoft.com/office/drawing/2014/main" id="{BD6A9C07-56B9-41EF-93E1-FC77CAD30924}"/>
            </a:ext>
          </a:extLst>
        </xdr:cNvPr>
        <xdr:cNvSpPr>
          <a:spLocks noChangeArrowheads="1"/>
        </xdr:cNvSpPr>
      </xdr:nvSpPr>
      <xdr:spPr bwMode="auto">
        <a:xfrm>
          <a:off x="548640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133350</xdr:colOff>
      <xdr:row>39</xdr:row>
      <xdr:rowOff>180975</xdr:rowOff>
    </xdr:from>
    <xdr:to>
      <xdr:col>3</xdr:col>
      <xdr:colOff>342900</xdr:colOff>
      <xdr:row>43</xdr:row>
      <xdr:rowOff>0</xdr:rowOff>
    </xdr:to>
    <xdr:grpSp>
      <xdr:nvGrpSpPr>
        <xdr:cNvPr id="85" name="Group 3">
          <a:extLst>
            <a:ext uri="{FF2B5EF4-FFF2-40B4-BE49-F238E27FC236}">
              <a16:creationId xmlns:a16="http://schemas.microsoft.com/office/drawing/2014/main" id="{898E535F-D1CD-40DD-A2B2-D1AFE1A1378D}"/>
            </a:ext>
          </a:extLst>
        </xdr:cNvPr>
        <xdr:cNvGrpSpPr>
          <a:grpSpLocks/>
        </xdr:cNvGrpSpPr>
      </xdr:nvGrpSpPr>
      <xdr:grpSpPr bwMode="auto">
        <a:xfrm>
          <a:off x="923925" y="9163050"/>
          <a:ext cx="1114425" cy="733425"/>
          <a:chOff x="921807" y="9129183"/>
          <a:chExt cx="1110192" cy="729192"/>
        </a:xfrm>
      </xdr:grpSpPr>
      <xdr:grpSp>
        <xdr:nvGrpSpPr>
          <xdr:cNvPr id="86" name="Group 112">
            <a:extLst>
              <a:ext uri="{FF2B5EF4-FFF2-40B4-BE49-F238E27FC236}">
                <a16:creationId xmlns:a16="http://schemas.microsoft.com/office/drawing/2014/main" id="{23790A69-65EF-900F-3145-8BC8BBE184F5}"/>
              </a:ext>
            </a:extLst>
          </xdr:cNvPr>
          <xdr:cNvGrpSpPr>
            <a:grpSpLocks/>
          </xdr:cNvGrpSpPr>
        </xdr:nvGrpSpPr>
        <xdr:grpSpPr bwMode="auto">
          <a:xfrm>
            <a:off x="921807" y="9129183"/>
            <a:ext cx="887941" cy="729192"/>
            <a:chOff x="13440000" y="15720000"/>
            <a:chExt cx="1904539" cy="1540000"/>
          </a:xfrm>
        </xdr:grpSpPr>
        <xdr:grpSp>
          <xdr:nvGrpSpPr>
            <xdr:cNvPr id="97" name="Group 113">
              <a:extLst>
                <a:ext uri="{FF2B5EF4-FFF2-40B4-BE49-F238E27FC236}">
                  <a16:creationId xmlns:a16="http://schemas.microsoft.com/office/drawing/2014/main" id="{B742FFB2-E144-E50E-748E-1D44EAA8F720}"/>
                </a:ext>
              </a:extLst>
            </xdr:cNvPr>
            <xdr:cNvGrpSpPr>
              <a:grpSpLocks/>
            </xdr:cNvGrpSpPr>
          </xdr:nvGrpSpPr>
          <xdr:grpSpPr bwMode="auto">
            <a:xfrm>
              <a:off x="13440000" y="15720000"/>
              <a:ext cx="1904539" cy="1540000"/>
              <a:chOff x="13440000" y="15720000"/>
              <a:chExt cx="1904539" cy="1540000"/>
            </a:xfrm>
          </xdr:grpSpPr>
          <xdr:sp macro="" textlink="">
            <xdr:nvSpPr>
              <xdr:cNvPr id="99" name="Line 114">
                <a:extLst>
                  <a:ext uri="{FF2B5EF4-FFF2-40B4-BE49-F238E27FC236}">
                    <a16:creationId xmlns:a16="http://schemas.microsoft.com/office/drawing/2014/main" id="{D8CC67A9-ED74-1602-D5AB-993301B6BE78}"/>
                  </a:ext>
                </a:extLst>
              </xdr:cNvPr>
              <xdr:cNvSpPr>
                <a:spLocks noChangeShapeType="1"/>
              </xdr:cNvSpPr>
            </xdr:nvSpPr>
            <xdr:spPr bwMode="auto">
              <a:xfrm flipV="1">
                <a:off x="13440000" y="1572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115">
                <a:extLst>
                  <a:ext uri="{FF2B5EF4-FFF2-40B4-BE49-F238E27FC236}">
                    <a16:creationId xmlns:a16="http://schemas.microsoft.com/office/drawing/2014/main" id="{F936B38C-2331-2583-438D-5D435CF5F28A}"/>
                  </a:ext>
                </a:extLst>
              </xdr:cNvPr>
              <xdr:cNvSpPr>
                <a:spLocks noChangeShapeType="1"/>
              </xdr:cNvSpPr>
            </xdr:nvSpPr>
            <xdr:spPr bwMode="auto">
              <a:xfrm>
                <a:off x="14060000" y="15720000"/>
                <a:ext cx="0" cy="154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116">
                <a:extLst>
                  <a:ext uri="{FF2B5EF4-FFF2-40B4-BE49-F238E27FC236}">
                    <a16:creationId xmlns:a16="http://schemas.microsoft.com/office/drawing/2014/main" id="{B9254998-A5DA-3E2C-B06F-95CBD6172EB7}"/>
                  </a:ext>
                </a:extLst>
              </xdr:cNvPr>
              <xdr:cNvSpPr>
                <a:spLocks noChangeShapeType="1"/>
              </xdr:cNvSpPr>
            </xdr:nvSpPr>
            <xdr:spPr bwMode="auto">
              <a:xfrm flipV="1">
                <a:off x="14059999" y="15818346"/>
                <a:ext cx="1284540" cy="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117">
                <a:extLst>
                  <a:ext uri="{FF2B5EF4-FFF2-40B4-BE49-F238E27FC236}">
                    <a16:creationId xmlns:a16="http://schemas.microsoft.com/office/drawing/2014/main" id="{B4D0361B-433C-F813-A3C2-F4C86B52C119}"/>
                  </a:ext>
                </a:extLst>
              </xdr:cNvPr>
              <xdr:cNvSpPr>
                <a:spLocks noChangeShapeType="1"/>
              </xdr:cNvSpPr>
            </xdr:nvSpPr>
            <xdr:spPr bwMode="auto">
              <a:xfrm flipH="1">
                <a:off x="15340000" y="15820000"/>
                <a:ext cx="0" cy="82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118">
                <a:extLst>
                  <a:ext uri="{FF2B5EF4-FFF2-40B4-BE49-F238E27FC236}">
                    <a16:creationId xmlns:a16="http://schemas.microsoft.com/office/drawing/2014/main" id="{684AA4EA-B888-A00C-0E2B-4C1DE862E0E6}"/>
                  </a:ext>
                </a:extLst>
              </xdr:cNvPr>
              <xdr:cNvSpPr>
                <a:spLocks noChangeShapeType="1"/>
              </xdr:cNvSpPr>
            </xdr:nvSpPr>
            <xdr:spPr bwMode="auto">
              <a:xfrm>
                <a:off x="14060000" y="16259998"/>
                <a:ext cx="644580" cy="745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119">
                <a:extLst>
                  <a:ext uri="{FF2B5EF4-FFF2-40B4-BE49-F238E27FC236}">
                    <a16:creationId xmlns:a16="http://schemas.microsoft.com/office/drawing/2014/main" id="{467CEBCC-0A03-C642-86FE-B80DCC949696}"/>
                  </a:ext>
                </a:extLst>
              </xdr:cNvPr>
              <xdr:cNvSpPr>
                <a:spLocks noChangeShapeType="1"/>
              </xdr:cNvSpPr>
            </xdr:nvSpPr>
            <xdr:spPr bwMode="auto">
              <a:xfrm>
                <a:off x="14686237" y="15818346"/>
                <a:ext cx="13764" cy="82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98" name="Line 120">
              <a:extLst>
                <a:ext uri="{FF2B5EF4-FFF2-40B4-BE49-F238E27FC236}">
                  <a16:creationId xmlns:a16="http://schemas.microsoft.com/office/drawing/2014/main" id="{40037CE2-D718-F18A-1E72-664AB3DEA63D}"/>
                </a:ext>
              </a:extLst>
            </xdr:cNvPr>
            <xdr:cNvSpPr>
              <a:spLocks noChangeShapeType="1"/>
            </xdr:cNvSpPr>
          </xdr:nvSpPr>
          <xdr:spPr bwMode="auto">
            <a:xfrm flipH="1" flipV="1">
              <a:off x="14720000" y="1664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7" name="Group 2">
            <a:extLst>
              <a:ext uri="{FF2B5EF4-FFF2-40B4-BE49-F238E27FC236}">
                <a16:creationId xmlns:a16="http://schemas.microsoft.com/office/drawing/2014/main" id="{2C4B7B00-81BE-6F7E-0E92-81C033DC807B}"/>
              </a:ext>
            </a:extLst>
          </xdr:cNvPr>
          <xdr:cNvGrpSpPr>
            <a:grpSpLocks/>
          </xdr:cNvGrpSpPr>
        </xdr:nvGrpSpPr>
        <xdr:grpSpPr bwMode="auto">
          <a:xfrm>
            <a:off x="1214967" y="9175750"/>
            <a:ext cx="817032" cy="597957"/>
            <a:chOff x="1214967" y="9175750"/>
            <a:chExt cx="817032" cy="597957"/>
          </a:xfrm>
        </xdr:grpSpPr>
        <xdr:sp macro="" textlink="">
          <xdr:nvSpPr>
            <xdr:cNvPr id="88" name="Line 121">
              <a:extLst>
                <a:ext uri="{FF2B5EF4-FFF2-40B4-BE49-F238E27FC236}">
                  <a16:creationId xmlns:a16="http://schemas.microsoft.com/office/drawing/2014/main" id="{D72D5421-F788-5986-3557-7FC0293F2B98}"/>
                </a:ext>
              </a:extLst>
            </xdr:cNvPr>
            <xdr:cNvSpPr>
              <a:spLocks noChangeShapeType="1"/>
            </xdr:cNvSpPr>
          </xdr:nvSpPr>
          <xdr:spPr bwMode="auto">
            <a:xfrm flipV="1">
              <a:off x="1214967" y="9479492"/>
              <a:ext cx="2762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grpSp>
          <xdr:nvGrpSpPr>
            <xdr:cNvPr id="89" name="Group 1">
              <a:extLst>
                <a:ext uri="{FF2B5EF4-FFF2-40B4-BE49-F238E27FC236}">
                  <a16:creationId xmlns:a16="http://schemas.microsoft.com/office/drawing/2014/main" id="{E9ED85B3-13FD-D69B-343C-3BEDE9AA5A20}"/>
                </a:ext>
              </a:extLst>
            </xdr:cNvPr>
            <xdr:cNvGrpSpPr>
              <a:grpSpLocks/>
            </xdr:cNvGrpSpPr>
          </xdr:nvGrpSpPr>
          <xdr:grpSpPr bwMode="auto">
            <a:xfrm>
              <a:off x="1500717" y="9175750"/>
              <a:ext cx="531282" cy="597957"/>
              <a:chOff x="1500717" y="9175750"/>
              <a:chExt cx="531282" cy="597957"/>
            </a:xfrm>
          </xdr:grpSpPr>
          <xdr:sp macro="" textlink="">
            <xdr:nvSpPr>
              <xdr:cNvPr id="90" name="Line 102">
                <a:extLst>
                  <a:ext uri="{FF2B5EF4-FFF2-40B4-BE49-F238E27FC236}">
                    <a16:creationId xmlns:a16="http://schemas.microsoft.com/office/drawing/2014/main" id="{D6E69D37-27B5-6F63-C28C-E0CAEEC40849}"/>
                  </a:ext>
                </a:extLst>
              </xdr:cNvPr>
              <xdr:cNvSpPr>
                <a:spLocks noChangeShapeType="1"/>
              </xdr:cNvSpPr>
            </xdr:nvSpPr>
            <xdr:spPr bwMode="auto">
              <a:xfrm flipH="1">
                <a:off x="1841499" y="9559925"/>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103">
                <a:extLst>
                  <a:ext uri="{FF2B5EF4-FFF2-40B4-BE49-F238E27FC236}">
                    <a16:creationId xmlns:a16="http://schemas.microsoft.com/office/drawing/2014/main" id="{96578412-DACB-7F7E-6E15-E85CEED6D493}"/>
                  </a:ext>
                </a:extLst>
              </xdr:cNvPr>
              <xdr:cNvSpPr>
                <a:spLocks noChangeShapeType="1"/>
              </xdr:cNvSpPr>
            </xdr:nvSpPr>
            <xdr:spPr bwMode="auto">
              <a:xfrm flipV="1">
                <a:off x="1500717" y="9584267"/>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104">
                <a:extLst>
                  <a:ext uri="{FF2B5EF4-FFF2-40B4-BE49-F238E27FC236}">
                    <a16:creationId xmlns:a16="http://schemas.microsoft.com/office/drawing/2014/main" id="{4D041A22-CE83-3276-CE61-DBDE68EE9B50}"/>
                  </a:ext>
                </a:extLst>
              </xdr:cNvPr>
              <xdr:cNvSpPr>
                <a:spLocks noChangeShapeType="1"/>
              </xdr:cNvSpPr>
            </xdr:nvSpPr>
            <xdr:spPr bwMode="auto">
              <a:xfrm flipV="1">
                <a:off x="1807633" y="9593792"/>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105">
                <a:extLst>
                  <a:ext uri="{FF2B5EF4-FFF2-40B4-BE49-F238E27FC236}">
                    <a16:creationId xmlns:a16="http://schemas.microsoft.com/office/drawing/2014/main" id="{27CA7DF3-C1F7-B332-8EEB-A72D1318F5E4}"/>
                  </a:ext>
                </a:extLst>
              </xdr:cNvPr>
              <xdr:cNvSpPr>
                <a:spLocks noChangeShapeType="1"/>
              </xdr:cNvSpPr>
            </xdr:nvSpPr>
            <xdr:spPr bwMode="auto">
              <a:xfrm flipV="1">
                <a:off x="1510242" y="9630833"/>
                <a:ext cx="287866"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94" name="Line 106">
                <a:extLst>
                  <a:ext uri="{FF2B5EF4-FFF2-40B4-BE49-F238E27FC236}">
                    <a16:creationId xmlns:a16="http://schemas.microsoft.com/office/drawing/2014/main" id="{24B673AF-EFED-5639-6853-219EA752EB1C}"/>
                  </a:ext>
                </a:extLst>
              </xdr:cNvPr>
              <xdr:cNvSpPr>
                <a:spLocks noChangeShapeType="1"/>
              </xdr:cNvSpPr>
            </xdr:nvSpPr>
            <xdr:spPr bwMode="auto">
              <a:xfrm flipV="1">
                <a:off x="1940982" y="9572624"/>
                <a:ext cx="1059" cy="20108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95" name="Line 107">
                <a:extLst>
                  <a:ext uri="{FF2B5EF4-FFF2-40B4-BE49-F238E27FC236}">
                    <a16:creationId xmlns:a16="http://schemas.microsoft.com/office/drawing/2014/main" id="{8BF47843-B0DC-4259-2FA9-2DFB76D0C691}"/>
                  </a:ext>
                </a:extLst>
              </xdr:cNvPr>
              <xdr:cNvSpPr>
                <a:spLocks noChangeShapeType="1"/>
              </xdr:cNvSpPr>
            </xdr:nvSpPr>
            <xdr:spPr bwMode="auto">
              <a:xfrm flipV="1">
                <a:off x="1942041" y="9191624"/>
                <a:ext cx="5292" cy="352426"/>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96" name="Line 102">
                <a:extLst>
                  <a:ext uri="{FF2B5EF4-FFF2-40B4-BE49-F238E27FC236}">
                    <a16:creationId xmlns:a16="http://schemas.microsoft.com/office/drawing/2014/main" id="{D4D2ECE0-65BB-187D-2D84-9550818DCB83}"/>
                  </a:ext>
                </a:extLst>
              </xdr:cNvPr>
              <xdr:cNvSpPr>
                <a:spLocks noChangeShapeType="1"/>
              </xdr:cNvSpPr>
            </xdr:nvSpPr>
            <xdr:spPr bwMode="auto">
              <a:xfrm flipH="1">
                <a:off x="1825625" y="9175750"/>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clientData/>
  </xdr:twoCellAnchor>
  <xdr:twoCellAnchor>
    <xdr:from>
      <xdr:col>3</xdr:col>
      <xdr:colOff>622935</xdr:colOff>
      <xdr:row>29</xdr:row>
      <xdr:rowOff>0</xdr:rowOff>
    </xdr:from>
    <xdr:to>
      <xdr:col>4</xdr:col>
      <xdr:colOff>695462</xdr:colOff>
      <xdr:row>29</xdr:row>
      <xdr:rowOff>161925</xdr:rowOff>
    </xdr:to>
    <xdr:sp macro="" textlink="">
      <xdr:nvSpPr>
        <xdr:cNvPr id="105" name="Text 219">
          <a:extLst>
            <a:ext uri="{FF2B5EF4-FFF2-40B4-BE49-F238E27FC236}">
              <a16:creationId xmlns:a16="http://schemas.microsoft.com/office/drawing/2014/main" id="{2DC7D7CA-4760-42F5-9E68-061C7907EFBE}"/>
            </a:ext>
          </a:extLst>
        </xdr:cNvPr>
        <xdr:cNvSpPr txBox="1">
          <a:spLocks noChangeArrowheads="1"/>
        </xdr:cNvSpPr>
      </xdr:nvSpPr>
      <xdr:spPr bwMode="auto">
        <a:xfrm>
          <a:off x="2318385" y="6696075"/>
          <a:ext cx="910727"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311-</a:t>
          </a:r>
        </a:p>
      </xdr:txBody>
    </xdr:sp>
    <xdr:clientData/>
  </xdr:twoCellAnchor>
  <xdr:twoCellAnchor>
    <xdr:from>
      <xdr:col>3</xdr:col>
      <xdr:colOff>622935</xdr:colOff>
      <xdr:row>35</xdr:row>
      <xdr:rowOff>9525</xdr:rowOff>
    </xdr:from>
    <xdr:to>
      <xdr:col>4</xdr:col>
      <xdr:colOff>695462</xdr:colOff>
      <xdr:row>35</xdr:row>
      <xdr:rowOff>171450</xdr:rowOff>
    </xdr:to>
    <xdr:sp macro="" textlink="">
      <xdr:nvSpPr>
        <xdr:cNvPr id="106" name="Text 219">
          <a:extLst>
            <a:ext uri="{FF2B5EF4-FFF2-40B4-BE49-F238E27FC236}">
              <a16:creationId xmlns:a16="http://schemas.microsoft.com/office/drawing/2014/main" id="{9158B5B6-DD86-48F6-A7AF-2F26C7456F24}"/>
            </a:ext>
          </a:extLst>
        </xdr:cNvPr>
        <xdr:cNvSpPr txBox="1">
          <a:spLocks noChangeArrowheads="1"/>
        </xdr:cNvSpPr>
      </xdr:nvSpPr>
      <xdr:spPr bwMode="auto">
        <a:xfrm>
          <a:off x="2318385" y="8077200"/>
          <a:ext cx="910727"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411-</a:t>
          </a:r>
        </a:p>
      </xdr:txBody>
    </xdr:sp>
    <xdr:clientData/>
  </xdr:twoCellAnchor>
  <xdr:twoCellAnchor>
    <xdr:from>
      <xdr:col>3</xdr:col>
      <xdr:colOff>622935</xdr:colOff>
      <xdr:row>40</xdr:row>
      <xdr:rowOff>180975</xdr:rowOff>
    </xdr:from>
    <xdr:to>
      <xdr:col>4</xdr:col>
      <xdr:colOff>695462</xdr:colOff>
      <xdr:row>41</xdr:row>
      <xdr:rowOff>114300</xdr:rowOff>
    </xdr:to>
    <xdr:sp macro="" textlink="">
      <xdr:nvSpPr>
        <xdr:cNvPr id="107" name="Text 219">
          <a:extLst>
            <a:ext uri="{FF2B5EF4-FFF2-40B4-BE49-F238E27FC236}">
              <a16:creationId xmlns:a16="http://schemas.microsoft.com/office/drawing/2014/main" id="{39D692A4-BC9D-48D6-8FAD-E0F6695EFB30}"/>
            </a:ext>
          </a:extLst>
        </xdr:cNvPr>
        <xdr:cNvSpPr txBox="1">
          <a:spLocks noChangeArrowheads="1"/>
        </xdr:cNvSpPr>
      </xdr:nvSpPr>
      <xdr:spPr bwMode="auto">
        <a:xfrm>
          <a:off x="2318385" y="9391650"/>
          <a:ext cx="910727"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051-</a:t>
          </a:r>
        </a:p>
      </xdr:txBody>
    </xdr:sp>
    <xdr:clientData/>
  </xdr:twoCellAnchor>
  <xdr:twoCellAnchor>
    <xdr:from>
      <xdr:col>9</xdr:col>
      <xdr:colOff>152400</xdr:colOff>
      <xdr:row>43</xdr:row>
      <xdr:rowOff>0</xdr:rowOff>
    </xdr:from>
    <xdr:to>
      <xdr:col>9</xdr:col>
      <xdr:colOff>361950</xdr:colOff>
      <xdr:row>43</xdr:row>
      <xdr:rowOff>0</xdr:rowOff>
    </xdr:to>
    <xdr:sp macro="" textlink="">
      <xdr:nvSpPr>
        <xdr:cNvPr id="108" name="Rectangle 1">
          <a:extLst>
            <a:ext uri="{FF2B5EF4-FFF2-40B4-BE49-F238E27FC236}">
              <a16:creationId xmlns:a16="http://schemas.microsoft.com/office/drawing/2014/main" id="{CD4E1BF7-5ACE-405B-BF94-FC5BE9710039}"/>
            </a:ext>
          </a:extLst>
        </xdr:cNvPr>
        <xdr:cNvSpPr>
          <a:spLocks noChangeArrowheads="1"/>
        </xdr:cNvSpPr>
      </xdr:nvSpPr>
      <xdr:spPr bwMode="auto">
        <a:xfrm>
          <a:off x="54959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109" name="Rectangle 2">
          <a:extLst>
            <a:ext uri="{FF2B5EF4-FFF2-40B4-BE49-F238E27FC236}">
              <a16:creationId xmlns:a16="http://schemas.microsoft.com/office/drawing/2014/main" id="{477389BB-A85E-4AEB-A8CD-E17FF2AF7609}"/>
            </a:ext>
          </a:extLst>
        </xdr:cNvPr>
        <xdr:cNvSpPr>
          <a:spLocks noChangeArrowheads="1"/>
        </xdr:cNvSpPr>
      </xdr:nvSpPr>
      <xdr:spPr bwMode="auto">
        <a:xfrm>
          <a:off x="53625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110" name="Rectangle 3">
          <a:extLst>
            <a:ext uri="{FF2B5EF4-FFF2-40B4-BE49-F238E27FC236}">
              <a16:creationId xmlns:a16="http://schemas.microsoft.com/office/drawing/2014/main" id="{CEBBEFB9-8123-49F1-9BAE-BAFB668A2E23}"/>
            </a:ext>
          </a:extLst>
        </xdr:cNvPr>
        <xdr:cNvSpPr>
          <a:spLocks noChangeArrowheads="1"/>
        </xdr:cNvSpPr>
      </xdr:nvSpPr>
      <xdr:spPr bwMode="auto">
        <a:xfrm>
          <a:off x="53721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111" name="Rectangle 4">
          <a:extLst>
            <a:ext uri="{FF2B5EF4-FFF2-40B4-BE49-F238E27FC236}">
              <a16:creationId xmlns:a16="http://schemas.microsoft.com/office/drawing/2014/main" id="{DB813319-B1C6-49CD-BA38-2515635FE7ED}"/>
            </a:ext>
          </a:extLst>
        </xdr:cNvPr>
        <xdr:cNvSpPr>
          <a:spLocks noChangeArrowheads="1"/>
        </xdr:cNvSpPr>
      </xdr:nvSpPr>
      <xdr:spPr bwMode="auto">
        <a:xfrm>
          <a:off x="53435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112" name="Rectangle 5">
          <a:extLst>
            <a:ext uri="{FF2B5EF4-FFF2-40B4-BE49-F238E27FC236}">
              <a16:creationId xmlns:a16="http://schemas.microsoft.com/office/drawing/2014/main" id="{96B73629-1728-40B3-8716-BC3AFB3EA85E}"/>
            </a:ext>
          </a:extLst>
        </xdr:cNvPr>
        <xdr:cNvSpPr>
          <a:spLocks noChangeArrowheads="1"/>
        </xdr:cNvSpPr>
      </xdr:nvSpPr>
      <xdr:spPr bwMode="auto">
        <a:xfrm>
          <a:off x="54864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editAs="oneCell">
    <xdr:from>
      <xdr:col>0</xdr:col>
      <xdr:colOff>85725</xdr:colOff>
      <xdr:row>46</xdr:row>
      <xdr:rowOff>47625</xdr:rowOff>
    </xdr:from>
    <xdr:to>
      <xdr:col>8</xdr:col>
      <xdr:colOff>172147</xdr:colOff>
      <xdr:row>58</xdr:row>
      <xdr:rowOff>162280</xdr:rowOff>
    </xdr:to>
    <xdr:pic>
      <xdr:nvPicPr>
        <xdr:cNvPr id="113" name="Picture 112">
          <a:extLst>
            <a:ext uri="{FF2B5EF4-FFF2-40B4-BE49-F238E27FC236}">
              <a16:creationId xmlns:a16="http://schemas.microsoft.com/office/drawing/2014/main" id="{9AC28D6B-2D23-68D1-24AB-83156AE89DC4}"/>
            </a:ext>
          </a:extLst>
        </xdr:cNvPr>
        <xdr:cNvPicPr>
          <a:picLocks noChangeAspect="1"/>
        </xdr:cNvPicPr>
      </xdr:nvPicPr>
      <xdr:blipFill>
        <a:blip xmlns:r="http://schemas.openxmlformats.org/officeDocument/2006/relationships" r:embed="rId1"/>
        <a:stretch>
          <a:fillRect/>
        </a:stretch>
      </xdr:blipFill>
      <xdr:spPr>
        <a:xfrm>
          <a:off x="85725" y="10572750"/>
          <a:ext cx="4991797" cy="2543530"/>
        </a:xfrm>
        <a:prstGeom prst="rect">
          <a:avLst/>
        </a:prstGeom>
      </xdr:spPr>
    </xdr:pic>
    <xdr:clientData/>
  </xdr:twoCellAnchor>
  <xdr:oneCellAnchor>
    <xdr:from>
      <xdr:col>0</xdr:col>
      <xdr:colOff>0</xdr:colOff>
      <xdr:row>39</xdr:row>
      <xdr:rowOff>216953</xdr:rowOff>
    </xdr:from>
    <xdr:ext cx="3228975" cy="405432"/>
    <xdr:sp macro="" textlink="">
      <xdr:nvSpPr>
        <xdr:cNvPr id="115" name="Rectangle 114">
          <a:extLst>
            <a:ext uri="{FF2B5EF4-FFF2-40B4-BE49-F238E27FC236}">
              <a16:creationId xmlns:a16="http://schemas.microsoft.com/office/drawing/2014/main" id="{5A88754F-6676-4A9D-6FC0-BB95FF974162}"/>
            </a:ext>
          </a:extLst>
        </xdr:cNvPr>
        <xdr:cNvSpPr/>
      </xdr:nvSpPr>
      <xdr:spPr>
        <a:xfrm>
          <a:off x="0" y="9199028"/>
          <a:ext cx="3228975" cy="405432"/>
        </a:xfrm>
        <a:prstGeom prst="rect">
          <a:avLst/>
        </a:prstGeom>
        <a:noFill/>
      </xdr:spPr>
      <xdr:txBody>
        <a:bodyPr wrap="square" lIns="91440" tIns="45720" rIns="91440" bIns="45720">
          <a:spAutoFit/>
        </a:bodyPr>
        <a:lstStyle/>
        <a:p>
          <a:pPr algn="ctr"/>
          <a:r>
            <a:rPr lang="en-US" sz="2000" b="1" cap="none" spc="0">
              <a:ln w="22225">
                <a:solidFill>
                  <a:schemeClr val="accent2"/>
                </a:solidFill>
                <a:prstDash val="solid"/>
              </a:ln>
              <a:solidFill>
                <a:schemeClr val="accent2">
                  <a:lumMod val="40000"/>
                  <a:lumOff val="60000"/>
                </a:schemeClr>
              </a:solidFill>
              <a:effectLst/>
            </a:rPr>
            <a:t>Wrong End Ring</a:t>
          </a:r>
          <a:r>
            <a:rPr lang="en-US" sz="2000" b="1" cap="none" spc="0" baseline="0">
              <a:ln w="22225">
                <a:solidFill>
                  <a:schemeClr val="accent2"/>
                </a:solidFill>
                <a:prstDash val="solid"/>
              </a:ln>
              <a:solidFill>
                <a:schemeClr val="accent2">
                  <a:lumMod val="40000"/>
                  <a:lumOff val="60000"/>
                </a:schemeClr>
              </a:solidFill>
              <a:effectLst/>
            </a:rPr>
            <a:t> Shape in .rat</a:t>
          </a:r>
          <a:endParaRPr lang="en-US" sz="20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800100</xdr:colOff>
      <xdr:row>15</xdr:row>
      <xdr:rowOff>161925</xdr:rowOff>
    </xdr:from>
    <xdr:to>
      <xdr:col>5</xdr:col>
      <xdr:colOff>657225</xdr:colOff>
      <xdr:row>36</xdr:row>
      <xdr:rowOff>171450</xdr:rowOff>
    </xdr:to>
    <xdr:graphicFrame macro="">
      <xdr:nvGraphicFramePr>
        <xdr:cNvPr id="2" name="Chart 1">
          <a:extLst>
            <a:ext uri="{FF2B5EF4-FFF2-40B4-BE49-F238E27FC236}">
              <a16:creationId xmlns:a16="http://schemas.microsoft.com/office/drawing/2014/main" id="{48F64310-A272-48FD-8C17-1FB09A798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314325</xdr:colOff>
      <xdr:row>11</xdr:row>
      <xdr:rowOff>0</xdr:rowOff>
    </xdr:from>
    <xdr:to>
      <xdr:col>5</xdr:col>
      <xdr:colOff>590550</xdr:colOff>
      <xdr:row>38</xdr:row>
      <xdr:rowOff>9525</xdr:rowOff>
    </xdr:to>
    <xdr:graphicFrame macro="">
      <xdr:nvGraphicFramePr>
        <xdr:cNvPr id="2" name="Chart 1">
          <a:extLst>
            <a:ext uri="{FF2B5EF4-FFF2-40B4-BE49-F238E27FC236}">
              <a16:creationId xmlns:a16="http://schemas.microsoft.com/office/drawing/2014/main" id="{315A8A84-3CAD-4867-9C31-D2792D780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0.64043</cdr:x>
      <cdr:y>0.64951</cdr:y>
    </cdr:from>
    <cdr:to>
      <cdr:x>0.87628</cdr:x>
      <cdr:y>0.6702</cdr:y>
    </cdr:to>
    <cdr:sp macro="" textlink="">
      <cdr:nvSpPr>
        <cdr:cNvPr id="5133" name="Hot Stall"/>
        <cdr:cNvSpPr txBox="1">
          <a:spLocks xmlns:a="http://schemas.openxmlformats.org/drawingml/2006/main" noChangeArrowheads="1"/>
        </cdr:cNvSpPr>
      </cdr:nvSpPr>
      <cdr:spPr bwMode="auto">
        <a:xfrm xmlns:a="http://schemas.openxmlformats.org/drawingml/2006/main">
          <a:off x="3754727" y="4191482"/>
          <a:ext cx="1381590" cy="13341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dr:relSizeAnchor xmlns:cdr="http://schemas.openxmlformats.org/drawingml/2006/chartDrawing">
    <cdr:from>
      <cdr:x>0.64043</cdr:x>
      <cdr:y>0.54384</cdr:y>
    </cdr:from>
    <cdr:to>
      <cdr:x>0.92325</cdr:x>
      <cdr:y>0.56897</cdr:y>
    </cdr:to>
    <cdr:sp macro="" textlink="">
      <cdr:nvSpPr>
        <cdr:cNvPr id="5134" name="Cold Stall"/>
        <cdr:cNvSpPr txBox="1">
          <a:spLocks xmlns:a="http://schemas.openxmlformats.org/drawingml/2006/main" noChangeArrowheads="1"/>
        </cdr:cNvSpPr>
      </cdr:nvSpPr>
      <cdr:spPr bwMode="auto">
        <a:xfrm xmlns:a="http://schemas.openxmlformats.org/drawingml/2006/main">
          <a:off x="3754727" y="3510104"/>
          <a:ext cx="1656755" cy="16200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0.66822</cdr:x>
      <cdr:y>0.76059</cdr:y>
    </cdr:from>
    <cdr:to>
      <cdr:x>0.91366</cdr:x>
      <cdr:y>0.78572</cdr:y>
    </cdr:to>
    <cdr:sp macro="" textlink="">
      <cdr:nvSpPr>
        <cdr:cNvPr id="5135" name="Acceleration"/>
        <cdr:cNvSpPr txBox="1">
          <a:spLocks xmlns:a="http://schemas.openxmlformats.org/drawingml/2006/main" noChangeArrowheads="1"/>
        </cdr:cNvSpPr>
      </cdr:nvSpPr>
      <cdr:spPr bwMode="auto">
        <a:xfrm xmlns:a="http://schemas.openxmlformats.org/drawingml/2006/main">
          <a:off x="3917521" y="4907802"/>
          <a:ext cx="1437775" cy="16200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a:t>
          </a:r>
        </a:p>
      </cdr:txBody>
    </cdr:sp>
  </cdr:relSizeAnchor>
  <cdr:relSizeAnchor xmlns:cdr="http://schemas.openxmlformats.org/drawingml/2006/chartDrawing">
    <cdr:from>
      <cdr:x>0.29932</cdr:x>
      <cdr:y>0.36182</cdr:y>
    </cdr:from>
    <cdr:to>
      <cdr:x>0.62444</cdr:x>
      <cdr:y>0.3899</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dr:relSizeAnchor xmlns:cdr="http://schemas.openxmlformats.org/drawingml/2006/chartDrawing">
    <cdr:from>
      <cdr:x>0.6242</cdr:x>
      <cdr:y>0.19532</cdr:y>
    </cdr:from>
    <cdr:to>
      <cdr:x>0.94932</cdr:x>
      <cdr:y>0.2234</cdr:y>
    </cdr:to>
    <cdr:sp macro="" textlink="">
      <cdr:nvSpPr>
        <cdr:cNvPr id="5137" name="Load Type"/>
        <cdr:cNvSpPr txBox="1">
          <a:spLocks xmlns:a="http://schemas.openxmlformats.org/drawingml/2006/main" noChangeArrowheads="1"/>
        </cdr:cNvSpPr>
      </cdr:nvSpPr>
      <cdr:spPr bwMode="auto">
        <a:xfrm xmlns:a="http://schemas.openxmlformats.org/drawingml/2006/main">
          <a:off x="3659644" y="1262668"/>
          <a:ext cx="1904547" cy="18106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a:lstStyle xmlns:a="http://schemas.openxmlformats.org/drawingml/2006/main"/>
        <a:p xmlns:a="http://schemas.openxmlformats.org/drawingml/2006/main">
          <a:r>
            <a:rPr lang="en-US"/>
            <a:t>LOAD TYPE: FAN / PUMP</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333375</xdr:colOff>
      <xdr:row>16</xdr:row>
      <xdr:rowOff>19050</xdr:rowOff>
    </xdr:from>
    <xdr:to>
      <xdr:col>5</xdr:col>
      <xdr:colOff>904875</xdr:colOff>
      <xdr:row>37</xdr:row>
      <xdr:rowOff>47625</xdr:rowOff>
    </xdr:to>
    <xdr:graphicFrame macro="">
      <xdr:nvGraphicFramePr>
        <xdr:cNvPr id="2" name="Chart 1">
          <a:extLst>
            <a:ext uri="{FF2B5EF4-FFF2-40B4-BE49-F238E27FC236}">
              <a16:creationId xmlns:a16="http://schemas.microsoft.com/office/drawing/2014/main" id="{720CCCB3-7FD0-4308-BB85-594BE856D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603409</xdr:colOff>
      <xdr:row>16</xdr:row>
      <xdr:rowOff>66675</xdr:rowOff>
    </xdr:from>
    <xdr:to>
      <xdr:col>0</xdr:col>
      <xdr:colOff>1104900</xdr:colOff>
      <xdr:row>17</xdr:row>
      <xdr:rowOff>0</xdr:rowOff>
    </xdr:to>
    <xdr:sp macro="" textlink="$N$37">
      <xdr:nvSpPr>
        <xdr:cNvPr id="3" name="RPM11">
          <a:extLst>
            <a:ext uri="{FF2B5EF4-FFF2-40B4-BE49-F238E27FC236}">
              <a16:creationId xmlns:a16="http://schemas.microsoft.com/office/drawing/2014/main" id="{3ECEE8CC-9122-46D9-9093-C431A3A43B00}"/>
            </a:ext>
          </a:extLst>
        </xdr:cNvPr>
        <xdr:cNvSpPr txBox="1">
          <a:spLocks noChangeArrowheads="1"/>
        </xdr:cNvSpPr>
      </xdr:nvSpPr>
      <xdr:spPr bwMode="auto">
        <a:xfrm>
          <a:off x="603409" y="3962400"/>
          <a:ext cx="50149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DEA0FBAC-FA8B-40EF-9FE1-71E647513C0E}" type="TxLink">
            <a:rPr lang="en-US" sz="1000" b="0" i="0" u="none" strike="noStrike">
              <a:solidFill>
                <a:srgbClr val="000000"/>
              </a:solidFill>
              <a:latin typeface="Arial"/>
              <a:cs typeface="Arial"/>
            </a:rPr>
            <a:pPr/>
            <a:t>3600</a:t>
          </a:fld>
          <a:endParaRPr lang="en-US"/>
        </a:p>
      </xdr:txBody>
    </xdr:sp>
    <xdr:clientData/>
  </xdr:twoCellAnchor>
  <xdr:twoCellAnchor>
    <xdr:from>
      <xdr:col>0</xdr:col>
      <xdr:colOff>593884</xdr:colOff>
      <xdr:row>18</xdr:row>
      <xdr:rowOff>9525</xdr:rowOff>
    </xdr:from>
    <xdr:to>
      <xdr:col>0</xdr:col>
      <xdr:colOff>1095375</xdr:colOff>
      <xdr:row>18</xdr:row>
      <xdr:rowOff>180975</xdr:rowOff>
    </xdr:to>
    <xdr:sp macro="" textlink="$N$38">
      <xdr:nvSpPr>
        <xdr:cNvPr id="4" name="RPM10">
          <a:extLst>
            <a:ext uri="{FF2B5EF4-FFF2-40B4-BE49-F238E27FC236}">
              <a16:creationId xmlns:a16="http://schemas.microsoft.com/office/drawing/2014/main" id="{29BB90B8-7509-40C8-9B69-DA12D08F129F}"/>
            </a:ext>
          </a:extLst>
        </xdr:cNvPr>
        <xdr:cNvSpPr txBox="1">
          <a:spLocks noChangeArrowheads="1"/>
        </xdr:cNvSpPr>
      </xdr:nvSpPr>
      <xdr:spPr bwMode="auto">
        <a:xfrm>
          <a:off x="593884" y="4381500"/>
          <a:ext cx="50149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423790B4-71F1-4973-A04B-E0C97130DBED}" type="TxLink">
            <a:rPr lang="en-US" sz="1000" b="0" i="0" u="none" strike="noStrike">
              <a:solidFill>
                <a:srgbClr val="000000"/>
              </a:solidFill>
              <a:latin typeface="Arial"/>
              <a:cs typeface="Arial"/>
            </a:rPr>
            <a:pPr/>
            <a:t>3597</a:t>
          </a:fld>
          <a:endParaRPr lang="en-US"/>
        </a:p>
      </xdr:txBody>
    </xdr:sp>
    <xdr:clientData/>
  </xdr:twoCellAnchor>
  <xdr:twoCellAnchor>
    <xdr:from>
      <xdr:col>0</xdr:col>
      <xdr:colOff>584359</xdr:colOff>
      <xdr:row>19</xdr:row>
      <xdr:rowOff>180975</xdr:rowOff>
    </xdr:from>
    <xdr:to>
      <xdr:col>0</xdr:col>
      <xdr:colOff>1085850</xdr:colOff>
      <xdr:row>20</xdr:row>
      <xdr:rowOff>114300</xdr:rowOff>
    </xdr:to>
    <xdr:sp macro="" textlink="$N$39">
      <xdr:nvSpPr>
        <xdr:cNvPr id="5" name="RPM9">
          <a:extLst>
            <a:ext uri="{FF2B5EF4-FFF2-40B4-BE49-F238E27FC236}">
              <a16:creationId xmlns:a16="http://schemas.microsoft.com/office/drawing/2014/main" id="{C0BC7895-78BC-490B-9568-5B343B81DB78}"/>
            </a:ext>
          </a:extLst>
        </xdr:cNvPr>
        <xdr:cNvSpPr txBox="1">
          <a:spLocks noChangeArrowheads="1"/>
        </xdr:cNvSpPr>
      </xdr:nvSpPr>
      <xdr:spPr bwMode="auto">
        <a:xfrm>
          <a:off x="584359" y="4791075"/>
          <a:ext cx="50149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E2C13A6C-EFBD-4914-95B7-721A6A66E06C}" type="TxLink">
            <a:rPr lang="en-US" sz="1000" b="0" i="0" u="none" strike="noStrike">
              <a:solidFill>
                <a:srgbClr val="000000"/>
              </a:solidFill>
              <a:latin typeface="Arial"/>
              <a:cs typeface="Arial"/>
            </a:rPr>
            <a:pPr/>
            <a:t>3594</a:t>
          </a:fld>
          <a:endParaRPr lang="en-US"/>
        </a:p>
      </xdr:txBody>
    </xdr:sp>
    <xdr:clientData/>
  </xdr:twoCellAnchor>
  <xdr:twoCellAnchor>
    <xdr:from>
      <xdr:col>0</xdr:col>
      <xdr:colOff>584359</xdr:colOff>
      <xdr:row>21</xdr:row>
      <xdr:rowOff>114300</xdr:rowOff>
    </xdr:from>
    <xdr:to>
      <xdr:col>0</xdr:col>
      <xdr:colOff>1085850</xdr:colOff>
      <xdr:row>22</xdr:row>
      <xdr:rowOff>47625</xdr:rowOff>
    </xdr:to>
    <xdr:sp macro="" textlink="$N$40">
      <xdr:nvSpPr>
        <xdr:cNvPr id="6" name="RPM8">
          <a:extLst>
            <a:ext uri="{FF2B5EF4-FFF2-40B4-BE49-F238E27FC236}">
              <a16:creationId xmlns:a16="http://schemas.microsoft.com/office/drawing/2014/main" id="{2FB839A6-4951-4A4D-BFFD-BD0267BD82FF}"/>
            </a:ext>
          </a:extLst>
        </xdr:cNvPr>
        <xdr:cNvSpPr txBox="1">
          <a:spLocks noChangeArrowheads="1"/>
        </xdr:cNvSpPr>
      </xdr:nvSpPr>
      <xdr:spPr bwMode="auto">
        <a:xfrm>
          <a:off x="584359" y="5200650"/>
          <a:ext cx="50149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45B199D0-107A-4DF9-BFCA-87C06677F6DD}" type="TxLink">
            <a:rPr lang="en-US" sz="1000" b="0" i="0" u="none" strike="noStrike">
              <a:solidFill>
                <a:srgbClr val="000000"/>
              </a:solidFill>
              <a:latin typeface="Arial"/>
              <a:cs typeface="Arial"/>
            </a:rPr>
            <a:pPr/>
            <a:t>3591</a:t>
          </a:fld>
          <a:endParaRPr lang="en-US"/>
        </a:p>
      </xdr:txBody>
    </xdr:sp>
    <xdr:clientData/>
  </xdr:twoCellAnchor>
  <xdr:twoCellAnchor>
    <xdr:from>
      <xdr:col>0</xdr:col>
      <xdr:colOff>593884</xdr:colOff>
      <xdr:row>23</xdr:row>
      <xdr:rowOff>47625</xdr:rowOff>
    </xdr:from>
    <xdr:to>
      <xdr:col>0</xdr:col>
      <xdr:colOff>1095375</xdr:colOff>
      <xdr:row>23</xdr:row>
      <xdr:rowOff>219075</xdr:rowOff>
    </xdr:to>
    <xdr:sp macro="" textlink="$N$41">
      <xdr:nvSpPr>
        <xdr:cNvPr id="7" name="RPM7">
          <a:extLst>
            <a:ext uri="{FF2B5EF4-FFF2-40B4-BE49-F238E27FC236}">
              <a16:creationId xmlns:a16="http://schemas.microsoft.com/office/drawing/2014/main" id="{867A498A-A321-4E93-BF16-71EC5FD6D4C7}"/>
            </a:ext>
          </a:extLst>
        </xdr:cNvPr>
        <xdr:cNvSpPr txBox="1">
          <a:spLocks noChangeArrowheads="1"/>
        </xdr:cNvSpPr>
      </xdr:nvSpPr>
      <xdr:spPr bwMode="auto">
        <a:xfrm>
          <a:off x="593884" y="5610225"/>
          <a:ext cx="50149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D0E538A9-D931-4DA3-95BE-A07E0885A482}" type="TxLink">
            <a:rPr lang="en-US" sz="1000" b="0" i="0" u="none" strike="noStrike">
              <a:solidFill>
                <a:srgbClr val="000000"/>
              </a:solidFill>
              <a:latin typeface="Arial"/>
              <a:cs typeface="Arial"/>
            </a:rPr>
            <a:pPr/>
            <a:t>3588</a:t>
          </a:fld>
          <a:endParaRPr lang="en-US"/>
        </a:p>
      </xdr:txBody>
    </xdr:sp>
    <xdr:clientData/>
  </xdr:twoCellAnchor>
  <xdr:twoCellAnchor>
    <xdr:from>
      <xdr:col>0</xdr:col>
      <xdr:colOff>593884</xdr:colOff>
      <xdr:row>24</xdr:row>
      <xdr:rowOff>219075</xdr:rowOff>
    </xdr:from>
    <xdr:to>
      <xdr:col>0</xdr:col>
      <xdr:colOff>1095375</xdr:colOff>
      <xdr:row>25</xdr:row>
      <xdr:rowOff>152400</xdr:rowOff>
    </xdr:to>
    <xdr:sp macro="" textlink="$N$42">
      <xdr:nvSpPr>
        <xdr:cNvPr id="8" name="RPM6">
          <a:extLst>
            <a:ext uri="{FF2B5EF4-FFF2-40B4-BE49-F238E27FC236}">
              <a16:creationId xmlns:a16="http://schemas.microsoft.com/office/drawing/2014/main" id="{B75F1C06-2FDB-40ED-95A5-7F9C71DF477D}"/>
            </a:ext>
          </a:extLst>
        </xdr:cNvPr>
        <xdr:cNvSpPr txBox="1">
          <a:spLocks noChangeArrowheads="1"/>
        </xdr:cNvSpPr>
      </xdr:nvSpPr>
      <xdr:spPr bwMode="auto">
        <a:xfrm>
          <a:off x="593884" y="6019800"/>
          <a:ext cx="50149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55941AFA-0D3D-4802-B3F3-97D154509471}" type="TxLink">
            <a:rPr lang="en-US" sz="1000" b="0" i="0" u="none" strike="noStrike">
              <a:solidFill>
                <a:srgbClr val="000000"/>
              </a:solidFill>
              <a:latin typeface="Arial"/>
              <a:cs typeface="Arial"/>
            </a:rPr>
            <a:pPr/>
            <a:t>3585</a:t>
          </a:fld>
          <a:endParaRPr lang="en-US"/>
        </a:p>
      </xdr:txBody>
    </xdr:sp>
    <xdr:clientData/>
  </xdr:twoCellAnchor>
  <xdr:twoCellAnchor>
    <xdr:from>
      <xdr:col>0</xdr:col>
      <xdr:colOff>584359</xdr:colOff>
      <xdr:row>26</xdr:row>
      <xdr:rowOff>152400</xdr:rowOff>
    </xdr:from>
    <xdr:to>
      <xdr:col>0</xdr:col>
      <xdr:colOff>1085850</xdr:colOff>
      <xdr:row>27</xdr:row>
      <xdr:rowOff>85725</xdr:rowOff>
    </xdr:to>
    <xdr:sp macro="" textlink="$N$43">
      <xdr:nvSpPr>
        <xdr:cNvPr id="9" name="RPM5">
          <a:extLst>
            <a:ext uri="{FF2B5EF4-FFF2-40B4-BE49-F238E27FC236}">
              <a16:creationId xmlns:a16="http://schemas.microsoft.com/office/drawing/2014/main" id="{5CEE51AF-2F32-4FD0-8A1A-5BF3E9E4B687}"/>
            </a:ext>
          </a:extLst>
        </xdr:cNvPr>
        <xdr:cNvSpPr txBox="1">
          <a:spLocks noChangeArrowheads="1"/>
        </xdr:cNvSpPr>
      </xdr:nvSpPr>
      <xdr:spPr bwMode="auto">
        <a:xfrm>
          <a:off x="584359" y="6429375"/>
          <a:ext cx="50149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6AB99017-B351-4749-A0C1-572FDC645E3E}" type="TxLink">
            <a:rPr lang="en-US" sz="1000" b="0" i="0" u="none" strike="noStrike">
              <a:solidFill>
                <a:srgbClr val="000000"/>
              </a:solidFill>
              <a:latin typeface="Arial"/>
              <a:cs typeface="Arial"/>
            </a:rPr>
            <a:pPr/>
            <a:t>3582</a:t>
          </a:fld>
          <a:endParaRPr lang="en-US"/>
        </a:p>
      </xdr:txBody>
    </xdr:sp>
    <xdr:clientData/>
  </xdr:twoCellAnchor>
  <xdr:twoCellAnchor>
    <xdr:from>
      <xdr:col>0</xdr:col>
      <xdr:colOff>574834</xdr:colOff>
      <xdr:row>28</xdr:row>
      <xdr:rowOff>85725</xdr:rowOff>
    </xdr:from>
    <xdr:to>
      <xdr:col>0</xdr:col>
      <xdr:colOff>1076325</xdr:colOff>
      <xdr:row>29</xdr:row>
      <xdr:rowOff>19050</xdr:rowOff>
    </xdr:to>
    <xdr:sp macro="" textlink="$N$44">
      <xdr:nvSpPr>
        <xdr:cNvPr id="10" name="RPM4">
          <a:extLst>
            <a:ext uri="{FF2B5EF4-FFF2-40B4-BE49-F238E27FC236}">
              <a16:creationId xmlns:a16="http://schemas.microsoft.com/office/drawing/2014/main" id="{D089B1D5-B0B8-492A-A3A1-CC625779B486}"/>
            </a:ext>
          </a:extLst>
        </xdr:cNvPr>
        <xdr:cNvSpPr txBox="1">
          <a:spLocks noChangeArrowheads="1"/>
        </xdr:cNvSpPr>
      </xdr:nvSpPr>
      <xdr:spPr bwMode="auto">
        <a:xfrm>
          <a:off x="574834" y="6838950"/>
          <a:ext cx="50149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34F71FDB-BAEE-4D0A-B451-8A92C190E18F}" type="TxLink">
            <a:rPr lang="en-US" sz="1000" b="0" i="0" u="none" strike="noStrike">
              <a:solidFill>
                <a:srgbClr val="000000"/>
              </a:solidFill>
              <a:latin typeface="Arial"/>
              <a:cs typeface="Arial"/>
            </a:rPr>
            <a:pPr/>
            <a:t>3579</a:t>
          </a:fld>
          <a:endParaRPr lang="en-US"/>
        </a:p>
      </xdr:txBody>
    </xdr:sp>
    <xdr:clientData/>
  </xdr:twoCellAnchor>
  <xdr:twoCellAnchor>
    <xdr:from>
      <xdr:col>0</xdr:col>
      <xdr:colOff>574834</xdr:colOff>
      <xdr:row>30</xdr:row>
      <xdr:rowOff>28575</xdr:rowOff>
    </xdr:from>
    <xdr:to>
      <xdr:col>0</xdr:col>
      <xdr:colOff>1076325</xdr:colOff>
      <xdr:row>30</xdr:row>
      <xdr:rowOff>200025</xdr:rowOff>
    </xdr:to>
    <xdr:sp macro="" textlink="$N$45">
      <xdr:nvSpPr>
        <xdr:cNvPr id="11" name="RPM3">
          <a:extLst>
            <a:ext uri="{FF2B5EF4-FFF2-40B4-BE49-F238E27FC236}">
              <a16:creationId xmlns:a16="http://schemas.microsoft.com/office/drawing/2014/main" id="{A4C95CA5-14A6-498F-A88F-6E789B12B713}"/>
            </a:ext>
          </a:extLst>
        </xdr:cNvPr>
        <xdr:cNvSpPr txBox="1">
          <a:spLocks noChangeArrowheads="1"/>
        </xdr:cNvSpPr>
      </xdr:nvSpPr>
      <xdr:spPr bwMode="auto">
        <a:xfrm>
          <a:off x="574834" y="7258050"/>
          <a:ext cx="50149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32F90EC3-C862-4D23-BD11-29F6096EAAC1}" type="TxLink">
            <a:rPr lang="en-US" sz="1000" b="0" i="0" u="none" strike="noStrike">
              <a:solidFill>
                <a:srgbClr val="000000"/>
              </a:solidFill>
              <a:latin typeface="Arial"/>
              <a:cs typeface="Arial"/>
            </a:rPr>
            <a:pPr/>
            <a:t>3576</a:t>
          </a:fld>
          <a:endParaRPr lang="en-US"/>
        </a:p>
      </xdr:txBody>
    </xdr:sp>
    <xdr:clientData/>
  </xdr:twoCellAnchor>
  <xdr:twoCellAnchor>
    <xdr:from>
      <xdr:col>0</xdr:col>
      <xdr:colOff>574834</xdr:colOff>
      <xdr:row>31</xdr:row>
      <xdr:rowOff>200025</xdr:rowOff>
    </xdr:from>
    <xdr:to>
      <xdr:col>0</xdr:col>
      <xdr:colOff>1076325</xdr:colOff>
      <xdr:row>32</xdr:row>
      <xdr:rowOff>133350</xdr:rowOff>
    </xdr:to>
    <xdr:sp macro="" textlink="$N$46">
      <xdr:nvSpPr>
        <xdr:cNvPr id="12" name="RPM2">
          <a:extLst>
            <a:ext uri="{FF2B5EF4-FFF2-40B4-BE49-F238E27FC236}">
              <a16:creationId xmlns:a16="http://schemas.microsoft.com/office/drawing/2014/main" id="{84A91FCC-62ED-4943-BBFC-429756437DDD}"/>
            </a:ext>
          </a:extLst>
        </xdr:cNvPr>
        <xdr:cNvSpPr txBox="1">
          <a:spLocks noChangeArrowheads="1"/>
        </xdr:cNvSpPr>
      </xdr:nvSpPr>
      <xdr:spPr bwMode="auto">
        <a:xfrm>
          <a:off x="574834" y="7667625"/>
          <a:ext cx="50149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D23E41EA-994B-4680-BCBA-3FE2C0574C2E}" type="TxLink">
            <a:rPr lang="en-US" sz="1000" b="0" i="0" u="none" strike="noStrike">
              <a:solidFill>
                <a:srgbClr val="000000"/>
              </a:solidFill>
              <a:latin typeface="Arial"/>
              <a:cs typeface="Arial"/>
            </a:rPr>
            <a:pPr/>
            <a:t>3573</a:t>
          </a:fld>
          <a:endParaRPr lang="en-US"/>
        </a:p>
      </xdr:txBody>
    </xdr:sp>
    <xdr:clientData/>
  </xdr:twoCellAnchor>
  <xdr:twoCellAnchor>
    <xdr:from>
      <xdr:col>0</xdr:col>
      <xdr:colOff>584359</xdr:colOff>
      <xdr:row>33</xdr:row>
      <xdr:rowOff>133350</xdr:rowOff>
    </xdr:from>
    <xdr:to>
      <xdr:col>0</xdr:col>
      <xdr:colOff>1085850</xdr:colOff>
      <xdr:row>34</xdr:row>
      <xdr:rowOff>66675</xdr:rowOff>
    </xdr:to>
    <xdr:sp macro="" textlink="$N$47">
      <xdr:nvSpPr>
        <xdr:cNvPr id="13" name="RPM1">
          <a:extLst>
            <a:ext uri="{FF2B5EF4-FFF2-40B4-BE49-F238E27FC236}">
              <a16:creationId xmlns:a16="http://schemas.microsoft.com/office/drawing/2014/main" id="{9A06746E-699B-4829-B7E7-3516C941C353}"/>
            </a:ext>
          </a:extLst>
        </xdr:cNvPr>
        <xdr:cNvSpPr txBox="1">
          <a:spLocks noChangeArrowheads="1"/>
        </xdr:cNvSpPr>
      </xdr:nvSpPr>
      <xdr:spPr bwMode="auto">
        <a:xfrm>
          <a:off x="584359" y="8077200"/>
          <a:ext cx="501491" cy="171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5C6FFAA2-A443-4E10-9B49-A67173880CB6}" type="TxLink">
            <a:rPr lang="en-US" sz="1000" b="0" i="0" u="none" strike="noStrike">
              <a:solidFill>
                <a:srgbClr val="000000"/>
              </a:solidFill>
              <a:latin typeface="Arial"/>
              <a:cs typeface="Arial"/>
            </a:rPr>
            <a:pPr/>
            <a:t>3570</a:t>
          </a:fld>
          <a:endParaRPr lang="en-US"/>
        </a:p>
      </xdr:txBody>
    </xdr:sp>
    <xdr:clientData/>
  </xdr:twoCellAnchor>
  <xdr:twoCellAnchor>
    <xdr:from>
      <xdr:col>0</xdr:col>
      <xdr:colOff>390525</xdr:colOff>
      <xdr:row>24</xdr:row>
      <xdr:rowOff>104775</xdr:rowOff>
    </xdr:from>
    <xdr:to>
      <xdr:col>0</xdr:col>
      <xdr:colOff>600075</xdr:colOff>
      <xdr:row>26</xdr:row>
      <xdr:rowOff>209550</xdr:rowOff>
    </xdr:to>
    <xdr:sp macro="" textlink="">
      <xdr:nvSpPr>
        <xdr:cNvPr id="14" name="RPM">
          <a:extLst>
            <a:ext uri="{FF2B5EF4-FFF2-40B4-BE49-F238E27FC236}">
              <a16:creationId xmlns:a16="http://schemas.microsoft.com/office/drawing/2014/main" id="{5A0D3C3F-20C4-4C86-B99C-C8EBE049ED18}"/>
            </a:ext>
          </a:extLst>
        </xdr:cNvPr>
        <xdr:cNvSpPr txBox="1">
          <a:spLocks noChangeArrowheads="1"/>
        </xdr:cNvSpPr>
      </xdr:nvSpPr>
      <xdr:spPr bwMode="auto">
        <a:xfrm>
          <a:off x="390525" y="5905500"/>
          <a:ext cx="209550" cy="581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352425</xdr:colOff>
      <xdr:row>16</xdr:row>
      <xdr:rowOff>85725</xdr:rowOff>
    </xdr:from>
    <xdr:to>
      <xdr:col>5</xdr:col>
      <xdr:colOff>853916</xdr:colOff>
      <xdr:row>17</xdr:row>
      <xdr:rowOff>38100</xdr:rowOff>
    </xdr:to>
    <xdr:sp macro="" textlink="$O$37">
      <xdr:nvSpPr>
        <xdr:cNvPr id="15" name="Watts11">
          <a:extLst>
            <a:ext uri="{FF2B5EF4-FFF2-40B4-BE49-F238E27FC236}">
              <a16:creationId xmlns:a16="http://schemas.microsoft.com/office/drawing/2014/main" id="{6EBB7F6C-9D50-4E26-BAAC-2349BA117B54}"/>
            </a:ext>
          </a:extLst>
        </xdr:cNvPr>
        <xdr:cNvSpPr txBox="1">
          <a:spLocks noChangeArrowheads="1"/>
        </xdr:cNvSpPr>
      </xdr:nvSpPr>
      <xdr:spPr bwMode="auto">
        <a:xfrm>
          <a:off x="5924550" y="3981450"/>
          <a:ext cx="501491"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DB7166F4-BB87-46CC-A115-A4B1E33AB056}" type="TxLink">
            <a:rPr lang="en-US" sz="1000" b="0" i="0" u="none" strike="noStrike">
              <a:solidFill>
                <a:srgbClr val="000000"/>
              </a:solidFill>
              <a:latin typeface="Arial"/>
              <a:cs typeface="Arial"/>
            </a:rPr>
            <a:pPr/>
            <a:t>4000</a:t>
          </a:fld>
          <a:endParaRPr lang="en-US"/>
        </a:p>
      </xdr:txBody>
    </xdr:sp>
    <xdr:clientData/>
  </xdr:twoCellAnchor>
  <xdr:twoCellAnchor>
    <xdr:from>
      <xdr:col>5</xdr:col>
      <xdr:colOff>381000</xdr:colOff>
      <xdr:row>25</xdr:row>
      <xdr:rowOff>0</xdr:rowOff>
    </xdr:from>
    <xdr:to>
      <xdr:col>5</xdr:col>
      <xdr:colOff>946785</xdr:colOff>
      <xdr:row>25</xdr:row>
      <xdr:rowOff>200025</xdr:rowOff>
    </xdr:to>
    <xdr:sp macro="" textlink="$O$42">
      <xdr:nvSpPr>
        <xdr:cNvPr id="16" name="Watts6">
          <a:extLst>
            <a:ext uri="{FF2B5EF4-FFF2-40B4-BE49-F238E27FC236}">
              <a16:creationId xmlns:a16="http://schemas.microsoft.com/office/drawing/2014/main" id="{1A2B1023-10B2-4DB5-B8AC-91AD9B5B4642}"/>
            </a:ext>
          </a:extLst>
        </xdr:cNvPr>
        <xdr:cNvSpPr txBox="1">
          <a:spLocks noChangeArrowheads="1"/>
        </xdr:cNvSpPr>
      </xdr:nvSpPr>
      <xdr:spPr bwMode="auto">
        <a:xfrm>
          <a:off x="5953125" y="6038850"/>
          <a:ext cx="565785" cy="200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4B2CA94A-1430-422F-B2CC-C75AC5C1872B}" type="TxLink">
            <a:rPr lang="en-US" sz="1000" b="0" i="0" u="none" strike="noStrike">
              <a:solidFill>
                <a:srgbClr val="000000"/>
              </a:solidFill>
              <a:latin typeface="Arial"/>
              <a:cs typeface="Arial"/>
            </a:rPr>
            <a:pPr/>
            <a:t>2000</a:t>
          </a:fld>
          <a:endParaRPr lang="en-US"/>
        </a:p>
      </xdr:txBody>
    </xdr:sp>
    <xdr:clientData/>
  </xdr:twoCellAnchor>
  <xdr:twoCellAnchor>
    <xdr:from>
      <xdr:col>5</xdr:col>
      <xdr:colOff>371475</xdr:colOff>
      <xdr:row>26</xdr:row>
      <xdr:rowOff>180975</xdr:rowOff>
    </xdr:from>
    <xdr:to>
      <xdr:col>5</xdr:col>
      <xdr:colOff>872966</xdr:colOff>
      <xdr:row>27</xdr:row>
      <xdr:rowOff>133350</xdr:rowOff>
    </xdr:to>
    <xdr:sp macro="" textlink="$O$43">
      <xdr:nvSpPr>
        <xdr:cNvPr id="17" name="Watts5">
          <a:extLst>
            <a:ext uri="{FF2B5EF4-FFF2-40B4-BE49-F238E27FC236}">
              <a16:creationId xmlns:a16="http://schemas.microsoft.com/office/drawing/2014/main" id="{FE6636B7-B0C0-48A7-9AF6-BF5894E3A3FE}"/>
            </a:ext>
          </a:extLst>
        </xdr:cNvPr>
        <xdr:cNvSpPr txBox="1">
          <a:spLocks noChangeArrowheads="1"/>
        </xdr:cNvSpPr>
      </xdr:nvSpPr>
      <xdr:spPr bwMode="auto">
        <a:xfrm>
          <a:off x="5943600" y="6457950"/>
          <a:ext cx="501491"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ECBBBC66-5FB6-498C-8C31-CD1A5C4F372C}" type="TxLink">
            <a:rPr lang="en-US" sz="1000" b="0" i="0" u="none" strike="noStrike">
              <a:solidFill>
                <a:srgbClr val="000000"/>
              </a:solidFill>
              <a:latin typeface="Arial"/>
              <a:cs typeface="Arial"/>
            </a:rPr>
            <a:pPr/>
            <a:t>1600</a:t>
          </a:fld>
          <a:endParaRPr lang="en-US"/>
        </a:p>
      </xdr:txBody>
    </xdr:sp>
    <xdr:clientData/>
  </xdr:twoCellAnchor>
  <xdr:twoCellAnchor>
    <xdr:from>
      <xdr:col>5</xdr:col>
      <xdr:colOff>381000</xdr:colOff>
      <xdr:row>28</xdr:row>
      <xdr:rowOff>114300</xdr:rowOff>
    </xdr:from>
    <xdr:to>
      <xdr:col>5</xdr:col>
      <xdr:colOff>882491</xdr:colOff>
      <xdr:row>29</xdr:row>
      <xdr:rowOff>66675</xdr:rowOff>
    </xdr:to>
    <xdr:sp macro="" textlink="$O$44">
      <xdr:nvSpPr>
        <xdr:cNvPr id="18" name="Watts4">
          <a:extLst>
            <a:ext uri="{FF2B5EF4-FFF2-40B4-BE49-F238E27FC236}">
              <a16:creationId xmlns:a16="http://schemas.microsoft.com/office/drawing/2014/main" id="{258E9995-83FF-4817-AAEE-168B3730A139}"/>
            </a:ext>
          </a:extLst>
        </xdr:cNvPr>
        <xdr:cNvSpPr txBox="1">
          <a:spLocks noChangeArrowheads="1"/>
        </xdr:cNvSpPr>
      </xdr:nvSpPr>
      <xdr:spPr bwMode="auto">
        <a:xfrm>
          <a:off x="5953125" y="6867525"/>
          <a:ext cx="501491"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CC0AF39C-F111-481B-BE24-F401C6352F36}" type="TxLink">
            <a:rPr lang="en-US" sz="1000" b="0" i="0" u="none" strike="noStrike">
              <a:solidFill>
                <a:srgbClr val="000000"/>
              </a:solidFill>
              <a:latin typeface="Arial"/>
              <a:cs typeface="Arial"/>
            </a:rPr>
            <a:pPr/>
            <a:t>1200</a:t>
          </a:fld>
          <a:endParaRPr lang="en-US"/>
        </a:p>
      </xdr:txBody>
    </xdr:sp>
    <xdr:clientData/>
  </xdr:twoCellAnchor>
  <xdr:twoCellAnchor>
    <xdr:from>
      <xdr:col>5</xdr:col>
      <xdr:colOff>371475</xdr:colOff>
      <xdr:row>30</xdr:row>
      <xdr:rowOff>38100</xdr:rowOff>
    </xdr:from>
    <xdr:to>
      <xdr:col>5</xdr:col>
      <xdr:colOff>872966</xdr:colOff>
      <xdr:row>30</xdr:row>
      <xdr:rowOff>228600</xdr:rowOff>
    </xdr:to>
    <xdr:sp macro="" textlink="$O$45">
      <xdr:nvSpPr>
        <xdr:cNvPr id="19" name="Watts3">
          <a:extLst>
            <a:ext uri="{FF2B5EF4-FFF2-40B4-BE49-F238E27FC236}">
              <a16:creationId xmlns:a16="http://schemas.microsoft.com/office/drawing/2014/main" id="{1537B358-E7FC-4E09-A5F7-75B087608BD7}"/>
            </a:ext>
          </a:extLst>
        </xdr:cNvPr>
        <xdr:cNvSpPr txBox="1">
          <a:spLocks noChangeArrowheads="1"/>
        </xdr:cNvSpPr>
      </xdr:nvSpPr>
      <xdr:spPr bwMode="auto">
        <a:xfrm>
          <a:off x="5943600" y="7267575"/>
          <a:ext cx="501491"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6371C084-6942-4895-9F39-59FA957A25F9}" type="TxLink">
            <a:rPr lang="en-US" sz="1000" b="0" i="0" u="none" strike="noStrike">
              <a:solidFill>
                <a:srgbClr val="000000"/>
              </a:solidFill>
              <a:latin typeface="Arial"/>
              <a:cs typeface="Arial"/>
            </a:rPr>
            <a:pPr/>
            <a:t>800</a:t>
          </a:fld>
          <a:endParaRPr lang="en-US"/>
        </a:p>
      </xdr:txBody>
    </xdr:sp>
    <xdr:clientData/>
  </xdr:twoCellAnchor>
  <xdr:twoCellAnchor>
    <xdr:from>
      <xdr:col>5</xdr:col>
      <xdr:colOff>371475</xdr:colOff>
      <xdr:row>31</xdr:row>
      <xdr:rowOff>219075</xdr:rowOff>
    </xdr:from>
    <xdr:to>
      <xdr:col>5</xdr:col>
      <xdr:colOff>872966</xdr:colOff>
      <xdr:row>32</xdr:row>
      <xdr:rowOff>171450</xdr:rowOff>
    </xdr:to>
    <xdr:sp macro="" textlink="$O$46">
      <xdr:nvSpPr>
        <xdr:cNvPr id="20" name="Watts2">
          <a:extLst>
            <a:ext uri="{FF2B5EF4-FFF2-40B4-BE49-F238E27FC236}">
              <a16:creationId xmlns:a16="http://schemas.microsoft.com/office/drawing/2014/main" id="{71A28F15-4CE2-4265-9332-16197C7BA0CF}"/>
            </a:ext>
          </a:extLst>
        </xdr:cNvPr>
        <xdr:cNvSpPr txBox="1">
          <a:spLocks noChangeArrowheads="1"/>
        </xdr:cNvSpPr>
      </xdr:nvSpPr>
      <xdr:spPr bwMode="auto">
        <a:xfrm>
          <a:off x="5943600" y="7686675"/>
          <a:ext cx="501491"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AE92AA2A-F17F-41FC-8413-4FDD2BBE6F37}" type="TxLink">
            <a:rPr lang="en-US" sz="1000" b="0" i="0" u="none" strike="noStrike">
              <a:solidFill>
                <a:srgbClr val="000000"/>
              </a:solidFill>
              <a:latin typeface="Arial"/>
              <a:cs typeface="Arial"/>
            </a:rPr>
            <a:pPr/>
            <a:t>400</a:t>
          </a:fld>
          <a:endParaRPr lang="en-US"/>
        </a:p>
      </xdr:txBody>
    </xdr:sp>
    <xdr:clientData/>
  </xdr:twoCellAnchor>
  <xdr:twoCellAnchor>
    <xdr:from>
      <xdr:col>5</xdr:col>
      <xdr:colOff>733425</xdr:colOff>
      <xdr:row>23</xdr:row>
      <xdr:rowOff>9525</xdr:rowOff>
    </xdr:from>
    <xdr:to>
      <xdr:col>5</xdr:col>
      <xdr:colOff>952500</xdr:colOff>
      <xdr:row>28</xdr:row>
      <xdr:rowOff>142875</xdr:rowOff>
    </xdr:to>
    <xdr:sp macro="" textlink="">
      <xdr:nvSpPr>
        <xdr:cNvPr id="21" name="Input Watts">
          <a:extLst>
            <a:ext uri="{FF2B5EF4-FFF2-40B4-BE49-F238E27FC236}">
              <a16:creationId xmlns:a16="http://schemas.microsoft.com/office/drawing/2014/main" id="{776FB341-17BE-4BBA-BF2D-1036B691D383}"/>
            </a:ext>
          </a:extLst>
        </xdr:cNvPr>
        <xdr:cNvSpPr txBox="1">
          <a:spLocks noChangeArrowheads="1"/>
        </xdr:cNvSpPr>
      </xdr:nvSpPr>
      <xdr:spPr bwMode="auto">
        <a:xfrm>
          <a:off x="6305550" y="5572125"/>
          <a:ext cx="219075" cy="1323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371475</xdr:colOff>
      <xdr:row>23</xdr:row>
      <xdr:rowOff>66675</xdr:rowOff>
    </xdr:from>
    <xdr:to>
      <xdr:col>5</xdr:col>
      <xdr:colOff>872966</xdr:colOff>
      <xdr:row>24</xdr:row>
      <xdr:rowOff>19050</xdr:rowOff>
    </xdr:to>
    <xdr:sp macro="" textlink="$O$41">
      <xdr:nvSpPr>
        <xdr:cNvPr id="22" name="Watts7">
          <a:extLst>
            <a:ext uri="{FF2B5EF4-FFF2-40B4-BE49-F238E27FC236}">
              <a16:creationId xmlns:a16="http://schemas.microsoft.com/office/drawing/2014/main" id="{18F6164E-9B9C-4568-BBE6-9D9B4D910375}"/>
            </a:ext>
          </a:extLst>
        </xdr:cNvPr>
        <xdr:cNvSpPr txBox="1">
          <a:spLocks noChangeArrowheads="1"/>
        </xdr:cNvSpPr>
      </xdr:nvSpPr>
      <xdr:spPr bwMode="auto">
        <a:xfrm>
          <a:off x="5943600" y="5629275"/>
          <a:ext cx="501491"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7000B3AA-6315-4311-AC31-D29911FB8A68}" type="TxLink">
            <a:rPr lang="en-US" sz="1000" b="0" i="0" u="none" strike="noStrike">
              <a:solidFill>
                <a:srgbClr val="000000"/>
              </a:solidFill>
              <a:latin typeface="Arial"/>
              <a:cs typeface="Arial"/>
            </a:rPr>
            <a:pPr/>
            <a:t>2400</a:t>
          </a:fld>
          <a:endParaRPr lang="en-US"/>
        </a:p>
      </xdr:txBody>
    </xdr:sp>
    <xdr:clientData/>
  </xdr:twoCellAnchor>
  <xdr:twoCellAnchor>
    <xdr:from>
      <xdr:col>5</xdr:col>
      <xdr:colOff>371475</xdr:colOff>
      <xdr:row>21</xdr:row>
      <xdr:rowOff>133350</xdr:rowOff>
    </xdr:from>
    <xdr:to>
      <xdr:col>5</xdr:col>
      <xdr:colOff>872966</xdr:colOff>
      <xdr:row>22</xdr:row>
      <xdr:rowOff>85725</xdr:rowOff>
    </xdr:to>
    <xdr:sp macro="" textlink="$O$40">
      <xdr:nvSpPr>
        <xdr:cNvPr id="23" name="Watts8">
          <a:extLst>
            <a:ext uri="{FF2B5EF4-FFF2-40B4-BE49-F238E27FC236}">
              <a16:creationId xmlns:a16="http://schemas.microsoft.com/office/drawing/2014/main" id="{315F07B4-19E1-43A9-ACCF-4E1DFD409147}"/>
            </a:ext>
          </a:extLst>
        </xdr:cNvPr>
        <xdr:cNvSpPr txBox="1">
          <a:spLocks noChangeArrowheads="1"/>
        </xdr:cNvSpPr>
      </xdr:nvSpPr>
      <xdr:spPr bwMode="auto">
        <a:xfrm>
          <a:off x="5943600" y="5219700"/>
          <a:ext cx="501491"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28245132-25C3-4E43-9CF5-3BE408705952}" type="TxLink">
            <a:rPr lang="en-US" sz="1000" b="0" i="0" u="none" strike="noStrike">
              <a:solidFill>
                <a:srgbClr val="000000"/>
              </a:solidFill>
              <a:latin typeface="Arial"/>
              <a:cs typeface="Arial"/>
            </a:rPr>
            <a:pPr/>
            <a:t>2800</a:t>
          </a:fld>
          <a:endParaRPr lang="en-US"/>
        </a:p>
      </xdr:txBody>
    </xdr:sp>
    <xdr:clientData/>
  </xdr:twoCellAnchor>
  <xdr:twoCellAnchor>
    <xdr:from>
      <xdr:col>5</xdr:col>
      <xdr:colOff>361950</xdr:colOff>
      <xdr:row>19</xdr:row>
      <xdr:rowOff>200025</xdr:rowOff>
    </xdr:from>
    <xdr:to>
      <xdr:col>5</xdr:col>
      <xdr:colOff>863441</xdr:colOff>
      <xdr:row>20</xdr:row>
      <xdr:rowOff>152400</xdr:rowOff>
    </xdr:to>
    <xdr:sp macro="" textlink="$O$39">
      <xdr:nvSpPr>
        <xdr:cNvPr id="24" name="Watts9">
          <a:extLst>
            <a:ext uri="{FF2B5EF4-FFF2-40B4-BE49-F238E27FC236}">
              <a16:creationId xmlns:a16="http://schemas.microsoft.com/office/drawing/2014/main" id="{D79ED621-2DFE-4102-87B3-B8EA9A1626D1}"/>
            </a:ext>
          </a:extLst>
        </xdr:cNvPr>
        <xdr:cNvSpPr txBox="1">
          <a:spLocks noChangeArrowheads="1"/>
        </xdr:cNvSpPr>
      </xdr:nvSpPr>
      <xdr:spPr bwMode="auto">
        <a:xfrm>
          <a:off x="5934075" y="4810125"/>
          <a:ext cx="501491"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0287719C-BA30-4EA6-BB12-C2871756CE3A}" type="TxLink">
            <a:rPr lang="en-US" sz="1000" b="0" i="0" u="none" strike="noStrike">
              <a:solidFill>
                <a:srgbClr val="000000"/>
              </a:solidFill>
              <a:latin typeface="Arial"/>
              <a:cs typeface="Arial"/>
            </a:rPr>
            <a:pPr/>
            <a:t>3200</a:t>
          </a:fld>
          <a:endParaRPr lang="en-US"/>
        </a:p>
      </xdr:txBody>
    </xdr:sp>
    <xdr:clientData/>
  </xdr:twoCellAnchor>
  <xdr:twoCellAnchor>
    <xdr:from>
      <xdr:col>5</xdr:col>
      <xdr:colOff>361950</xdr:colOff>
      <xdr:row>18</xdr:row>
      <xdr:rowOff>28575</xdr:rowOff>
    </xdr:from>
    <xdr:to>
      <xdr:col>5</xdr:col>
      <xdr:colOff>863441</xdr:colOff>
      <xdr:row>18</xdr:row>
      <xdr:rowOff>219075</xdr:rowOff>
    </xdr:to>
    <xdr:sp macro="" textlink="$O$38">
      <xdr:nvSpPr>
        <xdr:cNvPr id="25" name="Watts10">
          <a:extLst>
            <a:ext uri="{FF2B5EF4-FFF2-40B4-BE49-F238E27FC236}">
              <a16:creationId xmlns:a16="http://schemas.microsoft.com/office/drawing/2014/main" id="{A962B000-6B49-4525-9CBB-28A11338FCCE}"/>
            </a:ext>
          </a:extLst>
        </xdr:cNvPr>
        <xdr:cNvSpPr txBox="1">
          <a:spLocks noChangeArrowheads="1"/>
        </xdr:cNvSpPr>
      </xdr:nvSpPr>
      <xdr:spPr bwMode="auto">
        <a:xfrm>
          <a:off x="5934075" y="4400550"/>
          <a:ext cx="501491"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4822991D-108B-443A-BE03-50D008FB7087}" type="TxLink">
            <a:rPr lang="en-US" sz="1000" b="0" i="0" u="none" strike="noStrike">
              <a:solidFill>
                <a:srgbClr val="000000"/>
              </a:solidFill>
              <a:latin typeface="Arial"/>
              <a:cs typeface="Arial"/>
            </a:rPr>
            <a:pPr/>
            <a:t>3600</a:t>
          </a:fld>
          <a:endParaRPr lang="en-US"/>
        </a:p>
      </xdr:txBody>
    </xdr:sp>
    <xdr:clientData/>
  </xdr:twoCellAnchor>
  <xdr:twoCellAnchor>
    <xdr:from>
      <xdr:col>2</xdr:col>
      <xdr:colOff>857250</xdr:colOff>
      <xdr:row>17</xdr:row>
      <xdr:rowOff>19050</xdr:rowOff>
    </xdr:from>
    <xdr:to>
      <xdr:col>3</xdr:col>
      <xdr:colOff>85725</xdr:colOff>
      <xdr:row>17</xdr:row>
      <xdr:rowOff>161925</xdr:rowOff>
    </xdr:to>
    <xdr:sp macro="" textlink="" fLocksText="0">
      <xdr:nvSpPr>
        <xdr:cNvPr id="26" name="Text Box 26">
          <a:extLst>
            <a:ext uri="{FF2B5EF4-FFF2-40B4-BE49-F238E27FC236}">
              <a16:creationId xmlns:a16="http://schemas.microsoft.com/office/drawing/2014/main" id="{6669728A-1105-4B8E-94B5-EE0D7C4F1F3C}"/>
            </a:ext>
          </a:extLst>
        </xdr:cNvPr>
        <xdr:cNvSpPr txBox="1">
          <a:spLocks noChangeArrowheads="1"/>
        </xdr:cNvSpPr>
      </xdr:nvSpPr>
      <xdr:spPr bwMode="auto">
        <a:xfrm>
          <a:off x="3086100" y="4152900"/>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904875</xdr:colOff>
      <xdr:row>19</xdr:row>
      <xdr:rowOff>133350</xdr:rowOff>
    </xdr:from>
    <xdr:to>
      <xdr:col>4</xdr:col>
      <xdr:colOff>123825</xdr:colOff>
      <xdr:row>20</xdr:row>
      <xdr:rowOff>66675</xdr:rowOff>
    </xdr:to>
    <xdr:sp macro="" textlink="" fLocksText="0">
      <xdr:nvSpPr>
        <xdr:cNvPr id="27" name="Text Box 27">
          <a:extLst>
            <a:ext uri="{FF2B5EF4-FFF2-40B4-BE49-F238E27FC236}">
              <a16:creationId xmlns:a16="http://schemas.microsoft.com/office/drawing/2014/main" id="{2D17C713-EF1B-4553-B01E-9E7126831A5F}"/>
            </a:ext>
          </a:extLst>
        </xdr:cNvPr>
        <xdr:cNvSpPr txBox="1">
          <a:spLocks noChangeArrowheads="1"/>
        </xdr:cNvSpPr>
      </xdr:nvSpPr>
      <xdr:spPr bwMode="auto">
        <a:xfrm>
          <a:off x="4248150" y="4743450"/>
          <a:ext cx="33337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2</xdr:col>
      <xdr:colOff>923925</xdr:colOff>
      <xdr:row>23</xdr:row>
      <xdr:rowOff>228600</xdr:rowOff>
    </xdr:from>
    <xdr:to>
      <xdr:col>3</xdr:col>
      <xdr:colOff>152400</xdr:colOff>
      <xdr:row>24</xdr:row>
      <xdr:rowOff>133350</xdr:rowOff>
    </xdr:to>
    <xdr:sp macro="" textlink="" fLocksText="0">
      <xdr:nvSpPr>
        <xdr:cNvPr id="28" name="Speed">
          <a:extLst>
            <a:ext uri="{FF2B5EF4-FFF2-40B4-BE49-F238E27FC236}">
              <a16:creationId xmlns:a16="http://schemas.microsoft.com/office/drawing/2014/main" id="{B872CA62-F2E2-4559-B7B3-D30511F43326}"/>
            </a:ext>
          </a:extLst>
        </xdr:cNvPr>
        <xdr:cNvSpPr txBox="1">
          <a:spLocks noChangeArrowheads="1"/>
        </xdr:cNvSpPr>
      </xdr:nvSpPr>
      <xdr:spPr bwMode="auto">
        <a:xfrm>
          <a:off x="3152775" y="5791200"/>
          <a:ext cx="342900" cy="142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1000125</xdr:colOff>
      <xdr:row>29</xdr:row>
      <xdr:rowOff>28575</xdr:rowOff>
    </xdr:from>
    <xdr:to>
      <xdr:col>2</xdr:col>
      <xdr:colOff>323850</xdr:colOff>
      <xdr:row>29</xdr:row>
      <xdr:rowOff>180975</xdr:rowOff>
    </xdr:to>
    <xdr:sp macro="" textlink="" fLocksText="0">
      <xdr:nvSpPr>
        <xdr:cNvPr id="29" name="Amps">
          <a:extLst>
            <a:ext uri="{FF2B5EF4-FFF2-40B4-BE49-F238E27FC236}">
              <a16:creationId xmlns:a16="http://schemas.microsoft.com/office/drawing/2014/main" id="{F9E3648E-B86A-4C29-976F-CBD097896F0F}"/>
            </a:ext>
          </a:extLst>
        </xdr:cNvPr>
        <xdr:cNvSpPr txBox="1">
          <a:spLocks noChangeArrowheads="1"/>
        </xdr:cNvSpPr>
      </xdr:nvSpPr>
      <xdr:spPr bwMode="auto">
        <a:xfrm>
          <a:off x="2114550" y="7019925"/>
          <a:ext cx="438150"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971550</xdr:colOff>
      <xdr:row>31</xdr:row>
      <xdr:rowOff>180975</xdr:rowOff>
    </xdr:from>
    <xdr:to>
      <xdr:col>3</xdr:col>
      <xdr:colOff>361950</xdr:colOff>
      <xdr:row>32</xdr:row>
      <xdr:rowOff>95250</xdr:rowOff>
    </xdr:to>
    <xdr:sp macro="" textlink="" fLocksText="0">
      <xdr:nvSpPr>
        <xdr:cNvPr id="30" name="Watts">
          <a:extLst>
            <a:ext uri="{FF2B5EF4-FFF2-40B4-BE49-F238E27FC236}">
              <a16:creationId xmlns:a16="http://schemas.microsoft.com/office/drawing/2014/main" id="{AA0C4D13-F1B8-43DF-9B0C-E18C12CDAA71}"/>
            </a:ext>
          </a:extLst>
        </xdr:cNvPr>
        <xdr:cNvSpPr txBox="1">
          <a:spLocks noChangeArrowheads="1"/>
        </xdr:cNvSpPr>
      </xdr:nvSpPr>
      <xdr:spPr bwMode="auto">
        <a:xfrm>
          <a:off x="3200400" y="7648575"/>
          <a:ext cx="504825"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361950</xdr:colOff>
      <xdr:row>33</xdr:row>
      <xdr:rowOff>142875</xdr:rowOff>
    </xdr:from>
    <xdr:to>
      <xdr:col>5</xdr:col>
      <xdr:colOff>889159</xdr:colOff>
      <xdr:row>34</xdr:row>
      <xdr:rowOff>104775</xdr:rowOff>
    </xdr:to>
    <xdr:sp macro="" textlink="$O$47">
      <xdr:nvSpPr>
        <xdr:cNvPr id="31" name="Watts1">
          <a:extLst>
            <a:ext uri="{FF2B5EF4-FFF2-40B4-BE49-F238E27FC236}">
              <a16:creationId xmlns:a16="http://schemas.microsoft.com/office/drawing/2014/main" id="{136EA200-927B-4363-AF56-F0CB2F355410}"/>
            </a:ext>
          </a:extLst>
        </xdr:cNvPr>
        <xdr:cNvSpPr txBox="1">
          <a:spLocks noChangeArrowheads="1"/>
        </xdr:cNvSpPr>
      </xdr:nvSpPr>
      <xdr:spPr bwMode="auto">
        <a:xfrm>
          <a:off x="5934075" y="8086725"/>
          <a:ext cx="527209" cy="200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fld id="{25F75309-22F4-49BD-9CCA-A1049378661A}" type="TxLink">
            <a:rPr lang="en-US" sz="1000" b="0" i="0" u="none" strike="noStrike">
              <a:solidFill>
                <a:srgbClr val="000000"/>
              </a:solidFill>
              <a:latin typeface="Arial"/>
              <a:cs typeface="Arial"/>
            </a:rPr>
            <a:pPr/>
            <a:t>0.0</a:t>
          </a:fld>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736D7-BBA4-42EA-90FF-3C3F02AF305F}">
  <sheetPr>
    <pageSetUpPr fitToPage="1"/>
  </sheetPr>
  <dimension ref="A1:P71"/>
  <sheetViews>
    <sheetView zoomScale="95" workbookViewId="0">
      <selection activeCell="K31" sqref="K31"/>
    </sheetView>
  </sheetViews>
  <sheetFormatPr defaultRowHeight="12.75"/>
  <cols>
    <col min="1" max="6" width="8.59765625" style="95" customWidth="1"/>
    <col min="7" max="7" width="8.69921875" style="95" customWidth="1"/>
    <col min="8" max="8" width="8.8984375" style="95" customWidth="1"/>
    <col min="9" max="10" width="8.59765625" style="95" customWidth="1"/>
    <col min="11" max="11" width="8.796875" style="95"/>
    <col min="12" max="12" width="9.3984375" style="95" bestFit="1" customWidth="1"/>
    <col min="13" max="13" width="6.296875" style="95" bestFit="1" customWidth="1"/>
    <col min="14" max="256" width="8.796875" style="95"/>
    <col min="257" max="262" width="8.59765625" style="95" customWidth="1"/>
    <col min="263" max="263" width="8.69921875" style="95" customWidth="1"/>
    <col min="264" max="264" width="8.8984375" style="95" customWidth="1"/>
    <col min="265" max="266" width="8.59765625" style="95" customWidth="1"/>
    <col min="267" max="267" width="8.796875" style="95"/>
    <col min="268" max="268" width="9.3984375" style="95" bestFit="1" customWidth="1"/>
    <col min="269" max="269" width="6.296875" style="95" bestFit="1" customWidth="1"/>
    <col min="270" max="512" width="8.796875" style="95"/>
    <col min="513" max="518" width="8.59765625" style="95" customWidth="1"/>
    <col min="519" max="519" width="8.69921875" style="95" customWidth="1"/>
    <col min="520" max="520" width="8.8984375" style="95" customWidth="1"/>
    <col min="521" max="522" width="8.59765625" style="95" customWidth="1"/>
    <col min="523" max="523" width="8.796875" style="95"/>
    <col min="524" max="524" width="9.3984375" style="95" bestFit="1" customWidth="1"/>
    <col min="525" max="525" width="6.296875" style="95" bestFit="1" customWidth="1"/>
    <col min="526" max="768" width="8.796875" style="95"/>
    <col min="769" max="774" width="8.59765625" style="95" customWidth="1"/>
    <col min="775" max="775" width="8.69921875" style="95" customWidth="1"/>
    <col min="776" max="776" width="8.8984375" style="95" customWidth="1"/>
    <col min="777" max="778" width="8.59765625" style="95" customWidth="1"/>
    <col min="779" max="779" width="8.796875" style="95"/>
    <col min="780" max="780" width="9.3984375" style="95" bestFit="1" customWidth="1"/>
    <col min="781" max="781" width="6.296875" style="95" bestFit="1" customWidth="1"/>
    <col min="782" max="1024" width="8.796875" style="95"/>
    <col min="1025" max="1030" width="8.59765625" style="95" customWidth="1"/>
    <col min="1031" max="1031" width="8.69921875" style="95" customWidth="1"/>
    <col min="1032" max="1032" width="8.8984375" style="95" customWidth="1"/>
    <col min="1033" max="1034" width="8.59765625" style="95" customWidth="1"/>
    <col min="1035" max="1035" width="8.796875" style="95"/>
    <col min="1036" max="1036" width="9.3984375" style="95" bestFit="1" customWidth="1"/>
    <col min="1037" max="1037" width="6.296875" style="95" bestFit="1" customWidth="1"/>
    <col min="1038" max="1280" width="8.796875" style="95"/>
    <col min="1281" max="1286" width="8.59765625" style="95" customWidth="1"/>
    <col min="1287" max="1287" width="8.69921875" style="95" customWidth="1"/>
    <col min="1288" max="1288" width="8.8984375" style="95" customWidth="1"/>
    <col min="1289" max="1290" width="8.59765625" style="95" customWidth="1"/>
    <col min="1291" max="1291" width="8.796875" style="95"/>
    <col min="1292" max="1292" width="9.3984375" style="95" bestFit="1" customWidth="1"/>
    <col min="1293" max="1293" width="6.296875" style="95" bestFit="1" customWidth="1"/>
    <col min="1294" max="1536" width="8.796875" style="95"/>
    <col min="1537" max="1542" width="8.59765625" style="95" customWidth="1"/>
    <col min="1543" max="1543" width="8.69921875" style="95" customWidth="1"/>
    <col min="1544" max="1544" width="8.8984375" style="95" customWidth="1"/>
    <col min="1545" max="1546" width="8.59765625" style="95" customWidth="1"/>
    <col min="1547" max="1547" width="8.796875" style="95"/>
    <col min="1548" max="1548" width="9.3984375" style="95" bestFit="1" customWidth="1"/>
    <col min="1549" max="1549" width="6.296875" style="95" bestFit="1" customWidth="1"/>
    <col min="1550" max="1792" width="8.796875" style="95"/>
    <col min="1793" max="1798" width="8.59765625" style="95" customWidth="1"/>
    <col min="1799" max="1799" width="8.69921875" style="95" customWidth="1"/>
    <col min="1800" max="1800" width="8.8984375" style="95" customWidth="1"/>
    <col min="1801" max="1802" width="8.59765625" style="95" customWidth="1"/>
    <col min="1803" max="1803" width="8.796875" style="95"/>
    <col min="1804" max="1804" width="9.3984375" style="95" bestFit="1" customWidth="1"/>
    <col min="1805" max="1805" width="6.296875" style="95" bestFit="1" customWidth="1"/>
    <col min="1806" max="2048" width="8.796875" style="95"/>
    <col min="2049" max="2054" width="8.59765625" style="95" customWidth="1"/>
    <col min="2055" max="2055" width="8.69921875" style="95" customWidth="1"/>
    <col min="2056" max="2056" width="8.8984375" style="95" customWidth="1"/>
    <col min="2057" max="2058" width="8.59765625" style="95" customWidth="1"/>
    <col min="2059" max="2059" width="8.796875" style="95"/>
    <col min="2060" max="2060" width="9.3984375" style="95" bestFit="1" customWidth="1"/>
    <col min="2061" max="2061" width="6.296875" style="95" bestFit="1" customWidth="1"/>
    <col min="2062" max="2304" width="8.796875" style="95"/>
    <col min="2305" max="2310" width="8.59765625" style="95" customWidth="1"/>
    <col min="2311" max="2311" width="8.69921875" style="95" customWidth="1"/>
    <col min="2312" max="2312" width="8.8984375" style="95" customWidth="1"/>
    <col min="2313" max="2314" width="8.59765625" style="95" customWidth="1"/>
    <col min="2315" max="2315" width="8.796875" style="95"/>
    <col min="2316" max="2316" width="9.3984375" style="95" bestFit="1" customWidth="1"/>
    <col min="2317" max="2317" width="6.296875" style="95" bestFit="1" customWidth="1"/>
    <col min="2318" max="2560" width="8.796875" style="95"/>
    <col min="2561" max="2566" width="8.59765625" style="95" customWidth="1"/>
    <col min="2567" max="2567" width="8.69921875" style="95" customWidth="1"/>
    <col min="2568" max="2568" width="8.8984375" style="95" customWidth="1"/>
    <col min="2569" max="2570" width="8.59765625" style="95" customWidth="1"/>
    <col min="2571" max="2571" width="8.796875" style="95"/>
    <col min="2572" max="2572" width="9.3984375" style="95" bestFit="1" customWidth="1"/>
    <col min="2573" max="2573" width="6.296875" style="95" bestFit="1" customWidth="1"/>
    <col min="2574" max="2816" width="8.796875" style="95"/>
    <col min="2817" max="2822" width="8.59765625" style="95" customWidth="1"/>
    <col min="2823" max="2823" width="8.69921875" style="95" customWidth="1"/>
    <col min="2824" max="2824" width="8.8984375" style="95" customWidth="1"/>
    <col min="2825" max="2826" width="8.59765625" style="95" customWidth="1"/>
    <col min="2827" max="2827" width="8.796875" style="95"/>
    <col min="2828" max="2828" width="9.3984375" style="95" bestFit="1" customWidth="1"/>
    <col min="2829" max="2829" width="6.296875" style="95" bestFit="1" customWidth="1"/>
    <col min="2830" max="3072" width="8.796875" style="95"/>
    <col min="3073" max="3078" width="8.59765625" style="95" customWidth="1"/>
    <col min="3079" max="3079" width="8.69921875" style="95" customWidth="1"/>
    <col min="3080" max="3080" width="8.8984375" style="95" customWidth="1"/>
    <col min="3081" max="3082" width="8.59765625" style="95" customWidth="1"/>
    <col min="3083" max="3083" width="8.796875" style="95"/>
    <col min="3084" max="3084" width="9.3984375" style="95" bestFit="1" customWidth="1"/>
    <col min="3085" max="3085" width="6.296875" style="95" bestFit="1" customWidth="1"/>
    <col min="3086" max="3328" width="8.796875" style="95"/>
    <col min="3329" max="3334" width="8.59765625" style="95" customWidth="1"/>
    <col min="3335" max="3335" width="8.69921875" style="95" customWidth="1"/>
    <col min="3336" max="3336" width="8.8984375" style="95" customWidth="1"/>
    <col min="3337" max="3338" width="8.59765625" style="95" customWidth="1"/>
    <col min="3339" max="3339" width="8.796875" style="95"/>
    <col min="3340" max="3340" width="9.3984375" style="95" bestFit="1" customWidth="1"/>
    <col min="3341" max="3341" width="6.296875" style="95" bestFit="1" customWidth="1"/>
    <col min="3342" max="3584" width="8.796875" style="95"/>
    <col min="3585" max="3590" width="8.59765625" style="95" customWidth="1"/>
    <col min="3591" max="3591" width="8.69921875" style="95" customWidth="1"/>
    <col min="3592" max="3592" width="8.8984375" style="95" customWidth="1"/>
    <col min="3593" max="3594" width="8.59765625" style="95" customWidth="1"/>
    <col min="3595" max="3595" width="8.796875" style="95"/>
    <col min="3596" max="3596" width="9.3984375" style="95" bestFit="1" customWidth="1"/>
    <col min="3597" max="3597" width="6.296875" style="95" bestFit="1" customWidth="1"/>
    <col min="3598" max="3840" width="8.796875" style="95"/>
    <col min="3841" max="3846" width="8.59765625" style="95" customWidth="1"/>
    <col min="3847" max="3847" width="8.69921875" style="95" customWidth="1"/>
    <col min="3848" max="3848" width="8.8984375" style="95" customWidth="1"/>
    <col min="3849" max="3850" width="8.59765625" style="95" customWidth="1"/>
    <col min="3851" max="3851" width="8.796875" style="95"/>
    <col min="3852" max="3852" width="9.3984375" style="95" bestFit="1" customWidth="1"/>
    <col min="3853" max="3853" width="6.296875" style="95" bestFit="1" customWidth="1"/>
    <col min="3854" max="4096" width="8.796875" style="95"/>
    <col min="4097" max="4102" width="8.59765625" style="95" customWidth="1"/>
    <col min="4103" max="4103" width="8.69921875" style="95" customWidth="1"/>
    <col min="4104" max="4104" width="8.8984375" style="95" customWidth="1"/>
    <col min="4105" max="4106" width="8.59765625" style="95" customWidth="1"/>
    <col min="4107" max="4107" width="8.796875" style="95"/>
    <col min="4108" max="4108" width="9.3984375" style="95" bestFit="1" customWidth="1"/>
    <col min="4109" max="4109" width="6.296875" style="95" bestFit="1" customWidth="1"/>
    <col min="4110" max="4352" width="8.796875" style="95"/>
    <col min="4353" max="4358" width="8.59765625" style="95" customWidth="1"/>
    <col min="4359" max="4359" width="8.69921875" style="95" customWidth="1"/>
    <col min="4360" max="4360" width="8.8984375" style="95" customWidth="1"/>
    <col min="4361" max="4362" width="8.59765625" style="95" customWidth="1"/>
    <col min="4363" max="4363" width="8.796875" style="95"/>
    <col min="4364" max="4364" width="9.3984375" style="95" bestFit="1" customWidth="1"/>
    <col min="4365" max="4365" width="6.296875" style="95" bestFit="1" customWidth="1"/>
    <col min="4366" max="4608" width="8.796875" style="95"/>
    <col min="4609" max="4614" width="8.59765625" style="95" customWidth="1"/>
    <col min="4615" max="4615" width="8.69921875" style="95" customWidth="1"/>
    <col min="4616" max="4616" width="8.8984375" style="95" customWidth="1"/>
    <col min="4617" max="4618" width="8.59765625" style="95" customWidth="1"/>
    <col min="4619" max="4619" width="8.796875" style="95"/>
    <col min="4620" max="4620" width="9.3984375" style="95" bestFit="1" customWidth="1"/>
    <col min="4621" max="4621" width="6.296875" style="95" bestFit="1" customWidth="1"/>
    <col min="4622" max="4864" width="8.796875" style="95"/>
    <col min="4865" max="4870" width="8.59765625" style="95" customWidth="1"/>
    <col min="4871" max="4871" width="8.69921875" style="95" customWidth="1"/>
    <col min="4872" max="4872" width="8.8984375" style="95" customWidth="1"/>
    <col min="4873" max="4874" width="8.59765625" style="95" customWidth="1"/>
    <col min="4875" max="4875" width="8.796875" style="95"/>
    <col min="4876" max="4876" width="9.3984375" style="95" bestFit="1" customWidth="1"/>
    <col min="4877" max="4877" width="6.296875" style="95" bestFit="1" customWidth="1"/>
    <col min="4878" max="5120" width="8.796875" style="95"/>
    <col min="5121" max="5126" width="8.59765625" style="95" customWidth="1"/>
    <col min="5127" max="5127" width="8.69921875" style="95" customWidth="1"/>
    <col min="5128" max="5128" width="8.8984375" style="95" customWidth="1"/>
    <col min="5129" max="5130" width="8.59765625" style="95" customWidth="1"/>
    <col min="5131" max="5131" width="8.796875" style="95"/>
    <col min="5132" max="5132" width="9.3984375" style="95" bestFit="1" customWidth="1"/>
    <col min="5133" max="5133" width="6.296875" style="95" bestFit="1" customWidth="1"/>
    <col min="5134" max="5376" width="8.796875" style="95"/>
    <col min="5377" max="5382" width="8.59765625" style="95" customWidth="1"/>
    <col min="5383" max="5383" width="8.69921875" style="95" customWidth="1"/>
    <col min="5384" max="5384" width="8.8984375" style="95" customWidth="1"/>
    <col min="5385" max="5386" width="8.59765625" style="95" customWidth="1"/>
    <col min="5387" max="5387" width="8.796875" style="95"/>
    <col min="5388" max="5388" width="9.3984375" style="95" bestFit="1" customWidth="1"/>
    <col min="5389" max="5389" width="6.296875" style="95" bestFit="1" customWidth="1"/>
    <col min="5390" max="5632" width="8.796875" style="95"/>
    <col min="5633" max="5638" width="8.59765625" style="95" customWidth="1"/>
    <col min="5639" max="5639" width="8.69921875" style="95" customWidth="1"/>
    <col min="5640" max="5640" width="8.8984375" style="95" customWidth="1"/>
    <col min="5641" max="5642" width="8.59765625" style="95" customWidth="1"/>
    <col min="5643" max="5643" width="8.796875" style="95"/>
    <col min="5644" max="5644" width="9.3984375" style="95" bestFit="1" customWidth="1"/>
    <col min="5645" max="5645" width="6.296875" style="95" bestFit="1" customWidth="1"/>
    <col min="5646" max="5888" width="8.796875" style="95"/>
    <col min="5889" max="5894" width="8.59765625" style="95" customWidth="1"/>
    <col min="5895" max="5895" width="8.69921875" style="95" customWidth="1"/>
    <col min="5896" max="5896" width="8.8984375" style="95" customWidth="1"/>
    <col min="5897" max="5898" width="8.59765625" style="95" customWidth="1"/>
    <col min="5899" max="5899" width="8.796875" style="95"/>
    <col min="5900" max="5900" width="9.3984375" style="95" bestFit="1" customWidth="1"/>
    <col min="5901" max="5901" width="6.296875" style="95" bestFit="1" customWidth="1"/>
    <col min="5902" max="6144" width="8.796875" style="95"/>
    <col min="6145" max="6150" width="8.59765625" style="95" customWidth="1"/>
    <col min="6151" max="6151" width="8.69921875" style="95" customWidth="1"/>
    <col min="6152" max="6152" width="8.8984375" style="95" customWidth="1"/>
    <col min="6153" max="6154" width="8.59765625" style="95" customWidth="1"/>
    <col min="6155" max="6155" width="8.796875" style="95"/>
    <col min="6156" max="6156" width="9.3984375" style="95" bestFit="1" customWidth="1"/>
    <col min="6157" max="6157" width="6.296875" style="95" bestFit="1" customWidth="1"/>
    <col min="6158" max="6400" width="8.796875" style="95"/>
    <col min="6401" max="6406" width="8.59765625" style="95" customWidth="1"/>
    <col min="6407" max="6407" width="8.69921875" style="95" customWidth="1"/>
    <col min="6408" max="6408" width="8.8984375" style="95" customWidth="1"/>
    <col min="6409" max="6410" width="8.59765625" style="95" customWidth="1"/>
    <col min="6411" max="6411" width="8.796875" style="95"/>
    <col min="6412" max="6412" width="9.3984375" style="95" bestFit="1" customWidth="1"/>
    <col min="6413" max="6413" width="6.296875" style="95" bestFit="1" customWidth="1"/>
    <col min="6414" max="6656" width="8.796875" style="95"/>
    <col min="6657" max="6662" width="8.59765625" style="95" customWidth="1"/>
    <col min="6663" max="6663" width="8.69921875" style="95" customWidth="1"/>
    <col min="6664" max="6664" width="8.8984375" style="95" customWidth="1"/>
    <col min="6665" max="6666" width="8.59765625" style="95" customWidth="1"/>
    <col min="6667" max="6667" width="8.796875" style="95"/>
    <col min="6668" max="6668" width="9.3984375" style="95" bestFit="1" customWidth="1"/>
    <col min="6669" max="6669" width="6.296875" style="95" bestFit="1" customWidth="1"/>
    <col min="6670" max="6912" width="8.796875" style="95"/>
    <col min="6913" max="6918" width="8.59765625" style="95" customWidth="1"/>
    <col min="6919" max="6919" width="8.69921875" style="95" customWidth="1"/>
    <col min="6920" max="6920" width="8.8984375" style="95" customWidth="1"/>
    <col min="6921" max="6922" width="8.59765625" style="95" customWidth="1"/>
    <col min="6923" max="6923" width="8.796875" style="95"/>
    <col min="6924" max="6924" width="9.3984375" style="95" bestFit="1" customWidth="1"/>
    <col min="6925" max="6925" width="6.296875" style="95" bestFit="1" customWidth="1"/>
    <col min="6926" max="7168" width="8.796875" style="95"/>
    <col min="7169" max="7174" width="8.59765625" style="95" customWidth="1"/>
    <col min="7175" max="7175" width="8.69921875" style="95" customWidth="1"/>
    <col min="7176" max="7176" width="8.8984375" style="95" customWidth="1"/>
    <col min="7177" max="7178" width="8.59765625" style="95" customWidth="1"/>
    <col min="7179" max="7179" width="8.796875" style="95"/>
    <col min="7180" max="7180" width="9.3984375" style="95" bestFit="1" customWidth="1"/>
    <col min="7181" max="7181" width="6.296875" style="95" bestFit="1" customWidth="1"/>
    <col min="7182" max="7424" width="8.796875" style="95"/>
    <col min="7425" max="7430" width="8.59765625" style="95" customWidth="1"/>
    <col min="7431" max="7431" width="8.69921875" style="95" customWidth="1"/>
    <col min="7432" max="7432" width="8.8984375" style="95" customWidth="1"/>
    <col min="7433" max="7434" width="8.59765625" style="95" customWidth="1"/>
    <col min="7435" max="7435" width="8.796875" style="95"/>
    <col min="7436" max="7436" width="9.3984375" style="95" bestFit="1" customWidth="1"/>
    <col min="7437" max="7437" width="6.296875" style="95" bestFit="1" customWidth="1"/>
    <col min="7438" max="7680" width="8.796875" style="95"/>
    <col min="7681" max="7686" width="8.59765625" style="95" customWidth="1"/>
    <col min="7687" max="7687" width="8.69921875" style="95" customWidth="1"/>
    <col min="7688" max="7688" width="8.8984375" style="95" customWidth="1"/>
    <col min="7689" max="7690" width="8.59765625" style="95" customWidth="1"/>
    <col min="7691" max="7691" width="8.796875" style="95"/>
    <col min="7692" max="7692" width="9.3984375" style="95" bestFit="1" customWidth="1"/>
    <col min="7693" max="7693" width="6.296875" style="95" bestFit="1" customWidth="1"/>
    <col min="7694" max="7936" width="8.796875" style="95"/>
    <col min="7937" max="7942" width="8.59765625" style="95" customWidth="1"/>
    <col min="7943" max="7943" width="8.69921875" style="95" customWidth="1"/>
    <col min="7944" max="7944" width="8.8984375" style="95" customWidth="1"/>
    <col min="7945" max="7946" width="8.59765625" style="95" customWidth="1"/>
    <col min="7947" max="7947" width="8.796875" style="95"/>
    <col min="7948" max="7948" width="9.3984375" style="95" bestFit="1" customWidth="1"/>
    <col min="7949" max="7949" width="6.296875" style="95" bestFit="1" customWidth="1"/>
    <col min="7950" max="8192" width="8.796875" style="95"/>
    <col min="8193" max="8198" width="8.59765625" style="95" customWidth="1"/>
    <col min="8199" max="8199" width="8.69921875" style="95" customWidth="1"/>
    <col min="8200" max="8200" width="8.8984375" style="95" customWidth="1"/>
    <col min="8201" max="8202" width="8.59765625" style="95" customWidth="1"/>
    <col min="8203" max="8203" width="8.796875" style="95"/>
    <col min="8204" max="8204" width="9.3984375" style="95" bestFit="1" customWidth="1"/>
    <col min="8205" max="8205" width="6.296875" style="95" bestFit="1" customWidth="1"/>
    <col min="8206" max="8448" width="8.796875" style="95"/>
    <col min="8449" max="8454" width="8.59765625" style="95" customWidth="1"/>
    <col min="8455" max="8455" width="8.69921875" style="95" customWidth="1"/>
    <col min="8456" max="8456" width="8.8984375" style="95" customWidth="1"/>
    <col min="8457" max="8458" width="8.59765625" style="95" customWidth="1"/>
    <col min="8459" max="8459" width="8.796875" style="95"/>
    <col min="8460" max="8460" width="9.3984375" style="95" bestFit="1" customWidth="1"/>
    <col min="8461" max="8461" width="6.296875" style="95" bestFit="1" customWidth="1"/>
    <col min="8462" max="8704" width="8.796875" style="95"/>
    <col min="8705" max="8710" width="8.59765625" style="95" customWidth="1"/>
    <col min="8711" max="8711" width="8.69921875" style="95" customWidth="1"/>
    <col min="8712" max="8712" width="8.8984375" style="95" customWidth="1"/>
    <col min="8713" max="8714" width="8.59765625" style="95" customWidth="1"/>
    <col min="8715" max="8715" width="8.796875" style="95"/>
    <col min="8716" max="8716" width="9.3984375" style="95" bestFit="1" customWidth="1"/>
    <col min="8717" max="8717" width="6.296875" style="95" bestFit="1" customWidth="1"/>
    <col min="8718" max="8960" width="8.796875" style="95"/>
    <col min="8961" max="8966" width="8.59765625" style="95" customWidth="1"/>
    <col min="8967" max="8967" width="8.69921875" style="95" customWidth="1"/>
    <col min="8968" max="8968" width="8.8984375" style="95" customWidth="1"/>
    <col min="8969" max="8970" width="8.59765625" style="95" customWidth="1"/>
    <col min="8971" max="8971" width="8.796875" style="95"/>
    <col min="8972" max="8972" width="9.3984375" style="95" bestFit="1" customWidth="1"/>
    <col min="8973" max="8973" width="6.296875" style="95" bestFit="1" customWidth="1"/>
    <col min="8974" max="9216" width="8.796875" style="95"/>
    <col min="9217" max="9222" width="8.59765625" style="95" customWidth="1"/>
    <col min="9223" max="9223" width="8.69921875" style="95" customWidth="1"/>
    <col min="9224" max="9224" width="8.8984375" style="95" customWidth="1"/>
    <col min="9225" max="9226" width="8.59765625" style="95" customWidth="1"/>
    <col min="9227" max="9227" width="8.796875" style="95"/>
    <col min="9228" max="9228" width="9.3984375" style="95" bestFit="1" customWidth="1"/>
    <col min="9229" max="9229" width="6.296875" style="95" bestFit="1" customWidth="1"/>
    <col min="9230" max="9472" width="8.796875" style="95"/>
    <col min="9473" max="9478" width="8.59765625" style="95" customWidth="1"/>
    <col min="9479" max="9479" width="8.69921875" style="95" customWidth="1"/>
    <col min="9480" max="9480" width="8.8984375" style="95" customWidth="1"/>
    <col min="9481" max="9482" width="8.59765625" style="95" customWidth="1"/>
    <col min="9483" max="9483" width="8.796875" style="95"/>
    <col min="9484" max="9484" width="9.3984375" style="95" bestFit="1" customWidth="1"/>
    <col min="9485" max="9485" width="6.296875" style="95" bestFit="1" customWidth="1"/>
    <col min="9486" max="9728" width="8.796875" style="95"/>
    <col min="9729" max="9734" width="8.59765625" style="95" customWidth="1"/>
    <col min="9735" max="9735" width="8.69921875" style="95" customWidth="1"/>
    <col min="9736" max="9736" width="8.8984375" style="95" customWidth="1"/>
    <col min="9737" max="9738" width="8.59765625" style="95" customWidth="1"/>
    <col min="9739" max="9739" width="8.796875" style="95"/>
    <col min="9740" max="9740" width="9.3984375" style="95" bestFit="1" customWidth="1"/>
    <col min="9741" max="9741" width="6.296875" style="95" bestFit="1" customWidth="1"/>
    <col min="9742" max="9984" width="8.796875" style="95"/>
    <col min="9985" max="9990" width="8.59765625" style="95" customWidth="1"/>
    <col min="9991" max="9991" width="8.69921875" style="95" customWidth="1"/>
    <col min="9992" max="9992" width="8.8984375" style="95" customWidth="1"/>
    <col min="9993" max="9994" width="8.59765625" style="95" customWidth="1"/>
    <col min="9995" max="9995" width="8.796875" style="95"/>
    <col min="9996" max="9996" width="9.3984375" style="95" bestFit="1" customWidth="1"/>
    <col min="9997" max="9997" width="6.296875" style="95" bestFit="1" customWidth="1"/>
    <col min="9998" max="10240" width="8.796875" style="95"/>
    <col min="10241" max="10246" width="8.59765625" style="95" customWidth="1"/>
    <col min="10247" max="10247" width="8.69921875" style="95" customWidth="1"/>
    <col min="10248" max="10248" width="8.8984375" style="95" customWidth="1"/>
    <col min="10249" max="10250" width="8.59765625" style="95" customWidth="1"/>
    <col min="10251" max="10251" width="8.796875" style="95"/>
    <col min="10252" max="10252" width="9.3984375" style="95" bestFit="1" customWidth="1"/>
    <col min="10253" max="10253" width="6.296875" style="95" bestFit="1" customWidth="1"/>
    <col min="10254" max="10496" width="8.796875" style="95"/>
    <col min="10497" max="10502" width="8.59765625" style="95" customWidth="1"/>
    <col min="10503" max="10503" width="8.69921875" style="95" customWidth="1"/>
    <col min="10504" max="10504" width="8.8984375" style="95" customWidth="1"/>
    <col min="10505" max="10506" width="8.59765625" style="95" customWidth="1"/>
    <col min="10507" max="10507" width="8.796875" style="95"/>
    <col min="10508" max="10508" width="9.3984375" style="95" bestFit="1" customWidth="1"/>
    <col min="10509" max="10509" width="6.296875" style="95" bestFit="1" customWidth="1"/>
    <col min="10510" max="10752" width="8.796875" style="95"/>
    <col min="10753" max="10758" width="8.59765625" style="95" customWidth="1"/>
    <col min="10759" max="10759" width="8.69921875" style="95" customWidth="1"/>
    <col min="10760" max="10760" width="8.8984375" style="95" customWidth="1"/>
    <col min="10761" max="10762" width="8.59765625" style="95" customWidth="1"/>
    <col min="10763" max="10763" width="8.796875" style="95"/>
    <col min="10764" max="10764" width="9.3984375" style="95" bestFit="1" customWidth="1"/>
    <col min="10765" max="10765" width="6.296875" style="95" bestFit="1" customWidth="1"/>
    <col min="10766" max="11008" width="8.796875" style="95"/>
    <col min="11009" max="11014" width="8.59765625" style="95" customWidth="1"/>
    <col min="11015" max="11015" width="8.69921875" style="95" customWidth="1"/>
    <col min="11016" max="11016" width="8.8984375" style="95" customWidth="1"/>
    <col min="11017" max="11018" width="8.59765625" style="95" customWidth="1"/>
    <col min="11019" max="11019" width="8.796875" style="95"/>
    <col min="11020" max="11020" width="9.3984375" style="95" bestFit="1" customWidth="1"/>
    <col min="11021" max="11021" width="6.296875" style="95" bestFit="1" customWidth="1"/>
    <col min="11022" max="11264" width="8.796875" style="95"/>
    <col min="11265" max="11270" width="8.59765625" style="95" customWidth="1"/>
    <col min="11271" max="11271" width="8.69921875" style="95" customWidth="1"/>
    <col min="11272" max="11272" width="8.8984375" style="95" customWidth="1"/>
    <col min="11273" max="11274" width="8.59765625" style="95" customWidth="1"/>
    <col min="11275" max="11275" width="8.796875" style="95"/>
    <col min="11276" max="11276" width="9.3984375" style="95" bestFit="1" customWidth="1"/>
    <col min="11277" max="11277" width="6.296875" style="95" bestFit="1" customWidth="1"/>
    <col min="11278" max="11520" width="8.796875" style="95"/>
    <col min="11521" max="11526" width="8.59765625" style="95" customWidth="1"/>
    <col min="11527" max="11527" width="8.69921875" style="95" customWidth="1"/>
    <col min="11528" max="11528" width="8.8984375" style="95" customWidth="1"/>
    <col min="11529" max="11530" width="8.59765625" style="95" customWidth="1"/>
    <col min="11531" max="11531" width="8.796875" style="95"/>
    <col min="11532" max="11532" width="9.3984375" style="95" bestFit="1" customWidth="1"/>
    <col min="11533" max="11533" width="6.296875" style="95" bestFit="1" customWidth="1"/>
    <col min="11534" max="11776" width="8.796875" style="95"/>
    <col min="11777" max="11782" width="8.59765625" style="95" customWidth="1"/>
    <col min="11783" max="11783" width="8.69921875" style="95" customWidth="1"/>
    <col min="11784" max="11784" width="8.8984375" style="95" customWidth="1"/>
    <col min="11785" max="11786" width="8.59765625" style="95" customWidth="1"/>
    <col min="11787" max="11787" width="8.796875" style="95"/>
    <col min="11788" max="11788" width="9.3984375" style="95" bestFit="1" customWidth="1"/>
    <col min="11789" max="11789" width="6.296875" style="95" bestFit="1" customWidth="1"/>
    <col min="11790" max="12032" width="8.796875" style="95"/>
    <col min="12033" max="12038" width="8.59765625" style="95" customWidth="1"/>
    <col min="12039" max="12039" width="8.69921875" style="95" customWidth="1"/>
    <col min="12040" max="12040" width="8.8984375" style="95" customWidth="1"/>
    <col min="12041" max="12042" width="8.59765625" style="95" customWidth="1"/>
    <col min="12043" max="12043" width="8.796875" style="95"/>
    <col min="12044" max="12044" width="9.3984375" style="95" bestFit="1" customWidth="1"/>
    <col min="12045" max="12045" width="6.296875" style="95" bestFit="1" customWidth="1"/>
    <col min="12046" max="12288" width="8.796875" style="95"/>
    <col min="12289" max="12294" width="8.59765625" style="95" customWidth="1"/>
    <col min="12295" max="12295" width="8.69921875" style="95" customWidth="1"/>
    <col min="12296" max="12296" width="8.8984375" style="95" customWidth="1"/>
    <col min="12297" max="12298" width="8.59765625" style="95" customWidth="1"/>
    <col min="12299" max="12299" width="8.796875" style="95"/>
    <col min="12300" max="12300" width="9.3984375" style="95" bestFit="1" customWidth="1"/>
    <col min="12301" max="12301" width="6.296875" style="95" bestFit="1" customWidth="1"/>
    <col min="12302" max="12544" width="8.796875" style="95"/>
    <col min="12545" max="12550" width="8.59765625" style="95" customWidth="1"/>
    <col min="12551" max="12551" width="8.69921875" style="95" customWidth="1"/>
    <col min="12552" max="12552" width="8.8984375" style="95" customWidth="1"/>
    <col min="12553" max="12554" width="8.59765625" style="95" customWidth="1"/>
    <col min="12555" max="12555" width="8.796875" style="95"/>
    <col min="12556" max="12556" width="9.3984375" style="95" bestFit="1" customWidth="1"/>
    <col min="12557" max="12557" width="6.296875" style="95" bestFit="1" customWidth="1"/>
    <col min="12558" max="12800" width="8.796875" style="95"/>
    <col min="12801" max="12806" width="8.59765625" style="95" customWidth="1"/>
    <col min="12807" max="12807" width="8.69921875" style="95" customWidth="1"/>
    <col min="12808" max="12808" width="8.8984375" style="95" customWidth="1"/>
    <col min="12809" max="12810" width="8.59765625" style="95" customWidth="1"/>
    <col min="12811" max="12811" width="8.796875" style="95"/>
    <col min="12812" max="12812" width="9.3984375" style="95" bestFit="1" customWidth="1"/>
    <col min="12813" max="12813" width="6.296875" style="95" bestFit="1" customWidth="1"/>
    <col min="12814" max="13056" width="8.796875" style="95"/>
    <col min="13057" max="13062" width="8.59765625" style="95" customWidth="1"/>
    <col min="13063" max="13063" width="8.69921875" style="95" customWidth="1"/>
    <col min="13064" max="13064" width="8.8984375" style="95" customWidth="1"/>
    <col min="13065" max="13066" width="8.59765625" style="95" customWidth="1"/>
    <col min="13067" max="13067" width="8.796875" style="95"/>
    <col min="13068" max="13068" width="9.3984375" style="95" bestFit="1" customWidth="1"/>
    <col min="13069" max="13069" width="6.296875" style="95" bestFit="1" customWidth="1"/>
    <col min="13070" max="13312" width="8.796875" style="95"/>
    <col min="13313" max="13318" width="8.59765625" style="95" customWidth="1"/>
    <col min="13319" max="13319" width="8.69921875" style="95" customWidth="1"/>
    <col min="13320" max="13320" width="8.8984375" style="95" customWidth="1"/>
    <col min="13321" max="13322" width="8.59765625" style="95" customWidth="1"/>
    <col min="13323" max="13323" width="8.796875" style="95"/>
    <col min="13324" max="13324" width="9.3984375" style="95" bestFit="1" customWidth="1"/>
    <col min="13325" max="13325" width="6.296875" style="95" bestFit="1" customWidth="1"/>
    <col min="13326" max="13568" width="8.796875" style="95"/>
    <col min="13569" max="13574" width="8.59765625" style="95" customWidth="1"/>
    <col min="13575" max="13575" width="8.69921875" style="95" customWidth="1"/>
    <col min="13576" max="13576" width="8.8984375" style="95" customWidth="1"/>
    <col min="13577" max="13578" width="8.59765625" style="95" customWidth="1"/>
    <col min="13579" max="13579" width="8.796875" style="95"/>
    <col min="13580" max="13580" width="9.3984375" style="95" bestFit="1" customWidth="1"/>
    <col min="13581" max="13581" width="6.296875" style="95" bestFit="1" customWidth="1"/>
    <col min="13582" max="13824" width="8.796875" style="95"/>
    <col min="13825" max="13830" width="8.59765625" style="95" customWidth="1"/>
    <col min="13831" max="13831" width="8.69921875" style="95" customWidth="1"/>
    <col min="13832" max="13832" width="8.8984375" style="95" customWidth="1"/>
    <col min="13833" max="13834" width="8.59765625" style="95" customWidth="1"/>
    <col min="13835" max="13835" width="8.796875" style="95"/>
    <col min="13836" max="13836" width="9.3984375" style="95" bestFit="1" customWidth="1"/>
    <col min="13837" max="13837" width="6.296875" style="95" bestFit="1" customWidth="1"/>
    <col min="13838" max="14080" width="8.796875" style="95"/>
    <col min="14081" max="14086" width="8.59765625" style="95" customWidth="1"/>
    <col min="14087" max="14087" width="8.69921875" style="95" customWidth="1"/>
    <col min="14088" max="14088" width="8.8984375" style="95" customWidth="1"/>
    <col min="14089" max="14090" width="8.59765625" style="95" customWidth="1"/>
    <col min="14091" max="14091" width="8.796875" style="95"/>
    <col min="14092" max="14092" width="9.3984375" style="95" bestFit="1" customWidth="1"/>
    <col min="14093" max="14093" width="6.296875" style="95" bestFit="1" customWidth="1"/>
    <col min="14094" max="14336" width="8.796875" style="95"/>
    <col min="14337" max="14342" width="8.59765625" style="95" customWidth="1"/>
    <col min="14343" max="14343" width="8.69921875" style="95" customWidth="1"/>
    <col min="14344" max="14344" width="8.8984375" style="95" customWidth="1"/>
    <col min="14345" max="14346" width="8.59765625" style="95" customWidth="1"/>
    <col min="14347" max="14347" width="8.796875" style="95"/>
    <col min="14348" max="14348" width="9.3984375" style="95" bestFit="1" customWidth="1"/>
    <col min="14349" max="14349" width="6.296875" style="95" bestFit="1" customWidth="1"/>
    <col min="14350" max="14592" width="8.796875" style="95"/>
    <col min="14593" max="14598" width="8.59765625" style="95" customWidth="1"/>
    <col min="14599" max="14599" width="8.69921875" style="95" customWidth="1"/>
    <col min="14600" max="14600" width="8.8984375" style="95" customWidth="1"/>
    <col min="14601" max="14602" width="8.59765625" style="95" customWidth="1"/>
    <col min="14603" max="14603" width="8.796875" style="95"/>
    <col min="14604" max="14604" width="9.3984375" style="95" bestFit="1" customWidth="1"/>
    <col min="14605" max="14605" width="6.296875" style="95" bestFit="1" customWidth="1"/>
    <col min="14606" max="14848" width="8.796875" style="95"/>
    <col min="14849" max="14854" width="8.59765625" style="95" customWidth="1"/>
    <col min="14855" max="14855" width="8.69921875" style="95" customWidth="1"/>
    <col min="14856" max="14856" width="8.8984375" style="95" customWidth="1"/>
    <col min="14857" max="14858" width="8.59765625" style="95" customWidth="1"/>
    <col min="14859" max="14859" width="8.796875" style="95"/>
    <col min="14860" max="14860" width="9.3984375" style="95" bestFit="1" customWidth="1"/>
    <col min="14861" max="14861" width="6.296875" style="95" bestFit="1" customWidth="1"/>
    <col min="14862" max="15104" width="8.796875" style="95"/>
    <col min="15105" max="15110" width="8.59765625" style="95" customWidth="1"/>
    <col min="15111" max="15111" width="8.69921875" style="95" customWidth="1"/>
    <col min="15112" max="15112" width="8.8984375" style="95" customWidth="1"/>
    <col min="15113" max="15114" width="8.59765625" style="95" customWidth="1"/>
    <col min="15115" max="15115" width="8.796875" style="95"/>
    <col min="15116" max="15116" width="9.3984375" style="95" bestFit="1" customWidth="1"/>
    <col min="15117" max="15117" width="6.296875" style="95" bestFit="1" customWidth="1"/>
    <col min="15118" max="15360" width="8.796875" style="95"/>
    <col min="15361" max="15366" width="8.59765625" style="95" customWidth="1"/>
    <col min="15367" max="15367" width="8.69921875" style="95" customWidth="1"/>
    <col min="15368" max="15368" width="8.8984375" style="95" customWidth="1"/>
    <col min="15369" max="15370" width="8.59765625" style="95" customWidth="1"/>
    <col min="15371" max="15371" width="8.796875" style="95"/>
    <col min="15372" max="15372" width="9.3984375" style="95" bestFit="1" customWidth="1"/>
    <col min="15373" max="15373" width="6.296875" style="95" bestFit="1" customWidth="1"/>
    <col min="15374" max="15616" width="8.796875" style="95"/>
    <col min="15617" max="15622" width="8.59765625" style="95" customWidth="1"/>
    <col min="15623" max="15623" width="8.69921875" style="95" customWidth="1"/>
    <col min="15624" max="15624" width="8.8984375" style="95" customWidth="1"/>
    <col min="15625" max="15626" width="8.59765625" style="95" customWidth="1"/>
    <col min="15627" max="15627" width="8.796875" style="95"/>
    <col min="15628" max="15628" width="9.3984375" style="95" bestFit="1" customWidth="1"/>
    <col min="15629" max="15629" width="6.296875" style="95" bestFit="1" customWidth="1"/>
    <col min="15630" max="15872" width="8.796875" style="95"/>
    <col min="15873" max="15878" width="8.59765625" style="95" customWidth="1"/>
    <col min="15879" max="15879" width="8.69921875" style="95" customWidth="1"/>
    <col min="15880" max="15880" width="8.8984375" style="95" customWidth="1"/>
    <col min="15881" max="15882" width="8.59765625" style="95" customWidth="1"/>
    <col min="15883" max="15883" width="8.796875" style="95"/>
    <col min="15884" max="15884" width="9.3984375" style="95" bestFit="1" customWidth="1"/>
    <col min="15885" max="15885" width="6.296875" style="95" bestFit="1" customWidth="1"/>
    <col min="15886" max="16128" width="8.796875" style="95"/>
    <col min="16129" max="16134" width="8.59765625" style="95" customWidth="1"/>
    <col min="16135" max="16135" width="8.69921875" style="95" customWidth="1"/>
    <col min="16136" max="16136" width="8.8984375" style="95" customWidth="1"/>
    <col min="16137" max="16138" width="8.59765625" style="95" customWidth="1"/>
    <col min="16139" max="16139" width="8.796875" style="95"/>
    <col min="16140" max="16140" width="9.3984375" style="95" bestFit="1" customWidth="1"/>
    <col min="16141" max="16141" width="6.296875" style="95" bestFit="1" customWidth="1"/>
    <col min="16142" max="16384" width="8.796875" style="95"/>
  </cols>
  <sheetData>
    <row r="1" spans="1:10" ht="18.75">
      <c r="A1" s="145" t="s">
        <v>178</v>
      </c>
      <c r="B1" s="146"/>
      <c r="C1" s="146"/>
      <c r="D1" s="146"/>
      <c r="E1" s="146"/>
      <c r="F1" s="146"/>
      <c r="G1" s="146"/>
      <c r="H1" s="146"/>
      <c r="I1" s="147" t="s">
        <v>179</v>
      </c>
      <c r="J1" s="147" t="s">
        <v>180</v>
      </c>
    </row>
    <row r="2" spans="1:10" ht="18.75">
      <c r="A2" s="145" t="s">
        <v>181</v>
      </c>
      <c r="B2" s="146"/>
      <c r="C2" s="146"/>
      <c r="D2" s="146"/>
      <c r="E2" s="146"/>
      <c r="F2" s="146"/>
      <c r="G2" s="146"/>
      <c r="H2" s="146"/>
      <c r="I2" s="146"/>
      <c r="J2" s="148" t="s">
        <v>182</v>
      </c>
    </row>
    <row r="3" spans="1:10" ht="15" customHeight="1" thickBot="1">
      <c r="A3" s="149" t="s">
        <v>137</v>
      </c>
      <c r="B3" s="150" t="s">
        <v>183</v>
      </c>
      <c r="C3" s="151"/>
      <c r="D3" s="149"/>
      <c r="E3" s="151"/>
      <c r="F3" s="151"/>
      <c r="G3" s="149" t="s">
        <v>134</v>
      </c>
      <c r="H3" s="152">
        <v>45777</v>
      </c>
      <c r="I3" s="149" t="s">
        <v>184</v>
      </c>
      <c r="J3" s="153">
        <v>0.24228009259259259</v>
      </c>
    </row>
    <row r="4" spans="1:10" ht="15" customHeight="1" thickBot="1">
      <c r="A4" s="154" t="s">
        <v>185</v>
      </c>
      <c r="B4" s="154" t="s">
        <v>186</v>
      </c>
      <c r="C4" s="154" t="s">
        <v>175</v>
      </c>
      <c r="D4" s="154" t="s">
        <v>187</v>
      </c>
      <c r="E4" s="155" t="s">
        <v>188</v>
      </c>
      <c r="F4" s="154" t="s">
        <v>189</v>
      </c>
      <c r="G4" s="154" t="s">
        <v>190</v>
      </c>
      <c r="H4" s="154" t="s">
        <v>191</v>
      </c>
      <c r="I4" s="154" t="s">
        <v>192</v>
      </c>
      <c r="J4" s="154" t="s">
        <v>193</v>
      </c>
    </row>
    <row r="5" spans="1:10" ht="15" customHeight="1" thickBot="1">
      <c r="A5" s="156">
        <v>2</v>
      </c>
      <c r="B5" s="157">
        <v>1250</v>
      </c>
      <c r="C5" s="158">
        <v>3600</v>
      </c>
      <c r="D5" s="156" t="s">
        <v>194</v>
      </c>
      <c r="E5" s="159">
        <v>4000</v>
      </c>
      <c r="F5" s="158">
        <v>60</v>
      </c>
      <c r="G5" s="156">
        <v>105</v>
      </c>
      <c r="H5" s="160" t="s">
        <v>195</v>
      </c>
      <c r="I5" s="161" t="s">
        <v>196</v>
      </c>
      <c r="J5" s="156" t="s">
        <v>197</v>
      </c>
    </row>
    <row r="6" spans="1:10" ht="15" customHeight="1" thickBot="1">
      <c r="A6" s="162" t="s">
        <v>198</v>
      </c>
      <c r="B6" s="163"/>
      <c r="C6" s="164"/>
      <c r="D6" s="165" t="s">
        <v>199</v>
      </c>
      <c r="E6" s="166"/>
      <c r="F6" s="167"/>
      <c r="G6" s="168"/>
      <c r="H6" s="169" t="s">
        <v>200</v>
      </c>
      <c r="I6" s="170"/>
      <c r="J6" s="171"/>
    </row>
    <row r="7" spans="1:10" ht="15" customHeight="1" thickBot="1">
      <c r="A7" s="172"/>
      <c r="B7" s="173" t="s">
        <v>201</v>
      </c>
      <c r="C7" s="174" t="s">
        <v>202</v>
      </c>
      <c r="D7" s="172"/>
      <c r="E7" s="175"/>
      <c r="F7" s="173" t="s">
        <v>203</v>
      </c>
      <c r="G7" s="174" t="s">
        <v>204</v>
      </c>
      <c r="H7" s="176" t="s">
        <v>205</v>
      </c>
      <c r="I7" s="177">
        <v>24.543671874999998</v>
      </c>
      <c r="J7" s="178" t="s">
        <v>206</v>
      </c>
    </row>
    <row r="8" spans="1:10" ht="15" customHeight="1">
      <c r="A8" s="176" t="s">
        <v>207</v>
      </c>
      <c r="B8" s="179">
        <v>3.2999999523162842</v>
      </c>
      <c r="C8" s="180"/>
      <c r="D8" s="181"/>
      <c r="E8" s="121"/>
      <c r="F8" s="173"/>
      <c r="G8" s="174"/>
      <c r="H8" s="176" t="s">
        <v>208</v>
      </c>
      <c r="I8" s="177">
        <v>30.456888323673823</v>
      </c>
      <c r="J8" s="182" t="s">
        <v>209</v>
      </c>
    </row>
    <row r="9" spans="1:10" ht="15" customHeight="1" thickBot="1">
      <c r="A9" s="176" t="s">
        <v>210</v>
      </c>
      <c r="B9" s="179">
        <v>0.93000000715255737</v>
      </c>
      <c r="C9" s="180"/>
      <c r="D9" s="176" t="s">
        <v>211</v>
      </c>
      <c r="E9" s="183" t="s">
        <v>212</v>
      </c>
      <c r="F9" s="184" t="s">
        <v>213</v>
      </c>
      <c r="G9" s="185"/>
      <c r="H9" s="176" t="s">
        <v>214</v>
      </c>
      <c r="I9" s="179">
        <v>27.500280099336912</v>
      </c>
      <c r="J9" s="186">
        <v>205.8387378456523</v>
      </c>
    </row>
    <row r="10" spans="1:10" ht="15" customHeight="1">
      <c r="A10" s="176" t="s">
        <v>215</v>
      </c>
      <c r="B10" s="179">
        <v>600</v>
      </c>
      <c r="C10" s="187">
        <v>600</v>
      </c>
      <c r="D10" s="181"/>
      <c r="E10" s="121"/>
      <c r="F10" s="188" t="s">
        <v>216</v>
      </c>
      <c r="G10" s="189" t="s">
        <v>217</v>
      </c>
      <c r="H10" s="176" t="s">
        <v>218</v>
      </c>
      <c r="I10" s="177">
        <v>14.338922976528664</v>
      </c>
      <c r="J10" s="182" t="s">
        <v>219</v>
      </c>
    </row>
    <row r="11" spans="1:10" ht="15" customHeight="1" thickBot="1">
      <c r="A11" s="176" t="s">
        <v>220</v>
      </c>
      <c r="B11" s="179">
        <v>670</v>
      </c>
      <c r="C11" s="187">
        <v>368.40000009536743</v>
      </c>
      <c r="D11" s="176" t="s">
        <v>221</v>
      </c>
      <c r="E11" s="177">
        <v>0.62493749999999992</v>
      </c>
      <c r="F11" s="190"/>
      <c r="G11" s="191"/>
      <c r="H11" s="176" t="s">
        <v>222</v>
      </c>
      <c r="I11" s="177">
        <v>30.038756689833033</v>
      </c>
      <c r="J11" s="186">
        <v>36847.193059419216</v>
      </c>
    </row>
    <row r="12" spans="1:10" ht="15" customHeight="1">
      <c r="A12" s="176" t="s">
        <v>223</v>
      </c>
      <c r="B12" s="179">
        <v>375</v>
      </c>
      <c r="C12" s="187">
        <v>185</v>
      </c>
      <c r="D12" s="176" t="s">
        <v>224</v>
      </c>
      <c r="E12" s="192" t="s">
        <v>38</v>
      </c>
      <c r="F12" s="193" t="s">
        <v>225</v>
      </c>
      <c r="G12" s="194" t="s">
        <v>226</v>
      </c>
      <c r="H12" s="176" t="s">
        <v>227</v>
      </c>
      <c r="I12" s="177">
        <v>1.1789163438632333</v>
      </c>
      <c r="J12" s="182" t="s">
        <v>228</v>
      </c>
    </row>
    <row r="13" spans="1:10" ht="15" customHeight="1" thickBot="1">
      <c r="A13" s="176" t="s">
        <v>229</v>
      </c>
      <c r="B13" s="179">
        <v>85</v>
      </c>
      <c r="C13" s="187">
        <v>55.290000200271606</v>
      </c>
      <c r="D13" s="176" t="s">
        <v>230</v>
      </c>
      <c r="E13" s="139">
        <v>18</v>
      </c>
      <c r="F13" s="193"/>
      <c r="G13" s="194" t="s">
        <v>231</v>
      </c>
      <c r="H13" s="176" t="s">
        <v>232</v>
      </c>
      <c r="I13" s="177">
        <v>1.0139197383619514</v>
      </c>
      <c r="J13" s="186">
        <v>150.89437866210938</v>
      </c>
    </row>
    <row r="14" spans="1:10" ht="15" customHeight="1" thickBot="1">
      <c r="A14" s="195" t="s">
        <v>233</v>
      </c>
      <c r="B14" s="196">
        <v>465</v>
      </c>
      <c r="C14" s="197">
        <v>474.30001831054688</v>
      </c>
      <c r="D14" s="176" t="s">
        <v>234</v>
      </c>
      <c r="E14" s="121" t="s">
        <v>235</v>
      </c>
      <c r="F14" s="121"/>
      <c r="G14" s="194" t="s">
        <v>236</v>
      </c>
      <c r="H14" s="149" t="s">
        <v>237</v>
      </c>
      <c r="I14" s="177">
        <v>1.1953265509204378</v>
      </c>
      <c r="J14" s="182" t="s">
        <v>238</v>
      </c>
    </row>
    <row r="15" spans="1:10" ht="15" customHeight="1" thickBot="1">
      <c r="A15" s="198" t="s">
        <v>239</v>
      </c>
      <c r="B15" s="199"/>
      <c r="C15" s="200"/>
      <c r="D15" s="176" t="s">
        <v>240</v>
      </c>
      <c r="E15" s="121" t="s">
        <v>241</v>
      </c>
      <c r="F15" s="121"/>
      <c r="G15" s="194"/>
      <c r="H15" s="176" t="s">
        <v>242</v>
      </c>
      <c r="I15" s="177">
        <v>0.83141460458883965</v>
      </c>
      <c r="J15" s="186">
        <v>27.777777777777779</v>
      </c>
    </row>
    <row r="16" spans="1:10" ht="15" customHeight="1">
      <c r="A16" s="176" t="s">
        <v>243</v>
      </c>
      <c r="B16" s="121">
        <v>48</v>
      </c>
      <c r="C16" s="180">
        <v>38</v>
      </c>
      <c r="D16" s="176" t="s">
        <v>244</v>
      </c>
      <c r="E16" s="121">
        <v>1</v>
      </c>
      <c r="F16" s="121"/>
      <c r="G16" s="194"/>
      <c r="H16" s="176" t="s">
        <v>245</v>
      </c>
      <c r="I16" s="177">
        <v>0.9554364713800827</v>
      </c>
      <c r="J16" s="201" t="s">
        <v>246</v>
      </c>
    </row>
    <row r="17" spans="1:16" ht="15" customHeight="1" thickBot="1">
      <c r="A17" s="176" t="s">
        <v>247</v>
      </c>
      <c r="B17" s="121" t="s">
        <v>248</v>
      </c>
      <c r="C17" s="180" t="s">
        <v>249</v>
      </c>
      <c r="D17" s="149" t="s">
        <v>250</v>
      </c>
      <c r="E17" s="121" t="s">
        <v>251</v>
      </c>
      <c r="F17" s="121"/>
      <c r="G17" s="194"/>
      <c r="H17" s="176" t="s">
        <v>252</v>
      </c>
      <c r="I17" s="177">
        <v>0.79436383606222771</v>
      </c>
      <c r="J17" s="186">
        <v>638.93716661984854</v>
      </c>
    </row>
    <row r="18" spans="1:16" ht="15" customHeight="1">
      <c r="A18" s="176" t="s">
        <v>253</v>
      </c>
      <c r="B18" s="121" t="s">
        <v>38</v>
      </c>
      <c r="C18" s="187">
        <v>0</v>
      </c>
      <c r="D18" s="176" t="s">
        <v>254</v>
      </c>
      <c r="E18" s="202">
        <v>1295</v>
      </c>
      <c r="F18" s="139">
        <v>770</v>
      </c>
      <c r="G18" s="140"/>
      <c r="H18" s="198" t="s">
        <v>255</v>
      </c>
      <c r="I18" s="203" t="s">
        <v>256</v>
      </c>
      <c r="J18" s="204"/>
    </row>
    <row r="19" spans="1:16" ht="15" customHeight="1">
      <c r="A19" s="176" t="s">
        <v>257</v>
      </c>
      <c r="B19" s="179">
        <v>62.5</v>
      </c>
      <c r="C19" s="187">
        <v>36.409999847412109</v>
      </c>
      <c r="D19" s="176" t="s">
        <v>258</v>
      </c>
      <c r="E19" s="139">
        <v>288</v>
      </c>
      <c r="F19" s="121"/>
      <c r="G19" s="180"/>
      <c r="H19" s="205"/>
      <c r="I19" s="173" t="s">
        <v>259</v>
      </c>
      <c r="J19" s="206" t="s">
        <v>260</v>
      </c>
    </row>
    <row r="20" spans="1:16" ht="15" customHeight="1">
      <c r="A20" s="176" t="s">
        <v>261</v>
      </c>
      <c r="B20" s="179" t="s">
        <v>262</v>
      </c>
      <c r="C20" s="187"/>
      <c r="D20" s="176" t="s">
        <v>263</v>
      </c>
      <c r="E20" s="207">
        <v>0.23306586686987643</v>
      </c>
      <c r="F20" s="121"/>
      <c r="G20" s="180"/>
      <c r="H20" s="176" t="s">
        <v>264</v>
      </c>
      <c r="I20" s="177">
        <v>18.533136367797852</v>
      </c>
      <c r="J20" s="208">
        <v>18.533136367797852</v>
      </c>
    </row>
    <row r="21" spans="1:16" ht="15" customHeight="1">
      <c r="A21" s="176" t="s">
        <v>265</v>
      </c>
      <c r="B21" s="179">
        <v>14.5</v>
      </c>
      <c r="C21" s="187">
        <v>3</v>
      </c>
      <c r="D21" s="176" t="s">
        <v>266</v>
      </c>
      <c r="E21" s="209">
        <v>0.31090711906610236</v>
      </c>
      <c r="F21" s="209">
        <v>0.24771964550018311</v>
      </c>
      <c r="G21" s="210">
        <v>2.7345840158823458E-2</v>
      </c>
      <c r="H21" s="176" t="s">
        <v>267</v>
      </c>
      <c r="I21" s="177">
        <v>16.804136276245117</v>
      </c>
      <c r="J21" s="208">
        <v>14.80540657043457</v>
      </c>
    </row>
    <row r="22" spans="1:16" ht="15" customHeight="1">
      <c r="A22" s="176" t="s">
        <v>268</v>
      </c>
      <c r="B22" s="179">
        <v>2.8299999237060547</v>
      </c>
      <c r="C22" s="187">
        <v>3</v>
      </c>
      <c r="D22" s="176" t="s">
        <v>269</v>
      </c>
      <c r="E22" s="121" t="s">
        <v>270</v>
      </c>
      <c r="F22" s="121" t="s">
        <v>270</v>
      </c>
      <c r="G22" s="180" t="s">
        <v>270</v>
      </c>
      <c r="H22" s="176" t="s">
        <v>271</v>
      </c>
      <c r="I22" s="177">
        <v>4.1274876594543457</v>
      </c>
      <c r="J22" s="208">
        <v>3.7811379432678223</v>
      </c>
    </row>
    <row r="23" spans="1:16" ht="15" customHeight="1">
      <c r="A23" s="176" t="s">
        <v>272</v>
      </c>
      <c r="B23" s="179">
        <v>10.043671607971191</v>
      </c>
      <c r="C23" s="187">
        <v>10.316610336303711</v>
      </c>
      <c r="D23" s="176" t="s">
        <v>273</v>
      </c>
      <c r="E23" s="177">
        <v>1.7419999837875366</v>
      </c>
      <c r="F23" s="177">
        <v>1.7419999837875366</v>
      </c>
      <c r="G23" s="208">
        <v>1.7419999837875366</v>
      </c>
      <c r="H23" s="176" t="s">
        <v>274</v>
      </c>
      <c r="I23" s="177">
        <v>20.842817891464964</v>
      </c>
      <c r="J23" s="174" t="s">
        <v>275</v>
      </c>
    </row>
    <row r="24" spans="1:16" ht="15" customHeight="1">
      <c r="A24" s="176" t="s">
        <v>276</v>
      </c>
      <c r="B24" s="179">
        <v>0</v>
      </c>
      <c r="C24" s="187">
        <v>0.80000001192092896</v>
      </c>
      <c r="D24" s="176" t="s">
        <v>277</v>
      </c>
      <c r="E24" s="177">
        <v>8.8900003433227539</v>
      </c>
      <c r="F24" s="177">
        <v>8.8900003433227539</v>
      </c>
      <c r="G24" s="208">
        <v>8.8900003433227539</v>
      </c>
      <c r="H24" s="176" t="s">
        <v>278</v>
      </c>
      <c r="I24" s="177">
        <v>7.1922226603197199</v>
      </c>
      <c r="J24" s="208">
        <v>6.5805146594898778</v>
      </c>
    </row>
    <row r="25" spans="1:16" ht="15" customHeight="1">
      <c r="A25" s="176" t="s">
        <v>279</v>
      </c>
      <c r="B25" s="121" t="s">
        <v>38</v>
      </c>
      <c r="C25" s="187">
        <v>4.7199997901916504</v>
      </c>
      <c r="D25" s="211" t="s">
        <v>280</v>
      </c>
      <c r="E25" s="183"/>
      <c r="F25" s="183"/>
      <c r="G25" s="212"/>
      <c r="H25" s="176" t="s">
        <v>281</v>
      </c>
      <c r="I25" s="177">
        <v>0.58597260713577271</v>
      </c>
      <c r="J25" s="208">
        <v>1.6182022094726563</v>
      </c>
    </row>
    <row r="26" spans="1:16" ht="15" customHeight="1">
      <c r="A26" s="176" t="s">
        <v>282</v>
      </c>
      <c r="B26" s="183" t="s">
        <v>283</v>
      </c>
      <c r="C26" s="212" t="s">
        <v>284</v>
      </c>
      <c r="D26" s="176" t="s">
        <v>285</v>
      </c>
      <c r="E26" s="179">
        <v>130.45745045706127</v>
      </c>
      <c r="F26" s="179">
        <v>86.26571853149413</v>
      </c>
      <c r="G26" s="187">
        <v>26.449351062353312</v>
      </c>
      <c r="H26" s="176" t="s">
        <v>286</v>
      </c>
      <c r="I26" s="177">
        <v>7.2160944938659668</v>
      </c>
      <c r="J26" s="208">
        <v>6.9008731842041016</v>
      </c>
    </row>
    <row r="27" spans="1:16" ht="15" customHeight="1" thickBot="1">
      <c r="A27" s="176" t="s">
        <v>287</v>
      </c>
      <c r="B27" s="121" t="s">
        <v>288</v>
      </c>
      <c r="C27" s="180" t="s">
        <v>289</v>
      </c>
      <c r="D27" s="213" t="s">
        <v>290</v>
      </c>
      <c r="E27" s="214">
        <v>146.82157366073724</v>
      </c>
      <c r="F27" s="214" t="s">
        <v>38</v>
      </c>
      <c r="G27" s="215" t="s">
        <v>38</v>
      </c>
      <c r="H27" s="213" t="s">
        <v>291</v>
      </c>
      <c r="I27" s="216">
        <v>7.2398467063903809</v>
      </c>
      <c r="J27" s="217">
        <v>7.0880622863769531</v>
      </c>
    </row>
    <row r="28" spans="1:16" ht="15" customHeight="1">
      <c r="A28" s="181" t="s">
        <v>292</v>
      </c>
      <c r="B28" s="151"/>
      <c r="C28" s="218"/>
      <c r="D28" s="198" t="s">
        <v>293</v>
      </c>
      <c r="E28" s="219"/>
      <c r="F28" s="220"/>
      <c r="G28" s="221"/>
      <c r="H28" s="168"/>
      <c r="I28" s="222" t="s">
        <v>294</v>
      </c>
      <c r="J28" s="168"/>
    </row>
    <row r="29" spans="1:16" ht="15" customHeight="1">
      <c r="A29" s="223"/>
      <c r="B29" s="224" t="s">
        <v>295</v>
      </c>
      <c r="C29" s="225">
        <v>33.371993281235319</v>
      </c>
      <c r="D29" s="223"/>
      <c r="E29" s="173" t="s">
        <v>296</v>
      </c>
      <c r="F29" s="173" t="s">
        <v>297</v>
      </c>
      <c r="G29" s="173" t="s">
        <v>298</v>
      </c>
      <c r="H29" s="174" t="s">
        <v>299</v>
      </c>
      <c r="I29" s="173" t="s">
        <v>300</v>
      </c>
      <c r="J29" s="174" t="s">
        <v>301</v>
      </c>
      <c r="M29" s="226" t="str">
        <f>RIGHT(F$41,SEARCH("/",F$41,1)-1)</f>
        <v xml:space="preserve"> 3574.4</v>
      </c>
      <c r="N29" s="95" t="s">
        <v>302</v>
      </c>
      <c r="P29" s="173" t="s">
        <v>303</v>
      </c>
    </row>
    <row r="30" spans="1:16" ht="15" customHeight="1" thickBot="1">
      <c r="A30" s="227"/>
      <c r="B30" s="228" t="s">
        <v>304</v>
      </c>
      <c r="C30" s="229">
        <v>33.399128783152655</v>
      </c>
      <c r="D30" s="176" t="s">
        <v>305</v>
      </c>
      <c r="E30" s="230">
        <v>52.621632500000004</v>
      </c>
      <c r="F30" s="230">
        <v>790.5</v>
      </c>
      <c r="G30" s="230">
        <v>16.605117003003503</v>
      </c>
      <c r="H30" s="231">
        <v>734.36425504094439</v>
      </c>
      <c r="I30" s="139">
        <v>72640.236678750007</v>
      </c>
      <c r="J30" s="140">
        <v>5860.4792327679861</v>
      </c>
      <c r="M30" s="226" t="str">
        <f>RIGHT(E$41,SEARCH("/",E$41,1)-1)</f>
        <v xml:space="preserve"> 3579.5</v>
      </c>
      <c r="N30" s="95" t="s">
        <v>306</v>
      </c>
      <c r="P30" s="232">
        <f>G30*6.4516</f>
        <v>107.1295728565774</v>
      </c>
    </row>
    <row r="31" spans="1:16" ht="15" customHeight="1">
      <c r="A31" s="162" t="s">
        <v>307</v>
      </c>
      <c r="B31" s="233"/>
      <c r="C31" s="234"/>
      <c r="D31" s="176" t="s">
        <v>308</v>
      </c>
      <c r="E31" s="230">
        <v>6.25</v>
      </c>
      <c r="F31" s="230">
        <v>1120.8737514495849</v>
      </c>
      <c r="G31" s="230">
        <v>11.710814865544357</v>
      </c>
      <c r="H31" s="231">
        <v>23.895445290813317</v>
      </c>
      <c r="I31" s="139">
        <v>14010.921893119812</v>
      </c>
      <c r="J31" s="140">
        <v>642.00997631768985</v>
      </c>
      <c r="M31" s="226" t="str">
        <f>RIGHT(D$41,SEARCH("/",D$41,1)-1)</f>
        <v xml:space="preserve"> 3584.4</v>
      </c>
      <c r="N31" s="95" t="s">
        <v>309</v>
      </c>
      <c r="P31" s="232">
        <f>G31*6.4516</f>
        <v>75.553493186545978</v>
      </c>
    </row>
    <row r="32" spans="1:16" ht="15" customHeight="1">
      <c r="A32" s="181" t="s">
        <v>310</v>
      </c>
      <c r="B32" s="177" t="s">
        <v>311</v>
      </c>
      <c r="C32" s="235"/>
      <c r="D32" s="176" t="s">
        <v>312</v>
      </c>
      <c r="E32" s="230">
        <v>23.214779336458562</v>
      </c>
      <c r="F32" s="230">
        <v>816.9659734390832</v>
      </c>
      <c r="G32" s="230">
        <v>16.06718690573841</v>
      </c>
      <c r="H32" s="231">
        <v>281.84455769961221</v>
      </c>
      <c r="I32" s="236" t="s">
        <v>313</v>
      </c>
      <c r="J32" s="140">
        <v>6502.4892090856756</v>
      </c>
      <c r="M32" s="226" t="str">
        <f>RIGHT(C$41,SEARCH("/",C$41,1)-1)</f>
        <v xml:space="preserve"> 3589.3</v>
      </c>
      <c r="N32" s="95" t="s">
        <v>314</v>
      </c>
      <c r="P32" s="232">
        <f>G32*6.4516</f>
        <v>103.65906304106193</v>
      </c>
    </row>
    <row r="33" spans="1:16" ht="15" customHeight="1">
      <c r="A33" s="181" t="s">
        <v>315</v>
      </c>
      <c r="B33" s="177" t="s">
        <v>316</v>
      </c>
      <c r="C33" s="237" t="s">
        <v>317</v>
      </c>
      <c r="D33" s="176" t="s">
        <v>308</v>
      </c>
      <c r="E33" s="230">
        <v>3.6409999847412111</v>
      </c>
      <c r="F33" s="230">
        <v>929.70200956820918</v>
      </c>
      <c r="G33" s="230">
        <v>14.118873419420348</v>
      </c>
      <c r="H33" s="231">
        <v>25.621256784290139</v>
      </c>
      <c r="I33" s="236" t="s">
        <v>318</v>
      </c>
      <c r="J33" s="187" t="s">
        <v>319</v>
      </c>
      <c r="M33" s="226" t="str">
        <f>RIGHT(B$41,SEARCH("/",B$41,1)-1)</f>
        <v xml:space="preserve"> 3594.2</v>
      </c>
      <c r="N33" s="95" t="s">
        <v>320</v>
      </c>
      <c r="P33" s="232">
        <f>G33*6.4516</f>
        <v>91.089323752732312</v>
      </c>
    </row>
    <row r="34" spans="1:16" ht="15" customHeight="1" thickBot="1">
      <c r="A34" s="238" t="s">
        <v>321</v>
      </c>
      <c r="B34" s="216" t="s">
        <v>322</v>
      </c>
      <c r="C34" s="239">
        <v>13.126344990874269</v>
      </c>
      <c r="D34" s="213" t="s">
        <v>207</v>
      </c>
      <c r="E34" s="240">
        <v>0.32999999523162843</v>
      </c>
      <c r="F34" s="241">
        <v>2488.6028248593625</v>
      </c>
      <c r="G34" s="241">
        <v>5.274584140044956</v>
      </c>
      <c r="H34" s="242">
        <v>1385.1367787200579</v>
      </c>
      <c r="I34" s="236" t="s">
        <v>323</v>
      </c>
      <c r="J34" s="187">
        <v>6.0500001907348633</v>
      </c>
      <c r="P34" s="232">
        <f>G34*6.4516</f>
        <v>34.029507037914037</v>
      </c>
    </row>
    <row r="35" spans="1:16" ht="15" customHeight="1">
      <c r="A35" s="198" t="s">
        <v>324</v>
      </c>
      <c r="B35" s="167"/>
      <c r="C35" s="167"/>
      <c r="D35" s="243" t="s">
        <v>325</v>
      </c>
      <c r="E35" s="244" t="s">
        <v>326</v>
      </c>
      <c r="F35" s="168"/>
      <c r="G35" s="245" t="s">
        <v>327</v>
      </c>
      <c r="H35" s="246" t="s">
        <v>328</v>
      </c>
      <c r="I35" s="176" t="s">
        <v>329</v>
      </c>
      <c r="J35" s="140" t="s">
        <v>330</v>
      </c>
    </row>
    <row r="36" spans="1:16" ht="15" customHeight="1">
      <c r="A36" s="181" t="s">
        <v>331</v>
      </c>
      <c r="B36" s="173">
        <v>25</v>
      </c>
      <c r="C36" s="173">
        <v>50</v>
      </c>
      <c r="D36" s="173">
        <v>75</v>
      </c>
      <c r="E36" s="173">
        <v>100</v>
      </c>
      <c r="F36" s="174">
        <v>125</v>
      </c>
      <c r="G36" s="176" t="s">
        <v>332</v>
      </c>
      <c r="H36" s="140" t="s">
        <v>333</v>
      </c>
      <c r="I36" s="176" t="s">
        <v>334</v>
      </c>
      <c r="J36" s="140" t="s">
        <v>335</v>
      </c>
    </row>
    <row r="37" spans="1:16" ht="15" customHeight="1" thickBot="1">
      <c r="A37" s="176" t="s">
        <v>336</v>
      </c>
      <c r="B37" s="247" t="s">
        <v>337</v>
      </c>
      <c r="C37" s="247" t="s">
        <v>338</v>
      </c>
      <c r="D37" s="247" t="s">
        <v>339</v>
      </c>
      <c r="E37" s="247" t="s">
        <v>340</v>
      </c>
      <c r="F37" s="248" t="s">
        <v>341</v>
      </c>
      <c r="G37" s="176" t="s">
        <v>342</v>
      </c>
      <c r="H37" s="140" t="s">
        <v>343</v>
      </c>
      <c r="I37" s="213" t="s">
        <v>344</v>
      </c>
      <c r="J37" s="144" t="s">
        <v>345</v>
      </c>
      <c r="O37" s="249"/>
    </row>
    <row r="38" spans="1:16" ht="15" customHeight="1" thickBot="1">
      <c r="A38" s="176" t="s">
        <v>346</v>
      </c>
      <c r="B38" s="250" t="s">
        <v>347</v>
      </c>
      <c r="C38" s="250" t="s">
        <v>348</v>
      </c>
      <c r="D38" s="250" t="s">
        <v>349</v>
      </c>
      <c r="E38" s="250" t="s">
        <v>350</v>
      </c>
      <c r="F38" s="251" t="s">
        <v>351</v>
      </c>
      <c r="G38" s="238" t="s">
        <v>352</v>
      </c>
      <c r="H38" s="144" t="s">
        <v>353</v>
      </c>
      <c r="I38" s="252" t="s">
        <v>354</v>
      </c>
      <c r="J38" s="253">
        <v>3981.01953125</v>
      </c>
      <c r="L38" s="95" t="str">
        <f>LEFT(E38,SEARCH("/",E38,1)-1)</f>
        <v xml:space="preserve">0.961 </v>
      </c>
      <c r="M38" s="95" t="str">
        <f>RIGHT(E38,SEARCH("/",E38,1)-1)</f>
        <v xml:space="preserve"> 0.959</v>
      </c>
      <c r="N38" s="254">
        <f>M38/L38</f>
        <v>0.99791883454734653</v>
      </c>
      <c r="O38" s="249" t="s">
        <v>355</v>
      </c>
    </row>
    <row r="39" spans="1:16" ht="15" customHeight="1">
      <c r="A39" s="176" t="s">
        <v>356</v>
      </c>
      <c r="B39" s="250" t="s">
        <v>357</v>
      </c>
      <c r="C39" s="250" t="s">
        <v>358</v>
      </c>
      <c r="D39" s="250" t="s">
        <v>359</v>
      </c>
      <c r="E39" s="250" t="s">
        <v>360</v>
      </c>
      <c r="F39" s="251" t="s">
        <v>361</v>
      </c>
      <c r="G39" s="198" t="s">
        <v>362</v>
      </c>
      <c r="H39" s="167"/>
      <c r="I39" s="255" t="s">
        <v>363</v>
      </c>
      <c r="J39" s="256" t="s">
        <v>173</v>
      </c>
      <c r="L39" s="95" t="str">
        <f>LEFT(E39,SEARCH("/",E39,1)-1)</f>
        <v xml:space="preserve">0.928 </v>
      </c>
      <c r="M39" s="95" t="str">
        <f>RIGHT(E39,SEARCH("/",E39,1)-1)</f>
        <v xml:space="preserve"> 0.922</v>
      </c>
      <c r="N39" s="254">
        <f>M39/L39</f>
        <v>0.99353448275862066</v>
      </c>
      <c r="O39" s="249" t="s">
        <v>364</v>
      </c>
    </row>
    <row r="40" spans="1:16" ht="15" customHeight="1">
      <c r="A40" s="176" t="s">
        <v>363</v>
      </c>
      <c r="B40" s="257" t="s">
        <v>365</v>
      </c>
      <c r="C40" s="257" t="s">
        <v>366</v>
      </c>
      <c r="D40" s="257" t="s">
        <v>367</v>
      </c>
      <c r="E40" s="257" t="s">
        <v>196</v>
      </c>
      <c r="F40" s="258" t="s">
        <v>368</v>
      </c>
      <c r="G40" s="259" t="s">
        <v>369</v>
      </c>
      <c r="H40" s="260" t="s">
        <v>370</v>
      </c>
      <c r="I40" s="261"/>
      <c r="J40" s="262"/>
      <c r="L40" s="95" t="str">
        <f>LEFT(E37,SEARCH("/",E37,1)-1)</f>
        <v xml:space="preserve">150.89 </v>
      </c>
      <c r="M40" s="95" t="str">
        <f>RIGHT(E37,SEARCH("/",E37,1)-1)</f>
        <v xml:space="preserve"> 152.24</v>
      </c>
      <c r="N40" s="254">
        <f>M40/L40</f>
        <v>1.0089469149711712</v>
      </c>
      <c r="O40" s="249" t="s">
        <v>371</v>
      </c>
    </row>
    <row r="41" spans="1:16" ht="15" customHeight="1">
      <c r="A41" s="176" t="s">
        <v>175</v>
      </c>
      <c r="B41" s="263" t="s">
        <v>372</v>
      </c>
      <c r="C41" s="263" t="s">
        <v>373</v>
      </c>
      <c r="D41" s="263" t="s">
        <v>374</v>
      </c>
      <c r="E41" s="263" t="s">
        <v>195</v>
      </c>
      <c r="F41" s="264" t="s">
        <v>375</v>
      </c>
      <c r="G41" s="265" t="s">
        <v>376</v>
      </c>
      <c r="H41" s="134" t="s">
        <v>377</v>
      </c>
      <c r="I41" s="266"/>
      <c r="J41" s="267"/>
      <c r="L41" s="95" t="str">
        <f>LEFT(E41,SEARCH("/",E41,1)-1)</f>
        <v xml:space="preserve">3580.1 </v>
      </c>
      <c r="M41" s="95" t="str">
        <f>RIGHT(E41,SEARCH("/",E41,1)-1)</f>
        <v xml:space="preserve"> 3579.5</v>
      </c>
      <c r="N41" s="254">
        <f>M41/L41</f>
        <v>0.99983240691600794</v>
      </c>
      <c r="O41" s="249" t="s">
        <v>175</v>
      </c>
    </row>
    <row r="42" spans="1:16" ht="15" customHeight="1">
      <c r="A42" s="176" t="s">
        <v>378</v>
      </c>
      <c r="B42" s="250">
        <v>16.758998512347567</v>
      </c>
      <c r="C42" s="250">
        <v>16.758998512347567</v>
      </c>
      <c r="D42" s="250">
        <v>16.758998512347567</v>
      </c>
      <c r="E42" s="250">
        <v>16.758998512347567</v>
      </c>
      <c r="F42" s="251">
        <v>16.758998512347567</v>
      </c>
      <c r="G42" s="259" t="s">
        <v>379</v>
      </c>
      <c r="H42" s="260" t="s">
        <v>380</v>
      </c>
      <c r="I42" s="261"/>
      <c r="J42" s="268">
        <v>0.22830646830099927</v>
      </c>
    </row>
    <row r="43" spans="1:16" ht="15" customHeight="1" thickBot="1">
      <c r="A43" s="213" t="s">
        <v>381</v>
      </c>
      <c r="B43" s="269">
        <v>16.758998512347567</v>
      </c>
      <c r="C43" s="270"/>
      <c r="D43" s="271" t="s">
        <v>382</v>
      </c>
      <c r="E43" s="271"/>
      <c r="F43" s="272"/>
      <c r="G43" s="265" t="s">
        <v>376</v>
      </c>
      <c r="H43" s="134" t="s">
        <v>383</v>
      </c>
      <c r="I43" s="266"/>
      <c r="J43" s="267"/>
    </row>
    <row r="44" spans="1:16" ht="15" customHeight="1">
      <c r="A44" s="273" t="s">
        <v>384</v>
      </c>
      <c r="B44" s="274"/>
      <c r="C44" s="151"/>
      <c r="D44" s="151"/>
      <c r="E44" s="273" t="s">
        <v>385</v>
      </c>
      <c r="F44" s="275"/>
      <c r="G44" s="259" t="s">
        <v>386</v>
      </c>
      <c r="H44" s="276">
        <v>3070.991517794535</v>
      </c>
      <c r="I44" s="277">
        <v>3.8083000988023655E-2</v>
      </c>
      <c r="J44" s="268">
        <v>0.64201695896177347</v>
      </c>
    </row>
    <row r="45" spans="1:16" ht="15" customHeight="1">
      <c r="A45" s="176" t="s">
        <v>387</v>
      </c>
      <c r="B45" s="177">
        <v>0.250933438539505</v>
      </c>
      <c r="C45" s="278" t="s">
        <v>388</v>
      </c>
      <c r="D45" s="208">
        <v>6.7216409370303154E-3</v>
      </c>
      <c r="E45" s="176" t="s">
        <v>389</v>
      </c>
      <c r="F45" s="140">
        <v>364.17998899070381</v>
      </c>
      <c r="G45" s="279" t="s">
        <v>376</v>
      </c>
      <c r="H45" s="280" t="s">
        <v>390</v>
      </c>
      <c r="I45" s="281"/>
      <c r="J45" s="212"/>
    </row>
    <row r="46" spans="1:16" ht="15" customHeight="1">
      <c r="A46" s="176" t="s">
        <v>391</v>
      </c>
      <c r="B46" s="177">
        <v>0.144793301820755</v>
      </c>
      <c r="C46" s="278" t="s">
        <v>392</v>
      </c>
      <c r="D46" s="208">
        <v>5.5192792788147926E-3</v>
      </c>
      <c r="E46" s="176" t="s">
        <v>393</v>
      </c>
      <c r="F46" s="140">
        <v>675.86266006804385</v>
      </c>
      <c r="G46" s="265" t="s">
        <v>174</v>
      </c>
      <c r="H46" s="282">
        <v>664.12357219172338</v>
      </c>
      <c r="I46" s="266"/>
      <c r="J46" s="267"/>
      <c r="L46" s="127" t="s">
        <v>394</v>
      </c>
      <c r="M46" s="283">
        <f>B5^0.95</f>
        <v>875.11375951527134</v>
      </c>
    </row>
    <row r="47" spans="1:16" ht="15" customHeight="1">
      <c r="A47" s="176" t="s">
        <v>395</v>
      </c>
      <c r="B47" s="177">
        <v>0.39572674036026001</v>
      </c>
      <c r="C47" s="278" t="s">
        <v>396</v>
      </c>
      <c r="D47" s="208">
        <v>1.4477211982011795E-2</v>
      </c>
      <c r="E47" s="176" t="s">
        <v>397</v>
      </c>
      <c r="F47" s="140">
        <v>289.61128259181618</v>
      </c>
      <c r="G47" s="284" t="s">
        <v>398</v>
      </c>
      <c r="H47" s="276">
        <v>2956.3571196419075</v>
      </c>
      <c r="I47" s="277">
        <v>3.6602620310785552E-2</v>
      </c>
      <c r="J47" s="285">
        <v>0.65563218253415079</v>
      </c>
      <c r="L47" s="127" t="s">
        <v>399</v>
      </c>
      <c r="M47" s="283">
        <f>B5^1.5</f>
        <v>44194.173824159225</v>
      </c>
    </row>
    <row r="48" spans="1:16" ht="15" customHeight="1">
      <c r="A48" s="176" t="s">
        <v>400</v>
      </c>
      <c r="B48" s="177">
        <v>1.2157749384641647E-2</v>
      </c>
      <c r="C48" s="278" t="s">
        <v>313</v>
      </c>
      <c r="D48" s="208">
        <v>3.887588158249855E-2</v>
      </c>
      <c r="E48" s="176" t="s">
        <v>401</v>
      </c>
      <c r="F48" s="140">
        <v>91.922645543758577</v>
      </c>
      <c r="G48" s="286" t="s">
        <v>376</v>
      </c>
      <c r="H48" s="280">
        <v>317.03561604738957</v>
      </c>
      <c r="I48" s="281"/>
      <c r="J48" s="212"/>
      <c r="L48" s="127" t="s">
        <v>402</v>
      </c>
      <c r="M48" s="287">
        <f>IF(A5="",0,(7200/(1000*A5))^2.4)</f>
        <v>21.633460842025631</v>
      </c>
    </row>
    <row r="49" spans="1:13" ht="15" customHeight="1" thickBot="1">
      <c r="A49" s="227"/>
      <c r="B49" s="288"/>
      <c r="C49" s="289" t="s">
        <v>172</v>
      </c>
      <c r="D49" s="217">
        <v>0.96112412214279175</v>
      </c>
      <c r="E49" s="213" t="s">
        <v>403</v>
      </c>
      <c r="F49" s="144">
        <v>231.13248536704484</v>
      </c>
      <c r="G49" s="290" t="s">
        <v>174</v>
      </c>
      <c r="H49" s="282">
        <v>650.842358145052</v>
      </c>
      <c r="I49" s="266"/>
      <c r="J49" s="132"/>
      <c r="L49" s="127" t="s">
        <v>404</v>
      </c>
      <c r="M49" s="287">
        <f>IF(A5="",0,(7200/(1000*A5))^1.8)</f>
        <v>10.031006258647469</v>
      </c>
    </row>
    <row r="50" spans="1:13" ht="15" customHeight="1">
      <c r="A50" s="198" t="s">
        <v>405</v>
      </c>
      <c r="B50" s="167"/>
      <c r="C50" s="167"/>
      <c r="D50" s="167"/>
      <c r="E50" s="167"/>
      <c r="F50" s="168"/>
      <c r="G50" s="198" t="s">
        <v>406</v>
      </c>
      <c r="H50" s="167"/>
      <c r="I50" s="221"/>
      <c r="J50" s="234"/>
      <c r="L50" s="127" t="s">
        <v>81</v>
      </c>
      <c r="M50" s="291">
        <f>IF(A5=2,27,24)</f>
        <v>27</v>
      </c>
    </row>
    <row r="51" spans="1:13" ht="15" customHeight="1">
      <c r="A51" s="176" t="s">
        <v>407</v>
      </c>
      <c r="B51" s="121">
        <v>38</v>
      </c>
      <c r="C51" s="236" t="s">
        <v>408</v>
      </c>
      <c r="D51" s="179" t="s">
        <v>38</v>
      </c>
      <c r="E51" s="236" t="s">
        <v>409</v>
      </c>
      <c r="F51" s="187" t="s">
        <v>38</v>
      </c>
      <c r="G51" s="236" t="s">
        <v>410</v>
      </c>
      <c r="H51" s="209">
        <v>7.2243084187264967E-2</v>
      </c>
      <c r="I51" s="292" t="s">
        <v>411</v>
      </c>
      <c r="J51" s="218"/>
      <c r="L51" s="127" t="s">
        <v>412</v>
      </c>
      <c r="M51" s="291">
        <v>6.8500000000000005E-2</v>
      </c>
    </row>
    <row r="52" spans="1:13" ht="15" customHeight="1">
      <c r="A52" s="176" t="s">
        <v>257</v>
      </c>
      <c r="B52" s="179">
        <v>36.409999847412109</v>
      </c>
      <c r="C52" s="236" t="s">
        <v>413</v>
      </c>
      <c r="D52" s="179" t="s">
        <v>38</v>
      </c>
      <c r="E52" s="236" t="s">
        <v>414</v>
      </c>
      <c r="F52" s="187" t="s">
        <v>38</v>
      </c>
      <c r="G52" s="236" t="s">
        <v>415</v>
      </c>
      <c r="H52" s="179">
        <v>69216.465635836023</v>
      </c>
      <c r="I52" s="293" t="s">
        <v>416</v>
      </c>
      <c r="J52" s="294"/>
      <c r="L52" s="127" t="s">
        <v>417</v>
      </c>
      <c r="M52" s="295">
        <f>F5</f>
        <v>60</v>
      </c>
    </row>
    <row r="53" spans="1:13" ht="15" customHeight="1">
      <c r="A53" s="176" t="s">
        <v>265</v>
      </c>
      <c r="B53" s="179">
        <v>3</v>
      </c>
      <c r="C53" s="236" t="s">
        <v>418</v>
      </c>
      <c r="D53" s="179" t="s">
        <v>38</v>
      </c>
      <c r="E53" s="236" t="s">
        <v>419</v>
      </c>
      <c r="F53" s="187" t="s">
        <v>38</v>
      </c>
      <c r="G53" s="236" t="s">
        <v>420</v>
      </c>
      <c r="H53" s="177">
        <v>37.575836196995056</v>
      </c>
      <c r="I53" s="292" t="s">
        <v>421</v>
      </c>
      <c r="J53" s="218"/>
      <c r="L53" s="127" t="s">
        <v>422</v>
      </c>
      <c r="M53" s="226">
        <f>IF(F5=60,M50*M46/M48-M51*M47/M49,IF(F5&lt;&gt;60,(60/M52)^2*(M50*M46/M48-M51*M47/M49),0))</f>
        <v>790.40591835325313</v>
      </c>
    </row>
    <row r="54" spans="1:13" ht="15" customHeight="1">
      <c r="A54" s="176" t="s">
        <v>268</v>
      </c>
      <c r="B54" s="179">
        <v>3</v>
      </c>
      <c r="C54" s="236" t="s">
        <v>423</v>
      </c>
      <c r="D54" s="179" t="s">
        <v>38</v>
      </c>
      <c r="E54" s="236" t="s">
        <v>419</v>
      </c>
      <c r="F54" s="187" t="s">
        <v>38</v>
      </c>
      <c r="G54" s="236" t="s">
        <v>424</v>
      </c>
      <c r="H54" s="139">
        <v>224450</v>
      </c>
      <c r="I54" s="296" t="s">
        <v>425</v>
      </c>
      <c r="J54" s="267" t="s">
        <v>426</v>
      </c>
    </row>
    <row r="55" spans="1:13" ht="15" customHeight="1">
      <c r="A55" s="176" t="s">
        <v>427</v>
      </c>
      <c r="B55" s="179">
        <v>14.119999885559082</v>
      </c>
      <c r="C55" s="236" t="s">
        <v>428</v>
      </c>
      <c r="D55" s="179" t="s">
        <v>38</v>
      </c>
      <c r="E55" s="236" t="s">
        <v>429</v>
      </c>
      <c r="F55" s="187" t="s">
        <v>38</v>
      </c>
      <c r="G55" s="236" t="s">
        <v>430</v>
      </c>
      <c r="H55" s="179">
        <v>1</v>
      </c>
      <c r="I55" s="292" t="s">
        <v>431</v>
      </c>
      <c r="J55" s="218"/>
    </row>
    <row r="56" spans="1:13" ht="15" customHeight="1" thickBot="1">
      <c r="A56" s="213" t="s">
        <v>432</v>
      </c>
      <c r="B56" s="214" t="s">
        <v>38</v>
      </c>
      <c r="C56" s="297" t="s">
        <v>433</v>
      </c>
      <c r="D56" s="214" t="s">
        <v>38</v>
      </c>
      <c r="E56" s="297" t="s">
        <v>434</v>
      </c>
      <c r="F56" s="215" t="s">
        <v>38</v>
      </c>
      <c r="G56" s="297" t="s">
        <v>435</v>
      </c>
      <c r="H56" s="216">
        <v>0.68740624999999989</v>
      </c>
      <c r="I56" s="298" t="s">
        <v>436</v>
      </c>
      <c r="J56" s="132" t="s">
        <v>437</v>
      </c>
    </row>
    <row r="57" spans="1:13" ht="15" customHeight="1">
      <c r="A57" s="162" t="s">
        <v>438</v>
      </c>
      <c r="B57" s="221"/>
      <c r="C57" s="221"/>
      <c r="D57" s="221"/>
      <c r="E57" s="221"/>
      <c r="F57" s="234"/>
      <c r="G57" s="299"/>
      <c r="H57" s="300"/>
      <c r="I57" s="300"/>
      <c r="J57" s="301"/>
    </row>
    <row r="58" spans="1:13" ht="15" customHeight="1">
      <c r="A58" s="302" t="s">
        <v>363</v>
      </c>
      <c r="B58" s="173" t="s">
        <v>439</v>
      </c>
      <c r="C58" s="174" t="s">
        <v>174</v>
      </c>
      <c r="D58" s="173" t="s">
        <v>363</v>
      </c>
      <c r="E58" s="173" t="s">
        <v>439</v>
      </c>
      <c r="F58" s="174" t="s">
        <v>174</v>
      </c>
      <c r="G58" s="303"/>
      <c r="H58" s="304"/>
      <c r="I58" s="304"/>
      <c r="J58" s="305"/>
    </row>
    <row r="59" spans="1:13" ht="15" customHeight="1">
      <c r="A59" s="306">
        <v>0</v>
      </c>
      <c r="B59" s="280">
        <v>0</v>
      </c>
      <c r="C59" s="307">
        <v>0</v>
      </c>
      <c r="D59" s="308">
        <v>0.7</v>
      </c>
      <c r="E59" s="280">
        <v>149.63994195476928</v>
      </c>
      <c r="F59" s="307">
        <v>999.1475830078125</v>
      </c>
      <c r="G59" s="303"/>
      <c r="H59" s="304"/>
      <c r="I59" s="304"/>
      <c r="J59" s="305"/>
    </row>
    <row r="60" spans="1:13" ht="15" customHeight="1">
      <c r="A60" s="309">
        <v>0.01</v>
      </c>
      <c r="B60" s="280">
        <v>172.3902508155191</v>
      </c>
      <c r="C60" s="307">
        <v>255.12759399414063</v>
      </c>
      <c r="D60" s="308">
        <v>0.8</v>
      </c>
      <c r="E60" s="280">
        <v>143.90813520846527</v>
      </c>
      <c r="F60" s="307">
        <v>1004.1593017578125</v>
      </c>
      <c r="G60" s="303"/>
      <c r="H60" s="304"/>
      <c r="I60" s="304"/>
      <c r="J60" s="305"/>
    </row>
    <row r="61" spans="1:13" ht="15" customHeight="1">
      <c r="A61" s="309">
        <v>0.05</v>
      </c>
      <c r="B61" s="280">
        <v>338.01356311847553</v>
      </c>
      <c r="C61" s="307">
        <v>773.72955322265625</v>
      </c>
      <c r="D61" s="308">
        <v>0.9</v>
      </c>
      <c r="E61" s="280">
        <v>138.62258954471417</v>
      </c>
      <c r="F61" s="307">
        <v>1008.3631591796875</v>
      </c>
      <c r="G61" s="303"/>
      <c r="H61" s="304"/>
      <c r="I61" s="304"/>
      <c r="J61" s="305"/>
    </row>
    <row r="62" spans="1:13" ht="15" customHeight="1">
      <c r="A62" s="306">
        <v>0.1</v>
      </c>
      <c r="B62" s="280">
        <v>259.024792450593</v>
      </c>
      <c r="C62" s="307">
        <v>909.608642578125</v>
      </c>
      <c r="D62" s="310">
        <v>1</v>
      </c>
      <c r="E62" s="280">
        <v>133.89956264072188</v>
      </c>
      <c r="F62" s="307">
        <v>1012.2077026367188</v>
      </c>
      <c r="G62" s="303"/>
      <c r="H62" s="304"/>
      <c r="I62" s="304"/>
      <c r="J62" s="305"/>
    </row>
    <row r="63" spans="1:13" ht="15" customHeight="1">
      <c r="A63" s="306">
        <v>0.15</v>
      </c>
      <c r="B63" s="280">
        <v>214.72144398768665</v>
      </c>
      <c r="C63" s="307">
        <v>945.1734619140625</v>
      </c>
      <c r="D63" s="310"/>
      <c r="E63" s="280"/>
      <c r="F63" s="307"/>
      <c r="G63" s="303"/>
      <c r="H63" s="304"/>
      <c r="I63" s="304"/>
      <c r="J63" s="305"/>
    </row>
    <row r="64" spans="1:13" ht="15" customHeight="1">
      <c r="A64" s="306">
        <v>0.2</v>
      </c>
      <c r="B64" s="280">
        <v>193.62575739598589</v>
      </c>
      <c r="C64" s="307">
        <v>959.37158203125</v>
      </c>
      <c r="D64" s="310"/>
      <c r="E64" s="280"/>
      <c r="F64" s="307"/>
      <c r="G64" s="303"/>
      <c r="H64" s="304"/>
      <c r="I64" s="304"/>
      <c r="J64" s="305"/>
    </row>
    <row r="65" spans="1:10" ht="15" customHeight="1">
      <c r="A65" s="306">
        <v>0.3</v>
      </c>
      <c r="B65" s="280">
        <v>176.61341845816253</v>
      </c>
      <c r="C65" s="307">
        <v>972.1224365234375</v>
      </c>
      <c r="D65" s="310"/>
      <c r="E65" s="280"/>
      <c r="F65" s="307"/>
      <c r="G65" s="303"/>
      <c r="H65" s="304"/>
      <c r="I65" s="304"/>
      <c r="J65" s="305"/>
    </row>
    <row r="66" spans="1:10" ht="15" customHeight="1">
      <c r="A66" s="306">
        <v>0.4</v>
      </c>
      <c r="B66" s="280">
        <v>168.7074349112838</v>
      </c>
      <c r="C66" s="307">
        <v>980.104248046875</v>
      </c>
      <c r="D66" s="310"/>
      <c r="E66" s="280"/>
      <c r="F66" s="307"/>
      <c r="G66" s="303"/>
      <c r="H66" s="304"/>
      <c r="I66" s="304"/>
      <c r="J66" s="305"/>
    </row>
    <row r="67" spans="1:10" ht="15" customHeight="1">
      <c r="A67" s="306">
        <v>0.5</v>
      </c>
      <c r="B67" s="280">
        <v>162.16014212471745</v>
      </c>
      <c r="C67" s="307">
        <v>987.08966064453125</v>
      </c>
      <c r="D67" s="310"/>
      <c r="E67" s="280"/>
      <c r="F67" s="307"/>
      <c r="G67" s="303"/>
      <c r="H67" s="304"/>
      <c r="I67" s="304"/>
      <c r="J67" s="305"/>
    </row>
    <row r="68" spans="1:10" ht="15" customHeight="1" thickBot="1">
      <c r="A68" s="311">
        <v>0.6</v>
      </c>
      <c r="B68" s="312">
        <v>155.78203263158386</v>
      </c>
      <c r="C68" s="313">
        <v>993.45465087890625</v>
      </c>
      <c r="D68" s="314"/>
      <c r="E68" s="312"/>
      <c r="F68" s="313"/>
      <c r="G68" s="315"/>
      <c r="H68" s="316"/>
      <c r="I68" s="316"/>
      <c r="J68" s="317"/>
    </row>
    <row r="69" spans="1:10" ht="15" customHeight="1">
      <c r="A69" s="318"/>
      <c r="B69" s="319"/>
      <c r="C69" s="304"/>
      <c r="D69" s="304"/>
      <c r="E69" s="304"/>
      <c r="F69" s="304"/>
      <c r="G69" s="304"/>
      <c r="H69" s="304"/>
      <c r="I69" s="304"/>
      <c r="J69" s="304"/>
    </row>
    <row r="70" spans="1:10" ht="15" customHeight="1">
      <c r="A70" s="304"/>
      <c r="B70" s="304"/>
      <c r="C70" s="304"/>
      <c r="D70" s="304"/>
      <c r="E70" s="304"/>
      <c r="F70" s="304"/>
      <c r="G70" s="304"/>
      <c r="H70" s="304"/>
      <c r="I70" s="304"/>
      <c r="J70" s="304"/>
    </row>
    <row r="71" spans="1:10">
      <c r="A71" s="151"/>
      <c r="B71" s="151"/>
      <c r="C71" s="151"/>
      <c r="D71" s="151"/>
      <c r="E71" s="151"/>
      <c r="F71" s="151"/>
      <c r="G71" s="151"/>
      <c r="H71" s="151"/>
      <c r="I71" s="151"/>
      <c r="J71" s="151"/>
    </row>
  </sheetData>
  <printOptions horizontalCentered="1"/>
  <pageMargins left="0.86614173228346503" right="0" top="0.23622047244094499" bottom="0.23622047244094499" header="0" footer="0"/>
  <pageSetup scale="74"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100EA-3C71-4F33-AC80-76D90637271C}">
  <sheetPr>
    <pageSetUpPr fitToPage="1"/>
  </sheetPr>
  <dimension ref="A1:Z53"/>
  <sheetViews>
    <sheetView tabSelected="1" topLeftCell="A21" zoomScaleNormal="100" workbookViewId="0">
      <selection activeCell="K49" sqref="K49"/>
    </sheetView>
  </sheetViews>
  <sheetFormatPr defaultRowHeight="15.75"/>
  <cols>
    <col min="1" max="1" width="8.296875" style="465" customWidth="1"/>
    <col min="2" max="2" width="4.296875" style="465" customWidth="1"/>
    <col min="3" max="3" width="5.19921875" style="465" customWidth="1"/>
    <col min="4" max="5" width="8.796875" style="465" customWidth="1"/>
    <col min="6" max="6" width="6.59765625" style="465" customWidth="1"/>
    <col min="7" max="7" width="4" style="465" customWidth="1"/>
    <col min="8" max="8" width="5.5" style="465" customWidth="1"/>
    <col min="9" max="9" width="4.59765625" style="465" customWidth="1"/>
    <col min="10" max="11" width="8.3984375" style="465" customWidth="1"/>
    <col min="12" max="26" width="8.796875" style="320"/>
    <col min="27" max="256" width="8.796875" style="321"/>
    <col min="257" max="257" width="8.296875" style="321" customWidth="1"/>
    <col min="258" max="258" width="4.296875" style="321" customWidth="1"/>
    <col min="259" max="259" width="5.19921875" style="321" customWidth="1"/>
    <col min="260" max="261" width="8.796875" style="321"/>
    <col min="262" max="262" width="6.59765625" style="321" customWidth="1"/>
    <col min="263" max="263" width="4" style="321" customWidth="1"/>
    <col min="264" max="264" width="5.5" style="321" customWidth="1"/>
    <col min="265" max="265" width="4.59765625" style="321" customWidth="1"/>
    <col min="266" max="267" width="8.3984375" style="321" customWidth="1"/>
    <col min="268" max="512" width="8.796875" style="321"/>
    <col min="513" max="513" width="8.296875" style="321" customWidth="1"/>
    <col min="514" max="514" width="4.296875" style="321" customWidth="1"/>
    <col min="515" max="515" width="5.19921875" style="321" customWidth="1"/>
    <col min="516" max="517" width="8.796875" style="321"/>
    <col min="518" max="518" width="6.59765625" style="321" customWidth="1"/>
    <col min="519" max="519" width="4" style="321" customWidth="1"/>
    <col min="520" max="520" width="5.5" style="321" customWidth="1"/>
    <col min="521" max="521" width="4.59765625" style="321" customWidth="1"/>
    <col min="522" max="523" width="8.3984375" style="321" customWidth="1"/>
    <col min="524" max="768" width="8.796875" style="321"/>
    <col min="769" max="769" width="8.296875" style="321" customWidth="1"/>
    <col min="770" max="770" width="4.296875" style="321" customWidth="1"/>
    <col min="771" max="771" width="5.19921875" style="321" customWidth="1"/>
    <col min="772" max="773" width="8.796875" style="321"/>
    <col min="774" max="774" width="6.59765625" style="321" customWidth="1"/>
    <col min="775" max="775" width="4" style="321" customWidth="1"/>
    <col min="776" max="776" width="5.5" style="321" customWidth="1"/>
    <col min="777" max="777" width="4.59765625" style="321" customWidth="1"/>
    <col min="778" max="779" width="8.3984375" style="321" customWidth="1"/>
    <col min="780" max="1024" width="8.796875" style="321"/>
    <col min="1025" max="1025" width="8.296875" style="321" customWidth="1"/>
    <col min="1026" max="1026" width="4.296875" style="321" customWidth="1"/>
    <col min="1027" max="1027" width="5.19921875" style="321" customWidth="1"/>
    <col min="1028" max="1029" width="8.796875" style="321"/>
    <col min="1030" max="1030" width="6.59765625" style="321" customWidth="1"/>
    <col min="1031" max="1031" width="4" style="321" customWidth="1"/>
    <col min="1032" max="1032" width="5.5" style="321" customWidth="1"/>
    <col min="1033" max="1033" width="4.59765625" style="321" customWidth="1"/>
    <col min="1034" max="1035" width="8.3984375" style="321" customWidth="1"/>
    <col min="1036" max="1280" width="8.796875" style="321"/>
    <col min="1281" max="1281" width="8.296875" style="321" customWidth="1"/>
    <col min="1282" max="1282" width="4.296875" style="321" customWidth="1"/>
    <col min="1283" max="1283" width="5.19921875" style="321" customWidth="1"/>
    <col min="1284" max="1285" width="8.796875" style="321"/>
    <col min="1286" max="1286" width="6.59765625" style="321" customWidth="1"/>
    <col min="1287" max="1287" width="4" style="321" customWidth="1"/>
    <col min="1288" max="1288" width="5.5" style="321" customWidth="1"/>
    <col min="1289" max="1289" width="4.59765625" style="321" customWidth="1"/>
    <col min="1290" max="1291" width="8.3984375" style="321" customWidth="1"/>
    <col min="1292" max="1536" width="8.796875" style="321"/>
    <col min="1537" max="1537" width="8.296875" style="321" customWidth="1"/>
    <col min="1538" max="1538" width="4.296875" style="321" customWidth="1"/>
    <col min="1539" max="1539" width="5.19921875" style="321" customWidth="1"/>
    <col min="1540" max="1541" width="8.796875" style="321"/>
    <col min="1542" max="1542" width="6.59765625" style="321" customWidth="1"/>
    <col min="1543" max="1543" width="4" style="321" customWidth="1"/>
    <col min="1544" max="1544" width="5.5" style="321" customWidth="1"/>
    <col min="1545" max="1545" width="4.59765625" style="321" customWidth="1"/>
    <col min="1546" max="1547" width="8.3984375" style="321" customWidth="1"/>
    <col min="1548" max="1792" width="8.796875" style="321"/>
    <col min="1793" max="1793" width="8.296875" style="321" customWidth="1"/>
    <col min="1794" max="1794" width="4.296875" style="321" customWidth="1"/>
    <col min="1795" max="1795" width="5.19921875" style="321" customWidth="1"/>
    <col min="1796" max="1797" width="8.796875" style="321"/>
    <col min="1798" max="1798" width="6.59765625" style="321" customWidth="1"/>
    <col min="1799" max="1799" width="4" style="321" customWidth="1"/>
    <col min="1800" max="1800" width="5.5" style="321" customWidth="1"/>
    <col min="1801" max="1801" width="4.59765625" style="321" customWidth="1"/>
    <col min="1802" max="1803" width="8.3984375" style="321" customWidth="1"/>
    <col min="1804" max="2048" width="8.796875" style="321"/>
    <col min="2049" max="2049" width="8.296875" style="321" customWidth="1"/>
    <col min="2050" max="2050" width="4.296875" style="321" customWidth="1"/>
    <col min="2051" max="2051" width="5.19921875" style="321" customWidth="1"/>
    <col min="2052" max="2053" width="8.796875" style="321"/>
    <col min="2054" max="2054" width="6.59765625" style="321" customWidth="1"/>
    <col min="2055" max="2055" width="4" style="321" customWidth="1"/>
    <col min="2056" max="2056" width="5.5" style="321" customWidth="1"/>
    <col min="2057" max="2057" width="4.59765625" style="321" customWidth="1"/>
    <col min="2058" max="2059" width="8.3984375" style="321" customWidth="1"/>
    <col min="2060" max="2304" width="8.796875" style="321"/>
    <col min="2305" max="2305" width="8.296875" style="321" customWidth="1"/>
    <col min="2306" max="2306" width="4.296875" style="321" customWidth="1"/>
    <col min="2307" max="2307" width="5.19921875" style="321" customWidth="1"/>
    <col min="2308" max="2309" width="8.796875" style="321"/>
    <col min="2310" max="2310" width="6.59765625" style="321" customWidth="1"/>
    <col min="2311" max="2311" width="4" style="321" customWidth="1"/>
    <col min="2312" max="2312" width="5.5" style="321" customWidth="1"/>
    <col min="2313" max="2313" width="4.59765625" style="321" customWidth="1"/>
    <col min="2314" max="2315" width="8.3984375" style="321" customWidth="1"/>
    <col min="2316" max="2560" width="8.796875" style="321"/>
    <col min="2561" max="2561" width="8.296875" style="321" customWidth="1"/>
    <col min="2562" max="2562" width="4.296875" style="321" customWidth="1"/>
    <col min="2563" max="2563" width="5.19921875" style="321" customWidth="1"/>
    <col min="2564" max="2565" width="8.796875" style="321"/>
    <col min="2566" max="2566" width="6.59765625" style="321" customWidth="1"/>
    <col min="2567" max="2567" width="4" style="321" customWidth="1"/>
    <col min="2568" max="2568" width="5.5" style="321" customWidth="1"/>
    <col min="2569" max="2569" width="4.59765625" style="321" customWidth="1"/>
    <col min="2570" max="2571" width="8.3984375" style="321" customWidth="1"/>
    <col min="2572" max="2816" width="8.796875" style="321"/>
    <col min="2817" max="2817" width="8.296875" style="321" customWidth="1"/>
    <col min="2818" max="2818" width="4.296875" style="321" customWidth="1"/>
    <col min="2819" max="2819" width="5.19921875" style="321" customWidth="1"/>
    <col min="2820" max="2821" width="8.796875" style="321"/>
    <col min="2822" max="2822" width="6.59765625" style="321" customWidth="1"/>
    <col min="2823" max="2823" width="4" style="321" customWidth="1"/>
    <col min="2824" max="2824" width="5.5" style="321" customWidth="1"/>
    <col min="2825" max="2825" width="4.59765625" style="321" customWidth="1"/>
    <col min="2826" max="2827" width="8.3984375" style="321" customWidth="1"/>
    <col min="2828" max="3072" width="8.796875" style="321"/>
    <col min="3073" max="3073" width="8.296875" style="321" customWidth="1"/>
    <col min="3074" max="3074" width="4.296875" style="321" customWidth="1"/>
    <col min="3075" max="3075" width="5.19921875" style="321" customWidth="1"/>
    <col min="3076" max="3077" width="8.796875" style="321"/>
    <col min="3078" max="3078" width="6.59765625" style="321" customWidth="1"/>
    <col min="3079" max="3079" width="4" style="321" customWidth="1"/>
    <col min="3080" max="3080" width="5.5" style="321" customWidth="1"/>
    <col min="3081" max="3081" width="4.59765625" style="321" customWidth="1"/>
    <col min="3082" max="3083" width="8.3984375" style="321" customWidth="1"/>
    <col min="3084" max="3328" width="8.796875" style="321"/>
    <col min="3329" max="3329" width="8.296875" style="321" customWidth="1"/>
    <col min="3330" max="3330" width="4.296875" style="321" customWidth="1"/>
    <col min="3331" max="3331" width="5.19921875" style="321" customWidth="1"/>
    <col min="3332" max="3333" width="8.796875" style="321"/>
    <col min="3334" max="3334" width="6.59765625" style="321" customWidth="1"/>
    <col min="3335" max="3335" width="4" style="321" customWidth="1"/>
    <col min="3336" max="3336" width="5.5" style="321" customWidth="1"/>
    <col min="3337" max="3337" width="4.59765625" style="321" customWidth="1"/>
    <col min="3338" max="3339" width="8.3984375" style="321" customWidth="1"/>
    <col min="3340" max="3584" width="8.796875" style="321"/>
    <col min="3585" max="3585" width="8.296875" style="321" customWidth="1"/>
    <col min="3586" max="3586" width="4.296875" style="321" customWidth="1"/>
    <col min="3587" max="3587" width="5.19921875" style="321" customWidth="1"/>
    <col min="3588" max="3589" width="8.796875" style="321"/>
    <col min="3590" max="3590" width="6.59765625" style="321" customWidth="1"/>
    <col min="3591" max="3591" width="4" style="321" customWidth="1"/>
    <col min="3592" max="3592" width="5.5" style="321" customWidth="1"/>
    <col min="3593" max="3593" width="4.59765625" style="321" customWidth="1"/>
    <col min="3594" max="3595" width="8.3984375" style="321" customWidth="1"/>
    <col min="3596" max="3840" width="8.796875" style="321"/>
    <col min="3841" max="3841" width="8.296875" style="321" customWidth="1"/>
    <col min="3842" max="3842" width="4.296875" style="321" customWidth="1"/>
    <col min="3843" max="3843" width="5.19921875" style="321" customWidth="1"/>
    <col min="3844" max="3845" width="8.796875" style="321"/>
    <col min="3846" max="3846" width="6.59765625" style="321" customWidth="1"/>
    <col min="3847" max="3847" width="4" style="321" customWidth="1"/>
    <col min="3848" max="3848" width="5.5" style="321" customWidth="1"/>
    <col min="3849" max="3849" width="4.59765625" style="321" customWidth="1"/>
    <col min="3850" max="3851" width="8.3984375" style="321" customWidth="1"/>
    <col min="3852" max="4096" width="8.796875" style="321"/>
    <col min="4097" max="4097" width="8.296875" style="321" customWidth="1"/>
    <col min="4098" max="4098" width="4.296875" style="321" customWidth="1"/>
    <col min="4099" max="4099" width="5.19921875" style="321" customWidth="1"/>
    <col min="4100" max="4101" width="8.796875" style="321"/>
    <col min="4102" max="4102" width="6.59765625" style="321" customWidth="1"/>
    <col min="4103" max="4103" width="4" style="321" customWidth="1"/>
    <col min="4104" max="4104" width="5.5" style="321" customWidth="1"/>
    <col min="4105" max="4105" width="4.59765625" style="321" customWidth="1"/>
    <col min="4106" max="4107" width="8.3984375" style="321" customWidth="1"/>
    <col min="4108" max="4352" width="8.796875" style="321"/>
    <col min="4353" max="4353" width="8.296875" style="321" customWidth="1"/>
    <col min="4354" max="4354" width="4.296875" style="321" customWidth="1"/>
    <col min="4355" max="4355" width="5.19921875" style="321" customWidth="1"/>
    <col min="4356" max="4357" width="8.796875" style="321"/>
    <col min="4358" max="4358" width="6.59765625" style="321" customWidth="1"/>
    <col min="4359" max="4359" width="4" style="321" customWidth="1"/>
    <col min="4360" max="4360" width="5.5" style="321" customWidth="1"/>
    <col min="4361" max="4361" width="4.59765625" style="321" customWidth="1"/>
    <col min="4362" max="4363" width="8.3984375" style="321" customWidth="1"/>
    <col min="4364" max="4608" width="8.796875" style="321"/>
    <col min="4609" max="4609" width="8.296875" style="321" customWidth="1"/>
    <col min="4610" max="4610" width="4.296875" style="321" customWidth="1"/>
    <col min="4611" max="4611" width="5.19921875" style="321" customWidth="1"/>
    <col min="4612" max="4613" width="8.796875" style="321"/>
    <col min="4614" max="4614" width="6.59765625" style="321" customWidth="1"/>
    <col min="4615" max="4615" width="4" style="321" customWidth="1"/>
    <col min="4616" max="4616" width="5.5" style="321" customWidth="1"/>
    <col min="4617" max="4617" width="4.59765625" style="321" customWidth="1"/>
    <col min="4618" max="4619" width="8.3984375" style="321" customWidth="1"/>
    <col min="4620" max="4864" width="8.796875" style="321"/>
    <col min="4865" max="4865" width="8.296875" style="321" customWidth="1"/>
    <col min="4866" max="4866" width="4.296875" style="321" customWidth="1"/>
    <col min="4867" max="4867" width="5.19921875" style="321" customWidth="1"/>
    <col min="4868" max="4869" width="8.796875" style="321"/>
    <col min="4870" max="4870" width="6.59765625" style="321" customWidth="1"/>
    <col min="4871" max="4871" width="4" style="321" customWidth="1"/>
    <col min="4872" max="4872" width="5.5" style="321" customWidth="1"/>
    <col min="4873" max="4873" width="4.59765625" style="321" customWidth="1"/>
    <col min="4874" max="4875" width="8.3984375" style="321" customWidth="1"/>
    <col min="4876" max="5120" width="8.796875" style="321"/>
    <col min="5121" max="5121" width="8.296875" style="321" customWidth="1"/>
    <col min="5122" max="5122" width="4.296875" style="321" customWidth="1"/>
    <col min="5123" max="5123" width="5.19921875" style="321" customWidth="1"/>
    <col min="5124" max="5125" width="8.796875" style="321"/>
    <col min="5126" max="5126" width="6.59765625" style="321" customWidth="1"/>
    <col min="5127" max="5127" width="4" style="321" customWidth="1"/>
    <col min="5128" max="5128" width="5.5" style="321" customWidth="1"/>
    <col min="5129" max="5129" width="4.59765625" style="321" customWidth="1"/>
    <col min="5130" max="5131" width="8.3984375" style="321" customWidth="1"/>
    <col min="5132" max="5376" width="8.796875" style="321"/>
    <col min="5377" max="5377" width="8.296875" style="321" customWidth="1"/>
    <col min="5378" max="5378" width="4.296875" style="321" customWidth="1"/>
    <col min="5379" max="5379" width="5.19921875" style="321" customWidth="1"/>
    <col min="5380" max="5381" width="8.796875" style="321"/>
    <col min="5382" max="5382" width="6.59765625" style="321" customWidth="1"/>
    <col min="5383" max="5383" width="4" style="321" customWidth="1"/>
    <col min="5384" max="5384" width="5.5" style="321" customWidth="1"/>
    <col min="5385" max="5385" width="4.59765625" style="321" customWidth="1"/>
    <col min="5386" max="5387" width="8.3984375" style="321" customWidth="1"/>
    <col min="5388" max="5632" width="8.796875" style="321"/>
    <col min="5633" max="5633" width="8.296875" style="321" customWidth="1"/>
    <col min="5634" max="5634" width="4.296875" style="321" customWidth="1"/>
    <col min="5635" max="5635" width="5.19921875" style="321" customWidth="1"/>
    <col min="5636" max="5637" width="8.796875" style="321"/>
    <col min="5638" max="5638" width="6.59765625" style="321" customWidth="1"/>
    <col min="5639" max="5639" width="4" style="321" customWidth="1"/>
    <col min="5640" max="5640" width="5.5" style="321" customWidth="1"/>
    <col min="5641" max="5641" width="4.59765625" style="321" customWidth="1"/>
    <col min="5642" max="5643" width="8.3984375" style="321" customWidth="1"/>
    <col min="5644" max="5888" width="8.796875" style="321"/>
    <col min="5889" max="5889" width="8.296875" style="321" customWidth="1"/>
    <col min="5890" max="5890" width="4.296875" style="321" customWidth="1"/>
    <col min="5891" max="5891" width="5.19921875" style="321" customWidth="1"/>
    <col min="5892" max="5893" width="8.796875" style="321"/>
    <col min="5894" max="5894" width="6.59765625" style="321" customWidth="1"/>
    <col min="5895" max="5895" width="4" style="321" customWidth="1"/>
    <col min="5896" max="5896" width="5.5" style="321" customWidth="1"/>
    <col min="5897" max="5897" width="4.59765625" style="321" customWidth="1"/>
    <col min="5898" max="5899" width="8.3984375" style="321" customWidth="1"/>
    <col min="5900" max="6144" width="8.796875" style="321"/>
    <col min="6145" max="6145" width="8.296875" style="321" customWidth="1"/>
    <col min="6146" max="6146" width="4.296875" style="321" customWidth="1"/>
    <col min="6147" max="6147" width="5.19921875" style="321" customWidth="1"/>
    <col min="6148" max="6149" width="8.796875" style="321"/>
    <col min="6150" max="6150" width="6.59765625" style="321" customWidth="1"/>
    <col min="6151" max="6151" width="4" style="321" customWidth="1"/>
    <col min="6152" max="6152" width="5.5" style="321" customWidth="1"/>
    <col min="6153" max="6153" width="4.59765625" style="321" customWidth="1"/>
    <col min="6154" max="6155" width="8.3984375" style="321" customWidth="1"/>
    <col min="6156" max="6400" width="8.796875" style="321"/>
    <col min="6401" max="6401" width="8.296875" style="321" customWidth="1"/>
    <col min="6402" max="6402" width="4.296875" style="321" customWidth="1"/>
    <col min="6403" max="6403" width="5.19921875" style="321" customWidth="1"/>
    <col min="6404" max="6405" width="8.796875" style="321"/>
    <col min="6406" max="6406" width="6.59765625" style="321" customWidth="1"/>
    <col min="6407" max="6407" width="4" style="321" customWidth="1"/>
    <col min="6408" max="6408" width="5.5" style="321" customWidth="1"/>
    <col min="6409" max="6409" width="4.59765625" style="321" customWidth="1"/>
    <col min="6410" max="6411" width="8.3984375" style="321" customWidth="1"/>
    <col min="6412" max="6656" width="8.796875" style="321"/>
    <col min="6657" max="6657" width="8.296875" style="321" customWidth="1"/>
    <col min="6658" max="6658" width="4.296875" style="321" customWidth="1"/>
    <col min="6659" max="6659" width="5.19921875" style="321" customWidth="1"/>
    <col min="6660" max="6661" width="8.796875" style="321"/>
    <col min="6662" max="6662" width="6.59765625" style="321" customWidth="1"/>
    <col min="6663" max="6663" width="4" style="321" customWidth="1"/>
    <col min="6664" max="6664" width="5.5" style="321" customWidth="1"/>
    <col min="6665" max="6665" width="4.59765625" style="321" customWidth="1"/>
    <col min="6666" max="6667" width="8.3984375" style="321" customWidth="1"/>
    <col min="6668" max="6912" width="8.796875" style="321"/>
    <col min="6913" max="6913" width="8.296875" style="321" customWidth="1"/>
    <col min="6914" max="6914" width="4.296875" style="321" customWidth="1"/>
    <col min="6915" max="6915" width="5.19921875" style="321" customWidth="1"/>
    <col min="6916" max="6917" width="8.796875" style="321"/>
    <col min="6918" max="6918" width="6.59765625" style="321" customWidth="1"/>
    <col min="6919" max="6919" width="4" style="321" customWidth="1"/>
    <col min="6920" max="6920" width="5.5" style="321" customWidth="1"/>
    <col min="6921" max="6921" width="4.59765625" style="321" customWidth="1"/>
    <col min="6922" max="6923" width="8.3984375" style="321" customWidth="1"/>
    <col min="6924" max="7168" width="8.796875" style="321"/>
    <col min="7169" max="7169" width="8.296875" style="321" customWidth="1"/>
    <col min="7170" max="7170" width="4.296875" style="321" customWidth="1"/>
    <col min="7171" max="7171" width="5.19921875" style="321" customWidth="1"/>
    <col min="7172" max="7173" width="8.796875" style="321"/>
    <col min="7174" max="7174" width="6.59765625" style="321" customWidth="1"/>
    <col min="7175" max="7175" width="4" style="321" customWidth="1"/>
    <col min="7176" max="7176" width="5.5" style="321" customWidth="1"/>
    <col min="7177" max="7177" width="4.59765625" style="321" customWidth="1"/>
    <col min="7178" max="7179" width="8.3984375" style="321" customWidth="1"/>
    <col min="7180" max="7424" width="8.796875" style="321"/>
    <col min="7425" max="7425" width="8.296875" style="321" customWidth="1"/>
    <col min="7426" max="7426" width="4.296875" style="321" customWidth="1"/>
    <col min="7427" max="7427" width="5.19921875" style="321" customWidth="1"/>
    <col min="7428" max="7429" width="8.796875" style="321"/>
    <col min="7430" max="7430" width="6.59765625" style="321" customWidth="1"/>
    <col min="7431" max="7431" width="4" style="321" customWidth="1"/>
    <col min="7432" max="7432" width="5.5" style="321" customWidth="1"/>
    <col min="7433" max="7433" width="4.59765625" style="321" customWidth="1"/>
    <col min="7434" max="7435" width="8.3984375" style="321" customWidth="1"/>
    <col min="7436" max="7680" width="8.796875" style="321"/>
    <col min="7681" max="7681" width="8.296875" style="321" customWidth="1"/>
    <col min="7682" max="7682" width="4.296875" style="321" customWidth="1"/>
    <col min="7683" max="7683" width="5.19921875" style="321" customWidth="1"/>
    <col min="7684" max="7685" width="8.796875" style="321"/>
    <col min="7686" max="7686" width="6.59765625" style="321" customWidth="1"/>
    <col min="7687" max="7687" width="4" style="321" customWidth="1"/>
    <col min="7688" max="7688" width="5.5" style="321" customWidth="1"/>
    <col min="7689" max="7689" width="4.59765625" style="321" customWidth="1"/>
    <col min="7690" max="7691" width="8.3984375" style="321" customWidth="1"/>
    <col min="7692" max="7936" width="8.796875" style="321"/>
    <col min="7937" max="7937" width="8.296875" style="321" customWidth="1"/>
    <col min="7938" max="7938" width="4.296875" style="321" customWidth="1"/>
    <col min="7939" max="7939" width="5.19921875" style="321" customWidth="1"/>
    <col min="7940" max="7941" width="8.796875" style="321"/>
    <col min="7942" max="7942" width="6.59765625" style="321" customWidth="1"/>
    <col min="7943" max="7943" width="4" style="321" customWidth="1"/>
    <col min="7944" max="7944" width="5.5" style="321" customWidth="1"/>
    <col min="7945" max="7945" width="4.59765625" style="321" customWidth="1"/>
    <col min="7946" max="7947" width="8.3984375" style="321" customWidth="1"/>
    <col min="7948" max="8192" width="8.796875" style="321"/>
    <col min="8193" max="8193" width="8.296875" style="321" customWidth="1"/>
    <col min="8194" max="8194" width="4.296875" style="321" customWidth="1"/>
    <col min="8195" max="8195" width="5.19921875" style="321" customWidth="1"/>
    <col min="8196" max="8197" width="8.796875" style="321"/>
    <col min="8198" max="8198" width="6.59765625" style="321" customWidth="1"/>
    <col min="8199" max="8199" width="4" style="321" customWidth="1"/>
    <col min="8200" max="8200" width="5.5" style="321" customWidth="1"/>
    <col min="8201" max="8201" width="4.59765625" style="321" customWidth="1"/>
    <col min="8202" max="8203" width="8.3984375" style="321" customWidth="1"/>
    <col min="8204" max="8448" width="8.796875" style="321"/>
    <col min="8449" max="8449" width="8.296875" style="321" customWidth="1"/>
    <col min="8450" max="8450" width="4.296875" style="321" customWidth="1"/>
    <col min="8451" max="8451" width="5.19921875" style="321" customWidth="1"/>
    <col min="8452" max="8453" width="8.796875" style="321"/>
    <col min="8454" max="8454" width="6.59765625" style="321" customWidth="1"/>
    <col min="8455" max="8455" width="4" style="321" customWidth="1"/>
    <col min="8456" max="8456" width="5.5" style="321" customWidth="1"/>
    <col min="8457" max="8457" width="4.59765625" style="321" customWidth="1"/>
    <col min="8458" max="8459" width="8.3984375" style="321" customWidth="1"/>
    <col min="8460" max="8704" width="8.796875" style="321"/>
    <col min="8705" max="8705" width="8.296875" style="321" customWidth="1"/>
    <col min="8706" max="8706" width="4.296875" style="321" customWidth="1"/>
    <col min="8707" max="8707" width="5.19921875" style="321" customWidth="1"/>
    <col min="8708" max="8709" width="8.796875" style="321"/>
    <col min="8710" max="8710" width="6.59765625" style="321" customWidth="1"/>
    <col min="8711" max="8711" width="4" style="321" customWidth="1"/>
    <col min="8712" max="8712" width="5.5" style="321" customWidth="1"/>
    <col min="8713" max="8713" width="4.59765625" style="321" customWidth="1"/>
    <col min="8714" max="8715" width="8.3984375" style="321" customWidth="1"/>
    <col min="8716" max="8960" width="8.796875" style="321"/>
    <col min="8961" max="8961" width="8.296875" style="321" customWidth="1"/>
    <col min="8962" max="8962" width="4.296875" style="321" customWidth="1"/>
    <col min="8963" max="8963" width="5.19921875" style="321" customWidth="1"/>
    <col min="8964" max="8965" width="8.796875" style="321"/>
    <col min="8966" max="8966" width="6.59765625" style="321" customWidth="1"/>
    <col min="8967" max="8967" width="4" style="321" customWidth="1"/>
    <col min="8968" max="8968" width="5.5" style="321" customWidth="1"/>
    <col min="8969" max="8969" width="4.59765625" style="321" customWidth="1"/>
    <col min="8970" max="8971" width="8.3984375" style="321" customWidth="1"/>
    <col min="8972" max="9216" width="8.796875" style="321"/>
    <col min="9217" max="9217" width="8.296875" style="321" customWidth="1"/>
    <col min="9218" max="9218" width="4.296875" style="321" customWidth="1"/>
    <col min="9219" max="9219" width="5.19921875" style="321" customWidth="1"/>
    <col min="9220" max="9221" width="8.796875" style="321"/>
    <col min="9222" max="9222" width="6.59765625" style="321" customWidth="1"/>
    <col min="9223" max="9223" width="4" style="321" customWidth="1"/>
    <col min="9224" max="9224" width="5.5" style="321" customWidth="1"/>
    <col min="9225" max="9225" width="4.59765625" style="321" customWidth="1"/>
    <col min="9226" max="9227" width="8.3984375" style="321" customWidth="1"/>
    <col min="9228" max="9472" width="8.796875" style="321"/>
    <col min="9473" max="9473" width="8.296875" style="321" customWidth="1"/>
    <col min="9474" max="9474" width="4.296875" style="321" customWidth="1"/>
    <col min="9475" max="9475" width="5.19921875" style="321" customWidth="1"/>
    <col min="9476" max="9477" width="8.796875" style="321"/>
    <col min="9478" max="9478" width="6.59765625" style="321" customWidth="1"/>
    <col min="9479" max="9479" width="4" style="321" customWidth="1"/>
    <col min="9480" max="9480" width="5.5" style="321" customWidth="1"/>
    <col min="9481" max="9481" width="4.59765625" style="321" customWidth="1"/>
    <col min="9482" max="9483" width="8.3984375" style="321" customWidth="1"/>
    <col min="9484" max="9728" width="8.796875" style="321"/>
    <col min="9729" max="9729" width="8.296875" style="321" customWidth="1"/>
    <col min="9730" max="9730" width="4.296875" style="321" customWidth="1"/>
    <col min="9731" max="9731" width="5.19921875" style="321" customWidth="1"/>
    <col min="9732" max="9733" width="8.796875" style="321"/>
    <col min="9734" max="9734" width="6.59765625" style="321" customWidth="1"/>
    <col min="9735" max="9735" width="4" style="321" customWidth="1"/>
    <col min="9736" max="9736" width="5.5" style="321" customWidth="1"/>
    <col min="9737" max="9737" width="4.59765625" style="321" customWidth="1"/>
    <col min="9738" max="9739" width="8.3984375" style="321" customWidth="1"/>
    <col min="9740" max="9984" width="8.796875" style="321"/>
    <col min="9985" max="9985" width="8.296875" style="321" customWidth="1"/>
    <col min="9986" max="9986" width="4.296875" style="321" customWidth="1"/>
    <col min="9987" max="9987" width="5.19921875" style="321" customWidth="1"/>
    <col min="9988" max="9989" width="8.796875" style="321"/>
    <col min="9990" max="9990" width="6.59765625" style="321" customWidth="1"/>
    <col min="9991" max="9991" width="4" style="321" customWidth="1"/>
    <col min="9992" max="9992" width="5.5" style="321" customWidth="1"/>
    <col min="9993" max="9993" width="4.59765625" style="321" customWidth="1"/>
    <col min="9994" max="9995" width="8.3984375" style="321" customWidth="1"/>
    <col min="9996" max="10240" width="8.796875" style="321"/>
    <col min="10241" max="10241" width="8.296875" style="321" customWidth="1"/>
    <col min="10242" max="10242" width="4.296875" style="321" customWidth="1"/>
    <col min="10243" max="10243" width="5.19921875" style="321" customWidth="1"/>
    <col min="10244" max="10245" width="8.796875" style="321"/>
    <col min="10246" max="10246" width="6.59765625" style="321" customWidth="1"/>
    <col min="10247" max="10247" width="4" style="321" customWidth="1"/>
    <col min="10248" max="10248" width="5.5" style="321" customWidth="1"/>
    <col min="10249" max="10249" width="4.59765625" style="321" customWidth="1"/>
    <col min="10250" max="10251" width="8.3984375" style="321" customWidth="1"/>
    <col min="10252" max="10496" width="8.796875" style="321"/>
    <col min="10497" max="10497" width="8.296875" style="321" customWidth="1"/>
    <col min="10498" max="10498" width="4.296875" style="321" customWidth="1"/>
    <col min="10499" max="10499" width="5.19921875" style="321" customWidth="1"/>
    <col min="10500" max="10501" width="8.796875" style="321"/>
    <col min="10502" max="10502" width="6.59765625" style="321" customWidth="1"/>
    <col min="10503" max="10503" width="4" style="321" customWidth="1"/>
    <col min="10504" max="10504" width="5.5" style="321" customWidth="1"/>
    <col min="10505" max="10505" width="4.59765625" style="321" customWidth="1"/>
    <col min="10506" max="10507" width="8.3984375" style="321" customWidth="1"/>
    <col min="10508" max="10752" width="8.796875" style="321"/>
    <col min="10753" max="10753" width="8.296875" style="321" customWidth="1"/>
    <col min="10754" max="10754" width="4.296875" style="321" customWidth="1"/>
    <col min="10755" max="10755" width="5.19921875" style="321" customWidth="1"/>
    <col min="10756" max="10757" width="8.796875" style="321"/>
    <col min="10758" max="10758" width="6.59765625" style="321" customWidth="1"/>
    <col min="10759" max="10759" width="4" style="321" customWidth="1"/>
    <col min="10760" max="10760" width="5.5" style="321" customWidth="1"/>
    <col min="10761" max="10761" width="4.59765625" style="321" customWidth="1"/>
    <col min="10762" max="10763" width="8.3984375" style="321" customWidth="1"/>
    <col min="10764" max="11008" width="8.796875" style="321"/>
    <col min="11009" max="11009" width="8.296875" style="321" customWidth="1"/>
    <col min="11010" max="11010" width="4.296875" style="321" customWidth="1"/>
    <col min="11011" max="11011" width="5.19921875" style="321" customWidth="1"/>
    <col min="11012" max="11013" width="8.796875" style="321"/>
    <col min="11014" max="11014" width="6.59765625" style="321" customWidth="1"/>
    <col min="11015" max="11015" width="4" style="321" customWidth="1"/>
    <col min="11016" max="11016" width="5.5" style="321" customWidth="1"/>
    <col min="11017" max="11017" width="4.59765625" style="321" customWidth="1"/>
    <col min="11018" max="11019" width="8.3984375" style="321" customWidth="1"/>
    <col min="11020" max="11264" width="8.796875" style="321"/>
    <col min="11265" max="11265" width="8.296875" style="321" customWidth="1"/>
    <col min="11266" max="11266" width="4.296875" style="321" customWidth="1"/>
    <col min="11267" max="11267" width="5.19921875" style="321" customWidth="1"/>
    <col min="11268" max="11269" width="8.796875" style="321"/>
    <col min="11270" max="11270" width="6.59765625" style="321" customWidth="1"/>
    <col min="11271" max="11271" width="4" style="321" customWidth="1"/>
    <col min="11272" max="11272" width="5.5" style="321" customWidth="1"/>
    <col min="11273" max="11273" width="4.59765625" style="321" customWidth="1"/>
    <col min="11274" max="11275" width="8.3984375" style="321" customWidth="1"/>
    <col min="11276" max="11520" width="8.796875" style="321"/>
    <col min="11521" max="11521" width="8.296875" style="321" customWidth="1"/>
    <col min="11522" max="11522" width="4.296875" style="321" customWidth="1"/>
    <col min="11523" max="11523" width="5.19921875" style="321" customWidth="1"/>
    <col min="11524" max="11525" width="8.796875" style="321"/>
    <col min="11526" max="11526" width="6.59765625" style="321" customWidth="1"/>
    <col min="11527" max="11527" width="4" style="321" customWidth="1"/>
    <col min="11528" max="11528" width="5.5" style="321" customWidth="1"/>
    <col min="11529" max="11529" width="4.59765625" style="321" customWidth="1"/>
    <col min="11530" max="11531" width="8.3984375" style="321" customWidth="1"/>
    <col min="11532" max="11776" width="8.796875" style="321"/>
    <col min="11777" max="11777" width="8.296875" style="321" customWidth="1"/>
    <col min="11778" max="11778" width="4.296875" style="321" customWidth="1"/>
    <col min="11779" max="11779" width="5.19921875" style="321" customWidth="1"/>
    <col min="11780" max="11781" width="8.796875" style="321"/>
    <col min="11782" max="11782" width="6.59765625" style="321" customWidth="1"/>
    <col min="11783" max="11783" width="4" style="321" customWidth="1"/>
    <col min="11784" max="11784" width="5.5" style="321" customWidth="1"/>
    <col min="11785" max="11785" width="4.59765625" style="321" customWidth="1"/>
    <col min="11786" max="11787" width="8.3984375" style="321" customWidth="1"/>
    <col min="11788" max="12032" width="8.796875" style="321"/>
    <col min="12033" max="12033" width="8.296875" style="321" customWidth="1"/>
    <col min="12034" max="12034" width="4.296875" style="321" customWidth="1"/>
    <col min="12035" max="12035" width="5.19921875" style="321" customWidth="1"/>
    <col min="12036" max="12037" width="8.796875" style="321"/>
    <col min="12038" max="12038" width="6.59765625" style="321" customWidth="1"/>
    <col min="12039" max="12039" width="4" style="321" customWidth="1"/>
    <col min="12040" max="12040" width="5.5" style="321" customWidth="1"/>
    <col min="12041" max="12041" width="4.59765625" style="321" customWidth="1"/>
    <col min="12042" max="12043" width="8.3984375" style="321" customWidth="1"/>
    <col min="12044" max="12288" width="8.796875" style="321"/>
    <col min="12289" max="12289" width="8.296875" style="321" customWidth="1"/>
    <col min="12290" max="12290" width="4.296875" style="321" customWidth="1"/>
    <col min="12291" max="12291" width="5.19921875" style="321" customWidth="1"/>
    <col min="12292" max="12293" width="8.796875" style="321"/>
    <col min="12294" max="12294" width="6.59765625" style="321" customWidth="1"/>
    <col min="12295" max="12295" width="4" style="321" customWidth="1"/>
    <col min="12296" max="12296" width="5.5" style="321" customWidth="1"/>
    <col min="12297" max="12297" width="4.59765625" style="321" customWidth="1"/>
    <col min="12298" max="12299" width="8.3984375" style="321" customWidth="1"/>
    <col min="12300" max="12544" width="8.796875" style="321"/>
    <col min="12545" max="12545" width="8.296875" style="321" customWidth="1"/>
    <col min="12546" max="12546" width="4.296875" style="321" customWidth="1"/>
    <col min="12547" max="12547" width="5.19921875" style="321" customWidth="1"/>
    <col min="12548" max="12549" width="8.796875" style="321"/>
    <col min="12550" max="12550" width="6.59765625" style="321" customWidth="1"/>
    <col min="12551" max="12551" width="4" style="321" customWidth="1"/>
    <col min="12552" max="12552" width="5.5" style="321" customWidth="1"/>
    <col min="12553" max="12553" width="4.59765625" style="321" customWidth="1"/>
    <col min="12554" max="12555" width="8.3984375" style="321" customWidth="1"/>
    <col min="12556" max="12800" width="8.796875" style="321"/>
    <col min="12801" max="12801" width="8.296875" style="321" customWidth="1"/>
    <col min="12802" max="12802" width="4.296875" style="321" customWidth="1"/>
    <col min="12803" max="12803" width="5.19921875" style="321" customWidth="1"/>
    <col min="12804" max="12805" width="8.796875" style="321"/>
    <col min="12806" max="12806" width="6.59765625" style="321" customWidth="1"/>
    <col min="12807" max="12807" width="4" style="321" customWidth="1"/>
    <col min="12808" max="12808" width="5.5" style="321" customWidth="1"/>
    <col min="12809" max="12809" width="4.59765625" style="321" customWidth="1"/>
    <col min="12810" max="12811" width="8.3984375" style="321" customWidth="1"/>
    <col min="12812" max="13056" width="8.796875" style="321"/>
    <col min="13057" max="13057" width="8.296875" style="321" customWidth="1"/>
    <col min="13058" max="13058" width="4.296875" style="321" customWidth="1"/>
    <col min="13059" max="13059" width="5.19921875" style="321" customWidth="1"/>
    <col min="13060" max="13061" width="8.796875" style="321"/>
    <col min="13062" max="13062" width="6.59765625" style="321" customWidth="1"/>
    <col min="13063" max="13063" width="4" style="321" customWidth="1"/>
    <col min="13064" max="13064" width="5.5" style="321" customWidth="1"/>
    <col min="13065" max="13065" width="4.59765625" style="321" customWidth="1"/>
    <col min="13066" max="13067" width="8.3984375" style="321" customWidth="1"/>
    <col min="13068" max="13312" width="8.796875" style="321"/>
    <col min="13313" max="13313" width="8.296875" style="321" customWidth="1"/>
    <col min="13314" max="13314" width="4.296875" style="321" customWidth="1"/>
    <col min="13315" max="13315" width="5.19921875" style="321" customWidth="1"/>
    <col min="13316" max="13317" width="8.796875" style="321"/>
    <col min="13318" max="13318" width="6.59765625" style="321" customWidth="1"/>
    <col min="13319" max="13319" width="4" style="321" customWidth="1"/>
    <col min="13320" max="13320" width="5.5" style="321" customWidth="1"/>
    <col min="13321" max="13321" width="4.59765625" style="321" customWidth="1"/>
    <col min="13322" max="13323" width="8.3984375" style="321" customWidth="1"/>
    <col min="13324" max="13568" width="8.796875" style="321"/>
    <col min="13569" max="13569" width="8.296875" style="321" customWidth="1"/>
    <col min="13570" max="13570" width="4.296875" style="321" customWidth="1"/>
    <col min="13571" max="13571" width="5.19921875" style="321" customWidth="1"/>
    <col min="13572" max="13573" width="8.796875" style="321"/>
    <col min="13574" max="13574" width="6.59765625" style="321" customWidth="1"/>
    <col min="13575" max="13575" width="4" style="321" customWidth="1"/>
    <col min="13576" max="13576" width="5.5" style="321" customWidth="1"/>
    <col min="13577" max="13577" width="4.59765625" style="321" customWidth="1"/>
    <col min="13578" max="13579" width="8.3984375" style="321" customWidth="1"/>
    <col min="13580" max="13824" width="8.796875" style="321"/>
    <col min="13825" max="13825" width="8.296875" style="321" customWidth="1"/>
    <col min="13826" max="13826" width="4.296875" style="321" customWidth="1"/>
    <col min="13827" max="13827" width="5.19921875" style="321" customWidth="1"/>
    <col min="13828" max="13829" width="8.796875" style="321"/>
    <col min="13830" max="13830" width="6.59765625" style="321" customWidth="1"/>
    <col min="13831" max="13831" width="4" style="321" customWidth="1"/>
    <col min="13832" max="13832" width="5.5" style="321" customWidth="1"/>
    <col min="13833" max="13833" width="4.59765625" style="321" customWidth="1"/>
    <col min="13834" max="13835" width="8.3984375" style="321" customWidth="1"/>
    <col min="13836" max="14080" width="8.796875" style="321"/>
    <col min="14081" max="14081" width="8.296875" style="321" customWidth="1"/>
    <col min="14082" max="14082" width="4.296875" style="321" customWidth="1"/>
    <col min="14083" max="14083" width="5.19921875" style="321" customWidth="1"/>
    <col min="14084" max="14085" width="8.796875" style="321"/>
    <col min="14086" max="14086" width="6.59765625" style="321" customWidth="1"/>
    <col min="14087" max="14087" width="4" style="321" customWidth="1"/>
    <col min="14088" max="14088" width="5.5" style="321" customWidth="1"/>
    <col min="14089" max="14089" width="4.59765625" style="321" customWidth="1"/>
    <col min="14090" max="14091" width="8.3984375" style="321" customWidth="1"/>
    <col min="14092" max="14336" width="8.796875" style="321"/>
    <col min="14337" max="14337" width="8.296875" style="321" customWidth="1"/>
    <col min="14338" max="14338" width="4.296875" style="321" customWidth="1"/>
    <col min="14339" max="14339" width="5.19921875" style="321" customWidth="1"/>
    <col min="14340" max="14341" width="8.796875" style="321"/>
    <col min="14342" max="14342" width="6.59765625" style="321" customWidth="1"/>
    <col min="14343" max="14343" width="4" style="321" customWidth="1"/>
    <col min="14344" max="14344" width="5.5" style="321" customWidth="1"/>
    <col min="14345" max="14345" width="4.59765625" style="321" customWidth="1"/>
    <col min="14346" max="14347" width="8.3984375" style="321" customWidth="1"/>
    <col min="14348" max="14592" width="8.796875" style="321"/>
    <col min="14593" max="14593" width="8.296875" style="321" customWidth="1"/>
    <col min="14594" max="14594" width="4.296875" style="321" customWidth="1"/>
    <col min="14595" max="14595" width="5.19921875" style="321" customWidth="1"/>
    <col min="14596" max="14597" width="8.796875" style="321"/>
    <col min="14598" max="14598" width="6.59765625" style="321" customWidth="1"/>
    <col min="14599" max="14599" width="4" style="321" customWidth="1"/>
    <col min="14600" max="14600" width="5.5" style="321" customWidth="1"/>
    <col min="14601" max="14601" width="4.59765625" style="321" customWidth="1"/>
    <col min="14602" max="14603" width="8.3984375" style="321" customWidth="1"/>
    <col min="14604" max="14848" width="8.796875" style="321"/>
    <col min="14849" max="14849" width="8.296875" style="321" customWidth="1"/>
    <col min="14850" max="14850" width="4.296875" style="321" customWidth="1"/>
    <col min="14851" max="14851" width="5.19921875" style="321" customWidth="1"/>
    <col min="14852" max="14853" width="8.796875" style="321"/>
    <col min="14854" max="14854" width="6.59765625" style="321" customWidth="1"/>
    <col min="14855" max="14855" width="4" style="321" customWidth="1"/>
    <col min="14856" max="14856" width="5.5" style="321" customWidth="1"/>
    <col min="14857" max="14857" width="4.59765625" style="321" customWidth="1"/>
    <col min="14858" max="14859" width="8.3984375" style="321" customWidth="1"/>
    <col min="14860" max="15104" width="8.796875" style="321"/>
    <col min="15105" max="15105" width="8.296875" style="321" customWidth="1"/>
    <col min="15106" max="15106" width="4.296875" style="321" customWidth="1"/>
    <col min="15107" max="15107" width="5.19921875" style="321" customWidth="1"/>
    <col min="15108" max="15109" width="8.796875" style="321"/>
    <col min="15110" max="15110" width="6.59765625" style="321" customWidth="1"/>
    <col min="15111" max="15111" width="4" style="321" customWidth="1"/>
    <col min="15112" max="15112" width="5.5" style="321" customWidth="1"/>
    <col min="15113" max="15113" width="4.59765625" style="321" customWidth="1"/>
    <col min="15114" max="15115" width="8.3984375" style="321" customWidth="1"/>
    <col min="15116" max="15360" width="8.796875" style="321"/>
    <col min="15361" max="15361" width="8.296875" style="321" customWidth="1"/>
    <col min="15362" max="15362" width="4.296875" style="321" customWidth="1"/>
    <col min="15363" max="15363" width="5.19921875" style="321" customWidth="1"/>
    <col min="15364" max="15365" width="8.796875" style="321"/>
    <col min="15366" max="15366" width="6.59765625" style="321" customWidth="1"/>
    <col min="15367" max="15367" width="4" style="321" customWidth="1"/>
    <col min="15368" max="15368" width="5.5" style="321" customWidth="1"/>
    <col min="15369" max="15369" width="4.59765625" style="321" customWidth="1"/>
    <col min="15370" max="15371" width="8.3984375" style="321" customWidth="1"/>
    <col min="15372" max="15616" width="8.796875" style="321"/>
    <col min="15617" max="15617" width="8.296875" style="321" customWidth="1"/>
    <col min="15618" max="15618" width="4.296875" style="321" customWidth="1"/>
    <col min="15619" max="15619" width="5.19921875" style="321" customWidth="1"/>
    <col min="15620" max="15621" width="8.796875" style="321"/>
    <col min="15622" max="15622" width="6.59765625" style="321" customWidth="1"/>
    <col min="15623" max="15623" width="4" style="321" customWidth="1"/>
    <col min="15624" max="15624" width="5.5" style="321" customWidth="1"/>
    <col min="15625" max="15625" width="4.59765625" style="321" customWidth="1"/>
    <col min="15626" max="15627" width="8.3984375" style="321" customWidth="1"/>
    <col min="15628" max="15872" width="8.796875" style="321"/>
    <col min="15873" max="15873" width="8.296875" style="321" customWidth="1"/>
    <col min="15874" max="15874" width="4.296875" style="321" customWidth="1"/>
    <col min="15875" max="15875" width="5.19921875" style="321" customWidth="1"/>
    <col min="15876" max="15877" width="8.796875" style="321"/>
    <col min="15878" max="15878" width="6.59765625" style="321" customWidth="1"/>
    <col min="15879" max="15879" width="4" style="321" customWidth="1"/>
    <col min="15880" max="15880" width="5.5" style="321" customWidth="1"/>
    <col min="15881" max="15881" width="4.59765625" style="321" customWidth="1"/>
    <col min="15882" max="15883" width="8.3984375" style="321" customWidth="1"/>
    <col min="15884" max="16128" width="8.796875" style="321"/>
    <col min="16129" max="16129" width="8.296875" style="321" customWidth="1"/>
    <col min="16130" max="16130" width="4.296875" style="321" customWidth="1"/>
    <col min="16131" max="16131" width="5.19921875" style="321" customWidth="1"/>
    <col min="16132" max="16133" width="8.796875" style="321"/>
    <col min="16134" max="16134" width="6.59765625" style="321" customWidth="1"/>
    <col min="16135" max="16135" width="4" style="321" customWidth="1"/>
    <col min="16136" max="16136" width="5.5" style="321" customWidth="1"/>
    <col min="16137" max="16137" width="4.59765625" style="321" customWidth="1"/>
    <col min="16138" max="16139" width="8.3984375" style="321" customWidth="1"/>
    <col min="16140" max="16384" width="8.796875" style="321"/>
  </cols>
  <sheetData>
    <row r="1" spans="1:26" ht="20.25" customHeight="1">
      <c r="A1" s="554" t="s">
        <v>0</v>
      </c>
      <c r="B1" s="554"/>
      <c r="C1" s="554"/>
      <c r="D1" s="554"/>
      <c r="E1" s="554"/>
      <c r="F1" s="554"/>
      <c r="G1" s="554"/>
      <c r="H1" s="554"/>
      <c r="I1" s="554"/>
      <c r="J1" s="554"/>
      <c r="K1" s="554"/>
    </row>
    <row r="2" spans="1:26" ht="20.25" customHeight="1">
      <c r="A2" s="555" t="s">
        <v>440</v>
      </c>
      <c r="B2" s="555"/>
      <c r="C2" s="555"/>
      <c r="D2" s="555"/>
      <c r="E2" s="555"/>
      <c r="F2" s="555"/>
      <c r="G2" s="555"/>
      <c r="H2" s="555"/>
      <c r="I2" s="555"/>
      <c r="J2" s="555"/>
      <c r="K2" s="555"/>
    </row>
    <row r="3" spans="1:26" ht="18.75" customHeight="1" thickBot="1">
      <c r="A3" s="323" t="s">
        <v>137</v>
      </c>
      <c r="B3" s="324" t="s">
        <v>441</v>
      </c>
      <c r="C3" s="325"/>
      <c r="D3" s="325"/>
      <c r="E3" s="325"/>
      <c r="F3" s="322"/>
      <c r="G3" s="325"/>
      <c r="H3" s="325"/>
      <c r="I3" s="323" t="s">
        <v>442</v>
      </c>
      <c r="J3" s="556" t="s">
        <v>443</v>
      </c>
      <c r="K3" s="556"/>
    </row>
    <row r="4" spans="1:26" s="334" customFormat="1" ht="18.399999999999999" customHeight="1" thickBot="1">
      <c r="A4" s="326" t="s">
        <v>444</v>
      </c>
      <c r="B4" s="327"/>
      <c r="C4" s="328"/>
      <c r="D4" s="328"/>
      <c r="E4" s="328"/>
      <c r="F4" s="328"/>
      <c r="G4" s="328"/>
      <c r="H4" s="328"/>
      <c r="I4" s="328"/>
      <c r="J4" s="328"/>
      <c r="K4" s="329"/>
      <c r="L4" s="330"/>
      <c r="M4" s="330"/>
      <c r="N4" s="330"/>
      <c r="O4" s="330"/>
      <c r="P4" s="330"/>
      <c r="Q4" s="331" t="s">
        <v>445</v>
      </c>
      <c r="R4" s="332"/>
      <c r="S4" s="330"/>
      <c r="T4" s="331" t="s">
        <v>446</v>
      </c>
      <c r="U4" s="333"/>
      <c r="V4" s="330"/>
      <c r="W4" s="330"/>
      <c r="X4" s="330"/>
      <c r="Y4" s="330"/>
      <c r="Z4" s="330"/>
    </row>
    <row r="5" spans="1:26" s="334" customFormat="1" ht="18.399999999999999" customHeight="1">
      <c r="A5" s="557" t="s">
        <v>447</v>
      </c>
      <c r="B5" s="558"/>
      <c r="C5" s="558"/>
      <c r="D5" s="335"/>
      <c r="E5" s="336"/>
      <c r="F5" s="337" t="s">
        <v>448</v>
      </c>
      <c r="G5" s="325"/>
      <c r="H5" s="325"/>
      <c r="I5" s="338"/>
      <c r="J5" s="339" t="s">
        <v>449</v>
      </c>
      <c r="K5" s="340" t="s">
        <v>450</v>
      </c>
      <c r="L5" s="330"/>
      <c r="M5" s="330"/>
      <c r="N5" s="330"/>
      <c r="O5" s="330"/>
      <c r="P5" s="330"/>
      <c r="Q5" s="341" t="s">
        <v>451</v>
      </c>
      <c r="R5" s="342"/>
      <c r="S5" s="330"/>
      <c r="T5" s="341" t="s">
        <v>452</v>
      </c>
      <c r="U5" s="343"/>
      <c r="V5" s="330"/>
      <c r="W5" s="330"/>
      <c r="X5" s="330"/>
      <c r="Y5" s="330"/>
      <c r="Z5" s="330"/>
    </row>
    <row r="6" spans="1:26" s="334" customFormat="1" ht="18.399999999999999" customHeight="1">
      <c r="A6" s="559" t="s">
        <v>269</v>
      </c>
      <c r="B6" s="560"/>
      <c r="C6" s="560"/>
      <c r="D6" s="561" t="s">
        <v>452</v>
      </c>
      <c r="E6" s="562"/>
      <c r="F6" s="563" t="s">
        <v>453</v>
      </c>
      <c r="G6" s="564"/>
      <c r="H6" s="564"/>
      <c r="I6" s="564"/>
      <c r="J6" s="564"/>
      <c r="K6" s="565"/>
      <c r="L6" s="330"/>
      <c r="M6" s="330"/>
      <c r="N6" s="330"/>
      <c r="O6" s="330"/>
      <c r="P6" s="330"/>
      <c r="Q6" s="341" t="s">
        <v>454</v>
      </c>
      <c r="R6" s="342"/>
      <c r="S6" s="330"/>
      <c r="T6" s="341" t="s">
        <v>455</v>
      </c>
      <c r="U6" s="343"/>
      <c r="V6" s="330"/>
      <c r="W6" s="330"/>
      <c r="X6" s="330"/>
      <c r="Y6" s="330"/>
      <c r="Z6" s="330"/>
    </row>
    <row r="7" spans="1:26" s="334" customFormat="1" ht="18.399999999999999" customHeight="1">
      <c r="A7" s="550" t="s">
        <v>207</v>
      </c>
      <c r="B7" s="551"/>
      <c r="C7" s="551"/>
      <c r="D7" s="552">
        <v>3.2999999523162802</v>
      </c>
      <c r="E7" s="553"/>
      <c r="F7" s="344" t="s">
        <v>456</v>
      </c>
      <c r="G7" s="345"/>
      <c r="H7" s="346"/>
      <c r="I7" s="347"/>
      <c r="J7" s="348">
        <v>29</v>
      </c>
      <c r="K7" s="349">
        <v>31.26</v>
      </c>
      <c r="L7" s="330"/>
      <c r="M7" s="330"/>
      <c r="N7" s="330"/>
      <c r="O7" s="330"/>
      <c r="P7" s="330"/>
      <c r="Q7" s="341" t="s">
        <v>457</v>
      </c>
      <c r="R7" s="342"/>
      <c r="S7" s="330"/>
      <c r="T7" s="341" t="s">
        <v>458</v>
      </c>
      <c r="U7" s="343"/>
      <c r="V7" s="330"/>
      <c r="W7" s="330"/>
      <c r="X7" s="330"/>
      <c r="Y7" s="330"/>
      <c r="Z7" s="330"/>
    </row>
    <row r="8" spans="1:26" s="334" customFormat="1" ht="18.399999999999999" customHeight="1">
      <c r="A8" s="550" t="s">
        <v>459</v>
      </c>
      <c r="B8" s="551"/>
      <c r="C8" s="551"/>
      <c r="D8" s="536">
        <v>600</v>
      </c>
      <c r="E8" s="532"/>
      <c r="F8" s="350" t="s">
        <v>460</v>
      </c>
      <c r="G8" s="351"/>
      <c r="H8" s="352"/>
      <c r="I8" s="353"/>
      <c r="J8" s="354">
        <v>23212</v>
      </c>
      <c r="K8" s="355">
        <v>26413</v>
      </c>
      <c r="L8" s="330"/>
      <c r="M8" s="330"/>
      <c r="N8" s="330"/>
      <c r="O8" s="330"/>
      <c r="P8" s="330"/>
      <c r="Q8" s="341" t="s">
        <v>461</v>
      </c>
      <c r="R8" s="342"/>
      <c r="S8" s="330"/>
      <c r="T8" s="341" t="s">
        <v>462</v>
      </c>
      <c r="U8" s="343"/>
      <c r="V8" s="330"/>
      <c r="W8" s="330"/>
      <c r="X8" s="330"/>
      <c r="Y8" s="330"/>
      <c r="Z8" s="330"/>
    </row>
    <row r="9" spans="1:26" s="334" customFormat="1" ht="18.399999999999999" customHeight="1">
      <c r="A9" s="545" t="s">
        <v>463</v>
      </c>
      <c r="B9" s="546"/>
      <c r="C9" s="547"/>
      <c r="D9" s="536">
        <v>9</v>
      </c>
      <c r="E9" s="532"/>
      <c r="F9" s="344" t="s">
        <v>464</v>
      </c>
      <c r="G9" s="345"/>
      <c r="H9" s="356">
        <v>3</v>
      </c>
      <c r="I9" s="357" t="s">
        <v>465</v>
      </c>
      <c r="J9" s="358">
        <v>843</v>
      </c>
      <c r="K9" s="355">
        <v>235</v>
      </c>
      <c r="L9" s="330"/>
      <c r="M9" s="330"/>
      <c r="N9" s="330"/>
      <c r="O9" s="330"/>
      <c r="P9" s="330"/>
      <c r="Q9" s="341" t="s">
        <v>466</v>
      </c>
      <c r="R9" s="342"/>
      <c r="S9" s="330"/>
      <c r="T9" s="341" t="s">
        <v>467</v>
      </c>
      <c r="U9" s="343"/>
      <c r="V9" s="330"/>
      <c r="W9" s="330"/>
      <c r="X9" s="330"/>
      <c r="Y9" s="330"/>
      <c r="Z9" s="330"/>
    </row>
    <row r="10" spans="1:26" s="334" customFormat="1" ht="18.399999999999999" customHeight="1" thickBot="1">
      <c r="A10" s="545" t="s">
        <v>468</v>
      </c>
      <c r="B10" s="546"/>
      <c r="C10" s="547"/>
      <c r="D10" s="519" t="s">
        <v>235</v>
      </c>
      <c r="E10" s="520"/>
      <c r="F10" s="344" t="s">
        <v>469</v>
      </c>
      <c r="G10" s="345"/>
      <c r="H10" s="356">
        <v>3</v>
      </c>
      <c r="I10" s="357" t="s">
        <v>465</v>
      </c>
      <c r="J10" s="358">
        <v>1150</v>
      </c>
      <c r="K10" s="355">
        <v>1150</v>
      </c>
      <c r="L10" s="330"/>
      <c r="M10" s="330"/>
      <c r="N10" s="330"/>
      <c r="O10" s="330"/>
      <c r="P10" s="330"/>
      <c r="Q10" s="341" t="s">
        <v>470</v>
      </c>
      <c r="R10" s="342"/>
      <c r="S10" s="330"/>
      <c r="T10" s="359" t="s">
        <v>471</v>
      </c>
      <c r="U10" s="360"/>
      <c r="V10" s="330"/>
      <c r="W10" s="330"/>
      <c r="X10" s="330"/>
      <c r="Y10" s="330"/>
      <c r="Z10" s="330"/>
    </row>
    <row r="11" spans="1:26" s="334" customFormat="1" ht="18.399999999999999" customHeight="1" thickBot="1">
      <c r="A11" s="545" t="s">
        <v>472</v>
      </c>
      <c r="B11" s="546"/>
      <c r="C11" s="547"/>
      <c r="D11" s="514" t="s">
        <v>241</v>
      </c>
      <c r="E11" s="515"/>
      <c r="F11" s="361" t="s">
        <v>473</v>
      </c>
      <c r="G11" s="362"/>
      <c r="H11" s="363">
        <v>3</v>
      </c>
      <c r="I11" s="357" t="s">
        <v>465</v>
      </c>
      <c r="J11" s="364">
        <v>36847</v>
      </c>
      <c r="K11" s="365">
        <v>86500</v>
      </c>
      <c r="L11" s="330"/>
      <c r="M11" s="330"/>
      <c r="N11" s="330"/>
      <c r="O11" s="330"/>
      <c r="P11" s="330"/>
      <c r="Q11" s="341" t="s">
        <v>474</v>
      </c>
      <c r="R11" s="342"/>
      <c r="S11" s="330"/>
      <c r="T11" s="331" t="s">
        <v>475</v>
      </c>
      <c r="U11" s="333"/>
      <c r="V11" s="330"/>
      <c r="W11" s="330"/>
      <c r="X11" s="330"/>
      <c r="Y11" s="330"/>
      <c r="Z11" s="330"/>
    </row>
    <row r="12" spans="1:26" s="334" customFormat="1" ht="18.399999999999999" customHeight="1" thickBot="1">
      <c r="A12" s="366" t="s">
        <v>476</v>
      </c>
      <c r="C12" s="367"/>
      <c r="D12" s="548" t="s">
        <v>38</v>
      </c>
      <c r="E12" s="549"/>
      <c r="F12" s="516" t="s">
        <v>477</v>
      </c>
      <c r="G12" s="517"/>
      <c r="H12" s="517"/>
      <c r="I12" s="517"/>
      <c r="J12" s="517"/>
      <c r="K12" s="518"/>
      <c r="L12" s="330"/>
      <c r="M12" s="330"/>
      <c r="N12" s="330"/>
      <c r="O12" s="330"/>
      <c r="P12" s="330"/>
      <c r="Q12" s="359" t="s">
        <v>478</v>
      </c>
      <c r="R12" s="368"/>
      <c r="S12" s="330"/>
      <c r="T12" s="330"/>
      <c r="U12" s="330"/>
      <c r="V12" s="330"/>
      <c r="W12" s="330"/>
      <c r="X12" s="330"/>
      <c r="Y12" s="330"/>
      <c r="Z12" s="330"/>
    </row>
    <row r="13" spans="1:26" s="334" customFormat="1" ht="18.399999999999999" customHeight="1">
      <c r="A13" s="545" t="s">
        <v>250</v>
      </c>
      <c r="B13" s="546"/>
      <c r="C13" s="547"/>
      <c r="D13" s="539" t="s">
        <v>479</v>
      </c>
      <c r="E13" s="540"/>
      <c r="F13" s="369"/>
      <c r="G13" s="370" t="s">
        <v>480</v>
      </c>
      <c r="H13" s="371"/>
      <c r="I13" s="372" t="s">
        <v>481</v>
      </c>
      <c r="J13" s="373" t="s">
        <v>482</v>
      </c>
      <c r="K13" s="374" t="s">
        <v>38</v>
      </c>
      <c r="L13" s="330"/>
      <c r="M13" s="330"/>
      <c r="N13" s="330"/>
      <c r="O13" s="330"/>
      <c r="P13" s="330"/>
      <c r="Q13" s="330"/>
      <c r="R13" s="330"/>
      <c r="S13" s="330"/>
      <c r="T13" s="330"/>
      <c r="U13" s="330"/>
      <c r="V13" s="330"/>
      <c r="W13" s="330"/>
      <c r="X13" s="330"/>
      <c r="Y13" s="330"/>
      <c r="Z13" s="330"/>
    </row>
    <row r="14" spans="1:26" s="334" customFormat="1" ht="18.399999999999999" customHeight="1">
      <c r="A14" s="545" t="s">
        <v>254</v>
      </c>
      <c r="B14" s="546"/>
      <c r="C14" s="547"/>
      <c r="D14" s="548">
        <v>1295</v>
      </c>
      <c r="E14" s="549"/>
      <c r="F14" s="369"/>
      <c r="G14" s="375" t="s">
        <v>193</v>
      </c>
      <c r="H14" s="376"/>
      <c r="I14" s="376"/>
      <c r="J14" s="358" t="s">
        <v>38</v>
      </c>
      <c r="K14" s="355" t="s">
        <v>38</v>
      </c>
      <c r="L14" s="330"/>
      <c r="M14" s="330"/>
      <c r="N14" s="330"/>
      <c r="O14" s="330"/>
      <c r="P14" s="330"/>
      <c r="Q14" s="330"/>
      <c r="R14" s="330"/>
      <c r="S14" s="330"/>
      <c r="T14" s="330"/>
      <c r="U14" s="330"/>
      <c r="V14" s="330"/>
      <c r="W14" s="330"/>
      <c r="X14" s="330"/>
      <c r="Y14" s="330"/>
      <c r="Z14" s="330"/>
    </row>
    <row r="15" spans="1:26" s="334" customFormat="1" ht="18.399999999999999" customHeight="1">
      <c r="A15" s="533" t="s">
        <v>483</v>
      </c>
      <c r="B15" s="534"/>
      <c r="C15" s="535"/>
      <c r="D15" s="512">
        <v>9.4356012344360352</v>
      </c>
      <c r="E15" s="513"/>
      <c r="F15" s="369"/>
      <c r="G15" s="375" t="s">
        <v>484</v>
      </c>
      <c r="H15" s="376"/>
      <c r="I15" s="376"/>
      <c r="J15" s="358" t="s">
        <v>38</v>
      </c>
      <c r="K15" s="355" t="s">
        <v>38</v>
      </c>
      <c r="L15" s="330"/>
      <c r="M15" s="330"/>
      <c r="N15" s="330"/>
      <c r="O15" s="330"/>
      <c r="P15" s="330"/>
      <c r="Q15" s="330"/>
      <c r="R15" s="330"/>
      <c r="S15" s="330"/>
      <c r="T15" s="330"/>
      <c r="U15" s="330"/>
      <c r="V15" s="330"/>
      <c r="W15" s="330"/>
      <c r="X15" s="330"/>
      <c r="Y15" s="330"/>
      <c r="Z15" s="330"/>
    </row>
    <row r="16" spans="1:26" s="334" customFormat="1" ht="18.399999999999999" customHeight="1">
      <c r="A16" s="509" t="s">
        <v>485</v>
      </c>
      <c r="B16" s="510"/>
      <c r="C16" s="511"/>
      <c r="D16" s="512">
        <v>3.1017999649047852</v>
      </c>
      <c r="E16" s="513"/>
      <c r="F16" s="378"/>
      <c r="G16" s="379" t="s">
        <v>204</v>
      </c>
      <c r="H16" s="380"/>
      <c r="I16" s="380"/>
      <c r="J16" s="364" t="s">
        <v>38</v>
      </c>
      <c r="K16" s="365" t="s">
        <v>38</v>
      </c>
      <c r="L16" s="330"/>
      <c r="M16" s="330"/>
      <c r="N16" s="330"/>
      <c r="O16" s="330"/>
      <c r="P16" s="330"/>
      <c r="Q16" s="330"/>
      <c r="R16" s="330"/>
      <c r="S16" s="330"/>
      <c r="T16" s="330"/>
      <c r="U16" s="330"/>
      <c r="V16" s="330"/>
      <c r="W16" s="330"/>
      <c r="X16" s="330"/>
      <c r="Y16" s="330"/>
      <c r="Z16" s="330"/>
    </row>
    <row r="17" spans="1:26" s="334" customFormat="1" ht="18.399999999999999" customHeight="1">
      <c r="A17" s="381" t="s">
        <v>486</v>
      </c>
      <c r="B17" s="382"/>
      <c r="C17" s="383"/>
      <c r="D17" s="514" t="s">
        <v>487</v>
      </c>
      <c r="E17" s="515"/>
      <c r="F17" s="516" t="s">
        <v>488</v>
      </c>
      <c r="G17" s="517"/>
      <c r="H17" s="517"/>
      <c r="I17" s="517"/>
      <c r="J17" s="517"/>
      <c r="K17" s="518"/>
      <c r="L17" s="330"/>
      <c r="M17" s="330"/>
      <c r="N17" s="330"/>
      <c r="O17" s="330"/>
      <c r="P17" s="330"/>
      <c r="Q17" s="330"/>
      <c r="R17" s="330"/>
      <c r="S17" s="330"/>
      <c r="T17" s="330"/>
      <c r="U17" s="330"/>
      <c r="V17" s="330"/>
      <c r="W17" s="330"/>
      <c r="X17" s="330"/>
      <c r="Y17" s="330"/>
      <c r="Z17" s="330"/>
    </row>
    <row r="18" spans="1:26" s="334" customFormat="1" ht="18.399999999999999" customHeight="1">
      <c r="A18" s="384" t="s">
        <v>489</v>
      </c>
      <c r="B18" s="385"/>
      <c r="C18" s="383"/>
      <c r="D18" s="519" t="s">
        <v>38</v>
      </c>
      <c r="E18" s="520"/>
      <c r="F18" s="521"/>
      <c r="G18" s="522"/>
      <c r="H18" s="386" t="s">
        <v>490</v>
      </c>
      <c r="I18" s="387"/>
      <c r="J18" s="354">
        <v>152</v>
      </c>
      <c r="K18" s="355"/>
      <c r="L18" s="330"/>
      <c r="M18" s="330">
        <f>J18*6.5</f>
        <v>988</v>
      </c>
      <c r="N18" s="330">
        <v>975.4</v>
      </c>
      <c r="O18" s="330"/>
      <c r="P18" s="330"/>
      <c r="Q18" s="330"/>
      <c r="R18" s="330"/>
      <c r="S18" s="330"/>
      <c r="T18" s="330"/>
      <c r="U18" s="330"/>
      <c r="V18" s="330"/>
      <c r="W18" s="330"/>
      <c r="X18" s="330"/>
      <c r="Y18" s="330"/>
      <c r="Z18" s="330"/>
    </row>
    <row r="19" spans="1:26" s="334" customFormat="1" ht="18.399999999999999" customHeight="1">
      <c r="A19" s="527" t="s">
        <v>491</v>
      </c>
      <c r="B19" s="528"/>
      <c r="C19" s="529"/>
      <c r="D19" s="530" t="s">
        <v>38</v>
      </c>
      <c r="E19" s="515"/>
      <c r="F19" s="523"/>
      <c r="G19" s="524"/>
      <c r="H19" s="386" t="s">
        <v>175</v>
      </c>
      <c r="I19" s="347"/>
      <c r="J19" s="354">
        <v>3575</v>
      </c>
      <c r="K19" s="355"/>
      <c r="L19" s="330"/>
      <c r="M19" s="330"/>
      <c r="N19" s="330"/>
      <c r="O19" s="330"/>
      <c r="P19" s="330"/>
      <c r="Q19" s="330"/>
      <c r="R19" s="330"/>
      <c r="S19" s="330"/>
      <c r="T19" s="330"/>
      <c r="U19" s="330"/>
      <c r="V19" s="330"/>
      <c r="W19" s="330"/>
      <c r="X19" s="330"/>
      <c r="Y19" s="330"/>
      <c r="Z19" s="330"/>
    </row>
    <row r="20" spans="1:26" s="334" customFormat="1" ht="18.399999999999999" customHeight="1" thickBot="1">
      <c r="A20" s="388" t="s">
        <v>492</v>
      </c>
      <c r="C20" s="389"/>
      <c r="D20" s="531" t="s">
        <v>212</v>
      </c>
      <c r="E20" s="532"/>
      <c r="F20" s="523"/>
      <c r="G20" s="524"/>
      <c r="H20" s="386" t="s">
        <v>493</v>
      </c>
      <c r="I20" s="347"/>
      <c r="J20" s="358" t="s">
        <v>40</v>
      </c>
      <c r="K20" s="355"/>
      <c r="L20" s="330"/>
      <c r="M20" s="330"/>
      <c r="N20" s="330"/>
      <c r="O20" s="330"/>
      <c r="P20" s="330"/>
      <c r="Q20" s="330"/>
      <c r="R20" s="330"/>
      <c r="S20" s="330"/>
      <c r="T20" s="330"/>
      <c r="U20" s="330"/>
      <c r="V20" s="330"/>
      <c r="W20" s="330"/>
      <c r="X20" s="330"/>
      <c r="Y20" s="330"/>
      <c r="Z20" s="330"/>
    </row>
    <row r="21" spans="1:26" s="334" customFormat="1" ht="18.399999999999999" customHeight="1" thickBot="1">
      <c r="A21" s="533" t="s">
        <v>494</v>
      </c>
      <c r="B21" s="534"/>
      <c r="C21" s="535"/>
      <c r="D21" s="536" t="s">
        <v>38</v>
      </c>
      <c r="E21" s="532"/>
      <c r="F21" s="523"/>
      <c r="G21" s="524"/>
      <c r="H21" s="390" t="s">
        <v>495</v>
      </c>
      <c r="I21" s="347"/>
      <c r="J21" s="358">
        <v>1.1499999999999999</v>
      </c>
      <c r="K21" s="355"/>
      <c r="L21" s="330"/>
      <c r="M21" s="330"/>
      <c r="N21" s="330"/>
      <c r="O21" s="330"/>
      <c r="P21" s="330"/>
      <c r="Q21" s="331" t="s">
        <v>496</v>
      </c>
      <c r="R21" s="333"/>
      <c r="S21" s="330"/>
      <c r="T21" s="330"/>
      <c r="U21" s="330"/>
      <c r="V21" s="330"/>
      <c r="W21" s="330"/>
      <c r="X21" s="330"/>
      <c r="Y21" s="330"/>
      <c r="Z21" s="330"/>
    </row>
    <row r="22" spans="1:26" s="334" customFormat="1" ht="18.399999999999999" customHeight="1">
      <c r="A22" s="384" t="s">
        <v>497</v>
      </c>
      <c r="B22" s="391"/>
      <c r="C22" s="391"/>
      <c r="D22" s="537">
        <v>0.23309999704360962</v>
      </c>
      <c r="E22" s="538"/>
      <c r="F22" s="523"/>
      <c r="G22" s="524"/>
      <c r="H22" s="386" t="s">
        <v>449</v>
      </c>
      <c r="I22" s="347"/>
      <c r="J22" s="358"/>
      <c r="K22" s="355"/>
      <c r="L22" s="330"/>
      <c r="M22" s="330"/>
      <c r="N22" s="330"/>
      <c r="O22" s="330"/>
      <c r="P22" s="330"/>
      <c r="Q22" s="341" t="s">
        <v>498</v>
      </c>
      <c r="R22" s="343"/>
      <c r="S22" s="330"/>
      <c r="T22" s="330"/>
      <c r="U22" s="330"/>
      <c r="V22" s="330"/>
      <c r="W22" s="330"/>
      <c r="X22" s="330"/>
      <c r="Y22" s="330"/>
      <c r="Z22" s="330"/>
    </row>
    <row r="23" spans="1:26" s="334" customFormat="1" ht="18.399999999999999" customHeight="1">
      <c r="A23" s="392" t="s">
        <v>499</v>
      </c>
      <c r="B23" s="393" t="s">
        <v>500</v>
      </c>
      <c r="C23" s="394"/>
      <c r="D23" s="539">
        <v>287</v>
      </c>
      <c r="E23" s="540"/>
      <c r="F23" s="523"/>
      <c r="G23" s="524"/>
      <c r="H23" s="395" t="s">
        <v>501</v>
      </c>
      <c r="I23" s="396"/>
      <c r="J23" s="397"/>
      <c r="K23" s="398"/>
      <c r="L23" s="330"/>
      <c r="Q23" s="341" t="s">
        <v>502</v>
      </c>
      <c r="R23" s="343"/>
      <c r="S23" s="330"/>
      <c r="T23" s="330"/>
      <c r="U23" s="330"/>
      <c r="V23" s="330"/>
      <c r="W23" s="330"/>
      <c r="X23" s="330"/>
      <c r="Y23" s="330"/>
      <c r="Z23" s="330"/>
    </row>
    <row r="24" spans="1:26" s="334" customFormat="1" ht="18.399999999999999" customHeight="1" thickBot="1">
      <c r="A24" s="399" t="s">
        <v>503</v>
      </c>
      <c r="B24" s="400" t="s">
        <v>504</v>
      </c>
      <c r="C24" s="401"/>
      <c r="D24" s="541">
        <v>323</v>
      </c>
      <c r="E24" s="542"/>
      <c r="F24" s="523"/>
      <c r="G24" s="524"/>
      <c r="H24" s="386" t="s">
        <v>505</v>
      </c>
      <c r="I24" s="367"/>
      <c r="J24" s="402"/>
      <c r="K24" s="403"/>
      <c r="Q24" s="404" t="s">
        <v>38</v>
      </c>
      <c r="R24" s="405"/>
      <c r="S24" s="330"/>
      <c r="T24" s="330"/>
      <c r="U24" s="330"/>
      <c r="V24" s="330"/>
      <c r="W24" s="330"/>
      <c r="X24" s="330"/>
      <c r="Y24" s="330"/>
      <c r="Z24" s="330"/>
    </row>
    <row r="25" spans="1:26" s="334" customFormat="1" ht="18.399999999999999" customHeight="1">
      <c r="A25" s="406" t="s">
        <v>506</v>
      </c>
      <c r="B25" s="407"/>
      <c r="C25" s="407"/>
      <c r="D25" s="408"/>
      <c r="E25" s="408" t="s">
        <v>507</v>
      </c>
      <c r="F25" s="523"/>
      <c r="G25" s="524"/>
      <c r="H25" s="386" t="s">
        <v>508</v>
      </c>
      <c r="I25" s="367"/>
      <c r="J25" s="409">
        <v>92</v>
      </c>
      <c r="K25" s="403"/>
      <c r="R25" s="330"/>
      <c r="S25" s="330"/>
      <c r="T25" s="330"/>
      <c r="U25" s="330"/>
      <c r="V25" s="330"/>
      <c r="W25" s="330"/>
      <c r="X25" s="330"/>
      <c r="Y25" s="330"/>
      <c r="Z25" s="330"/>
    </row>
    <row r="26" spans="1:26" s="334" customFormat="1" ht="18.399999999999999" customHeight="1">
      <c r="A26" s="410" t="s">
        <v>509</v>
      </c>
      <c r="B26" s="411"/>
      <c r="C26" s="412"/>
      <c r="D26" s="413" t="s">
        <v>510</v>
      </c>
      <c r="E26" s="413" t="s">
        <v>511</v>
      </c>
      <c r="F26" s="525"/>
      <c r="G26" s="526"/>
      <c r="H26" s="543"/>
      <c r="I26" s="544"/>
      <c r="J26" s="414"/>
      <c r="K26" s="415"/>
      <c r="R26" s="330"/>
      <c r="S26" s="330"/>
      <c r="T26" s="330"/>
      <c r="U26" s="330"/>
      <c r="V26" s="330"/>
      <c r="W26" s="330"/>
      <c r="X26" s="330"/>
      <c r="Y26" s="330"/>
      <c r="Z26" s="330"/>
    </row>
    <row r="27" spans="1:26" s="334" customFormat="1" ht="18.399999999999999" customHeight="1">
      <c r="A27" s="493" t="s">
        <v>512</v>
      </c>
      <c r="B27" s="494"/>
      <c r="C27" s="494"/>
      <c r="D27" s="494"/>
      <c r="E27" s="494"/>
      <c r="F27" s="478" t="s">
        <v>513</v>
      </c>
      <c r="G27" s="479"/>
      <c r="H27" s="479"/>
      <c r="I27" s="479"/>
      <c r="J27" s="479"/>
      <c r="K27" s="480" t="s">
        <v>699</v>
      </c>
      <c r="R27" s="330"/>
      <c r="S27" s="330"/>
      <c r="T27" s="330"/>
      <c r="U27" s="330"/>
      <c r="V27" s="330"/>
      <c r="W27" s="330"/>
      <c r="X27" s="330"/>
      <c r="Y27" s="330"/>
      <c r="Z27" s="330"/>
    </row>
    <row r="28" spans="1:26" s="334" customFormat="1" ht="18.399999999999999" customHeight="1">
      <c r="A28" s="497"/>
      <c r="B28" s="498"/>
      <c r="C28" s="498"/>
      <c r="D28" s="498"/>
      <c r="E28" s="499"/>
      <c r="F28" s="416"/>
      <c r="G28" s="417"/>
      <c r="H28" s="375" t="s">
        <v>514</v>
      </c>
      <c r="I28" s="418" t="s">
        <v>515</v>
      </c>
      <c r="J28" s="354">
        <v>945</v>
      </c>
      <c r="K28" s="419">
        <v>1027</v>
      </c>
      <c r="M28" s="481">
        <f>J28/J18</f>
        <v>6.2171052631578947</v>
      </c>
      <c r="N28" s="492">
        <f>K28/J18</f>
        <v>6.7565789473684212</v>
      </c>
      <c r="R28" s="330"/>
      <c r="S28" s="330"/>
      <c r="T28" s="330"/>
      <c r="U28" s="330"/>
      <c r="V28" s="330"/>
      <c r="W28" s="330"/>
      <c r="X28" s="330"/>
      <c r="Y28" s="330"/>
      <c r="Z28" s="330"/>
    </row>
    <row r="29" spans="1:26" s="334" customFormat="1" ht="18.399999999999999" customHeight="1">
      <c r="A29" s="497"/>
      <c r="B29" s="498"/>
      <c r="C29" s="498"/>
      <c r="D29" s="498"/>
      <c r="E29" s="499"/>
      <c r="F29" s="420"/>
      <c r="G29" s="421"/>
      <c r="H29" s="375" t="s">
        <v>516</v>
      </c>
      <c r="I29" s="422">
        <v>60</v>
      </c>
      <c r="J29" s="354">
        <v>94</v>
      </c>
      <c r="K29" s="349" t="s">
        <v>38</v>
      </c>
      <c r="Q29" s="330"/>
      <c r="R29" s="330"/>
      <c r="S29" s="330"/>
      <c r="T29" s="330"/>
      <c r="U29" s="330"/>
      <c r="V29" s="330"/>
      <c r="W29" s="330"/>
      <c r="X29" s="330"/>
      <c r="Y29" s="330"/>
      <c r="Z29" s="330"/>
    </row>
    <row r="30" spans="1:26" s="334" customFormat="1" ht="18.399999999999999" customHeight="1">
      <c r="A30" s="497"/>
      <c r="B30" s="498"/>
      <c r="C30" s="498"/>
      <c r="D30" s="498"/>
      <c r="E30" s="499"/>
      <c r="F30" s="420"/>
      <c r="G30" s="421"/>
      <c r="H30" s="375" t="s">
        <v>517</v>
      </c>
      <c r="I30" s="422">
        <v>175</v>
      </c>
      <c r="J30" s="354">
        <v>218</v>
      </c>
      <c r="K30" s="349" t="s">
        <v>38</v>
      </c>
      <c r="L30" s="330"/>
      <c r="R30" s="330"/>
      <c r="S30" s="330"/>
      <c r="T30" s="330"/>
      <c r="U30" s="330"/>
      <c r="V30" s="330"/>
      <c r="W30" s="330"/>
      <c r="X30" s="330"/>
      <c r="Y30" s="330"/>
      <c r="Z30" s="330"/>
    </row>
    <row r="31" spans="1:26" s="334" customFormat="1" ht="18.399999999999999" customHeight="1">
      <c r="A31" s="497"/>
      <c r="B31" s="498"/>
      <c r="C31" s="498"/>
      <c r="D31" s="498"/>
      <c r="E31" s="499"/>
      <c r="F31" s="420"/>
      <c r="G31" s="421"/>
      <c r="H31" s="375" t="s">
        <v>518</v>
      </c>
      <c r="I31" s="376"/>
      <c r="J31" s="423">
        <v>0.56999999999999995</v>
      </c>
      <c r="K31" s="349" t="s">
        <v>38</v>
      </c>
      <c r="L31" s="330"/>
      <c r="R31" s="330"/>
      <c r="S31" s="330"/>
      <c r="T31" s="330"/>
      <c r="U31" s="330"/>
      <c r="V31" s="330"/>
      <c r="W31" s="330"/>
      <c r="X31" s="330"/>
      <c r="Y31" s="330"/>
      <c r="Z31" s="330"/>
    </row>
    <row r="32" spans="1:26" s="334" customFormat="1" ht="18.399999999999999" customHeight="1">
      <c r="A32" s="500"/>
      <c r="B32" s="501"/>
      <c r="C32" s="501"/>
      <c r="D32" s="501"/>
      <c r="E32" s="502"/>
      <c r="F32" s="420"/>
      <c r="G32" s="424" t="s">
        <v>519</v>
      </c>
      <c r="H32" s="375" t="s">
        <v>520</v>
      </c>
      <c r="I32" s="425"/>
      <c r="J32" s="348">
        <v>95.9</v>
      </c>
      <c r="K32" s="349" t="s">
        <v>38</v>
      </c>
      <c r="L32" s="330"/>
      <c r="N32" s="426"/>
      <c r="R32" s="330"/>
      <c r="S32" s="330"/>
      <c r="T32" s="330"/>
      <c r="U32" s="330"/>
      <c r="V32" s="330"/>
      <c r="W32" s="330"/>
      <c r="X32" s="330"/>
      <c r="Y32" s="330"/>
      <c r="Z32" s="330"/>
    </row>
    <row r="33" spans="1:26" s="334" customFormat="1" ht="18.399999999999999" customHeight="1">
      <c r="A33" s="493" t="s">
        <v>521</v>
      </c>
      <c r="B33" s="494"/>
      <c r="C33" s="494"/>
      <c r="D33" s="494"/>
      <c r="E33" s="503"/>
      <c r="F33" s="427"/>
      <c r="G33" s="428"/>
      <c r="H33" s="429" t="s">
        <v>522</v>
      </c>
      <c r="I33" s="430"/>
      <c r="J33" s="431">
        <v>92.2</v>
      </c>
      <c r="K33" s="419" t="s">
        <v>38</v>
      </c>
      <c r="L33" s="330"/>
      <c r="O33" s="334" t="s">
        <v>700</v>
      </c>
      <c r="P33" s="486">
        <v>45924</v>
      </c>
      <c r="Q33" s="334" t="s">
        <v>706</v>
      </c>
      <c r="R33" s="330"/>
      <c r="S33" s="330"/>
      <c r="T33" s="330"/>
      <c r="U33" s="330"/>
      <c r="V33" s="330"/>
      <c r="W33" s="330"/>
      <c r="X33" s="330"/>
      <c r="Y33" s="330"/>
      <c r="Z33" s="330"/>
    </row>
    <row r="34" spans="1:26" s="334" customFormat="1" ht="18.399999999999999" customHeight="1">
      <c r="A34" s="497"/>
      <c r="B34" s="498"/>
      <c r="C34" s="498"/>
      <c r="D34" s="498"/>
      <c r="E34" s="499"/>
      <c r="F34" s="350" t="s">
        <v>523</v>
      </c>
      <c r="G34" s="432"/>
      <c r="H34" s="433" t="s">
        <v>201</v>
      </c>
      <c r="I34" s="434"/>
      <c r="J34" s="435">
        <v>6869</v>
      </c>
      <c r="K34" s="419" t="s">
        <v>38</v>
      </c>
      <c r="L34" s="436"/>
      <c r="M34" s="437"/>
      <c r="R34" s="330"/>
      <c r="S34" s="330"/>
      <c r="T34" s="330"/>
      <c r="U34" s="330"/>
      <c r="V34" s="330"/>
      <c r="W34" s="330"/>
      <c r="X34" s="330"/>
      <c r="Y34" s="330"/>
      <c r="Z34" s="330"/>
    </row>
    <row r="35" spans="1:26" s="334" customFormat="1" ht="18.399999999999999" customHeight="1">
      <c r="A35" s="497"/>
      <c r="B35" s="498"/>
      <c r="C35" s="498"/>
      <c r="D35" s="498"/>
      <c r="E35" s="499"/>
      <c r="F35" s="369"/>
      <c r="G35" s="438"/>
      <c r="H35" s="439" t="s">
        <v>202</v>
      </c>
      <c r="I35" s="377"/>
      <c r="J35" s="354">
        <v>5522</v>
      </c>
      <c r="K35" s="419" t="s">
        <v>38</v>
      </c>
      <c r="M35" s="437"/>
      <c r="O35" s="334" t="s">
        <v>701</v>
      </c>
      <c r="P35" s="334" t="s">
        <v>702</v>
      </c>
      <c r="Q35" s="334" t="s">
        <v>705</v>
      </c>
      <c r="S35" s="330" t="s">
        <v>703</v>
      </c>
      <c r="T35" s="330" t="s">
        <v>704</v>
      </c>
      <c r="U35" s="330"/>
      <c r="V35" s="330"/>
      <c r="W35" s="330"/>
      <c r="X35" s="330"/>
      <c r="Y35" s="330"/>
      <c r="Z35" s="330"/>
    </row>
    <row r="36" spans="1:26" s="334" customFormat="1" ht="18.399999999999999" customHeight="1">
      <c r="A36" s="497"/>
      <c r="B36" s="498"/>
      <c r="C36" s="498"/>
      <c r="D36" s="498"/>
      <c r="E36" s="499"/>
      <c r="F36" s="369"/>
      <c r="G36" s="438"/>
      <c r="H36" s="439" t="s">
        <v>524</v>
      </c>
      <c r="I36" s="377"/>
      <c r="J36" s="354">
        <v>6100</v>
      </c>
      <c r="K36" s="419" t="s">
        <v>38</v>
      </c>
      <c r="O36" s="334">
        <v>2578.14</v>
      </c>
      <c r="P36" s="334">
        <v>633.37</v>
      </c>
      <c r="Q36" s="482">
        <f>P36/$J$18</f>
        <v>4.1669078947368421</v>
      </c>
      <c r="S36" s="330">
        <f t="shared" ref="S36:T43" si="0">LOG(O36)</f>
        <v>3.4113064970269269</v>
      </c>
      <c r="T36" s="330">
        <f t="shared" si="0"/>
        <v>2.8016574888701022</v>
      </c>
      <c r="U36" s="330"/>
      <c r="V36" s="330"/>
      <c r="W36" s="330"/>
      <c r="X36" s="330"/>
      <c r="Y36" s="330"/>
      <c r="Z36" s="330"/>
    </row>
    <row r="37" spans="1:26" s="334" customFormat="1" ht="18.399999999999999" customHeight="1">
      <c r="A37" s="497"/>
      <c r="B37" s="498"/>
      <c r="C37" s="498"/>
      <c r="D37" s="498"/>
      <c r="E37" s="499"/>
      <c r="F37" s="420"/>
      <c r="G37" s="438"/>
      <c r="H37" s="439" t="s">
        <v>525</v>
      </c>
      <c r="I37" s="377"/>
      <c r="J37" s="354">
        <v>17823</v>
      </c>
      <c r="K37" s="440" t="s">
        <v>38</v>
      </c>
      <c r="M37" s="441"/>
      <c r="O37" s="483">
        <v>2363.7800000000002</v>
      </c>
      <c r="P37" s="483">
        <v>570.11</v>
      </c>
      <c r="Q37" s="484">
        <f t="shared" ref="Q37:Q43" si="1">P37/$J$18</f>
        <v>3.7507236842105263</v>
      </c>
      <c r="S37" s="485">
        <f t="shared" si="0"/>
        <v>3.3736070537523153</v>
      </c>
      <c r="T37" s="485">
        <f t="shared" si="0"/>
        <v>2.7559586588022906</v>
      </c>
      <c r="U37" s="330"/>
      <c r="V37" s="330"/>
      <c r="W37" s="330"/>
      <c r="X37" s="330"/>
      <c r="Y37" s="330"/>
      <c r="Z37" s="330"/>
    </row>
    <row r="38" spans="1:26" s="334" customFormat="1" ht="18.399999999999999" customHeight="1">
      <c r="A38" s="500"/>
      <c r="B38" s="501"/>
      <c r="C38" s="501"/>
      <c r="D38" s="501"/>
      <c r="E38" s="502"/>
      <c r="F38" s="378"/>
      <c r="G38" s="442"/>
      <c r="H38" s="443" t="s">
        <v>526</v>
      </c>
      <c r="I38" s="444"/>
      <c r="J38" s="445">
        <v>3981</v>
      </c>
      <c r="K38" s="419" t="s">
        <v>38</v>
      </c>
      <c r="O38" s="483">
        <v>1918.95</v>
      </c>
      <c r="P38" s="483">
        <v>450.80099999999999</v>
      </c>
      <c r="Q38" s="484">
        <f t="shared" si="1"/>
        <v>2.9657960526315787</v>
      </c>
      <c r="S38" s="485">
        <f t="shared" si="0"/>
        <v>3.2830636589423547</v>
      </c>
      <c r="T38" s="485">
        <f t="shared" si="0"/>
        <v>2.6539848707591625</v>
      </c>
      <c r="U38" s="330"/>
      <c r="V38" s="330"/>
      <c r="W38" s="330"/>
      <c r="X38" s="330"/>
      <c r="Y38" s="330"/>
      <c r="Z38" s="330"/>
    </row>
    <row r="39" spans="1:26" s="334" customFormat="1" ht="18.399999999999999" customHeight="1">
      <c r="A39" s="493" t="s">
        <v>527</v>
      </c>
      <c r="B39" s="494"/>
      <c r="C39" s="494"/>
      <c r="D39" s="494"/>
      <c r="E39" s="494"/>
      <c r="F39" s="446" t="s">
        <v>528</v>
      </c>
      <c r="G39" s="447" t="s">
        <v>529</v>
      </c>
      <c r="H39" s="447"/>
      <c r="I39" s="447"/>
      <c r="J39" s="447"/>
      <c r="K39" s="448"/>
      <c r="O39" s="483">
        <v>1782.11</v>
      </c>
      <c r="P39" s="483">
        <v>410.32600000000002</v>
      </c>
      <c r="Q39" s="484">
        <f t="shared" si="1"/>
        <v>2.6995131578947369</v>
      </c>
      <c r="S39" s="485">
        <f t="shared" si="0"/>
        <v>3.2509345071748252</v>
      </c>
      <c r="T39" s="485">
        <f t="shared" si="0"/>
        <v>2.6131290365837252</v>
      </c>
      <c r="U39" s="330"/>
      <c r="V39" s="330"/>
      <c r="W39" s="330"/>
      <c r="X39" s="330"/>
      <c r="Y39" s="330"/>
      <c r="Z39" s="330"/>
    </row>
    <row r="40" spans="1:26" s="334" customFormat="1" ht="18.399999999999999" customHeight="1">
      <c r="A40" s="497"/>
      <c r="B40" s="498"/>
      <c r="C40" s="498"/>
      <c r="D40" s="498"/>
      <c r="E40" s="499"/>
      <c r="F40" s="449" t="s">
        <v>530</v>
      </c>
      <c r="G40" s="450" t="s">
        <v>531</v>
      </c>
      <c r="H40" s="450"/>
      <c r="I40" s="450"/>
      <c r="J40" s="450"/>
      <c r="K40" s="451"/>
      <c r="O40" s="483">
        <v>1179.32</v>
      </c>
      <c r="P40" s="483">
        <v>260.81599999999997</v>
      </c>
      <c r="Q40" s="484">
        <f t="shared" si="1"/>
        <v>1.7158947368421051</v>
      </c>
      <c r="S40" s="485">
        <f t="shared" si="0"/>
        <v>3.0716316637699612</v>
      </c>
      <c r="T40" s="485">
        <f t="shared" si="0"/>
        <v>2.4163342300758659</v>
      </c>
      <c r="U40" s="330"/>
      <c r="V40" s="330"/>
      <c r="W40" s="330"/>
      <c r="X40" s="330"/>
      <c r="Y40" s="330"/>
      <c r="Z40" s="330"/>
    </row>
    <row r="41" spans="1:26" s="334" customFormat="1" ht="18.399999999999999" customHeight="1">
      <c r="A41" s="497"/>
      <c r="B41" s="498"/>
      <c r="C41" s="498"/>
      <c r="D41" s="498"/>
      <c r="E41" s="499"/>
      <c r="F41" s="449"/>
      <c r="G41" s="452" t="s">
        <v>532</v>
      </c>
      <c r="H41" s="452"/>
      <c r="I41" s="452"/>
      <c r="J41" s="452"/>
      <c r="K41" s="453"/>
      <c r="L41" s="454"/>
      <c r="O41" s="334">
        <v>982.72</v>
      </c>
      <c r="P41" s="334">
        <v>212.38800000000001</v>
      </c>
      <c r="Q41" s="482">
        <f t="shared" si="1"/>
        <v>1.3972894736842105</v>
      </c>
      <c r="S41" s="330">
        <f t="shared" si="0"/>
        <v>2.992429794762975</v>
      </c>
      <c r="T41" s="330">
        <f t="shared" si="0"/>
        <v>2.3271299753048793</v>
      </c>
      <c r="U41" s="330"/>
      <c r="V41" s="330"/>
      <c r="W41" s="330"/>
      <c r="X41" s="330"/>
      <c r="Y41" s="330"/>
      <c r="Z41" s="330"/>
    </row>
    <row r="42" spans="1:26" s="334" customFormat="1" ht="18.399999999999999" customHeight="1">
      <c r="A42" s="497"/>
      <c r="B42" s="498"/>
      <c r="C42" s="498"/>
      <c r="D42" s="498"/>
      <c r="E42" s="499"/>
      <c r="F42" s="449"/>
      <c r="G42" s="452" t="s">
        <v>533</v>
      </c>
      <c r="H42" s="452"/>
      <c r="I42" s="452"/>
      <c r="J42" s="452"/>
      <c r="K42" s="453"/>
      <c r="L42" s="330"/>
      <c r="M42" s="330"/>
      <c r="N42" s="330"/>
      <c r="O42" s="330">
        <v>879.29</v>
      </c>
      <c r="P42" s="330">
        <v>188.90199999999999</v>
      </c>
      <c r="Q42" s="482">
        <f t="shared" si="1"/>
        <v>1.2427763157894736</v>
      </c>
      <c r="S42" s="330">
        <f t="shared" si="0"/>
        <v>2.9441321340366211</v>
      </c>
      <c r="T42" s="330">
        <f t="shared" si="0"/>
        <v>2.2762365560391746</v>
      </c>
      <c r="U42" s="330"/>
      <c r="V42" s="330"/>
      <c r="W42" s="330"/>
      <c r="X42" s="330"/>
      <c r="Y42" s="330"/>
      <c r="Z42" s="330"/>
    </row>
    <row r="43" spans="1:26" s="334" customFormat="1" ht="18.399999999999999" customHeight="1">
      <c r="A43" s="497"/>
      <c r="B43" s="498"/>
      <c r="C43" s="498"/>
      <c r="D43" s="498"/>
      <c r="E43" s="499"/>
      <c r="F43" s="449"/>
      <c r="G43" s="487" t="s">
        <v>707</v>
      </c>
      <c r="H43" s="452"/>
      <c r="I43" s="452"/>
      <c r="J43" s="452"/>
      <c r="K43" s="453"/>
      <c r="L43" s="330"/>
      <c r="M43" s="330"/>
      <c r="N43" s="330"/>
      <c r="O43" s="330">
        <v>688.7</v>
      </c>
      <c r="P43" s="330">
        <v>148.047</v>
      </c>
      <c r="Q43" s="482">
        <f t="shared" si="1"/>
        <v>0.97399342105263154</v>
      </c>
      <c r="S43" s="330">
        <f t="shared" si="0"/>
        <v>2.8380300829853202</v>
      </c>
      <c r="T43" s="330">
        <f t="shared" si="0"/>
        <v>2.170399611342702</v>
      </c>
      <c r="U43" s="330"/>
      <c r="V43" s="330"/>
      <c r="W43" s="330"/>
      <c r="X43" s="330"/>
      <c r="Y43" s="330"/>
      <c r="Z43" s="330"/>
    </row>
    <row r="44" spans="1:26" s="334" customFormat="1" ht="17.100000000000001" customHeight="1" thickBot="1">
      <c r="A44" s="504"/>
      <c r="B44" s="505"/>
      <c r="C44" s="505"/>
      <c r="D44" s="505"/>
      <c r="E44" s="506"/>
      <c r="F44" s="449"/>
      <c r="G44" s="488" t="s">
        <v>708</v>
      </c>
      <c r="H44" s="452"/>
      <c r="I44" s="452"/>
      <c r="J44" s="452"/>
      <c r="K44" s="453"/>
      <c r="L44" s="330"/>
      <c r="M44" s="330"/>
      <c r="N44" s="330"/>
      <c r="O44" s="330"/>
      <c r="P44" s="330"/>
      <c r="Q44" s="330"/>
      <c r="S44" s="330"/>
      <c r="T44" s="330"/>
      <c r="U44" s="330"/>
      <c r="V44" s="330"/>
      <c r="W44" s="330"/>
      <c r="X44" s="330"/>
      <c r="Y44" s="330"/>
      <c r="Z44" s="330"/>
    </row>
    <row r="45" spans="1:26" s="334" customFormat="1" ht="17.100000000000001" customHeight="1">
      <c r="A45" s="455" t="s">
        <v>534</v>
      </c>
      <c r="B45" s="507"/>
      <c r="C45" s="508"/>
      <c r="D45" s="456" t="s">
        <v>535</v>
      </c>
      <c r="E45" s="457" t="s">
        <v>536</v>
      </c>
      <c r="F45" s="458"/>
      <c r="G45" s="491" t="s">
        <v>709</v>
      </c>
      <c r="H45" s="489"/>
      <c r="I45" s="489"/>
      <c r="J45" s="489"/>
      <c r="K45" s="490"/>
      <c r="L45" s="330"/>
      <c r="M45" s="330"/>
      <c r="N45" s="330"/>
      <c r="O45" s="330">
        <v>4000</v>
      </c>
      <c r="P45" s="330">
        <f>10^T45</f>
        <v>1026.553019293061</v>
      </c>
      <c r="Q45" s="330"/>
      <c r="S45" s="330">
        <f>LOG(O45)</f>
        <v>3.6020599913279625</v>
      </c>
      <c r="T45" s="330">
        <f>FORECAST(S45,T37:T40,S37:S40)</f>
        <v>3.0113813846776565</v>
      </c>
      <c r="U45" s="330"/>
      <c r="V45" s="330"/>
      <c r="W45" s="330"/>
      <c r="X45" s="330"/>
      <c r="Y45" s="330"/>
      <c r="Z45" s="330"/>
    </row>
    <row r="46" spans="1:26" s="334" customFormat="1" ht="17.100000000000001" customHeight="1" thickBot="1">
      <c r="A46" s="459" t="s">
        <v>537</v>
      </c>
      <c r="B46" s="495"/>
      <c r="C46" s="496"/>
      <c r="D46" s="460" t="s">
        <v>537</v>
      </c>
      <c r="E46" s="461">
        <v>37706</v>
      </c>
      <c r="F46" s="462"/>
      <c r="G46" s="463" t="s">
        <v>538</v>
      </c>
      <c r="H46" s="463"/>
      <c r="I46" s="463"/>
      <c r="J46" s="463"/>
      <c r="K46" s="464"/>
      <c r="L46" s="330"/>
      <c r="M46" s="330"/>
      <c r="N46" s="330"/>
      <c r="O46" s="330"/>
      <c r="P46" s="330"/>
      <c r="Q46" s="330"/>
      <c r="R46" s="330"/>
      <c r="S46" s="330"/>
      <c r="T46" s="330"/>
      <c r="U46" s="330"/>
      <c r="V46" s="330"/>
      <c r="W46" s="330"/>
      <c r="X46" s="330"/>
      <c r="Y46" s="330"/>
      <c r="Z46" s="330"/>
    </row>
    <row r="47" spans="1:26" s="334" customFormat="1" ht="17.100000000000001" customHeight="1">
      <c r="F47" s="465"/>
      <c r="G47" s="330"/>
      <c r="H47" s="330"/>
      <c r="I47" s="330"/>
      <c r="J47" s="330"/>
      <c r="K47" s="330"/>
      <c r="L47" s="330"/>
      <c r="M47" s="330"/>
      <c r="N47" s="330"/>
      <c r="O47" s="330"/>
      <c r="P47" s="330"/>
      <c r="Q47" s="330"/>
      <c r="R47" s="330"/>
      <c r="S47" s="330"/>
      <c r="T47" s="330"/>
      <c r="U47" s="330"/>
    </row>
    <row r="48" spans="1:26" s="334" customFormat="1" ht="17.100000000000001" customHeight="1">
      <c r="F48" s="330"/>
      <c r="G48" s="330"/>
      <c r="H48" s="330"/>
      <c r="I48" s="330"/>
      <c r="J48" s="330"/>
      <c r="K48" s="591" t="s">
        <v>710</v>
      </c>
    </row>
    <row r="49" spans="2:26" ht="17.100000000000001" customHeight="1">
      <c r="F49" s="320"/>
      <c r="G49" s="320"/>
      <c r="H49" s="320"/>
      <c r="I49" s="320"/>
      <c r="J49" s="320"/>
      <c r="K49" s="320"/>
      <c r="L49" s="321"/>
      <c r="M49" s="321"/>
      <c r="N49" s="321"/>
      <c r="O49" s="321"/>
      <c r="P49" s="321"/>
      <c r="Q49" s="321"/>
      <c r="R49" s="321"/>
      <c r="S49" s="321"/>
      <c r="T49" s="321"/>
      <c r="U49" s="321"/>
      <c r="V49" s="321"/>
      <c r="W49" s="321"/>
      <c r="X49" s="321"/>
      <c r="Y49" s="321"/>
      <c r="Z49" s="321"/>
    </row>
    <row r="50" spans="2:26">
      <c r="F50" s="320"/>
      <c r="G50" s="320"/>
      <c r="H50" s="320"/>
      <c r="I50" s="320"/>
      <c r="J50" s="320"/>
      <c r="K50" s="320"/>
      <c r="L50" s="321"/>
      <c r="M50" s="321"/>
      <c r="N50" s="321"/>
      <c r="O50" s="321"/>
      <c r="P50" s="321"/>
      <c r="Q50" s="321"/>
      <c r="R50" s="321"/>
      <c r="S50" s="321"/>
      <c r="T50" s="321"/>
      <c r="U50" s="321"/>
      <c r="V50" s="321"/>
      <c r="W50" s="321"/>
      <c r="X50" s="321"/>
      <c r="Y50" s="321"/>
      <c r="Z50" s="321"/>
    </row>
    <row r="51" spans="2:26">
      <c r="F51" s="320"/>
      <c r="G51" s="320"/>
      <c r="H51" s="320"/>
      <c r="I51" s="320"/>
      <c r="J51" s="320"/>
      <c r="K51" s="320"/>
      <c r="L51" s="321"/>
      <c r="M51" s="321"/>
      <c r="N51" s="321"/>
      <c r="O51" s="321"/>
      <c r="P51" s="321"/>
      <c r="Q51" s="321"/>
      <c r="R51" s="321"/>
      <c r="S51" s="321"/>
      <c r="T51" s="321"/>
      <c r="U51" s="321"/>
      <c r="V51" s="321"/>
      <c r="W51" s="321"/>
      <c r="X51" s="321"/>
      <c r="Y51" s="321"/>
      <c r="Z51" s="321"/>
    </row>
    <row r="52" spans="2:26">
      <c r="B52" s="320"/>
      <c r="C52" s="320"/>
      <c r="D52" s="320"/>
      <c r="E52" s="320"/>
      <c r="F52" s="320"/>
      <c r="G52" s="320"/>
      <c r="H52" s="320"/>
      <c r="I52" s="320"/>
      <c r="J52" s="320"/>
      <c r="K52" s="320"/>
      <c r="Q52" s="321"/>
      <c r="R52" s="321"/>
      <c r="S52" s="321"/>
      <c r="T52" s="321"/>
      <c r="U52" s="321"/>
      <c r="V52" s="321"/>
      <c r="W52" s="321"/>
      <c r="X52" s="321"/>
      <c r="Y52" s="321"/>
      <c r="Z52" s="321"/>
    </row>
    <row r="53" spans="2:26">
      <c r="F53" s="320"/>
      <c r="G53" s="320"/>
      <c r="H53" s="320"/>
      <c r="I53" s="320"/>
      <c r="J53" s="320"/>
      <c r="K53" s="320"/>
      <c r="Q53" s="321"/>
      <c r="R53" s="321"/>
      <c r="S53" s="321"/>
      <c r="T53" s="321"/>
      <c r="U53" s="321"/>
      <c r="V53" s="321"/>
      <c r="W53" s="321"/>
      <c r="X53" s="321"/>
      <c r="Y53" s="321"/>
      <c r="Z53" s="321"/>
    </row>
  </sheetData>
  <mergeCells count="48">
    <mergeCell ref="A1:K1"/>
    <mergeCell ref="A2:K2"/>
    <mergeCell ref="J3:K3"/>
    <mergeCell ref="A5:C5"/>
    <mergeCell ref="A6:C6"/>
    <mergeCell ref="D6:E6"/>
    <mergeCell ref="F6:K6"/>
    <mergeCell ref="F12:K12"/>
    <mergeCell ref="A7:C7"/>
    <mergeCell ref="D7:E7"/>
    <mergeCell ref="A8:C8"/>
    <mergeCell ref="D8:E8"/>
    <mergeCell ref="A9:C9"/>
    <mergeCell ref="D9:E9"/>
    <mergeCell ref="A10:C10"/>
    <mergeCell ref="D10:E10"/>
    <mergeCell ref="A11:C11"/>
    <mergeCell ref="D11:E11"/>
    <mergeCell ref="D12:E12"/>
    <mergeCell ref="A13:C13"/>
    <mergeCell ref="D13:E13"/>
    <mergeCell ref="A14:C14"/>
    <mergeCell ref="D14:E14"/>
    <mergeCell ref="A15:C15"/>
    <mergeCell ref="D15:E15"/>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H26:I26"/>
    <mergeCell ref="A27:E27"/>
    <mergeCell ref="B46:C46"/>
    <mergeCell ref="A28:E32"/>
    <mergeCell ref="A33:E33"/>
    <mergeCell ref="A34:E38"/>
    <mergeCell ref="A39:E39"/>
    <mergeCell ref="A40:E44"/>
    <mergeCell ref="B45:C45"/>
  </mergeCells>
  <dataValidations count="3">
    <dataValidation type="list" allowBlank="1" showInputMessage="1" errorTitle="Hold on!" error="Enter a valid motor type!" prompt="Motor Type  Select one from the list or input name" sqref="K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xr:uid="{083256DF-992A-46B6-9F9E-698737B31E05}">
      <formula1>$Q$5:$Q$12</formula1>
    </dataValidation>
    <dataValidation type="list" allowBlank="1" showErrorMessage="1" error="Choose from list!" sqref="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xr:uid="{DE1BCE1E-2753-4D6D-9CF3-5A4D10BF0AA8}">
      <formula1>$Q$22:$Q$24</formula1>
    </dataValidation>
    <dataValidation type="list" allowBlank="1" showInputMessage="1" sqref="D6:E6 IZ6:JA6 SV6:SW6 ACR6:ACS6 AMN6:AMO6 AWJ6:AWK6 BGF6:BGG6 BQB6:BQC6 BZX6:BZY6 CJT6:CJU6 CTP6:CTQ6 DDL6:DDM6 DNH6:DNI6 DXD6:DXE6 EGZ6:EHA6 EQV6:EQW6 FAR6:FAS6 FKN6:FKO6 FUJ6:FUK6 GEF6:GEG6 GOB6:GOC6 GXX6:GXY6 HHT6:HHU6 HRP6:HRQ6 IBL6:IBM6 ILH6:ILI6 IVD6:IVE6 JEZ6:JFA6 JOV6:JOW6 JYR6:JYS6 KIN6:KIO6 KSJ6:KSK6 LCF6:LCG6 LMB6:LMC6 LVX6:LVY6 MFT6:MFU6 MPP6:MPQ6 MZL6:MZM6 NJH6:NJI6 NTD6:NTE6 OCZ6:ODA6 OMV6:OMW6 OWR6:OWS6 PGN6:PGO6 PQJ6:PQK6 QAF6:QAG6 QKB6:QKC6 QTX6:QTY6 RDT6:RDU6 RNP6:RNQ6 RXL6:RXM6 SHH6:SHI6 SRD6:SRE6 TAZ6:TBA6 TKV6:TKW6 TUR6:TUS6 UEN6:UEO6 UOJ6:UOK6 UYF6:UYG6 VIB6:VIC6 VRX6:VRY6 WBT6:WBU6 WLP6:WLQ6 WVL6:WVM6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E0BDEBBF-EC87-47AF-9ABD-A31E1F7F6FB0}">
      <formula1>$T$5:$T$11</formula1>
    </dataValidation>
  </dataValidations>
  <printOptions horizontalCentered="1" verticalCentered="1"/>
  <pageMargins left="0.25" right="0.25" top="0.5" bottom="0.5" header="0.5" footer="0.5"/>
  <pageSetup scale="82" orientation="portrait" blackAndWhite="1" horizont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C733-AC18-4981-9FF0-ED8EF2EA91EE}">
  <sheetPr syncVertical="1" syncRef="A1" transitionEvaluation="1"/>
  <dimension ref="A1:N120"/>
  <sheetViews>
    <sheetView showGridLines="0" zoomScaleNormal="100" workbookViewId="0">
      <selection activeCell="O38" sqref="O38"/>
    </sheetView>
  </sheetViews>
  <sheetFormatPr defaultColWidth="8.796875" defaultRowHeight="15.75"/>
  <cols>
    <col min="1" max="13" width="4.8984375" style="8" customWidth="1"/>
    <col min="14" max="14" width="5" style="8" customWidth="1"/>
    <col min="15" max="16384" width="8.796875" style="8"/>
  </cols>
  <sheetData>
    <row r="1" spans="1:14" ht="17.100000000000001" customHeight="1">
      <c r="A1" s="1" t="s">
        <v>0</v>
      </c>
      <c r="B1" s="2"/>
      <c r="C1" s="2"/>
      <c r="D1" s="2"/>
      <c r="E1" s="2"/>
      <c r="F1" s="2"/>
      <c r="G1" s="2"/>
      <c r="H1" s="2"/>
      <c r="I1" s="2"/>
      <c r="J1" s="3" t="s">
        <v>1</v>
      </c>
      <c r="K1" s="4"/>
      <c r="L1" s="5" t="s">
        <v>2</v>
      </c>
      <c r="M1" s="6"/>
      <c r="N1" s="7"/>
    </row>
    <row r="2" spans="1:14" ht="17.100000000000001" customHeight="1">
      <c r="A2" s="9" t="s">
        <v>3</v>
      </c>
      <c r="B2" s="10"/>
      <c r="C2" s="10"/>
      <c r="D2" s="10"/>
      <c r="E2" s="10"/>
      <c r="F2" s="10"/>
      <c r="G2" s="10"/>
      <c r="H2" s="10"/>
      <c r="I2" s="10"/>
      <c r="J2" s="11" t="s">
        <v>4</v>
      </c>
      <c r="K2" s="12"/>
      <c r="L2" s="13" t="s">
        <v>5</v>
      </c>
      <c r="M2" s="14"/>
      <c r="N2" s="7"/>
    </row>
    <row r="3" spans="1:14" ht="15.95" customHeight="1">
      <c r="A3" s="15"/>
      <c r="B3" s="16"/>
      <c r="C3" s="16"/>
      <c r="D3" s="16"/>
      <c r="E3" s="16"/>
      <c r="F3" s="16"/>
      <c r="G3" s="16"/>
      <c r="H3" s="16"/>
      <c r="I3" s="16"/>
      <c r="J3" s="11" t="s">
        <v>6</v>
      </c>
      <c r="K3" s="12"/>
      <c r="L3" s="17" t="s">
        <v>7</v>
      </c>
      <c r="M3" s="14"/>
      <c r="N3" s="7"/>
    </row>
    <row r="4" spans="1:14" ht="15.95" customHeight="1">
      <c r="A4" s="18"/>
      <c r="B4" s="16"/>
      <c r="C4" s="16"/>
      <c r="D4" s="16"/>
      <c r="E4" s="16"/>
      <c r="F4" s="16"/>
      <c r="G4" s="16"/>
      <c r="H4" s="16"/>
      <c r="I4" s="16"/>
      <c r="J4" s="11" t="s">
        <v>8</v>
      </c>
      <c r="K4" s="12"/>
      <c r="L4" s="17" t="s">
        <v>9</v>
      </c>
      <c r="M4" s="14"/>
      <c r="N4" s="7"/>
    </row>
    <row r="5" spans="1:14" ht="15.95" customHeight="1">
      <c r="A5" s="15"/>
      <c r="B5" s="16"/>
      <c r="C5" s="16"/>
      <c r="D5" s="16"/>
      <c r="E5" s="16"/>
      <c r="F5" s="16"/>
      <c r="G5" s="16"/>
      <c r="H5" s="16"/>
      <c r="I5" s="16"/>
      <c r="J5" s="11" t="s">
        <v>10</v>
      </c>
      <c r="K5" s="12"/>
      <c r="L5" s="13">
        <v>2</v>
      </c>
      <c r="M5" s="14"/>
      <c r="N5" s="7"/>
    </row>
    <row r="6" spans="1:14" ht="15.95" customHeight="1">
      <c r="A6" s="19" t="s">
        <v>11</v>
      </c>
      <c r="B6" s="16"/>
      <c r="C6" s="16"/>
      <c r="D6" s="16"/>
      <c r="E6" s="16"/>
      <c r="F6" s="16"/>
      <c r="G6" s="16"/>
      <c r="H6" s="16"/>
      <c r="I6" s="16"/>
      <c r="J6" s="11" t="s">
        <v>12</v>
      </c>
      <c r="K6" s="12"/>
      <c r="L6" s="13" t="s">
        <v>13</v>
      </c>
      <c r="M6" s="14"/>
      <c r="N6" s="7"/>
    </row>
    <row r="7" spans="1:14" ht="15.95" customHeight="1" thickBot="1">
      <c r="A7" s="20" t="s">
        <v>14</v>
      </c>
      <c r="B7" s="21"/>
      <c r="C7" s="21"/>
      <c r="D7" s="21"/>
      <c r="E7" s="21"/>
      <c r="F7" s="21"/>
      <c r="G7" s="21"/>
      <c r="H7" s="21"/>
      <c r="I7" s="21"/>
      <c r="J7" s="22" t="s">
        <v>15</v>
      </c>
      <c r="K7" s="23"/>
      <c r="L7" s="24" t="s">
        <v>16</v>
      </c>
      <c r="M7" s="25"/>
      <c r="N7" s="7"/>
    </row>
    <row r="8" spans="1:14" ht="15.95" customHeight="1">
      <c r="A8" s="26"/>
      <c r="B8" s="16"/>
      <c r="C8" s="16"/>
      <c r="D8" s="16"/>
      <c r="E8" s="16"/>
      <c r="F8" s="16"/>
      <c r="G8" s="16"/>
      <c r="H8" s="16"/>
      <c r="I8" s="16"/>
      <c r="J8" s="16"/>
      <c r="K8" s="27"/>
      <c r="L8" s="28"/>
      <c r="M8" s="29"/>
      <c r="N8" s="16"/>
    </row>
    <row r="9" spans="1:14" ht="12" customHeight="1">
      <c r="A9" s="30"/>
      <c r="B9" s="31" t="s">
        <v>17</v>
      </c>
      <c r="C9" s="32" t="s">
        <v>18</v>
      </c>
      <c r="D9" s="33"/>
      <c r="E9" s="33"/>
      <c r="F9" s="33"/>
      <c r="G9" s="33"/>
      <c r="H9" s="33"/>
      <c r="I9" s="33"/>
      <c r="J9" s="33"/>
      <c r="K9" s="34"/>
      <c r="L9" s="30"/>
      <c r="M9" s="33"/>
      <c r="N9" s="16"/>
    </row>
    <row r="10" spans="1:14" ht="12" customHeight="1">
      <c r="A10" s="30"/>
      <c r="B10" s="31" t="s">
        <v>19</v>
      </c>
      <c r="C10" s="35" t="s">
        <v>20</v>
      </c>
      <c r="D10" s="30"/>
      <c r="E10" s="30"/>
      <c r="F10" s="30"/>
      <c r="G10" s="30"/>
      <c r="H10" s="30"/>
      <c r="I10" s="30"/>
      <c r="J10" s="30"/>
      <c r="K10" s="30"/>
      <c r="L10" s="30"/>
      <c r="M10" s="30"/>
      <c r="N10" s="28"/>
    </row>
    <row r="11" spans="1:14" ht="16.5" thickBot="1">
      <c r="A11" s="28"/>
      <c r="B11" s="28"/>
      <c r="C11" s="28"/>
      <c r="D11" s="28"/>
      <c r="E11" s="28"/>
      <c r="F11" s="28"/>
      <c r="G11" s="28"/>
      <c r="H11" s="28"/>
      <c r="I11" s="28"/>
      <c r="J11" s="28"/>
      <c r="K11" s="28"/>
      <c r="L11" s="28"/>
      <c r="M11" s="28"/>
      <c r="N11" s="28"/>
    </row>
    <row r="12" spans="1:14" ht="20.100000000000001" customHeight="1" thickBot="1">
      <c r="A12" s="36" t="s">
        <v>21</v>
      </c>
      <c r="B12" s="37"/>
      <c r="C12" s="37"/>
      <c r="D12" s="37"/>
      <c r="E12" s="37"/>
      <c r="F12" s="37"/>
      <c r="G12" s="37"/>
      <c r="H12" s="37"/>
      <c r="I12" s="37"/>
      <c r="J12" s="37"/>
      <c r="K12" s="37"/>
      <c r="L12" s="37"/>
      <c r="M12" s="38"/>
      <c r="N12" s="7"/>
    </row>
    <row r="13" spans="1:14" ht="12.95" customHeight="1" thickTop="1">
      <c r="A13" s="39"/>
      <c r="B13" s="31" t="s">
        <v>22</v>
      </c>
      <c r="C13" s="40">
        <v>1250</v>
      </c>
      <c r="D13" s="30"/>
      <c r="E13" s="31" t="s">
        <v>23</v>
      </c>
      <c r="F13" s="40">
        <v>4000</v>
      </c>
      <c r="G13" s="30"/>
      <c r="H13" s="31" t="s">
        <v>24</v>
      </c>
      <c r="I13" s="40" t="s">
        <v>25</v>
      </c>
      <c r="J13" s="30"/>
      <c r="K13" s="30"/>
      <c r="L13" s="31" t="s">
        <v>26</v>
      </c>
      <c r="M13" s="41">
        <v>3600</v>
      </c>
      <c r="N13" s="7"/>
    </row>
    <row r="14" spans="1:14" ht="12.95" customHeight="1">
      <c r="A14" s="39"/>
      <c r="B14" s="31" t="s">
        <v>27</v>
      </c>
      <c r="C14" s="32" t="s">
        <v>28</v>
      </c>
      <c r="D14" s="30"/>
      <c r="E14" s="31" t="s">
        <v>29</v>
      </c>
      <c r="F14" s="42" t="s">
        <v>30</v>
      </c>
      <c r="G14" s="30"/>
      <c r="H14" s="31" t="s">
        <v>31</v>
      </c>
      <c r="I14" s="40">
        <v>152</v>
      </c>
      <c r="J14" s="30"/>
      <c r="K14" s="30"/>
      <c r="L14" s="31" t="s">
        <v>32</v>
      </c>
      <c r="M14" s="41">
        <v>3580</v>
      </c>
      <c r="N14" s="7"/>
    </row>
    <row r="15" spans="1:14" ht="12.95" customHeight="1">
      <c r="A15" s="39"/>
      <c r="B15" s="31" t="s">
        <v>33</v>
      </c>
      <c r="C15" s="32" t="s">
        <v>34</v>
      </c>
      <c r="D15" s="30"/>
      <c r="E15" s="31" t="s">
        <v>35</v>
      </c>
      <c r="F15" s="43" t="s">
        <v>36</v>
      </c>
      <c r="G15" s="30"/>
      <c r="H15" s="31" t="s">
        <v>37</v>
      </c>
      <c r="I15" s="42" t="s">
        <v>38</v>
      </c>
      <c r="J15" s="30"/>
      <c r="K15" s="30"/>
      <c r="L15" s="31" t="s">
        <v>39</v>
      </c>
      <c r="M15" s="41" t="s">
        <v>40</v>
      </c>
      <c r="N15" s="7"/>
    </row>
    <row r="16" spans="1:14" ht="12.95" customHeight="1">
      <c r="A16" s="39"/>
      <c r="B16" s="31" t="s">
        <v>41</v>
      </c>
      <c r="C16" s="40" t="s">
        <v>42</v>
      </c>
      <c r="D16" s="30"/>
      <c r="E16" s="31" t="s">
        <v>43</v>
      </c>
      <c r="F16" s="40" t="s">
        <v>44</v>
      </c>
      <c r="G16" s="30"/>
      <c r="H16" s="44" t="s">
        <v>45</v>
      </c>
      <c r="I16" s="45" t="s">
        <v>40</v>
      </c>
      <c r="J16" s="30"/>
      <c r="K16" s="30"/>
      <c r="L16" s="31" t="s">
        <v>46</v>
      </c>
      <c r="M16" s="41" t="s">
        <v>47</v>
      </c>
      <c r="N16" s="7"/>
    </row>
    <row r="17" spans="1:14" ht="12.95" customHeight="1">
      <c r="A17" s="39"/>
      <c r="B17" s="31" t="s">
        <v>48</v>
      </c>
      <c r="C17" s="32" t="s">
        <v>49</v>
      </c>
      <c r="D17" s="30"/>
      <c r="E17" s="31"/>
      <c r="F17" s="42"/>
      <c r="G17" s="30"/>
      <c r="H17" s="31" t="s">
        <v>50</v>
      </c>
      <c r="I17" s="45" t="s">
        <v>38</v>
      </c>
      <c r="J17" s="30"/>
      <c r="K17" s="30"/>
      <c r="L17" s="31"/>
      <c r="M17" s="46"/>
      <c r="N17" s="7"/>
    </row>
    <row r="18" spans="1:14" ht="12.95" customHeight="1" thickBot="1">
      <c r="A18" s="47"/>
      <c r="B18" s="48" t="s">
        <v>51</v>
      </c>
      <c r="C18" s="49">
        <v>95.8</v>
      </c>
      <c r="D18" s="50"/>
      <c r="E18" s="48" t="s">
        <v>52</v>
      </c>
      <c r="F18" s="49" t="s">
        <v>38</v>
      </c>
      <c r="G18" s="51"/>
      <c r="H18" s="48" t="s">
        <v>53</v>
      </c>
      <c r="I18" s="49">
        <v>92</v>
      </c>
      <c r="J18" s="50"/>
      <c r="K18" s="50"/>
      <c r="L18" s="50"/>
      <c r="M18" s="52"/>
      <c r="N18" s="7"/>
    </row>
    <row r="19" spans="1:14" ht="16.5" thickBot="1">
      <c r="A19" s="7"/>
      <c r="B19" s="7"/>
      <c r="C19" s="7"/>
      <c r="D19" s="7"/>
      <c r="E19" s="7"/>
      <c r="F19" s="7"/>
      <c r="G19" s="7"/>
      <c r="H19" s="7"/>
      <c r="I19" s="7"/>
      <c r="J19" s="7"/>
      <c r="K19" s="7"/>
      <c r="L19" s="7"/>
      <c r="M19" s="7"/>
      <c r="N19" s="7"/>
    </row>
    <row r="20" spans="1:14" ht="20.100000000000001" customHeight="1" thickBot="1">
      <c r="A20" s="36"/>
      <c r="B20" s="37"/>
      <c r="C20" s="37"/>
      <c r="D20" s="37"/>
      <c r="E20" s="37"/>
      <c r="F20" s="37"/>
      <c r="G20" s="37"/>
      <c r="H20" s="37"/>
      <c r="I20" s="37"/>
      <c r="J20" s="37"/>
      <c r="K20" s="37"/>
      <c r="L20" s="37"/>
      <c r="M20" s="38"/>
    </row>
    <row r="21" spans="1:14" ht="15.95" customHeight="1" thickTop="1">
      <c r="A21" s="53" t="s">
        <v>54</v>
      </c>
      <c r="B21" s="54"/>
      <c r="C21" s="28"/>
      <c r="D21" s="55"/>
      <c r="E21" s="56" t="s">
        <v>55</v>
      </c>
      <c r="F21" s="57"/>
      <c r="G21" s="57"/>
      <c r="H21" s="58"/>
      <c r="I21" s="59" t="s">
        <v>56</v>
      </c>
      <c r="J21" s="57"/>
      <c r="K21" s="57"/>
      <c r="L21" s="28"/>
      <c r="M21" s="60"/>
    </row>
    <row r="22" spans="1:14" ht="15.95" customHeight="1">
      <c r="A22" s="61"/>
      <c r="B22" s="30"/>
      <c r="C22" s="31" t="s">
        <v>57</v>
      </c>
      <c r="D22" s="62">
        <v>945</v>
      </c>
      <c r="E22" s="31"/>
      <c r="G22" s="44" t="s">
        <v>58</v>
      </c>
      <c r="H22" s="63">
        <v>1834</v>
      </c>
      <c r="I22" s="31"/>
      <c r="J22" s="30"/>
      <c r="K22" s="31" t="s">
        <v>59</v>
      </c>
      <c r="L22" s="30" t="s">
        <v>60</v>
      </c>
      <c r="M22" s="46"/>
    </row>
    <row r="23" spans="1:14" ht="15.95" customHeight="1">
      <c r="A23" s="61"/>
      <c r="B23" s="31"/>
      <c r="C23" s="34"/>
      <c r="D23" s="64"/>
      <c r="E23" s="31"/>
      <c r="G23" s="31" t="s">
        <v>61</v>
      </c>
      <c r="H23" s="62">
        <v>90</v>
      </c>
      <c r="I23" s="30"/>
      <c r="J23" s="30"/>
      <c r="K23" s="31" t="s">
        <v>62</v>
      </c>
      <c r="L23" s="30" t="s">
        <v>60</v>
      </c>
      <c r="M23" s="46"/>
    </row>
    <row r="24" spans="1:14" ht="15.95" customHeight="1">
      <c r="A24" s="39"/>
      <c r="B24" s="31"/>
      <c r="C24" s="30"/>
      <c r="D24" s="64"/>
      <c r="E24" s="31"/>
      <c r="G24" s="44" t="s">
        <v>63</v>
      </c>
      <c r="H24" s="62">
        <v>215</v>
      </c>
      <c r="I24" s="30"/>
      <c r="J24" s="31"/>
      <c r="K24" s="30"/>
      <c r="L24" s="30"/>
      <c r="M24" s="46"/>
    </row>
    <row r="25" spans="1:14" ht="15.95" customHeight="1" thickBot="1">
      <c r="A25" s="47"/>
      <c r="B25" s="48"/>
      <c r="C25" s="50"/>
      <c r="D25" s="65"/>
      <c r="E25" s="48"/>
      <c r="F25" s="48"/>
      <c r="G25" s="48"/>
      <c r="H25" s="66"/>
      <c r="I25" s="50"/>
      <c r="J25" s="48"/>
      <c r="K25" s="50"/>
      <c r="L25" s="50"/>
      <c r="M25" s="52"/>
    </row>
    <row r="26" spans="1:14" ht="18.95" customHeight="1" thickBot="1">
      <c r="A26" s="26"/>
      <c r="B26" s="26"/>
      <c r="C26" s="26"/>
      <c r="D26" s="7"/>
      <c r="E26" s="7"/>
      <c r="F26" s="7"/>
      <c r="G26" s="7"/>
      <c r="H26" s="7"/>
      <c r="I26" s="7"/>
      <c r="J26" s="7"/>
      <c r="K26" s="7"/>
      <c r="L26" s="7"/>
      <c r="M26" s="7"/>
      <c r="N26" s="7"/>
    </row>
    <row r="27" spans="1:14" ht="20.100000000000001" customHeight="1" thickBot="1">
      <c r="A27" s="67"/>
      <c r="B27" s="68"/>
      <c r="C27" s="68"/>
      <c r="D27" s="68"/>
      <c r="E27" s="68"/>
      <c r="F27" s="68"/>
      <c r="G27" s="69"/>
      <c r="H27" s="68"/>
      <c r="I27" s="68"/>
      <c r="J27" s="68"/>
      <c r="K27" s="68"/>
      <c r="L27" s="68"/>
      <c r="M27" s="70"/>
    </row>
    <row r="28" spans="1:14" ht="15.95" customHeight="1" thickTop="1">
      <c r="A28" s="71" t="s">
        <v>64</v>
      </c>
      <c r="B28" s="54"/>
      <c r="C28" s="28"/>
      <c r="D28" s="28"/>
      <c r="E28" s="57"/>
      <c r="F28" s="57"/>
      <c r="G28" s="72"/>
      <c r="H28" s="56" t="s">
        <v>65</v>
      </c>
      <c r="I28" s="57"/>
      <c r="J28" s="57"/>
      <c r="K28" s="56"/>
      <c r="L28" s="57"/>
      <c r="M28" s="60"/>
    </row>
    <row r="29" spans="1:14" ht="15.95" customHeight="1">
      <c r="A29" s="39"/>
      <c r="B29" s="31"/>
      <c r="C29" s="31" t="s">
        <v>66</v>
      </c>
      <c r="D29" s="73">
        <v>95.8</v>
      </c>
      <c r="E29" s="31"/>
      <c r="F29" s="31"/>
      <c r="G29" s="72"/>
      <c r="H29" s="44"/>
      <c r="I29" s="31"/>
      <c r="J29" s="31" t="s">
        <v>66</v>
      </c>
      <c r="K29" s="73">
        <v>92.3</v>
      </c>
      <c r="L29" s="30"/>
      <c r="M29" s="46"/>
    </row>
    <row r="30" spans="1:14" ht="15.95" customHeight="1">
      <c r="A30" s="74"/>
      <c r="B30" s="30"/>
      <c r="C30" s="31" t="s">
        <v>67</v>
      </c>
      <c r="D30" s="73">
        <v>95.2</v>
      </c>
      <c r="E30" s="31"/>
      <c r="F30" s="31"/>
      <c r="G30" s="72"/>
      <c r="H30" s="31"/>
      <c r="I30" s="30"/>
      <c r="J30" s="31" t="s">
        <v>67</v>
      </c>
      <c r="K30" s="73">
        <v>90.8</v>
      </c>
      <c r="L30" s="30"/>
      <c r="M30" s="46"/>
    </row>
    <row r="31" spans="1:14" ht="15.95" customHeight="1">
      <c r="A31" s="39"/>
      <c r="B31" s="31"/>
      <c r="C31" s="31" t="s">
        <v>68</v>
      </c>
      <c r="D31" s="73">
        <v>93.6</v>
      </c>
      <c r="E31" s="31"/>
      <c r="F31" s="31"/>
      <c r="G31" s="72"/>
      <c r="H31" s="31"/>
      <c r="I31" s="30"/>
      <c r="J31" s="31" t="s">
        <v>68</v>
      </c>
      <c r="K31" s="73">
        <v>86.1</v>
      </c>
      <c r="L31" s="31"/>
      <c r="M31" s="46"/>
    </row>
    <row r="32" spans="1:14" ht="15.95" customHeight="1" thickBot="1">
      <c r="A32" s="47"/>
      <c r="B32" s="48"/>
      <c r="C32" s="50"/>
      <c r="D32" s="50"/>
      <c r="E32" s="48"/>
      <c r="F32" s="48"/>
      <c r="G32" s="75"/>
      <c r="H32" s="48"/>
      <c r="I32" s="50"/>
      <c r="J32" s="48"/>
      <c r="K32" s="50"/>
      <c r="L32" s="48"/>
      <c r="M32" s="52"/>
    </row>
    <row r="33" spans="1:14" ht="20.100000000000001" customHeight="1" thickBot="1">
      <c r="A33" s="76"/>
      <c r="B33" s="76"/>
      <c r="C33" s="76"/>
      <c r="D33" s="76"/>
      <c r="E33" s="76"/>
      <c r="F33" s="76"/>
      <c r="G33" s="76"/>
      <c r="H33" s="76"/>
      <c r="I33" s="76"/>
      <c r="J33" s="76"/>
      <c r="K33" s="76"/>
      <c r="L33" s="76"/>
      <c r="M33" s="76"/>
      <c r="N33" s="76"/>
    </row>
    <row r="34" spans="1:14" ht="20.100000000000001" customHeight="1" thickBot="1">
      <c r="A34" s="77"/>
      <c r="B34" s="78"/>
      <c r="C34" s="78"/>
      <c r="D34" s="78"/>
      <c r="E34" s="78"/>
      <c r="F34" s="78"/>
      <c r="G34" s="78"/>
      <c r="H34" s="78"/>
      <c r="I34" s="78"/>
      <c r="J34" s="78"/>
      <c r="K34" s="78"/>
      <c r="L34" s="78"/>
      <c r="M34" s="79"/>
    </row>
    <row r="35" spans="1:14" ht="15.95" customHeight="1" thickTop="1">
      <c r="A35" s="80" t="s">
        <v>69</v>
      </c>
      <c r="B35" s="34"/>
      <c r="C35" s="34"/>
      <c r="D35" s="34"/>
      <c r="E35" s="34"/>
      <c r="F35" s="34"/>
      <c r="G35" s="34"/>
      <c r="H35" s="34"/>
      <c r="I35" s="34"/>
      <c r="J35" s="34"/>
      <c r="K35" s="34"/>
      <c r="L35" s="34"/>
      <c r="M35" s="81"/>
    </row>
    <row r="36" spans="1:14" ht="15.95" customHeight="1">
      <c r="A36" s="74" t="s">
        <v>70</v>
      </c>
      <c r="B36" s="34"/>
      <c r="C36" s="34"/>
      <c r="D36" s="34"/>
      <c r="E36" s="34"/>
      <c r="F36" s="34"/>
      <c r="G36" s="34"/>
      <c r="H36" s="34"/>
      <c r="I36" s="34"/>
      <c r="J36" s="34"/>
      <c r="K36" s="34"/>
      <c r="L36" s="34"/>
      <c r="M36" s="81"/>
    </row>
    <row r="37" spans="1:14" ht="15.95" customHeight="1">
      <c r="A37" s="82" t="s">
        <v>71</v>
      </c>
      <c r="B37" s="34"/>
      <c r="C37" s="34"/>
      <c r="D37" s="34"/>
      <c r="E37" s="83"/>
      <c r="F37" s="34"/>
      <c r="G37" s="34"/>
      <c r="H37" s="34"/>
      <c r="I37" s="34"/>
      <c r="J37" s="34"/>
      <c r="K37" s="34"/>
      <c r="L37" s="34"/>
      <c r="M37" s="81"/>
    </row>
    <row r="38" spans="1:14" ht="15.95" customHeight="1">
      <c r="A38" s="84" t="s">
        <v>72</v>
      </c>
      <c r="B38" s="34"/>
      <c r="C38" s="34"/>
      <c r="D38" s="34"/>
      <c r="E38" s="34"/>
      <c r="F38" s="34"/>
      <c r="G38" s="34"/>
      <c r="H38" s="34"/>
      <c r="I38" s="34"/>
      <c r="J38" s="34"/>
      <c r="K38" s="34"/>
      <c r="L38" s="34"/>
      <c r="M38" s="81"/>
    </row>
    <row r="39" spans="1:14" ht="15.95" customHeight="1">
      <c r="A39" s="85" t="s">
        <v>73</v>
      </c>
      <c r="B39" s="34"/>
      <c r="C39" s="34"/>
      <c r="D39" s="34"/>
      <c r="E39" s="34"/>
      <c r="F39" s="34"/>
      <c r="G39" s="34"/>
      <c r="H39" s="34"/>
      <c r="I39" s="34"/>
      <c r="J39" s="34"/>
      <c r="K39" s="34"/>
      <c r="L39" s="34"/>
      <c r="M39" s="81"/>
    </row>
    <row r="40" spans="1:14" ht="15.95" customHeight="1" thickBot="1">
      <c r="A40" s="86" t="s">
        <v>74</v>
      </c>
      <c r="B40" s="87"/>
      <c r="C40" s="87"/>
      <c r="D40" s="87"/>
      <c r="E40" s="87"/>
      <c r="F40" s="87"/>
      <c r="G40" s="87"/>
      <c r="H40" s="87"/>
      <c r="I40" s="87"/>
      <c r="J40" s="87"/>
      <c r="K40" s="87"/>
      <c r="L40" s="87"/>
      <c r="M40" s="88"/>
    </row>
    <row r="41" spans="1:14" ht="15.95" customHeight="1"/>
    <row r="42" spans="1:14" ht="18">
      <c r="A42" s="89"/>
      <c r="B42" s="89"/>
      <c r="C42" s="89"/>
      <c r="D42" s="89"/>
      <c r="E42" s="89"/>
      <c r="F42" s="89"/>
      <c r="G42" s="89"/>
      <c r="H42" s="7"/>
      <c r="I42" s="7"/>
      <c r="J42" s="90" t="s">
        <v>75</v>
      </c>
      <c r="K42" s="566" t="s">
        <v>76</v>
      </c>
      <c r="L42" s="566"/>
      <c r="M42" s="566"/>
      <c r="N42" s="89"/>
    </row>
    <row r="43" spans="1:14" ht="7.5" customHeight="1">
      <c r="H43" s="7"/>
      <c r="I43" s="7"/>
      <c r="J43" s="7"/>
      <c r="K43" s="7"/>
      <c r="L43" s="7"/>
      <c r="M43" s="7"/>
    </row>
    <row r="44" spans="1:14" ht="16.5">
      <c r="H44" s="7"/>
      <c r="I44" s="7"/>
      <c r="J44" s="90" t="s">
        <v>77</v>
      </c>
      <c r="K44" s="567">
        <v>45198</v>
      </c>
      <c r="L44" s="567"/>
      <c r="M44" s="567"/>
    </row>
    <row r="59" spans="1:5">
      <c r="A59" s="8" t="s">
        <v>38</v>
      </c>
      <c r="B59" s="8" t="s">
        <v>78</v>
      </c>
      <c r="D59" s="8">
        <v>1</v>
      </c>
      <c r="E59" s="91" t="s">
        <v>38</v>
      </c>
    </row>
    <row r="60" spans="1:5">
      <c r="A60" s="8" t="s">
        <v>79</v>
      </c>
      <c r="B60" s="8" t="s">
        <v>80</v>
      </c>
      <c r="D60" s="8">
        <v>1.1499999999999999</v>
      </c>
      <c r="E60" s="91" t="s">
        <v>81</v>
      </c>
    </row>
    <row r="61" spans="1:5">
      <c r="A61" s="8" t="s">
        <v>82</v>
      </c>
      <c r="B61" s="8" t="s">
        <v>83</v>
      </c>
      <c r="E61" s="91" t="s">
        <v>84</v>
      </c>
    </row>
    <row r="62" spans="1:5">
      <c r="B62" s="8" t="s">
        <v>85</v>
      </c>
    </row>
    <row r="63" spans="1:5">
      <c r="B63" s="8" t="s">
        <v>86</v>
      </c>
    </row>
    <row r="64" spans="1:5">
      <c r="B64" s="8" t="s">
        <v>87</v>
      </c>
    </row>
    <row r="65" spans="2:2">
      <c r="B65" s="8" t="s">
        <v>88</v>
      </c>
    </row>
    <row r="66" spans="2:2">
      <c r="B66" s="8" t="s">
        <v>89</v>
      </c>
    </row>
    <row r="67" spans="2:2">
      <c r="B67" s="8" t="s">
        <v>90</v>
      </c>
    </row>
    <row r="68" spans="2:2">
      <c r="B68" s="8" t="s">
        <v>91</v>
      </c>
    </row>
    <row r="69" spans="2:2">
      <c r="B69" s="8" t="s">
        <v>92</v>
      </c>
    </row>
    <row r="70" spans="2:2">
      <c r="B70" s="8" t="s">
        <v>93</v>
      </c>
    </row>
    <row r="71" spans="2:2">
      <c r="B71" s="8" t="s">
        <v>94</v>
      </c>
    </row>
    <row r="72" spans="2:2">
      <c r="B72" s="8" t="s">
        <v>95</v>
      </c>
    </row>
    <row r="73" spans="2:2">
      <c r="B73" s="8" t="s">
        <v>96</v>
      </c>
    </row>
    <row r="74" spans="2:2">
      <c r="B74" s="8" t="s">
        <v>97</v>
      </c>
    </row>
    <row r="75" spans="2:2">
      <c r="B75" s="8" t="s">
        <v>98</v>
      </c>
    </row>
    <row r="76" spans="2:2">
      <c r="B76" s="8" t="s">
        <v>99</v>
      </c>
    </row>
    <row r="77" spans="2:2">
      <c r="B77" s="8" t="s">
        <v>100</v>
      </c>
    </row>
    <row r="78" spans="2:2">
      <c r="B78" s="8" t="s">
        <v>101</v>
      </c>
    </row>
    <row r="79" spans="2:2">
      <c r="B79" s="8" t="s">
        <v>102</v>
      </c>
    </row>
    <row r="80" spans="2:2">
      <c r="B80" s="8">
        <v>6312</v>
      </c>
    </row>
    <row r="81" spans="2:2">
      <c r="B81" s="8" t="s">
        <v>103</v>
      </c>
    </row>
    <row r="82" spans="2:2">
      <c r="B82" s="8" t="s">
        <v>104</v>
      </c>
    </row>
    <row r="83" spans="2:2">
      <c r="B83" s="8" t="s">
        <v>105</v>
      </c>
    </row>
    <row r="84" spans="2:2">
      <c r="B84" s="8" t="s">
        <v>106</v>
      </c>
    </row>
    <row r="85" spans="2:2">
      <c r="B85" s="8">
        <v>6313</v>
      </c>
    </row>
    <row r="86" spans="2:2">
      <c r="B86" s="8" t="s">
        <v>107</v>
      </c>
    </row>
    <row r="87" spans="2:2">
      <c r="B87" s="8" t="s">
        <v>108</v>
      </c>
    </row>
    <row r="88" spans="2:2">
      <c r="B88" s="8" t="s">
        <v>109</v>
      </c>
    </row>
    <row r="89" spans="2:2">
      <c r="B89" s="8">
        <v>6314</v>
      </c>
    </row>
    <row r="90" spans="2:2">
      <c r="B90" s="8" t="s">
        <v>110</v>
      </c>
    </row>
    <row r="91" spans="2:2">
      <c r="B91" s="8">
        <v>6317</v>
      </c>
    </row>
    <row r="92" spans="2:2">
      <c r="B92" s="8" t="s">
        <v>111</v>
      </c>
    </row>
    <row r="93" spans="2:2">
      <c r="B93" s="8">
        <v>6318</v>
      </c>
    </row>
    <row r="94" spans="2:2">
      <c r="B94" s="8" t="s">
        <v>112</v>
      </c>
    </row>
    <row r="95" spans="2:2">
      <c r="B95" s="8" t="s">
        <v>113</v>
      </c>
    </row>
    <row r="96" spans="2:2">
      <c r="B96" s="8" t="s">
        <v>114</v>
      </c>
    </row>
    <row r="97" spans="2:2">
      <c r="B97" s="8">
        <v>6320</v>
      </c>
    </row>
    <row r="98" spans="2:2">
      <c r="B98" s="8" t="s">
        <v>115</v>
      </c>
    </row>
    <row r="99" spans="2:2">
      <c r="B99" s="8" t="s">
        <v>116</v>
      </c>
    </row>
    <row r="100" spans="2:2">
      <c r="B100" s="8" t="s">
        <v>117</v>
      </c>
    </row>
    <row r="101" spans="2:2">
      <c r="B101" s="8" t="s">
        <v>118</v>
      </c>
    </row>
    <row r="102" spans="2:2">
      <c r="B102" s="8" t="s">
        <v>118</v>
      </c>
    </row>
    <row r="118" spans="2:2">
      <c r="B118" s="8" t="s">
        <v>119</v>
      </c>
    </row>
    <row r="120" spans="2:2">
      <c r="B120" s="8" t="s">
        <v>120</v>
      </c>
    </row>
  </sheetData>
  <mergeCells count="2">
    <mergeCell ref="K42:M42"/>
    <mergeCell ref="K44:M44"/>
  </mergeCells>
  <printOptions horizontalCentered="1" gridLinesSet="0"/>
  <pageMargins left="0.5" right="0.5" top="0.5" bottom="0.5" header="0.5" footer="0.5"/>
  <pageSetup orientation="portrait" horizontalDpi="4294967292" r:id="rId1"/>
  <headerFooter alignWithMargins="0">
    <oddFooter>&amp;L&amp;"Univers (WN),Regular"&amp;7N:\ELECTRIC\PERFORMA&amp;C&amp;"Univers (WN),Regular"&amp;7&amp;F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03E8D-E99D-4B6D-905F-B55517BD31A0}">
  <sheetPr>
    <pageSetUpPr fitToPage="1"/>
  </sheetPr>
  <dimension ref="A1:L67"/>
  <sheetViews>
    <sheetView workbookViewId="0">
      <selection activeCell="F19" sqref="F19"/>
    </sheetView>
  </sheetViews>
  <sheetFormatPr defaultColWidth="6.3984375" defaultRowHeight="12.75"/>
  <cols>
    <col min="1" max="6" width="11.69921875" style="95" customWidth="1"/>
    <col min="7" max="16384" width="6.3984375" style="95"/>
  </cols>
  <sheetData>
    <row r="1" spans="1:6" ht="18.95" customHeight="1">
      <c r="A1" s="92"/>
      <c r="B1" s="93"/>
      <c r="C1" s="93"/>
      <c r="D1" s="93"/>
      <c r="E1" s="93"/>
      <c r="F1" s="94"/>
    </row>
    <row r="2" spans="1:6" ht="26.1" customHeight="1">
      <c r="A2" s="96" t="s">
        <v>0</v>
      </c>
      <c r="B2" s="97"/>
      <c r="C2" s="97"/>
      <c r="D2" s="97"/>
      <c r="E2" s="97"/>
      <c r="F2" s="98"/>
    </row>
    <row r="3" spans="1:6" ht="18.95" customHeight="1">
      <c r="A3" s="99" t="s">
        <v>121</v>
      </c>
      <c r="B3" s="97"/>
      <c r="C3" s="97"/>
      <c r="D3" s="97"/>
      <c r="E3" s="97"/>
      <c r="F3" s="98"/>
    </row>
    <row r="4" spans="1:6" ht="18.95" customHeight="1">
      <c r="A4" s="100"/>
      <c r="B4" s="101"/>
      <c r="C4" s="101"/>
      <c r="D4" s="101"/>
      <c r="E4" s="101"/>
      <c r="F4" s="102"/>
    </row>
    <row r="5" spans="1:6" ht="18.95" customHeight="1">
      <c r="A5" s="100"/>
      <c r="B5" s="101"/>
      <c r="C5" s="101"/>
      <c r="D5" s="101"/>
      <c r="E5" s="101"/>
      <c r="F5" s="102"/>
    </row>
    <row r="6" spans="1:6" ht="18.95" customHeight="1">
      <c r="A6" s="103" t="s">
        <v>122</v>
      </c>
      <c r="B6" s="568" t="str">
        <f>'Performance Data Sheet'!C17</f>
        <v>A1-10134386</v>
      </c>
      <c r="C6" s="569"/>
      <c r="D6" s="570"/>
      <c r="E6" s="103" t="s">
        <v>123</v>
      </c>
      <c r="F6" s="104">
        <f>'Performance Data Sheet'!I14</f>
        <v>152</v>
      </c>
    </row>
    <row r="7" spans="1:6" ht="18.95" customHeight="1">
      <c r="A7" s="103" t="s">
        <v>124</v>
      </c>
      <c r="B7" s="104" t="str">
        <f>'Performance Data Sheet'!F14</f>
        <v>TEAAC</v>
      </c>
      <c r="C7" s="103" t="s">
        <v>125</v>
      </c>
      <c r="D7" s="104" t="str">
        <f>'Performance Data Sheet'!F13 &amp; " V"</f>
        <v>4000 V</v>
      </c>
      <c r="E7" s="103" t="s">
        <v>126</v>
      </c>
      <c r="F7" s="104" t="str">
        <f>'Performance Data Sheet'!C14</f>
        <v>5812USS</v>
      </c>
    </row>
    <row r="8" spans="1:6" ht="18.95" customHeight="1">
      <c r="A8" s="103" t="s">
        <v>127</v>
      </c>
      <c r="B8" s="104">
        <v>2</v>
      </c>
      <c r="C8" s="103" t="s">
        <v>128</v>
      </c>
      <c r="D8" s="104" t="s">
        <v>129</v>
      </c>
      <c r="E8" s="103" t="s">
        <v>130</v>
      </c>
      <c r="F8" s="104" t="str">
        <f>'Performance Data Sheet'!M15</f>
        <v>F</v>
      </c>
    </row>
    <row r="9" spans="1:6" ht="18.95" customHeight="1">
      <c r="A9" s="103" t="s">
        <v>131</v>
      </c>
      <c r="B9" s="104">
        <f>'Performance Data Sheet'!C13</f>
        <v>1250</v>
      </c>
      <c r="C9" s="103" t="s">
        <v>132</v>
      </c>
      <c r="D9" s="104" t="s">
        <v>133</v>
      </c>
      <c r="E9" s="103" t="s">
        <v>134</v>
      </c>
      <c r="F9" s="105">
        <f>'Performance Data Sheet'!K44</f>
        <v>45198</v>
      </c>
    </row>
    <row r="10" spans="1:6" ht="18.95" customHeight="1">
      <c r="A10" s="103" t="s">
        <v>32</v>
      </c>
      <c r="B10" s="104">
        <f>'Performance Data Sheet'!M14</f>
        <v>3580</v>
      </c>
      <c r="C10" s="103" t="s">
        <v>135</v>
      </c>
      <c r="D10" s="104" t="s">
        <v>136</v>
      </c>
      <c r="E10" s="103" t="s">
        <v>137</v>
      </c>
      <c r="F10" s="104" t="s">
        <v>138</v>
      </c>
    </row>
    <row r="11" spans="1:6" ht="18.95" customHeight="1">
      <c r="A11" s="100"/>
      <c r="B11" s="101"/>
      <c r="C11" s="101"/>
      <c r="D11" s="101"/>
      <c r="E11" s="101"/>
      <c r="F11" s="102"/>
    </row>
    <row r="12" spans="1:6" ht="18.95" customHeight="1">
      <c r="A12" s="100"/>
      <c r="B12" s="106" t="s">
        <v>139</v>
      </c>
      <c r="C12" s="107" t="str">
        <f>'Performance Data Sheet'!D22 &amp; " A"</f>
        <v>945 A</v>
      </c>
      <c r="D12" s="106" t="s">
        <v>140</v>
      </c>
      <c r="E12" s="107" t="s">
        <v>141</v>
      </c>
      <c r="F12" s="102"/>
    </row>
    <row r="13" spans="1:6" ht="18.95" customHeight="1">
      <c r="A13" s="100"/>
      <c r="B13" s="106" t="s">
        <v>142</v>
      </c>
      <c r="C13" s="108">
        <f>'Performance Data Sheet'!H23/100</f>
        <v>0.9</v>
      </c>
      <c r="D13" s="106" t="s">
        <v>143</v>
      </c>
      <c r="E13" s="107" t="s">
        <v>144</v>
      </c>
      <c r="F13" s="102"/>
    </row>
    <row r="14" spans="1:6" ht="18.95" customHeight="1">
      <c r="A14" s="100"/>
      <c r="B14" s="106" t="s">
        <v>145</v>
      </c>
      <c r="C14" s="108">
        <v>2.15</v>
      </c>
      <c r="D14" s="106" t="s">
        <v>146</v>
      </c>
      <c r="E14" s="107" t="s">
        <v>147</v>
      </c>
      <c r="F14" s="102"/>
    </row>
    <row r="15" spans="1:6" ht="18.95" customHeight="1">
      <c r="A15" s="100"/>
      <c r="B15" s="106" t="s">
        <v>148</v>
      </c>
      <c r="C15" s="107" t="str">
        <f>'Performance Data Sheet'!H22 &amp; " lb-ft"</f>
        <v>1834 lb-ft</v>
      </c>
      <c r="D15" s="101"/>
      <c r="E15" s="101"/>
      <c r="F15" s="102"/>
    </row>
    <row r="16" spans="1:6" ht="18.95" customHeight="1">
      <c r="A16" s="100"/>
      <c r="B16" s="101"/>
      <c r="C16" s="101"/>
      <c r="D16" s="101"/>
      <c r="E16" s="101"/>
      <c r="F16" s="102"/>
    </row>
    <row r="17" spans="1:6" ht="18.95" customHeight="1">
      <c r="A17" s="100"/>
      <c r="B17" s="101"/>
      <c r="C17" s="101"/>
      <c r="D17" s="101"/>
      <c r="E17" s="101"/>
      <c r="F17" s="102"/>
    </row>
    <row r="18" spans="1:6" ht="18.95" customHeight="1">
      <c r="A18" s="100"/>
      <c r="B18" s="101"/>
      <c r="C18" s="101"/>
      <c r="D18" s="101"/>
      <c r="E18" s="101"/>
      <c r="F18" s="102"/>
    </row>
    <row r="19" spans="1:6" ht="18.95" customHeight="1">
      <c r="A19" s="100"/>
      <c r="B19" s="101"/>
      <c r="C19" s="101"/>
      <c r="D19" s="101"/>
      <c r="E19" s="101"/>
      <c r="F19" s="102"/>
    </row>
    <row r="20" spans="1:6" ht="18.95" customHeight="1">
      <c r="A20" s="100"/>
      <c r="B20" s="101"/>
      <c r="C20" s="101"/>
      <c r="D20" s="101"/>
      <c r="E20" s="101"/>
      <c r="F20" s="102"/>
    </row>
    <row r="21" spans="1:6" ht="18.95" customHeight="1">
      <c r="A21" s="100"/>
      <c r="B21" s="101"/>
      <c r="C21" s="101"/>
      <c r="D21" s="101"/>
      <c r="E21" s="101"/>
      <c r="F21" s="102"/>
    </row>
    <row r="22" spans="1:6" ht="18.95" customHeight="1">
      <c r="A22" s="100"/>
      <c r="B22" s="101"/>
      <c r="C22" s="101"/>
      <c r="D22" s="101"/>
      <c r="E22" s="101"/>
      <c r="F22" s="102"/>
    </row>
    <row r="23" spans="1:6" ht="18.95" customHeight="1">
      <c r="A23" s="100"/>
      <c r="B23" s="101"/>
      <c r="C23" s="101"/>
      <c r="D23" s="101"/>
      <c r="E23" s="101"/>
      <c r="F23" s="102"/>
    </row>
    <row r="24" spans="1:6" ht="18.95" customHeight="1">
      <c r="A24" s="100"/>
      <c r="B24" s="101"/>
      <c r="C24" s="101"/>
      <c r="D24" s="101"/>
      <c r="E24" s="101"/>
      <c r="F24" s="102"/>
    </row>
    <row r="25" spans="1:6" ht="18.95" customHeight="1">
      <c r="A25" s="100"/>
      <c r="B25" s="101"/>
      <c r="C25" s="101"/>
      <c r="D25" s="101"/>
      <c r="E25" s="101"/>
      <c r="F25" s="102"/>
    </row>
    <row r="26" spans="1:6" ht="18.95" customHeight="1">
      <c r="A26" s="100"/>
      <c r="B26" s="101"/>
      <c r="C26" s="101"/>
      <c r="D26" s="101"/>
      <c r="E26" s="101"/>
      <c r="F26" s="102"/>
    </row>
    <row r="27" spans="1:6" ht="18.95" customHeight="1">
      <c r="A27" s="100"/>
      <c r="B27" s="101"/>
      <c r="C27" s="101"/>
      <c r="D27" s="101"/>
      <c r="E27" s="101"/>
      <c r="F27" s="102"/>
    </row>
    <row r="28" spans="1:6" ht="18.95" customHeight="1">
      <c r="A28" s="100"/>
      <c r="B28" s="101"/>
      <c r="C28" s="101"/>
      <c r="D28" s="101"/>
      <c r="E28" s="101"/>
      <c r="F28" s="102"/>
    </row>
    <row r="29" spans="1:6" ht="18.95" customHeight="1">
      <c r="A29" s="100"/>
      <c r="B29" s="101"/>
      <c r="C29" s="101"/>
      <c r="D29" s="101"/>
      <c r="E29" s="101"/>
      <c r="F29" s="102"/>
    </row>
    <row r="30" spans="1:6" ht="18.95" customHeight="1">
      <c r="A30" s="100"/>
      <c r="B30" s="101"/>
      <c r="C30" s="101"/>
      <c r="D30" s="101"/>
      <c r="E30" s="101"/>
      <c r="F30" s="102"/>
    </row>
    <row r="31" spans="1:6" ht="18.95" customHeight="1">
      <c r="A31" s="100"/>
      <c r="B31" s="101"/>
      <c r="C31" s="101"/>
      <c r="D31" s="101"/>
      <c r="E31" s="101"/>
      <c r="F31" s="102"/>
    </row>
    <row r="32" spans="1:6" ht="18.95" customHeight="1">
      <c r="A32" s="100"/>
      <c r="B32" s="101"/>
      <c r="C32" s="101"/>
      <c r="D32" s="101"/>
      <c r="E32" s="101"/>
      <c r="F32" s="102"/>
    </row>
    <row r="33" spans="1:6" ht="18.95" customHeight="1">
      <c r="A33" s="100"/>
      <c r="B33" s="101"/>
      <c r="C33" s="101"/>
      <c r="D33" s="101"/>
      <c r="E33" s="101"/>
      <c r="F33" s="102"/>
    </row>
    <row r="34" spans="1:6" ht="18.95" customHeight="1">
      <c r="A34" s="100"/>
      <c r="B34" s="101"/>
      <c r="C34" s="101"/>
      <c r="D34" s="101"/>
      <c r="E34" s="101"/>
      <c r="F34" s="102"/>
    </row>
    <row r="35" spans="1:6" ht="18.95" customHeight="1">
      <c r="A35" s="100"/>
      <c r="B35" s="101"/>
      <c r="C35" s="101"/>
      <c r="D35" s="101"/>
      <c r="E35" s="101"/>
      <c r="F35" s="102"/>
    </row>
    <row r="36" spans="1:6" ht="18.95" customHeight="1">
      <c r="A36" s="100"/>
      <c r="B36" s="101"/>
      <c r="C36" s="101"/>
      <c r="D36" s="101"/>
      <c r="E36" s="101"/>
      <c r="F36" s="102"/>
    </row>
    <row r="37" spans="1:6" ht="18.95" customHeight="1">
      <c r="A37" s="100"/>
      <c r="B37" s="101"/>
      <c r="C37" s="101"/>
      <c r="D37" s="101"/>
      <c r="E37" s="101"/>
      <c r="F37" s="102"/>
    </row>
    <row r="38" spans="1:6" ht="18.95" customHeight="1">
      <c r="A38" s="100"/>
      <c r="B38" s="101"/>
      <c r="C38" s="101"/>
      <c r="D38" s="101"/>
      <c r="E38" s="101"/>
      <c r="F38" s="102"/>
    </row>
    <row r="39" spans="1:6" ht="18.95" customHeight="1">
      <c r="A39" s="109" t="s">
        <v>149</v>
      </c>
      <c r="B39" s="110" t="s">
        <v>150</v>
      </c>
      <c r="C39" s="111" t="str">
        <f>'Performance Data Sheet'!C10</f>
        <v>2306938.1</v>
      </c>
      <c r="D39" s="101"/>
      <c r="E39" s="106" t="s">
        <v>151</v>
      </c>
      <c r="F39" s="112" t="str">
        <f>F10</f>
        <v>h040052</v>
      </c>
    </row>
    <row r="40" spans="1:6" ht="18.95" customHeight="1">
      <c r="A40" s="100"/>
      <c r="B40" s="110"/>
      <c r="C40" s="110"/>
      <c r="D40" s="101"/>
      <c r="E40" s="101"/>
      <c r="F40" s="102"/>
    </row>
    <row r="41" spans="1:6" ht="18.95" customHeight="1">
      <c r="A41" s="100"/>
      <c r="B41" s="110"/>
      <c r="C41" s="110"/>
      <c r="D41" s="101"/>
      <c r="E41" s="101"/>
      <c r="F41" s="102"/>
    </row>
    <row r="42" spans="1:6" ht="18.95" customHeight="1">
      <c r="A42" s="100"/>
      <c r="B42" s="101"/>
      <c r="C42" s="101"/>
      <c r="D42" s="101"/>
      <c r="E42" s="101"/>
      <c r="F42" s="102"/>
    </row>
    <row r="43" spans="1:6" ht="18.95" customHeight="1">
      <c r="A43" s="113"/>
      <c r="B43" s="110"/>
      <c r="C43" s="114" t="s">
        <v>152</v>
      </c>
      <c r="D43" s="115" t="str">
        <f>'Performance Data Sheet'!K42</f>
        <v>Zichao Xie</v>
      </c>
      <c r="E43" s="114" t="s">
        <v>153</v>
      </c>
      <c r="F43" s="115"/>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116" t="s">
        <v>154</v>
      </c>
      <c r="E53" s="116" t="s">
        <v>155</v>
      </c>
      <c r="F53" s="116" t="s">
        <v>156</v>
      </c>
      <c r="G53" s="116"/>
      <c r="H53" s="116"/>
      <c r="I53" s="116"/>
      <c r="J53" s="116"/>
      <c r="K53" s="116"/>
      <c r="L53" s="116"/>
    </row>
    <row r="54" spans="1:12" ht="15" customHeight="1">
      <c r="A54" s="117">
        <v>100</v>
      </c>
      <c r="B54" s="116">
        <v>0</v>
      </c>
      <c r="C54" s="116">
        <v>0.22980530560016632</v>
      </c>
      <c r="D54" s="116">
        <v>100</v>
      </c>
      <c r="E54" s="116">
        <v>0</v>
      </c>
      <c r="F54" s="116">
        <v>27.944326400756836</v>
      </c>
      <c r="G54" s="116"/>
      <c r="H54" s="116">
        <f>E54-D54</f>
        <v>-100</v>
      </c>
      <c r="I54" s="116"/>
      <c r="J54" s="116"/>
      <c r="K54" s="116"/>
      <c r="L54" s="116"/>
    </row>
    <row r="55" spans="1:12" ht="15" customHeight="1">
      <c r="A55" s="117">
        <v>99.200000055134296</v>
      </c>
      <c r="B55" s="116">
        <v>109.6521252316408</v>
      </c>
      <c r="C55" s="116">
        <v>156.70252990722656</v>
      </c>
      <c r="D55" s="116">
        <v>98.400001525878906</v>
      </c>
      <c r="E55" s="116">
        <v>70.177360489885771</v>
      </c>
      <c r="F55" s="116">
        <v>125.36202239990234</v>
      </c>
      <c r="G55" s="116"/>
      <c r="H55" s="116">
        <f t="shared" ref="H55:H67" si="0">E55-D55</f>
        <v>-28.222641035993135</v>
      </c>
      <c r="I55" s="116"/>
      <c r="J55" s="116"/>
      <c r="K55" s="116"/>
      <c r="L55" s="116"/>
    </row>
    <row r="56" spans="1:12" ht="15" customHeight="1">
      <c r="A56" s="117">
        <v>96.000000089406967</v>
      </c>
      <c r="B56" s="116">
        <v>215</v>
      </c>
      <c r="C56" s="116">
        <v>475.23428344726563</v>
      </c>
      <c r="D56" s="116">
        <v>89.75</v>
      </c>
      <c r="E56" s="116">
        <v>137.60000410079959</v>
      </c>
      <c r="F56" s="116">
        <v>380.18743896484375</v>
      </c>
      <c r="G56" s="116"/>
      <c r="H56" s="116">
        <f t="shared" si="0"/>
        <v>47.850004100799595</v>
      </c>
      <c r="I56" s="116"/>
      <c r="J56" s="116"/>
      <c r="K56" s="116"/>
      <c r="L56" s="116"/>
    </row>
    <row r="57" spans="1:12">
      <c r="A57" s="117">
        <v>90.947368741035461</v>
      </c>
      <c r="B57" s="116">
        <v>146.7691145754126</v>
      </c>
      <c r="C57" s="116">
        <v>558.69293212890625</v>
      </c>
      <c r="D57" s="116">
        <v>76.463157653808594</v>
      </c>
      <c r="E57" s="116">
        <v>93.932239127523815</v>
      </c>
      <c r="F57" s="116">
        <v>446.954345703125</v>
      </c>
      <c r="G57" s="116"/>
      <c r="H57" s="116">
        <f t="shared" si="0"/>
        <v>17.469081473715221</v>
      </c>
      <c r="I57" s="116"/>
      <c r="J57" s="116"/>
      <c r="K57" s="116"/>
      <c r="L57" s="116"/>
    </row>
    <row r="58" spans="1:12">
      <c r="A58" s="117">
        <v>85.894736647605896</v>
      </c>
      <c r="B58" s="116">
        <v>116.85355088653151</v>
      </c>
      <c r="C58" s="116">
        <v>580.53729248046875</v>
      </c>
      <c r="D58" s="116">
        <v>63.326316833496094</v>
      </c>
      <c r="E58" s="116">
        <v>74.786276642867179</v>
      </c>
      <c r="F58" s="116">
        <v>464.42984008789063</v>
      </c>
      <c r="G58" s="116"/>
      <c r="H58" s="116">
        <f t="shared" si="0"/>
        <v>11.459959809371085</v>
      </c>
      <c r="I58" s="116"/>
      <c r="J58" s="116"/>
      <c r="K58" s="116"/>
      <c r="L58" s="116"/>
    </row>
    <row r="59" spans="1:12">
      <c r="A59" s="117">
        <v>80.842104554176331</v>
      </c>
      <c r="B59" s="116">
        <v>104.57849682727522</v>
      </c>
      <c r="C59" s="116">
        <v>589.2579345703125</v>
      </c>
      <c r="D59" s="116">
        <v>51.852630615234375</v>
      </c>
      <c r="E59" s="116">
        <v>66.930241252489083</v>
      </c>
      <c r="F59" s="116">
        <v>471.40634155273438</v>
      </c>
      <c r="G59" s="116"/>
      <c r="H59" s="116">
        <f t="shared" si="0"/>
        <v>15.077610637254708</v>
      </c>
      <c r="I59" s="116"/>
      <c r="J59" s="116"/>
      <c r="K59" s="116"/>
      <c r="L59" s="116"/>
    </row>
    <row r="60" spans="1:12">
      <c r="A60" s="117">
        <v>70.7368403673172</v>
      </c>
      <c r="B60" s="116">
        <v>97.672794606912049</v>
      </c>
      <c r="C60" s="116">
        <v>597.08966064453125</v>
      </c>
      <c r="D60" s="116">
        <v>34.252628326416016</v>
      </c>
      <c r="E60" s="116">
        <v>62.510592683273295</v>
      </c>
      <c r="F60" s="116">
        <v>477.67172241210938</v>
      </c>
      <c r="G60" s="116"/>
      <c r="H60" s="116">
        <f t="shared" si="0"/>
        <v>28.257964356857279</v>
      </c>
      <c r="I60" s="116"/>
      <c r="J60" s="116"/>
      <c r="K60" s="116"/>
      <c r="L60" s="116"/>
    </row>
    <row r="61" spans="1:12">
      <c r="A61" s="117">
        <v>60.631579160690308</v>
      </c>
      <c r="B61" s="116">
        <v>94.685376035447604</v>
      </c>
      <c r="C61" s="116">
        <v>601.9921875</v>
      </c>
      <c r="D61" s="116">
        <v>22.694736480712891</v>
      </c>
      <c r="E61" s="116">
        <v>60.598644384105299</v>
      </c>
      <c r="F61" s="116">
        <v>481.59375</v>
      </c>
      <c r="G61" s="116"/>
      <c r="H61" s="116">
        <f t="shared" si="0"/>
        <v>37.903907903392408</v>
      </c>
      <c r="I61" s="116"/>
      <c r="J61" s="116"/>
      <c r="K61" s="116"/>
      <c r="L61" s="116"/>
    </row>
    <row r="62" spans="1:12">
      <c r="A62" s="117">
        <v>50.526314973831177</v>
      </c>
      <c r="B62" s="116">
        <v>92.860141020113687</v>
      </c>
      <c r="C62" s="116">
        <v>606.28271484375</v>
      </c>
      <c r="D62" s="116">
        <v>14.421051979064941</v>
      </c>
      <c r="E62" s="116">
        <v>59.430490052416587</v>
      </c>
      <c r="F62" s="116">
        <v>485.02618408203125</v>
      </c>
      <c r="G62" s="116"/>
      <c r="H62" s="116">
        <f t="shared" si="0"/>
        <v>45.009438073351646</v>
      </c>
      <c r="I62" s="116"/>
      <c r="J62" s="116"/>
      <c r="K62" s="116"/>
      <c r="L62" s="116"/>
    </row>
    <row r="63" spans="1:12">
      <c r="A63" s="117">
        <v>40.421050786972046</v>
      </c>
      <c r="B63" s="116">
        <v>91.66323367039476</v>
      </c>
      <c r="C63" s="116">
        <v>610.19219970703125</v>
      </c>
      <c r="D63" s="116">
        <v>8.2526302337646484</v>
      </c>
      <c r="E63" s="116">
        <v>58.664469521774897</v>
      </c>
      <c r="F63" s="116">
        <v>488.15377807617188</v>
      </c>
      <c r="G63" s="116"/>
      <c r="H63" s="116">
        <f t="shared" si="0"/>
        <v>50.411839288010249</v>
      </c>
      <c r="I63" s="116"/>
      <c r="J63" s="116"/>
      <c r="K63" s="116"/>
      <c r="L63" s="116"/>
    </row>
    <row r="64" spans="1:12">
      <c r="A64" s="117">
        <v>30.315792560577393</v>
      </c>
      <c r="B64" s="116">
        <v>90.897040095978994</v>
      </c>
      <c r="C64" s="116">
        <v>613.6888427734375</v>
      </c>
      <c r="D64" s="116">
        <v>6.0631585121154785</v>
      </c>
      <c r="E64" s="116">
        <v>58.17410817903599</v>
      </c>
      <c r="F64" s="116">
        <v>490.95108032226563</v>
      </c>
      <c r="G64" s="116"/>
      <c r="H64" s="116">
        <f t="shared" si="0"/>
        <v>52.110949666920511</v>
      </c>
      <c r="I64" s="116"/>
      <c r="J64" s="116"/>
      <c r="K64" s="116"/>
      <c r="L64" s="116"/>
    </row>
    <row r="65" spans="1:12">
      <c r="A65" s="117">
        <v>20.210522413253784</v>
      </c>
      <c r="B65" s="116">
        <v>90.42714756115187</v>
      </c>
      <c r="C65" s="116">
        <v>616.76708984375</v>
      </c>
      <c r="D65" s="116">
        <v>7.9578952789306641</v>
      </c>
      <c r="E65" s="116">
        <v>57.873375748198463</v>
      </c>
      <c r="F65" s="116">
        <v>493.41366577148438</v>
      </c>
      <c r="G65" s="116"/>
      <c r="H65" s="116">
        <f t="shared" si="0"/>
        <v>49.915480469267798</v>
      </c>
      <c r="I65" s="116"/>
      <c r="J65" s="116"/>
      <c r="K65" s="116"/>
      <c r="L65" s="116"/>
    </row>
    <row r="66" spans="1:12">
      <c r="A66" s="117">
        <v>10.105264186859131</v>
      </c>
      <c r="B66" s="116">
        <v>90.150608070899466</v>
      </c>
      <c r="C66" s="116">
        <v>619.34918212890625</v>
      </c>
      <c r="D66" s="116">
        <v>14.926315307617188</v>
      </c>
      <c r="E66" s="116">
        <v>57.696393321048973</v>
      </c>
      <c r="F66" s="116">
        <v>495.47933959960938</v>
      </c>
      <c r="G66" s="116"/>
      <c r="H66" s="116">
        <f t="shared" si="0"/>
        <v>42.770078013431785</v>
      </c>
      <c r="I66" s="116"/>
      <c r="J66" s="116"/>
      <c r="K66" s="116"/>
      <c r="L66" s="116"/>
    </row>
    <row r="67" spans="1:12">
      <c r="A67" s="118">
        <v>0</v>
      </c>
      <c r="B67" s="116">
        <v>90</v>
      </c>
      <c r="C67" s="116">
        <v>621.71051025390625</v>
      </c>
      <c r="D67" s="116">
        <v>30</v>
      </c>
      <c r="E67" s="116">
        <v>57.600001716613782</v>
      </c>
      <c r="F67" s="116">
        <v>497.368408203125</v>
      </c>
      <c r="G67" s="116"/>
      <c r="H67" s="116">
        <f t="shared" si="0"/>
        <v>27.600001716613782</v>
      </c>
      <c r="I67" s="116"/>
      <c r="J67" s="116"/>
      <c r="K67" s="116"/>
      <c r="L67" s="116"/>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A3A9-7E68-46E1-8881-7B1694424BDF}">
  <sheetPr>
    <pageSetUpPr fitToPage="1"/>
  </sheetPr>
  <dimension ref="A1:I81"/>
  <sheetViews>
    <sheetView topLeftCell="A14" workbookViewId="0">
      <selection activeCell="F19" sqref="F19"/>
    </sheetView>
  </sheetViews>
  <sheetFormatPr defaultColWidth="6.3984375" defaultRowHeight="12.75"/>
  <cols>
    <col min="1" max="6" width="11.69921875" style="95" customWidth="1"/>
    <col min="7" max="16384" width="6.3984375" style="95"/>
  </cols>
  <sheetData>
    <row r="1" spans="1:6" ht="18.95" customHeight="1">
      <c r="A1" s="92"/>
      <c r="B1" s="93"/>
      <c r="C1" s="93"/>
      <c r="D1" s="93"/>
      <c r="E1" s="93"/>
      <c r="F1" s="94"/>
    </row>
    <row r="2" spans="1:6" ht="26.1" customHeight="1">
      <c r="A2" s="96" t="s">
        <v>0</v>
      </c>
      <c r="B2" s="97"/>
      <c r="C2" s="97"/>
      <c r="D2" s="97"/>
      <c r="E2" s="97"/>
      <c r="F2" s="98"/>
    </row>
    <row r="3" spans="1:6" ht="18.95" customHeight="1">
      <c r="A3" s="571" t="s">
        <v>157</v>
      </c>
      <c r="B3" s="572"/>
      <c r="C3" s="572"/>
      <c r="D3" s="572"/>
      <c r="E3" s="572"/>
      <c r="F3" s="573"/>
    </row>
    <row r="4" spans="1:6" ht="18.95" customHeight="1">
      <c r="A4" s="574" t="s">
        <v>158</v>
      </c>
      <c r="B4" s="575"/>
      <c r="C4" s="575"/>
      <c r="D4" s="575"/>
      <c r="E4" s="575"/>
      <c r="F4" s="576"/>
    </row>
    <row r="5" spans="1:6" ht="18.95" customHeight="1">
      <c r="A5" s="100"/>
      <c r="B5" s="101"/>
      <c r="C5" s="101"/>
      <c r="D5" s="101"/>
      <c r="E5" s="101"/>
      <c r="F5" s="102"/>
    </row>
    <row r="6" spans="1:6" ht="18.95" customHeight="1">
      <c r="A6" s="103" t="s">
        <v>122</v>
      </c>
      <c r="B6" s="568" t="str">
        <f>'Performance Data Sheet'!C17</f>
        <v>A1-10134386</v>
      </c>
      <c r="C6" s="569"/>
      <c r="D6" s="570"/>
      <c r="E6" s="103" t="s">
        <v>123</v>
      </c>
      <c r="F6" s="104">
        <f>'Performance Data Sheet'!I14</f>
        <v>152</v>
      </c>
    </row>
    <row r="7" spans="1:6" ht="18.95" customHeight="1">
      <c r="A7" s="103" t="s">
        <v>124</v>
      </c>
      <c r="B7" s="104" t="str">
        <f>'Performance Data Sheet'!F14</f>
        <v>TEAAC</v>
      </c>
      <c r="C7" s="103" t="s">
        <v>125</v>
      </c>
      <c r="D7" s="104" t="str">
        <f>'Performance Data Sheet'!F13 &amp; " V"</f>
        <v>4000 V</v>
      </c>
      <c r="E7" s="103" t="s">
        <v>126</v>
      </c>
      <c r="F7" s="104" t="str">
        <f>'Performance Data Sheet'!C14</f>
        <v>5812USS</v>
      </c>
    </row>
    <row r="8" spans="1:6" ht="18.95" customHeight="1">
      <c r="A8" s="103" t="s">
        <v>127</v>
      </c>
      <c r="B8" s="104">
        <v>2</v>
      </c>
      <c r="C8" s="103" t="s">
        <v>128</v>
      </c>
      <c r="D8" s="104" t="s">
        <v>129</v>
      </c>
      <c r="E8" s="103" t="s">
        <v>130</v>
      </c>
      <c r="F8" s="104" t="str">
        <f>'Performance Data Sheet'!M15</f>
        <v>F</v>
      </c>
    </row>
    <row r="9" spans="1:6" ht="18.95" customHeight="1">
      <c r="A9" s="103" t="s">
        <v>131</v>
      </c>
      <c r="B9" s="104">
        <f>'Performance Data Sheet'!C13</f>
        <v>1250</v>
      </c>
      <c r="C9" s="103" t="s">
        <v>132</v>
      </c>
      <c r="D9" s="104" t="s">
        <v>133</v>
      </c>
      <c r="E9" s="103" t="s">
        <v>134</v>
      </c>
      <c r="F9" s="105">
        <f>'Performance Data Sheet'!K44</f>
        <v>45198</v>
      </c>
    </row>
    <row r="10" spans="1:6" ht="18.95" customHeight="1">
      <c r="A10" s="103" t="s">
        <v>32</v>
      </c>
      <c r="B10" s="104">
        <f>'Performance Data Sheet'!M14</f>
        <v>3580</v>
      </c>
      <c r="C10" s="103" t="s">
        <v>135</v>
      </c>
      <c r="D10" s="104" t="s">
        <v>136</v>
      </c>
      <c r="E10" s="103" t="s">
        <v>137</v>
      </c>
      <c r="F10" s="104" t="s">
        <v>138</v>
      </c>
    </row>
    <row r="11" spans="1:6" ht="18.95" customHeight="1">
      <c r="A11" s="100"/>
      <c r="B11" s="101"/>
      <c r="C11" s="101"/>
      <c r="D11" s="101"/>
      <c r="E11" s="101"/>
      <c r="F11" s="102"/>
    </row>
    <row r="12" spans="1:6" ht="18.95" customHeight="1">
      <c r="A12" s="100"/>
      <c r="B12" s="106"/>
      <c r="C12" s="107" t="str">
        <f>'Performance Data Sheet'!D22 &amp; " A"</f>
        <v>945 A</v>
      </c>
      <c r="D12" s="106"/>
      <c r="E12" s="107"/>
      <c r="F12" s="102"/>
    </row>
    <row r="13" spans="1:6" ht="18.95" customHeight="1">
      <c r="A13" s="100"/>
      <c r="B13" s="106"/>
      <c r="C13" s="108">
        <f>'Performance Data Sheet'!H23/100</f>
        <v>0.9</v>
      </c>
      <c r="D13" s="106"/>
      <c r="E13" s="107"/>
      <c r="F13" s="102"/>
    </row>
    <row r="14" spans="1:6" ht="18.95" customHeight="1">
      <c r="A14" s="100"/>
      <c r="B14" s="106"/>
      <c r="C14" s="108"/>
      <c r="D14" s="106"/>
      <c r="E14" s="107"/>
      <c r="F14" s="102"/>
    </row>
    <row r="15" spans="1:6" ht="18.95" customHeight="1">
      <c r="A15" s="100"/>
      <c r="B15" s="106"/>
      <c r="C15" s="107" t="str">
        <f>'Performance Data Sheet'!H22 &amp; " lb-ft"</f>
        <v>1834 lb-ft</v>
      </c>
      <c r="D15" s="101"/>
      <c r="E15" s="101"/>
      <c r="F15" s="102"/>
    </row>
    <row r="16" spans="1:6" ht="18.95" customHeight="1">
      <c r="A16" s="100"/>
      <c r="B16" s="101"/>
      <c r="C16" s="101"/>
      <c r="D16" s="101"/>
      <c r="E16" s="101"/>
      <c r="F16" s="102"/>
    </row>
    <row r="17" spans="1:6" ht="18.95" customHeight="1">
      <c r="A17" s="100"/>
      <c r="B17" s="101"/>
      <c r="C17" s="101"/>
      <c r="D17" s="101"/>
      <c r="E17" s="101"/>
      <c r="F17" s="102"/>
    </row>
    <row r="18" spans="1:6" ht="18.95" customHeight="1">
      <c r="A18" s="100"/>
      <c r="B18" s="101"/>
      <c r="C18" s="101"/>
      <c r="D18" s="101"/>
      <c r="E18" s="101"/>
      <c r="F18" s="102"/>
    </row>
    <row r="19" spans="1:6" ht="18.95" customHeight="1">
      <c r="A19" s="100"/>
      <c r="B19" s="101"/>
      <c r="C19" s="101"/>
      <c r="D19" s="101"/>
      <c r="E19" s="101"/>
      <c r="F19" s="102"/>
    </row>
    <row r="20" spans="1:6" ht="18.95" customHeight="1">
      <c r="A20" s="100"/>
      <c r="B20" s="101"/>
      <c r="C20" s="101"/>
      <c r="D20" s="101"/>
      <c r="E20" s="101"/>
      <c r="F20" s="102"/>
    </row>
    <row r="21" spans="1:6" ht="18.95" customHeight="1">
      <c r="A21" s="100"/>
      <c r="B21" s="101"/>
      <c r="C21" s="101"/>
      <c r="D21" s="101"/>
      <c r="E21" s="101"/>
      <c r="F21" s="102"/>
    </row>
    <row r="22" spans="1:6" ht="18.95" customHeight="1">
      <c r="A22" s="100"/>
      <c r="B22" s="101"/>
      <c r="C22" s="101"/>
      <c r="D22" s="101"/>
      <c r="E22" s="101"/>
      <c r="F22" s="102"/>
    </row>
    <row r="23" spans="1:6" ht="18.95" customHeight="1">
      <c r="A23" s="100"/>
      <c r="B23" s="101"/>
      <c r="C23" s="101"/>
      <c r="D23" s="101"/>
      <c r="E23" s="101"/>
      <c r="F23" s="102"/>
    </row>
    <row r="24" spans="1:6" ht="18.95" customHeight="1">
      <c r="A24" s="100"/>
      <c r="B24" s="101"/>
      <c r="C24" s="101"/>
      <c r="D24" s="101"/>
      <c r="E24" s="101"/>
      <c r="F24" s="102"/>
    </row>
    <row r="25" spans="1:6" ht="18.95" customHeight="1">
      <c r="A25" s="100"/>
      <c r="B25" s="101"/>
      <c r="C25" s="101"/>
      <c r="D25" s="101"/>
      <c r="E25" s="101"/>
      <c r="F25" s="102"/>
    </row>
    <row r="26" spans="1:6" ht="18.95" customHeight="1">
      <c r="A26" s="100"/>
      <c r="B26" s="101"/>
      <c r="C26" s="101"/>
      <c r="D26" s="101"/>
      <c r="E26" s="101"/>
      <c r="F26" s="102"/>
    </row>
    <row r="27" spans="1:6" ht="18.95" customHeight="1">
      <c r="A27" s="100"/>
      <c r="B27" s="101"/>
      <c r="C27" s="101"/>
      <c r="D27" s="101"/>
      <c r="E27" s="101"/>
      <c r="F27" s="102"/>
    </row>
    <row r="28" spans="1:6" ht="18.95" customHeight="1">
      <c r="A28" s="100"/>
      <c r="B28" s="101"/>
      <c r="C28" s="101"/>
      <c r="D28" s="101"/>
      <c r="E28" s="101"/>
      <c r="F28" s="102"/>
    </row>
    <row r="29" spans="1:6" ht="18.95" customHeight="1">
      <c r="A29" s="100"/>
      <c r="B29" s="101"/>
      <c r="C29" s="101"/>
      <c r="D29" s="101"/>
      <c r="E29" s="101"/>
      <c r="F29" s="102"/>
    </row>
    <row r="30" spans="1:6" ht="18.95" customHeight="1">
      <c r="A30" s="100"/>
      <c r="B30" s="101"/>
      <c r="C30" s="101"/>
      <c r="D30" s="101"/>
      <c r="E30" s="101"/>
      <c r="F30" s="102"/>
    </row>
    <row r="31" spans="1:6" ht="18.95" customHeight="1">
      <c r="A31" s="100"/>
      <c r="B31" s="101"/>
      <c r="C31" s="101"/>
      <c r="D31" s="101"/>
      <c r="E31" s="101"/>
      <c r="F31" s="102"/>
    </row>
    <row r="32" spans="1:6" ht="18.95" customHeight="1">
      <c r="A32" s="100"/>
      <c r="B32" s="101"/>
      <c r="C32" s="101"/>
      <c r="D32" s="101"/>
      <c r="E32" s="101"/>
      <c r="F32" s="102"/>
    </row>
    <row r="33" spans="1:6" ht="18.95" customHeight="1">
      <c r="A33" s="100"/>
      <c r="B33" s="101"/>
      <c r="C33" s="101"/>
      <c r="D33" s="101"/>
      <c r="E33" s="101"/>
      <c r="F33" s="102"/>
    </row>
    <row r="34" spans="1:6" ht="18.95" customHeight="1">
      <c r="A34" s="100"/>
      <c r="B34" s="101"/>
      <c r="C34" s="101"/>
      <c r="D34" s="101"/>
      <c r="E34" s="101"/>
      <c r="F34" s="102"/>
    </row>
    <row r="35" spans="1:6" ht="18.95" customHeight="1">
      <c r="A35" s="100"/>
      <c r="B35" s="101"/>
      <c r="C35" s="101"/>
      <c r="D35" s="101"/>
      <c r="E35" s="101"/>
      <c r="F35" s="102"/>
    </row>
    <row r="36" spans="1:6" ht="18.95" customHeight="1">
      <c r="A36" s="100"/>
      <c r="B36" s="101"/>
      <c r="C36" s="101"/>
      <c r="D36" s="101"/>
      <c r="E36" s="101"/>
      <c r="F36" s="102"/>
    </row>
    <row r="37" spans="1:6" ht="18.95" customHeight="1">
      <c r="A37" s="100"/>
      <c r="B37" s="101"/>
      <c r="C37" s="101"/>
      <c r="D37" s="101"/>
      <c r="E37" s="101"/>
      <c r="F37" s="102"/>
    </row>
    <row r="38" spans="1:6" ht="18.95" customHeight="1">
      <c r="A38" s="100"/>
      <c r="B38" s="101"/>
      <c r="C38" s="101"/>
      <c r="D38" s="101"/>
      <c r="E38" s="101"/>
      <c r="F38" s="102"/>
    </row>
    <row r="39" spans="1:6" ht="18.95" customHeight="1">
      <c r="A39" s="109" t="s">
        <v>149</v>
      </c>
      <c r="B39" s="110" t="s">
        <v>150</v>
      </c>
      <c r="C39" s="111" t="str">
        <f>'Performance Data Sheet'!C10</f>
        <v>2306938.1</v>
      </c>
      <c r="D39" s="101"/>
      <c r="E39" s="106" t="s">
        <v>151</v>
      </c>
      <c r="F39" s="112" t="str">
        <f>F10</f>
        <v>h040052</v>
      </c>
    </row>
    <row r="40" spans="1:6" ht="18.95" customHeight="1">
      <c r="A40" s="100"/>
      <c r="B40" s="110"/>
      <c r="C40" s="110"/>
      <c r="D40" s="101"/>
      <c r="E40" s="101"/>
      <c r="F40" s="102"/>
    </row>
    <row r="41" spans="1:6" ht="18.95" customHeight="1">
      <c r="A41" s="100"/>
      <c r="B41" s="110"/>
      <c r="C41" s="110"/>
      <c r="D41" s="101"/>
      <c r="E41" s="101"/>
      <c r="F41" s="102"/>
    </row>
    <row r="42" spans="1:6" ht="18.95" customHeight="1">
      <c r="A42" s="100"/>
      <c r="B42" s="101"/>
      <c r="C42" s="101"/>
      <c r="D42" s="101"/>
      <c r="E42" s="101"/>
      <c r="F42" s="102"/>
    </row>
    <row r="43" spans="1:6" ht="18.95" customHeight="1">
      <c r="A43" s="113"/>
      <c r="B43" s="110"/>
      <c r="C43" s="114" t="s">
        <v>152</v>
      </c>
      <c r="D43" s="115" t="str">
        <f>'Performance Data Sheet'!K42</f>
        <v>Zichao Xie</v>
      </c>
      <c r="E43" s="114" t="s">
        <v>153</v>
      </c>
      <c r="F43" s="115"/>
    </row>
    <row r="44" spans="1:6" ht="15" customHeight="1"/>
    <row r="45" spans="1:6" ht="15" customHeight="1"/>
    <row r="46" spans="1:6" ht="15" customHeight="1"/>
    <row r="47" spans="1:6" ht="15" customHeight="1"/>
    <row r="48" spans="1:6" ht="15" customHeight="1"/>
    <row r="49" spans="6:9" ht="15" customHeight="1"/>
    <row r="50" spans="6:9" ht="15" customHeight="1">
      <c r="F50" s="119" t="e">
        <f>5252.1*B50/D53</f>
        <v>#DIV/0!</v>
      </c>
      <c r="G50" s="119"/>
    </row>
    <row r="51" spans="6:9" ht="15" customHeight="1"/>
    <row r="52" spans="6:9" ht="15" customHeight="1"/>
    <row r="53" spans="6:9" ht="15" customHeight="1"/>
    <row r="54" spans="6:9" ht="15" customHeight="1"/>
    <row r="55" spans="6:9" ht="15" customHeight="1"/>
    <row r="56" spans="6:9" ht="15" customHeight="1"/>
    <row r="62" spans="6:9">
      <c r="I62" s="120"/>
    </row>
    <row r="63" spans="6:9">
      <c r="I63" s="95" t="s">
        <v>159</v>
      </c>
    </row>
    <row r="66" spans="1:9">
      <c r="D66" s="119" t="e">
        <f>D65/D64</f>
        <v>#DIV/0!</v>
      </c>
    </row>
    <row r="67" spans="1:9">
      <c r="A67" s="121" t="s">
        <v>160</v>
      </c>
      <c r="B67" s="121" t="s">
        <v>161</v>
      </c>
      <c r="C67" s="121" t="s">
        <v>162</v>
      </c>
      <c r="E67" s="121" t="s">
        <v>163</v>
      </c>
      <c r="F67" s="121" t="s">
        <v>164</v>
      </c>
      <c r="H67" s="121" t="s">
        <v>163</v>
      </c>
      <c r="I67" s="121" t="s">
        <v>164</v>
      </c>
    </row>
    <row r="68" spans="1:9">
      <c r="A68" s="122">
        <v>621.71052631578948</v>
      </c>
      <c r="B68" s="123">
        <v>24.848041534423828</v>
      </c>
      <c r="C68" s="123">
        <v>11.483563014439175</v>
      </c>
      <c r="E68" s="122">
        <f>A68</f>
        <v>621.71052631578948</v>
      </c>
      <c r="F68" s="123">
        <v>1E-4</v>
      </c>
      <c r="H68" s="122">
        <v>621.71052631578948</v>
      </c>
      <c r="I68" s="123">
        <v>1E-4</v>
      </c>
    </row>
    <row r="69" spans="1:9">
      <c r="A69" s="122">
        <f>FLOOR(A68,100)</f>
        <v>600</v>
      </c>
      <c r="B69" s="123">
        <f>((A68/A69)^2)*B68</f>
        <v>26.678788535028612</v>
      </c>
      <c r="C69" s="123">
        <f>((A68/A69)^2)*C68</f>
        <v>12.329645733506396</v>
      </c>
      <c r="E69" s="122">
        <v>620.52631578947364</v>
      </c>
      <c r="F69" s="123">
        <v>0.9660000205039978</v>
      </c>
      <c r="H69" s="122">
        <v>496.44736842105266</v>
      </c>
      <c r="I69" s="123">
        <v>1.8559999465942383</v>
      </c>
    </row>
    <row r="70" spans="1:9">
      <c r="A70" s="122">
        <f>A69-100</f>
        <v>500</v>
      </c>
      <c r="B70" s="123">
        <f>((A68/A70)^2)*B68</f>
        <v>38.417455490441206</v>
      </c>
      <c r="C70" s="123">
        <f>((A68/A70)^2)*C68</f>
        <v>17.754689856249215</v>
      </c>
      <c r="E70" s="122">
        <v>618.02631578947364</v>
      </c>
      <c r="F70" s="123">
        <v>1.7950000762939453</v>
      </c>
      <c r="H70" s="122">
        <v>494.4736842105263</v>
      </c>
      <c r="I70" s="123">
        <v>3.2669999599456787</v>
      </c>
    </row>
    <row r="71" spans="1:9">
      <c r="A71" s="122">
        <f>A70-100</f>
        <v>400</v>
      </c>
      <c r="B71" s="123">
        <f>((A68/A71)^2)*B68</f>
        <v>60.027274203814386</v>
      </c>
      <c r="C71" s="123">
        <f>((A68/A71)^2)*C68</f>
        <v>27.741702900389395</v>
      </c>
      <c r="E71" s="122">
        <v>615.1973684210526</v>
      </c>
      <c r="F71" s="123">
        <v>2.5750000476837158</v>
      </c>
      <c r="H71" s="122">
        <v>492.17105263157896</v>
      </c>
      <c r="I71" s="123">
        <v>4.5479998588562012</v>
      </c>
    </row>
    <row r="72" spans="1:9">
      <c r="A72" s="122">
        <f>A71-100</f>
        <v>300</v>
      </c>
      <c r="B72" s="123">
        <f>((A68/A72)^2)*B68</f>
        <v>106.71515414011445</v>
      </c>
      <c r="C72" s="123"/>
      <c r="E72" s="122">
        <v>611.90789473684208</v>
      </c>
      <c r="F72" s="123">
        <v>3.3519999980926514</v>
      </c>
      <c r="H72" s="122">
        <v>489.53947368421052</v>
      </c>
      <c r="I72" s="123">
        <v>5.8209996223449707</v>
      </c>
    </row>
    <row r="73" spans="1:9">
      <c r="A73" s="122">
        <f>A72-100</f>
        <v>200</v>
      </c>
      <c r="B73" s="123">
        <f>((A68/A73)^2)*B68</f>
        <v>240.10909681525754</v>
      </c>
      <c r="C73" s="123"/>
      <c r="E73" s="122">
        <v>608.22368421052636</v>
      </c>
      <c r="F73" s="123">
        <v>4.1589999198913574</v>
      </c>
      <c r="H73" s="122">
        <v>486.57894736842104</v>
      </c>
      <c r="I73" s="123">
        <v>7.1899995803833008</v>
      </c>
    </row>
    <row r="74" spans="1:9">
      <c r="A74" s="122">
        <v>215</v>
      </c>
      <c r="B74" s="123">
        <f>((A68/A74)^2)*B68</f>
        <v>207.77423196560954</v>
      </c>
      <c r="C74" s="123">
        <f>((A68/A74)^2)*C68</f>
        <v>96.023200953213689</v>
      </c>
      <c r="E74" s="122">
        <v>604.14473684210532</v>
      </c>
      <c r="F74" s="123">
        <v>5.0279998779296875</v>
      </c>
      <c r="H74" s="122">
        <v>483.28947368421052</v>
      </c>
      <c r="I74" s="123">
        <v>8.7639999389648438</v>
      </c>
    </row>
    <row r="75" spans="1:9">
      <c r="A75" s="124">
        <v>180</v>
      </c>
      <c r="B75" s="123">
        <f>((A68/A75)^2)*B69</f>
        <v>318.27134219041125</v>
      </c>
      <c r="C75" s="123">
        <f>((A68/A75)^2)*C68</f>
        <v>136.99606370562663</v>
      </c>
      <c r="E75" s="122">
        <v>599.53947368421052</v>
      </c>
      <c r="F75" s="123">
        <v>5.9930000305175781</v>
      </c>
      <c r="H75" s="122">
        <v>479.60526315789474</v>
      </c>
      <c r="I75" s="123">
        <v>10.73699951171875</v>
      </c>
    </row>
    <row r="76" spans="1:9">
      <c r="A76" s="124">
        <v>120</v>
      </c>
      <c r="B76" s="123">
        <f>((A68/A76)^2)*B68</f>
        <v>666.96971337571529</v>
      </c>
      <c r="C76" s="123">
        <f>((A68/A76)^2)*C68</f>
        <v>308.24114333765988</v>
      </c>
      <c r="E76" s="122">
        <v>593.15789473684208</v>
      </c>
      <c r="F76" s="123">
        <v>7.1170001029968262</v>
      </c>
      <c r="H76" s="122">
        <v>474.53947368421052</v>
      </c>
      <c r="I76" s="123">
        <v>13.746999740600586</v>
      </c>
    </row>
    <row r="77" spans="1:9">
      <c r="A77" s="124">
        <v>110</v>
      </c>
      <c r="B77" s="123"/>
      <c r="C77" s="122">
        <f>CEILING(C76*2,100)</f>
        <v>700</v>
      </c>
      <c r="E77" s="122">
        <v>584.86842105263156</v>
      </c>
      <c r="F77" s="123">
        <v>7.7319998741149902</v>
      </c>
      <c r="H77" s="122">
        <v>467.89473684210526</v>
      </c>
      <c r="I77" s="123">
        <v>16.202999114990234</v>
      </c>
    </row>
    <row r="78" spans="1:9">
      <c r="A78" s="124">
        <v>110</v>
      </c>
      <c r="B78" s="123"/>
      <c r="C78" s="122">
        <f>2*C77</f>
        <v>1400</v>
      </c>
      <c r="E78" s="122">
        <v>569.60526315789468</v>
      </c>
      <c r="F78" s="123">
        <v>8.2600002288818359</v>
      </c>
      <c r="H78" s="122">
        <v>455.7236842105263</v>
      </c>
      <c r="I78" s="123">
        <v>18.454999923706055</v>
      </c>
    </row>
    <row r="79" spans="1:9">
      <c r="A79" s="124">
        <v>110</v>
      </c>
      <c r="B79" s="124"/>
      <c r="C79" s="124">
        <v>10000</v>
      </c>
      <c r="E79" s="122">
        <v>516.97368421052636</v>
      </c>
      <c r="F79" s="123">
        <v>8.5939998626708984</v>
      </c>
      <c r="H79" s="122">
        <v>413.55263157894734</v>
      </c>
      <c r="I79" s="123">
        <v>19.454000473022461</v>
      </c>
    </row>
    <row r="80" spans="1:9">
      <c r="E80" s="122">
        <v>315.98684210526318</v>
      </c>
      <c r="F80" s="123">
        <v>8.8970003128051758</v>
      </c>
      <c r="H80" s="122">
        <v>0</v>
      </c>
      <c r="I80" s="123">
        <v>20.357000350952148</v>
      </c>
    </row>
    <row r="81" spans="5:9">
      <c r="E81" s="122">
        <v>0</v>
      </c>
      <c r="F81" s="123">
        <v>9.1880006790161133</v>
      </c>
      <c r="H81" s="122"/>
      <c r="I81" s="123"/>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4686A-C15C-481B-951E-5AC476DD37B0}">
  <sheetPr>
    <pageSetUpPr fitToPage="1"/>
  </sheetPr>
  <dimension ref="A1:O69"/>
  <sheetViews>
    <sheetView topLeftCell="A11" workbookViewId="0">
      <selection activeCell="F19" sqref="F19"/>
    </sheetView>
  </sheetViews>
  <sheetFormatPr defaultColWidth="6.3984375" defaultRowHeight="12.75"/>
  <cols>
    <col min="1" max="6" width="11.69921875" style="95" customWidth="1"/>
    <col min="7" max="16384" width="6.3984375" style="95"/>
  </cols>
  <sheetData>
    <row r="1" spans="1:6" ht="18.95" customHeight="1">
      <c r="A1" s="92"/>
      <c r="B1" s="93"/>
      <c r="C1" s="93"/>
      <c r="D1" s="93"/>
      <c r="E1" s="93"/>
      <c r="F1" s="94"/>
    </row>
    <row r="2" spans="1:6" ht="26.1" customHeight="1">
      <c r="A2" s="96" t="s">
        <v>0</v>
      </c>
      <c r="B2" s="97"/>
      <c r="C2" s="97"/>
      <c r="D2" s="97"/>
      <c r="E2" s="97"/>
      <c r="F2" s="98"/>
    </row>
    <row r="3" spans="1:6" ht="18.95" customHeight="1">
      <c r="A3" s="99" t="s">
        <v>165</v>
      </c>
      <c r="B3" s="97"/>
      <c r="C3" s="97"/>
      <c r="D3" s="97"/>
      <c r="E3" s="97"/>
      <c r="F3" s="98"/>
    </row>
    <row r="4" spans="1:6" ht="18.95" customHeight="1">
      <c r="A4" s="574" t="s">
        <v>158</v>
      </c>
      <c r="B4" s="575"/>
      <c r="C4" s="575"/>
      <c r="D4" s="575"/>
      <c r="E4" s="575"/>
      <c r="F4" s="576"/>
    </row>
    <row r="5" spans="1:6" ht="18.95" customHeight="1">
      <c r="A5" s="100"/>
      <c r="B5" s="101"/>
      <c r="C5" s="101"/>
      <c r="D5" s="101"/>
      <c r="E5" s="101"/>
      <c r="F5" s="102"/>
    </row>
    <row r="6" spans="1:6" ht="18.95" customHeight="1">
      <c r="A6" s="103" t="s">
        <v>122</v>
      </c>
      <c r="B6" s="568" t="str">
        <f>'Performance Data Sheet'!C17</f>
        <v>A1-10134386</v>
      </c>
      <c r="C6" s="569"/>
      <c r="D6" s="570"/>
      <c r="E6" s="103" t="s">
        <v>123</v>
      </c>
      <c r="F6" s="104">
        <f>'Performance Data Sheet'!I14</f>
        <v>152</v>
      </c>
    </row>
    <row r="7" spans="1:6" ht="18.95" customHeight="1">
      <c r="A7" s="103" t="s">
        <v>124</v>
      </c>
      <c r="B7" s="104" t="str">
        <f>'Performance Data Sheet'!F14</f>
        <v>TEAAC</v>
      </c>
      <c r="C7" s="103" t="s">
        <v>125</v>
      </c>
      <c r="D7" s="104" t="str">
        <f>'Performance Data Sheet'!F13 &amp; " V"</f>
        <v>4000 V</v>
      </c>
      <c r="E7" s="103" t="s">
        <v>126</v>
      </c>
      <c r="F7" s="104" t="str">
        <f>'Performance Data Sheet'!C14</f>
        <v>5812USS</v>
      </c>
    </row>
    <row r="8" spans="1:6" ht="18.95" customHeight="1">
      <c r="A8" s="103" t="s">
        <v>127</v>
      </c>
      <c r="B8" s="104">
        <v>2</v>
      </c>
      <c r="C8" s="103" t="s">
        <v>128</v>
      </c>
      <c r="D8" s="104" t="s">
        <v>129</v>
      </c>
      <c r="E8" s="103" t="s">
        <v>130</v>
      </c>
      <c r="F8" s="104" t="str">
        <f>'Performance Data Sheet'!M15</f>
        <v>F</v>
      </c>
    </row>
    <row r="9" spans="1:6" ht="18.95" customHeight="1">
      <c r="A9" s="103" t="s">
        <v>131</v>
      </c>
      <c r="B9" s="104">
        <f>'Performance Data Sheet'!C13</f>
        <v>1250</v>
      </c>
      <c r="C9" s="103" t="s">
        <v>132</v>
      </c>
      <c r="D9" s="104" t="s">
        <v>133</v>
      </c>
      <c r="E9" s="103" t="s">
        <v>134</v>
      </c>
      <c r="F9" s="105">
        <f>'Performance Data Sheet'!K44</f>
        <v>45198</v>
      </c>
    </row>
    <row r="10" spans="1:6" ht="18.95" customHeight="1">
      <c r="A10" s="103" t="s">
        <v>32</v>
      </c>
      <c r="B10" s="104">
        <f>'Performance Data Sheet'!M14</f>
        <v>3580</v>
      </c>
      <c r="C10" s="103" t="s">
        <v>135</v>
      </c>
      <c r="D10" s="104" t="s">
        <v>136</v>
      </c>
      <c r="E10" s="103" t="s">
        <v>137</v>
      </c>
      <c r="F10" s="104" t="s">
        <v>138</v>
      </c>
    </row>
    <row r="11" spans="1:6" ht="18.95" customHeight="1">
      <c r="A11" s="100"/>
      <c r="B11" s="101"/>
      <c r="C11" s="101"/>
      <c r="D11" s="101"/>
      <c r="E11" s="101"/>
      <c r="F11" s="102"/>
    </row>
    <row r="12" spans="1:6" ht="18.95" customHeight="1">
      <c r="A12" s="100"/>
      <c r="B12" s="106" t="s">
        <v>139</v>
      </c>
      <c r="C12" s="107" t="str">
        <f>'Performance Data Sheet'!D22 &amp; " A"</f>
        <v>945 A</v>
      </c>
      <c r="D12" s="106" t="s">
        <v>140</v>
      </c>
      <c r="E12" s="107" t="s">
        <v>141</v>
      </c>
      <c r="F12" s="102"/>
    </row>
    <row r="13" spans="1:6" ht="18.95" customHeight="1">
      <c r="A13" s="100"/>
      <c r="B13" s="106" t="s">
        <v>142</v>
      </c>
      <c r="C13" s="108">
        <f>'Performance Data Sheet'!H23/100</f>
        <v>0.9</v>
      </c>
      <c r="D13" s="106" t="s">
        <v>143</v>
      </c>
      <c r="E13" s="107" t="s">
        <v>144</v>
      </c>
      <c r="F13" s="102"/>
    </row>
    <row r="14" spans="1:6" ht="18.95" customHeight="1">
      <c r="A14" s="100"/>
      <c r="B14" s="106" t="s">
        <v>145</v>
      </c>
      <c r="C14" s="108">
        <v>2.15</v>
      </c>
      <c r="D14" s="106" t="s">
        <v>146</v>
      </c>
      <c r="E14" s="107" t="s">
        <v>147</v>
      </c>
      <c r="F14" s="102"/>
    </row>
    <row r="15" spans="1:6" ht="18.95" customHeight="1">
      <c r="A15" s="100"/>
      <c r="B15" s="106" t="s">
        <v>148</v>
      </c>
      <c r="C15" s="107" t="str">
        <f>'Performance Data Sheet'!H22 &amp; " lb-ft"</f>
        <v>1834 lb-ft</v>
      </c>
      <c r="D15" s="101"/>
      <c r="E15" s="101"/>
      <c r="F15" s="102"/>
    </row>
    <row r="16" spans="1:6" ht="18.95" customHeight="1">
      <c r="A16" s="100"/>
      <c r="B16" s="101"/>
      <c r="C16" s="101"/>
      <c r="D16" s="101"/>
      <c r="E16" s="101"/>
      <c r="F16" s="102"/>
    </row>
    <row r="17" spans="1:8" ht="18.95" customHeight="1">
      <c r="A17" s="100"/>
      <c r="B17" s="101"/>
      <c r="C17" s="101"/>
      <c r="D17" s="101"/>
      <c r="E17" s="101"/>
      <c r="F17" s="102"/>
    </row>
    <row r="18" spans="1:8" ht="18.95" customHeight="1">
      <c r="A18" s="100"/>
      <c r="B18" s="101"/>
      <c r="C18" s="101"/>
      <c r="D18" s="101"/>
      <c r="E18" s="101"/>
      <c r="F18" s="102"/>
    </row>
    <row r="19" spans="1:8" ht="18.95" customHeight="1">
      <c r="A19" s="100"/>
      <c r="B19" s="101"/>
      <c r="C19" s="101"/>
      <c r="D19" s="101"/>
      <c r="E19" s="101"/>
      <c r="F19" s="102"/>
    </row>
    <row r="20" spans="1:8" ht="18.95" customHeight="1">
      <c r="A20" s="100"/>
      <c r="B20" s="101"/>
      <c r="C20" s="101"/>
      <c r="D20" s="101"/>
      <c r="E20" s="101"/>
      <c r="F20" s="102"/>
    </row>
    <row r="21" spans="1:8" ht="18.95" customHeight="1">
      <c r="A21" s="100"/>
      <c r="B21" s="101"/>
      <c r="C21" s="101"/>
      <c r="D21" s="101"/>
      <c r="E21" s="101"/>
      <c r="F21" s="102"/>
    </row>
    <row r="22" spans="1:8" ht="18.95" customHeight="1">
      <c r="A22" s="100"/>
      <c r="B22" s="101"/>
      <c r="C22" s="101"/>
      <c r="D22" s="101"/>
      <c r="E22" s="101"/>
      <c r="F22" s="102"/>
    </row>
    <row r="23" spans="1:8" ht="18.95" customHeight="1">
      <c r="A23" s="100"/>
      <c r="B23" s="101"/>
      <c r="C23" s="101"/>
      <c r="D23" s="101"/>
      <c r="E23" s="101"/>
      <c r="F23" s="102"/>
    </row>
    <row r="24" spans="1:8" ht="18.95" customHeight="1">
      <c r="A24" s="100"/>
      <c r="B24" s="101"/>
      <c r="C24" s="101"/>
      <c r="D24" s="101"/>
      <c r="E24" s="101"/>
      <c r="F24" s="102"/>
      <c r="H24" s="125"/>
    </row>
    <row r="25" spans="1:8" ht="18.95" customHeight="1">
      <c r="A25" s="100"/>
      <c r="B25" s="101"/>
      <c r="C25" s="101"/>
      <c r="D25" s="101"/>
      <c r="E25" s="101"/>
      <c r="F25" s="102"/>
    </row>
    <row r="26" spans="1:8" ht="18.95" customHeight="1">
      <c r="A26" s="100"/>
      <c r="B26" s="101"/>
      <c r="C26" s="101"/>
      <c r="D26" s="101"/>
      <c r="E26" s="101"/>
      <c r="F26" s="102"/>
    </row>
    <row r="27" spans="1:8" ht="18.95" customHeight="1">
      <c r="A27" s="100"/>
      <c r="B27" s="101"/>
      <c r="C27" s="101"/>
      <c r="D27" s="101"/>
      <c r="E27" s="101"/>
      <c r="F27" s="102"/>
    </row>
    <row r="28" spans="1:8" ht="18.95" customHeight="1">
      <c r="A28" s="100"/>
      <c r="B28" s="101"/>
      <c r="C28" s="101"/>
      <c r="D28" s="101"/>
      <c r="E28" s="101"/>
      <c r="F28" s="102"/>
    </row>
    <row r="29" spans="1:8" ht="18.95" customHeight="1">
      <c r="A29" s="100"/>
      <c r="B29" s="101"/>
      <c r="C29" s="101"/>
      <c r="D29" s="101"/>
      <c r="E29" s="101"/>
      <c r="F29" s="102"/>
    </row>
    <row r="30" spans="1:8" ht="18.95" customHeight="1">
      <c r="A30" s="100"/>
      <c r="B30" s="101"/>
      <c r="C30" s="101"/>
      <c r="D30" s="101"/>
      <c r="E30" s="101"/>
      <c r="F30" s="102"/>
    </row>
    <row r="31" spans="1:8" ht="18.95" customHeight="1">
      <c r="A31" s="100"/>
      <c r="B31" s="101"/>
      <c r="C31" s="101"/>
      <c r="D31" s="101"/>
      <c r="E31" s="101"/>
      <c r="F31" s="102"/>
    </row>
    <row r="32" spans="1:8" ht="18.95" customHeight="1">
      <c r="A32" s="100"/>
      <c r="B32" s="101"/>
      <c r="C32" s="101"/>
      <c r="D32" s="101"/>
      <c r="E32" s="101"/>
      <c r="F32" s="102"/>
    </row>
    <row r="33" spans="1:15" ht="18.95" customHeight="1">
      <c r="A33" s="100"/>
      <c r="B33" s="101"/>
      <c r="C33" s="101"/>
      <c r="D33" s="101"/>
      <c r="E33" s="101"/>
      <c r="F33" s="102"/>
    </row>
    <row r="34" spans="1:15" ht="18.95" customHeight="1">
      <c r="A34" s="100"/>
      <c r="B34" s="101"/>
      <c r="C34" s="101"/>
      <c r="D34" s="101"/>
      <c r="E34" s="101"/>
      <c r="F34" s="102"/>
    </row>
    <row r="35" spans="1:15" ht="18.95" customHeight="1">
      <c r="A35" s="100"/>
      <c r="B35" s="101"/>
      <c r="C35" s="101"/>
      <c r="D35" s="101"/>
      <c r="E35" s="101"/>
      <c r="F35" s="102"/>
    </row>
    <row r="36" spans="1:15" ht="18.95" customHeight="1">
      <c r="A36" s="100"/>
      <c r="B36" s="101"/>
      <c r="C36" s="101"/>
      <c r="D36" s="101"/>
      <c r="E36" s="101"/>
      <c r="F36" s="102"/>
      <c r="N36" s="126" t="s">
        <v>166</v>
      </c>
      <c r="O36" s="126" t="s">
        <v>167</v>
      </c>
    </row>
    <row r="37" spans="1:15" ht="18.95" customHeight="1">
      <c r="A37" s="100"/>
      <c r="B37" s="101"/>
      <c r="C37" s="101"/>
      <c r="D37" s="101"/>
      <c r="E37" s="101"/>
      <c r="F37" s="102"/>
      <c r="N37" s="126">
        <f xml:space="preserve"> L43 - (L43-L44) / 10 * 0</f>
        <v>3600</v>
      </c>
      <c r="O37" s="126">
        <f xml:space="preserve"> L45 / 10 * 10</f>
        <v>4000</v>
      </c>
    </row>
    <row r="38" spans="1:15" ht="18.95" customHeight="1">
      <c r="A38" s="100"/>
      <c r="B38" s="101"/>
      <c r="C38" s="101"/>
      <c r="D38" s="101"/>
      <c r="E38" s="101"/>
      <c r="F38" s="102"/>
      <c r="N38" s="126">
        <f xml:space="preserve"> L43 - (L43-L44) / 10 * 1</f>
        <v>3597</v>
      </c>
      <c r="O38" s="126">
        <f xml:space="preserve"> L45 / 10 * 9</f>
        <v>3600</v>
      </c>
    </row>
    <row r="39" spans="1:15" ht="18.95" customHeight="1">
      <c r="A39" s="109" t="s">
        <v>149</v>
      </c>
      <c r="B39" s="110" t="s">
        <v>150</v>
      </c>
      <c r="C39" s="111" t="str">
        <f>'Performance Data Sheet'!C10</f>
        <v>2306938.1</v>
      </c>
      <c r="D39" s="101"/>
      <c r="E39" s="106" t="s">
        <v>151</v>
      </c>
      <c r="F39" s="112" t="str">
        <f>F10</f>
        <v>h040052</v>
      </c>
      <c r="N39" s="126">
        <f xml:space="preserve"> L43 - (L43-L44) / 10 * 2</f>
        <v>3594</v>
      </c>
      <c r="O39" s="126">
        <f xml:space="preserve"> L45 / 10 * 8</f>
        <v>3200</v>
      </c>
    </row>
    <row r="40" spans="1:15" ht="18.95" customHeight="1">
      <c r="A40" s="100"/>
      <c r="B40" s="110"/>
      <c r="C40" s="110"/>
      <c r="D40" s="101"/>
      <c r="E40" s="101"/>
      <c r="F40" s="102"/>
      <c r="N40" s="126">
        <f xml:space="preserve"> L43 - (L43-L44) / 10 * 3</f>
        <v>3591</v>
      </c>
      <c r="O40" s="126">
        <f xml:space="preserve"> L45 / 10 * 7</f>
        <v>2800</v>
      </c>
    </row>
    <row r="41" spans="1:15" ht="18.95" customHeight="1">
      <c r="A41" s="100"/>
      <c r="B41" s="110"/>
      <c r="C41" s="110"/>
      <c r="D41" s="101"/>
      <c r="E41" s="101"/>
      <c r="F41" s="102"/>
      <c r="N41" s="126">
        <f xml:space="preserve"> L43 - (L43-L44) / 10 * 4</f>
        <v>3588</v>
      </c>
      <c r="O41" s="126">
        <f xml:space="preserve"> L45 / 10 * 6</f>
        <v>2400</v>
      </c>
    </row>
    <row r="42" spans="1:15" ht="18.95" customHeight="1">
      <c r="A42" s="100"/>
      <c r="B42" s="101"/>
      <c r="C42" s="101"/>
      <c r="D42" s="101"/>
      <c r="E42" s="101"/>
      <c r="F42" s="102"/>
      <c r="N42" s="126">
        <f xml:space="preserve"> L43 - (L43-L44) / 10 * 5</f>
        <v>3585</v>
      </c>
      <c r="O42" s="126">
        <f xml:space="preserve"> L45 / 10 * 5</f>
        <v>2000</v>
      </c>
    </row>
    <row r="43" spans="1:15" ht="18.95" customHeight="1">
      <c r="A43" s="113"/>
      <c r="B43" s="110"/>
      <c r="C43" s="114" t="s">
        <v>152</v>
      </c>
      <c r="D43" s="115" t="str">
        <f>'Performance Data Sheet'!K42</f>
        <v>Zichao Xie</v>
      </c>
      <c r="E43" s="114" t="s">
        <v>153</v>
      </c>
      <c r="F43" s="115"/>
      <c r="K43" s="127" t="s">
        <v>168</v>
      </c>
      <c r="L43" s="128">
        <v>3600</v>
      </c>
      <c r="N43" s="126">
        <f xml:space="preserve"> L43 - (L43-L44) / 10 * 6</f>
        <v>3582</v>
      </c>
      <c r="O43" s="126">
        <f xml:space="preserve"> L45 / 10 * 4</f>
        <v>1600</v>
      </c>
    </row>
    <row r="44" spans="1:15" ht="15" customHeight="1">
      <c r="K44" s="127" t="s">
        <v>169</v>
      </c>
      <c r="L44" s="129">
        <v>3570</v>
      </c>
      <c r="N44" s="126">
        <f xml:space="preserve"> L43 - (L43-L44) / 10 * 7</f>
        <v>3579</v>
      </c>
      <c r="O44" s="126">
        <f xml:space="preserve"> L45 / 10 * 3</f>
        <v>1200</v>
      </c>
    </row>
    <row r="45" spans="1:15" ht="15" customHeight="1">
      <c r="K45" s="127" t="s">
        <v>170</v>
      </c>
      <c r="L45" s="129">
        <v>4000</v>
      </c>
      <c r="N45" s="126">
        <f xml:space="preserve"> L43 - (L43-L44) / 10 * 8</f>
        <v>3576</v>
      </c>
      <c r="O45" s="126">
        <f xml:space="preserve"> L45 / 10 * 2</f>
        <v>800</v>
      </c>
    </row>
    <row r="46" spans="1:15" ht="15" customHeight="1">
      <c r="N46" s="126">
        <f xml:space="preserve"> L43 - (L43-L44) / 10 * 9</f>
        <v>3573</v>
      </c>
      <c r="O46" s="126">
        <f xml:space="preserve"> L45 / 10 * 1</f>
        <v>400</v>
      </c>
    </row>
    <row r="47" spans="1:15" ht="15" customHeight="1">
      <c r="N47" s="126">
        <f xml:space="preserve"> L43 - (L43-L44) / 10 * 10</f>
        <v>3570</v>
      </c>
      <c r="O47" s="130">
        <f xml:space="preserve"> L45 / 10 * 0</f>
        <v>0</v>
      </c>
    </row>
    <row r="48" spans="1:15" ht="15" customHeight="1"/>
    <row r="49" spans="1:6" ht="15" customHeight="1"/>
    <row r="50" spans="1:6" ht="15" customHeight="1"/>
    <row r="51" spans="1:6" ht="15" customHeight="1" thickBot="1"/>
    <row r="52" spans="1:6" ht="15" customHeight="1" thickBot="1">
      <c r="A52" s="577" t="s">
        <v>171</v>
      </c>
      <c r="B52" s="578"/>
      <c r="C52" s="578"/>
      <c r="D52" s="578"/>
      <c r="E52" s="578"/>
      <c r="F52" s="579"/>
    </row>
    <row r="53" spans="1:6" ht="15" customHeight="1" thickBot="1">
      <c r="A53" s="131" t="s">
        <v>154</v>
      </c>
      <c r="B53" s="131" t="s">
        <v>172</v>
      </c>
      <c r="C53" s="131" t="s">
        <v>173</v>
      </c>
      <c r="D53" s="131" t="s">
        <v>174</v>
      </c>
      <c r="E53" s="131" t="s">
        <v>175</v>
      </c>
      <c r="F53" s="132" t="s">
        <v>176</v>
      </c>
    </row>
    <row r="54" spans="1:6" ht="15" customHeight="1">
      <c r="A54" s="133">
        <v>0</v>
      </c>
      <c r="B54" s="134"/>
      <c r="C54" s="135"/>
      <c r="D54" s="135">
        <v>29</v>
      </c>
      <c r="E54" s="135">
        <v>100</v>
      </c>
      <c r="F54" s="136">
        <f>23212/(L45*1000) * 100</f>
        <v>0.58030000000000004</v>
      </c>
    </row>
    <row r="55" spans="1:6" ht="15" customHeight="1">
      <c r="A55" s="137">
        <v>25</v>
      </c>
      <c r="B55" s="138">
        <v>89.099998474121094</v>
      </c>
      <c r="C55" s="139">
        <v>70.300003051757813</v>
      </c>
      <c r="D55" s="139">
        <v>53.740001678466797</v>
      </c>
      <c r="E55" s="139">
        <f xml:space="preserve"> (1.00411199644291*B10-L44)/(L43-L44)*100</f>
        <v>82.403157552059085</v>
      </c>
      <c r="F55" s="140">
        <f xml:space="preserve"> 261742.1/(L45*1000)*100</f>
        <v>6.5435525000000005</v>
      </c>
    </row>
    <row r="56" spans="1:6" ht="15" customHeight="1">
      <c r="A56" s="137">
        <v>50</v>
      </c>
      <c r="B56" s="138">
        <v>93.699996948242188</v>
      </c>
      <c r="C56" s="139">
        <v>86.099998474121094</v>
      </c>
      <c r="D56" s="139">
        <v>83.410003662109375</v>
      </c>
      <c r="E56" s="139">
        <f xml:space="preserve"> (1.00277911138268*B10-L44)/(L43-L44)*100</f>
        <v>66.497395833315139</v>
      </c>
      <c r="F56" s="140">
        <f xml:space="preserve"> 497555.9/(L45*1000)*100</f>
        <v>12.438897500000001</v>
      </c>
    </row>
    <row r="57" spans="1:6">
      <c r="A57" s="137">
        <v>75</v>
      </c>
      <c r="B57" s="138">
        <v>95.200004577636719</v>
      </c>
      <c r="C57" s="139">
        <v>90.699996948242188</v>
      </c>
      <c r="D57" s="139">
        <v>116.80000305175781</v>
      </c>
      <c r="E57" s="139">
        <f xml:space="preserve"> (1.00141792510475*B10-L44)/(L43-L44)*100</f>
        <v>50.253906250015156</v>
      </c>
      <c r="F57" s="140">
        <f xml:space="preserve"> 733957.3/(L45*1000)*100</f>
        <v>18.3489325</v>
      </c>
    </row>
    <row r="58" spans="1:6">
      <c r="A58" s="137">
        <v>100</v>
      </c>
      <c r="B58" s="138">
        <v>95.800003051757813</v>
      </c>
      <c r="C58" s="139">
        <v>92.299995422363281</v>
      </c>
      <c r="D58" s="139">
        <v>152.1199951171875</v>
      </c>
      <c r="E58" s="139">
        <f xml:space="preserve"> (1*B10-L44)/(L43-L44)*100</f>
        <v>33.333333333333329</v>
      </c>
      <c r="F58" s="140">
        <f xml:space="preserve"> 972766.5/(L45*1000)*100</f>
        <v>24.319162500000001</v>
      </c>
    </row>
    <row r="59" spans="1:6" ht="13.5" thickBot="1">
      <c r="A59" s="141">
        <v>125</v>
      </c>
      <c r="B59" s="142">
        <v>96.100006103515625</v>
      </c>
      <c r="C59" s="143">
        <v>92.699996948242188</v>
      </c>
      <c r="D59" s="143">
        <v>188.91999816894531</v>
      </c>
      <c r="E59" s="143">
        <f xml:space="preserve"> (0.998979042095845*B10-L44)/(L43-L44)*100</f>
        <v>21.14990234375</v>
      </c>
      <c r="F59" s="144">
        <f xml:space="preserve"> 1213328/(L45*1000)*100</f>
        <v>30.333199999999998</v>
      </c>
    </row>
    <row r="60" spans="1:6">
      <c r="A60" s="117"/>
      <c r="B60" s="116"/>
      <c r="C60" s="116"/>
    </row>
    <row r="61" spans="1:6" ht="13.5" thickBot="1">
      <c r="A61" s="117"/>
      <c r="B61" s="116"/>
      <c r="C61" s="116"/>
    </row>
    <row r="62" spans="1:6" ht="13.5" thickBot="1">
      <c r="A62" s="577" t="s">
        <v>177</v>
      </c>
      <c r="B62" s="578"/>
      <c r="C62" s="578"/>
      <c r="D62" s="578"/>
      <c r="E62" s="578"/>
      <c r="F62" s="579"/>
    </row>
    <row r="63" spans="1:6" ht="13.5" thickBot="1">
      <c r="A63" s="131" t="s">
        <v>154</v>
      </c>
      <c r="B63" s="131" t="s">
        <v>172</v>
      </c>
      <c r="C63" s="131" t="s">
        <v>173</v>
      </c>
      <c r="D63" s="131" t="s">
        <v>174</v>
      </c>
      <c r="E63" s="131" t="s">
        <v>175</v>
      </c>
      <c r="F63" s="132" t="s">
        <v>176</v>
      </c>
    </row>
    <row r="64" spans="1:6">
      <c r="A64" s="133">
        <v>0</v>
      </c>
      <c r="B64" s="134"/>
      <c r="C64" s="135"/>
      <c r="D64" s="135">
        <v>35.209850584090518</v>
      </c>
      <c r="E64" s="135">
        <v>100</v>
      </c>
      <c r="F64" s="136">
        <v>0.58030500000000007</v>
      </c>
    </row>
    <row r="65" spans="1:6">
      <c r="A65" s="137">
        <v>25</v>
      </c>
      <c r="B65" s="138">
        <v>88.981048583984375</v>
      </c>
      <c r="C65" s="139">
        <v>70.326042175292969</v>
      </c>
      <c r="D65" s="139">
        <v>53.740047454833984</v>
      </c>
      <c r="E65" s="139">
        <v>79.121607528678524</v>
      </c>
      <c r="F65" s="140">
        <v>6.5457904324759371</v>
      </c>
    </row>
    <row r="66" spans="1:6">
      <c r="A66" s="137">
        <v>50</v>
      </c>
      <c r="B66" s="138">
        <v>93.626846313476563</v>
      </c>
      <c r="C66" s="139">
        <v>86.121337890625</v>
      </c>
      <c r="D66" s="139">
        <v>83.412391662597656</v>
      </c>
      <c r="E66" s="139">
        <v>63.443722423164175</v>
      </c>
      <c r="F66" s="140">
        <v>12.441972696984745</v>
      </c>
    </row>
    <row r="67" spans="1:6">
      <c r="A67" s="137">
        <v>75</v>
      </c>
      <c r="B67" s="138">
        <v>95.167083740234375</v>
      </c>
      <c r="C67" s="139">
        <v>90.751136779785156</v>
      </c>
      <c r="D67" s="139">
        <v>116.81380462646484</v>
      </c>
      <c r="E67" s="139">
        <v>47.329043527210366</v>
      </c>
      <c r="F67" s="140">
        <v>18.36090679568855</v>
      </c>
    </row>
    <row r="68" spans="1:6">
      <c r="A68" s="137">
        <v>100</v>
      </c>
      <c r="B68" s="138">
        <v>95.768791198730469</v>
      </c>
      <c r="C68" s="139">
        <v>92.326705932617188</v>
      </c>
      <c r="D68" s="139">
        <v>152.13194274902344</v>
      </c>
      <c r="E68" s="139">
        <v>30.632659089499437</v>
      </c>
      <c r="F68" s="140">
        <v>24.327396693262592</v>
      </c>
    </row>
    <row r="69" spans="1:6" ht="13.5" thickBot="1">
      <c r="A69" s="141">
        <v>125</v>
      </c>
      <c r="B69" s="142">
        <v>96.025344848632813</v>
      </c>
      <c r="C69" s="143">
        <v>92.679550170898438</v>
      </c>
      <c r="D69" s="143">
        <v>188.93479919433594</v>
      </c>
      <c r="E69" s="143">
        <v>18.796744643576524</v>
      </c>
      <c r="F69" s="144">
        <v>30.327999831732413</v>
      </c>
    </row>
  </sheetData>
  <mergeCells count="4">
    <mergeCell ref="A4:F4"/>
    <mergeCell ref="B6:D6"/>
    <mergeCell ref="A52:F52"/>
    <mergeCell ref="A62:F62"/>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47DB6-70F7-4E61-BB64-6F2272CAABB7}">
  <sheetPr>
    <pageSetUpPr fitToPage="1"/>
  </sheetPr>
  <dimension ref="A1:L61"/>
  <sheetViews>
    <sheetView topLeftCell="A8" workbookViewId="0">
      <selection activeCell="M22" sqref="M22"/>
    </sheetView>
  </sheetViews>
  <sheetFormatPr defaultColWidth="6.3984375" defaultRowHeight="12.75"/>
  <cols>
    <col min="1" max="1" width="13.796875" style="95" customWidth="1"/>
    <col min="2" max="7" width="7.5" style="95" customWidth="1"/>
    <col min="8" max="16384" width="6.3984375" style="95"/>
  </cols>
  <sheetData>
    <row r="1" spans="1:12" ht="21" customHeight="1">
      <c r="A1" s="466" t="s">
        <v>539</v>
      </c>
      <c r="B1" s="589" t="s">
        <v>540</v>
      </c>
      <c r="C1" s="589"/>
      <c r="D1" s="589"/>
      <c r="E1" s="589"/>
      <c r="F1" s="589"/>
      <c r="G1" s="589"/>
    </row>
    <row r="2" spans="1:12" ht="15" customHeight="1"/>
    <row r="3" spans="1:12" ht="20.25">
      <c r="A3" s="467" t="s">
        <v>541</v>
      </c>
    </row>
    <row r="4" spans="1:12" ht="12" customHeight="1">
      <c r="A4" s="468"/>
      <c r="B4" s="468"/>
      <c r="C4" s="468"/>
      <c r="D4" s="468" t="s">
        <v>542</v>
      </c>
      <c r="E4" s="468"/>
      <c r="F4" s="468"/>
      <c r="G4" s="468"/>
      <c r="H4" s="468"/>
      <c r="I4" s="468"/>
      <c r="J4" s="468"/>
      <c r="K4" s="468"/>
      <c r="L4" s="468"/>
    </row>
    <row r="5" spans="1:12" ht="15.6" customHeight="1">
      <c r="A5" s="469" t="s">
        <v>175</v>
      </c>
      <c r="B5" s="469" t="s">
        <v>543</v>
      </c>
      <c r="C5" s="469" t="s">
        <v>544</v>
      </c>
      <c r="D5" s="469" t="s">
        <v>545</v>
      </c>
      <c r="E5" s="469" t="s">
        <v>546</v>
      </c>
      <c r="F5" s="469" t="s">
        <v>547</v>
      </c>
      <c r="G5" s="469" t="s">
        <v>548</v>
      </c>
      <c r="H5" s="468"/>
      <c r="I5" s="468"/>
      <c r="J5" s="468"/>
      <c r="K5" s="468"/>
      <c r="L5" s="468"/>
    </row>
    <row r="6" spans="1:12" ht="15.6" customHeight="1">
      <c r="A6" s="470" t="s">
        <v>549</v>
      </c>
      <c r="B6" s="470" t="s">
        <v>439</v>
      </c>
      <c r="C6" s="470" t="s">
        <v>439</v>
      </c>
      <c r="D6" s="470" t="s">
        <v>550</v>
      </c>
      <c r="E6" s="470" t="s">
        <v>174</v>
      </c>
      <c r="F6" s="470" t="s">
        <v>551</v>
      </c>
      <c r="G6" s="470" t="s">
        <v>551</v>
      </c>
      <c r="H6" s="468"/>
      <c r="I6" s="468"/>
      <c r="J6" s="468"/>
      <c r="K6" s="468"/>
      <c r="L6" s="468"/>
    </row>
    <row r="7" spans="1:12" ht="15.95" customHeight="1">
      <c r="A7" s="471" t="s">
        <v>552</v>
      </c>
      <c r="B7" s="471" t="s">
        <v>553</v>
      </c>
      <c r="C7" s="471" t="s">
        <v>554</v>
      </c>
      <c r="D7" s="471" t="s">
        <v>555</v>
      </c>
      <c r="E7" s="471" t="s">
        <v>556</v>
      </c>
      <c r="F7" s="471" t="s">
        <v>557</v>
      </c>
      <c r="G7" s="471" t="s">
        <v>558</v>
      </c>
      <c r="H7" s="468"/>
      <c r="I7" s="468"/>
      <c r="J7" s="468"/>
      <c r="K7" s="468"/>
      <c r="L7" s="468"/>
    </row>
    <row r="8" spans="1:12" ht="15.95" customHeight="1">
      <c r="A8" s="471" t="s">
        <v>559</v>
      </c>
      <c r="B8" s="471" t="s">
        <v>560</v>
      </c>
      <c r="C8" s="471" t="s">
        <v>561</v>
      </c>
      <c r="D8" s="471" t="s">
        <v>562</v>
      </c>
      <c r="E8" s="471" t="s">
        <v>563</v>
      </c>
      <c r="F8" s="471" t="s">
        <v>564</v>
      </c>
      <c r="G8" s="471" t="s">
        <v>565</v>
      </c>
      <c r="H8" s="468"/>
      <c r="I8" s="468"/>
      <c r="J8" s="468"/>
      <c r="K8" s="468"/>
      <c r="L8" s="468"/>
    </row>
    <row r="9" spans="1:12" ht="15.95" customHeight="1">
      <c r="A9" s="471" t="s">
        <v>566</v>
      </c>
      <c r="B9" s="471" t="s">
        <v>567</v>
      </c>
      <c r="C9" s="471" t="s">
        <v>568</v>
      </c>
      <c r="D9" s="471" t="s">
        <v>569</v>
      </c>
      <c r="E9" s="471" t="s">
        <v>570</v>
      </c>
      <c r="F9" s="471" t="s">
        <v>571</v>
      </c>
      <c r="G9" s="471" t="s">
        <v>572</v>
      </c>
      <c r="H9" s="468"/>
      <c r="I9" s="468"/>
      <c r="J9" s="468"/>
      <c r="K9" s="468"/>
      <c r="L9" s="468"/>
    </row>
    <row r="10" spans="1:12" ht="15.95" customHeight="1">
      <c r="A10" s="471" t="s">
        <v>573</v>
      </c>
      <c r="B10" s="471" t="s">
        <v>574</v>
      </c>
      <c r="C10" s="471" t="s">
        <v>575</v>
      </c>
      <c r="D10" s="471" t="s">
        <v>576</v>
      </c>
      <c r="E10" s="471" t="s">
        <v>577</v>
      </c>
      <c r="F10" s="471" t="s">
        <v>578</v>
      </c>
      <c r="G10" s="471" t="s">
        <v>579</v>
      </c>
      <c r="H10" s="468"/>
      <c r="I10" s="468"/>
      <c r="J10" s="468"/>
      <c r="K10" s="468"/>
      <c r="L10" s="468"/>
    </row>
    <row r="11" spans="1:12" ht="15.95" customHeight="1">
      <c r="A11" s="471" t="s">
        <v>580</v>
      </c>
      <c r="B11" s="471" t="s">
        <v>581</v>
      </c>
      <c r="C11" s="471" t="s">
        <v>582</v>
      </c>
      <c r="D11" s="471" t="s">
        <v>583</v>
      </c>
      <c r="E11" s="471" t="s">
        <v>584</v>
      </c>
      <c r="F11" s="471" t="s">
        <v>585</v>
      </c>
      <c r="G11" s="471" t="s">
        <v>586</v>
      </c>
      <c r="H11" s="468"/>
      <c r="I11" s="468"/>
      <c r="J11" s="468"/>
      <c r="K11" s="468"/>
      <c r="L11" s="468"/>
    </row>
    <row r="12" spans="1:12" ht="15.95" customHeight="1">
      <c r="A12" s="471" t="s">
        <v>587</v>
      </c>
      <c r="B12" s="471" t="s">
        <v>588</v>
      </c>
      <c r="C12" s="471" t="s">
        <v>589</v>
      </c>
      <c r="D12" s="471" t="s">
        <v>590</v>
      </c>
      <c r="E12" s="471" t="s">
        <v>591</v>
      </c>
      <c r="F12" s="471" t="s">
        <v>592</v>
      </c>
      <c r="G12" s="471" t="s">
        <v>593</v>
      </c>
      <c r="H12" s="468"/>
      <c r="I12" s="468"/>
      <c r="J12" s="468"/>
      <c r="K12" s="468"/>
      <c r="L12" s="468"/>
    </row>
    <row r="13" spans="1:12" ht="15.95" customHeight="1">
      <c r="A13" s="471" t="s">
        <v>594</v>
      </c>
      <c r="B13" s="471" t="s">
        <v>595</v>
      </c>
      <c r="C13" s="471" t="s">
        <v>596</v>
      </c>
      <c r="D13" s="471" t="s">
        <v>597</v>
      </c>
      <c r="E13" s="471" t="s">
        <v>598</v>
      </c>
      <c r="F13" s="471" t="s">
        <v>599</v>
      </c>
      <c r="G13" s="471" t="s">
        <v>600</v>
      </c>
      <c r="H13" s="468"/>
      <c r="I13" s="468"/>
      <c r="J13" s="468"/>
      <c r="K13" s="468"/>
      <c r="L13" s="468"/>
    </row>
    <row r="14" spans="1:12" ht="15.95" customHeight="1">
      <c r="A14" s="471" t="s">
        <v>601</v>
      </c>
      <c r="B14" s="471" t="s">
        <v>602</v>
      </c>
      <c r="C14" s="471" t="s">
        <v>603</v>
      </c>
      <c r="D14" s="471" t="s">
        <v>604</v>
      </c>
      <c r="E14" s="471" t="s">
        <v>605</v>
      </c>
      <c r="F14" s="471" t="s">
        <v>606</v>
      </c>
      <c r="G14" s="471" t="s">
        <v>607</v>
      </c>
      <c r="H14" s="468"/>
      <c r="I14" s="468"/>
      <c r="J14" s="468"/>
      <c r="K14" s="468"/>
      <c r="L14" s="468"/>
    </row>
    <row r="15" spans="1:12" ht="15.95" customHeight="1">
      <c r="A15" s="471" t="s">
        <v>608</v>
      </c>
      <c r="B15" s="471" t="s">
        <v>609</v>
      </c>
      <c r="C15" s="471" t="s">
        <v>610</v>
      </c>
      <c r="D15" s="471" t="s">
        <v>611</v>
      </c>
      <c r="E15" s="471" t="s">
        <v>612</v>
      </c>
      <c r="F15" s="471" t="s">
        <v>613</v>
      </c>
      <c r="G15" s="471" t="s">
        <v>614</v>
      </c>
      <c r="H15" s="468"/>
      <c r="I15" s="468"/>
      <c r="J15" s="468"/>
      <c r="K15" s="468"/>
      <c r="L15" s="468"/>
    </row>
    <row r="16" spans="1:12" ht="15.95" customHeight="1">
      <c r="A16" s="471" t="s">
        <v>615</v>
      </c>
      <c r="B16" s="471" t="s">
        <v>616</v>
      </c>
      <c r="C16" s="471" t="s">
        <v>617</v>
      </c>
      <c r="D16" s="471" t="s">
        <v>618</v>
      </c>
      <c r="E16" s="471" t="s">
        <v>619</v>
      </c>
      <c r="F16" s="471" t="s">
        <v>620</v>
      </c>
      <c r="G16" s="471" t="s">
        <v>621</v>
      </c>
      <c r="H16" s="468"/>
      <c r="I16" s="468"/>
      <c r="J16" s="468"/>
      <c r="K16" s="468"/>
      <c r="L16" s="468"/>
    </row>
    <row r="17" spans="1:12" ht="15.95" customHeight="1">
      <c r="A17" s="471" t="s">
        <v>622</v>
      </c>
      <c r="B17" s="471" t="s">
        <v>623</v>
      </c>
      <c r="C17" s="471" t="s">
        <v>624</v>
      </c>
      <c r="D17" s="471" t="s">
        <v>625</v>
      </c>
      <c r="E17" s="471" t="s">
        <v>626</v>
      </c>
      <c r="F17" s="471" t="s">
        <v>627</v>
      </c>
      <c r="G17" s="471" t="s">
        <v>628</v>
      </c>
      <c r="H17" s="468"/>
      <c r="I17" s="468"/>
      <c r="J17" s="468"/>
      <c r="K17" s="468"/>
      <c r="L17" s="468"/>
    </row>
    <row r="18" spans="1:12" ht="15.95" customHeight="1">
      <c r="A18" s="471" t="s">
        <v>629</v>
      </c>
      <c r="B18" s="471" t="s">
        <v>630</v>
      </c>
      <c r="C18" s="471" t="s">
        <v>631</v>
      </c>
      <c r="D18" s="471" t="s">
        <v>632</v>
      </c>
      <c r="E18" s="471" t="s">
        <v>633</v>
      </c>
      <c r="F18" s="471" t="s">
        <v>634</v>
      </c>
      <c r="G18" s="471" t="s">
        <v>635</v>
      </c>
      <c r="H18" s="468"/>
      <c r="I18" s="468"/>
      <c r="J18" s="468"/>
      <c r="K18" s="468"/>
      <c r="L18" s="468"/>
    </row>
    <row r="19" spans="1:12" ht="15.95" customHeight="1">
      <c r="A19" s="471" t="s">
        <v>636</v>
      </c>
      <c r="B19" s="471" t="s">
        <v>637</v>
      </c>
      <c r="C19" s="471" t="s">
        <v>638</v>
      </c>
      <c r="D19" s="471" t="s">
        <v>639</v>
      </c>
      <c r="E19" s="471" t="s">
        <v>640</v>
      </c>
      <c r="F19" s="471" t="s">
        <v>641</v>
      </c>
      <c r="G19" s="471" t="s">
        <v>642</v>
      </c>
      <c r="H19" s="468"/>
      <c r="I19" s="468"/>
      <c r="J19" s="468"/>
      <c r="K19" s="468"/>
      <c r="L19" s="468"/>
    </row>
    <row r="20" spans="1:12" ht="15.75">
      <c r="A20" s="468"/>
      <c r="B20" s="468"/>
      <c r="C20" s="468"/>
      <c r="D20" s="468"/>
      <c r="E20" s="468"/>
      <c r="F20" s="468"/>
      <c r="G20" s="468"/>
      <c r="H20" s="468"/>
      <c r="I20" s="468"/>
      <c r="J20" s="468"/>
      <c r="K20" s="468"/>
      <c r="L20" s="468"/>
    </row>
    <row r="21" spans="1:12" ht="15.75">
      <c r="A21" s="468"/>
      <c r="B21" s="468"/>
      <c r="C21" s="468"/>
      <c r="D21" s="590" t="s">
        <v>643</v>
      </c>
      <c r="E21" s="586"/>
      <c r="F21" s="586"/>
      <c r="G21" s="587"/>
      <c r="H21" s="468"/>
      <c r="I21" s="468"/>
      <c r="J21" s="468"/>
      <c r="K21" s="468"/>
      <c r="L21" s="468"/>
    </row>
    <row r="22" spans="1:12" ht="17.25" customHeight="1">
      <c r="A22" s="468"/>
      <c r="B22" s="588" t="s">
        <v>644</v>
      </c>
      <c r="C22" s="588"/>
      <c r="D22" s="588" t="s">
        <v>645</v>
      </c>
      <c r="E22" s="588"/>
      <c r="F22" s="588" t="s">
        <v>646</v>
      </c>
      <c r="G22" s="588"/>
      <c r="H22" s="468"/>
      <c r="I22" s="468"/>
      <c r="J22" s="468"/>
      <c r="K22" s="468"/>
      <c r="L22" s="468"/>
    </row>
    <row r="23" spans="1:12" ht="15.75">
      <c r="A23" s="473" t="s">
        <v>647</v>
      </c>
      <c r="B23" s="584" t="s">
        <v>648</v>
      </c>
      <c r="C23" s="584"/>
      <c r="D23" s="584" t="s">
        <v>649</v>
      </c>
      <c r="E23" s="584"/>
      <c r="F23" s="584" t="s">
        <v>650</v>
      </c>
      <c r="G23" s="584"/>
      <c r="H23" s="468"/>
      <c r="I23" s="468"/>
      <c r="J23" s="468"/>
      <c r="K23" s="468"/>
      <c r="L23" s="468"/>
    </row>
    <row r="24" spans="1:12" ht="18" customHeight="1">
      <c r="A24" s="473" t="s">
        <v>651</v>
      </c>
      <c r="B24" s="584" t="s">
        <v>652</v>
      </c>
      <c r="C24" s="584"/>
      <c r="D24" s="584" t="s">
        <v>653</v>
      </c>
      <c r="E24" s="584"/>
      <c r="F24" s="584" t="s">
        <v>654</v>
      </c>
      <c r="G24" s="584"/>
      <c r="H24" s="468"/>
      <c r="I24" s="468"/>
      <c r="J24" s="468"/>
      <c r="K24" s="468"/>
      <c r="L24" s="468"/>
    </row>
    <row r="25" spans="1:12" ht="15.75">
      <c r="A25" s="473" t="s">
        <v>655</v>
      </c>
      <c r="B25" s="584" t="s">
        <v>656</v>
      </c>
      <c r="C25" s="584"/>
      <c r="D25" s="584" t="s">
        <v>657</v>
      </c>
      <c r="E25" s="584"/>
      <c r="F25" s="584" t="s">
        <v>658</v>
      </c>
      <c r="G25" s="584"/>
      <c r="H25" s="468"/>
      <c r="I25" s="468"/>
      <c r="J25" s="468"/>
      <c r="K25" s="468"/>
      <c r="L25" s="468"/>
    </row>
    <row r="26" spans="1:12" ht="15.75">
      <c r="A26" s="468"/>
      <c r="B26" s="468"/>
      <c r="C26" s="468"/>
      <c r="D26" s="468"/>
      <c r="E26" s="468"/>
      <c r="F26" s="468"/>
      <c r="G26" s="468"/>
      <c r="H26" s="468"/>
      <c r="I26" s="468"/>
      <c r="J26" s="468"/>
      <c r="K26" s="468"/>
      <c r="L26" s="468"/>
    </row>
    <row r="27" spans="1:12" ht="20.25">
      <c r="A27" s="467" t="s">
        <v>659</v>
      </c>
      <c r="B27" s="468"/>
      <c r="C27" s="468"/>
      <c r="D27" s="468"/>
      <c r="E27" s="468"/>
      <c r="F27" s="468"/>
      <c r="G27" s="468"/>
      <c r="H27" s="468"/>
      <c r="I27" s="468"/>
      <c r="J27" s="468"/>
      <c r="K27" s="468"/>
      <c r="L27" s="468"/>
    </row>
    <row r="28" spans="1:12" ht="15.75">
      <c r="A28" s="468"/>
      <c r="B28" s="468"/>
      <c r="C28" s="468"/>
      <c r="D28" s="468"/>
      <c r="E28" s="585" t="s">
        <v>660</v>
      </c>
      <c r="F28" s="586"/>
      <c r="G28" s="587"/>
      <c r="H28" s="468"/>
      <c r="I28" s="468"/>
      <c r="J28" s="468"/>
      <c r="K28" s="468"/>
      <c r="L28" s="468"/>
    </row>
    <row r="29" spans="1:12" ht="15.75">
      <c r="A29" s="468"/>
      <c r="B29" s="588" t="s">
        <v>661</v>
      </c>
      <c r="C29" s="588"/>
      <c r="D29" s="472" t="s">
        <v>662</v>
      </c>
      <c r="E29" s="472" t="s">
        <v>663</v>
      </c>
      <c r="F29" s="588" t="s">
        <v>664</v>
      </c>
      <c r="G29" s="588"/>
      <c r="H29" s="468"/>
      <c r="I29" s="468"/>
      <c r="J29" s="468"/>
      <c r="K29" s="468"/>
      <c r="L29" s="468"/>
    </row>
    <row r="30" spans="1:12" ht="15.75">
      <c r="A30" s="473" t="s">
        <v>665</v>
      </c>
      <c r="B30" s="584" t="s">
        <v>666</v>
      </c>
      <c r="C30" s="584"/>
      <c r="D30" s="471" t="s">
        <v>667</v>
      </c>
      <c r="E30" s="471" t="s">
        <v>668</v>
      </c>
      <c r="F30" s="584" t="s">
        <v>669</v>
      </c>
      <c r="G30" s="584"/>
      <c r="H30" s="468"/>
      <c r="I30" s="468"/>
      <c r="J30" s="468"/>
      <c r="K30" s="468"/>
      <c r="L30" s="468"/>
    </row>
    <row r="31" spans="1:12" ht="15.75">
      <c r="A31" s="473" t="s">
        <v>670</v>
      </c>
      <c r="B31" s="584" t="s">
        <v>671</v>
      </c>
      <c r="C31" s="584"/>
      <c r="D31" s="471" t="s">
        <v>672</v>
      </c>
      <c r="E31" s="471" t="s">
        <v>673</v>
      </c>
      <c r="F31" s="584" t="s">
        <v>674</v>
      </c>
      <c r="G31" s="584"/>
      <c r="H31" s="468"/>
      <c r="I31" s="468"/>
      <c r="J31" s="468"/>
      <c r="K31" s="468"/>
      <c r="L31" s="468"/>
    </row>
    <row r="32" spans="1:12" ht="15.75">
      <c r="A32" s="473" t="s">
        <v>675</v>
      </c>
      <c r="B32" s="584" t="s">
        <v>676</v>
      </c>
      <c r="C32" s="584"/>
      <c r="D32" s="471" t="s">
        <v>677</v>
      </c>
      <c r="E32" s="471" t="s">
        <v>678</v>
      </c>
      <c r="F32" s="584" t="s">
        <v>679</v>
      </c>
      <c r="G32" s="584"/>
      <c r="H32" s="468"/>
      <c r="I32" s="468"/>
      <c r="J32" s="468"/>
      <c r="K32" s="468"/>
      <c r="L32" s="468"/>
    </row>
    <row r="33" spans="1:12" ht="15.75">
      <c r="A33" s="468"/>
      <c r="B33" s="468"/>
      <c r="C33" s="468"/>
      <c r="D33" s="468"/>
      <c r="E33" s="468"/>
      <c r="F33" s="468"/>
      <c r="G33" s="468"/>
      <c r="H33" s="468"/>
      <c r="I33" s="468"/>
      <c r="J33" s="468"/>
      <c r="K33" s="468"/>
      <c r="L33" s="468"/>
    </row>
    <row r="34" spans="1:12" ht="15.75">
      <c r="A34" s="468"/>
      <c r="B34" s="468"/>
      <c r="C34" s="468"/>
      <c r="D34" s="468"/>
      <c r="E34" s="585" t="s">
        <v>680</v>
      </c>
      <c r="F34" s="586"/>
      <c r="G34" s="587"/>
      <c r="H34" s="468"/>
      <c r="I34" s="468"/>
      <c r="J34" s="468"/>
      <c r="K34" s="468"/>
      <c r="L34" s="468"/>
    </row>
    <row r="35" spans="1:12" ht="15.75">
      <c r="A35" s="468"/>
      <c r="B35" s="588" t="s">
        <v>681</v>
      </c>
      <c r="C35" s="588"/>
      <c r="D35" s="472" t="s">
        <v>663</v>
      </c>
      <c r="E35" s="472" t="s">
        <v>682</v>
      </c>
      <c r="F35" s="472" t="s">
        <v>313</v>
      </c>
      <c r="G35" s="472" t="s">
        <v>683</v>
      </c>
      <c r="H35" s="468"/>
      <c r="I35" s="468"/>
      <c r="J35" s="468"/>
      <c r="K35" s="468"/>
      <c r="L35" s="468"/>
    </row>
    <row r="36" spans="1:12" ht="15.75">
      <c r="A36" s="473" t="s">
        <v>665</v>
      </c>
      <c r="B36" s="580" t="s">
        <v>684</v>
      </c>
      <c r="C36" s="581"/>
      <c r="D36" s="474" t="s">
        <v>685</v>
      </c>
      <c r="E36" s="474" t="s">
        <v>44</v>
      </c>
      <c r="F36" s="475" t="s">
        <v>686</v>
      </c>
      <c r="G36" s="471" t="s">
        <v>687</v>
      </c>
      <c r="H36" s="468"/>
      <c r="I36" s="468"/>
      <c r="J36" s="468"/>
      <c r="K36" s="468"/>
      <c r="L36" s="468"/>
    </row>
    <row r="37" spans="1:12" ht="15.75">
      <c r="A37" s="473" t="s">
        <v>670</v>
      </c>
      <c r="B37" s="580" t="s">
        <v>688</v>
      </c>
      <c r="C37" s="581"/>
      <c r="D37" s="474" t="s">
        <v>689</v>
      </c>
      <c r="E37" s="474" t="s">
        <v>44</v>
      </c>
      <c r="F37" s="475" t="s">
        <v>690</v>
      </c>
      <c r="G37" s="476" t="s">
        <v>691</v>
      </c>
      <c r="H37" s="468"/>
      <c r="I37" s="468"/>
      <c r="J37" s="468"/>
      <c r="K37" s="468"/>
      <c r="L37" s="468"/>
    </row>
    <row r="38" spans="1:12" ht="15.75">
      <c r="A38" s="473" t="s">
        <v>675</v>
      </c>
      <c r="B38" s="580" t="s">
        <v>688</v>
      </c>
      <c r="C38" s="581"/>
      <c r="D38" s="474" t="s">
        <v>692</v>
      </c>
      <c r="E38" s="474" t="s">
        <v>44</v>
      </c>
      <c r="F38" s="475" t="s">
        <v>693</v>
      </c>
      <c r="G38" s="471" t="s">
        <v>694</v>
      </c>
      <c r="H38" s="468"/>
      <c r="I38" s="468"/>
      <c r="J38" s="468"/>
      <c r="K38" s="468"/>
      <c r="L38" s="468"/>
    </row>
    <row r="39" spans="1:12" ht="15.75">
      <c r="A39" s="468"/>
      <c r="B39" s="468"/>
      <c r="C39" s="468"/>
      <c r="D39" s="468"/>
      <c r="E39" s="468"/>
      <c r="F39" s="468"/>
      <c r="G39" s="468"/>
      <c r="H39" s="468"/>
      <c r="I39" s="468"/>
      <c r="J39" s="468"/>
      <c r="K39" s="468"/>
      <c r="L39" s="468"/>
    </row>
    <row r="40" spans="1:12" ht="15.75">
      <c r="A40" s="477" t="s">
        <v>695</v>
      </c>
      <c r="B40" s="582" t="s">
        <v>696</v>
      </c>
      <c r="C40" s="582"/>
      <c r="D40" s="583" t="s">
        <v>697</v>
      </c>
      <c r="E40" s="583"/>
      <c r="F40" s="582" t="s">
        <v>698</v>
      </c>
      <c r="G40" s="582"/>
      <c r="H40" s="468"/>
      <c r="I40" s="468"/>
      <c r="J40" s="468"/>
      <c r="K40" s="468"/>
      <c r="L40" s="468"/>
    </row>
    <row r="41" spans="1:12" ht="15.75">
      <c r="A41" s="468"/>
      <c r="B41" s="468"/>
      <c r="C41" s="468"/>
      <c r="D41" s="468"/>
      <c r="E41" s="468"/>
      <c r="F41" s="468"/>
      <c r="G41" s="468"/>
      <c r="H41" s="468"/>
      <c r="I41" s="468"/>
      <c r="J41" s="468"/>
      <c r="K41" s="468"/>
      <c r="L41" s="468"/>
    </row>
    <row r="42" spans="1:12" ht="15.75">
      <c r="A42" s="468"/>
      <c r="B42" s="468"/>
      <c r="C42" s="468"/>
      <c r="D42" s="468"/>
      <c r="E42" s="468"/>
      <c r="F42" s="468"/>
      <c r="G42" s="468"/>
      <c r="H42" s="468"/>
      <c r="I42" s="468"/>
      <c r="J42" s="468"/>
      <c r="K42" s="468"/>
      <c r="L42" s="468"/>
    </row>
    <row r="43" spans="1:12" ht="15.75">
      <c r="A43" s="468"/>
      <c r="B43" s="468"/>
      <c r="C43" s="468"/>
      <c r="D43" s="468"/>
      <c r="E43" s="468"/>
      <c r="F43" s="468"/>
      <c r="G43" s="468"/>
      <c r="H43" s="468"/>
      <c r="I43" s="468"/>
      <c r="J43" s="468"/>
      <c r="K43" s="468"/>
      <c r="L43" s="468"/>
    </row>
    <row r="44" spans="1:12" ht="15.75">
      <c r="A44" s="468"/>
      <c r="B44" s="468"/>
      <c r="C44" s="468"/>
      <c r="D44" s="468"/>
      <c r="E44" s="468"/>
      <c r="F44" s="468"/>
      <c r="G44" s="468"/>
      <c r="H44" s="468"/>
      <c r="I44" s="468"/>
      <c r="J44" s="468"/>
      <c r="K44" s="468"/>
      <c r="L44" s="468"/>
    </row>
    <row r="45" spans="1:12" ht="15.75">
      <c r="A45" s="468"/>
      <c r="B45" s="468"/>
      <c r="C45" s="468"/>
      <c r="D45" s="468"/>
      <c r="E45" s="468"/>
      <c r="F45" s="468"/>
      <c r="G45" s="468"/>
      <c r="H45" s="468"/>
      <c r="I45" s="468"/>
      <c r="J45" s="468"/>
      <c r="K45" s="468"/>
      <c r="L45" s="468"/>
    </row>
    <row r="46" spans="1:12" ht="15.75">
      <c r="A46" s="468"/>
      <c r="B46" s="468"/>
      <c r="C46" s="468"/>
      <c r="D46" s="468"/>
      <c r="E46" s="468"/>
      <c r="F46" s="468"/>
      <c r="G46" s="468"/>
      <c r="H46" s="468"/>
      <c r="I46" s="468"/>
      <c r="J46" s="468"/>
      <c r="K46" s="468"/>
      <c r="L46" s="468"/>
    </row>
    <row r="47" spans="1:12" ht="15.75">
      <c r="A47" s="468"/>
      <c r="B47" s="468"/>
      <c r="C47" s="468"/>
      <c r="D47" s="468"/>
      <c r="E47" s="468"/>
      <c r="F47" s="468"/>
      <c r="G47" s="468"/>
      <c r="H47" s="468"/>
      <c r="I47" s="468"/>
      <c r="J47" s="468"/>
      <c r="K47" s="468"/>
      <c r="L47" s="468"/>
    </row>
    <row r="48" spans="1:12" ht="15.75">
      <c r="A48" s="468"/>
      <c r="B48" s="468"/>
      <c r="C48" s="468"/>
      <c r="D48" s="468"/>
      <c r="E48" s="468"/>
      <c r="F48" s="468"/>
      <c r="G48" s="468"/>
      <c r="H48" s="468"/>
      <c r="I48" s="468"/>
      <c r="J48" s="468"/>
      <c r="K48" s="468"/>
      <c r="L48" s="468"/>
    </row>
    <row r="49" spans="1:12" ht="15.75">
      <c r="A49" s="468"/>
      <c r="B49" s="468"/>
      <c r="C49" s="468"/>
      <c r="D49" s="468"/>
      <c r="E49" s="468"/>
      <c r="F49" s="468"/>
      <c r="G49" s="468"/>
      <c r="H49" s="468"/>
      <c r="I49" s="468"/>
      <c r="J49" s="468"/>
      <c r="K49" s="468"/>
      <c r="L49" s="468"/>
    </row>
    <row r="50" spans="1:12" ht="15.75">
      <c r="A50" s="468"/>
      <c r="B50" s="468"/>
      <c r="C50" s="468"/>
      <c r="D50" s="468"/>
      <c r="E50" s="468"/>
      <c r="F50" s="468"/>
      <c r="G50" s="468"/>
      <c r="H50" s="468"/>
      <c r="I50" s="468"/>
      <c r="J50" s="468"/>
      <c r="K50" s="468"/>
      <c r="L50" s="468"/>
    </row>
    <row r="51" spans="1:12" ht="15.75">
      <c r="A51" s="468"/>
      <c r="B51" s="468"/>
      <c r="C51" s="468"/>
      <c r="D51" s="468"/>
      <c r="E51" s="468"/>
      <c r="F51" s="468"/>
      <c r="G51" s="468"/>
      <c r="H51" s="468"/>
      <c r="I51" s="468"/>
      <c r="J51" s="468"/>
      <c r="K51" s="468"/>
      <c r="L51" s="468"/>
    </row>
    <row r="52" spans="1:12" ht="15.75">
      <c r="A52" s="468"/>
      <c r="B52" s="468"/>
      <c r="C52" s="468"/>
      <c r="D52" s="468"/>
      <c r="E52" s="468"/>
      <c r="F52" s="468"/>
      <c r="G52" s="468"/>
      <c r="H52" s="468"/>
      <c r="I52" s="468"/>
      <c r="J52" s="468"/>
      <c r="K52" s="468"/>
      <c r="L52" s="468"/>
    </row>
    <row r="53" spans="1:12" ht="15.75">
      <c r="A53" s="468"/>
      <c r="B53" s="468"/>
      <c r="C53" s="468"/>
      <c r="D53" s="468"/>
      <c r="E53" s="468"/>
      <c r="F53" s="468"/>
      <c r="G53" s="468"/>
      <c r="H53" s="468"/>
      <c r="I53" s="468"/>
      <c r="J53" s="468"/>
      <c r="K53" s="468"/>
      <c r="L53" s="468"/>
    </row>
    <row r="54" spans="1:12" ht="15.75">
      <c r="A54" s="468"/>
      <c r="B54" s="468"/>
      <c r="C54" s="468"/>
      <c r="D54" s="468"/>
      <c r="E54" s="468"/>
      <c r="F54" s="468"/>
      <c r="G54" s="468"/>
      <c r="H54" s="468"/>
      <c r="I54" s="468"/>
      <c r="J54" s="468"/>
      <c r="K54" s="468"/>
      <c r="L54" s="468"/>
    </row>
    <row r="55" spans="1:12" ht="15.75">
      <c r="A55" s="468"/>
      <c r="B55" s="468"/>
      <c r="C55" s="468"/>
      <c r="D55" s="468"/>
      <c r="E55" s="468"/>
      <c r="F55" s="468"/>
      <c r="G55" s="468"/>
      <c r="H55" s="468"/>
      <c r="I55" s="468"/>
      <c r="J55" s="468"/>
      <c r="K55" s="468"/>
      <c r="L55" s="468"/>
    </row>
    <row r="56" spans="1:12" ht="15.75">
      <c r="A56" s="468"/>
      <c r="B56" s="468"/>
      <c r="C56" s="468"/>
      <c r="D56" s="468"/>
      <c r="E56" s="468"/>
      <c r="F56" s="468"/>
      <c r="G56" s="468"/>
      <c r="H56" s="468"/>
      <c r="I56" s="468"/>
      <c r="J56" s="468"/>
      <c r="K56" s="468"/>
      <c r="L56" s="468"/>
    </row>
    <row r="57" spans="1:12" ht="15.75">
      <c r="A57" s="468"/>
      <c r="B57" s="468"/>
      <c r="C57" s="468"/>
      <c r="D57" s="468"/>
      <c r="E57" s="468"/>
      <c r="F57" s="468"/>
      <c r="G57" s="468"/>
      <c r="H57" s="468"/>
      <c r="I57" s="468"/>
      <c r="J57" s="468"/>
      <c r="K57" s="468"/>
      <c r="L57" s="468"/>
    </row>
    <row r="58" spans="1:12" ht="15.75">
      <c r="A58" s="468"/>
      <c r="B58" s="468"/>
      <c r="C58" s="468"/>
      <c r="D58" s="468"/>
      <c r="E58" s="468"/>
      <c r="F58" s="468"/>
      <c r="G58" s="468"/>
      <c r="H58" s="468"/>
      <c r="I58" s="468"/>
      <c r="J58" s="468"/>
      <c r="K58" s="468"/>
      <c r="L58" s="468"/>
    </row>
    <row r="59" spans="1:12" ht="15.75">
      <c r="A59" s="468"/>
      <c r="B59" s="468"/>
      <c r="C59" s="468"/>
      <c r="D59" s="468"/>
      <c r="E59" s="468"/>
      <c r="F59" s="468"/>
      <c r="G59" s="468"/>
      <c r="H59" s="468"/>
      <c r="I59" s="468"/>
      <c r="J59" s="468"/>
      <c r="K59" s="468"/>
      <c r="L59" s="468"/>
    </row>
    <row r="60" spans="1:12" ht="15.75">
      <c r="A60" s="468"/>
      <c r="B60" s="468"/>
      <c r="C60" s="468"/>
      <c r="D60" s="468"/>
      <c r="E60" s="468"/>
      <c r="F60" s="468"/>
      <c r="G60" s="468"/>
      <c r="H60" s="468"/>
      <c r="I60" s="468"/>
      <c r="J60" s="468"/>
      <c r="K60" s="468"/>
      <c r="L60" s="468"/>
    </row>
    <row r="61" spans="1:12" ht="15.75">
      <c r="A61" s="468"/>
      <c r="B61" s="468"/>
      <c r="C61" s="468"/>
      <c r="D61" s="468"/>
      <c r="E61" s="468"/>
      <c r="F61" s="468"/>
      <c r="G61" s="468"/>
      <c r="H61" s="468"/>
      <c r="I61" s="468"/>
      <c r="J61" s="468"/>
      <c r="K61" s="468"/>
      <c r="L61" s="468"/>
    </row>
  </sheetData>
  <mergeCells count="31">
    <mergeCell ref="B23:C23"/>
    <mergeCell ref="D23:E23"/>
    <mergeCell ref="F23:G23"/>
    <mergeCell ref="B1:G1"/>
    <mergeCell ref="D21:G21"/>
    <mergeCell ref="B22:C22"/>
    <mergeCell ref="D22:E22"/>
    <mergeCell ref="F22:G22"/>
    <mergeCell ref="B31:C31"/>
    <mergeCell ref="F31:G31"/>
    <mergeCell ref="B24:C24"/>
    <mergeCell ref="D24:E24"/>
    <mergeCell ref="F24:G24"/>
    <mergeCell ref="B25:C25"/>
    <mergeCell ref="D25:E25"/>
    <mergeCell ref="F25:G25"/>
    <mergeCell ref="E28:G28"/>
    <mergeCell ref="B29:C29"/>
    <mergeCell ref="F29:G29"/>
    <mergeCell ref="B30:C30"/>
    <mergeCell ref="F30:G30"/>
    <mergeCell ref="B38:C38"/>
    <mergeCell ref="B40:C40"/>
    <mergeCell ref="D40:E40"/>
    <mergeCell ref="F40:G40"/>
    <mergeCell ref="B32:C32"/>
    <mergeCell ref="F32:G32"/>
    <mergeCell ref="E34:G34"/>
    <mergeCell ref="B35:C35"/>
    <mergeCell ref="B36:C36"/>
    <mergeCell ref="B37:C37"/>
  </mergeCells>
  <printOptions horizontalCentered="1"/>
  <pageMargins left="0.75" right="0.75" top="1" bottom="1" header="0.5" footer="0.5"/>
  <pageSetup scale="98" orientation="portrait" horizontalDpi="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cb20de8-a807-4686-a312-8bbdce0412d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7631CDD2FB78245898BE62063B9B0A0" ma:contentTypeVersion="15" ma:contentTypeDescription="Create a new document." ma:contentTypeScope="" ma:versionID="b9f0938b1b01491b66c0244d23eba4cf">
  <xsd:schema xmlns:xsd="http://www.w3.org/2001/XMLSchema" xmlns:xs="http://www.w3.org/2001/XMLSchema" xmlns:p="http://schemas.microsoft.com/office/2006/metadata/properties" xmlns:ns3="72cdc605-11f0-42e0-872b-8a41438ff951" xmlns:ns4="8cb20de8-a807-4686-a312-8bbdce0412dc" targetNamespace="http://schemas.microsoft.com/office/2006/metadata/properties" ma:root="true" ma:fieldsID="824c1152f801c608be2df48892c9b2dd" ns3:_="" ns4:_="">
    <xsd:import namespace="72cdc605-11f0-42e0-872b-8a41438ff951"/>
    <xsd:import namespace="8cb20de8-a807-4686-a312-8bbdce0412d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cdc605-11f0-42e0-872b-8a41438ff95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b20de8-a807-4686-a312-8bbdce0412d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F6CF0D-E882-4F01-A3C9-ECEC1AC891A6}">
  <ds:schemaRefs>
    <ds:schemaRef ds:uri="http://purl.org/dc/elements/1.1/"/>
    <ds:schemaRef ds:uri="http://schemas.microsoft.com/office/2006/metadata/properties"/>
    <ds:schemaRef ds:uri="8cb20de8-a807-4686-a312-8bbdce0412dc"/>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2cdc605-11f0-42e0-872b-8a41438ff951"/>
    <ds:schemaRef ds:uri="http://www.w3.org/XML/1998/namespace"/>
    <ds:schemaRef ds:uri="http://purl.org/dc/dcmitype/"/>
  </ds:schemaRefs>
</ds:datastoreItem>
</file>

<file path=customXml/itemProps2.xml><?xml version="1.0" encoding="utf-8"?>
<ds:datastoreItem xmlns:ds="http://schemas.openxmlformats.org/officeDocument/2006/customXml" ds:itemID="{F4024CA9-010C-498F-995E-E783ABCB32DC}">
  <ds:schemaRefs>
    <ds:schemaRef ds:uri="http://schemas.microsoft.com/sharepoint/v3/contenttype/forms"/>
  </ds:schemaRefs>
</ds:datastoreItem>
</file>

<file path=customXml/itemProps3.xml><?xml version="1.0" encoding="utf-8"?>
<ds:datastoreItem xmlns:ds="http://schemas.openxmlformats.org/officeDocument/2006/customXml" ds:itemID="{A6FA5D99-EFB0-41BA-BC05-213705C06A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cdc605-11f0-42e0-872b-8a41438ff951"/>
    <ds:schemaRef ds:uri="8cb20de8-a807-4686-a312-8bbdce0412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DesignSheet</vt:lpstr>
      <vt:lpstr>Data Sheet</vt:lpstr>
      <vt:lpstr>Performance Data Sheet</vt:lpstr>
      <vt:lpstr>STCurve</vt:lpstr>
      <vt:lpstr>Thermdam</vt:lpstr>
      <vt:lpstr>Performance</vt:lpstr>
      <vt:lpstr>StallTime</vt:lpstr>
      <vt:lpstr>'Data Sheet'!Print_Area</vt:lpstr>
      <vt:lpstr>DesignSheet!Print_Area</vt:lpstr>
      <vt:lpstr>Performance!Print_Area</vt:lpstr>
      <vt:lpstr>'Performance Data Sheet'!Print_Area</vt:lpstr>
      <vt:lpstr>StallTime!Print_Area</vt:lpstr>
      <vt:lpstr>STCurve!Print_Area</vt:lpstr>
      <vt:lpstr>Thermdam!Print_Area</vt:lpstr>
      <vt:lpstr>Print_Area_MI</vt:lpstr>
    </vt:vector>
  </TitlesOfParts>
  <Company>Toshiba International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Jerry (TIC)</dc:creator>
  <cp:lastModifiedBy>Rodriguez, Jerry (TIC)</cp:lastModifiedBy>
  <dcterms:created xsi:type="dcterms:W3CDTF">2025-04-30T10:56:47Z</dcterms:created>
  <dcterms:modified xsi:type="dcterms:W3CDTF">2026-02-11T20:02:59Z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0x010100A7631CDD2FB78245898BE62063B9B0A0</vt:lpwstr>
  </property>
</Properties>
</file>