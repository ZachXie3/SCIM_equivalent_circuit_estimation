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N:\DESPRO\BASE MV DESIGNS\"/>
    </mc:Choice>
  </mc:AlternateContent>
  <xr:revisionPtr revIDLastSave="0" documentId="13_ncr:1_{2F7F8AB0-679F-4677-884D-13D485A6B6BC}" xr6:coauthVersionLast="47" xr6:coauthVersionMax="47" xr10:uidLastSave="{00000000-0000-0000-0000-000000000000}"/>
  <bookViews>
    <workbookView xWindow="-24120" yWindow="1905" windowWidth="24240" windowHeight="13020" activeTab="1" xr2:uid="{00000000-000D-0000-FFFF-FFFF00000000}"/>
  </bookViews>
  <sheets>
    <sheet name="DesignSheet" sheetId="2" r:id="rId1"/>
    <sheet name="Data Sheet" sheetId="3" r:id="rId2"/>
    <sheet name="LoginSheet" sheetId="4" r:id="rId3"/>
    <sheet name="StallTime" sheetId="5" r:id="rId4"/>
    <sheet name="Performance Data Sheet" sheetId="9" r:id="rId5"/>
    <sheet name="STCurve" sheetId="6" r:id="rId6"/>
    <sheet name="Thermdam" sheetId="7" r:id="rId7"/>
    <sheet name="Performance" sheetId="8" r:id="rId8"/>
  </sheets>
  <definedNames>
    <definedName name="_Regression_Int" localSheetId="4" hidden="1">1</definedName>
    <definedName name="_xlnm.Print_Area" localSheetId="1">'Data Sheet'!$A$1:$K$46</definedName>
    <definedName name="_xlnm.Print_Area" localSheetId="0">DesignSheet!$A$1:$J$69</definedName>
    <definedName name="_xlnm.Print_Area" localSheetId="2">LoginSheet!$A$1:$N$79</definedName>
    <definedName name="_xlnm.Print_Area" localSheetId="7">Performance!$A$1:$F$43</definedName>
    <definedName name="_xlnm.Print_Area" localSheetId="4">'Performance Data Sheet'!$A$1:$M$44</definedName>
    <definedName name="_xlnm.Print_Area" localSheetId="3">StallTime!$A$1:$G$40</definedName>
    <definedName name="_xlnm.Print_Area" localSheetId="5">STCurve!$A$1:$F$43</definedName>
    <definedName name="_xlnm.Print_Area" localSheetId="6">Thermdam!$A$1:$F$43</definedName>
    <definedName name="Print_Area_MI">'Performance Data Sheet'!$A$10:$N$42</definedName>
    <definedName name="Z_852987ED_B4F5_11D1_ABEC_0000832EB49E_.wvu.PrintArea" localSheetId="7" hidden="1">Performance!$A$1:$F$43</definedName>
    <definedName name="Z_852987ED_B4F5_11D1_ABEC_0000832EB49E_.wvu.PrintArea" localSheetId="5" hidden="1">STCurve!$A$1:$F$43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1" i="7" l="1"/>
  <c r="F59" i="8"/>
  <c r="F58" i="8"/>
  <c r="F57" i="8"/>
  <c r="F56" i="8"/>
  <c r="F55" i="8"/>
  <c r="E55" i="8"/>
  <c r="F54" i="8"/>
  <c r="O47" i="8"/>
  <c r="N47" i="8"/>
  <c r="O46" i="8"/>
  <c r="N46" i="8"/>
  <c r="O45" i="8"/>
  <c r="N45" i="8"/>
  <c r="O44" i="8"/>
  <c r="N44" i="8"/>
  <c r="O43" i="8"/>
  <c r="N43" i="8"/>
  <c r="O42" i="8"/>
  <c r="N42" i="8"/>
  <c r="O41" i="8"/>
  <c r="N41" i="8"/>
  <c r="O40" i="8"/>
  <c r="N40" i="8"/>
  <c r="O39" i="8"/>
  <c r="N39" i="8"/>
  <c r="O38" i="8"/>
  <c r="N38" i="8"/>
  <c r="O37" i="8"/>
  <c r="N37" i="8"/>
  <c r="D43" i="8"/>
  <c r="D43" i="7"/>
  <c r="D43" i="6"/>
  <c r="C39" i="8"/>
  <c r="C39" i="7"/>
  <c r="C39" i="6"/>
  <c r="C15" i="8"/>
  <c r="C15" i="7"/>
  <c r="C15" i="6"/>
  <c r="C13" i="8"/>
  <c r="C13" i="7"/>
  <c r="C13" i="6"/>
  <c r="C12" i="8"/>
  <c r="C12" i="7"/>
  <c r="C12" i="6"/>
  <c r="F39" i="8"/>
  <c r="F39" i="7"/>
  <c r="F39" i="6"/>
  <c r="F9" i="8"/>
  <c r="F9" i="7"/>
  <c r="F9" i="6"/>
  <c r="F8" i="8"/>
  <c r="F8" i="7"/>
  <c r="F8" i="6"/>
  <c r="F7" i="8"/>
  <c r="F7" i="7"/>
  <c r="F7" i="6"/>
  <c r="F6" i="8"/>
  <c r="F6" i="7"/>
  <c r="F6" i="6"/>
  <c r="D7" i="8"/>
  <c r="D7" i="7"/>
  <c r="D7" i="6"/>
  <c r="B10" i="8"/>
  <c r="E59" i="8" s="1"/>
  <c r="B10" i="7"/>
  <c r="B10" i="6"/>
  <c r="B9" i="8"/>
  <c r="B9" i="7"/>
  <c r="B9" i="6"/>
  <c r="B7" i="8"/>
  <c r="B7" i="7"/>
  <c r="B7" i="6"/>
  <c r="B6" i="8"/>
  <c r="B6" i="7"/>
  <c r="B6" i="6"/>
  <c r="C76" i="7"/>
  <c r="C77" i="7" s="1"/>
  <c r="C78" i="7" s="1"/>
  <c r="B76" i="7"/>
  <c r="C75" i="7"/>
  <c r="C74" i="7"/>
  <c r="B74" i="7"/>
  <c r="E68" i="7"/>
  <c r="D66" i="7"/>
  <c r="F50" i="7"/>
  <c r="E56" i="8" l="1"/>
  <c r="E57" i="8"/>
  <c r="E58" i="8"/>
  <c r="B70" i="7"/>
  <c r="C70" i="7"/>
  <c r="B69" i="7"/>
  <c r="B75" i="7" s="1"/>
  <c r="C69" i="7"/>
  <c r="M28" i="3"/>
  <c r="M18" i="3"/>
  <c r="P31" i="2"/>
  <c r="P32" i="2"/>
  <c r="P33" i="2"/>
  <c r="P34" i="2"/>
  <c r="P30" i="2"/>
  <c r="M52" i="2"/>
  <c r="M41" i="2"/>
  <c r="L41" i="2"/>
  <c r="M40" i="2"/>
  <c r="L40" i="2"/>
  <c r="M39" i="2"/>
  <c r="L39" i="2"/>
  <c r="M38" i="2"/>
  <c r="N38" i="2" s="1"/>
  <c r="L38" i="2"/>
  <c r="M33" i="2"/>
  <c r="M32" i="2"/>
  <c r="M31" i="2"/>
  <c r="M30" i="2"/>
  <c r="M29" i="2"/>
  <c r="M50" i="2"/>
  <c r="M49" i="2"/>
  <c r="M48" i="2"/>
  <c r="M46" i="2"/>
  <c r="M47" i="2"/>
  <c r="N39" i="2" l="1"/>
  <c r="N41" i="2"/>
  <c r="M53" i="2"/>
  <c r="B71" i="7"/>
  <c r="A72" i="7"/>
  <c r="C71" i="7"/>
  <c r="N40" i="2"/>
  <c r="A73" i="7" l="1"/>
  <c r="B73" i="7" s="1"/>
  <c r="B7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Paulo Yoshiura</author>
  </authors>
  <commentList>
    <comment ref="K4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Insert type of motor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Either choose from list or write appropriate name</t>
        </r>
      </text>
    </comment>
    <comment ref="D6" authorId="0" shapeId="0" xr:uid="{00000000-0006-0000-0100-000002000000}">
      <text>
        <r>
          <rPr>
            <b/>
            <sz val="8"/>
            <color indexed="81"/>
            <rFont val="Tahoma"/>
            <family val="2"/>
          </rPr>
          <t>Choose Steel Type
from list or input name</t>
        </r>
      </text>
    </comment>
    <comment ref="D21" authorId="0" shapeId="0" xr:uid="{00000000-0006-0000-0100-000003000000}">
      <text>
        <r>
          <rPr>
            <b/>
            <sz val="8"/>
            <color indexed="81"/>
            <rFont val="Tahoma"/>
            <family val="2"/>
          </rPr>
          <t>Choose Method of coil connection from list!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<sst xmlns="http://schemas.openxmlformats.org/spreadsheetml/2006/main" count="958" uniqueCount="725">
  <si>
    <t>Calc. Code:</t>
  </si>
  <si>
    <t>File:</t>
  </si>
  <si>
    <t>Date:</t>
  </si>
  <si>
    <t>Time:</t>
  </si>
  <si>
    <t>Pole</t>
  </si>
  <si>
    <t>RPM</t>
  </si>
  <si>
    <t>Voltage</t>
  </si>
  <si>
    <t>Frequency</t>
  </si>
  <si>
    <t>FLSpeed</t>
  </si>
  <si>
    <t>FLSlip</t>
  </si>
  <si>
    <t xml:space="preserve">Frame </t>
  </si>
  <si>
    <t>Core Data</t>
  </si>
  <si>
    <t>Winding Data</t>
  </si>
  <si>
    <t>Constant Data</t>
  </si>
  <si>
    <t>Primary</t>
  </si>
  <si>
    <t>Secondary</t>
  </si>
  <si>
    <t xml:space="preserve">Bar </t>
  </si>
  <si>
    <t>End Ring</t>
  </si>
  <si>
    <t xml:space="preserve">St. Slot Pitch </t>
  </si>
  <si>
    <t>LR Test Data</t>
  </si>
  <si>
    <t>Air Gap</t>
  </si>
  <si>
    <t>Rt. Slot Pitch</t>
  </si>
  <si>
    <t>ES</t>
  </si>
  <si>
    <t>Space Fac.</t>
  </si>
  <si>
    <t>Pitch</t>
  </si>
  <si>
    <t>Cross Section Area</t>
  </si>
  <si>
    <t>Mean Value</t>
  </si>
  <si>
    <t>Core Length</t>
  </si>
  <si>
    <t>Eff.T.W.St.</t>
  </si>
  <si>
    <t>WS</t>
  </si>
  <si>
    <t>OD</t>
  </si>
  <si>
    <t>Coil Pitch</t>
  </si>
  <si>
    <t>Eff.T.W.Rt.</t>
  </si>
  <si>
    <t>ID</t>
  </si>
  <si>
    <t>Slot Fill</t>
  </si>
  <si>
    <t xml:space="preserve">St.Carter Fac. </t>
  </si>
  <si>
    <t>IS</t>
  </si>
  <si>
    <t>Core Depth</t>
  </si>
  <si>
    <t>Con./Slot</t>
  </si>
  <si>
    <t xml:space="preserve"> </t>
  </si>
  <si>
    <t>Rt.Carter Fac.</t>
  </si>
  <si>
    <t>Eff.Core L.</t>
  </si>
  <si>
    <t>Wire Size 1</t>
  </si>
  <si>
    <t>Carter Factor</t>
  </si>
  <si>
    <t>Volts / Turn</t>
  </si>
  <si>
    <t>Slot Data</t>
  </si>
  <si>
    <t>Wire Size 2</t>
  </si>
  <si>
    <t>Short. Factor</t>
  </si>
  <si>
    <t>Number</t>
  </si>
  <si>
    <t>// Circuits</t>
  </si>
  <si>
    <t>Distrib. Factor</t>
  </si>
  <si>
    <t>AC</t>
  </si>
  <si>
    <t>Kind</t>
  </si>
  <si>
    <t>Connection</t>
  </si>
  <si>
    <t>Wind. Factor</t>
  </si>
  <si>
    <t>Skew</t>
  </si>
  <si>
    <t>MCL</t>
  </si>
  <si>
    <t>Reactance</t>
  </si>
  <si>
    <t>Depth</t>
  </si>
  <si>
    <t>No.Cond./Ph.</t>
  </si>
  <si>
    <t>Running</t>
  </si>
  <si>
    <t>Start</t>
  </si>
  <si>
    <t>Width</t>
  </si>
  <si>
    <t>Stator Slot</t>
  </si>
  <si>
    <t>Opening</t>
  </si>
  <si>
    <t>Rotor Slot</t>
  </si>
  <si>
    <t>Tip Depth</t>
  </si>
  <si>
    <t>Material</t>
  </si>
  <si>
    <t>Zigzag</t>
  </si>
  <si>
    <t>T.Min.Wid.</t>
  </si>
  <si>
    <t>Spec.Resist.</t>
  </si>
  <si>
    <t>Coil End</t>
  </si>
  <si>
    <t>Low. R.</t>
  </si>
  <si>
    <t>Spec.Gravity</t>
  </si>
  <si>
    <t>Belt Leakage</t>
  </si>
  <si>
    <t>Up. R.</t>
  </si>
  <si>
    <t>Weight (kg)</t>
  </si>
  <si>
    <t>Total Resist.</t>
  </si>
  <si>
    <t>Wedge Dep.</t>
  </si>
  <si>
    <t>Wire 1</t>
  </si>
  <si>
    <t>Total React.</t>
  </si>
  <si>
    <t>Duct</t>
  </si>
  <si>
    <t>Wire 2</t>
  </si>
  <si>
    <t>Impedance</t>
  </si>
  <si>
    <t>Effective Depth (S=1)</t>
  </si>
  <si>
    <t>Magnetic Circuit Data</t>
  </si>
  <si>
    <t>Core Loss Data</t>
  </si>
  <si>
    <t>Res.=</t>
  </si>
  <si>
    <t>Length</t>
  </si>
  <si>
    <t>Section</t>
  </si>
  <si>
    <t>Density</t>
  </si>
  <si>
    <t>AT</t>
  </si>
  <si>
    <t>Volume</t>
  </si>
  <si>
    <t>Loss</t>
  </si>
  <si>
    <t>Reac.=</t>
  </si>
  <si>
    <t>Primary Core</t>
  </si>
  <si>
    <t>Excitation Data</t>
  </si>
  <si>
    <t>Tooth</t>
  </si>
  <si>
    <t>Excit.Amps</t>
  </si>
  <si>
    <t>Second.Core</t>
  </si>
  <si>
    <t>Total</t>
  </si>
  <si>
    <t>Core Loss</t>
  </si>
  <si>
    <t>Flux / Pole</t>
  </si>
  <si>
    <t>C.L.C.</t>
  </si>
  <si>
    <t>NoLoad</t>
  </si>
  <si>
    <t>S.F.C.</t>
  </si>
  <si>
    <t>Load Characteristics</t>
  </si>
  <si>
    <t>No Load Loss</t>
  </si>
  <si>
    <t>W.Loss</t>
  </si>
  <si>
    <t>Load (%)</t>
  </si>
  <si>
    <t>Primary Loss</t>
  </si>
  <si>
    <t>S.Loss</t>
  </si>
  <si>
    <t>Current (A)</t>
  </si>
  <si>
    <t>Second. Loss</t>
  </si>
  <si>
    <t>Total C.Loss</t>
  </si>
  <si>
    <t xml:space="preserve">Efficiency </t>
  </si>
  <si>
    <t>Frict.&amp; Wind.</t>
  </si>
  <si>
    <t>P.F.</t>
  </si>
  <si>
    <t>Starting Data</t>
  </si>
  <si>
    <t>Slip</t>
  </si>
  <si>
    <t>PF</t>
  </si>
  <si>
    <t xml:space="preserve">LRA </t>
  </si>
  <si>
    <t>%</t>
  </si>
  <si>
    <t>L (Inv., MH)</t>
  </si>
  <si>
    <t>LRT (kg.m)</t>
  </si>
  <si>
    <t>(No Load)</t>
  </si>
  <si>
    <t>Design Parameters (Full Load)</t>
  </si>
  <si>
    <t>Magnetic Pull  &amp; Thrust</t>
  </si>
  <si>
    <t>BDT (kW)</t>
  </si>
  <si>
    <t>IM/IW</t>
  </si>
  <si>
    <t>I*R1/E</t>
  </si>
  <si>
    <t>Rosenberg</t>
  </si>
  <si>
    <t>IW*X/E</t>
  </si>
  <si>
    <t>I*R2/E</t>
  </si>
  <si>
    <t>Schwisky</t>
  </si>
  <si>
    <t>Amps</t>
  </si>
  <si>
    <t>SUM</t>
  </si>
  <si>
    <t>Friction/OP.</t>
  </si>
  <si>
    <t>Tsurumi</t>
  </si>
  <si>
    <t>Max. Output</t>
  </si>
  <si>
    <t>IH/I</t>
  </si>
  <si>
    <t>Thrust (1mm)</t>
  </si>
  <si>
    <t>Efficiency</t>
  </si>
  <si>
    <t>Thrust (3 mm)</t>
  </si>
  <si>
    <t>Miscellaneous Data</t>
  </si>
  <si>
    <t>Slot Number</t>
  </si>
  <si>
    <t>Slit Width</t>
  </si>
  <si>
    <t>T.M.Wid.Low.</t>
  </si>
  <si>
    <t>Watt Rad.</t>
  </si>
  <si>
    <t>Coil Cur. Density</t>
  </si>
  <si>
    <t>Slit Depth</t>
  </si>
  <si>
    <t>Cal.T.W.Up.</t>
  </si>
  <si>
    <t>L.S.Up.Wid.</t>
  </si>
  <si>
    <t>Cal.M.T.Wid.</t>
  </si>
  <si>
    <t>Bar Cur. Den.</t>
  </si>
  <si>
    <t>L.S.Low.Wid.</t>
  </si>
  <si>
    <t>Up. Sl. Wid.</t>
  </si>
  <si>
    <t>L.S.Depth</t>
  </si>
  <si>
    <t>X2S</t>
  </si>
  <si>
    <t>IMC</t>
  </si>
  <si>
    <t>ER Cur. Den.</t>
  </si>
  <si>
    <t>Up. Sl. Dep.</t>
  </si>
  <si>
    <t>T.M.Wid.Up.</t>
  </si>
  <si>
    <t>X3S</t>
  </si>
  <si>
    <t>Coil Pitch Ct.</t>
  </si>
  <si>
    <t>Torque (%)</t>
  </si>
  <si>
    <t>Res.     (20°C)</t>
  </si>
  <si>
    <t xml:space="preserve">                              TOSHIBA INTERNATIONAL CORPORATION</t>
  </si>
  <si>
    <r>
      <t>DG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</si>
  <si>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GD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L(kg.m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</si>
  <si>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DO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</si>
  <si>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t>HP</t>
  </si>
  <si>
    <t>Form</t>
  </si>
  <si>
    <t xml:space="preserve">             3-PHASE SQUIRREL CAGE INDUCTION MOTOR DESIGN SHEET</t>
  </si>
  <si>
    <t>-</t>
  </si>
  <si>
    <t>Temperature</t>
  </si>
  <si>
    <t>Current</t>
  </si>
  <si>
    <t>Eff.</t>
  </si>
  <si>
    <t>PF.</t>
  </si>
  <si>
    <r>
      <t>HP</t>
    </r>
    <r>
      <rPr>
        <vertAlign val="superscript"/>
        <sz val="10"/>
        <rFont val="Arial"/>
        <family val="2"/>
      </rPr>
      <t>0.95</t>
    </r>
  </si>
  <si>
    <r>
      <t>HP</t>
    </r>
    <r>
      <rPr>
        <vertAlign val="superscript"/>
        <sz val="10"/>
        <rFont val="Arial"/>
        <family val="2"/>
      </rPr>
      <t>1.5</t>
    </r>
  </si>
  <si>
    <r>
      <t>(RPM/1000)</t>
    </r>
    <r>
      <rPr>
        <vertAlign val="superscript"/>
        <sz val="10"/>
        <rFont val="Arial"/>
        <family val="2"/>
      </rPr>
      <t>2.4</t>
    </r>
  </si>
  <si>
    <r>
      <t>(RPM/1000)</t>
    </r>
    <r>
      <rPr>
        <vertAlign val="superscript"/>
        <sz val="10"/>
        <rFont val="Arial"/>
        <family val="2"/>
      </rPr>
      <t>1.8</t>
    </r>
  </si>
  <si>
    <t>A</t>
  </si>
  <si>
    <t>k</t>
  </si>
  <si>
    <t>Load Inertia</t>
  </si>
  <si>
    <t>125RPM</t>
  </si>
  <si>
    <t>100RPM</t>
  </si>
  <si>
    <t>75RPM</t>
  </si>
  <si>
    <t>50RPM</t>
  </si>
  <si>
    <t>25RPM</t>
  </si>
  <si>
    <t>Hz</t>
  </si>
  <si>
    <r>
      <t>Kline/in</t>
    </r>
    <r>
      <rPr>
        <i/>
        <vertAlign val="superscript"/>
        <sz val="10"/>
        <rFont val="Times New Roman"/>
        <family val="1"/>
      </rPr>
      <t>2</t>
    </r>
  </si>
  <si>
    <t>FCKNW</t>
  </si>
  <si>
    <t>5811/12UDZ</t>
  </si>
  <si>
    <t>Open</t>
  </si>
  <si>
    <t>Trapeze</t>
  </si>
  <si>
    <t>10.20 - 10.20</t>
  </si>
  <si>
    <t>2.83 - 2.00</t>
  </si>
  <si>
    <t>Magnetic</t>
  </si>
  <si>
    <t>5 x 10</t>
  </si>
  <si>
    <t>1 ~ 16</t>
  </si>
  <si>
    <t>(.064"x.204")x2</t>
  </si>
  <si>
    <t>Delta</t>
  </si>
  <si>
    <t>(105°C)</t>
  </si>
  <si>
    <t>CU</t>
  </si>
  <si>
    <t>ERD1: 281.0</t>
  </si>
  <si>
    <t>EBL: 50.0</t>
  </si>
  <si>
    <t>ERT: 70.00</t>
  </si>
  <si>
    <t>ERH: 25.00</t>
  </si>
  <si>
    <t>LB:  -</t>
  </si>
  <si>
    <t>LER:  -</t>
  </si>
  <si>
    <t>Single Cage Data</t>
  </si>
  <si>
    <t>UB: 304.0</t>
  </si>
  <si>
    <t>UER: 1750.0</t>
  </si>
  <si>
    <t>(Coeff.: 0.1526)</t>
  </si>
  <si>
    <t>Skew R.: 0.00</t>
  </si>
  <si>
    <t>G:\DESPRO\RAT FILES\BS2800U_Rev1.rat</t>
  </si>
  <si>
    <t>2-2-2-0-1-2</t>
  </si>
  <si>
    <t>B.L.-1  P.F.-1</t>
  </si>
  <si>
    <t>6183.2 / 6797.7</t>
  </si>
  <si>
    <t>3334.6 / 3654.5</t>
  </si>
  <si>
    <t>22717.7 / 20836.2</t>
  </si>
  <si>
    <t>13500.0 / 15958.9</t>
  </si>
  <si>
    <t>8943.6 / 4995.4</t>
  </si>
  <si>
    <t>888.5 / 496.2</t>
  </si>
  <si>
    <t>8055.1 / 4499.2</t>
  </si>
  <si>
    <t>1.75 / 0.98</t>
  </si>
  <si>
    <t>56 / 52</t>
  </si>
  <si>
    <t>Temp. Rise @ 100%:</t>
  </si>
  <si>
    <t>Stray Loss</t>
  </si>
  <si>
    <t>0.861 / 0.846</t>
  </si>
  <si>
    <t>0.921 / 0.905</t>
  </si>
  <si>
    <t>0.941 / 0.925</t>
  </si>
  <si>
    <t>0.949 / 0.933</t>
  </si>
  <si>
    <t>0.953 / 0.937</t>
  </si>
  <si>
    <t>0.693 / 0.686</t>
  </si>
  <si>
    <t>0.854 / 0.845</t>
  </si>
  <si>
    <t>0.904 / 0.895</t>
  </si>
  <si>
    <t>0.922 / 0.912</t>
  </si>
  <si>
    <t>0.926 / 0.917</t>
  </si>
  <si>
    <t>36.06 / 37.09</t>
  </si>
  <si>
    <t>54.76 / 56.32</t>
  </si>
  <si>
    <t>75.90 / 78.07</t>
  </si>
  <si>
    <t>98.39 / 101.20</t>
  </si>
  <si>
    <t>121.94 / 125.42</t>
  </si>
  <si>
    <t>3.50 / 3.60</t>
  </si>
  <si>
    <t>UB: 4.25 / 4.37</t>
  </si>
  <si>
    <t>UER: 4.47 / 4.60</t>
  </si>
  <si>
    <t>3594.8 / 3592.7</t>
  </si>
  <si>
    <t>3590.2 / 3588.2</t>
  </si>
  <si>
    <t>3585.5 / 3583.4</t>
  </si>
  <si>
    <t>3580.6 / 3578.5</t>
  </si>
  <si>
    <t>3577.0 / 3575.0</t>
  </si>
  <si>
    <t>0.0014 / 0.0020</t>
  </si>
  <si>
    <t>0.0027 / 0.0033</t>
  </si>
  <si>
    <t>0.0040 / 0.0046</t>
  </si>
  <si>
    <t>0.0054 / 0.0060</t>
  </si>
  <si>
    <t>0.0064 / 0.0069</t>
  </si>
  <si>
    <t>13.816 / 11.739</t>
  </si>
  <si>
    <t>0.745 / 0.633</t>
  </si>
  <si>
    <t>23.96 / 20.36</t>
  </si>
  <si>
    <t>612.2 / 615.0</t>
  </si>
  <si>
    <t>622.2 / 625.1</t>
  </si>
  <si>
    <t>197.6 / 175.4</t>
  </si>
  <si>
    <t>121.7 / 108.0</t>
  </si>
  <si>
    <t>318.3 / 288.6</t>
  </si>
  <si>
    <t>Correlated to: BS2900G_LAB 2680_RM.dat</t>
  </si>
  <si>
    <t>TOSHIBA INTERNATIONAL CORPORATION</t>
  </si>
  <si>
    <t>INDUCTION MOTOR DATA SHEET</t>
  </si>
  <si>
    <t>HRW / Model Number:</t>
  </si>
  <si>
    <t>Motor Type Selection</t>
  </si>
  <si>
    <t>Electrical Steel Table</t>
  </si>
  <si>
    <t>Motor Parameters</t>
  </si>
  <si>
    <t>PERFORMANCE</t>
  </si>
  <si>
    <t>DESIGN</t>
  </si>
  <si>
    <t>TEST</t>
  </si>
  <si>
    <t>EPACT</t>
  </si>
  <si>
    <t>M22 - 26Ga.</t>
  </si>
  <si>
    <t>NCB1 - 26Ga.</t>
  </si>
  <si>
    <t>NL &amp; Impedance Test</t>
  </si>
  <si>
    <t>EQP-III</t>
  </si>
  <si>
    <t>M36 - 26Ga.</t>
  </si>
  <si>
    <t>No load amps</t>
  </si>
  <si>
    <t>Exp.Prf.</t>
  </si>
  <si>
    <t>Stack length</t>
  </si>
  <si>
    <t>No load watts</t>
  </si>
  <si>
    <t>Exp.Prf.-EQPIII</t>
  </si>
  <si>
    <t>M43 - 26Ga.</t>
  </si>
  <si>
    <t>Number of turns per coil</t>
  </si>
  <si>
    <t>Impedance amps</t>
  </si>
  <si>
    <t>f</t>
  </si>
  <si>
    <t>Prem. Eff.</t>
  </si>
  <si>
    <t>M45 - 26Ga.</t>
  </si>
  <si>
    <t>Wire 1 (size &amp; number)</t>
  </si>
  <si>
    <t>Impedance volts</t>
  </si>
  <si>
    <t>Standard Eff.</t>
  </si>
  <si>
    <t>M54 - 26Ga.</t>
  </si>
  <si>
    <t>Wire 2 (size &amp; number)</t>
  </si>
  <si>
    <t>Impedance watts</t>
  </si>
  <si>
    <t>OWP</t>
  </si>
  <si>
    <t>TIPA Lam</t>
  </si>
  <si>
    <r>
      <t xml:space="preserve">Slot fill - </t>
    </r>
    <r>
      <rPr>
        <i/>
        <sz val="9"/>
        <color indexed="8"/>
        <rFont val="Times New Roman"/>
        <family val="1"/>
      </rPr>
      <t>circle/square method (%)</t>
    </r>
  </si>
  <si>
    <t>Temperature Rise (°C)</t>
  </si>
  <si>
    <t>Dry Kiln</t>
  </si>
  <si>
    <t>Winding</t>
  </si>
  <si>
    <t>80/115</t>
  </si>
  <si>
    <t>Allowance for ins. depth</t>
  </si>
  <si>
    <t xml:space="preserve">Bearing  PS/OS </t>
  </si>
  <si>
    <t>Allowance for ins. width</t>
  </si>
  <si>
    <t>Slot/Wire arrangement</t>
  </si>
  <si>
    <t>Nameplate Data</t>
  </si>
  <si>
    <t>Effective cross section for coil</t>
  </si>
  <si>
    <t>FLC (A)</t>
  </si>
  <si>
    <t>Coil grouping</t>
  </si>
  <si>
    <t>Coil pitch (slot number)</t>
  </si>
  <si>
    <t>CODE</t>
  </si>
  <si>
    <t>Method of coil connection</t>
  </si>
  <si>
    <t>S. F.</t>
  </si>
  <si>
    <t>Method of Connection</t>
  </si>
  <si>
    <t>Resistance per phase @ 20 °C</t>
  </si>
  <si>
    <t>B</t>
  </si>
  <si>
    <t>Skip</t>
  </si>
  <si>
    <t>Coil Weight</t>
  </si>
  <si>
    <t>Wire1</t>
  </si>
  <si>
    <t xml:space="preserve">Nom.Eff. (%): </t>
  </si>
  <si>
    <t>Adjacent</t>
  </si>
  <si>
    <t>(lbs.)</t>
  </si>
  <si>
    <t>Wire2</t>
  </si>
  <si>
    <t xml:space="preserve">Min.Eff. (%): </t>
  </si>
  <si>
    <r>
      <t>Current Densities (A/cm</t>
    </r>
    <r>
      <rPr>
        <b/>
        <i/>
        <vertAlign val="superscript"/>
        <sz val="12"/>
        <color indexed="8"/>
        <rFont val="Times New Roman"/>
        <family val="1"/>
      </rPr>
      <t>2</t>
    </r>
    <r>
      <rPr>
        <b/>
        <i/>
        <sz val="12"/>
        <color indexed="8"/>
        <rFont val="Times New Roman"/>
        <family val="1"/>
      </rPr>
      <t>)</t>
    </r>
  </si>
  <si>
    <t>Bar / ER</t>
  </si>
  <si>
    <t xml:space="preserve">P.F. (%): </t>
  </si>
  <si>
    <t>FL / LR</t>
  </si>
  <si>
    <t>Stator Slot Shape                                      (Reference)</t>
  </si>
  <si>
    <t>Performance</t>
  </si>
  <si>
    <t>LRC (A)</t>
  </si>
  <si>
    <t>LRT (%)</t>
  </si>
  <si>
    <t>BDT (%)</t>
  </si>
  <si>
    <t>SLIP (%)</t>
  </si>
  <si>
    <t>IEEE-B</t>
  </si>
  <si>
    <t>Eff. (%)</t>
  </si>
  <si>
    <t>Rotor Slot Shape                                       (Reference)</t>
  </si>
  <si>
    <t>PF (%)</t>
  </si>
  <si>
    <t>Losses (Watts)</t>
  </si>
  <si>
    <t>Core</t>
  </si>
  <si>
    <t>F &amp; W</t>
  </si>
  <si>
    <t xml:space="preserve">Stray </t>
  </si>
  <si>
    <t>End Ring                                                   (Reference)</t>
  </si>
  <si>
    <t>Note</t>
  </si>
  <si>
    <t>Approved</t>
  </si>
  <si>
    <t>Design</t>
  </si>
  <si>
    <t>Date</t>
  </si>
  <si>
    <t>P</t>
  </si>
  <si>
    <t>T</t>
  </si>
  <si>
    <t>L</t>
  </si>
  <si>
    <t>PROJECT HISTORY</t>
  </si>
  <si>
    <t>E</t>
  </si>
  <si>
    <t>D</t>
  </si>
  <si>
    <t>I</t>
  </si>
  <si>
    <t>Y</t>
  </si>
  <si>
    <t>H</t>
  </si>
  <si>
    <t>R</t>
  </si>
  <si>
    <t>M</t>
  </si>
  <si>
    <t>F</t>
  </si>
  <si>
    <t>C</t>
  </si>
  <si>
    <t>U</t>
  </si>
  <si>
    <t>N</t>
  </si>
  <si>
    <t>S</t>
  </si>
  <si>
    <t>V</t>
  </si>
  <si>
    <t>DATE</t>
  </si>
  <si>
    <t>PROJECT</t>
  </si>
  <si>
    <t>SMART NUMBER</t>
  </si>
  <si>
    <t>QTY</t>
  </si>
  <si>
    <t>CUSTOMER</t>
  </si>
  <si>
    <t>REMARKS</t>
  </si>
  <si>
    <t>LIMIT CODE</t>
  </si>
  <si>
    <t>REVISION HISTORY</t>
  </si>
  <si>
    <t>REV</t>
  </si>
  <si>
    <t>INIT</t>
  </si>
  <si>
    <t>BS2800U_Rev1</t>
  </si>
  <si>
    <t>Type: TIKE - Form: FCKNW - 2 Pole - 800 HP - 4000 V - 60 Hz - 5811/12UDZ - Class F</t>
  </si>
  <si>
    <t>25 x 2</t>
  </si>
  <si>
    <t>1 x Delta</t>
  </si>
  <si>
    <t xml:space="preserve"> - </t>
  </si>
  <si>
    <t>56 / 74</t>
  </si>
  <si>
    <t>360 / 2192</t>
  </si>
  <si>
    <t>437 / 460</t>
  </si>
  <si>
    <t>12,13,12,13,12,13,12,13</t>
  </si>
  <si>
    <t>8003TCQL11F-C</t>
  </si>
  <si>
    <t>LINK:</t>
  </si>
  <si>
    <t>Run BS2800U_Rev1.rat</t>
  </si>
  <si>
    <t>Rev.3 Fix correlation in Rev.1. Z.X 3/23/23</t>
  </si>
  <si>
    <t>Rev.2 update wire size from 0.064" x 0.204" x 1</t>
  </si>
  <si>
    <t>0.064" x 0.229" x 1.  J.R. 09/17/09</t>
  </si>
  <si>
    <t>Rev. 1  MCL changed from 1135 to 1115 mm.</t>
  </si>
  <si>
    <t>W.McDaniel  (3/20/06)</t>
  </si>
  <si>
    <t>BS2900G.rat with BS2900G_LAB 2680_RM.dat</t>
  </si>
  <si>
    <t>A. GRACIA</t>
  </si>
  <si>
    <t>Current (%)</t>
  </si>
  <si>
    <t>Current(%)</t>
  </si>
  <si>
    <t>S-T Curve Data (Custom Values)</t>
  </si>
  <si>
    <t>Load</t>
  </si>
  <si>
    <t>Load Type:</t>
  </si>
  <si>
    <t>Load Inertia:</t>
  </si>
  <si>
    <t>Accel. Time:</t>
  </si>
  <si>
    <t>Rated Torque:</t>
  </si>
  <si>
    <t>Fan / Pump</t>
  </si>
  <si>
    <t>94.4 kg.m²</t>
  </si>
  <si>
    <t>Acceleration Data (FV V)</t>
  </si>
  <si>
    <t>7.8 (s)</t>
  </si>
  <si>
    <t>162.3 kg.m</t>
  </si>
  <si>
    <t>Rating:</t>
  </si>
  <si>
    <t>Starting Performance</t>
  </si>
  <si>
    <t>Motor</t>
  </si>
  <si>
    <t xml:space="preserve">Load </t>
  </si>
  <si>
    <t>Accel.</t>
  </si>
  <si>
    <t xml:space="preserve"> Line</t>
  </si>
  <si>
    <t>Stator</t>
  </si>
  <si>
    <t>Rotor</t>
  </si>
  <si>
    <t>Speed Increment</t>
  </si>
  <si>
    <t>Time (s)</t>
  </si>
  <si>
    <t>kW / s</t>
  </si>
  <si>
    <t>Energy</t>
  </si>
  <si>
    <t>First Start</t>
  </si>
  <si>
    <t>Second Start</t>
  </si>
  <si>
    <t>Stator Winding Rise</t>
  </si>
  <si>
    <t>Rotor Bar Rise</t>
  </si>
  <si>
    <t>End Ring Rise</t>
  </si>
  <si>
    <t>Locked Rotor Thermal Capability</t>
  </si>
  <si>
    <t>Cold Condition</t>
  </si>
  <si>
    <t>Rate of Rise</t>
  </si>
  <si>
    <t>Power</t>
  </si>
  <si>
    <t>Rise Limit</t>
  </si>
  <si>
    <t>Max Time</t>
  </si>
  <si>
    <t>Stator Copper</t>
  </si>
  <si>
    <t>160°C</t>
  </si>
  <si>
    <t>Rotor Bar</t>
  </si>
  <si>
    <t>260°C</t>
  </si>
  <si>
    <t>Rotor ER</t>
  </si>
  <si>
    <t>180°C</t>
  </si>
  <si>
    <t>Hot Condition</t>
  </si>
  <si>
    <t>Hot Temp.</t>
  </si>
  <si>
    <t>Ambient</t>
  </si>
  <si>
    <t>Max.Time</t>
  </si>
  <si>
    <t>40°C</t>
  </si>
  <si>
    <t>=    200°C</t>
  </si>
  <si>
    <t>=    300°C</t>
  </si>
  <si>
    <t>=    220°C</t>
  </si>
  <si>
    <t>Cold Stall Time:</t>
  </si>
  <si>
    <t>Hot Stall Time:</t>
  </si>
  <si>
    <t>2 Pole - 800.0 HP - 3600 RPM - 4000 V - 60 Hz</t>
  </si>
  <si>
    <t>0~366</t>
  </si>
  <si>
    <t>366~731</t>
  </si>
  <si>
    <t>731~1097</t>
  </si>
  <si>
    <t>1097~1463</t>
  </si>
  <si>
    <t>1463~1828</t>
  </si>
  <si>
    <t>1828~2194</t>
  </si>
  <si>
    <t>2194~2560</t>
  </si>
  <si>
    <t>2560~2925</t>
  </si>
  <si>
    <t>2925~3108</t>
  </si>
  <si>
    <t>3108~3291</t>
  </si>
  <si>
    <t>3291~3474</t>
  </si>
  <si>
    <t>3474~3575</t>
  </si>
  <si>
    <t>3575~3581</t>
  </si>
  <si>
    <t>Load Type: Fan / Pump - 560.3 lb-ft²</t>
  </si>
  <si>
    <t>105.1</t>
  </si>
  <si>
    <t>105.4</t>
  </si>
  <si>
    <t>106.0</t>
  </si>
  <si>
    <t>106.9</t>
  </si>
  <si>
    <t>108.4</t>
  </si>
  <si>
    <t>110.8</t>
  </si>
  <si>
    <t>114.6</t>
  </si>
  <si>
    <t>122.1</t>
  </si>
  <si>
    <t>136.0</t>
  </si>
  <si>
    <t>165.7</t>
  </si>
  <si>
    <t>235.8</t>
  </si>
  <si>
    <t>219.2</t>
  </si>
  <si>
    <t>126.7</t>
  </si>
  <si>
    <t>22.4</t>
  </si>
  <si>
    <t>11.4</t>
  </si>
  <si>
    <t>7.0</t>
  </si>
  <si>
    <t>7.2</t>
  </si>
  <si>
    <t>11.5</t>
  </si>
  <si>
    <t>18.8</t>
  </si>
  <si>
    <t>29.0</t>
  </si>
  <si>
    <t>43.8</t>
  </si>
  <si>
    <t>58.6</t>
  </si>
  <si>
    <t>71.1</t>
  </si>
  <si>
    <t>84.4</t>
  </si>
  <si>
    <t>94.9</t>
  </si>
  <si>
    <t>99.3</t>
  </si>
  <si>
    <t>0.884</t>
  </si>
  <si>
    <t>0.778</t>
  </si>
  <si>
    <t>0.738</t>
  </si>
  <si>
    <t>0.733</t>
  </si>
  <si>
    <t>0.754</t>
  </si>
  <si>
    <t>0.795</t>
  </si>
  <si>
    <t>0.854</t>
  </si>
  <si>
    <t>0.935</t>
  </si>
  <si>
    <t>0.472</t>
  </si>
  <si>
    <t>0.386</t>
  </si>
  <si>
    <t>0.241</t>
  </si>
  <si>
    <t>0.162</t>
  </si>
  <si>
    <t>0.042</t>
  </si>
  <si>
    <t>613.9</t>
  </si>
  <si>
    <t>611.6</t>
  </si>
  <si>
    <t>609.0</t>
  </si>
  <si>
    <t>606.0</t>
  </si>
  <si>
    <t>602.7</t>
  </si>
  <si>
    <t>598.9</t>
  </si>
  <si>
    <t>594.7</t>
  </si>
  <si>
    <t>588.7</t>
  </si>
  <si>
    <t>580.8</t>
  </si>
  <si>
    <t>566.4</t>
  </si>
  <si>
    <t>516.4</t>
  </si>
  <si>
    <t>319.2</t>
  </si>
  <si>
    <t>92.9</t>
  </si>
  <si>
    <t>213.5</t>
  </si>
  <si>
    <t>186.6</t>
  </si>
  <si>
    <t>175.7</t>
  </si>
  <si>
    <t>172.9</t>
  </si>
  <si>
    <t>176.0</t>
  </si>
  <si>
    <t>183.2</t>
  </si>
  <si>
    <t>194.4</t>
  </si>
  <si>
    <t>209.5</t>
  </si>
  <si>
    <t>103.2</t>
  </si>
  <si>
    <t>82.0</t>
  </si>
  <si>
    <t>47.7</t>
  </si>
  <si>
    <t>23.5</t>
  </si>
  <si>
    <t>0.3</t>
  </si>
  <si>
    <t>568.7</t>
  </si>
  <si>
    <t>450.5</t>
  </si>
  <si>
    <t>380.9</t>
  </si>
  <si>
    <t>332.2</t>
  </si>
  <si>
    <t>295.1</t>
  </si>
  <si>
    <t>262.0</t>
  </si>
  <si>
    <t>229.3</t>
  </si>
  <si>
    <t>193.5</t>
  </si>
  <si>
    <t>137.9</t>
  </si>
  <si>
    <t>93.6</t>
  </si>
  <si>
    <t>47.4</t>
  </si>
  <si>
    <t>35.9</t>
  </si>
  <si>
    <t>13.5</t>
  </si>
  <si>
    <t>1769 kW / s</t>
  </si>
  <si>
    <t>2658 kW / s</t>
  </si>
  <si>
    <t>383 kW / s</t>
  </si>
  <si>
    <t>24°C</t>
  </si>
  <si>
    <t>102°C</t>
  </si>
  <si>
    <t>38°C</t>
  </si>
  <si>
    <t>48°C</t>
  </si>
  <si>
    <t>204°C</t>
  </si>
  <si>
    <t>75°C</t>
  </si>
  <si>
    <t>Acceleration Time:  7.8 s</t>
  </si>
  <si>
    <t>3.6°C / s</t>
  </si>
  <si>
    <t>21.0°C / s</t>
  </si>
  <si>
    <t>7.7°C / s</t>
  </si>
  <si>
    <t>270.4 kW</t>
  </si>
  <si>
    <t>547.7 kW</t>
  </si>
  <si>
    <t>78.9 kW</t>
  </si>
  <si>
    <t>44.0 s</t>
  </si>
  <si>
    <t>12.4 s</t>
  </si>
  <si>
    <t>23.2 s</t>
  </si>
  <si>
    <t>56°C    +</t>
  </si>
  <si>
    <t>73°C    +</t>
  </si>
  <si>
    <t>104°C    +</t>
  </si>
  <si>
    <t>187°C   +</t>
  </si>
  <si>
    <t>107°C   +</t>
  </si>
  <si>
    <t>28.6 s</t>
  </si>
  <si>
    <t>8.9 s</t>
  </si>
  <si>
    <t>13.9 s</t>
  </si>
  <si>
    <t>22.6 s</t>
  </si>
  <si>
    <t>13.5 s</t>
  </si>
  <si>
    <t>Speed Torque/Current Curve</t>
  </si>
  <si>
    <t>Model #:</t>
  </si>
  <si>
    <t>FLAmps:</t>
  </si>
  <si>
    <t>Enclosure:</t>
  </si>
  <si>
    <t>Voltage:</t>
  </si>
  <si>
    <t>Frame:</t>
  </si>
  <si>
    <t>Pole:</t>
  </si>
  <si>
    <t>Frequency:</t>
  </si>
  <si>
    <t>3 PH / 60 Hz</t>
  </si>
  <si>
    <t>Ins. Class:</t>
  </si>
  <si>
    <t>HP:</t>
  </si>
  <si>
    <t>Rotor Inertia:</t>
  </si>
  <si>
    <t>FLRPM:</t>
  </si>
  <si>
    <t>Locked Rotor Amps:</t>
  </si>
  <si>
    <t>Locked Rotor Torque:</t>
  </si>
  <si>
    <t>Starting at:</t>
  </si>
  <si>
    <t>Breakdown Torque:</t>
  </si>
  <si>
    <t>Comments:</t>
  </si>
  <si>
    <t>D.E.Curve #:</t>
  </si>
  <si>
    <t>Prepared by:</t>
  </si>
  <si>
    <t>Checked by:</t>
  </si>
  <si>
    <t>161.7 lb-ft²</t>
  </si>
  <si>
    <t>560.3 lb-ft²</t>
  </si>
  <si>
    <t>FV (V)</t>
  </si>
  <si>
    <t>Thermal Limit &amp; Acceleration Curves</t>
  </si>
  <si>
    <t>Design Values (For Reference Only)</t>
  </si>
  <si>
    <t>Cold</t>
  </si>
  <si>
    <t>Hot</t>
  </si>
  <si>
    <t>CURRENT (%)</t>
  </si>
  <si>
    <t>Accel. Time</t>
  </si>
  <si>
    <t>Performance Curve</t>
  </si>
  <si>
    <t>Input Watts</t>
  </si>
  <si>
    <t>INDEX</t>
  </si>
  <si>
    <t>MPCF-1033</t>
  </si>
  <si>
    <t>Industrial Division / Houston Motor Plant</t>
  </si>
  <si>
    <t>SHEET NO.</t>
  </si>
  <si>
    <t>1 of 1</t>
  </si>
  <si>
    <t>ISSUED</t>
  </si>
  <si>
    <t>7/31/13</t>
  </si>
  <si>
    <t>SUPERSEDES</t>
  </si>
  <si>
    <t>11/8/96</t>
  </si>
  <si>
    <t>REVISION</t>
  </si>
  <si>
    <t>SQUIRREL CAGE INDUCTION MOTOR</t>
  </si>
  <si>
    <t>WRITTEN BY</t>
  </si>
  <si>
    <t>MDC</t>
  </si>
  <si>
    <t>PERFORMANCE SPECIFICATIONS</t>
  </si>
  <si>
    <t>APPROVED BY</t>
  </si>
  <si>
    <t>PAA</t>
  </si>
  <si>
    <t>CUSTOMER:</t>
  </si>
  <si>
    <t>TIC SR No.:</t>
  </si>
  <si>
    <t>MOTOR NAMEPLATE DATA</t>
  </si>
  <si>
    <t>H.P.:</t>
  </si>
  <si>
    <t>VOLTS:</t>
  </si>
  <si>
    <t>3 PH /</t>
  </si>
  <si>
    <t>S. RPM:</t>
  </si>
  <si>
    <t>FRAME:</t>
  </si>
  <si>
    <t>ENCL:</t>
  </si>
  <si>
    <t>FLAMPS:</t>
  </si>
  <si>
    <t>FORM:</t>
  </si>
  <si>
    <t>S.F.:</t>
  </si>
  <si>
    <t>NEMA DESIGN:</t>
  </si>
  <si>
    <t>INSUL CLASS:</t>
  </si>
  <si>
    <t>TYPE:</t>
  </si>
  <si>
    <t>AMB.:</t>
  </si>
  <si>
    <t>CODE:</t>
  </si>
  <si>
    <t>DUTY:</t>
  </si>
  <si>
    <t>Cont.</t>
  </si>
  <si>
    <t>MODEL No.:</t>
  </si>
  <si>
    <t>kW:</t>
  </si>
  <si>
    <t>NOM. EFF.:</t>
  </si>
  <si>
    <t>MIN. EFF.:</t>
  </si>
  <si>
    <t>P.F.:</t>
  </si>
  <si>
    <t>AMPERAGE</t>
  </si>
  <si>
    <t>TORQUES</t>
  </si>
  <si>
    <t>**BEARINGS:</t>
  </si>
  <si>
    <t>LOCKED ROTOR:</t>
  </si>
  <si>
    <t>FULL LOAD (lb-ft.):</t>
  </si>
  <si>
    <t>DRIVE END:</t>
  </si>
  <si>
    <t>REFER TO NP</t>
  </si>
  <si>
    <t>LOCKED ROTOR (%):</t>
  </si>
  <si>
    <t>OPPOSITE DRIVE END:</t>
  </si>
  <si>
    <t>BREAK DOWN (%):</t>
  </si>
  <si>
    <t>EFFICIENCY</t>
  </si>
  <si>
    <t>POWER FACTOR</t>
  </si>
  <si>
    <t>FULL LOAD:</t>
  </si>
  <si>
    <t>3/4 LOAD:</t>
  </si>
  <si>
    <t>1/2 LOAD:</t>
  </si>
  <si>
    <t>ALL CHARACTERISTICS ARE AVERAGE EXPECTED VALUES BASED UPON RATED VOLTAGE,</t>
  </si>
  <si>
    <t>FREQUENCY AND SINEWAVE POWER INPUT.</t>
  </si>
  <si>
    <t xml:space="preserve">THE DECLARED LOCKED ROTOR CURRENT HAS A TOLERANCE OF 20%.  </t>
  </si>
  <si>
    <t>* TEMPERATURE RISE WILL BE CONSISTENT WITH INSULATION, AMBIENT AND SERVICE FACTOR AS</t>
  </si>
  <si>
    <t>DEFINED BY NEMA-MG-12  OR  -20.</t>
  </si>
  <si>
    <t>** BEARINGS ARE THE ONLY RECOMMENDED SPARE PART(S).</t>
  </si>
  <si>
    <t>CERTIFIED BY:</t>
  </si>
  <si>
    <t>Zichao Xie</t>
  </si>
  <si>
    <t>DATE:</t>
  </si>
  <si>
    <t>6205ZZ</t>
  </si>
  <si>
    <t>TEFC</t>
  </si>
  <si>
    <t>6206UU</t>
  </si>
  <si>
    <t>ODP</t>
  </si>
  <si>
    <t>6207ZZ</t>
  </si>
  <si>
    <t>6208UU</t>
  </si>
  <si>
    <t>6211ZZ</t>
  </si>
  <si>
    <t>6211C3</t>
  </si>
  <si>
    <t>6211ZZC3</t>
  </si>
  <si>
    <t>6305UUC3</t>
  </si>
  <si>
    <t>6306UUC3</t>
  </si>
  <si>
    <t>6308C3</t>
  </si>
  <si>
    <t>6308UU</t>
  </si>
  <si>
    <t>6308ZC3</t>
  </si>
  <si>
    <t>6309UU</t>
  </si>
  <si>
    <t>6309UUC3</t>
  </si>
  <si>
    <t>6309C3</t>
  </si>
  <si>
    <t>6309C3XS</t>
  </si>
  <si>
    <t>6309ZC3</t>
  </si>
  <si>
    <t>6310ZZ</t>
  </si>
  <si>
    <t>6310C3</t>
  </si>
  <si>
    <t>6310C3XS</t>
  </si>
  <si>
    <t>6310ZZC3</t>
  </si>
  <si>
    <t>6312C3</t>
  </si>
  <si>
    <t>6312ZZ</t>
  </si>
  <si>
    <t>6312ZZC3</t>
  </si>
  <si>
    <t>6312C3XS</t>
  </si>
  <si>
    <t>6313ZZ</t>
  </si>
  <si>
    <t>6313ZZC3</t>
  </si>
  <si>
    <t>6313C3</t>
  </si>
  <si>
    <t>6314C3</t>
  </si>
  <si>
    <t>6317C3</t>
  </si>
  <si>
    <t>NU318</t>
  </si>
  <si>
    <t>6318C3</t>
  </si>
  <si>
    <t>NU318C3</t>
  </si>
  <si>
    <t>6320C3</t>
  </si>
  <si>
    <t>NU322</t>
  </si>
  <si>
    <t>NU322C3</t>
  </si>
  <si>
    <t>NU324C3</t>
  </si>
  <si>
    <t>6314C3XS</t>
  </si>
  <si>
    <t>6317C3XS</t>
  </si>
  <si>
    <t>60 Hz</t>
  </si>
  <si>
    <t>TIKE</t>
  </si>
  <si>
    <t>ADJUSTED</t>
  </si>
  <si>
    <t>ORIGINAL</t>
  </si>
  <si>
    <t>SYNC SPEED</t>
  </si>
  <si>
    <t>NEW SPEED LOWER RANGE</t>
  </si>
  <si>
    <t>NEW kW UPPER RANGE</t>
  </si>
  <si>
    <t>SPEED</t>
  </si>
  <si>
    <t>KW</t>
  </si>
  <si>
    <t>BS2800U</t>
  </si>
  <si>
    <t>ECMW4</t>
  </si>
  <si>
    <t>5812USS</t>
  </si>
  <si>
    <t>RSO2: 400-N158-05</t>
  </si>
  <si>
    <t>TOP- HAT 135-N213-112316 FOR 85dBA</t>
  </si>
  <si>
    <t>TOP HAT: 135-N201-121USS GREATER THAN 85dBA BUT LESS THAN 90dBA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</si>
</sst>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000"/>
    <numFmt numFmtId="165" formatCode="0.0000"/>
    <numFmt numFmtId="166" formatCode="0.000"/>
    <numFmt numFmtId="167" formatCode="0.0"/>
    <numFmt numFmtId="168" formatCode="0.0%"/>
    <numFmt numFmtId="169" formatCode=".0000"/>
    <numFmt numFmtId="170" formatCode="mm/dd/yy"/>
    <numFmt numFmtId="171" formatCode="0.00_);\(0.00\)"/>
    <numFmt numFmtId="172" formatCode="General_)"/>
  </numFmts>
  <fonts count="79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i/>
      <sz val="10"/>
      <name val="Times New Roman"/>
      <family val="1"/>
    </font>
    <font>
      <b/>
      <i/>
      <sz val="10"/>
      <name val="Times New Roman"/>
      <family val="1"/>
    </font>
    <font>
      <sz val="8"/>
      <name val="Times New Roman"/>
      <family val="1"/>
    </font>
    <font>
      <b/>
      <sz val="14"/>
      <name val="Times New Roman"/>
      <family val="1"/>
    </font>
    <font>
      <i/>
      <sz val="10"/>
      <name val="Times New Roman"/>
      <family val="1"/>
    </font>
    <font>
      <sz val="8"/>
      <name val="Arial"/>
      <family val="2"/>
    </font>
    <font>
      <sz val="10"/>
      <name val="Times New Roman"/>
      <family val="1"/>
    </font>
    <font>
      <i/>
      <sz val="9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i/>
      <vertAlign val="superscript"/>
      <sz val="10"/>
      <name val="Times New Roman"/>
      <family val="1"/>
    </font>
    <font>
      <b/>
      <sz val="10"/>
      <name val="Times New Roman"/>
      <family val="1"/>
    </font>
    <font>
      <vertAlign val="superscript"/>
      <sz val="10"/>
      <name val="Arial"/>
      <family val="2"/>
    </font>
    <font>
      <b/>
      <sz val="10"/>
      <color indexed="12"/>
      <name val="Arial"/>
      <family val="2"/>
    </font>
    <font>
      <sz val="12"/>
      <name val="Arial"/>
      <family val="2"/>
    </font>
    <font>
      <sz val="8"/>
      <color indexed="8"/>
      <name val="Times New Roman"/>
      <family val="1"/>
    </font>
    <font>
      <sz val="10"/>
      <color indexed="8"/>
      <name val="Times New Roman"/>
      <family val="1"/>
    </font>
    <font>
      <i/>
      <sz val="8"/>
      <color indexed="8"/>
      <name val="Times New Roman"/>
      <family val="1"/>
    </font>
    <font>
      <b/>
      <i/>
      <sz val="10"/>
      <color indexed="8"/>
      <name val="Times New Roman"/>
      <family val="1"/>
    </font>
    <font>
      <sz val="10"/>
      <color theme="1"/>
      <name val="Times New Roman"/>
      <family val="1"/>
    </font>
    <font>
      <sz val="10"/>
      <color theme="3"/>
      <name val="Times New Roman"/>
      <family val="1"/>
    </font>
    <font>
      <sz val="12"/>
      <name val="Univers (W1)"/>
    </font>
    <font>
      <b/>
      <sz val="16"/>
      <name val="Times New Roman"/>
      <family val="1"/>
    </font>
    <font>
      <sz val="9"/>
      <color indexed="8"/>
      <name val="Times New Roman"/>
      <family val="1"/>
    </font>
    <font>
      <sz val="12"/>
      <color indexed="8"/>
      <name val="Univers (W1)"/>
    </font>
    <font>
      <b/>
      <sz val="14"/>
      <color indexed="8"/>
      <name val="Times New Roman"/>
      <family val="1"/>
    </font>
    <font>
      <b/>
      <i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1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0"/>
      <color indexed="8"/>
      <name val="Univers (W1)"/>
    </font>
    <font>
      <b/>
      <i/>
      <sz val="11"/>
      <color indexed="8"/>
      <name val="Times New Roman"/>
      <family val="1"/>
    </font>
    <font>
      <i/>
      <sz val="10"/>
      <color indexed="8"/>
      <name val="Times New Roman"/>
      <family val="1"/>
    </font>
    <font>
      <b/>
      <sz val="11"/>
      <color indexed="8"/>
      <name val="Univers (W1)"/>
      <family val="2"/>
    </font>
    <font>
      <b/>
      <sz val="10"/>
      <color indexed="8"/>
      <name val="Univers (W1)"/>
    </font>
    <font>
      <i/>
      <sz val="11"/>
      <color indexed="8"/>
      <name val="Times New Roman"/>
      <family val="1"/>
    </font>
    <font>
      <b/>
      <i/>
      <sz val="11"/>
      <color indexed="8"/>
      <name val="Univers (W1)"/>
      <family val="2"/>
    </font>
    <font>
      <i/>
      <sz val="11"/>
      <color indexed="8"/>
      <name val="Symbol"/>
      <family val="1"/>
      <charset val="2"/>
    </font>
    <font>
      <i/>
      <sz val="9"/>
      <color indexed="8"/>
      <name val="Times New Roman"/>
      <family val="1"/>
    </font>
    <font>
      <b/>
      <sz val="10"/>
      <color indexed="8"/>
      <name val="Times New Roman"/>
      <family val="1"/>
    </font>
    <font>
      <b/>
      <i/>
      <vertAlign val="superscript"/>
      <sz val="12"/>
      <color indexed="8"/>
      <name val="Times New Roman"/>
      <family val="1"/>
    </font>
    <font>
      <sz val="20"/>
      <color indexed="8"/>
      <name val="WP Greek Century"/>
      <charset val="2"/>
    </font>
    <font>
      <sz val="10"/>
      <color indexed="8"/>
      <name val="WP Greek Century"/>
      <charset val="2"/>
    </font>
    <font>
      <b/>
      <i/>
      <sz val="12"/>
      <color indexed="8"/>
      <name val="Brush Script MT"/>
      <family val="4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i/>
      <sz val="10"/>
      <color indexed="8"/>
      <name val="Arial"/>
      <family val="2"/>
    </font>
    <font>
      <sz val="12"/>
      <name val="Times New Roman"/>
      <family val="1"/>
    </font>
    <font>
      <i/>
      <sz val="12"/>
      <name val="Times New Roman"/>
      <family val="1"/>
    </font>
    <font>
      <b/>
      <i/>
      <sz val="12"/>
      <name val="Times New Roman"/>
      <family val="1"/>
    </font>
    <font>
      <sz val="14"/>
      <name val="Times New Roman"/>
      <family val="1"/>
    </font>
    <font>
      <b/>
      <u/>
      <sz val="22"/>
      <name val="Times New Roman"/>
      <family val="1"/>
    </font>
    <font>
      <b/>
      <u/>
      <sz val="16"/>
      <name val="Times New Roman"/>
      <family val="1"/>
    </font>
    <font>
      <b/>
      <i/>
      <sz val="14"/>
      <name val="Times New Roman"/>
      <family val="1"/>
    </font>
    <font>
      <b/>
      <i/>
      <u/>
      <sz val="14"/>
      <name val="Times New Roman"/>
      <family val="1"/>
    </font>
    <font>
      <sz val="10"/>
      <color indexed="9"/>
      <name val="Arial"/>
      <family val="2"/>
    </font>
    <font>
      <sz val="10"/>
      <color indexed="8"/>
      <name val="Arial"/>
      <family val="2"/>
    </font>
    <font>
      <sz val="10"/>
      <color indexed="10"/>
      <name val="Arial"/>
      <family val="2"/>
    </font>
    <font>
      <sz val="12"/>
      <name val="Helv"/>
    </font>
    <font>
      <sz val="14"/>
      <name val="Univers (W1)"/>
      <family val="2"/>
    </font>
    <font>
      <sz val="8"/>
      <name val="Univers (W1)"/>
      <family val="2"/>
    </font>
    <font>
      <sz val="10"/>
      <name val="Univers (W1)"/>
      <family val="2"/>
    </font>
    <font>
      <sz val="12"/>
      <name val="Univers (W1)"/>
      <family val="2"/>
    </font>
    <font>
      <sz val="15"/>
      <name val="Univers (W1)"/>
      <family val="2"/>
    </font>
    <font>
      <sz val="12"/>
      <name val="Script"/>
      <family val="4"/>
      <charset val="255"/>
    </font>
    <font>
      <sz val="9"/>
      <name val="Univers (W1)"/>
      <family val="2"/>
    </font>
    <font>
      <sz val="13"/>
      <name val="Univers (W1)"/>
      <family val="2"/>
    </font>
    <font>
      <b/>
      <sz val="10"/>
      <name val="Univers (W1)"/>
      <family val="2"/>
    </font>
    <font>
      <sz val="9"/>
      <name val="Univers (W1)"/>
    </font>
    <font>
      <b/>
      <sz val="13"/>
      <name val="Univers (W1)"/>
      <family val="2"/>
    </font>
    <font>
      <sz val="12"/>
      <name val="Lucida Handwriting"/>
      <family val="4"/>
    </font>
    <font>
      <b/>
      <sz val="16"/>
      <color rgb="FFFF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23"/>
      </right>
      <top/>
      <bottom/>
      <diagonal/>
    </border>
    <border>
      <left style="hair">
        <color indexed="23"/>
      </left>
      <right style="hair">
        <color indexed="23"/>
      </right>
      <top/>
      <bottom/>
      <diagonal/>
    </border>
    <border>
      <left style="medium">
        <color indexed="64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/>
      <top style="hair">
        <color indexed="55"/>
      </top>
      <bottom style="hair">
        <color indexed="55"/>
      </bottom>
      <diagonal/>
    </border>
    <border>
      <left/>
      <right style="thin">
        <color indexed="64"/>
      </right>
      <top style="hair">
        <color indexed="55"/>
      </top>
      <bottom style="hair">
        <color indexed="55"/>
      </bottom>
      <diagonal/>
    </border>
    <border>
      <left style="thin">
        <color indexed="64"/>
      </left>
      <right/>
      <top style="hair">
        <color indexed="23"/>
      </top>
      <bottom style="hair">
        <color indexed="23"/>
      </bottom>
      <diagonal/>
    </border>
    <border>
      <left/>
      <right/>
      <top style="hair">
        <color indexed="23"/>
      </top>
      <bottom style="hair">
        <color indexed="23"/>
      </bottom>
      <diagonal/>
    </border>
    <border>
      <left/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/>
      <bottom style="hair">
        <color indexed="23"/>
      </bottom>
      <diagonal/>
    </border>
    <border>
      <left/>
      <right/>
      <top/>
      <bottom style="hair">
        <color indexed="23"/>
      </bottom>
      <diagonal/>
    </border>
    <border>
      <left/>
      <right style="hair">
        <color indexed="23"/>
      </right>
      <top/>
      <bottom style="hair">
        <color indexed="23"/>
      </bottom>
      <diagonal/>
    </border>
    <border>
      <left/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medium">
        <color indexed="64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 style="thin">
        <color indexed="64"/>
      </bottom>
      <diagonal/>
    </border>
    <border>
      <left/>
      <right/>
      <top style="hair">
        <color indexed="23"/>
      </top>
      <bottom style="thin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thin">
        <color indexed="64"/>
      </bottom>
      <diagonal/>
    </border>
    <border>
      <left/>
      <right style="medium">
        <color indexed="64"/>
      </right>
      <top style="hair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23"/>
      </bottom>
      <diagonal/>
    </border>
    <border>
      <left/>
      <right/>
      <top style="thin">
        <color indexed="64"/>
      </top>
      <bottom style="hair">
        <color indexed="23"/>
      </bottom>
      <diagonal/>
    </border>
    <border>
      <left/>
      <right style="medium">
        <color indexed="64"/>
      </right>
      <top style="thin">
        <color indexed="64"/>
      </top>
      <bottom style="hair">
        <color indexed="23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hair">
        <color indexed="2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/>
      <diagonal/>
    </border>
    <border>
      <left/>
      <right/>
      <top style="hair">
        <color indexed="23"/>
      </top>
      <bottom/>
      <diagonal/>
    </border>
    <border>
      <left style="medium">
        <color indexed="64"/>
      </left>
      <right/>
      <top style="hair">
        <color indexed="55"/>
      </top>
      <bottom style="hair">
        <color indexed="55"/>
      </bottom>
      <diagonal/>
    </border>
    <border>
      <left/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55"/>
      </bottom>
      <diagonal/>
    </border>
    <border>
      <left style="hair">
        <color indexed="55"/>
      </left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23"/>
      </bottom>
      <diagonal/>
    </border>
    <border>
      <left style="medium">
        <color indexed="64"/>
      </left>
      <right style="hair">
        <color indexed="23"/>
      </right>
      <top/>
      <bottom/>
      <diagonal/>
    </border>
    <border>
      <left style="hair">
        <color indexed="23"/>
      </left>
      <right/>
      <top style="hair">
        <color indexed="23"/>
      </top>
      <bottom/>
      <diagonal/>
    </border>
    <border>
      <left/>
      <right style="hair">
        <color indexed="23"/>
      </right>
      <top style="hair">
        <color indexed="23"/>
      </top>
      <bottom/>
      <diagonal/>
    </border>
    <border>
      <left/>
      <right style="medium">
        <color indexed="64"/>
      </right>
      <top style="hair">
        <color indexed="23"/>
      </top>
      <bottom/>
      <diagonal/>
    </border>
    <border>
      <left style="medium">
        <color indexed="64"/>
      </left>
      <right style="hair">
        <color indexed="23"/>
      </right>
      <top/>
      <bottom style="thin">
        <color indexed="64"/>
      </bottom>
      <diagonal/>
    </border>
    <border>
      <left/>
      <right style="hair">
        <color indexed="23"/>
      </right>
      <top style="hair">
        <color indexed="23"/>
      </top>
      <bottom style="thin">
        <color indexed="64"/>
      </bottom>
      <diagonal/>
    </border>
    <border>
      <left style="hair">
        <color indexed="23"/>
      </left>
      <right/>
      <top style="hair">
        <color indexed="55"/>
      </top>
      <bottom style="thin">
        <color indexed="64"/>
      </bottom>
      <diagonal/>
    </border>
    <border>
      <left/>
      <right style="thin">
        <color indexed="64"/>
      </right>
      <top style="hair">
        <color indexed="55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hair">
        <color indexed="23"/>
      </left>
      <right/>
      <top/>
      <bottom style="hair">
        <color indexed="23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23"/>
      </right>
      <top style="hair">
        <color indexed="64"/>
      </top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55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55"/>
      </bottom>
      <diagonal/>
    </border>
    <border>
      <left/>
      <right style="hair">
        <color indexed="23"/>
      </right>
      <top/>
      <bottom style="hair">
        <color indexed="55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55"/>
      </bottom>
      <diagonal/>
    </border>
    <border>
      <left style="medium">
        <color indexed="64"/>
      </left>
      <right style="hair">
        <color indexed="23"/>
      </right>
      <top style="medium">
        <color indexed="64"/>
      </top>
      <bottom style="hair">
        <color indexed="64"/>
      </bottom>
      <diagonal/>
    </border>
    <border>
      <left style="hair">
        <color indexed="23"/>
      </left>
      <right/>
      <top style="medium">
        <color indexed="64"/>
      </top>
      <bottom style="hair">
        <color indexed="23"/>
      </bottom>
      <diagonal/>
    </border>
    <border>
      <left/>
      <right style="hair">
        <color indexed="23"/>
      </right>
      <top style="medium">
        <color indexed="64"/>
      </top>
      <bottom style="hair">
        <color indexed="23"/>
      </bottom>
      <diagonal/>
    </border>
    <border>
      <left/>
      <right/>
      <top style="medium">
        <color indexed="64"/>
      </top>
      <bottom style="hair">
        <color indexed="23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23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23"/>
      </top>
      <bottom style="medium">
        <color indexed="64"/>
      </bottom>
      <diagonal/>
    </border>
    <border>
      <left/>
      <right style="hair">
        <color indexed="23"/>
      </right>
      <top style="hair">
        <color indexed="23"/>
      </top>
      <bottom style="medium">
        <color indexed="64"/>
      </bottom>
      <diagonal/>
    </border>
    <border>
      <left style="hair">
        <color indexed="23"/>
      </left>
      <right style="medium">
        <color indexed="64"/>
      </right>
      <top/>
      <bottom style="medium">
        <color indexed="64"/>
      </bottom>
      <diagonal/>
    </border>
    <border>
      <left/>
      <right/>
      <top style="hair">
        <color indexed="23"/>
      </top>
      <bottom style="medium">
        <color indexed="64"/>
      </bottom>
      <diagonal/>
    </border>
    <border>
      <left/>
      <right style="medium">
        <color indexed="64"/>
      </right>
      <top style="hair">
        <color indexed="23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8"/>
      </bottom>
      <diagonal/>
    </border>
    <border>
      <left/>
      <right/>
      <top style="medium">
        <color indexed="64"/>
      </top>
      <bottom style="double">
        <color indexed="8"/>
      </bottom>
      <diagonal/>
    </border>
    <border>
      <left/>
      <right style="medium">
        <color indexed="64"/>
      </right>
      <top style="medium">
        <color indexed="64"/>
      </top>
      <bottom style="double">
        <color indexed="8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/>
      <top/>
      <bottom style="thin">
        <color indexed="8"/>
      </bottom>
      <diagonal/>
    </border>
  </borders>
  <cellStyleXfs count="6">
    <xf numFmtId="0" fontId="0" fillId="0" borderId="0"/>
    <xf numFmtId="0" fontId="24" fillId="0" borderId="0"/>
    <xf numFmtId="0" fontId="1" fillId="0" borderId="0"/>
    <xf numFmtId="0" fontId="24" fillId="0" borderId="0"/>
    <xf numFmtId="0" fontId="1" fillId="0" borderId="0"/>
    <xf numFmtId="172" fontId="65" fillId="0" borderId="0"/>
  </cellStyleXfs>
  <cellXfs count="670">
    <xf numFmtId="0" fontId="0" fillId="0" borderId="0" xfId="0"/>
    <xf numFmtId="0" fontId="2" fillId="0" borderId="0" xfId="0" applyFont="1"/>
    <xf numFmtId="0" fontId="0" fillId="0" borderId="0" xfId="0" applyAlignment="1">
      <alignment horizontal="centerContinuous"/>
    </xf>
    <xf numFmtId="0" fontId="3" fillId="0" borderId="1" xfId="0" applyFont="1" applyBorder="1" applyAlignment="1">
      <alignment horizontal="center"/>
    </xf>
    <xf numFmtId="0" fontId="4" fillId="0" borderId="2" xfId="0" applyFont="1" applyBorder="1"/>
    <xf numFmtId="0" fontId="3" fillId="0" borderId="3" xfId="0" applyFont="1" applyBorder="1"/>
    <xf numFmtId="0" fontId="2" fillId="0" borderId="3" xfId="0" applyFont="1" applyBorder="1"/>
    <xf numFmtId="0" fontId="2" fillId="0" borderId="4" xfId="0" applyFont="1" applyBorder="1"/>
    <xf numFmtId="0" fontId="3" fillId="0" borderId="1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4" fillId="0" borderId="5" xfId="0" applyFont="1" applyBorder="1" applyAlignment="1">
      <alignment horizontal="center"/>
    </xf>
    <xf numFmtId="0" fontId="4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9" xfId="0" applyFont="1" applyBorder="1" applyAlignment="1">
      <alignment horizontal="center"/>
    </xf>
    <xf numFmtId="0" fontId="3" fillId="0" borderId="4" xfId="0" applyFont="1" applyBorder="1"/>
    <xf numFmtId="0" fontId="2" fillId="0" borderId="0" xfId="0" applyFont="1" applyAlignment="1">
      <alignment horizontal="centerContinuous"/>
    </xf>
    <xf numFmtId="0" fontId="2" fillId="0" borderId="7" xfId="0" applyFont="1" applyBorder="1" applyAlignment="1">
      <alignment horizontal="centerContinuous"/>
    </xf>
    <xf numFmtId="0" fontId="2" fillId="0" borderId="10" xfId="0" applyFont="1" applyBorder="1"/>
    <xf numFmtId="0" fontId="3" fillId="0" borderId="11" xfId="0" applyFont="1" applyBorder="1" applyAlignment="1">
      <alignment horizontal="right"/>
    </xf>
    <xf numFmtId="0" fontId="3" fillId="0" borderId="7" xfId="0" applyFont="1" applyBorder="1" applyAlignment="1">
      <alignment horizontal="centerContinuous"/>
    </xf>
    <xf numFmtId="0" fontId="4" fillId="0" borderId="12" xfId="0" applyFont="1" applyBorder="1"/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2" xfId="0" applyFont="1" applyBorder="1" applyAlignment="1">
      <alignment horizontal="right"/>
    </xf>
    <xf numFmtId="0" fontId="2" fillId="0" borderId="14" xfId="0" applyFont="1" applyBorder="1"/>
    <xf numFmtId="0" fontId="4" fillId="0" borderId="15" xfId="0" applyFont="1" applyBorder="1"/>
    <xf numFmtId="0" fontId="2" fillId="0" borderId="14" xfId="0" applyFont="1" applyBorder="1" applyAlignment="1">
      <alignment horizontal="centerContinuous"/>
    </xf>
    <xf numFmtId="0" fontId="2" fillId="0" borderId="16" xfId="0" applyFont="1" applyBorder="1" applyAlignment="1">
      <alignment horizontal="centerContinuous"/>
    </xf>
    <xf numFmtId="0" fontId="3" fillId="0" borderId="9" xfId="0" applyFont="1" applyBorder="1" applyAlignment="1">
      <alignment horizontal="centerContinuous"/>
    </xf>
    <xf numFmtId="0" fontId="5" fillId="0" borderId="0" xfId="0" applyFont="1"/>
    <xf numFmtId="0" fontId="6" fillId="0" borderId="0" xfId="0" applyFont="1" applyAlignment="1">
      <alignment horizontal="centerContinuous"/>
    </xf>
    <xf numFmtId="0" fontId="2" fillId="0" borderId="17" xfId="0" applyFont="1" applyBorder="1" applyAlignment="1">
      <alignment horizontal="right"/>
    </xf>
    <xf numFmtId="0" fontId="3" fillId="0" borderId="18" xfId="0" applyFont="1" applyBorder="1" applyAlignment="1">
      <alignment horizontal="right"/>
    </xf>
    <xf numFmtId="0" fontId="3" fillId="0" borderId="19" xfId="0" applyFont="1" applyBorder="1" applyAlignment="1">
      <alignment horizontal="right"/>
    </xf>
    <xf numFmtId="0" fontId="3" fillId="0" borderId="20" xfId="0" applyFont="1" applyBorder="1" applyAlignment="1">
      <alignment horizontal="right"/>
    </xf>
    <xf numFmtId="0" fontId="2" fillId="0" borderId="21" xfId="0" applyFont="1" applyBorder="1"/>
    <xf numFmtId="0" fontId="3" fillId="0" borderId="22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2" fillId="0" borderId="13" xfId="0" applyFont="1" applyBorder="1"/>
    <xf numFmtId="0" fontId="4" fillId="0" borderId="0" xfId="0" applyFont="1"/>
    <xf numFmtId="0" fontId="7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0" borderId="21" xfId="0" applyFont="1" applyBorder="1"/>
    <xf numFmtId="0" fontId="5" fillId="0" borderId="23" xfId="0" applyFont="1" applyBorder="1"/>
    <xf numFmtId="0" fontId="5" fillId="0" borderId="24" xfId="0" applyFont="1" applyBorder="1"/>
    <xf numFmtId="0" fontId="3" fillId="0" borderId="0" xfId="0" applyFont="1" applyAlignment="1">
      <alignment horizontal="right"/>
    </xf>
    <xf numFmtId="0" fontId="2" fillId="0" borderId="2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9" xfId="0" applyFont="1" applyBorder="1" applyAlignment="1">
      <alignment horizontal="centerContinuous"/>
    </xf>
    <xf numFmtId="0" fontId="2" fillId="0" borderId="31" xfId="0" applyFont="1" applyBorder="1" applyAlignment="1">
      <alignment horizontal="right"/>
    </xf>
    <xf numFmtId="0" fontId="3" fillId="0" borderId="26" xfId="0" applyFont="1" applyBorder="1" applyAlignment="1">
      <alignment horizontal="right"/>
    </xf>
    <xf numFmtId="0" fontId="3" fillId="0" borderId="30" xfId="0" applyFont="1" applyBorder="1" applyAlignment="1">
      <alignment horizontal="right"/>
    </xf>
    <xf numFmtId="0" fontId="3" fillId="0" borderId="28" xfId="0" applyFont="1" applyBorder="1" applyAlignment="1">
      <alignment horizontal="right"/>
    </xf>
    <xf numFmtId="165" fontId="2" fillId="0" borderId="1" xfId="0" applyNumberFormat="1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7" fontId="2" fillId="0" borderId="1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166" fontId="2" fillId="0" borderId="9" xfId="0" applyNumberFormat="1" applyFont="1" applyBorder="1" applyAlignment="1">
      <alignment horizontal="center"/>
    </xf>
    <xf numFmtId="2" fontId="2" fillId="0" borderId="9" xfId="0" applyNumberFormat="1" applyFont="1" applyBorder="1" applyAlignment="1">
      <alignment horizontal="center"/>
    </xf>
    <xf numFmtId="167" fontId="2" fillId="0" borderId="9" xfId="0" applyNumberFormat="1" applyFont="1" applyBorder="1" applyAlignment="1">
      <alignment horizontal="center"/>
    </xf>
    <xf numFmtId="2" fontId="2" fillId="0" borderId="16" xfId="0" applyNumberFormat="1" applyFont="1" applyBorder="1" applyAlignment="1">
      <alignment horizontal="center"/>
    </xf>
    <xf numFmtId="2" fontId="2" fillId="0" borderId="32" xfId="0" applyNumberFormat="1" applyFont="1" applyBorder="1" applyAlignment="1">
      <alignment horizontal="center"/>
    </xf>
    <xf numFmtId="166" fontId="2" fillId="0" borderId="25" xfId="0" applyNumberFormat="1" applyFont="1" applyBorder="1" applyAlignment="1">
      <alignment horizontal="center"/>
    </xf>
    <xf numFmtId="167" fontId="2" fillId="0" borderId="25" xfId="0" applyNumberFormat="1" applyFont="1" applyBorder="1" applyAlignment="1">
      <alignment horizontal="center"/>
    </xf>
    <xf numFmtId="166" fontId="2" fillId="0" borderId="11" xfId="0" applyNumberFormat="1" applyFont="1" applyBorder="1" applyAlignment="1">
      <alignment horizontal="center"/>
    </xf>
    <xf numFmtId="2" fontId="2" fillId="0" borderId="11" xfId="0" applyNumberFormat="1" applyFont="1" applyBorder="1" applyAlignment="1">
      <alignment horizontal="center"/>
    </xf>
    <xf numFmtId="166" fontId="2" fillId="0" borderId="33" xfId="0" applyNumberFormat="1" applyFont="1" applyBorder="1" applyAlignment="1">
      <alignment horizontal="center"/>
    </xf>
    <xf numFmtId="2" fontId="2" fillId="0" borderId="33" xfId="0" applyNumberFormat="1" applyFont="1" applyBorder="1" applyAlignment="1">
      <alignment horizontal="center"/>
    </xf>
    <xf numFmtId="167" fontId="2" fillId="0" borderId="33" xfId="0" applyNumberFormat="1" applyFont="1" applyBorder="1" applyAlignment="1">
      <alignment horizontal="center"/>
    </xf>
    <xf numFmtId="167" fontId="2" fillId="0" borderId="34" xfId="0" applyNumberFormat="1" applyFont="1" applyBorder="1" applyAlignment="1">
      <alignment horizontal="center"/>
    </xf>
    <xf numFmtId="167" fontId="2" fillId="0" borderId="10" xfId="0" applyNumberFormat="1" applyFont="1" applyBorder="1" applyAlignment="1">
      <alignment horizontal="center"/>
    </xf>
    <xf numFmtId="167" fontId="2" fillId="0" borderId="30" xfId="0" applyNumberFormat="1" applyFont="1" applyBorder="1" applyAlignment="1">
      <alignment horizontal="center"/>
    </xf>
    <xf numFmtId="167" fontId="2" fillId="0" borderId="35" xfId="0" applyNumberFormat="1" applyFont="1" applyBorder="1" applyAlignment="1">
      <alignment horizontal="center"/>
    </xf>
    <xf numFmtId="167" fontId="2" fillId="0" borderId="36" xfId="0" applyNumberFormat="1" applyFont="1" applyBorder="1" applyAlignment="1">
      <alignment horizontal="center"/>
    </xf>
    <xf numFmtId="167" fontId="2" fillId="0" borderId="37" xfId="0" applyNumberFormat="1" applyFont="1" applyBorder="1" applyAlignment="1">
      <alignment horizontal="center"/>
    </xf>
    <xf numFmtId="166" fontId="2" fillId="0" borderId="26" xfId="0" applyNumberFormat="1" applyFont="1" applyBorder="1" applyAlignment="1">
      <alignment horizontal="center"/>
    </xf>
    <xf numFmtId="167" fontId="2" fillId="0" borderId="38" xfId="0" applyNumberFormat="1" applyFont="1" applyBorder="1" applyAlignment="1">
      <alignment horizontal="center"/>
    </xf>
    <xf numFmtId="167" fontId="2" fillId="0" borderId="39" xfId="0" applyNumberFormat="1" applyFont="1" applyBorder="1" applyAlignment="1">
      <alignment horizontal="center"/>
    </xf>
    <xf numFmtId="167" fontId="2" fillId="0" borderId="26" xfId="0" applyNumberFormat="1" applyFont="1" applyBorder="1" applyAlignment="1">
      <alignment horizontal="center"/>
    </xf>
    <xf numFmtId="1" fontId="2" fillId="0" borderId="28" xfId="0" applyNumberFormat="1" applyFont="1" applyBorder="1" applyAlignment="1">
      <alignment horizontal="center"/>
    </xf>
    <xf numFmtId="2" fontId="2" fillId="0" borderId="21" xfId="0" applyNumberFormat="1" applyFont="1" applyBorder="1" applyAlignment="1">
      <alignment horizontal="center"/>
    </xf>
    <xf numFmtId="0" fontId="3" fillId="0" borderId="0" xfId="0" applyFont="1"/>
    <xf numFmtId="2" fontId="2" fillId="0" borderId="27" xfId="0" applyNumberFormat="1" applyFont="1" applyBorder="1" applyAlignment="1">
      <alignment horizontal="center"/>
    </xf>
    <xf numFmtId="2" fontId="9" fillId="0" borderId="40" xfId="0" applyNumberFormat="1" applyFont="1" applyBorder="1" applyAlignment="1">
      <alignment horizontal="centerContinuous"/>
    </xf>
    <xf numFmtId="0" fontId="9" fillId="0" borderId="40" xfId="0" applyFont="1" applyBorder="1" applyAlignment="1">
      <alignment horizontal="center"/>
    </xf>
    <xf numFmtId="0" fontId="9" fillId="0" borderId="29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167" fontId="2" fillId="0" borderId="42" xfId="0" applyNumberFormat="1" applyFont="1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3" fillId="0" borderId="17" xfId="0" applyFont="1" applyBorder="1" applyAlignment="1">
      <alignment horizontal="centerContinuous"/>
    </xf>
    <xf numFmtId="0" fontId="4" fillId="0" borderId="12" xfId="0" applyFont="1" applyBorder="1" applyAlignment="1">
      <alignment horizontal="left"/>
    </xf>
    <xf numFmtId="0" fontId="3" fillId="0" borderId="45" xfId="0" applyFont="1" applyBorder="1"/>
    <xf numFmtId="0" fontId="2" fillId="0" borderId="16" xfId="0" applyFont="1" applyBorder="1" applyAlignment="1">
      <alignment horizontal="center"/>
    </xf>
    <xf numFmtId="0" fontId="3" fillId="0" borderId="0" xfId="0" applyFont="1" applyAlignment="1">
      <alignment horizontal="center"/>
    </xf>
    <xf numFmtId="2" fontId="2" fillId="0" borderId="25" xfId="0" applyNumberFormat="1" applyFont="1" applyBorder="1" applyAlignment="1">
      <alignment horizontal="center"/>
    </xf>
    <xf numFmtId="0" fontId="2" fillId="0" borderId="29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30" xfId="0" applyFont="1" applyBorder="1" applyAlignment="1">
      <alignment horizontal="left"/>
    </xf>
    <xf numFmtId="0" fontId="2" fillId="0" borderId="28" xfId="0" applyFont="1" applyBorder="1" applyAlignment="1">
      <alignment horizontal="left"/>
    </xf>
    <xf numFmtId="0" fontId="5" fillId="0" borderId="12" xfId="0" applyFont="1" applyBorder="1"/>
    <xf numFmtId="0" fontId="5" fillId="0" borderId="13" xfId="0" applyFont="1" applyBorder="1"/>
    <xf numFmtId="0" fontId="5" fillId="0" borderId="14" xfId="0" applyFont="1" applyBorder="1"/>
    <xf numFmtId="0" fontId="5" fillId="0" borderId="45" xfId="0" applyFont="1" applyBorder="1"/>
    <xf numFmtId="0" fontId="5" fillId="0" borderId="46" xfId="0" applyFont="1" applyBorder="1"/>
    <xf numFmtId="0" fontId="2" fillId="0" borderId="1" xfId="0" applyFont="1" applyBorder="1" applyAlignment="1">
      <alignment horizontal="left"/>
    </xf>
    <xf numFmtId="0" fontId="3" fillId="0" borderId="0" xfId="0" applyFont="1" applyAlignment="1">
      <alignment horizontal="centerContinuous"/>
    </xf>
    <xf numFmtId="2" fontId="3" fillId="0" borderId="20" xfId="0" quotePrefix="1" applyNumberFormat="1" applyFont="1" applyBorder="1" applyAlignment="1">
      <alignment horizontal="center"/>
    </xf>
    <xf numFmtId="2" fontId="3" fillId="0" borderId="47" xfId="0" quotePrefix="1" applyNumberFormat="1" applyFont="1" applyBorder="1" applyAlignment="1">
      <alignment horizontal="center"/>
    </xf>
    <xf numFmtId="2" fontId="3" fillId="0" borderId="30" xfId="0" quotePrefix="1" applyNumberFormat="1" applyFont="1" applyBorder="1" applyAlignment="1">
      <alignment horizontal="center"/>
    </xf>
    <xf numFmtId="2" fontId="3" fillId="0" borderId="30" xfId="0" applyNumberFormat="1" applyFont="1" applyBorder="1" applyAlignment="1">
      <alignment horizontal="center"/>
    </xf>
    <xf numFmtId="166" fontId="3" fillId="0" borderId="20" xfId="0" quotePrefix="1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1" fillId="0" borderId="7" xfId="0" applyFont="1" applyBorder="1" applyAlignment="1">
      <alignment horizontal="centerContinuous"/>
    </xf>
    <xf numFmtId="0" fontId="11" fillId="0" borderId="8" xfId="0" applyFont="1" applyBorder="1" applyAlignment="1">
      <alignment horizontal="centerContinuous"/>
    </xf>
    <xf numFmtId="2" fontId="2" fillId="0" borderId="48" xfId="0" applyNumberFormat="1" applyFont="1" applyBorder="1" applyAlignment="1">
      <alignment horizontal="center"/>
    </xf>
    <xf numFmtId="2" fontId="2" fillId="0" borderId="24" xfId="0" applyNumberFormat="1" applyFont="1" applyBorder="1" applyAlignment="1">
      <alignment horizontal="center"/>
    </xf>
    <xf numFmtId="0" fontId="2" fillId="0" borderId="7" xfId="0" applyFont="1" applyBorder="1" applyAlignment="1">
      <alignment horizontal="right"/>
    </xf>
    <xf numFmtId="0" fontId="3" fillId="0" borderId="49" xfId="0" applyFont="1" applyBorder="1" applyAlignment="1">
      <alignment horizontal="right"/>
    </xf>
    <xf numFmtId="167" fontId="14" fillId="0" borderId="1" xfId="0" applyNumberFormat="1" applyFont="1" applyBorder="1" applyAlignment="1">
      <alignment horizontal="center"/>
    </xf>
    <xf numFmtId="167" fontId="2" fillId="0" borderId="7" xfId="0" applyNumberFormat="1" applyFont="1" applyBorder="1" applyAlignment="1">
      <alignment horizontal="center"/>
    </xf>
    <xf numFmtId="167" fontId="2" fillId="0" borderId="8" xfId="0" applyNumberFormat="1" applyFont="1" applyBorder="1" applyAlignment="1">
      <alignment horizontal="center"/>
    </xf>
    <xf numFmtId="1" fontId="2" fillId="0" borderId="25" xfId="0" applyNumberFormat="1" applyFont="1" applyBorder="1" applyAlignment="1">
      <alignment horizontal="center"/>
    </xf>
    <xf numFmtId="0" fontId="2" fillId="0" borderId="50" xfId="0" applyFont="1" applyBorder="1"/>
    <xf numFmtId="0" fontId="1" fillId="0" borderId="45" xfId="0" applyFont="1" applyBorder="1"/>
    <xf numFmtId="0" fontId="1" fillId="0" borderId="3" xfId="0" applyFont="1" applyBorder="1"/>
    <xf numFmtId="0" fontId="1" fillId="0" borderId="13" xfId="0" applyFont="1" applyBorder="1"/>
    <xf numFmtId="49" fontId="2" fillId="0" borderId="7" xfId="0" applyNumberFormat="1" applyFont="1" applyBorder="1" applyAlignment="1">
      <alignment horizontal="center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left"/>
    </xf>
    <xf numFmtId="167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6" fillId="0" borderId="0" xfId="0" applyFont="1"/>
    <xf numFmtId="165" fontId="0" fillId="0" borderId="0" xfId="0" applyNumberFormat="1"/>
    <xf numFmtId="167" fontId="0" fillId="0" borderId="0" xfId="0" applyNumberFormat="1"/>
    <xf numFmtId="168" fontId="2" fillId="2" borderId="1" xfId="0" applyNumberFormat="1" applyFont="1" applyFill="1" applyBorder="1" applyAlignment="1">
      <alignment horizontal="center"/>
    </xf>
    <xf numFmtId="0" fontId="2" fillId="3" borderId="0" xfId="0" applyFont="1" applyFill="1"/>
    <xf numFmtId="0" fontId="17" fillId="4" borderId="0" xfId="0" applyFont="1" applyFill="1"/>
    <xf numFmtId="0" fontId="5" fillId="4" borderId="0" xfId="0" applyFont="1" applyFill="1"/>
    <xf numFmtId="0" fontId="4" fillId="0" borderId="41" xfId="0" applyFont="1" applyBorder="1" applyAlignment="1">
      <alignment horizontal="center"/>
    </xf>
    <xf numFmtId="1" fontId="2" fillId="0" borderId="44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Continuous"/>
    </xf>
    <xf numFmtId="0" fontId="12" fillId="0" borderId="47" xfId="0" applyFont="1" applyBorder="1" applyAlignment="1">
      <alignment horizontal="right"/>
    </xf>
    <xf numFmtId="0" fontId="3" fillId="0" borderId="1" xfId="0" applyFont="1" applyBorder="1"/>
    <xf numFmtId="0" fontId="3" fillId="0" borderId="11" xfId="0" applyFont="1" applyBorder="1"/>
    <xf numFmtId="1" fontId="0" fillId="0" borderId="0" xfId="0" applyNumberFormat="1" applyAlignment="1">
      <alignment horizontal="left"/>
    </xf>
    <xf numFmtId="165" fontId="2" fillId="0" borderId="0" xfId="0" applyNumberFormat="1" applyFont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167" fontId="1" fillId="0" borderId="9" xfId="0" applyNumberFormat="1" applyFont="1" applyBorder="1" applyAlignment="1">
      <alignment horizontal="center"/>
    </xf>
    <xf numFmtId="166" fontId="1" fillId="0" borderId="11" xfId="0" applyNumberFormat="1" applyFont="1" applyBorder="1" applyAlignment="1">
      <alignment horizontal="center"/>
    </xf>
    <xf numFmtId="2" fontId="1" fillId="0" borderId="11" xfId="0" applyNumberFormat="1" applyFont="1" applyBorder="1" applyAlignment="1">
      <alignment horizontal="center"/>
    </xf>
    <xf numFmtId="167" fontId="1" fillId="0" borderId="33" xfId="0" applyNumberFormat="1" applyFont="1" applyBorder="1" applyAlignment="1">
      <alignment horizontal="center"/>
    </xf>
    <xf numFmtId="0" fontId="1" fillId="0" borderId="0" xfId="0" applyFont="1"/>
    <xf numFmtId="167" fontId="1" fillId="0" borderId="0" xfId="0" applyNumberFormat="1" applyFont="1"/>
    <xf numFmtId="167" fontId="1" fillId="0" borderId="1" xfId="0" applyNumberFormat="1" applyFont="1" applyBorder="1" applyAlignment="1">
      <alignment horizontal="center"/>
    </xf>
    <xf numFmtId="14" fontId="3" fillId="0" borderId="0" xfId="0" applyNumberFormat="1" applyFont="1" applyAlignment="1">
      <alignment horizontal="center"/>
    </xf>
    <xf numFmtId="19" fontId="3" fillId="0" borderId="0" xfId="0" applyNumberFormat="1" applyFont="1"/>
    <xf numFmtId="2" fontId="22" fillId="0" borderId="1" xfId="0" applyNumberFormat="1" applyFont="1" applyBorder="1" applyAlignment="1">
      <alignment horizontal="center"/>
    </xf>
    <xf numFmtId="2" fontId="22" fillId="0" borderId="9" xfId="0" applyNumberFormat="1" applyFont="1" applyBorder="1" applyAlignment="1">
      <alignment horizontal="center"/>
    </xf>
    <xf numFmtId="166" fontId="22" fillId="0" borderId="1" xfId="0" applyNumberFormat="1" applyFont="1" applyBorder="1" applyAlignment="1">
      <alignment horizontal="center"/>
    </xf>
    <xf numFmtId="166" fontId="22" fillId="0" borderId="9" xfId="0" applyNumberFormat="1" applyFont="1" applyBorder="1" applyAlignment="1">
      <alignment horizontal="center"/>
    </xf>
    <xf numFmtId="165" fontId="22" fillId="0" borderId="1" xfId="0" applyNumberFormat="1" applyFont="1" applyBorder="1" applyAlignment="1">
      <alignment horizontal="center"/>
    </xf>
    <xf numFmtId="165" fontId="22" fillId="0" borderId="9" xfId="0" applyNumberFormat="1" applyFont="1" applyBorder="1" applyAlignment="1">
      <alignment horizontal="center"/>
    </xf>
    <xf numFmtId="167" fontId="22" fillId="0" borderId="1" xfId="0" applyNumberFormat="1" applyFont="1" applyBorder="1" applyAlignment="1">
      <alignment horizontal="center"/>
    </xf>
    <xf numFmtId="167" fontId="22" fillId="0" borderId="9" xfId="0" applyNumberFormat="1" applyFont="1" applyBorder="1" applyAlignment="1">
      <alignment horizontal="center"/>
    </xf>
    <xf numFmtId="166" fontId="22" fillId="0" borderId="11" xfId="0" applyNumberFormat="1" applyFont="1" applyBorder="1" applyAlignment="1">
      <alignment horizontal="center"/>
    </xf>
    <xf numFmtId="166" fontId="23" fillId="0" borderId="31" xfId="0" applyNumberFormat="1" applyFont="1" applyBorder="1" applyAlignment="1">
      <alignment horizontal="center"/>
    </xf>
    <xf numFmtId="166" fontId="23" fillId="0" borderId="51" xfId="0" applyNumberFormat="1" applyFont="1" applyBorder="1" applyAlignment="1">
      <alignment horizontal="center"/>
    </xf>
    <xf numFmtId="166" fontId="23" fillId="0" borderId="32" xfId="0" applyNumberFormat="1" applyFont="1" applyBorder="1" applyAlignment="1">
      <alignment horizontal="center"/>
    </xf>
    <xf numFmtId="0" fontId="26" fillId="0" borderId="0" xfId="1" applyFont="1"/>
    <xf numFmtId="0" fontId="27" fillId="0" borderId="0" xfId="1" applyFont="1"/>
    <xf numFmtId="0" fontId="29" fillId="5" borderId="0" xfId="1" applyFont="1" applyFill="1" applyAlignment="1">
      <alignment horizontal="right"/>
    </xf>
    <xf numFmtId="0" fontId="30" fillId="5" borderId="0" xfId="1" applyFont="1" applyFill="1"/>
    <xf numFmtId="0" fontId="31" fillId="5" borderId="0" xfId="1" applyFont="1" applyFill="1"/>
    <xf numFmtId="0" fontId="28" fillId="5" borderId="0" xfId="1" applyFont="1" applyFill="1" applyAlignment="1">
      <alignment horizontal="center"/>
    </xf>
    <xf numFmtId="0" fontId="32" fillId="0" borderId="52" xfId="1" applyFont="1" applyBorder="1" applyAlignment="1">
      <alignment horizontal="left" vertical="center"/>
    </xf>
    <xf numFmtId="0" fontId="32" fillId="0" borderId="53" xfId="1" applyFont="1" applyBorder="1" applyAlignment="1">
      <alignment vertical="center"/>
    </xf>
    <xf numFmtId="0" fontId="24" fillId="0" borderId="53" xfId="1" applyBorder="1"/>
    <xf numFmtId="0" fontId="32" fillId="0" borderId="54" xfId="1" applyFont="1" applyBorder="1" applyAlignment="1">
      <alignment horizontal="right" vertical="center"/>
    </xf>
    <xf numFmtId="0" fontId="19" fillId="0" borderId="0" xfId="1" applyFont="1"/>
    <xf numFmtId="0" fontId="33" fillId="0" borderId="52" xfId="1" applyFont="1" applyBorder="1"/>
    <xf numFmtId="0" fontId="19" fillId="0" borderId="54" xfId="1" applyFont="1" applyBorder="1"/>
    <xf numFmtId="0" fontId="33" fillId="0" borderId="54" xfId="1" applyFont="1" applyBorder="1"/>
    <xf numFmtId="0" fontId="34" fillId="0" borderId="0" xfId="1" applyFont="1"/>
    <xf numFmtId="0" fontId="35" fillId="5" borderId="13" xfId="1" applyFont="1" applyFill="1" applyBorder="1" applyAlignment="1">
      <alignment horizontal="center"/>
    </xf>
    <xf numFmtId="0" fontId="35" fillId="5" borderId="55" xfId="1" applyFont="1" applyFill="1" applyBorder="1" applyAlignment="1">
      <alignment horizontal="center"/>
    </xf>
    <xf numFmtId="0" fontId="35" fillId="5" borderId="0" xfId="1" quotePrefix="1" applyFont="1" applyFill="1" applyAlignment="1">
      <alignment horizontal="left"/>
    </xf>
    <xf numFmtId="0" fontId="18" fillId="5" borderId="56" xfId="1" applyFont="1" applyFill="1" applyBorder="1" applyAlignment="1">
      <alignment horizontal="right"/>
    </xf>
    <xf numFmtId="0" fontId="35" fillId="5" borderId="57" xfId="1" applyFont="1" applyFill="1" applyBorder="1" applyAlignment="1">
      <alignment horizontal="center"/>
    </xf>
    <xf numFmtId="0" fontId="35" fillId="5" borderId="21" xfId="1" applyFont="1" applyFill="1" applyBorder="1" applyAlignment="1">
      <alignment horizontal="center"/>
    </xf>
    <xf numFmtId="0" fontId="33" fillId="0" borderId="45" xfId="1" applyFont="1" applyBorder="1"/>
    <xf numFmtId="0" fontId="19" fillId="0" borderId="21" xfId="1" applyFont="1" applyBorder="1"/>
    <xf numFmtId="0" fontId="33" fillId="0" borderId="21" xfId="1" applyFont="1" applyBorder="1"/>
    <xf numFmtId="0" fontId="36" fillId="5" borderId="67" xfId="1" applyFont="1" applyFill="1" applyBorder="1"/>
    <xf numFmtId="0" fontId="36" fillId="5" borderId="68" xfId="1" applyFont="1" applyFill="1" applyBorder="1"/>
    <xf numFmtId="0" fontId="39" fillId="5" borderId="68" xfId="1" applyFont="1" applyFill="1" applyBorder="1"/>
    <xf numFmtId="0" fontId="39" fillId="5" borderId="69" xfId="1" applyFont="1" applyFill="1" applyBorder="1"/>
    <xf numFmtId="167" fontId="38" fillId="5" borderId="64" xfId="1" applyNumberFormat="1" applyFont="1" applyFill="1" applyBorder="1" applyAlignment="1">
      <alignment horizontal="center"/>
    </xf>
    <xf numFmtId="0" fontId="38" fillId="5" borderId="70" xfId="1" applyFont="1" applyFill="1" applyBorder="1" applyAlignment="1">
      <alignment horizontal="center"/>
    </xf>
    <xf numFmtId="0" fontId="36" fillId="5" borderId="71" xfId="1" applyFont="1" applyFill="1" applyBorder="1"/>
    <xf numFmtId="0" fontId="36" fillId="5" borderId="72" xfId="1" applyFont="1" applyFill="1" applyBorder="1"/>
    <xf numFmtId="0" fontId="39" fillId="5" borderId="72" xfId="1" applyFont="1" applyFill="1" applyBorder="1"/>
    <xf numFmtId="0" fontId="39" fillId="5" borderId="73" xfId="1" applyFont="1" applyFill="1" applyBorder="1"/>
    <xf numFmtId="1" fontId="38" fillId="5" borderId="64" xfId="1" applyNumberFormat="1" applyFont="1" applyFill="1" applyBorder="1" applyAlignment="1">
      <alignment horizontal="center"/>
    </xf>
    <xf numFmtId="0" fontId="38" fillId="5" borderId="74" xfId="1" applyFont="1" applyFill="1" applyBorder="1" applyAlignment="1">
      <alignment horizontal="center"/>
    </xf>
    <xf numFmtId="0" fontId="40" fillId="5" borderId="68" xfId="1" applyFont="1" applyFill="1" applyBorder="1"/>
    <xf numFmtId="0" fontId="41" fillId="5" borderId="69" xfId="1" applyFont="1" applyFill="1" applyBorder="1" applyAlignment="1">
      <alignment horizontal="left"/>
    </xf>
    <xf numFmtId="0" fontId="38" fillId="5" borderId="64" xfId="1" applyFont="1" applyFill="1" applyBorder="1" applyAlignment="1">
      <alignment horizontal="center"/>
    </xf>
    <xf numFmtId="0" fontId="33" fillId="0" borderId="46" xfId="1" applyFont="1" applyBorder="1"/>
    <xf numFmtId="0" fontId="33" fillId="0" borderId="24" xfId="1" applyFont="1" applyBorder="1"/>
    <xf numFmtId="0" fontId="36" fillId="5" borderId="76" xfId="1" applyFont="1" applyFill="1" applyBorder="1"/>
    <xf numFmtId="0" fontId="36" fillId="5" borderId="77" xfId="1" applyFont="1" applyFill="1" applyBorder="1"/>
    <xf numFmtId="0" fontId="40" fillId="5" borderId="77" xfId="1" applyFont="1" applyFill="1" applyBorder="1"/>
    <xf numFmtId="0" fontId="38" fillId="5" borderId="78" xfId="1" applyFont="1" applyFill="1" applyBorder="1" applyAlignment="1">
      <alignment horizontal="center"/>
    </xf>
    <xf numFmtId="0" fontId="38" fillId="5" borderId="79" xfId="1" applyFont="1" applyFill="1" applyBorder="1" applyAlignment="1">
      <alignment horizontal="center"/>
    </xf>
    <xf numFmtId="0" fontId="36" fillId="5" borderId="63" xfId="1" quotePrefix="1" applyFont="1" applyFill="1" applyBorder="1" applyAlignment="1">
      <alignment horizontal="left"/>
    </xf>
    <xf numFmtId="0" fontId="34" fillId="0" borderId="69" xfId="1" applyFont="1" applyBorder="1"/>
    <xf numFmtId="0" fontId="19" fillId="0" borderId="24" xfId="1" applyFont="1" applyBorder="1"/>
    <xf numFmtId="0" fontId="36" fillId="5" borderId="83" xfId="1" quotePrefix="1" applyFont="1" applyFill="1" applyBorder="1" applyAlignment="1">
      <alignment horizontal="left"/>
    </xf>
    <xf numFmtId="0" fontId="36" fillId="5" borderId="59" xfId="1" applyFont="1" applyFill="1" applyBorder="1"/>
    <xf numFmtId="0" fontId="39" fillId="5" borderId="59" xfId="1" applyFont="1" applyFill="1" applyBorder="1"/>
    <xf numFmtId="0" fontId="20" fillId="5" borderId="59" xfId="1" applyFont="1" applyFill="1" applyBorder="1" applyAlignment="1">
      <alignment horizontal="right"/>
    </xf>
    <xf numFmtId="49" fontId="38" fillId="5" borderId="59" xfId="1" applyNumberFormat="1" applyFont="1" applyFill="1" applyBorder="1" applyAlignment="1">
      <alignment horizontal="center"/>
    </xf>
    <xf numFmtId="0" fontId="38" fillId="5" borderId="84" xfId="1" applyFont="1" applyFill="1" applyBorder="1" applyAlignment="1">
      <alignment horizontal="center"/>
    </xf>
    <xf numFmtId="0" fontId="36" fillId="5" borderId="64" xfId="1" applyFont="1" applyFill="1" applyBorder="1"/>
    <xf numFmtId="0" fontId="39" fillId="5" borderId="64" xfId="1" applyFont="1" applyFill="1" applyBorder="1"/>
    <xf numFmtId="0" fontId="36" fillId="5" borderId="85" xfId="1" quotePrefix="1" applyFont="1" applyFill="1" applyBorder="1" applyAlignment="1">
      <alignment horizontal="left"/>
    </xf>
    <xf numFmtId="0" fontId="36" fillId="5" borderId="78" xfId="1" applyFont="1" applyFill="1" applyBorder="1"/>
    <xf numFmtId="0" fontId="39" fillId="5" borderId="78" xfId="1" applyFont="1" applyFill="1" applyBorder="1"/>
    <xf numFmtId="0" fontId="36" fillId="5" borderId="63" xfId="1" applyFont="1" applyFill="1" applyBorder="1" applyAlignment="1">
      <alignment horizontal="left"/>
    </xf>
    <xf numFmtId="0" fontId="19" fillId="5" borderId="86" xfId="1" applyFont="1" applyFill="1" applyBorder="1"/>
    <xf numFmtId="0" fontId="19" fillId="5" borderId="69" xfId="1" applyFont="1" applyFill="1" applyBorder="1"/>
    <xf numFmtId="0" fontId="36" fillId="5" borderId="63" xfId="1" applyFont="1" applyFill="1" applyBorder="1"/>
    <xf numFmtId="0" fontId="19" fillId="5" borderId="68" xfId="1" applyFont="1" applyFill="1" applyBorder="1"/>
    <xf numFmtId="0" fontId="36" fillId="5" borderId="86" xfId="1" applyFont="1" applyFill="1" applyBorder="1"/>
    <xf numFmtId="0" fontId="20" fillId="5" borderId="69" xfId="1" applyFont="1" applyFill="1" applyBorder="1" applyAlignment="1">
      <alignment horizontal="right"/>
    </xf>
    <xf numFmtId="0" fontId="36" fillId="5" borderId="58" xfId="1" quotePrefix="1" applyFont="1" applyFill="1" applyBorder="1" applyAlignment="1">
      <alignment horizontal="left"/>
    </xf>
    <xf numFmtId="0" fontId="34" fillId="0" borderId="93" xfId="1" applyFont="1" applyBorder="1"/>
    <xf numFmtId="0" fontId="36" fillId="5" borderId="86" xfId="1" quotePrefix="1" applyFont="1" applyFill="1" applyBorder="1" applyAlignment="1">
      <alignment horizontal="left"/>
    </xf>
    <xf numFmtId="0" fontId="19" fillId="5" borderId="64" xfId="1" applyFont="1" applyFill="1" applyBorder="1"/>
    <xf numFmtId="0" fontId="36" fillId="5" borderId="94" xfId="1" applyFont="1" applyFill="1" applyBorder="1" applyAlignment="1">
      <alignment horizontal="left"/>
    </xf>
    <xf numFmtId="0" fontId="36" fillId="5" borderId="68" xfId="1" quotePrefix="1" applyFont="1" applyFill="1" applyBorder="1" applyAlignment="1">
      <alignment horizontal="center"/>
    </xf>
    <xf numFmtId="0" fontId="19" fillId="5" borderId="69" xfId="1" quotePrefix="1" applyFont="1" applyFill="1" applyBorder="1" applyAlignment="1">
      <alignment horizontal="center"/>
    </xf>
    <xf numFmtId="0" fontId="36" fillId="5" borderId="95" xfId="1" applyFont="1" applyFill="1" applyBorder="1"/>
    <xf numFmtId="0" fontId="34" fillId="0" borderId="96" xfId="1" applyFont="1" applyBorder="1"/>
    <xf numFmtId="0" fontId="38" fillId="0" borderId="97" xfId="1" applyFont="1" applyBorder="1" applyAlignment="1">
      <alignment horizontal="center"/>
    </xf>
    <xf numFmtId="0" fontId="36" fillId="5" borderId="98" xfId="1" applyFont="1" applyFill="1" applyBorder="1" applyAlignment="1">
      <alignment horizontal="center"/>
    </xf>
    <xf numFmtId="0" fontId="36" fillId="5" borderId="77" xfId="1" quotePrefix="1" applyFont="1" applyFill="1" applyBorder="1" applyAlignment="1">
      <alignment horizontal="center"/>
    </xf>
    <xf numFmtId="0" fontId="19" fillId="5" borderId="99" xfId="1" quotePrefix="1" applyFont="1" applyFill="1" applyBorder="1" applyAlignment="1">
      <alignment horizontal="center"/>
    </xf>
    <xf numFmtId="0" fontId="38" fillId="0" borderId="69" xfId="1" applyFont="1" applyBorder="1" applyAlignment="1">
      <alignment horizontal="center"/>
    </xf>
    <xf numFmtId="0" fontId="38" fillId="0" borderId="74" xfId="1" applyFont="1" applyBorder="1" applyAlignment="1">
      <alignment horizontal="center"/>
    </xf>
    <xf numFmtId="0" fontId="38" fillId="0" borderId="46" xfId="1" applyFont="1" applyBorder="1"/>
    <xf numFmtId="0" fontId="43" fillId="0" borderId="24" xfId="1" applyFont="1" applyBorder="1"/>
    <xf numFmtId="0" fontId="29" fillId="0" borderId="102" xfId="1" applyFont="1" applyBorder="1" applyAlignment="1">
      <alignment horizontal="left"/>
    </xf>
    <xf numFmtId="0" fontId="29" fillId="0" borderId="62" xfId="1" applyFont="1" applyBorder="1" applyAlignment="1">
      <alignment horizontal="left"/>
    </xf>
    <xf numFmtId="0" fontId="21" fillId="5" borderId="103" xfId="1" applyFont="1" applyFill="1" applyBorder="1" applyAlignment="1">
      <alignment horizontal="center"/>
    </xf>
    <xf numFmtId="167" fontId="38" fillId="0" borderId="69" xfId="1" applyNumberFormat="1" applyFont="1" applyBorder="1" applyAlignment="1">
      <alignment horizontal="center"/>
    </xf>
    <xf numFmtId="0" fontId="36" fillId="5" borderId="104" xfId="1" applyFont="1" applyFill="1" applyBorder="1" applyAlignment="1">
      <alignment horizontal="left"/>
    </xf>
    <xf numFmtId="0" fontId="19" fillId="5" borderId="105" xfId="1" applyFont="1" applyFill="1" applyBorder="1"/>
    <xf numFmtId="0" fontId="19" fillId="5" borderId="106" xfId="1" applyFont="1" applyFill="1" applyBorder="1"/>
    <xf numFmtId="0" fontId="38" fillId="5" borderId="107" xfId="1" applyFont="1" applyFill="1" applyBorder="1" applyAlignment="1">
      <alignment horizontal="center"/>
    </xf>
    <xf numFmtId="0" fontId="34" fillId="0" borderId="78" xfId="1" applyFont="1" applyBorder="1"/>
    <xf numFmtId="0" fontId="34" fillId="0" borderId="79" xfId="1" applyFont="1" applyBorder="1"/>
    <xf numFmtId="0" fontId="34" fillId="0" borderId="87" xfId="1" applyFont="1" applyBorder="1"/>
    <xf numFmtId="0" fontId="36" fillId="5" borderId="96" xfId="1" applyFont="1" applyFill="1" applyBorder="1"/>
    <xf numFmtId="0" fontId="20" fillId="5" borderId="64" xfId="1" applyFont="1" applyFill="1" applyBorder="1" applyAlignment="1">
      <alignment horizontal="right" shrinkToFit="1"/>
    </xf>
    <xf numFmtId="0" fontId="38" fillId="5" borderId="109" xfId="1" applyFont="1" applyFill="1" applyBorder="1" applyAlignment="1">
      <alignment horizontal="center"/>
    </xf>
    <xf numFmtId="2" fontId="34" fillId="0" borderId="0" xfId="1" applyNumberFormat="1" applyFont="1"/>
    <xf numFmtId="0" fontId="36" fillId="5" borderId="83" xfId="1" applyFont="1" applyFill="1" applyBorder="1"/>
    <xf numFmtId="0" fontId="36" fillId="5" borderId="56" xfId="1" applyFont="1" applyFill="1" applyBorder="1"/>
    <xf numFmtId="0" fontId="20" fillId="5" borderId="64" xfId="1" applyFont="1" applyFill="1" applyBorder="1" applyAlignment="1">
      <alignment horizontal="right"/>
    </xf>
    <xf numFmtId="0" fontId="24" fillId="0" borderId="0" xfId="1"/>
    <xf numFmtId="2" fontId="38" fillId="5" borderId="64" xfId="1" applyNumberFormat="1" applyFont="1" applyFill="1" applyBorder="1" applyAlignment="1">
      <alignment horizontal="center"/>
    </xf>
    <xf numFmtId="0" fontId="20" fillId="5" borderId="56" xfId="1" applyFont="1" applyFill="1" applyBorder="1" applyAlignment="1">
      <alignment horizontal="right"/>
    </xf>
    <xf numFmtId="0" fontId="20" fillId="5" borderId="64" xfId="1" applyFont="1" applyFill="1" applyBorder="1"/>
    <xf numFmtId="0" fontId="36" fillId="5" borderId="111" xfId="1" applyFont="1" applyFill="1" applyBorder="1"/>
    <xf numFmtId="0" fontId="36" fillId="5" borderId="112" xfId="1" applyFont="1" applyFill="1" applyBorder="1"/>
    <xf numFmtId="0" fontId="36" fillId="5" borderId="113" xfId="1" applyFont="1" applyFill="1" applyBorder="1"/>
    <xf numFmtId="0" fontId="20" fillId="5" borderId="113" xfId="1" applyFont="1" applyFill="1" applyBorder="1"/>
    <xf numFmtId="167" fontId="38" fillId="5" borderId="113" xfId="1" applyNumberFormat="1" applyFont="1" applyFill="1" applyBorder="1" applyAlignment="1">
      <alignment horizontal="center"/>
    </xf>
    <xf numFmtId="0" fontId="36" fillId="5" borderId="73" xfId="1" applyFont="1" applyFill="1" applyBorder="1"/>
    <xf numFmtId="0" fontId="36" fillId="5" borderId="103" xfId="1" applyFont="1" applyFill="1" applyBorder="1" applyAlignment="1">
      <alignment horizontal="left"/>
    </xf>
    <xf numFmtId="0" fontId="36" fillId="5" borderId="73" xfId="1" applyFont="1" applyFill="1" applyBorder="1" applyAlignment="1">
      <alignment horizontal="left"/>
    </xf>
    <xf numFmtId="1" fontId="38" fillId="5" borderId="59" xfId="1" applyNumberFormat="1" applyFont="1" applyFill="1" applyBorder="1" applyAlignment="1">
      <alignment horizontal="center"/>
    </xf>
    <xf numFmtId="0" fontId="45" fillId="0" borderId="0" xfId="1" quotePrefix="1" applyFont="1" applyAlignment="1">
      <alignment horizontal="left"/>
    </xf>
    <xf numFmtId="0" fontId="36" fillId="5" borderId="0" xfId="1" applyFont="1" applyFill="1"/>
    <xf numFmtId="0" fontId="36" fillId="5" borderId="86" xfId="1" applyFont="1" applyFill="1" applyBorder="1" applyAlignment="1">
      <alignment horizontal="left"/>
    </xf>
    <xf numFmtId="0" fontId="36" fillId="5" borderId="69" xfId="1" applyFont="1" applyFill="1" applyBorder="1" applyAlignment="1">
      <alignment horizontal="left"/>
    </xf>
    <xf numFmtId="167" fontId="38" fillId="5" borderId="70" xfId="1" applyNumberFormat="1" applyFont="1" applyFill="1" applyBorder="1" applyAlignment="1">
      <alignment horizontal="center"/>
    </xf>
    <xf numFmtId="0" fontId="36" fillId="5" borderId="40" xfId="1" applyFont="1" applyFill="1" applyBorder="1"/>
    <xf numFmtId="0" fontId="36" fillId="5" borderId="107" xfId="1" applyFont="1" applyFill="1" applyBorder="1" applyAlignment="1">
      <alignment horizontal="left"/>
    </xf>
    <xf numFmtId="0" fontId="36" fillId="5" borderId="99" xfId="1" applyFont="1" applyFill="1" applyBorder="1" applyAlignment="1">
      <alignment horizontal="left"/>
    </xf>
    <xf numFmtId="1" fontId="38" fillId="5" borderId="78" xfId="1" applyNumberFormat="1" applyFont="1" applyFill="1" applyBorder="1" applyAlignment="1">
      <alignment horizontal="center"/>
    </xf>
    <xf numFmtId="0" fontId="29" fillId="5" borderId="80" xfId="1" applyFont="1" applyFill="1" applyBorder="1" applyAlignment="1">
      <alignment horizontal="left"/>
    </xf>
    <xf numFmtId="0" fontId="29" fillId="5" borderId="81" xfId="1" applyFont="1" applyFill="1" applyBorder="1" applyAlignment="1">
      <alignment horizontal="left"/>
    </xf>
    <xf numFmtId="0" fontId="29" fillId="5" borderId="82" xfId="1" applyFont="1" applyFill="1" applyBorder="1" applyAlignment="1">
      <alignment horizontal="left"/>
    </xf>
    <xf numFmtId="0" fontId="31" fillId="5" borderId="83" xfId="1" applyFont="1" applyFill="1" applyBorder="1"/>
    <xf numFmtId="0" fontId="31" fillId="5" borderId="72" xfId="1" applyFont="1" applyFill="1" applyBorder="1" applyAlignment="1">
      <alignment horizontal="left"/>
    </xf>
    <xf numFmtId="0" fontId="31" fillId="5" borderId="84" xfId="1" applyFont="1" applyFill="1" applyBorder="1" applyAlignment="1">
      <alignment horizontal="left"/>
    </xf>
    <xf numFmtId="0" fontId="31" fillId="5" borderId="68" xfId="1" applyFont="1" applyFill="1" applyBorder="1" applyAlignment="1">
      <alignment horizontal="left"/>
    </xf>
    <xf numFmtId="0" fontId="31" fillId="5" borderId="74" xfId="1" applyFont="1" applyFill="1" applyBorder="1" applyAlignment="1">
      <alignment horizontal="left"/>
    </xf>
    <xf numFmtId="0" fontId="46" fillId="0" borderId="0" xfId="1" applyFont="1"/>
    <xf numFmtId="0" fontId="36" fillId="0" borderId="114" xfId="1" applyFont="1" applyBorder="1"/>
    <xf numFmtId="0" fontId="36" fillId="5" borderId="117" xfId="1" applyFont="1" applyFill="1" applyBorder="1"/>
    <xf numFmtId="0" fontId="31" fillId="5" borderId="45" xfId="1" applyFont="1" applyFill="1" applyBorder="1"/>
    <xf numFmtId="0" fontId="36" fillId="5" borderId="119" xfId="1" applyFont="1" applyFill="1" applyBorder="1"/>
    <xf numFmtId="0" fontId="36" fillId="5" borderId="23" xfId="1" applyFont="1" applyFill="1" applyBorder="1"/>
    <xf numFmtId="0" fontId="31" fillId="0" borderId="23" xfId="1" applyFont="1" applyBorder="1"/>
    <xf numFmtId="0" fontId="31" fillId="5" borderId="123" xfId="1" applyFont="1" applyFill="1" applyBorder="1" applyAlignment="1">
      <alignment horizontal="left"/>
    </xf>
    <xf numFmtId="0" fontId="31" fillId="5" borderId="124" xfId="1" applyFont="1" applyFill="1" applyBorder="1" applyAlignment="1">
      <alignment horizontal="left"/>
    </xf>
    <xf numFmtId="0" fontId="31" fillId="0" borderId="0" xfId="1" applyFont="1"/>
    <xf numFmtId="0" fontId="1" fillId="0" borderId="6" xfId="2" applyBorder="1"/>
    <xf numFmtId="0" fontId="1" fillId="0" borderId="7" xfId="2" applyBorder="1"/>
    <xf numFmtId="0" fontId="1" fillId="0" borderId="41" xfId="2" applyBorder="1"/>
    <xf numFmtId="0" fontId="1" fillId="0" borderId="41" xfId="2" applyBorder="1" applyAlignment="1">
      <alignment horizontal="center"/>
    </xf>
    <xf numFmtId="0" fontId="50" fillId="0" borderId="41" xfId="2" applyFont="1" applyBorder="1" applyAlignment="1">
      <alignment horizontal="center"/>
    </xf>
    <xf numFmtId="0" fontId="1" fillId="0" borderId="0" xfId="2"/>
    <xf numFmtId="0" fontId="51" fillId="0" borderId="125" xfId="2" applyFont="1" applyBorder="1" applyAlignment="1">
      <alignment horizontal="center"/>
    </xf>
    <xf numFmtId="0" fontId="1" fillId="0" borderId="125" xfId="2" applyBorder="1" applyAlignment="1">
      <alignment horizontal="center"/>
    </xf>
    <xf numFmtId="0" fontId="50" fillId="0" borderId="125" xfId="2" applyFont="1" applyBorder="1" applyAlignment="1">
      <alignment horizontal="center"/>
    </xf>
    <xf numFmtId="0" fontId="51" fillId="0" borderId="45" xfId="2" applyFont="1" applyBorder="1" applyAlignment="1">
      <alignment horizontal="center"/>
    </xf>
    <xf numFmtId="0" fontId="51" fillId="0" borderId="0" xfId="2" applyFont="1" applyAlignment="1">
      <alignment horizontal="center"/>
    </xf>
    <xf numFmtId="0" fontId="1" fillId="0" borderId="45" xfId="2" applyBorder="1"/>
    <xf numFmtId="0" fontId="52" fillId="0" borderId="0" xfId="2" applyFont="1"/>
    <xf numFmtId="0" fontId="1" fillId="0" borderId="125" xfId="2" applyBorder="1"/>
    <xf numFmtId="0" fontId="50" fillId="0" borderId="0" xfId="2" applyFont="1"/>
    <xf numFmtId="0" fontId="50" fillId="0" borderId="125" xfId="2" applyFont="1" applyBorder="1"/>
    <xf numFmtId="170" fontId="1" fillId="0" borderId="3" xfId="2" applyNumberFormat="1" applyBorder="1"/>
    <xf numFmtId="49" fontId="1" fillId="0" borderId="1" xfId="2" applyNumberFormat="1" applyBorder="1" applyAlignment="1">
      <alignment horizontal="center"/>
    </xf>
    <xf numFmtId="49" fontId="1" fillId="0" borderId="1" xfId="2" applyNumberFormat="1" applyBorder="1"/>
    <xf numFmtId="49" fontId="50" fillId="0" borderId="1" xfId="2" applyNumberFormat="1" applyFont="1" applyBorder="1"/>
    <xf numFmtId="171" fontId="50" fillId="0" borderId="1" xfId="2" applyNumberFormat="1" applyFont="1" applyBorder="1"/>
    <xf numFmtId="0" fontId="1" fillId="0" borderId="1" xfId="2" applyBorder="1"/>
    <xf numFmtId="0" fontId="1" fillId="0" borderId="9" xfId="2" applyBorder="1"/>
    <xf numFmtId="171" fontId="1" fillId="0" borderId="1" xfId="2" applyNumberFormat="1" applyBorder="1"/>
    <xf numFmtId="0" fontId="1" fillId="0" borderId="1" xfId="2" applyBorder="1" applyAlignment="1">
      <alignment horizontal="center"/>
    </xf>
    <xf numFmtId="170" fontId="1" fillId="0" borderId="18" xfId="2" applyNumberFormat="1" applyBorder="1"/>
    <xf numFmtId="49" fontId="1" fillId="0" borderId="26" xfId="2" applyNumberFormat="1" applyBorder="1"/>
    <xf numFmtId="171" fontId="1" fillId="0" borderId="26" xfId="2" applyNumberFormat="1" applyBorder="1"/>
    <xf numFmtId="0" fontId="1" fillId="0" borderId="26" xfId="2" applyBorder="1"/>
    <xf numFmtId="0" fontId="1" fillId="0" borderId="126" xfId="2" applyBorder="1"/>
    <xf numFmtId="0" fontId="50" fillId="0" borderId="127" xfId="2" applyFont="1" applyBorder="1" applyAlignment="1">
      <alignment horizontal="center"/>
    </xf>
    <xf numFmtId="0" fontId="50" fillId="0" borderId="128" xfId="2" applyFont="1" applyBorder="1" applyAlignment="1">
      <alignment horizontal="center"/>
    </xf>
    <xf numFmtId="49" fontId="50" fillId="0" borderId="2" xfId="2" applyNumberFormat="1" applyFont="1" applyBorder="1" applyAlignment="1">
      <alignment horizontal="center"/>
    </xf>
    <xf numFmtId="0" fontId="1" fillId="0" borderId="55" xfId="2" applyBorder="1" applyAlignment="1">
      <alignment horizontal="left"/>
    </xf>
    <xf numFmtId="49" fontId="1" fillId="0" borderId="3" xfId="2" applyNumberFormat="1" applyBorder="1"/>
    <xf numFmtId="0" fontId="1" fillId="0" borderId="130" xfId="2" applyBorder="1" applyAlignment="1">
      <alignment horizontal="left"/>
    </xf>
    <xf numFmtId="49" fontId="1" fillId="0" borderId="4" xfId="2" applyNumberFormat="1" applyBorder="1"/>
    <xf numFmtId="0" fontId="1" fillId="0" borderId="131" xfId="2" applyBorder="1" applyAlignment="1">
      <alignment horizontal="left"/>
    </xf>
    <xf numFmtId="167" fontId="38" fillId="0" borderId="96" xfId="1" applyNumberFormat="1" applyFont="1" applyBorder="1" applyAlignment="1">
      <alignment horizontal="center"/>
    </xf>
    <xf numFmtId="0" fontId="31" fillId="5" borderId="68" xfId="3" applyFont="1" applyFill="1" applyBorder="1" applyAlignment="1">
      <alignment horizontal="left"/>
    </xf>
    <xf numFmtId="0" fontId="31" fillId="5" borderId="123" xfId="3" applyFont="1" applyFill="1" applyBorder="1" applyAlignment="1">
      <alignment horizontal="left"/>
    </xf>
    <xf numFmtId="0" fontId="53" fillId="5" borderId="118" xfId="3" applyFont="1" applyFill="1" applyBorder="1" applyAlignment="1">
      <alignment horizontal="center"/>
    </xf>
    <xf numFmtId="14" fontId="19" fillId="5" borderId="122" xfId="3" applyNumberFormat="1" applyFont="1" applyFill="1" applyBorder="1" applyAlignment="1">
      <alignment horizontal="center"/>
    </xf>
    <xf numFmtId="167" fontId="2" fillId="0" borderId="0" xfId="0" applyNumberFormat="1" applyFont="1" applyAlignment="1">
      <alignment horizontal="center"/>
    </xf>
    <xf numFmtId="2" fontId="7" fillId="0" borderId="36" xfId="0" applyNumberFormat="1" applyFont="1" applyBorder="1" applyAlignment="1">
      <alignment horizontal="center"/>
    </xf>
    <xf numFmtId="167" fontId="2" fillId="0" borderId="132" xfId="0" applyNumberFormat="1" applyFont="1" applyBorder="1" applyAlignment="1">
      <alignment horizontal="center"/>
    </xf>
    <xf numFmtId="2" fontId="4" fillId="0" borderId="40" xfId="0" applyNumberFormat="1" applyFont="1" applyBorder="1" applyAlignment="1">
      <alignment horizontal="left"/>
    </xf>
    <xf numFmtId="167" fontId="14" fillId="0" borderId="40" xfId="0" applyNumberFormat="1" applyFont="1" applyBorder="1" applyAlignment="1">
      <alignment horizontal="left"/>
    </xf>
    <xf numFmtId="2" fontId="7" fillId="0" borderId="0" xfId="0" applyNumberFormat="1" applyFont="1" applyAlignment="1">
      <alignment horizontal="right"/>
    </xf>
    <xf numFmtId="2" fontId="7" fillId="0" borderId="23" xfId="0" applyNumberFormat="1" applyFont="1" applyBorder="1" applyAlignment="1">
      <alignment horizontal="right"/>
    </xf>
    <xf numFmtId="167" fontId="2" fillId="0" borderId="0" xfId="0" applyNumberFormat="1" applyFont="1" applyAlignment="1">
      <alignment horizontal="centerContinuous"/>
    </xf>
    <xf numFmtId="167" fontId="2" fillId="0" borderId="23" xfId="0" applyNumberFormat="1" applyFont="1" applyBorder="1" applyAlignment="1">
      <alignment horizontal="centerContinuous"/>
    </xf>
    <xf numFmtId="0" fontId="6" fillId="0" borderId="0" xfId="4" applyFont="1" applyAlignment="1">
      <alignment horizontal="right"/>
    </xf>
    <xf numFmtId="0" fontId="1" fillId="0" borderId="0" xfId="4"/>
    <xf numFmtId="0" fontId="25" fillId="0" borderId="0" xfId="4" applyFont="1"/>
    <xf numFmtId="0" fontId="54" fillId="0" borderId="0" xfId="4" applyFont="1"/>
    <xf numFmtId="0" fontId="55" fillId="0" borderId="26" xfId="4" applyFont="1" applyBorder="1" applyAlignment="1">
      <alignment horizontal="center"/>
    </xf>
    <xf numFmtId="0" fontId="55" fillId="0" borderId="28" xfId="4" applyFont="1" applyBorder="1" applyAlignment="1">
      <alignment horizontal="center"/>
    </xf>
    <xf numFmtId="0" fontId="54" fillId="0" borderId="1" xfId="4" applyFont="1" applyBorder="1" applyAlignment="1">
      <alignment horizontal="center"/>
    </xf>
    <xf numFmtId="0" fontId="55" fillId="0" borderId="1" xfId="4" applyFont="1" applyBorder="1" applyAlignment="1">
      <alignment horizontal="right"/>
    </xf>
    <xf numFmtId="0" fontId="55" fillId="0" borderId="1" xfId="4" applyFont="1" applyBorder="1" applyAlignment="1">
      <alignment horizontal="center"/>
    </xf>
    <xf numFmtId="0" fontId="54" fillId="0" borderId="129" xfId="4" applyFont="1" applyBorder="1" applyAlignment="1">
      <alignment horizontal="center"/>
    </xf>
    <xf numFmtId="0" fontId="54" fillId="0" borderId="130" xfId="4" quotePrefix="1" applyFont="1" applyBorder="1" applyAlignment="1">
      <alignment horizontal="center"/>
    </xf>
    <xf numFmtId="0" fontId="54" fillId="0" borderId="130" xfId="4" applyFont="1" applyBorder="1" applyAlignment="1">
      <alignment horizontal="center"/>
    </xf>
    <xf numFmtId="0" fontId="55" fillId="0" borderId="0" xfId="4" applyFont="1" applyAlignment="1">
      <alignment horizontal="right"/>
    </xf>
    <xf numFmtId="0" fontId="57" fillId="0" borderId="61" xfId="4" applyFont="1" applyBorder="1"/>
    <xf numFmtId="0" fontId="57" fillId="0" borderId="62" xfId="4" applyFont="1" applyBorder="1"/>
    <xf numFmtId="0" fontId="57" fillId="0" borderId="38" xfId="4" applyFont="1" applyBorder="1"/>
    <xf numFmtId="0" fontId="58" fillId="0" borderId="83" xfId="4" applyFont="1" applyBorder="1" applyAlignment="1">
      <alignment horizontal="centerContinuous"/>
    </xf>
    <xf numFmtId="0" fontId="57" fillId="0" borderId="0" xfId="4" applyFont="1" applyAlignment="1">
      <alignment horizontal="centerContinuous"/>
    </xf>
    <xf numFmtId="0" fontId="57" fillId="0" borderId="108" xfId="4" applyFont="1" applyBorder="1" applyAlignment="1">
      <alignment horizontal="centerContinuous"/>
    </xf>
    <xf numFmtId="0" fontId="59" fillId="0" borderId="83" xfId="4" applyFont="1" applyBorder="1" applyAlignment="1">
      <alignment horizontal="centerContinuous"/>
    </xf>
    <xf numFmtId="0" fontId="57" fillId="0" borderId="83" xfId="4" applyFont="1" applyBorder="1"/>
    <xf numFmtId="0" fontId="57" fillId="0" borderId="0" xfId="4" applyFont="1"/>
    <xf numFmtId="0" fontId="57" fillId="0" borderId="108" xfId="4" applyFont="1" applyBorder="1"/>
    <xf numFmtId="0" fontId="60" fillId="0" borderId="1" xfId="4" applyFont="1" applyBorder="1" applyAlignment="1">
      <alignment horizontal="right"/>
    </xf>
    <xf numFmtId="0" fontId="57" fillId="0" borderId="1" xfId="4" applyFont="1" applyBorder="1" applyAlignment="1">
      <alignment horizontal="center"/>
    </xf>
    <xf numFmtId="14" fontId="57" fillId="0" borderId="1" xfId="4" applyNumberFormat="1" applyFont="1" applyBorder="1" applyAlignment="1">
      <alignment horizontal="center"/>
    </xf>
    <xf numFmtId="0" fontId="60" fillId="0" borderId="0" xfId="4" applyFont="1" applyAlignment="1">
      <alignment horizontal="right"/>
    </xf>
    <xf numFmtId="0" fontId="57" fillId="0" borderId="0" xfId="4" applyFont="1" applyAlignment="1">
      <alignment horizontal="center"/>
    </xf>
    <xf numFmtId="9" fontId="57" fillId="0" borderId="0" xfId="4" applyNumberFormat="1" applyFont="1" applyAlignment="1">
      <alignment horizontal="center"/>
    </xf>
    <xf numFmtId="0" fontId="60" fillId="0" borderId="83" xfId="4" applyFont="1" applyBorder="1" applyAlignment="1">
      <alignment horizontal="right"/>
    </xf>
    <xf numFmtId="0" fontId="57" fillId="0" borderId="40" xfId="4" applyFont="1" applyBorder="1"/>
    <xf numFmtId="0" fontId="57" fillId="0" borderId="39" xfId="4" applyFont="1" applyBorder="1" applyAlignment="1">
      <alignment horizontal="center"/>
    </xf>
    <xf numFmtId="0" fontId="57" fillId="0" borderId="85" xfId="4" applyFont="1" applyBorder="1"/>
    <xf numFmtId="0" fontId="60" fillId="0" borderId="17" xfId="4" applyFont="1" applyBorder="1" applyAlignment="1">
      <alignment horizontal="right"/>
    </xf>
    <xf numFmtId="0" fontId="57" fillId="0" borderId="130" xfId="4" applyFont="1" applyBorder="1"/>
    <xf numFmtId="167" fontId="3" fillId="0" borderId="0" xfId="4" quotePrefix="1" applyNumberFormat="1" applyFont="1" applyAlignment="1">
      <alignment horizontal="center"/>
    </xf>
    <xf numFmtId="167" fontId="2" fillId="0" borderId="0" xfId="4" applyNumberFormat="1" applyFont="1" applyAlignment="1">
      <alignment horizontal="center"/>
    </xf>
    <xf numFmtId="167" fontId="3" fillId="0" borderId="0" xfId="0" quotePrefix="1" applyNumberFormat="1" applyFont="1" applyAlignment="1">
      <alignment horizontal="center"/>
    </xf>
    <xf numFmtId="167" fontId="3" fillId="0" borderId="0" xfId="0" applyNumberFormat="1" applyFont="1" applyAlignment="1">
      <alignment horizontal="center"/>
    </xf>
    <xf numFmtId="0" fontId="62" fillId="0" borderId="0" xfId="4" applyFont="1"/>
    <xf numFmtId="0" fontId="63" fillId="0" borderId="0" xfId="4" applyFont="1"/>
    <xf numFmtId="0" fontId="2" fillId="0" borderId="1" xfId="4" applyFont="1" applyBorder="1" applyAlignment="1">
      <alignment horizontal="center"/>
    </xf>
    <xf numFmtId="1" fontId="2" fillId="5" borderId="1" xfId="4" applyNumberFormat="1" applyFont="1" applyFill="1" applyBorder="1" applyAlignment="1">
      <alignment horizontal="center"/>
    </xf>
    <xf numFmtId="2" fontId="2" fillId="5" borderId="1" xfId="4" applyNumberFormat="1" applyFont="1" applyFill="1" applyBorder="1" applyAlignment="1">
      <alignment horizontal="center"/>
    </xf>
    <xf numFmtId="0" fontId="2" fillId="5" borderId="1" xfId="4" applyFont="1" applyFill="1" applyBorder="1" applyAlignment="1">
      <alignment horizontal="center"/>
    </xf>
    <xf numFmtId="0" fontId="64" fillId="0" borderId="0" xfId="4" applyFont="1"/>
    <xf numFmtId="167" fontId="3" fillId="0" borderId="133" xfId="4" quotePrefix="1" applyNumberFormat="1" applyFont="1" applyBorder="1" applyAlignment="1">
      <alignment horizontal="center"/>
    </xf>
    <xf numFmtId="167" fontId="2" fillId="0" borderId="39" xfId="4" applyNumberFormat="1" applyFont="1" applyBorder="1" applyAlignment="1">
      <alignment horizontal="center"/>
    </xf>
    <xf numFmtId="167" fontId="2" fillId="0" borderId="28" xfId="4" applyNumberFormat="1" applyFont="1" applyBorder="1" applyAlignment="1">
      <alignment horizontal="center"/>
    </xf>
    <xf numFmtId="167" fontId="2" fillId="0" borderId="134" xfId="4" applyNumberFormat="1" applyFont="1" applyBorder="1" applyAlignment="1">
      <alignment horizontal="center"/>
    </xf>
    <xf numFmtId="167" fontId="3" fillId="0" borderId="135" xfId="4" quotePrefix="1" applyNumberFormat="1" applyFont="1" applyBorder="1" applyAlignment="1">
      <alignment horizontal="center"/>
    </xf>
    <xf numFmtId="167" fontId="2" fillId="0" borderId="130" xfId="4" applyNumberFormat="1" applyFont="1" applyBorder="1" applyAlignment="1">
      <alignment horizontal="center"/>
    </xf>
    <xf numFmtId="167" fontId="2" fillId="0" borderId="1" xfId="4" applyNumberFormat="1" applyFont="1" applyBorder="1" applyAlignment="1">
      <alignment horizontal="center"/>
    </xf>
    <xf numFmtId="167" fontId="2" fillId="0" borderId="9" xfId="4" applyNumberFormat="1" applyFont="1" applyBorder="1" applyAlignment="1">
      <alignment horizontal="center"/>
    </xf>
    <xf numFmtId="167" fontId="3" fillId="0" borderId="25" xfId="4" quotePrefix="1" applyNumberFormat="1" applyFont="1" applyBorder="1" applyAlignment="1">
      <alignment horizontal="center"/>
    </xf>
    <xf numFmtId="167" fontId="2" fillId="0" borderId="131" xfId="4" applyNumberFormat="1" applyFont="1" applyBorder="1" applyAlignment="1">
      <alignment horizontal="center"/>
    </xf>
    <xf numFmtId="167" fontId="2" fillId="0" borderId="11" xfId="4" applyNumberFormat="1" applyFont="1" applyBorder="1" applyAlignment="1">
      <alignment horizontal="center"/>
    </xf>
    <xf numFmtId="167" fontId="2" fillId="0" borderId="33" xfId="4" applyNumberFormat="1" applyFont="1" applyBorder="1" applyAlignment="1">
      <alignment horizontal="center"/>
    </xf>
    <xf numFmtId="172" fontId="66" fillId="0" borderId="6" xfId="5" applyFont="1" applyBorder="1" applyAlignment="1">
      <alignment horizontal="centerContinuous"/>
    </xf>
    <xf numFmtId="172" fontId="66" fillId="0" borderId="7" xfId="5" applyFont="1" applyBorder="1" applyAlignment="1">
      <alignment horizontal="centerContinuous"/>
    </xf>
    <xf numFmtId="172" fontId="67" fillId="0" borderId="12" xfId="5" applyFont="1" applyBorder="1" applyAlignment="1">
      <alignment horizontal="left"/>
    </xf>
    <xf numFmtId="172" fontId="68" fillId="0" borderId="55" xfId="5" applyFont="1" applyBorder="1"/>
    <xf numFmtId="172" fontId="67" fillId="0" borderId="13" xfId="5" applyFont="1" applyBorder="1" applyAlignment="1">
      <alignment horizontal="centerContinuous"/>
    </xf>
    <xf numFmtId="172" fontId="68" fillId="0" borderId="14" xfId="5" applyFont="1" applyBorder="1" applyAlignment="1">
      <alignment horizontal="centerContinuous"/>
    </xf>
    <xf numFmtId="172" fontId="69" fillId="0" borderId="0" xfId="5" applyFont="1"/>
    <xf numFmtId="172" fontId="65" fillId="0" borderId="0" xfId="5"/>
    <xf numFmtId="172" fontId="66" fillId="0" borderId="45" xfId="5" applyFont="1" applyBorder="1" applyAlignment="1">
      <alignment horizontal="centerContinuous"/>
    </xf>
    <xf numFmtId="172" fontId="66" fillId="0" borderId="0" xfId="5" applyFont="1" applyAlignment="1">
      <alignment horizontal="centerContinuous"/>
    </xf>
    <xf numFmtId="172" fontId="67" fillId="0" borderId="110" xfId="5" applyFont="1" applyBorder="1" applyAlignment="1">
      <alignment horizontal="left"/>
    </xf>
    <xf numFmtId="172" fontId="68" fillId="0" borderId="39" xfId="5" applyFont="1" applyBorder="1"/>
    <xf numFmtId="172" fontId="67" fillId="0" borderId="40" xfId="5" applyFont="1" applyBorder="1" applyAlignment="1">
      <alignment horizontal="centerContinuous"/>
    </xf>
    <xf numFmtId="172" fontId="68" fillId="0" borderId="29" xfId="5" applyFont="1" applyBorder="1" applyAlignment="1">
      <alignment horizontal="centerContinuous"/>
    </xf>
    <xf numFmtId="172" fontId="68" fillId="0" borderId="45" xfId="5" applyFont="1" applyBorder="1" applyAlignment="1">
      <alignment horizontal="centerContinuous"/>
    </xf>
    <xf numFmtId="172" fontId="68" fillId="0" borderId="0" xfId="5" applyFont="1" applyAlignment="1">
      <alignment horizontal="centerContinuous"/>
    </xf>
    <xf numFmtId="172" fontId="67" fillId="0" borderId="40" xfId="5" quotePrefix="1" applyFont="1" applyBorder="1" applyAlignment="1">
      <alignment horizontal="centerContinuous"/>
    </xf>
    <xf numFmtId="172" fontId="70" fillId="0" borderId="45" xfId="5" applyFont="1" applyBorder="1" applyAlignment="1">
      <alignment horizontal="centerContinuous"/>
    </xf>
    <xf numFmtId="172" fontId="69" fillId="0" borderId="45" xfId="5" applyFont="1" applyBorder="1" applyAlignment="1">
      <alignment horizontal="centerContinuous"/>
    </xf>
    <xf numFmtId="172" fontId="69" fillId="0" borderId="46" xfId="5" applyFont="1" applyBorder="1" applyAlignment="1">
      <alignment horizontal="centerContinuous"/>
    </xf>
    <xf numFmtId="172" fontId="68" fillId="0" borderId="23" xfId="5" applyFont="1" applyBorder="1" applyAlignment="1">
      <alignment horizontal="centerContinuous"/>
    </xf>
    <xf numFmtId="172" fontId="67" fillId="0" borderId="46" xfId="5" applyFont="1" applyBorder="1" applyAlignment="1">
      <alignment horizontal="left"/>
    </xf>
    <xf numFmtId="172" fontId="68" fillId="0" borderId="48" xfId="5" applyFont="1" applyBorder="1"/>
    <xf numFmtId="172" fontId="71" fillId="0" borderId="23" xfId="5" applyFont="1" applyBorder="1" applyAlignment="1">
      <alignment horizontal="centerContinuous"/>
    </xf>
    <xf numFmtId="172" fontId="68" fillId="0" borderId="24" xfId="5" applyFont="1" applyBorder="1" applyAlignment="1">
      <alignment horizontal="centerContinuous"/>
    </xf>
    <xf numFmtId="172" fontId="69" fillId="0" borderId="0" xfId="5" applyFont="1" applyAlignment="1">
      <alignment horizontal="centerContinuous"/>
    </xf>
    <xf numFmtId="172" fontId="67" fillId="0" borderId="0" xfId="5" applyFont="1" applyAlignment="1">
      <alignment horizontal="left"/>
    </xf>
    <xf numFmtId="172" fontId="68" fillId="0" borderId="0" xfId="5" applyFont="1"/>
    <xf numFmtId="172" fontId="67" fillId="0" borderId="0" xfId="5" applyFont="1" applyAlignment="1">
      <alignment horizontal="centerContinuous"/>
    </xf>
    <xf numFmtId="172" fontId="72" fillId="0" borderId="0" xfId="5" applyFont="1"/>
    <xf numFmtId="172" fontId="72" fillId="0" borderId="0" xfId="5" applyFont="1" applyAlignment="1">
      <alignment horizontal="right"/>
    </xf>
    <xf numFmtId="172" fontId="72" fillId="0" borderId="0" xfId="5" applyFont="1" applyAlignment="1" applyProtection="1">
      <alignment horizontal="left"/>
      <protection locked="0"/>
    </xf>
    <xf numFmtId="172" fontId="72" fillId="0" borderId="0" xfId="5" applyFont="1" applyAlignment="1">
      <alignment horizontal="centerContinuous"/>
    </xf>
    <xf numFmtId="172" fontId="72" fillId="0" borderId="0" xfId="5" applyFont="1" applyAlignment="1">
      <alignment horizontal="left"/>
    </xf>
    <xf numFmtId="49" fontId="72" fillId="0" borderId="0" xfId="5" quotePrefix="1" applyNumberFormat="1" applyFont="1" applyAlignment="1" applyProtection="1">
      <alignment horizontal="left"/>
      <protection locked="0"/>
    </xf>
    <xf numFmtId="172" fontId="73" fillId="0" borderId="136" xfId="5" applyFont="1" applyBorder="1" applyAlignment="1">
      <alignment horizontal="centerContinuous"/>
    </xf>
    <xf numFmtId="172" fontId="69" fillId="0" borderId="137" xfId="5" applyFont="1" applyBorder="1" applyAlignment="1">
      <alignment horizontal="centerContinuous"/>
    </xf>
    <xf numFmtId="172" fontId="69" fillId="0" borderId="138" xfId="5" applyFont="1" applyBorder="1" applyAlignment="1">
      <alignment horizontal="centerContinuous"/>
    </xf>
    <xf numFmtId="172" fontId="72" fillId="0" borderId="45" xfId="5" applyFont="1" applyBorder="1"/>
    <xf numFmtId="172" fontId="72" fillId="0" borderId="0" xfId="5" applyFont="1" applyAlignment="1" applyProtection="1">
      <alignment horizontal="center"/>
      <protection locked="0"/>
    </xf>
    <xf numFmtId="172" fontId="72" fillId="0" borderId="21" xfId="5" applyFont="1" applyBorder="1" applyAlignment="1" applyProtection="1">
      <alignment horizontal="center"/>
      <protection locked="0"/>
    </xf>
    <xf numFmtId="172" fontId="72" fillId="0" borderId="0" xfId="5" applyFont="1" applyAlignment="1">
      <alignment horizontal="center"/>
    </xf>
    <xf numFmtId="49" fontId="72" fillId="0" borderId="0" xfId="5" applyNumberFormat="1" applyFont="1" applyAlignment="1">
      <alignment horizontal="center"/>
    </xf>
    <xf numFmtId="172" fontId="72" fillId="0" borderId="0" xfId="5" quotePrefix="1" applyFont="1" applyAlignment="1">
      <alignment horizontal="right"/>
    </xf>
    <xf numFmtId="172" fontId="72" fillId="0" borderId="0" xfId="5" quotePrefix="1" applyFont="1" applyAlignment="1" applyProtection="1">
      <alignment horizontal="center"/>
      <protection locked="0"/>
    </xf>
    <xf numFmtId="172" fontId="72" fillId="0" borderId="21" xfId="5" applyFont="1" applyBorder="1"/>
    <xf numFmtId="172" fontId="72" fillId="0" borderId="46" xfId="5" applyFont="1" applyBorder="1"/>
    <xf numFmtId="172" fontId="72" fillId="0" borderId="23" xfId="5" applyFont="1" applyBorder="1" applyAlignment="1">
      <alignment horizontal="right"/>
    </xf>
    <xf numFmtId="167" fontId="72" fillId="0" borderId="23" xfId="5" quotePrefix="1" applyNumberFormat="1" applyFont="1" applyBorder="1" applyAlignment="1" applyProtection="1">
      <alignment horizontal="center"/>
      <protection locked="0"/>
    </xf>
    <xf numFmtId="172" fontId="72" fillId="0" borderId="23" xfId="5" applyFont="1" applyBorder="1"/>
    <xf numFmtId="167" fontId="72" fillId="0" borderId="23" xfId="5" applyNumberFormat="1" applyFont="1" applyBorder="1"/>
    <xf numFmtId="172" fontId="72" fillId="0" borderId="24" xfId="5" applyFont="1" applyBorder="1"/>
    <xf numFmtId="172" fontId="74" fillId="0" borderId="45" xfId="5" quotePrefix="1" applyFont="1" applyBorder="1" applyAlignment="1">
      <alignment horizontal="left"/>
    </xf>
    <xf numFmtId="172" fontId="68" fillId="0" borderId="0" xfId="5" quotePrefix="1" applyFont="1" applyAlignment="1">
      <alignment horizontal="right"/>
    </xf>
    <xf numFmtId="172" fontId="68" fillId="0" borderId="108" xfId="5" applyFont="1" applyBorder="1"/>
    <xf numFmtId="172" fontId="74" fillId="0" borderId="0" xfId="5" applyFont="1" applyAlignment="1">
      <alignment horizontal="left"/>
    </xf>
    <xf numFmtId="172" fontId="68" fillId="0" borderId="0" xfId="5" applyFont="1" applyAlignment="1">
      <alignment horizontal="right"/>
    </xf>
    <xf numFmtId="172" fontId="68" fillId="0" borderId="108" xfId="5" applyFont="1" applyBorder="1" applyAlignment="1">
      <alignment horizontal="right"/>
    </xf>
    <xf numFmtId="172" fontId="74" fillId="0" borderId="0" xfId="5" quotePrefix="1" applyFont="1" applyAlignment="1">
      <alignment horizontal="left"/>
    </xf>
    <xf numFmtId="172" fontId="68" fillId="0" borderId="21" xfId="5" applyFont="1" applyBorder="1"/>
    <xf numFmtId="172" fontId="65" fillId="0" borderId="45" xfId="5" applyBorder="1"/>
    <xf numFmtId="172" fontId="72" fillId="0" borderId="108" xfId="5" applyFont="1" applyBorder="1" applyAlignment="1" applyProtection="1">
      <alignment horizontal="center"/>
      <protection locked="0"/>
    </xf>
    <xf numFmtId="0" fontId="72" fillId="0" borderId="108" xfId="5" applyNumberFormat="1" applyFont="1" applyBorder="1" applyAlignment="1">
      <alignment horizontal="center"/>
    </xf>
    <xf numFmtId="172" fontId="72" fillId="0" borderId="108" xfId="5" applyFont="1" applyBorder="1"/>
    <xf numFmtId="172" fontId="72" fillId="0" borderId="48" xfId="5" applyFont="1" applyBorder="1"/>
    <xf numFmtId="172" fontId="72" fillId="0" borderId="48" xfId="5" applyFont="1" applyBorder="1" applyAlignment="1">
      <alignment horizontal="left"/>
    </xf>
    <xf numFmtId="172" fontId="73" fillId="0" borderId="139" xfId="5" applyFont="1" applyBorder="1" applyAlignment="1">
      <alignment horizontal="centerContinuous"/>
    </xf>
    <xf numFmtId="172" fontId="69" fillId="0" borderId="140" xfId="5" applyFont="1" applyBorder="1" applyAlignment="1">
      <alignment horizontal="centerContinuous"/>
    </xf>
    <xf numFmtId="172" fontId="65" fillId="0" borderId="141" xfId="5" applyBorder="1"/>
    <xf numFmtId="172" fontId="69" fillId="0" borderId="142" xfId="5" applyFont="1" applyBorder="1" applyAlignment="1">
      <alignment horizontal="centerContinuous"/>
    </xf>
    <xf numFmtId="172" fontId="74" fillId="0" borderId="45" xfId="5" applyFont="1" applyBorder="1" applyAlignment="1">
      <alignment horizontal="left"/>
    </xf>
    <xf numFmtId="172" fontId="65" fillId="0" borderId="108" xfId="5" applyBorder="1"/>
    <xf numFmtId="167" fontId="72" fillId="0" borderId="0" xfId="5" applyNumberFormat="1" applyFont="1" applyAlignment="1" applyProtection="1">
      <alignment horizontal="center"/>
      <protection locked="0"/>
    </xf>
    <xf numFmtId="172" fontId="72" fillId="0" borderId="45" xfId="5" applyFont="1" applyBorder="1" applyAlignment="1">
      <alignment horizontal="left"/>
    </xf>
    <xf numFmtId="172" fontId="65" fillId="0" borderId="48" xfId="5" applyBorder="1"/>
    <xf numFmtId="172" fontId="69" fillId="0" borderId="0" xfId="5" applyFont="1" applyAlignment="1">
      <alignment horizontal="left"/>
    </xf>
    <xf numFmtId="172" fontId="69" fillId="0" borderId="139" xfId="5" applyFont="1" applyBorder="1"/>
    <xf numFmtId="172" fontId="68" fillId="0" borderId="140" xfId="5" applyFont="1" applyBorder="1" applyAlignment="1">
      <alignment horizontal="left"/>
    </xf>
    <xf numFmtId="172" fontId="68" fillId="0" borderId="142" xfId="5" applyFont="1" applyBorder="1" applyAlignment="1">
      <alignment horizontal="left"/>
    </xf>
    <xf numFmtId="172" fontId="72" fillId="0" borderId="45" xfId="5" quotePrefix="1" applyFont="1" applyBorder="1" applyAlignment="1">
      <alignment horizontal="left"/>
    </xf>
    <xf numFmtId="172" fontId="72" fillId="0" borderId="21" xfId="5" applyFont="1" applyBorder="1" applyAlignment="1">
      <alignment horizontal="left"/>
    </xf>
    <xf numFmtId="172" fontId="75" fillId="0" borderId="143" xfId="5" applyFont="1" applyBorder="1"/>
    <xf numFmtId="172" fontId="72" fillId="0" borderId="0" xfId="5" quotePrefix="1" applyFont="1" applyAlignment="1">
      <alignment horizontal="left"/>
    </xf>
    <xf numFmtId="172" fontId="72" fillId="0" borderId="144" xfId="5" quotePrefix="1" applyFont="1" applyBorder="1" applyAlignment="1">
      <alignment horizontal="left"/>
    </xf>
    <xf numFmtId="172" fontId="72" fillId="0" borderId="145" xfId="5" quotePrefix="1" applyFont="1" applyBorder="1" applyAlignment="1">
      <alignment horizontal="left"/>
    </xf>
    <xf numFmtId="172" fontId="72" fillId="0" borderId="46" xfId="5" applyFont="1" applyBorder="1" applyAlignment="1">
      <alignment horizontal="left"/>
    </xf>
    <xf numFmtId="172" fontId="72" fillId="0" borderId="23" xfId="5" applyFont="1" applyBorder="1" applyAlignment="1">
      <alignment horizontal="left"/>
    </xf>
    <xf numFmtId="172" fontId="72" fillId="0" borderId="24" xfId="5" applyFont="1" applyBorder="1" applyAlignment="1">
      <alignment horizontal="left"/>
    </xf>
    <xf numFmtId="172" fontId="68" fillId="0" borderId="0" xfId="5" applyFont="1" applyAlignment="1">
      <alignment horizontal="left"/>
    </xf>
    <xf numFmtId="172" fontId="76" fillId="0" borderId="0" xfId="5" applyFont="1" applyAlignment="1">
      <alignment horizontal="right"/>
    </xf>
    <xf numFmtId="172" fontId="65" fillId="0" borderId="0" xfId="5" applyAlignment="1">
      <alignment horizontal="right"/>
    </xf>
    <xf numFmtId="49" fontId="57" fillId="0" borderId="40" xfId="4" applyNumberFormat="1" applyFont="1" applyBorder="1"/>
    <xf numFmtId="0" fontId="1" fillId="0" borderId="0" xfId="4" applyAlignment="1">
      <alignment horizontal="center"/>
    </xf>
    <xf numFmtId="0" fontId="2" fillId="0" borderId="42" xfId="4" applyFont="1" applyBorder="1" applyAlignment="1">
      <alignment horizontal="center"/>
    </xf>
    <xf numFmtId="0" fontId="2" fillId="0" borderId="24" xfId="4" applyFont="1" applyBorder="1" applyAlignment="1">
      <alignment horizontal="center"/>
    </xf>
    <xf numFmtId="0" fontId="1" fillId="0" borderId="0" xfId="4" applyAlignment="1">
      <alignment horizontal="right"/>
    </xf>
    <xf numFmtId="0" fontId="1" fillId="6" borderId="0" xfId="4" applyFill="1"/>
    <xf numFmtId="0" fontId="1" fillId="7" borderId="0" xfId="4" applyFill="1"/>
    <xf numFmtId="167" fontId="1" fillId="0" borderId="0" xfId="4" applyNumberFormat="1" applyAlignment="1">
      <alignment horizontal="center"/>
    </xf>
    <xf numFmtId="0" fontId="25" fillId="0" borderId="0" xfId="1" applyFont="1" applyAlignment="1">
      <alignment horizontal="center"/>
    </xf>
    <xf numFmtId="0" fontId="28" fillId="5" borderId="0" xfId="1" applyFont="1" applyFill="1" applyAlignment="1">
      <alignment horizontal="center"/>
    </xf>
    <xf numFmtId="0" fontId="30" fillId="5" borderId="23" xfId="3" applyFont="1" applyFill="1" applyBorder="1" applyAlignment="1">
      <alignment horizontal="center"/>
    </xf>
    <xf numFmtId="0" fontId="35" fillId="5" borderId="12" xfId="1" applyFont="1" applyFill="1" applyBorder="1" applyAlignment="1">
      <alignment horizontal="left"/>
    </xf>
    <xf numFmtId="0" fontId="35" fillId="5" borderId="13" xfId="1" applyFont="1" applyFill="1" applyBorder="1" applyAlignment="1">
      <alignment horizontal="left"/>
    </xf>
    <xf numFmtId="0" fontId="36" fillId="0" borderId="58" xfId="1" applyFont="1" applyBorder="1" applyAlignment="1">
      <alignment horizontal="left"/>
    </xf>
    <xf numFmtId="0" fontId="36" fillId="0" borderId="59" xfId="1" applyFont="1" applyBorder="1" applyAlignment="1">
      <alignment horizontal="left"/>
    </xf>
    <xf numFmtId="0" fontId="37" fillId="5" borderId="60" xfId="3" applyFont="1" applyFill="1" applyBorder="1" applyAlignment="1">
      <alignment horizontal="center"/>
    </xf>
    <xf numFmtId="0" fontId="37" fillId="5" borderId="56" xfId="3" applyFont="1" applyFill="1" applyBorder="1" applyAlignment="1">
      <alignment horizontal="center"/>
    </xf>
    <xf numFmtId="0" fontId="29" fillId="5" borderId="61" xfId="1" applyFont="1" applyFill="1" applyBorder="1" applyAlignment="1">
      <alignment horizontal="left"/>
    </xf>
    <xf numFmtId="0" fontId="29" fillId="5" borderId="62" xfId="1" applyFont="1" applyFill="1" applyBorder="1" applyAlignment="1">
      <alignment horizontal="left"/>
    </xf>
    <xf numFmtId="0" fontId="29" fillId="5" borderId="27" xfId="1" applyFont="1" applyFill="1" applyBorder="1" applyAlignment="1">
      <alignment horizontal="left"/>
    </xf>
    <xf numFmtId="0" fontId="29" fillId="0" borderId="80" xfId="1" applyFont="1" applyBorder="1" applyAlignment="1">
      <alignment horizontal="left"/>
    </xf>
    <xf numFmtId="0" fontId="29" fillId="0" borderId="81" xfId="1" applyFont="1" applyBorder="1" applyAlignment="1">
      <alignment horizontal="left"/>
    </xf>
    <xf numFmtId="0" fontId="29" fillId="0" borderId="82" xfId="1" applyFont="1" applyBorder="1" applyAlignment="1">
      <alignment horizontal="left"/>
    </xf>
    <xf numFmtId="0" fontId="36" fillId="0" borderId="63" xfId="1" applyFont="1" applyBorder="1" applyAlignment="1">
      <alignment horizontal="left"/>
    </xf>
    <xf numFmtId="0" fontId="36" fillId="0" borderId="64" xfId="1" applyFont="1" applyBorder="1" applyAlignment="1">
      <alignment horizontal="left"/>
    </xf>
    <xf numFmtId="2" fontId="38" fillId="0" borderId="65" xfId="1" applyNumberFormat="1" applyFont="1" applyBorder="1" applyAlignment="1">
      <alignment horizontal="center"/>
    </xf>
    <xf numFmtId="2" fontId="38" fillId="0" borderId="66" xfId="1" applyNumberFormat="1" applyFont="1" applyBorder="1" applyAlignment="1">
      <alignment horizontal="center"/>
    </xf>
    <xf numFmtId="0" fontId="38" fillId="0" borderId="65" xfId="1" applyFont="1" applyBorder="1" applyAlignment="1">
      <alignment horizontal="center"/>
    </xf>
    <xf numFmtId="0" fontId="38" fillId="0" borderId="66" xfId="1" applyFont="1" applyBorder="1" applyAlignment="1">
      <alignment horizontal="center"/>
    </xf>
    <xf numFmtId="0" fontId="36" fillId="0" borderId="75" xfId="1" applyFont="1" applyBorder="1" applyAlignment="1">
      <alignment horizontal="left"/>
    </xf>
    <xf numFmtId="0" fontId="36" fillId="0" borderId="68" xfId="1" applyFont="1" applyBorder="1" applyAlignment="1">
      <alignment horizontal="left"/>
    </xf>
    <xf numFmtId="0" fontId="36" fillId="0" borderId="69" xfId="1" applyFont="1" applyBorder="1" applyAlignment="1">
      <alignment horizontal="left"/>
    </xf>
    <xf numFmtId="0" fontId="38" fillId="0" borderId="65" xfId="3" applyFont="1" applyBorder="1" applyAlignment="1">
      <alignment horizontal="center"/>
    </xf>
    <xf numFmtId="0" fontId="38" fillId="0" borderId="66" xfId="3" applyFont="1" applyBorder="1" applyAlignment="1">
      <alignment horizontal="center"/>
    </xf>
    <xf numFmtId="167" fontId="38" fillId="5" borderId="65" xfId="1" applyNumberFormat="1" applyFont="1" applyFill="1" applyBorder="1" applyAlignment="1">
      <alignment horizontal="center"/>
    </xf>
    <xf numFmtId="167" fontId="38" fillId="5" borderId="66" xfId="1" applyNumberFormat="1" applyFont="1" applyFill="1" applyBorder="1" applyAlignment="1">
      <alignment horizontal="center"/>
    </xf>
    <xf numFmtId="0" fontId="38" fillId="5" borderId="65" xfId="1" applyFont="1" applyFill="1" applyBorder="1" applyAlignment="1">
      <alignment horizontal="center"/>
    </xf>
    <xf numFmtId="0" fontId="38" fillId="5" borderId="66" xfId="1" applyFont="1" applyFill="1" applyBorder="1" applyAlignment="1">
      <alignment horizontal="center"/>
    </xf>
    <xf numFmtId="167" fontId="38" fillId="0" borderId="65" xfId="1" applyNumberFormat="1" applyFont="1" applyBorder="1" applyAlignment="1">
      <alignment horizontal="center"/>
    </xf>
    <xf numFmtId="167" fontId="38" fillId="0" borderId="66" xfId="1" applyNumberFormat="1" applyFont="1" applyBorder="1" applyAlignment="1">
      <alignment horizontal="center"/>
    </xf>
    <xf numFmtId="1" fontId="38" fillId="5" borderId="65" xfId="1" applyNumberFormat="1" applyFont="1" applyFill="1" applyBorder="1" applyAlignment="1">
      <alignment horizontal="center"/>
    </xf>
    <xf numFmtId="1" fontId="38" fillId="5" borderId="66" xfId="1" applyNumberFormat="1" applyFont="1" applyFill="1" applyBorder="1" applyAlignment="1">
      <alignment horizontal="center"/>
    </xf>
    <xf numFmtId="0" fontId="36" fillId="5" borderId="75" xfId="1" applyFont="1" applyFill="1" applyBorder="1" applyAlignment="1">
      <alignment horizontal="left"/>
    </xf>
    <xf numFmtId="0" fontId="36" fillId="5" borderId="68" xfId="1" applyFont="1" applyFill="1" applyBorder="1" applyAlignment="1">
      <alignment horizontal="left"/>
    </xf>
    <xf numFmtId="0" fontId="36" fillId="5" borderId="69" xfId="1" applyFont="1" applyFill="1" applyBorder="1" applyAlignment="1">
      <alignment horizontal="left"/>
    </xf>
    <xf numFmtId="2" fontId="38" fillId="5" borderId="65" xfId="1" applyNumberFormat="1" applyFont="1" applyFill="1" applyBorder="1" applyAlignment="1">
      <alignment horizontal="center"/>
    </xf>
    <xf numFmtId="2" fontId="38" fillId="5" borderId="66" xfId="1" applyNumberFormat="1" applyFont="1" applyFill="1" applyBorder="1" applyAlignment="1">
      <alignment horizontal="center"/>
    </xf>
    <xf numFmtId="0" fontId="36" fillId="5" borderId="75" xfId="1" quotePrefix="1" applyFont="1" applyFill="1" applyBorder="1" applyAlignment="1">
      <alignment horizontal="left"/>
    </xf>
    <xf numFmtId="0" fontId="36" fillId="5" borderId="68" xfId="1" quotePrefix="1" applyFont="1" applyFill="1" applyBorder="1" applyAlignment="1">
      <alignment horizontal="left"/>
    </xf>
    <xf numFmtId="0" fontId="36" fillId="5" borderId="69" xfId="1" quotePrefix="1" applyFont="1" applyFill="1" applyBorder="1" applyAlignment="1">
      <alignment horizontal="left"/>
    </xf>
    <xf numFmtId="0" fontId="36" fillId="5" borderId="87" xfId="1" applyFont="1" applyFill="1" applyBorder="1" applyAlignment="1">
      <alignment horizontal="center"/>
    </xf>
    <xf numFmtId="0" fontId="36" fillId="5" borderId="88" xfId="1" applyFont="1" applyFill="1" applyBorder="1" applyAlignment="1">
      <alignment horizontal="center"/>
    </xf>
    <xf numFmtId="0" fontId="36" fillId="5" borderId="83" xfId="1" applyFont="1" applyFill="1" applyBorder="1" applyAlignment="1">
      <alignment horizontal="center"/>
    </xf>
    <xf numFmtId="0" fontId="36" fillId="5" borderId="0" xfId="1" applyFont="1" applyFill="1" applyAlignment="1">
      <alignment horizontal="center"/>
    </xf>
    <xf numFmtId="0" fontId="36" fillId="5" borderId="85" xfId="1" applyFont="1" applyFill="1" applyBorder="1" applyAlignment="1">
      <alignment horizontal="center"/>
    </xf>
    <xf numFmtId="0" fontId="36" fillId="5" borderId="40" xfId="1" applyFont="1" applyFill="1" applyBorder="1" applyAlignment="1">
      <alignment horizontal="center"/>
    </xf>
    <xf numFmtId="0" fontId="36" fillId="5" borderId="89" xfId="1" applyFont="1" applyFill="1" applyBorder="1" applyAlignment="1">
      <alignment horizontal="left"/>
    </xf>
    <xf numFmtId="0" fontId="36" fillId="5" borderId="90" xfId="1" applyFont="1" applyFill="1" applyBorder="1" applyAlignment="1">
      <alignment horizontal="left"/>
    </xf>
    <xf numFmtId="0" fontId="36" fillId="5" borderId="91" xfId="1" applyFont="1" applyFill="1" applyBorder="1" applyAlignment="1">
      <alignment horizontal="left"/>
    </xf>
    <xf numFmtId="0" fontId="38" fillId="5" borderId="92" xfId="1" applyFont="1" applyFill="1" applyBorder="1" applyAlignment="1">
      <alignment horizontal="center"/>
    </xf>
    <xf numFmtId="0" fontId="38" fillId="0" borderId="92" xfId="1" applyFont="1" applyBorder="1" applyAlignment="1">
      <alignment horizontal="center"/>
    </xf>
    <xf numFmtId="169" fontId="38" fillId="5" borderId="65" xfId="1" applyNumberFormat="1" applyFont="1" applyFill="1" applyBorder="1" applyAlignment="1">
      <alignment horizontal="center"/>
    </xf>
    <xf numFmtId="169" fontId="38" fillId="5" borderId="66" xfId="1" applyNumberFormat="1" applyFont="1" applyFill="1" applyBorder="1" applyAlignment="1">
      <alignment horizontal="center"/>
    </xf>
    <xf numFmtId="1" fontId="38" fillId="5" borderId="100" xfId="1" applyNumberFormat="1" applyFont="1" applyFill="1" applyBorder="1" applyAlignment="1">
      <alignment horizontal="center"/>
    </xf>
    <xf numFmtId="1" fontId="38" fillId="5" borderId="101" xfId="1" applyNumberFormat="1" applyFont="1" applyFill="1" applyBorder="1" applyAlignment="1">
      <alignment horizontal="center"/>
    </xf>
    <xf numFmtId="0" fontId="34" fillId="0" borderId="107" xfId="1" applyFont="1" applyBorder="1" applyAlignment="1">
      <alignment horizontal="left"/>
    </xf>
    <xf numFmtId="0" fontId="34" fillId="0" borderId="77" xfId="1" applyFont="1" applyBorder="1" applyAlignment="1">
      <alignment horizontal="left"/>
    </xf>
    <xf numFmtId="0" fontId="29" fillId="0" borderId="102" xfId="1" applyFont="1" applyBorder="1" applyAlignment="1">
      <alignment horizontal="left"/>
    </xf>
    <xf numFmtId="0" fontId="29" fillId="0" borderId="62" xfId="1" applyFont="1" applyBorder="1" applyAlignment="1">
      <alignment horizontal="left"/>
    </xf>
    <xf numFmtId="14" fontId="19" fillId="5" borderId="120" xfId="1" applyNumberFormat="1" applyFont="1" applyFill="1" applyBorder="1" applyAlignment="1">
      <alignment horizontal="center"/>
    </xf>
    <xf numFmtId="14" fontId="19" fillId="5" borderId="121" xfId="1" applyNumberFormat="1" applyFont="1" applyFill="1" applyBorder="1" applyAlignment="1">
      <alignment horizontal="center"/>
    </xf>
    <xf numFmtId="0" fontId="34" fillId="0" borderId="45" xfId="1" applyFont="1" applyBorder="1" applyAlignment="1">
      <alignment horizontal="center"/>
    </xf>
    <xf numFmtId="0" fontId="34" fillId="0" borderId="0" xfId="1" applyFont="1" applyAlignment="1">
      <alignment horizontal="center"/>
    </xf>
    <xf numFmtId="0" fontId="34" fillId="0" borderId="108" xfId="1" applyFont="1" applyBorder="1" applyAlignment="1">
      <alignment horizontal="center"/>
    </xf>
    <xf numFmtId="0" fontId="34" fillId="0" borderId="110" xfId="1" applyFont="1" applyBorder="1" applyAlignment="1">
      <alignment horizontal="center"/>
    </xf>
    <xf numFmtId="0" fontId="34" fillId="0" borderId="40" xfId="1" applyFont="1" applyBorder="1" applyAlignment="1">
      <alignment horizontal="center"/>
    </xf>
    <xf numFmtId="0" fontId="34" fillId="0" borderId="39" xfId="1" applyFont="1" applyBorder="1" applyAlignment="1">
      <alignment horizontal="center"/>
    </xf>
    <xf numFmtId="0" fontId="29" fillId="0" borderId="38" xfId="1" applyFont="1" applyBorder="1" applyAlignment="1">
      <alignment horizontal="left"/>
    </xf>
    <xf numFmtId="0" fontId="34" fillId="0" borderId="46" xfId="1" applyFont="1" applyBorder="1" applyAlignment="1">
      <alignment horizontal="center"/>
    </xf>
    <xf numFmtId="0" fontId="34" fillId="0" borderId="23" xfId="1" applyFont="1" applyBorder="1" applyAlignment="1">
      <alignment horizontal="center"/>
    </xf>
    <xf numFmtId="0" fontId="34" fillId="0" borderId="48" xfId="1" applyFont="1" applyBorder="1" applyAlignment="1">
      <alignment horizontal="center"/>
    </xf>
    <xf numFmtId="0" fontId="47" fillId="5" borderId="115" xfId="1" applyFont="1" applyFill="1" applyBorder="1" applyAlignment="1">
      <alignment horizontal="center"/>
    </xf>
    <xf numFmtId="0" fontId="47" fillId="5" borderId="116" xfId="1" applyFont="1" applyFill="1" applyBorder="1" applyAlignment="1">
      <alignment horizontal="center"/>
    </xf>
    <xf numFmtId="0" fontId="1" fillId="0" borderId="50" xfId="2" applyBorder="1" applyAlignment="1">
      <alignment horizontal="left"/>
    </xf>
    <xf numFmtId="0" fontId="1" fillId="0" borderId="13" xfId="2" applyBorder="1" applyAlignment="1">
      <alignment horizontal="left"/>
    </xf>
    <xf numFmtId="170" fontId="1" fillId="0" borderId="50" xfId="2" applyNumberFormat="1" applyBorder="1" applyAlignment="1">
      <alignment horizontal="center"/>
    </xf>
    <xf numFmtId="170" fontId="1" fillId="0" borderId="13" xfId="2" applyNumberFormat="1" applyBorder="1" applyAlignment="1">
      <alignment horizontal="center"/>
    </xf>
    <xf numFmtId="170" fontId="1" fillId="0" borderId="55" xfId="2" applyNumberFormat="1" applyBorder="1" applyAlignment="1">
      <alignment horizontal="center"/>
    </xf>
    <xf numFmtId="49" fontId="1" fillId="0" borderId="50" xfId="2" applyNumberFormat="1" applyBorder="1" applyAlignment="1">
      <alignment horizontal="center"/>
    </xf>
    <xf numFmtId="49" fontId="1" fillId="0" borderId="13" xfId="2" applyNumberFormat="1" applyBorder="1" applyAlignment="1">
      <alignment horizontal="center"/>
    </xf>
    <xf numFmtId="49" fontId="1" fillId="0" borderId="14" xfId="2" applyNumberFormat="1" applyBorder="1" applyAlignment="1">
      <alignment horizontal="center"/>
    </xf>
    <xf numFmtId="0" fontId="51" fillId="0" borderId="45" xfId="2" applyFont="1" applyBorder="1" applyAlignment="1">
      <alignment horizontal="center"/>
    </xf>
    <xf numFmtId="0" fontId="51" fillId="0" borderId="0" xfId="2" applyFont="1" applyAlignment="1">
      <alignment horizontal="center"/>
    </xf>
    <xf numFmtId="0" fontId="51" fillId="0" borderId="53" xfId="2" applyFont="1" applyBorder="1" applyAlignment="1">
      <alignment horizontal="center"/>
    </xf>
    <xf numFmtId="0" fontId="50" fillId="0" borderId="15" xfId="2" applyFont="1" applyBorder="1" applyAlignment="1">
      <alignment horizontal="center"/>
    </xf>
    <xf numFmtId="0" fontId="50" fillId="0" borderId="7" xfId="2" applyFont="1" applyBorder="1" applyAlignment="1">
      <alignment horizontal="center"/>
    </xf>
    <xf numFmtId="0" fontId="50" fillId="0" borderId="128" xfId="2" applyFont="1" applyBorder="1" applyAlignment="1">
      <alignment horizontal="center"/>
    </xf>
    <xf numFmtId="0" fontId="50" fillId="0" borderId="8" xfId="2" applyFont="1" applyBorder="1" applyAlignment="1">
      <alignment horizontal="center"/>
    </xf>
    <xf numFmtId="0" fontId="1" fillId="0" borderId="17" xfId="2" applyBorder="1" applyAlignment="1">
      <alignment horizontal="left"/>
    </xf>
    <xf numFmtId="0" fontId="1" fillId="0" borderId="129" xfId="2" applyBorder="1" applyAlignment="1">
      <alignment horizontal="left"/>
    </xf>
    <xf numFmtId="170" fontId="1" fillId="0" borderId="17" xfId="2" applyNumberFormat="1" applyBorder="1" applyAlignment="1">
      <alignment horizontal="center"/>
    </xf>
    <xf numFmtId="170" fontId="1" fillId="0" borderId="129" xfId="2" applyNumberFormat="1" applyBorder="1" applyAlignment="1">
      <alignment horizontal="center"/>
    </xf>
    <xf numFmtId="170" fontId="1" fillId="0" borderId="130" xfId="2" applyNumberFormat="1" applyBorder="1" applyAlignment="1">
      <alignment horizontal="center"/>
    </xf>
    <xf numFmtId="49" fontId="1" fillId="0" borderId="17" xfId="2" applyNumberFormat="1" applyBorder="1" applyAlignment="1">
      <alignment horizontal="center"/>
    </xf>
    <xf numFmtId="49" fontId="1" fillId="0" borderId="129" xfId="2" applyNumberFormat="1" applyBorder="1" applyAlignment="1">
      <alignment horizontal="center"/>
    </xf>
    <xf numFmtId="49" fontId="1" fillId="0" borderId="16" xfId="2" applyNumberFormat="1" applyBorder="1" applyAlignment="1">
      <alignment horizontal="center"/>
    </xf>
    <xf numFmtId="0" fontId="1" fillId="0" borderId="31" xfId="2" applyBorder="1" applyAlignment="1">
      <alignment horizontal="left"/>
    </xf>
    <xf numFmtId="0" fontId="1" fillId="0" borderId="51" xfId="2" applyBorder="1" applyAlignment="1">
      <alignment horizontal="left"/>
    </xf>
    <xf numFmtId="170" fontId="1" fillId="0" borderId="31" xfId="2" applyNumberFormat="1" applyBorder="1" applyAlignment="1">
      <alignment horizontal="center"/>
    </xf>
    <xf numFmtId="170" fontId="1" fillId="0" borderId="51" xfId="2" applyNumberFormat="1" applyBorder="1" applyAlignment="1">
      <alignment horizontal="center"/>
    </xf>
    <xf numFmtId="170" fontId="1" fillId="0" borderId="131" xfId="2" applyNumberFormat="1" applyBorder="1" applyAlignment="1">
      <alignment horizontal="center"/>
    </xf>
    <xf numFmtId="49" fontId="1" fillId="0" borderId="31" xfId="2" applyNumberFormat="1" applyBorder="1" applyAlignment="1">
      <alignment horizontal="center"/>
    </xf>
    <xf numFmtId="49" fontId="1" fillId="0" borderId="51" xfId="2" applyNumberFormat="1" applyBorder="1" applyAlignment="1">
      <alignment horizontal="center"/>
    </xf>
    <xf numFmtId="49" fontId="1" fillId="0" borderId="32" xfId="2" applyNumberFormat="1" applyBorder="1" applyAlignment="1">
      <alignment horizontal="center"/>
    </xf>
    <xf numFmtId="0" fontId="54" fillId="0" borderId="1" xfId="4" applyFont="1" applyBorder="1" applyAlignment="1">
      <alignment horizontal="center"/>
    </xf>
    <xf numFmtId="0" fontId="6" fillId="0" borderId="0" xfId="4" applyFont="1" applyAlignment="1">
      <alignment horizontal="center"/>
    </xf>
    <xf numFmtId="0" fontId="56" fillId="0" borderId="17" xfId="4" applyFont="1" applyBorder="1" applyAlignment="1">
      <alignment horizontal="center"/>
    </xf>
    <xf numFmtId="0" fontId="32" fillId="0" borderId="129" xfId="4" applyFont="1" applyBorder="1" applyAlignment="1">
      <alignment horizontal="center"/>
    </xf>
    <xf numFmtId="0" fontId="32" fillId="0" borderId="130" xfId="4" applyFont="1" applyBorder="1" applyAlignment="1">
      <alignment horizontal="center"/>
    </xf>
    <xf numFmtId="0" fontId="55" fillId="0" borderId="1" xfId="4" applyFont="1" applyBorder="1" applyAlignment="1">
      <alignment horizontal="center"/>
    </xf>
    <xf numFmtId="0" fontId="32" fillId="0" borderId="17" xfId="4" applyFont="1" applyBorder="1" applyAlignment="1">
      <alignment horizontal="center"/>
    </xf>
    <xf numFmtId="0" fontId="54" fillId="0" borderId="17" xfId="4" applyFont="1" applyBorder="1" applyAlignment="1">
      <alignment horizontal="right"/>
    </xf>
    <xf numFmtId="0" fontId="54" fillId="0" borderId="129" xfId="4" applyFont="1" applyBorder="1" applyAlignment="1">
      <alignment horizontal="right"/>
    </xf>
    <xf numFmtId="0" fontId="32" fillId="0" borderId="0" xfId="4" applyFont="1" applyAlignment="1">
      <alignment horizontal="center"/>
    </xf>
    <xf numFmtId="0" fontId="55" fillId="0" borderId="0" xfId="4" applyFont="1" applyAlignment="1">
      <alignment horizontal="right"/>
    </xf>
    <xf numFmtId="172" fontId="77" fillId="0" borderId="146" xfId="5" applyFont="1" applyBorder="1" applyAlignment="1" applyProtection="1">
      <alignment horizontal="center"/>
      <protection locked="0"/>
    </xf>
    <xf numFmtId="14" fontId="24" fillId="0" borderId="146" xfId="5" quotePrefix="1" applyNumberFormat="1" applyFont="1" applyBorder="1" applyAlignment="1" applyProtection="1">
      <alignment horizontal="center"/>
      <protection locked="0"/>
    </xf>
    <xf numFmtId="0" fontId="57" fillId="0" borderId="17" xfId="4" applyFont="1" applyBorder="1" applyAlignment="1">
      <alignment horizontal="center"/>
    </xf>
    <xf numFmtId="0" fontId="57" fillId="0" borderId="129" xfId="4" applyFont="1" applyBorder="1" applyAlignment="1">
      <alignment horizontal="center"/>
    </xf>
    <xf numFmtId="0" fontId="57" fillId="0" borderId="130" xfId="4" applyFont="1" applyBorder="1" applyAlignment="1">
      <alignment horizontal="center"/>
    </xf>
    <xf numFmtId="0" fontId="59" fillId="0" borderId="83" xfId="4" applyFont="1" applyBorder="1" applyAlignment="1">
      <alignment horizontal="center"/>
    </xf>
    <xf numFmtId="0" fontId="59" fillId="0" borderId="0" xfId="4" applyFont="1" applyAlignment="1">
      <alignment horizontal="center"/>
    </xf>
    <xf numFmtId="0" fontId="59" fillId="0" borderId="108" xfId="4" applyFont="1" applyBorder="1" applyAlignment="1">
      <alignment horizontal="center"/>
    </xf>
    <xf numFmtId="0" fontId="61" fillId="0" borderId="83" xfId="4" applyFont="1" applyBorder="1" applyAlignment="1">
      <alignment horizontal="center"/>
    </xf>
    <xf numFmtId="0" fontId="61" fillId="0" borderId="0" xfId="4" applyFont="1" applyAlignment="1">
      <alignment horizontal="center"/>
    </xf>
    <xf numFmtId="0" fontId="61" fillId="0" borderId="108" xfId="4" applyFont="1" applyBorder="1" applyAlignment="1">
      <alignment horizontal="center"/>
    </xf>
    <xf numFmtId="0" fontId="1" fillId="0" borderId="52" xfId="4" applyBorder="1" applyAlignment="1">
      <alignment horizontal="center"/>
    </xf>
    <xf numFmtId="0" fontId="1" fillId="0" borderId="53" xfId="4" applyBorder="1" applyAlignment="1">
      <alignment horizontal="center"/>
    </xf>
    <xf numFmtId="0" fontId="1" fillId="0" borderId="54" xfId="4" applyBorder="1" applyAlignment="1">
      <alignment horizontal="center"/>
    </xf>
    <xf numFmtId="0" fontId="78" fillId="5" borderId="68" xfId="3" applyFont="1" applyFill="1" applyBorder="1" applyAlignment="1">
      <alignment horizontal="left"/>
    </xf>
    <xf numFmtId="0" fontId="78" fillId="5" borderId="68" xfId="1" applyFont="1" applyFill="1" applyBorder="1" applyAlignment="1">
      <alignment horizontal="left"/>
    </xf>
  </cellXfs>
  <cellStyles count="6">
    <cellStyle name="Normal" xfId="0" builtinId="0"/>
    <cellStyle name="Normal 2" xfId="1" xr:uid="{00000000-0005-0000-0000-000001000000}"/>
    <cellStyle name="Normal 3" xfId="4" xr:uid="{00000000-0005-0000-0000-000002000000}"/>
    <cellStyle name="Normal 4" xfId="5" xr:uid="{00000000-0005-0000-0000-000003000000}"/>
    <cellStyle name="Normal_OPTest" xfId="3" xr:uid="{00000000-0005-0000-0000-000004000000}"/>
    <cellStyle name="Normal_PROJ_REV_HIST" xfId="2" xr:uid="{00000000-0005-0000-0000-000005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S-T Curve Estimation</a:t>
            </a:r>
          </a:p>
        </c:rich>
      </c:tx>
      <c:layout>
        <c:manualLayout>
          <c:xMode val="edge"/>
          <c:yMode val="edge"/>
          <c:x val="0.33964642350740643"/>
          <c:y val="2.101325569597917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982326707498097"/>
          <c:y val="0.1134708694282645"/>
          <c:w val="0.67929306829992386"/>
          <c:h val="0.68082521656958694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6.99999975040555E-3</c:v>
                </c:pt>
                <c:pt idx="2">
                  <c:v>3.5000000149011612E-2</c:v>
                </c:pt>
                <c:pt idx="3" formatCode="0.00">
                  <c:v>8.5789471864700317E-2</c:v>
                </c:pt>
                <c:pt idx="4" formatCode="0.00">
                  <c:v>0.13657894730567932</c:v>
                </c:pt>
                <c:pt idx="5" formatCode="0.00">
                  <c:v>0.18736842274665833</c:v>
                </c:pt>
                <c:pt idx="6" formatCode="0.00">
                  <c:v>0.28894737362861633</c:v>
                </c:pt>
                <c:pt idx="7" formatCode="0.00">
                  <c:v>0.39052632451057434</c:v>
                </c:pt>
                <c:pt idx="8" formatCode="0.00">
                  <c:v>0.49210527539253235</c:v>
                </c:pt>
                <c:pt idx="9" formatCode="0.00">
                  <c:v>0.59368425607681274</c:v>
                </c:pt>
                <c:pt idx="10" formatCode="0.00">
                  <c:v>0.69526314735412598</c:v>
                </c:pt>
                <c:pt idx="11" formatCode="0.00">
                  <c:v>0.79684209823608398</c:v>
                </c:pt>
                <c:pt idx="12" formatCode="0.00">
                  <c:v>0.89842104911804199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(DesignSheet!$B$59:$B$68,DesignSheet!$E$59:$E$62)</c:f>
              <c:numCache>
                <c:formatCode>0.0</c:formatCode>
                <c:ptCount val="14"/>
                <c:pt idx="0">
                  <c:v>0</c:v>
                </c:pt>
                <c:pt idx="1">
                  <c:v>153.46159310353764</c:v>
                </c:pt>
                <c:pt idx="2">
                  <c:v>285</c:v>
                </c:pt>
                <c:pt idx="3">
                  <c:v>186.6405474992103</c:v>
                </c:pt>
                <c:pt idx="4">
                  <c:v>144.84794675948984</c:v>
                </c:pt>
                <c:pt idx="5">
                  <c:v>127.22386329728494</c:v>
                </c:pt>
                <c:pt idx="6">
                  <c:v>116.91147276992525</c:v>
                </c:pt>
                <c:pt idx="7">
                  <c:v>112.22072530372245</c:v>
                </c:pt>
                <c:pt idx="8">
                  <c:v>109.36364778329632</c:v>
                </c:pt>
                <c:pt idx="9">
                  <c:v>107.51981258329502</c:v>
                </c:pt>
                <c:pt idx="10">
                  <c:v>106.35364436427895</c:v>
                </c:pt>
                <c:pt idx="11">
                  <c:v>105.64303582592581</c:v>
                </c:pt>
                <c:pt idx="12">
                  <c:v>105.22855940215669</c:v>
                </c:pt>
                <c:pt idx="13">
                  <c:v>105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E3E-4347-8EDA-0A8B5264EF01}"/>
            </c:ext>
          </c:extLst>
        </c:ser>
        <c:ser>
          <c:idx val="2"/>
          <c:order val="2"/>
          <c:spPr>
            <a:ln w="12700">
              <a:pattFill prst="pct7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6.99999975040555E-3</c:v>
                </c:pt>
                <c:pt idx="2">
                  <c:v>3.5000000149011612E-2</c:v>
                </c:pt>
                <c:pt idx="3" formatCode="0.00">
                  <c:v>8.5789471864700317E-2</c:v>
                </c:pt>
                <c:pt idx="4" formatCode="0.00">
                  <c:v>0.13657894730567932</c:v>
                </c:pt>
                <c:pt idx="5" formatCode="0.00">
                  <c:v>0.18736842274665833</c:v>
                </c:pt>
                <c:pt idx="6" formatCode="0.00">
                  <c:v>0.28894737362861633</c:v>
                </c:pt>
                <c:pt idx="7" formatCode="0.00">
                  <c:v>0.39052632451057434</c:v>
                </c:pt>
                <c:pt idx="8" formatCode="0.00">
                  <c:v>0.49210527539253235</c:v>
                </c:pt>
                <c:pt idx="9" formatCode="0.00">
                  <c:v>0.59368425607681274</c:v>
                </c:pt>
                <c:pt idx="10" formatCode="0.00">
                  <c:v>0.69526314735412598</c:v>
                </c:pt>
                <c:pt idx="11" formatCode="0.00">
                  <c:v>0.79684209823608398</c:v>
                </c:pt>
                <c:pt idx="12" formatCode="0.00">
                  <c:v>0.89842104911804199</c:v>
                </c:pt>
                <c:pt idx="13" formatCode="0.00">
                  <c:v>1</c:v>
                </c:pt>
              </c:numCache>
            </c:numRef>
          </c:xVal>
          <c:yVal>
            <c:numRef>
              <c:f>DesignSheet!$A$100:$A$113</c:f>
              <c:numCache>
                <c:formatCode>0.0</c:formatCode>
                <c:ptCount val="14"/>
                <c:pt idx="0">
                  <c:v>100</c:v>
                </c:pt>
                <c:pt idx="1">
                  <c:v>98.599998474121094</c:v>
                </c:pt>
                <c:pt idx="2">
                  <c:v>91.125</c:v>
                </c:pt>
                <c:pt idx="3">
                  <c:v>77.694740295410156</c:v>
                </c:pt>
                <c:pt idx="4">
                  <c:v>64.489471435546875</c:v>
                </c:pt>
                <c:pt idx="5">
                  <c:v>52.778945922851563</c:v>
                </c:pt>
                <c:pt idx="6">
                  <c:v>34.878948211669922</c:v>
                </c:pt>
                <c:pt idx="7">
                  <c:v>23.042104721069336</c:v>
                </c:pt>
                <c:pt idx="8">
                  <c:v>14.63157844543457</c:v>
                </c:pt>
                <c:pt idx="9">
                  <c:v>8.3789443969726563</c:v>
                </c:pt>
                <c:pt idx="10">
                  <c:v>6.0947370529174805</c:v>
                </c:pt>
                <c:pt idx="11">
                  <c:v>7.9368419647216797</c:v>
                </c:pt>
                <c:pt idx="12">
                  <c:v>14.889472961425781</c:v>
                </c:pt>
                <c:pt idx="13">
                  <c:v>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E3E-4347-8EDA-0A8B5264EF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8567296"/>
        <c:axId val="1"/>
      </c:scatterChart>
      <c:scatterChart>
        <c:scatterStyle val="lineMarker"/>
        <c:varyColors val="0"/>
        <c:ser>
          <c:idx val="1"/>
          <c:order val="1"/>
          <c:spPr>
            <a:ln w="12700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6.99999975040555E-3</c:v>
                </c:pt>
                <c:pt idx="2">
                  <c:v>3.5000000149011612E-2</c:v>
                </c:pt>
                <c:pt idx="3" formatCode="0.00">
                  <c:v>8.5789471864700317E-2</c:v>
                </c:pt>
                <c:pt idx="4" formatCode="0.00">
                  <c:v>0.13657894730567932</c:v>
                </c:pt>
                <c:pt idx="5" formatCode="0.00">
                  <c:v>0.18736842274665833</c:v>
                </c:pt>
                <c:pt idx="6" formatCode="0.00">
                  <c:v>0.28894737362861633</c:v>
                </c:pt>
                <c:pt idx="7" formatCode="0.00">
                  <c:v>0.39052632451057434</c:v>
                </c:pt>
                <c:pt idx="8" formatCode="0.00">
                  <c:v>0.49210527539253235</c:v>
                </c:pt>
                <c:pt idx="9" formatCode="0.00">
                  <c:v>0.59368425607681274</c:v>
                </c:pt>
                <c:pt idx="10" formatCode="0.00">
                  <c:v>0.69526314735412598</c:v>
                </c:pt>
                <c:pt idx="11" formatCode="0.00">
                  <c:v>0.79684209823608398</c:v>
                </c:pt>
                <c:pt idx="12" formatCode="0.00">
                  <c:v>0.89842104911804199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(DesignSheet!$C$59:$C$68,DesignSheet!$F$59:$F$62)</c:f>
              <c:numCache>
                <c:formatCode>0.0</c:formatCode>
                <c:ptCount val="14"/>
                <c:pt idx="0">
                  <c:v>0.23726227879524231</c:v>
                </c:pt>
                <c:pt idx="1">
                  <c:v>160.05226135253906</c:v>
                </c:pt>
                <c:pt idx="2">
                  <c:v>472.106689453125</c:v>
                </c:pt>
                <c:pt idx="3">
                  <c:v>550.5213623046875</c:v>
                </c:pt>
                <c:pt idx="4">
                  <c:v>570.99114990234375</c:v>
                </c:pt>
                <c:pt idx="5">
                  <c:v>579.18804931640625</c:v>
                </c:pt>
                <c:pt idx="6">
                  <c:v>586.52490234375</c:v>
                </c:pt>
                <c:pt idx="7">
                  <c:v>591.042236328125</c:v>
                </c:pt>
                <c:pt idx="8">
                  <c:v>594.94378662109375</c:v>
                </c:pt>
                <c:pt idx="9">
                  <c:v>598.473876953125</c:v>
                </c:pt>
                <c:pt idx="10">
                  <c:v>601.6192626953125</c:v>
                </c:pt>
                <c:pt idx="11">
                  <c:v>604.3819580078125</c:v>
                </c:pt>
                <c:pt idx="12">
                  <c:v>606.79632568359375</c:v>
                </c:pt>
                <c:pt idx="13">
                  <c:v>608.910888671875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E3E-4347-8EDA-0A8B5264EF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998567296"/>
        <c:scaling>
          <c:orientation val="maxMin"/>
          <c:max val="1"/>
        </c:scaling>
        <c:delete val="0"/>
        <c:axPos val="b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Slip (p.u.)</a:t>
                </a:r>
              </a:p>
            </c:rich>
          </c:tx>
          <c:layout>
            <c:manualLayout>
              <c:xMode val="edge"/>
              <c:yMode val="edge"/>
              <c:x val="0.43751078528976983"/>
              <c:y val="0.89095657160501995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"/>
        <c:crossesAt val="0"/>
        <c:crossBetween val="midCat"/>
        <c:majorUnit val="0.2"/>
        <c:minorUnit val="0.2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Torque (%) </a:t>
                </a:r>
              </a:p>
            </c:rich>
          </c:tx>
          <c:layout>
            <c:manualLayout>
              <c:xMode val="edge"/>
              <c:yMode val="edge"/>
              <c:x val="1.4391649319697107E-2"/>
              <c:y val="0.2899812523434570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998567296"/>
        <c:crosses val="max"/>
        <c:crossBetween val="midCat"/>
        <c:majorUnit val="50"/>
        <c:minorUnit val="50"/>
      </c:valAx>
      <c:valAx>
        <c:axId val="3"/>
        <c:scaling>
          <c:orientation val="maxMin"/>
        </c:scaling>
        <c:delete val="1"/>
        <c:axPos val="b"/>
        <c:numFmt formatCode="0.00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Current (%)</a:t>
                </a:r>
              </a:p>
            </c:rich>
          </c:tx>
          <c:layout>
            <c:manualLayout>
              <c:xMode val="edge"/>
              <c:yMode val="edge"/>
              <c:x val="0.92683199082873269"/>
              <c:y val="0.256360307902688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"/>
        <c:crosses val="autoZero"/>
        <c:crossBetween val="midCat"/>
      </c:valAx>
      <c:spPr>
        <a:solidFill>
          <a:srgbClr val="E3E3E3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 horizontalDpi="-4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Design Values</a:t>
            </a:r>
          </a:p>
        </c:rich>
      </c:tx>
      <c:layout>
        <c:manualLayout>
          <c:xMode val="edge"/>
          <c:yMode val="edge"/>
          <c:x val="0.39122880692545009"/>
          <c:y val="2.851711026615969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59672868134712"/>
          <c:y val="0.14068454124263052"/>
          <c:w val="0.71228192208388519"/>
          <c:h val="0.63308043559183735"/>
        </c:manualLayout>
      </c:layout>
      <c:scatterChart>
        <c:scatterStyle val="smoothMarker"/>
        <c:varyColors val="0"/>
        <c:ser>
          <c:idx val="0"/>
          <c:order val="0"/>
          <c:tx>
            <c:v>Torque (FV)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99.300000024959445</c:v>
                </c:pt>
                <c:pt idx="2">
                  <c:v>96.499999985098839</c:v>
                </c:pt>
                <c:pt idx="3">
                  <c:v>91.421052813529968</c:v>
                </c:pt>
                <c:pt idx="4">
                  <c:v>86.342105269432068</c:v>
                </c:pt>
                <c:pt idx="5">
                  <c:v>81.263157725334167</c:v>
                </c:pt>
                <c:pt idx="6">
                  <c:v>71.105262637138367</c:v>
                </c:pt>
                <c:pt idx="7">
                  <c:v>60.947367548942566</c:v>
                </c:pt>
                <c:pt idx="8">
                  <c:v>50.789472460746765</c:v>
                </c:pt>
                <c:pt idx="9">
                  <c:v>40.631574392318726</c:v>
                </c:pt>
                <c:pt idx="10">
                  <c:v>30.473685264587402</c:v>
                </c:pt>
                <c:pt idx="11">
                  <c:v>20.315790176391602</c:v>
                </c:pt>
                <c:pt idx="12">
                  <c:v>10.157895088195801</c:v>
                </c:pt>
                <c:pt idx="13">
                  <c:v>0</c:v>
                </c:pt>
              </c:numCache>
            </c:numRef>
          </c:xVal>
          <c:yVal>
            <c:numRef>
              <c:f>STCurve!$B$54:$B$67</c:f>
              <c:numCache>
                <c:formatCode>0.0</c:formatCode>
                <c:ptCount val="14"/>
                <c:pt idx="0">
                  <c:v>0</c:v>
                </c:pt>
                <c:pt idx="1">
                  <c:v>153.46159310353764</c:v>
                </c:pt>
                <c:pt idx="2">
                  <c:v>285</c:v>
                </c:pt>
                <c:pt idx="3">
                  <c:v>186.6405474992103</c:v>
                </c:pt>
                <c:pt idx="4">
                  <c:v>144.84794675948984</c:v>
                </c:pt>
                <c:pt idx="5">
                  <c:v>127.22386329728494</c:v>
                </c:pt>
                <c:pt idx="6">
                  <c:v>116.91147276992525</c:v>
                </c:pt>
                <c:pt idx="7">
                  <c:v>112.22072530372245</c:v>
                </c:pt>
                <c:pt idx="8">
                  <c:v>109.36364778329632</c:v>
                </c:pt>
                <c:pt idx="9">
                  <c:v>107.51981258329502</c:v>
                </c:pt>
                <c:pt idx="10">
                  <c:v>106.35364436427895</c:v>
                </c:pt>
                <c:pt idx="11">
                  <c:v>105.64303582592581</c:v>
                </c:pt>
                <c:pt idx="12">
                  <c:v>105.22855940215669</c:v>
                </c:pt>
                <c:pt idx="13">
                  <c:v>105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78A-4290-B19C-48F7E17DD5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3163488"/>
        <c:axId val="1"/>
      </c:scatterChart>
      <c:scatterChart>
        <c:scatterStyle val="lineMarker"/>
        <c:varyColors val="0"/>
        <c:ser>
          <c:idx val="2"/>
          <c:order val="2"/>
          <c:tx>
            <c:v>Load (Fan / Pump)</c:v>
          </c:tx>
          <c:spPr>
            <a:ln w="25400">
              <a:solidFill>
                <a:srgbClr val="000000"/>
              </a:solidFill>
              <a:prstDash val="sysDash"/>
            </a:ln>
            <a:effectLst/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99.300000024959445</c:v>
                </c:pt>
                <c:pt idx="2">
                  <c:v>96.499999985098839</c:v>
                </c:pt>
                <c:pt idx="3">
                  <c:v>91.421052813529968</c:v>
                </c:pt>
                <c:pt idx="4">
                  <c:v>86.342105269432068</c:v>
                </c:pt>
                <c:pt idx="5">
                  <c:v>81.263157725334167</c:v>
                </c:pt>
                <c:pt idx="6">
                  <c:v>71.105262637138367</c:v>
                </c:pt>
                <c:pt idx="7">
                  <c:v>60.947367548942566</c:v>
                </c:pt>
                <c:pt idx="8">
                  <c:v>50.789472460746765</c:v>
                </c:pt>
                <c:pt idx="9">
                  <c:v>40.631574392318726</c:v>
                </c:pt>
                <c:pt idx="10">
                  <c:v>30.473685264587402</c:v>
                </c:pt>
                <c:pt idx="11">
                  <c:v>20.315790176391602</c:v>
                </c:pt>
                <c:pt idx="12">
                  <c:v>10.157895088195801</c:v>
                </c:pt>
                <c:pt idx="13">
                  <c:v>0</c:v>
                </c:pt>
              </c:numCache>
            </c:numRef>
          </c:xVal>
          <c:yVal>
            <c:numRef>
              <c:f>STCurve!$D$54:$D$67</c:f>
              <c:numCache>
                <c:formatCode>0.0</c:formatCode>
                <c:ptCount val="14"/>
                <c:pt idx="0">
                  <c:v>100</c:v>
                </c:pt>
                <c:pt idx="1">
                  <c:v>98.599998474121094</c:v>
                </c:pt>
                <c:pt idx="2">
                  <c:v>91.125</c:v>
                </c:pt>
                <c:pt idx="3">
                  <c:v>77.694740295410156</c:v>
                </c:pt>
                <c:pt idx="4">
                  <c:v>64.489471435546875</c:v>
                </c:pt>
                <c:pt idx="5">
                  <c:v>52.778945922851563</c:v>
                </c:pt>
                <c:pt idx="6">
                  <c:v>34.878948211669922</c:v>
                </c:pt>
                <c:pt idx="7">
                  <c:v>23.042104721069336</c:v>
                </c:pt>
                <c:pt idx="8">
                  <c:v>14.63157844543457</c:v>
                </c:pt>
                <c:pt idx="9">
                  <c:v>8.3789443969726563</c:v>
                </c:pt>
                <c:pt idx="10">
                  <c:v>6.0947370529174805</c:v>
                </c:pt>
                <c:pt idx="11">
                  <c:v>7.9368419647216797</c:v>
                </c:pt>
                <c:pt idx="12">
                  <c:v>14.889472961425781</c:v>
                </c:pt>
                <c:pt idx="13">
                  <c:v>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78A-4290-B19C-48F7E17DD5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3163488"/>
        <c:axId val="1"/>
      </c:scatterChart>
      <c:scatterChart>
        <c:scatterStyle val="lineMarker"/>
        <c:varyColors val="0"/>
        <c:ser>
          <c:idx val="1"/>
          <c:order val="1"/>
          <c:tx>
            <c:v>Current</c:v>
          </c:tx>
          <c:spPr>
            <a:ln w="254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99.300000024959445</c:v>
                </c:pt>
                <c:pt idx="2">
                  <c:v>96.499999985098839</c:v>
                </c:pt>
                <c:pt idx="3">
                  <c:v>91.421052813529968</c:v>
                </c:pt>
                <c:pt idx="4">
                  <c:v>86.342105269432068</c:v>
                </c:pt>
                <c:pt idx="5">
                  <c:v>81.263157725334167</c:v>
                </c:pt>
                <c:pt idx="6">
                  <c:v>71.105262637138367</c:v>
                </c:pt>
                <c:pt idx="7">
                  <c:v>60.947367548942566</c:v>
                </c:pt>
                <c:pt idx="8">
                  <c:v>50.789472460746765</c:v>
                </c:pt>
                <c:pt idx="9">
                  <c:v>40.631574392318726</c:v>
                </c:pt>
                <c:pt idx="10">
                  <c:v>30.473685264587402</c:v>
                </c:pt>
                <c:pt idx="11">
                  <c:v>20.315790176391602</c:v>
                </c:pt>
                <c:pt idx="12">
                  <c:v>10.157895088195801</c:v>
                </c:pt>
                <c:pt idx="13">
                  <c:v>0</c:v>
                </c:pt>
              </c:numCache>
            </c:numRef>
          </c:xVal>
          <c:yVal>
            <c:numRef>
              <c:f>STCurve!$C$54:$C$67</c:f>
              <c:numCache>
                <c:formatCode>0.0</c:formatCode>
                <c:ptCount val="14"/>
                <c:pt idx="0">
                  <c:v>0.23726227879524231</c:v>
                </c:pt>
                <c:pt idx="1">
                  <c:v>160.05226135253906</c:v>
                </c:pt>
                <c:pt idx="2">
                  <c:v>472.106689453125</c:v>
                </c:pt>
                <c:pt idx="3">
                  <c:v>550.5213623046875</c:v>
                </c:pt>
                <c:pt idx="4">
                  <c:v>570.99114990234375</c:v>
                </c:pt>
                <c:pt idx="5">
                  <c:v>579.18804931640625</c:v>
                </c:pt>
                <c:pt idx="6">
                  <c:v>586.52490234375</c:v>
                </c:pt>
                <c:pt idx="7">
                  <c:v>591.042236328125</c:v>
                </c:pt>
                <c:pt idx="8">
                  <c:v>594.94378662109375</c:v>
                </c:pt>
                <c:pt idx="9">
                  <c:v>598.473876953125</c:v>
                </c:pt>
                <c:pt idx="10">
                  <c:v>601.6192626953125</c:v>
                </c:pt>
                <c:pt idx="11">
                  <c:v>604.3819580078125</c:v>
                </c:pt>
                <c:pt idx="12">
                  <c:v>606.79632568359375</c:v>
                </c:pt>
                <c:pt idx="13">
                  <c:v>608.910888671875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78A-4290-B19C-48F7E17DD5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893163488"/>
        <c:scaling>
          <c:orientation val="minMax"/>
          <c:max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Synchronous Speed</a:t>
                </a:r>
              </a:p>
            </c:rich>
          </c:tx>
          <c:layout>
            <c:manualLayout>
              <c:xMode val="edge"/>
              <c:yMode val="edge"/>
              <c:x val="0.33508827186075424"/>
              <c:y val="0.8460084029420276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"/>
        <c:crosses val="autoZero"/>
        <c:crossBetween val="midCat"/>
        <c:majorUnit val="20"/>
        <c:minorUnit val="20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Torque</a:t>
                </a:r>
              </a:p>
            </c:rich>
          </c:tx>
          <c:layout>
            <c:manualLayout>
              <c:xMode val="edge"/>
              <c:yMode val="edge"/>
              <c:x val="2.8070175438596492E-2"/>
              <c:y val="0.2965781463628833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893163488"/>
        <c:crosses val="autoZero"/>
        <c:crossBetween val="midCat"/>
      </c:valAx>
      <c:valAx>
        <c:axId val="3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  <c:max val="900"/>
        </c:scaling>
        <c:delete val="0"/>
        <c:axPos val="r"/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Current</a:t>
                </a:r>
              </a:p>
            </c:rich>
          </c:tx>
          <c:layout>
            <c:manualLayout>
              <c:xMode val="edge"/>
              <c:yMode val="edge"/>
              <c:x val="0.92456306119629783"/>
              <c:y val="0.29277586499406205"/>
            </c:manualLayout>
          </c:layout>
          <c:overlay val="0"/>
          <c:spPr>
            <a:solidFill>
              <a:srgbClr val="FFFFFF"/>
            </a:solidFill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"/>
        <c:crosses val="max"/>
        <c:crossBetween val="midCat"/>
        <c:majorUnit val="150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4210581572040333"/>
          <c:y val="0.8852986437531809"/>
          <c:w val="0.23762674402541786"/>
          <c:h val="0.11470135624681896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0" verticalDpi="3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82084690553746"/>
          <c:y val="2.3668656149350608E-2"/>
          <c:w val="0.81921824104234531"/>
          <c:h val="0.86834382247930042"/>
        </c:manualLayout>
      </c:layout>
      <c:scatterChart>
        <c:scatterStyle val="smoothMarker"/>
        <c:varyColors val="0"/>
        <c:ser>
          <c:idx val="0"/>
          <c:order val="0"/>
          <c:tx>
            <c:v>Cold Stall</c:v>
          </c:tx>
          <c:spPr>
            <a:ln w="25400">
              <a:solidFill>
                <a:srgbClr val="0080C0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608.91089108910887</c:v>
                </c:pt>
                <c:pt idx="1">
                  <c:v>545.94689108910893</c:v>
                </c:pt>
                <c:pt idx="2">
                  <c:v>482.964</c:v>
                </c:pt>
                <c:pt idx="3">
                  <c:v>420</c:v>
                </c:pt>
              </c:numCache>
            </c:numRef>
          </c:xVal>
          <c:yVal>
            <c:numRef>
              <c:f>Thermdam!$B$68:$B$71</c:f>
              <c:numCache>
                <c:formatCode>0.00</c:formatCode>
                <c:ptCount val="4"/>
                <c:pt idx="0">
                  <c:v>32.271178109305247</c:v>
                </c:pt>
                <c:pt idx="1">
                  <c:v>40.144080033882382</c:v>
                </c:pt>
                <c:pt idx="2">
                  <c:v>51.297096583293545</c:v>
                </c:pt>
                <c:pt idx="3">
                  <c:v>67.830297752098787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6A3-4ED3-BD76-6A4171DAA2B3}"/>
            </c:ext>
          </c:extLst>
        </c:ser>
        <c:ser>
          <c:idx val="1"/>
          <c:order val="1"/>
          <c:tx>
            <c:v>Hot Stall</c:v>
          </c:tx>
          <c:spPr>
            <a:ln w="25400">
              <a:solidFill>
                <a:srgbClr val="996666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608.91089108910887</c:v>
                </c:pt>
                <c:pt idx="1">
                  <c:v>545.94689108910893</c:v>
                </c:pt>
                <c:pt idx="2">
                  <c:v>482.964</c:v>
                </c:pt>
                <c:pt idx="3">
                  <c:v>420</c:v>
                </c:pt>
              </c:numCache>
            </c:numRef>
          </c:xVal>
          <c:yVal>
            <c:numRef>
              <c:f>Thermdam!$C$68:$C$71</c:f>
              <c:numCache>
                <c:formatCode>0.00</c:formatCode>
                <c:ptCount val="4"/>
                <c:pt idx="0">
                  <c:v>15</c:v>
                </c:pt>
                <c:pt idx="1">
                  <c:v>18.65941176577639</c:v>
                </c:pt>
                <c:pt idx="2">
                  <c:v>23.843457035971486</c:v>
                </c:pt>
                <c:pt idx="3">
                  <c:v>31.528271538004478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6A3-4ED3-BD76-6A4171DAA2B3}"/>
            </c:ext>
          </c:extLst>
        </c:ser>
        <c:ser>
          <c:idx val="2"/>
          <c:order val="2"/>
          <c:tx>
            <c:v>Running Condition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Thermdam!$A$72:$A$79</c:f>
              <c:numCache>
                <c:formatCode>0</c:formatCode>
                <c:ptCount val="8"/>
                <c:pt idx="0">
                  <c:v>320</c:v>
                </c:pt>
                <c:pt idx="1">
                  <c:v>220</c:v>
                </c:pt>
                <c:pt idx="2">
                  <c:v>285</c:v>
                </c:pt>
                <c:pt idx="3" formatCode="General">
                  <c:v>180</c:v>
                </c:pt>
                <c:pt idx="4" formatCode="General">
                  <c:v>145</c:v>
                </c:pt>
                <c:pt idx="5" formatCode="General">
                  <c:v>125</c:v>
                </c:pt>
                <c:pt idx="6" formatCode="General">
                  <c:v>125</c:v>
                </c:pt>
                <c:pt idx="7" formatCode="General">
                  <c:v>125</c:v>
                </c:pt>
              </c:numCache>
            </c:numRef>
          </c:xVal>
          <c:yVal>
            <c:numRef>
              <c:f>Thermdam!$C$72:$C$79</c:f>
              <c:numCache>
                <c:formatCode>0.00</c:formatCode>
                <c:ptCount val="8"/>
                <c:pt idx="2">
                  <c:v>68.47137087477978</c:v>
                </c:pt>
                <c:pt idx="3">
                  <c:v>171.65392281802437</c:v>
                </c:pt>
                <c:pt idx="4">
                  <c:v>264.52257309412551</c:v>
                </c:pt>
                <c:pt idx="5" formatCode="0">
                  <c:v>600</c:v>
                </c:pt>
                <c:pt idx="6" formatCode="0">
                  <c:v>1200</c:v>
                </c:pt>
                <c:pt idx="7" formatCode="General">
                  <c:v>10000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6A3-4ED3-BD76-6A4171DAA2B3}"/>
            </c:ext>
          </c:extLst>
        </c:ser>
        <c:ser>
          <c:idx val="3"/>
          <c:order val="3"/>
          <c:tx>
            <c:v>Acceleration Curve</c:v>
          </c:tx>
          <c:spPr>
            <a:ln w="25400">
              <a:solidFill>
                <a:srgbClr val="336666"/>
              </a:solidFill>
              <a:prstDash val="solid"/>
            </a:ln>
          </c:spPr>
          <c:marker>
            <c:symbol val="none"/>
          </c:marker>
          <c:xVal>
            <c:numRef>
              <c:f>Thermdam!$E$68:$E$81</c:f>
              <c:numCache>
                <c:formatCode>0</c:formatCode>
                <c:ptCount val="14"/>
                <c:pt idx="0">
                  <c:v>608.91089108910887</c:v>
                </c:pt>
                <c:pt idx="1">
                  <c:v>607.82178217821786</c:v>
                </c:pt>
                <c:pt idx="2">
                  <c:v>605.54455445544556</c:v>
                </c:pt>
                <c:pt idx="3">
                  <c:v>602.97029702970292</c:v>
                </c:pt>
                <c:pt idx="4">
                  <c:v>600</c:v>
                </c:pt>
                <c:pt idx="5">
                  <c:v>596.73267326732685</c:v>
                </c:pt>
                <c:pt idx="6">
                  <c:v>592.97029702970292</c:v>
                </c:pt>
                <c:pt idx="7">
                  <c:v>588.81188118811883</c:v>
                </c:pt>
                <c:pt idx="8">
                  <c:v>582.87128712871299</c:v>
                </c:pt>
                <c:pt idx="9">
                  <c:v>575.04950495049502</c:v>
                </c:pt>
                <c:pt idx="10">
                  <c:v>560.79207920792078</c:v>
                </c:pt>
                <c:pt idx="11">
                  <c:v>511.28712871287127</c:v>
                </c:pt>
                <c:pt idx="12">
                  <c:v>316.03960396039605</c:v>
                </c:pt>
                <c:pt idx="13">
                  <c:v>125</c:v>
                </c:pt>
              </c:numCache>
            </c:numRef>
          </c:xVal>
          <c:yVal>
            <c:numRef>
              <c:f>Thermdam!$F$68:$F$81</c:f>
              <c:numCache>
                <c:formatCode>0.00</c:formatCode>
                <c:ptCount val="14"/>
                <c:pt idx="0">
                  <c:v>1E-4</c:v>
                </c:pt>
                <c:pt idx="1">
                  <c:v>0.88400000333786011</c:v>
                </c:pt>
                <c:pt idx="2">
                  <c:v>1.6620000600814819</c:v>
                </c:pt>
                <c:pt idx="3">
                  <c:v>2.4000000953674316</c:v>
                </c:pt>
                <c:pt idx="4">
                  <c:v>3.1330001354217529</c:v>
                </c:pt>
                <c:pt idx="5">
                  <c:v>3.8870000839233398</c:v>
                </c:pt>
                <c:pt idx="6">
                  <c:v>4.6820001602172852</c:v>
                </c:pt>
                <c:pt idx="7">
                  <c:v>5.5360002517700195</c:v>
                </c:pt>
                <c:pt idx="8">
                  <c:v>6.4710001945495605</c:v>
                </c:pt>
                <c:pt idx="9">
                  <c:v>6.943000316619873</c:v>
                </c:pt>
                <c:pt idx="10">
                  <c:v>7.3290004730224609</c:v>
                </c:pt>
                <c:pt idx="11">
                  <c:v>7.5700006484985352</c:v>
                </c:pt>
                <c:pt idx="12">
                  <c:v>7.7320008277893066</c:v>
                </c:pt>
                <c:pt idx="13">
                  <c:v>7.7740006446838379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6A3-4ED3-BD76-6A4171DAA2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3112912"/>
        <c:axId val="1"/>
      </c:scatterChart>
      <c:valAx>
        <c:axId val="883112912"/>
        <c:scaling>
          <c:orientation val="minMax"/>
          <c:max val="1000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of Full Load Current</a:t>
                </a:r>
              </a:p>
            </c:rich>
          </c:tx>
          <c:layout>
            <c:manualLayout>
              <c:xMode val="edge"/>
              <c:yMode val="edge"/>
              <c:x val="0.41530944625407168"/>
              <c:y val="0.9497047632359564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.1"/>
        <c:crossBetween val="midCat"/>
        <c:majorUnit val="100"/>
      </c:valAx>
      <c:valAx>
        <c:axId val="1"/>
        <c:scaling>
          <c:logBase val="10"/>
          <c:orientation val="minMax"/>
          <c:max val="10000"/>
          <c:min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Time in Seconds</a:t>
                </a:r>
              </a:p>
            </c:rich>
          </c:tx>
          <c:layout>
            <c:manualLayout>
              <c:xMode val="edge"/>
              <c:yMode val="edge"/>
              <c:x val="3.5830618892508145E-2"/>
              <c:y val="0.3757399555824752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83112912"/>
        <c:crosses val="autoZero"/>
        <c:crossBetween val="midCat"/>
        <c:minorUnit val="1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7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689952292200055"/>
          <c:y val="3.5984915040754913E-2"/>
          <c:w val="0.6201559777070883"/>
          <c:h val="0.82386516014359934"/>
        </c:manualLayout>
      </c:layout>
      <c:scatterChart>
        <c:scatterStyle val="smoothMarker"/>
        <c:varyColors val="0"/>
        <c:ser>
          <c:idx val="0"/>
          <c:order val="0"/>
          <c:tx>
            <c:v>Efficiency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Performance!$B$54:$B$59</c:f>
              <c:numCache>
                <c:formatCode>0.0</c:formatCode>
                <c:ptCount val="6"/>
                <c:pt idx="1">
                  <c:v>84.599998474121094</c:v>
                </c:pt>
                <c:pt idx="2">
                  <c:v>90.5</c:v>
                </c:pt>
                <c:pt idx="3">
                  <c:v>92.5</c:v>
                </c:pt>
                <c:pt idx="4">
                  <c:v>93.300003051757813</c:v>
                </c:pt>
                <c:pt idx="5">
                  <c:v>93.699996948242188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FB9-42E6-AF8F-959A82121DFF}"/>
            </c:ext>
          </c:extLst>
        </c:ser>
        <c:ser>
          <c:idx val="1"/>
          <c:order val="1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Performance!$A$55:$A$59</c:f>
              <c:numCache>
                <c:formatCode>0.0</c:formatCode>
                <c:ptCount val="5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</c:numCache>
            </c:numRef>
          </c:xVal>
          <c:yVal>
            <c:numRef>
              <c:f>Performance!$C$55:$C$59</c:f>
              <c:numCache>
                <c:formatCode>0.0</c:formatCode>
                <c:ptCount val="5"/>
                <c:pt idx="0">
                  <c:v>68.599998474121094</c:v>
                </c:pt>
                <c:pt idx="1">
                  <c:v>84.5</c:v>
                </c:pt>
                <c:pt idx="2">
                  <c:v>89.5</c:v>
                </c:pt>
                <c:pt idx="3">
                  <c:v>91.199996948242188</c:v>
                </c:pt>
                <c:pt idx="4">
                  <c:v>91.699996948242188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FB9-42E6-AF8F-959A82121DFF}"/>
            </c:ext>
          </c:extLst>
        </c:ser>
        <c:ser>
          <c:idx val="3"/>
          <c:order val="3"/>
          <c:spPr>
            <a:ln w="25400">
              <a:solidFill>
                <a:srgbClr val="3333CC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Performance!$E$54:$E$59</c:f>
              <c:numCache>
                <c:formatCode>0.0</c:formatCode>
                <c:ptCount val="6"/>
                <c:pt idx="0">
                  <c:v>100</c:v>
                </c:pt>
                <c:pt idx="1">
                  <c:v>82.130533854119676</c:v>
                </c:pt>
                <c:pt idx="2">
                  <c:v>66.322428385409083</c:v>
                </c:pt>
                <c:pt idx="3">
                  <c:v>50.171712239551503</c:v>
                </c:pt>
                <c:pt idx="4">
                  <c:v>33.333333333333329</c:v>
                </c:pt>
                <c:pt idx="5">
                  <c:v>20.9619140625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FB9-42E6-AF8F-959A82121DFF}"/>
            </c:ext>
          </c:extLst>
        </c:ser>
        <c:ser>
          <c:idx val="4"/>
          <c:order val="4"/>
          <c:spPr>
            <a:ln w="25400">
              <a:solidFill>
                <a:srgbClr val="339933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Performance!$F$54:$F$59</c:f>
              <c:numCache>
                <c:formatCode>0.0</c:formatCode>
                <c:ptCount val="6"/>
                <c:pt idx="0">
                  <c:v>1.3022499999999999</c:v>
                </c:pt>
                <c:pt idx="1">
                  <c:v>11.017462500000001</c:v>
                </c:pt>
                <c:pt idx="2">
                  <c:v>20.607250000000001</c:v>
                </c:pt>
                <c:pt idx="3">
                  <c:v>30.255743750000004</c:v>
                </c:pt>
                <c:pt idx="4">
                  <c:v>39.96464375</c:v>
                </c:pt>
                <c:pt idx="5">
                  <c:v>49.800849999999997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FB9-42E6-AF8F-959A82121D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4366728"/>
        <c:axId val="1"/>
      </c:scatterChart>
      <c:scatterChart>
        <c:scatterStyle val="lineMarker"/>
        <c:varyColors val="0"/>
        <c:ser>
          <c:idx val="2"/>
          <c:order val="2"/>
          <c:spPr>
            <a:ln w="25400">
              <a:solidFill>
                <a:srgbClr val="333300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Performance!$D$54:$D$59</c:f>
              <c:numCache>
                <c:formatCode>0.0</c:formatCode>
                <c:ptCount val="6"/>
                <c:pt idx="0">
                  <c:v>20</c:v>
                </c:pt>
                <c:pt idx="1">
                  <c:v>37.090000152587891</c:v>
                </c:pt>
                <c:pt idx="2">
                  <c:v>56.319999694824219</c:v>
                </c:pt>
                <c:pt idx="3">
                  <c:v>78.069999694824219</c:v>
                </c:pt>
                <c:pt idx="4">
                  <c:v>101.19999694824219</c:v>
                </c:pt>
                <c:pt idx="5">
                  <c:v>125.41999816894531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FB9-42E6-AF8F-959A82121D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1034366728"/>
        <c:scaling>
          <c:orientation val="minMax"/>
          <c:max val="125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Load </a:t>
                </a:r>
              </a:p>
            </c:rich>
          </c:tx>
          <c:layout>
            <c:manualLayout>
              <c:xMode val="edge"/>
              <c:yMode val="edge"/>
              <c:x val="0.43565956581008769"/>
              <c:y val="0.9204563350035790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crossBetween val="midCat"/>
        <c:majorUnit val="25"/>
        <c:minorUnit val="12.5"/>
      </c:valAx>
      <c:valAx>
        <c:axId val="1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Efficiency &amp; Power Factor (%)</a:t>
                </a:r>
              </a:p>
            </c:rich>
          </c:tx>
          <c:layout>
            <c:manualLayout>
              <c:xMode val="edge"/>
              <c:yMode val="edge"/>
              <c:x val="0.11938000773159169"/>
              <c:y val="0.2556822158593812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34366728"/>
        <c:crosses val="autoZero"/>
        <c:crossBetween val="midCat"/>
        <c:majorUnit val="10"/>
        <c:minorUnit val="5"/>
      </c:valAx>
      <c:valAx>
        <c:axId val="3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  <c:max val="200"/>
        </c:scaling>
        <c:delete val="0"/>
        <c:axPos val="r"/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Load Current (Amps)</a:t>
                </a:r>
              </a:p>
            </c:rich>
          </c:tx>
          <c:layout>
            <c:manualLayout>
              <c:xMode val="edge"/>
              <c:yMode val="edge"/>
              <c:x val="0.87907106960467141"/>
              <c:y val="0.3200763540921021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"/>
        <c:crosses val="max"/>
        <c:crossBetween val="midCat"/>
        <c:majorUnit val="2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56</xdr:row>
      <xdr:rowOff>9525</xdr:rowOff>
    </xdr:from>
    <xdr:to>
      <xdr:col>9</xdr:col>
      <xdr:colOff>809625</xdr:colOff>
      <xdr:row>67</xdr:row>
      <xdr:rowOff>180975</xdr:rowOff>
    </xdr:to>
    <xdr:graphicFrame macro="">
      <xdr:nvGraphicFramePr>
        <xdr:cNvPr id="2066" name="Chart 1">
          <a:extLst>
            <a:ext uri="{FF2B5EF4-FFF2-40B4-BE49-F238E27FC236}">
              <a16:creationId xmlns:a16="http://schemas.microsoft.com/office/drawing/2014/main" id="{00000000-0008-0000-0000-000012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152400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rrowheads="1"/>
        </xdr:cNvSpPr>
      </xdr:nvSpPr>
      <xdr:spPr bwMode="auto">
        <a:xfrm>
          <a:off x="5495925" y="989647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43</xdr:row>
      <xdr:rowOff>0</xdr:rowOff>
    </xdr:from>
    <xdr:to>
      <xdr:col>9</xdr:col>
      <xdr:colOff>333375</xdr:colOff>
      <xdr:row>43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rrowheads="1"/>
        </xdr:cNvSpPr>
      </xdr:nvSpPr>
      <xdr:spPr bwMode="auto">
        <a:xfrm>
          <a:off x="5362575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43</xdr:row>
      <xdr:rowOff>0</xdr:rowOff>
    </xdr:from>
    <xdr:to>
      <xdr:col>9</xdr:col>
      <xdr:colOff>342900</xdr:colOff>
      <xdr:row>43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rrowheads="1"/>
        </xdr:cNvSpPr>
      </xdr:nvSpPr>
      <xdr:spPr bwMode="auto">
        <a:xfrm>
          <a:off x="5372100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43</xdr:row>
      <xdr:rowOff>0</xdr:rowOff>
    </xdr:from>
    <xdr:to>
      <xdr:col>9</xdr:col>
      <xdr:colOff>409575</xdr:colOff>
      <xdr:row>43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rrowheads="1"/>
        </xdr:cNvSpPr>
      </xdr:nvSpPr>
      <xdr:spPr bwMode="auto">
        <a:xfrm>
          <a:off x="5343525" y="989647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ChangeArrowheads="1"/>
        </xdr:cNvSpPr>
      </xdr:nvSpPr>
      <xdr:spPr bwMode="auto">
        <a:xfrm>
          <a:off x="5486400" y="989647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114300</xdr:colOff>
      <xdr:row>42</xdr:row>
      <xdr:rowOff>141817</xdr:rowOff>
    </xdr:from>
    <xdr:to>
      <xdr:col>3</xdr:col>
      <xdr:colOff>409575</xdr:colOff>
      <xdr:row>43</xdr:row>
      <xdr:rowOff>37042</xdr:rowOff>
    </xdr:to>
    <xdr:sp macro="" textlink="">
      <xdr:nvSpPr>
        <xdr:cNvPr id="7" name="Radius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>
          <a:spLocks noChangeArrowheads="1"/>
        </xdr:cNvSpPr>
      </xdr:nvSpPr>
      <xdr:spPr bwMode="auto">
        <a:xfrm>
          <a:off x="1809750" y="9809692"/>
          <a:ext cx="295275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281.0</a:t>
          </a:r>
        </a:p>
      </xdr:txBody>
    </xdr:sp>
    <xdr:clientData/>
  </xdr:twoCellAnchor>
  <xdr:twoCellAnchor>
    <xdr:from>
      <xdr:col>3</xdr:col>
      <xdr:colOff>258384</xdr:colOff>
      <xdr:row>40</xdr:row>
      <xdr:rowOff>145294</xdr:rowOff>
    </xdr:from>
    <xdr:to>
      <xdr:col>3</xdr:col>
      <xdr:colOff>545494</xdr:colOff>
      <xdr:row>41</xdr:row>
      <xdr:rowOff>9222</xdr:rowOff>
    </xdr:to>
    <xdr:sp macro="" textlink="">
      <xdr:nvSpPr>
        <xdr:cNvPr id="8" name="Height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>
          <a:spLocks noChangeArrowheads="1"/>
        </xdr:cNvSpPr>
      </xdr:nvSpPr>
      <xdr:spPr bwMode="auto">
        <a:xfrm>
          <a:off x="1953834" y="9355969"/>
          <a:ext cx="287110" cy="92528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25.0</a:t>
          </a:r>
        </a:p>
      </xdr:txBody>
    </xdr:sp>
    <xdr:clientData/>
  </xdr:twoCellAnchor>
  <xdr:twoCellAnchor>
    <xdr:from>
      <xdr:col>2</xdr:col>
      <xdr:colOff>28575</xdr:colOff>
      <xdr:row>41</xdr:row>
      <xdr:rowOff>104775</xdr:rowOff>
    </xdr:from>
    <xdr:to>
      <xdr:col>2</xdr:col>
      <xdr:colOff>285750</xdr:colOff>
      <xdr:row>41</xdr:row>
      <xdr:rowOff>219075</xdr:rowOff>
    </xdr:to>
    <xdr:sp macro="" textlink="">
      <xdr:nvSpPr>
        <xdr:cNvPr id="9" name="Clear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>
          <a:spLocks noChangeArrowheads="1"/>
        </xdr:cNvSpPr>
      </xdr:nvSpPr>
      <xdr:spPr bwMode="auto">
        <a:xfrm>
          <a:off x="1228725" y="9544050"/>
          <a:ext cx="257175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50.0</a:t>
          </a:r>
        </a:p>
      </xdr:txBody>
    </xdr:sp>
    <xdr:clientData/>
  </xdr:twoCellAnchor>
  <xdr:twoCellAnchor>
    <xdr:from>
      <xdr:col>2</xdr:col>
      <xdr:colOff>368753</xdr:colOff>
      <xdr:row>42</xdr:row>
      <xdr:rowOff>51557</xdr:rowOff>
    </xdr:from>
    <xdr:to>
      <xdr:col>3</xdr:col>
      <xdr:colOff>64709</xdr:colOff>
      <xdr:row>42</xdr:row>
      <xdr:rowOff>156332</xdr:rowOff>
    </xdr:to>
    <xdr:sp macro="" textlink="">
      <xdr:nvSpPr>
        <xdr:cNvPr id="10" name="Thickness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>
          <a:spLocks noChangeArrowheads="1"/>
        </xdr:cNvSpPr>
      </xdr:nvSpPr>
      <xdr:spPr bwMode="auto">
        <a:xfrm>
          <a:off x="1568903" y="9719432"/>
          <a:ext cx="191256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70.0</a:t>
          </a:r>
        </a:p>
      </xdr:txBody>
    </xdr:sp>
    <xdr:clientData/>
  </xdr:twoCellAnchor>
  <xdr:twoCellAnchor>
    <xdr:from>
      <xdr:col>3</xdr:col>
      <xdr:colOff>200025</xdr:colOff>
      <xdr:row>35</xdr:row>
      <xdr:rowOff>123825</xdr:rowOff>
    </xdr:from>
    <xdr:to>
      <xdr:col>3</xdr:col>
      <xdr:colOff>504825</xdr:colOff>
      <xdr:row>36</xdr:row>
      <xdr:rowOff>28575</xdr:rowOff>
    </xdr:to>
    <xdr:sp macro="" textlink="">
      <xdr:nvSpPr>
        <xdr:cNvPr id="11" name="Depth2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 txBox="1">
          <a:spLocks noChangeArrowheads="1"/>
        </xdr:cNvSpPr>
      </xdr:nvSpPr>
      <xdr:spPr bwMode="auto">
        <a:xfrm>
          <a:off x="1895475" y="8191500"/>
          <a:ext cx="304800" cy="1333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36.41</a:t>
          </a:r>
        </a:p>
      </xdr:txBody>
    </xdr:sp>
    <xdr:clientData/>
  </xdr:twoCellAnchor>
  <xdr:twoCellAnchor>
    <xdr:from>
      <xdr:col>1</xdr:col>
      <xdr:colOff>190500</xdr:colOff>
      <xdr:row>33</xdr:row>
      <xdr:rowOff>180975</xdr:rowOff>
    </xdr:from>
    <xdr:to>
      <xdr:col>2</xdr:col>
      <xdr:colOff>9525</xdr:colOff>
      <xdr:row>34</xdr:row>
      <xdr:rowOff>66675</xdr:rowOff>
    </xdr:to>
    <xdr:sp macro="" textlink="">
      <xdr:nvSpPr>
        <xdr:cNvPr id="12" name="Tip2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>
          <a:spLocks noChangeArrowheads="1"/>
        </xdr:cNvSpPr>
      </xdr:nvSpPr>
      <xdr:spPr bwMode="auto">
        <a:xfrm>
          <a:off x="981075" y="7791450"/>
          <a:ext cx="228600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3.00</a:t>
          </a:r>
        </a:p>
      </xdr:txBody>
    </xdr:sp>
    <xdr:clientData/>
  </xdr:twoCellAnchor>
  <xdr:twoCellAnchor>
    <xdr:from>
      <xdr:col>2</xdr:col>
      <xdr:colOff>161925</xdr:colOff>
      <xdr:row>33</xdr:row>
      <xdr:rowOff>38100</xdr:rowOff>
    </xdr:from>
    <xdr:to>
      <xdr:col>2</xdr:col>
      <xdr:colOff>485775</xdr:colOff>
      <xdr:row>33</xdr:row>
      <xdr:rowOff>180975</xdr:rowOff>
    </xdr:to>
    <xdr:sp macro="" textlink="">
      <xdr:nvSpPr>
        <xdr:cNvPr id="13" name="Opening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 txBox="1">
          <a:spLocks noChangeArrowheads="1"/>
        </xdr:cNvSpPr>
      </xdr:nvSpPr>
      <xdr:spPr bwMode="auto">
        <a:xfrm>
          <a:off x="1362075" y="7648575"/>
          <a:ext cx="323850" cy="1428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3.00</a:t>
          </a:r>
        </a:p>
      </xdr:txBody>
    </xdr:sp>
    <xdr:clientData/>
  </xdr:twoCellAnchor>
  <xdr:twoCellAnchor>
    <xdr:from>
      <xdr:col>2</xdr:col>
      <xdr:colOff>142875</xdr:colOff>
      <xdr:row>36</xdr:row>
      <xdr:rowOff>190500</xdr:rowOff>
    </xdr:from>
    <xdr:to>
      <xdr:col>3</xdr:col>
      <xdr:colOff>0</xdr:colOff>
      <xdr:row>37</xdr:row>
      <xdr:rowOff>66675</xdr:rowOff>
    </xdr:to>
    <xdr:sp macro="" textlink="">
      <xdr:nvSpPr>
        <xdr:cNvPr id="14" name="Width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 txBox="1">
          <a:spLocks noChangeArrowheads="1"/>
        </xdr:cNvSpPr>
      </xdr:nvSpPr>
      <xdr:spPr bwMode="auto">
        <a:xfrm>
          <a:off x="1343025" y="8486775"/>
          <a:ext cx="352425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14.12</a:t>
          </a:r>
        </a:p>
      </xdr:txBody>
    </xdr:sp>
    <xdr:clientData/>
  </xdr:twoCellAnchor>
  <xdr:twoCellAnchor>
    <xdr:from>
      <xdr:col>2</xdr:col>
      <xdr:colOff>161925</xdr:colOff>
      <xdr:row>34</xdr:row>
      <xdr:rowOff>161925</xdr:rowOff>
    </xdr:from>
    <xdr:to>
      <xdr:col>2</xdr:col>
      <xdr:colOff>485775</xdr:colOff>
      <xdr:row>35</xdr:row>
      <xdr:rowOff>66675</xdr:rowOff>
    </xdr:to>
    <xdr:sp macro="" textlink="">
      <xdr:nvSpPr>
        <xdr:cNvPr id="15" name="Width2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 txBox="1">
          <a:spLocks noChangeArrowheads="1"/>
        </xdr:cNvSpPr>
      </xdr:nvSpPr>
      <xdr:spPr bwMode="auto">
        <a:xfrm>
          <a:off x="1362075" y="8001000"/>
          <a:ext cx="323850" cy="1333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4.72</a:t>
          </a:r>
        </a:p>
      </xdr:txBody>
    </xdr:sp>
    <xdr:clientData/>
  </xdr:twoCellAnchor>
  <xdr:twoCellAnchor>
    <xdr:from>
      <xdr:col>1</xdr:col>
      <xdr:colOff>390525</xdr:colOff>
      <xdr:row>33</xdr:row>
      <xdr:rowOff>171450</xdr:rowOff>
    </xdr:from>
    <xdr:to>
      <xdr:col>3</xdr:col>
      <xdr:colOff>352425</xdr:colOff>
      <xdr:row>37</xdr:row>
      <xdr:rowOff>209550</xdr:rowOff>
    </xdr:to>
    <xdr:grpSp>
      <xdr:nvGrpSpPr>
        <xdr:cNvPr id="16" name="Group 190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GrpSpPr>
          <a:grpSpLocks/>
        </xdr:cNvGrpSpPr>
      </xdr:nvGrpSpPr>
      <xdr:grpSpPr bwMode="auto">
        <a:xfrm>
          <a:off x="1181100" y="7781925"/>
          <a:ext cx="866775" cy="952500"/>
          <a:chOff x="120" y="793"/>
          <a:chExt cx="91" cy="100"/>
        </a:xfrm>
      </xdr:grpSpPr>
      <xdr:sp macro="" textlink="">
        <xdr:nvSpPr>
          <xdr:cNvPr id="17" name="Line 100">
            <a:extLst>
              <a:ext uri="{FF2B5EF4-FFF2-40B4-BE49-F238E27FC236}">
                <a16:creationId xmlns:a16="http://schemas.microsoft.com/office/drawing/2014/main" id="{00000000-0008-0000-0100-000011000000}"/>
              </a:ext>
            </a:extLst>
          </xdr:cNvPr>
          <xdr:cNvSpPr>
            <a:spLocks noChangeShapeType="1"/>
          </xdr:cNvSpPr>
        </xdr:nvSpPr>
        <xdr:spPr bwMode="auto">
          <a:xfrm>
            <a:off x="139" y="813"/>
            <a:ext cx="32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149">
            <a:extLst>
              <a:ext uri="{FF2B5EF4-FFF2-40B4-BE49-F238E27FC236}">
                <a16:creationId xmlns:a16="http://schemas.microsoft.com/office/drawing/2014/main" id="{00000000-0008-0000-0100-000012000000}"/>
              </a:ext>
            </a:extLst>
          </xdr:cNvPr>
          <xdr:cNvSpPr>
            <a:spLocks noChangeShapeType="1"/>
          </xdr:cNvSpPr>
        </xdr:nvSpPr>
        <xdr:spPr bwMode="auto">
          <a:xfrm>
            <a:off x="128" y="793"/>
            <a:ext cx="1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150">
            <a:extLst>
              <a:ext uri="{FF2B5EF4-FFF2-40B4-BE49-F238E27FC236}">
                <a16:creationId xmlns:a16="http://schemas.microsoft.com/office/drawing/2014/main" id="{00000000-0008-0000-0100-000013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64" y="793"/>
            <a:ext cx="1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151">
            <a:extLst>
              <a:ext uri="{FF2B5EF4-FFF2-40B4-BE49-F238E27FC236}">
                <a16:creationId xmlns:a16="http://schemas.microsoft.com/office/drawing/2014/main" id="{00000000-0008-0000-0100-000014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27" y="879"/>
            <a:ext cx="1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152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SpPr>
            <a:spLocks noChangeShapeType="1"/>
          </xdr:cNvSpPr>
        </xdr:nvSpPr>
        <xdr:spPr bwMode="auto">
          <a:xfrm>
            <a:off x="147" y="880"/>
            <a:ext cx="3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156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94" y="893"/>
            <a:ext cx="1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157">
            <a:extLst>
              <a:ext uri="{FF2B5EF4-FFF2-40B4-BE49-F238E27FC236}">
                <a16:creationId xmlns:a16="http://schemas.microsoft.com/office/drawing/2014/main" id="{00000000-0008-0000-0100-000017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204" y="794"/>
            <a:ext cx="0" cy="3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158">
            <a:extLst>
              <a:ext uri="{FF2B5EF4-FFF2-40B4-BE49-F238E27FC236}">
                <a16:creationId xmlns:a16="http://schemas.microsoft.com/office/drawing/2014/main" id="{00000000-0008-0000-0100-000018000000}"/>
              </a:ext>
            </a:extLst>
          </xdr:cNvPr>
          <xdr:cNvSpPr>
            <a:spLocks noChangeShapeType="1"/>
          </xdr:cNvSpPr>
        </xdr:nvSpPr>
        <xdr:spPr bwMode="auto">
          <a:xfrm>
            <a:off x="204" y="849"/>
            <a:ext cx="0" cy="4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Line 159">
            <a:extLst>
              <a:ext uri="{FF2B5EF4-FFF2-40B4-BE49-F238E27FC236}">
                <a16:creationId xmlns:a16="http://schemas.microsoft.com/office/drawing/2014/main" id="{00000000-0008-0000-0100-000019000000}"/>
              </a:ext>
            </a:extLst>
          </xdr:cNvPr>
          <xdr:cNvSpPr>
            <a:spLocks noChangeShapeType="1"/>
          </xdr:cNvSpPr>
        </xdr:nvSpPr>
        <xdr:spPr bwMode="auto">
          <a:xfrm>
            <a:off x="194" y="793"/>
            <a:ext cx="1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" name="Line 160">
            <a:extLst>
              <a:ext uri="{FF2B5EF4-FFF2-40B4-BE49-F238E27FC236}">
                <a16:creationId xmlns:a16="http://schemas.microsoft.com/office/drawing/2014/main" id="{00000000-0008-0000-0100-00001A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20" y="804"/>
            <a:ext cx="2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" name="Line 161">
            <a:extLst>
              <a:ext uri="{FF2B5EF4-FFF2-40B4-BE49-F238E27FC236}">
                <a16:creationId xmlns:a16="http://schemas.microsoft.com/office/drawing/2014/main" id="{00000000-0008-0000-0100-00001B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27" y="874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Line 162">
            <a:extLst>
              <a:ext uri="{FF2B5EF4-FFF2-40B4-BE49-F238E27FC236}">
                <a16:creationId xmlns:a16="http://schemas.microsoft.com/office/drawing/2014/main" id="{00000000-0008-0000-0100-00001C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84" y="871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163">
            <a:extLst>
              <a:ext uri="{FF2B5EF4-FFF2-40B4-BE49-F238E27FC236}">
                <a16:creationId xmlns:a16="http://schemas.microsoft.com/office/drawing/2014/main" id="{00000000-0008-0000-0100-00001D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7" y="804"/>
            <a:ext cx="10" cy="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164">
            <a:extLst>
              <a:ext uri="{FF2B5EF4-FFF2-40B4-BE49-F238E27FC236}">
                <a16:creationId xmlns:a16="http://schemas.microsoft.com/office/drawing/2014/main" id="{00000000-0008-0000-0100-00001E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27" y="813"/>
            <a:ext cx="10" cy="7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165">
            <a:extLst>
              <a:ext uri="{FF2B5EF4-FFF2-40B4-BE49-F238E27FC236}">
                <a16:creationId xmlns:a16="http://schemas.microsoft.com/office/drawing/2014/main" id="{00000000-0008-0000-0100-00001F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47" y="793"/>
            <a:ext cx="0" cy="1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166">
            <a:extLst>
              <a:ext uri="{FF2B5EF4-FFF2-40B4-BE49-F238E27FC236}">
                <a16:creationId xmlns:a16="http://schemas.microsoft.com/office/drawing/2014/main" id="{00000000-0008-0000-0100-000020000000}"/>
              </a:ext>
            </a:extLst>
          </xdr:cNvPr>
          <xdr:cNvSpPr>
            <a:spLocks noChangeShapeType="1"/>
          </xdr:cNvSpPr>
        </xdr:nvSpPr>
        <xdr:spPr bwMode="auto">
          <a:xfrm>
            <a:off x="164" y="793"/>
            <a:ext cx="0" cy="1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168">
            <a:extLst>
              <a:ext uri="{FF2B5EF4-FFF2-40B4-BE49-F238E27FC236}">
                <a16:creationId xmlns:a16="http://schemas.microsoft.com/office/drawing/2014/main" id="{00000000-0008-0000-0100-000021000000}"/>
              </a:ext>
            </a:extLst>
          </xdr:cNvPr>
          <xdr:cNvSpPr>
            <a:spLocks noChangeShapeType="1"/>
          </xdr:cNvSpPr>
        </xdr:nvSpPr>
        <xdr:spPr bwMode="auto">
          <a:xfrm>
            <a:off x="132" y="793"/>
            <a:ext cx="0" cy="1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169">
            <a:extLst>
              <a:ext uri="{FF2B5EF4-FFF2-40B4-BE49-F238E27FC236}">
                <a16:creationId xmlns:a16="http://schemas.microsoft.com/office/drawing/2014/main" id="{00000000-0008-0000-0100-000022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2" y="793"/>
            <a:ext cx="2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170">
            <a:extLst>
              <a:ext uri="{FF2B5EF4-FFF2-40B4-BE49-F238E27FC236}">
                <a16:creationId xmlns:a16="http://schemas.microsoft.com/office/drawing/2014/main" id="{00000000-0008-0000-0100-000023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0" y="793"/>
            <a:ext cx="2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" name="Line 171">
            <a:extLst>
              <a:ext uri="{FF2B5EF4-FFF2-40B4-BE49-F238E27FC236}">
                <a16:creationId xmlns:a16="http://schemas.microsoft.com/office/drawing/2014/main" id="{00000000-0008-0000-0100-000024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800"/>
            <a:ext cx="2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" name="Line 172">
            <a:extLst>
              <a:ext uri="{FF2B5EF4-FFF2-40B4-BE49-F238E27FC236}">
                <a16:creationId xmlns:a16="http://schemas.microsoft.com/office/drawing/2014/main" id="{00000000-0008-0000-0100-000025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0" y="800"/>
            <a:ext cx="2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" name="Line 173">
            <a:extLst>
              <a:ext uri="{FF2B5EF4-FFF2-40B4-BE49-F238E27FC236}">
                <a16:creationId xmlns:a16="http://schemas.microsoft.com/office/drawing/2014/main" id="{00000000-0008-0000-0100-000026000000}"/>
              </a:ext>
            </a:extLst>
          </xdr:cNvPr>
          <xdr:cNvSpPr>
            <a:spLocks noChangeShapeType="1"/>
          </xdr:cNvSpPr>
        </xdr:nvSpPr>
        <xdr:spPr bwMode="auto">
          <a:xfrm>
            <a:off x="173" y="813"/>
            <a:ext cx="11" cy="7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" name="Line 174">
            <a:extLst>
              <a:ext uri="{FF2B5EF4-FFF2-40B4-BE49-F238E27FC236}">
                <a16:creationId xmlns:a16="http://schemas.microsoft.com/office/drawing/2014/main" id="{00000000-0008-0000-0100-000027000000}"/>
              </a:ext>
            </a:extLst>
          </xdr:cNvPr>
          <xdr:cNvSpPr>
            <a:spLocks noChangeShapeType="1"/>
          </xdr:cNvSpPr>
        </xdr:nvSpPr>
        <xdr:spPr bwMode="auto">
          <a:xfrm>
            <a:off x="164" y="805"/>
            <a:ext cx="9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" name="Line 175">
            <a:extLst>
              <a:ext uri="{FF2B5EF4-FFF2-40B4-BE49-F238E27FC236}">
                <a16:creationId xmlns:a16="http://schemas.microsoft.com/office/drawing/2014/main" id="{00000000-0008-0000-0100-000028000000}"/>
              </a:ext>
            </a:extLst>
          </xdr:cNvPr>
          <xdr:cNvSpPr>
            <a:spLocks noChangeShapeType="1"/>
          </xdr:cNvSpPr>
        </xdr:nvSpPr>
        <xdr:spPr bwMode="auto">
          <a:xfrm>
            <a:off x="127" y="893"/>
            <a:ext cx="5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1" name="Line 176">
            <a:extLst>
              <a:ext uri="{FF2B5EF4-FFF2-40B4-BE49-F238E27FC236}">
                <a16:creationId xmlns:a16="http://schemas.microsoft.com/office/drawing/2014/main" id="{00000000-0008-0000-0100-000029000000}"/>
              </a:ext>
            </a:extLst>
          </xdr:cNvPr>
          <xdr:cNvSpPr>
            <a:spLocks noChangeShapeType="1"/>
          </xdr:cNvSpPr>
        </xdr:nvSpPr>
        <xdr:spPr bwMode="auto">
          <a:xfrm>
            <a:off x="147" y="796"/>
            <a:ext cx="1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" name="Line 177">
            <a:extLst>
              <a:ext uri="{FF2B5EF4-FFF2-40B4-BE49-F238E27FC236}">
                <a16:creationId xmlns:a16="http://schemas.microsoft.com/office/drawing/2014/main" id="{00000000-0008-0000-0100-00002A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47" y="794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" name="Line 178">
            <a:extLst>
              <a:ext uri="{FF2B5EF4-FFF2-40B4-BE49-F238E27FC236}">
                <a16:creationId xmlns:a16="http://schemas.microsoft.com/office/drawing/2014/main" id="{00000000-0008-0000-0100-00002B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7" y="796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" name="Line 179">
            <a:extLst>
              <a:ext uri="{FF2B5EF4-FFF2-40B4-BE49-F238E27FC236}">
                <a16:creationId xmlns:a16="http://schemas.microsoft.com/office/drawing/2014/main" id="{00000000-0008-0000-0100-00002C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47" y="794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" name="Line 180">
            <a:extLst>
              <a:ext uri="{FF2B5EF4-FFF2-40B4-BE49-F238E27FC236}">
                <a16:creationId xmlns:a16="http://schemas.microsoft.com/office/drawing/2014/main" id="{00000000-0008-0000-0100-00002D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61" y="796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" name="Line 181">
            <a:extLst>
              <a:ext uri="{FF2B5EF4-FFF2-40B4-BE49-F238E27FC236}">
                <a16:creationId xmlns:a16="http://schemas.microsoft.com/office/drawing/2014/main" id="{00000000-0008-0000-0100-00002E000000}"/>
              </a:ext>
            </a:extLst>
          </xdr:cNvPr>
          <xdr:cNvSpPr>
            <a:spLocks noChangeShapeType="1"/>
          </xdr:cNvSpPr>
        </xdr:nvSpPr>
        <xdr:spPr bwMode="auto">
          <a:xfrm>
            <a:off x="161" y="794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" name="Line 182">
            <a:extLst>
              <a:ext uri="{FF2B5EF4-FFF2-40B4-BE49-F238E27FC236}">
                <a16:creationId xmlns:a16="http://schemas.microsoft.com/office/drawing/2014/main" id="{00000000-0008-0000-0100-00002F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813"/>
            <a:ext cx="4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" name="Line 183">
            <a:extLst>
              <a:ext uri="{FF2B5EF4-FFF2-40B4-BE49-F238E27FC236}">
                <a16:creationId xmlns:a16="http://schemas.microsoft.com/office/drawing/2014/main" id="{00000000-0008-0000-0100-000030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68" y="813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" name="Line 184">
            <a:extLst>
              <a:ext uri="{FF2B5EF4-FFF2-40B4-BE49-F238E27FC236}">
                <a16:creationId xmlns:a16="http://schemas.microsoft.com/office/drawing/2014/main" id="{00000000-0008-0000-0100-000031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68" y="811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" name="Line 185">
            <a:extLst>
              <a:ext uri="{FF2B5EF4-FFF2-40B4-BE49-F238E27FC236}">
                <a16:creationId xmlns:a16="http://schemas.microsoft.com/office/drawing/2014/main" id="{00000000-0008-0000-0100-000032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9" y="811"/>
            <a:ext cx="4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123825</xdr:colOff>
      <xdr:row>29</xdr:row>
      <xdr:rowOff>85725</xdr:rowOff>
    </xdr:from>
    <xdr:to>
      <xdr:col>3</xdr:col>
      <xdr:colOff>409575</xdr:colOff>
      <xdr:row>29</xdr:row>
      <xdr:rowOff>209550</xdr:rowOff>
    </xdr:to>
    <xdr:sp macro="" textlink="">
      <xdr:nvSpPr>
        <xdr:cNvPr id="51" name="Depth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 txBox="1">
          <a:spLocks noChangeArrowheads="1"/>
        </xdr:cNvSpPr>
      </xdr:nvSpPr>
      <xdr:spPr bwMode="auto">
        <a:xfrm>
          <a:off x="1819275" y="6781800"/>
          <a:ext cx="285750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62.5</a:t>
          </a:r>
        </a:p>
      </xdr:txBody>
    </xdr:sp>
    <xdr:clientData/>
  </xdr:twoCellAnchor>
  <xdr:twoCellAnchor>
    <xdr:from>
      <xdr:col>1</xdr:col>
      <xdr:colOff>38100</xdr:colOff>
      <xdr:row>31</xdr:row>
      <xdr:rowOff>0</xdr:rowOff>
    </xdr:from>
    <xdr:to>
      <xdr:col>2</xdr:col>
      <xdr:colOff>19050</xdr:colOff>
      <xdr:row>31</xdr:row>
      <xdr:rowOff>104775</xdr:rowOff>
    </xdr:to>
    <xdr:sp macro="" textlink="">
      <xdr:nvSpPr>
        <xdr:cNvPr id="52" name="Tip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 txBox="1">
          <a:spLocks noChangeArrowheads="1"/>
        </xdr:cNvSpPr>
      </xdr:nvSpPr>
      <xdr:spPr bwMode="auto">
        <a:xfrm>
          <a:off x="828675" y="7153275"/>
          <a:ext cx="390525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2.83</a:t>
          </a:r>
        </a:p>
      </xdr:txBody>
    </xdr:sp>
    <xdr:clientData/>
  </xdr:twoCellAnchor>
  <xdr:twoCellAnchor>
    <xdr:from>
      <xdr:col>2</xdr:col>
      <xdr:colOff>142875</xdr:colOff>
      <xdr:row>26</xdr:row>
      <xdr:rowOff>200025</xdr:rowOff>
    </xdr:from>
    <xdr:to>
      <xdr:col>3</xdr:col>
      <xdr:colOff>47625</xdr:colOff>
      <xdr:row>27</xdr:row>
      <xdr:rowOff>66675</xdr:rowOff>
    </xdr:to>
    <xdr:sp macro="" textlink="">
      <xdr:nvSpPr>
        <xdr:cNvPr id="53" name="Width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SpPr txBox="1">
          <a:spLocks noChangeArrowheads="1"/>
        </xdr:cNvSpPr>
      </xdr:nvSpPr>
      <xdr:spPr bwMode="auto">
        <a:xfrm>
          <a:off x="1343025" y="6210300"/>
          <a:ext cx="400050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14.5</a:t>
          </a:r>
        </a:p>
      </xdr:txBody>
    </xdr:sp>
    <xdr:clientData/>
  </xdr:twoCellAnchor>
  <xdr:twoCellAnchor>
    <xdr:from>
      <xdr:col>1</xdr:col>
      <xdr:colOff>333375</xdr:colOff>
      <xdr:row>27</xdr:row>
      <xdr:rowOff>57150</xdr:rowOff>
    </xdr:from>
    <xdr:to>
      <xdr:col>3</xdr:col>
      <xdr:colOff>371475</xdr:colOff>
      <xdr:row>31</xdr:row>
      <xdr:rowOff>219075</xdr:rowOff>
    </xdr:to>
    <xdr:grpSp>
      <xdr:nvGrpSpPr>
        <xdr:cNvPr id="54" name="Group 254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GrpSpPr>
          <a:grpSpLocks/>
        </xdr:cNvGrpSpPr>
      </xdr:nvGrpSpPr>
      <xdr:grpSpPr bwMode="auto">
        <a:xfrm>
          <a:off x="1123950" y="6296025"/>
          <a:ext cx="942975" cy="1076325"/>
          <a:chOff x="118" y="637"/>
          <a:chExt cx="99" cy="113"/>
        </a:xfrm>
      </xdr:grpSpPr>
      <xdr:sp macro="" textlink="">
        <xdr:nvSpPr>
          <xdr:cNvPr id="55" name="Line 229">
            <a:extLst>
              <a:ext uri="{FF2B5EF4-FFF2-40B4-BE49-F238E27FC236}">
                <a16:creationId xmlns:a16="http://schemas.microsoft.com/office/drawing/2014/main" id="{00000000-0008-0000-0100-000037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82" y="651"/>
            <a:ext cx="1" cy="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230">
            <a:extLst>
              <a:ext uri="{FF2B5EF4-FFF2-40B4-BE49-F238E27FC236}">
                <a16:creationId xmlns:a16="http://schemas.microsoft.com/office/drawing/2014/main" id="{00000000-0008-0000-0100-000038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34" y="652"/>
            <a:ext cx="4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Line 231">
            <a:extLst>
              <a:ext uri="{FF2B5EF4-FFF2-40B4-BE49-F238E27FC236}">
                <a16:creationId xmlns:a16="http://schemas.microsoft.com/office/drawing/2014/main" id="{00000000-0008-0000-0100-000039000000}"/>
              </a:ext>
            </a:extLst>
          </xdr:cNvPr>
          <xdr:cNvSpPr>
            <a:spLocks noChangeShapeType="1"/>
          </xdr:cNvSpPr>
        </xdr:nvSpPr>
        <xdr:spPr bwMode="auto">
          <a:xfrm>
            <a:off x="183" y="651"/>
            <a:ext cx="0" cy="7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" name="Line 232">
            <a:extLst>
              <a:ext uri="{FF2B5EF4-FFF2-40B4-BE49-F238E27FC236}">
                <a16:creationId xmlns:a16="http://schemas.microsoft.com/office/drawing/2014/main" id="{00000000-0008-0000-0100-00003A000000}"/>
              </a:ext>
            </a:extLst>
          </xdr:cNvPr>
          <xdr:cNvSpPr>
            <a:spLocks noChangeShapeType="1"/>
          </xdr:cNvSpPr>
        </xdr:nvSpPr>
        <xdr:spPr bwMode="auto">
          <a:xfrm>
            <a:off x="136" y="652"/>
            <a:ext cx="0" cy="7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" name="Line 233">
            <a:extLst>
              <a:ext uri="{FF2B5EF4-FFF2-40B4-BE49-F238E27FC236}">
                <a16:creationId xmlns:a16="http://schemas.microsoft.com/office/drawing/2014/main" id="{00000000-0008-0000-0100-00003B000000}"/>
              </a:ext>
            </a:extLst>
          </xdr:cNvPr>
          <xdr:cNvSpPr>
            <a:spLocks noChangeShapeType="1"/>
          </xdr:cNvSpPr>
        </xdr:nvSpPr>
        <xdr:spPr bwMode="auto">
          <a:xfrm>
            <a:off x="130" y="724"/>
            <a:ext cx="0" cy="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0" name="Line 234">
            <a:extLst>
              <a:ext uri="{FF2B5EF4-FFF2-40B4-BE49-F238E27FC236}">
                <a16:creationId xmlns:a16="http://schemas.microsoft.com/office/drawing/2014/main" id="{00000000-0008-0000-0100-00003C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90" y="729"/>
            <a:ext cx="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" name="Line 235">
            <a:extLst>
              <a:ext uri="{FF2B5EF4-FFF2-40B4-BE49-F238E27FC236}">
                <a16:creationId xmlns:a16="http://schemas.microsoft.com/office/drawing/2014/main" id="{00000000-0008-0000-0100-00003D000000}"/>
              </a:ext>
            </a:extLst>
          </xdr:cNvPr>
          <xdr:cNvSpPr>
            <a:spLocks noChangeShapeType="1"/>
          </xdr:cNvSpPr>
        </xdr:nvSpPr>
        <xdr:spPr bwMode="auto">
          <a:xfrm>
            <a:off x="130" y="730"/>
            <a:ext cx="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" name="Line 236">
            <a:extLst>
              <a:ext uri="{FF2B5EF4-FFF2-40B4-BE49-F238E27FC236}">
                <a16:creationId xmlns:a16="http://schemas.microsoft.com/office/drawing/2014/main" id="{00000000-0008-0000-0100-00003E000000}"/>
              </a:ext>
            </a:extLst>
          </xdr:cNvPr>
          <xdr:cNvSpPr>
            <a:spLocks noChangeShapeType="1"/>
          </xdr:cNvSpPr>
        </xdr:nvSpPr>
        <xdr:spPr bwMode="auto">
          <a:xfrm>
            <a:off x="182" y="729"/>
            <a:ext cx="0" cy="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" name="Line 237">
            <a:extLst>
              <a:ext uri="{FF2B5EF4-FFF2-40B4-BE49-F238E27FC236}">
                <a16:creationId xmlns:a16="http://schemas.microsoft.com/office/drawing/2014/main" id="{00000000-0008-0000-0100-00003F000000}"/>
              </a:ext>
            </a:extLst>
          </xdr:cNvPr>
          <xdr:cNvSpPr>
            <a:spLocks noChangeShapeType="1"/>
          </xdr:cNvSpPr>
        </xdr:nvSpPr>
        <xdr:spPr bwMode="auto">
          <a:xfrm>
            <a:off x="137" y="731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" name="Line 238">
            <a:extLst>
              <a:ext uri="{FF2B5EF4-FFF2-40B4-BE49-F238E27FC236}">
                <a16:creationId xmlns:a16="http://schemas.microsoft.com/office/drawing/2014/main" id="{00000000-0008-0000-0100-000040000000}"/>
              </a:ext>
            </a:extLst>
          </xdr:cNvPr>
          <xdr:cNvSpPr>
            <a:spLocks noChangeShapeType="1"/>
          </xdr:cNvSpPr>
        </xdr:nvSpPr>
        <xdr:spPr bwMode="auto">
          <a:xfrm>
            <a:off x="182" y="739"/>
            <a:ext cx="13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" name="Line 239">
            <a:extLst>
              <a:ext uri="{FF2B5EF4-FFF2-40B4-BE49-F238E27FC236}">
                <a16:creationId xmlns:a16="http://schemas.microsoft.com/office/drawing/2014/main" id="{00000000-0008-0000-0100-000041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21" y="739"/>
            <a:ext cx="1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6" name="Line 240">
            <a:extLst>
              <a:ext uri="{FF2B5EF4-FFF2-40B4-BE49-F238E27FC236}">
                <a16:creationId xmlns:a16="http://schemas.microsoft.com/office/drawing/2014/main" id="{00000000-0008-0000-0100-000042000000}"/>
              </a:ext>
            </a:extLst>
          </xdr:cNvPr>
          <xdr:cNvSpPr>
            <a:spLocks noChangeShapeType="1"/>
          </xdr:cNvSpPr>
        </xdr:nvSpPr>
        <xdr:spPr bwMode="auto">
          <a:xfrm>
            <a:off x="190" y="653"/>
            <a:ext cx="2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7" name="Line 241">
            <a:extLst>
              <a:ext uri="{FF2B5EF4-FFF2-40B4-BE49-F238E27FC236}">
                <a16:creationId xmlns:a16="http://schemas.microsoft.com/office/drawing/2014/main" id="{00000000-0008-0000-0100-000043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200" y="654"/>
            <a:ext cx="0" cy="3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8" name="Line 242">
            <a:extLst>
              <a:ext uri="{FF2B5EF4-FFF2-40B4-BE49-F238E27FC236}">
                <a16:creationId xmlns:a16="http://schemas.microsoft.com/office/drawing/2014/main" id="{00000000-0008-0000-0100-000044000000}"/>
              </a:ext>
            </a:extLst>
          </xdr:cNvPr>
          <xdr:cNvSpPr>
            <a:spLocks noChangeShapeType="1"/>
          </xdr:cNvSpPr>
        </xdr:nvSpPr>
        <xdr:spPr bwMode="auto">
          <a:xfrm>
            <a:off x="200" y="708"/>
            <a:ext cx="0" cy="2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9" name="Line 243">
            <a:extLst>
              <a:ext uri="{FF2B5EF4-FFF2-40B4-BE49-F238E27FC236}">
                <a16:creationId xmlns:a16="http://schemas.microsoft.com/office/drawing/2014/main" id="{00000000-0008-0000-0100-000045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24" y="740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0" name="Line 244">
            <a:extLst>
              <a:ext uri="{FF2B5EF4-FFF2-40B4-BE49-F238E27FC236}">
                <a16:creationId xmlns:a16="http://schemas.microsoft.com/office/drawing/2014/main" id="{00000000-0008-0000-0100-000046000000}"/>
              </a:ext>
            </a:extLst>
          </xdr:cNvPr>
          <xdr:cNvSpPr>
            <a:spLocks noChangeShapeType="1"/>
          </xdr:cNvSpPr>
        </xdr:nvSpPr>
        <xdr:spPr bwMode="auto">
          <a:xfrm>
            <a:off x="122" y="714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1" name="Line 245">
            <a:extLst>
              <a:ext uri="{FF2B5EF4-FFF2-40B4-BE49-F238E27FC236}">
                <a16:creationId xmlns:a16="http://schemas.microsoft.com/office/drawing/2014/main" id="{00000000-0008-0000-0100-000047000000}"/>
              </a:ext>
            </a:extLst>
          </xdr:cNvPr>
          <xdr:cNvSpPr>
            <a:spLocks noChangeShapeType="1"/>
          </xdr:cNvSpPr>
        </xdr:nvSpPr>
        <xdr:spPr bwMode="auto">
          <a:xfrm>
            <a:off x="118" y="724"/>
            <a:ext cx="1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2" name="Line 246">
            <a:extLst>
              <a:ext uri="{FF2B5EF4-FFF2-40B4-BE49-F238E27FC236}">
                <a16:creationId xmlns:a16="http://schemas.microsoft.com/office/drawing/2014/main" id="{00000000-0008-0000-0100-000048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83" y="637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3" name="Line 247">
            <a:extLst>
              <a:ext uri="{FF2B5EF4-FFF2-40B4-BE49-F238E27FC236}">
                <a16:creationId xmlns:a16="http://schemas.microsoft.com/office/drawing/2014/main" id="{00000000-0008-0000-0100-000049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5" y="638"/>
            <a:ext cx="0" cy="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4" name="Line 248">
            <a:extLst>
              <a:ext uri="{FF2B5EF4-FFF2-40B4-BE49-F238E27FC236}">
                <a16:creationId xmlns:a16="http://schemas.microsoft.com/office/drawing/2014/main" id="{00000000-0008-0000-0100-00004A000000}"/>
              </a:ext>
            </a:extLst>
          </xdr:cNvPr>
          <xdr:cNvSpPr>
            <a:spLocks noChangeShapeType="1"/>
          </xdr:cNvSpPr>
        </xdr:nvSpPr>
        <xdr:spPr bwMode="auto">
          <a:xfrm>
            <a:off x="144" y="643"/>
            <a:ext cx="3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5" name="Line 249">
            <a:extLst>
              <a:ext uri="{FF2B5EF4-FFF2-40B4-BE49-F238E27FC236}">
                <a16:creationId xmlns:a16="http://schemas.microsoft.com/office/drawing/2014/main" id="{00000000-0008-0000-0100-00004B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39" y="643"/>
            <a:ext cx="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6" name="Line 250">
            <a:extLst>
              <a:ext uri="{FF2B5EF4-FFF2-40B4-BE49-F238E27FC236}">
                <a16:creationId xmlns:a16="http://schemas.microsoft.com/office/drawing/2014/main" id="{00000000-0008-0000-0100-00004C000000}"/>
              </a:ext>
            </a:extLst>
          </xdr:cNvPr>
          <xdr:cNvSpPr>
            <a:spLocks noChangeShapeType="1"/>
          </xdr:cNvSpPr>
        </xdr:nvSpPr>
        <xdr:spPr bwMode="auto">
          <a:xfrm>
            <a:off x="130" y="724"/>
            <a:ext cx="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7" name="Line 251">
            <a:extLst>
              <a:ext uri="{FF2B5EF4-FFF2-40B4-BE49-F238E27FC236}">
                <a16:creationId xmlns:a16="http://schemas.microsoft.com/office/drawing/2014/main" id="{00000000-0008-0000-0100-00004D000000}"/>
              </a:ext>
            </a:extLst>
          </xdr:cNvPr>
          <xdr:cNvSpPr>
            <a:spLocks noChangeShapeType="1"/>
          </xdr:cNvSpPr>
        </xdr:nvSpPr>
        <xdr:spPr bwMode="auto">
          <a:xfrm>
            <a:off x="182" y="730"/>
            <a:ext cx="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8" name="Line 252">
            <a:extLst>
              <a:ext uri="{FF2B5EF4-FFF2-40B4-BE49-F238E27FC236}">
                <a16:creationId xmlns:a16="http://schemas.microsoft.com/office/drawing/2014/main" id="{00000000-0008-0000-0100-00004E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90" y="722"/>
            <a:ext cx="0" cy="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9" name="Line 253">
            <a:extLst>
              <a:ext uri="{FF2B5EF4-FFF2-40B4-BE49-F238E27FC236}">
                <a16:creationId xmlns:a16="http://schemas.microsoft.com/office/drawing/2014/main" id="{00000000-0008-0000-0100-00004F000000}"/>
              </a:ext>
            </a:extLst>
          </xdr:cNvPr>
          <xdr:cNvSpPr>
            <a:spLocks noChangeShapeType="1"/>
          </xdr:cNvSpPr>
        </xdr:nvSpPr>
        <xdr:spPr bwMode="auto">
          <a:xfrm>
            <a:off x="183" y="723"/>
            <a:ext cx="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152400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80" name="Rectangle 255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SpPr>
          <a:spLocks noChangeArrowheads="1"/>
        </xdr:cNvSpPr>
      </xdr:nvSpPr>
      <xdr:spPr bwMode="auto">
        <a:xfrm>
          <a:off x="5495925" y="1010602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44</xdr:row>
      <xdr:rowOff>0</xdr:rowOff>
    </xdr:from>
    <xdr:to>
      <xdr:col>9</xdr:col>
      <xdr:colOff>333375</xdr:colOff>
      <xdr:row>44</xdr:row>
      <xdr:rowOff>0</xdr:rowOff>
    </xdr:to>
    <xdr:sp macro="" textlink="">
      <xdr:nvSpPr>
        <xdr:cNvPr id="81" name="Rectangle 256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SpPr>
          <a:spLocks noChangeArrowheads="1"/>
        </xdr:cNvSpPr>
      </xdr:nvSpPr>
      <xdr:spPr bwMode="auto">
        <a:xfrm>
          <a:off x="5362575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44</xdr:row>
      <xdr:rowOff>0</xdr:rowOff>
    </xdr:from>
    <xdr:to>
      <xdr:col>9</xdr:col>
      <xdr:colOff>342900</xdr:colOff>
      <xdr:row>44</xdr:row>
      <xdr:rowOff>0</xdr:rowOff>
    </xdr:to>
    <xdr:sp macro="" textlink="">
      <xdr:nvSpPr>
        <xdr:cNvPr id="82" name="Rectangle 257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SpPr>
          <a:spLocks noChangeArrowheads="1"/>
        </xdr:cNvSpPr>
      </xdr:nvSpPr>
      <xdr:spPr bwMode="auto">
        <a:xfrm>
          <a:off x="5372100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44</xdr:row>
      <xdr:rowOff>0</xdr:rowOff>
    </xdr:from>
    <xdr:to>
      <xdr:col>9</xdr:col>
      <xdr:colOff>409575</xdr:colOff>
      <xdr:row>44</xdr:row>
      <xdr:rowOff>0</xdr:rowOff>
    </xdr:to>
    <xdr:sp macro="" textlink="">
      <xdr:nvSpPr>
        <xdr:cNvPr id="83" name="Rectangle 258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SpPr>
          <a:spLocks noChangeArrowheads="1"/>
        </xdr:cNvSpPr>
      </xdr:nvSpPr>
      <xdr:spPr bwMode="auto">
        <a:xfrm>
          <a:off x="5343525" y="101060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84" name="Rectangle 259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SpPr>
          <a:spLocks noChangeArrowheads="1"/>
        </xdr:cNvSpPr>
      </xdr:nvSpPr>
      <xdr:spPr bwMode="auto">
        <a:xfrm>
          <a:off x="5486400" y="1010602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133350</xdr:colOff>
      <xdr:row>39</xdr:row>
      <xdr:rowOff>180975</xdr:rowOff>
    </xdr:from>
    <xdr:to>
      <xdr:col>3</xdr:col>
      <xdr:colOff>342900</xdr:colOff>
      <xdr:row>43</xdr:row>
      <xdr:rowOff>0</xdr:rowOff>
    </xdr:to>
    <xdr:grpSp>
      <xdr:nvGrpSpPr>
        <xdr:cNvPr id="85" name="Group 3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GrpSpPr>
          <a:grpSpLocks/>
        </xdr:cNvGrpSpPr>
      </xdr:nvGrpSpPr>
      <xdr:grpSpPr bwMode="auto">
        <a:xfrm>
          <a:off x="923925" y="9163050"/>
          <a:ext cx="1114425" cy="733425"/>
          <a:chOff x="921807" y="9129183"/>
          <a:chExt cx="1110192" cy="729192"/>
        </a:xfrm>
      </xdr:grpSpPr>
      <xdr:grpSp>
        <xdr:nvGrpSpPr>
          <xdr:cNvPr id="86" name="Group 112">
            <a:extLst>
              <a:ext uri="{FF2B5EF4-FFF2-40B4-BE49-F238E27FC236}">
                <a16:creationId xmlns:a16="http://schemas.microsoft.com/office/drawing/2014/main" id="{00000000-0008-0000-0100-000056000000}"/>
              </a:ext>
            </a:extLst>
          </xdr:cNvPr>
          <xdr:cNvGrpSpPr>
            <a:grpSpLocks/>
          </xdr:cNvGrpSpPr>
        </xdr:nvGrpSpPr>
        <xdr:grpSpPr bwMode="auto">
          <a:xfrm>
            <a:off x="921807" y="9129183"/>
            <a:ext cx="887941" cy="729192"/>
            <a:chOff x="13440000" y="15720000"/>
            <a:chExt cx="1904539" cy="1540000"/>
          </a:xfrm>
        </xdr:grpSpPr>
        <xdr:grpSp>
          <xdr:nvGrpSpPr>
            <xdr:cNvPr id="97" name="Group 113">
              <a:extLst>
                <a:ext uri="{FF2B5EF4-FFF2-40B4-BE49-F238E27FC236}">
                  <a16:creationId xmlns:a16="http://schemas.microsoft.com/office/drawing/2014/main" id="{00000000-0008-0000-0100-000061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3440000" y="15720000"/>
              <a:ext cx="1904539" cy="1540000"/>
              <a:chOff x="13440000" y="15720000"/>
              <a:chExt cx="1904539" cy="1540000"/>
            </a:xfrm>
          </xdr:grpSpPr>
          <xdr:sp macro="" textlink="">
            <xdr:nvSpPr>
              <xdr:cNvPr id="99" name="Line 114">
                <a:extLst>
                  <a:ext uri="{FF2B5EF4-FFF2-40B4-BE49-F238E27FC236}">
                    <a16:creationId xmlns:a16="http://schemas.microsoft.com/office/drawing/2014/main" id="{00000000-0008-0000-0100-000063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440000" y="15720000"/>
                <a:ext cx="620000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00" name="Line 115">
                <a:extLst>
                  <a:ext uri="{FF2B5EF4-FFF2-40B4-BE49-F238E27FC236}">
                    <a16:creationId xmlns:a16="http://schemas.microsoft.com/office/drawing/2014/main" id="{00000000-0008-0000-0100-000064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14060000" y="15720000"/>
                <a:ext cx="0" cy="15400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01" name="Line 116">
                <a:extLst>
                  <a:ext uri="{FF2B5EF4-FFF2-40B4-BE49-F238E27FC236}">
                    <a16:creationId xmlns:a16="http://schemas.microsoft.com/office/drawing/2014/main" id="{00000000-0008-0000-0100-000065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4059999" y="15818346"/>
                <a:ext cx="1284540" cy="1654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02" name="Line 117">
                <a:extLst>
                  <a:ext uri="{FF2B5EF4-FFF2-40B4-BE49-F238E27FC236}">
                    <a16:creationId xmlns:a16="http://schemas.microsoft.com/office/drawing/2014/main" id="{00000000-0008-0000-0100-000066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15340000" y="15820000"/>
                <a:ext cx="0" cy="8200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03" name="Line 118">
                <a:extLst>
                  <a:ext uri="{FF2B5EF4-FFF2-40B4-BE49-F238E27FC236}">
                    <a16:creationId xmlns:a16="http://schemas.microsoft.com/office/drawing/2014/main" id="{00000000-0008-0000-0100-000067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14060000" y="16259998"/>
                <a:ext cx="644580" cy="7453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04" name="Line 119">
                <a:extLst>
                  <a:ext uri="{FF2B5EF4-FFF2-40B4-BE49-F238E27FC236}">
                    <a16:creationId xmlns:a16="http://schemas.microsoft.com/office/drawing/2014/main" id="{00000000-0008-0000-0100-000068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14686237" y="15818346"/>
                <a:ext cx="13764" cy="821654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98" name="Line 120">
              <a:extLst>
                <a:ext uri="{FF2B5EF4-FFF2-40B4-BE49-F238E27FC236}">
                  <a16:creationId xmlns:a16="http://schemas.microsoft.com/office/drawing/2014/main" id="{00000000-0008-0000-0100-000062000000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14720000" y="16640000"/>
              <a:ext cx="62000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87" name="Group 2">
            <a:extLst>
              <a:ext uri="{FF2B5EF4-FFF2-40B4-BE49-F238E27FC236}">
                <a16:creationId xmlns:a16="http://schemas.microsoft.com/office/drawing/2014/main" id="{00000000-0008-0000-0100-000057000000}"/>
              </a:ext>
            </a:extLst>
          </xdr:cNvPr>
          <xdr:cNvGrpSpPr>
            <a:grpSpLocks/>
          </xdr:cNvGrpSpPr>
        </xdr:nvGrpSpPr>
        <xdr:grpSpPr bwMode="auto">
          <a:xfrm>
            <a:off x="1214967" y="9175750"/>
            <a:ext cx="817032" cy="597957"/>
            <a:chOff x="1214967" y="9175750"/>
            <a:chExt cx="817032" cy="597957"/>
          </a:xfrm>
        </xdr:grpSpPr>
        <xdr:sp macro="" textlink="">
          <xdr:nvSpPr>
            <xdr:cNvPr id="88" name="Line 121">
              <a:extLst>
                <a:ext uri="{FF2B5EF4-FFF2-40B4-BE49-F238E27FC236}">
                  <a16:creationId xmlns:a16="http://schemas.microsoft.com/office/drawing/2014/main" id="{00000000-0008-0000-0100-00005800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214967" y="9479492"/>
              <a:ext cx="276225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arrow" w="sm" len="sm"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grpSp>
          <xdr:nvGrpSpPr>
            <xdr:cNvPr id="89" name="Group 1">
              <a:extLst>
                <a:ext uri="{FF2B5EF4-FFF2-40B4-BE49-F238E27FC236}">
                  <a16:creationId xmlns:a16="http://schemas.microsoft.com/office/drawing/2014/main" id="{00000000-0008-0000-0100-000059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500717" y="9175750"/>
              <a:ext cx="531282" cy="597957"/>
              <a:chOff x="1500717" y="9175750"/>
              <a:chExt cx="531282" cy="597957"/>
            </a:xfrm>
          </xdr:grpSpPr>
          <xdr:sp macro="" textlink="">
            <xdr:nvSpPr>
              <xdr:cNvPr id="90" name="Line 102">
                <a:extLst>
                  <a:ext uri="{FF2B5EF4-FFF2-40B4-BE49-F238E27FC236}">
                    <a16:creationId xmlns:a16="http://schemas.microsoft.com/office/drawing/2014/main" id="{00000000-0008-0000-0100-00005A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1841499" y="9559925"/>
                <a:ext cx="190500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91" name="Line 103">
                <a:extLst>
                  <a:ext uri="{FF2B5EF4-FFF2-40B4-BE49-F238E27FC236}">
                    <a16:creationId xmlns:a16="http://schemas.microsoft.com/office/drawing/2014/main" id="{00000000-0008-0000-0100-00005B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500717" y="9584267"/>
                <a:ext cx="0" cy="132291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92" name="Line 104">
                <a:extLst>
                  <a:ext uri="{FF2B5EF4-FFF2-40B4-BE49-F238E27FC236}">
                    <a16:creationId xmlns:a16="http://schemas.microsoft.com/office/drawing/2014/main" id="{00000000-0008-0000-0100-00005C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807633" y="9593792"/>
                <a:ext cx="0" cy="132291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93" name="Line 105">
                <a:extLst>
                  <a:ext uri="{FF2B5EF4-FFF2-40B4-BE49-F238E27FC236}">
                    <a16:creationId xmlns:a16="http://schemas.microsoft.com/office/drawing/2014/main" id="{00000000-0008-0000-0100-00005D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510242" y="9630833"/>
                <a:ext cx="287866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 type="arrow" w="sm" len="sm"/>
                <a:tailEnd type="arrow" w="sm" len="sm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94" name="Line 106">
                <a:extLst>
                  <a:ext uri="{FF2B5EF4-FFF2-40B4-BE49-F238E27FC236}">
                    <a16:creationId xmlns:a16="http://schemas.microsoft.com/office/drawing/2014/main" id="{00000000-0008-0000-0100-00005E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940982" y="9572624"/>
                <a:ext cx="1059" cy="201083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 type="arrow" w="sm" len="sm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95" name="Line 107">
                <a:extLst>
                  <a:ext uri="{FF2B5EF4-FFF2-40B4-BE49-F238E27FC236}">
                    <a16:creationId xmlns:a16="http://schemas.microsoft.com/office/drawing/2014/main" id="{00000000-0008-0000-0100-00005F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942041" y="9191624"/>
                <a:ext cx="5292" cy="352426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 type="arrow" w="sm" len="sm"/>
                <a:tailEnd type="arrow" w="sm" len="sm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96" name="Line 102">
                <a:extLst>
                  <a:ext uri="{FF2B5EF4-FFF2-40B4-BE49-F238E27FC236}">
                    <a16:creationId xmlns:a16="http://schemas.microsoft.com/office/drawing/2014/main" id="{00000000-0008-0000-0100-000060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1825625" y="9175750"/>
                <a:ext cx="190500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</xdr:grpSp>
    </xdr:grpSp>
    <xdr:clientData/>
  </xdr:twoCellAnchor>
  <xdr:twoCellAnchor>
    <xdr:from>
      <xdr:col>3</xdr:col>
      <xdr:colOff>628650</xdr:colOff>
      <xdr:row>29</xdr:row>
      <xdr:rowOff>0</xdr:rowOff>
    </xdr:from>
    <xdr:to>
      <xdr:col>4</xdr:col>
      <xdr:colOff>693523</xdr:colOff>
      <xdr:row>29</xdr:row>
      <xdr:rowOff>161925</xdr:rowOff>
    </xdr:to>
    <xdr:sp macro="" textlink="">
      <xdr:nvSpPr>
        <xdr:cNvPr id="105" name="Text 219">
          <a:extLst>
            <a:ext uri="{FF2B5EF4-FFF2-40B4-BE49-F238E27FC236}">
              <a16:creationId xmlns:a16="http://schemas.microsoft.com/office/drawing/2014/main" id="{00000000-0008-0000-0100-000069000000}"/>
            </a:ext>
          </a:extLst>
        </xdr:cNvPr>
        <xdr:cNvSpPr txBox="1">
          <a:spLocks noChangeArrowheads="1"/>
        </xdr:cNvSpPr>
      </xdr:nvSpPr>
      <xdr:spPr bwMode="auto">
        <a:xfrm>
          <a:off x="2324100" y="6696075"/>
          <a:ext cx="903073" cy="16192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311-</a:t>
          </a:r>
        </a:p>
      </xdr:txBody>
    </xdr:sp>
    <xdr:clientData/>
  </xdr:twoCellAnchor>
  <xdr:twoCellAnchor>
    <xdr:from>
      <xdr:col>3</xdr:col>
      <xdr:colOff>628650</xdr:colOff>
      <xdr:row>35</xdr:row>
      <xdr:rowOff>9525</xdr:rowOff>
    </xdr:from>
    <xdr:to>
      <xdr:col>4</xdr:col>
      <xdr:colOff>693523</xdr:colOff>
      <xdr:row>35</xdr:row>
      <xdr:rowOff>171450</xdr:rowOff>
    </xdr:to>
    <xdr:sp macro="" textlink="">
      <xdr:nvSpPr>
        <xdr:cNvPr id="106" name="Text 219">
          <a:extLst>
            <a:ext uri="{FF2B5EF4-FFF2-40B4-BE49-F238E27FC236}">
              <a16:creationId xmlns:a16="http://schemas.microsoft.com/office/drawing/2014/main" id="{00000000-0008-0000-0100-00006A000000}"/>
            </a:ext>
          </a:extLst>
        </xdr:cNvPr>
        <xdr:cNvSpPr txBox="1">
          <a:spLocks noChangeArrowheads="1"/>
        </xdr:cNvSpPr>
      </xdr:nvSpPr>
      <xdr:spPr bwMode="auto">
        <a:xfrm>
          <a:off x="2324100" y="8077200"/>
          <a:ext cx="903073" cy="16192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411-</a:t>
          </a:r>
        </a:p>
      </xdr:txBody>
    </xdr:sp>
    <xdr:clientData/>
  </xdr:twoCellAnchor>
  <xdr:twoCellAnchor>
    <xdr:from>
      <xdr:col>3</xdr:col>
      <xdr:colOff>628650</xdr:colOff>
      <xdr:row>40</xdr:row>
      <xdr:rowOff>180975</xdr:rowOff>
    </xdr:from>
    <xdr:to>
      <xdr:col>4</xdr:col>
      <xdr:colOff>693523</xdr:colOff>
      <xdr:row>41</xdr:row>
      <xdr:rowOff>114300</xdr:rowOff>
    </xdr:to>
    <xdr:sp macro="" textlink="">
      <xdr:nvSpPr>
        <xdr:cNvPr id="107" name="Text 219"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SpPr txBox="1">
          <a:spLocks noChangeArrowheads="1"/>
        </xdr:cNvSpPr>
      </xdr:nvSpPr>
      <xdr:spPr bwMode="auto">
        <a:xfrm>
          <a:off x="2324100" y="9391650"/>
          <a:ext cx="903073" cy="16192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051-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ChangeShapeType="1"/>
        </xdr:cNvSpPr>
      </xdr:nvSpPr>
      <xdr:spPr bwMode="auto">
        <a:xfrm>
          <a:off x="609600" y="1285875"/>
          <a:ext cx="942975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9</xdr:row>
      <xdr:rowOff>0</xdr:rowOff>
    </xdr:from>
    <xdr:to>
      <xdr:col>13</xdr:col>
      <xdr:colOff>381000</xdr:colOff>
      <xdr:row>9</xdr:row>
      <xdr:rowOff>9525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ShapeType="1"/>
        </xdr:cNvSpPr>
      </xdr:nvSpPr>
      <xdr:spPr bwMode="auto">
        <a:xfrm flipV="1">
          <a:off x="609600" y="1447800"/>
          <a:ext cx="11877675" cy="95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ShapeType="1"/>
        </xdr:cNvSpPr>
      </xdr:nvSpPr>
      <xdr:spPr bwMode="auto">
        <a:xfrm flipV="1">
          <a:off x="11858625" y="485775"/>
          <a:ext cx="0" cy="1619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ShapeType="1"/>
        </xdr:cNvSpPr>
      </xdr:nvSpPr>
      <xdr:spPr bwMode="auto">
        <a:xfrm flipV="1">
          <a:off x="11858625" y="485775"/>
          <a:ext cx="0" cy="1619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3</xdr:row>
      <xdr:rowOff>9525</xdr:rowOff>
    </xdr:from>
    <xdr:to>
      <xdr:col>1</xdr:col>
      <xdr:colOff>0</xdr:colOff>
      <xdr:row>7</xdr:row>
      <xdr:rowOff>152400</xdr:rowOff>
    </xdr:to>
    <xdr:sp macro="" textlink="">
      <xdr:nvSpPr>
        <xdr:cNvPr id="6" name="Lin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ShapeType="1"/>
        </xdr:cNvSpPr>
      </xdr:nvSpPr>
      <xdr:spPr bwMode="auto">
        <a:xfrm flipH="1">
          <a:off x="609600" y="495300"/>
          <a:ext cx="0" cy="78105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800100</xdr:colOff>
      <xdr:row>15</xdr:row>
      <xdr:rowOff>161925</xdr:rowOff>
    </xdr:from>
    <xdr:to>
      <xdr:col>5</xdr:col>
      <xdr:colOff>657225</xdr:colOff>
      <xdr:row>36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11</xdr:row>
      <xdr:rowOff>0</xdr:rowOff>
    </xdr:from>
    <xdr:to>
      <xdr:col>5</xdr:col>
      <xdr:colOff>590550</xdr:colOff>
      <xdr:row>38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0.64043</cdr:x>
      <cdr:y>0.64951</cdr:y>
    </cdr:from>
    <cdr:to>
      <cdr:x>0.87628</cdr:x>
      <cdr:y>0.6702</cdr:y>
    </cdr:to>
    <cdr:sp macro="" textlink="">
      <cdr:nvSpPr>
        <cdr:cNvPr id="5133" name="Hot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54727" y="4191482"/>
          <a:ext cx="1381590" cy="13341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HOT STALL</a:t>
          </a:r>
        </a:p>
      </cdr:txBody>
    </cdr:sp>
  </cdr:relSizeAnchor>
  <cdr:relSizeAnchor xmlns:cdr="http://schemas.openxmlformats.org/drawingml/2006/chartDrawing">
    <cdr:from>
      <cdr:x>0.64043</cdr:x>
      <cdr:y>0.54384</cdr:y>
    </cdr:from>
    <cdr:to>
      <cdr:x>0.92325</cdr:x>
      <cdr:y>0.56897</cdr:y>
    </cdr:to>
    <cdr:sp macro="" textlink="">
      <cdr:nvSpPr>
        <cdr:cNvPr id="5134" name="Cold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54727" y="3510104"/>
          <a:ext cx="1656755" cy="16200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COLD (AMBIENT) STALL</a:t>
          </a:r>
        </a:p>
      </cdr:txBody>
    </cdr:sp>
  </cdr:relSizeAnchor>
  <cdr:relSizeAnchor xmlns:cdr="http://schemas.openxmlformats.org/drawingml/2006/chartDrawing">
    <cdr:from>
      <cdr:x>0.66822</cdr:x>
      <cdr:y>0.76059</cdr:y>
    </cdr:from>
    <cdr:to>
      <cdr:x>0.91366</cdr:x>
      <cdr:y>0.78572</cdr:y>
    </cdr:to>
    <cdr:sp macro="" textlink="">
      <cdr:nvSpPr>
        <cdr:cNvPr id="5135" name="Acceleration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917521" y="4907802"/>
          <a:ext cx="1437775" cy="16200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ACCELERATION CURVE</a:t>
          </a:r>
        </a:p>
      </cdr:txBody>
    </cdr:sp>
  </cdr:relSizeAnchor>
  <cdr:relSizeAnchor xmlns:cdr="http://schemas.openxmlformats.org/drawingml/2006/chartDrawing">
    <cdr:from>
      <cdr:x>0.29932</cdr:x>
      <cdr:y>0.36182</cdr:y>
    </cdr:from>
    <cdr:to>
      <cdr:x>0.62444</cdr:x>
      <cdr:y>0.3899</cdr:y>
    </cdr:to>
    <cdr:sp macro="" textlink="">
      <cdr:nvSpPr>
        <cdr:cNvPr id="5136" name="Running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56537" y="2336355"/>
          <a:ext cx="1904548" cy="18106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RUNNING CONDITION</a:t>
          </a:r>
        </a:p>
      </cdr:txBody>
    </cdr:sp>
  </cdr:relSizeAnchor>
  <cdr:relSizeAnchor xmlns:cdr="http://schemas.openxmlformats.org/drawingml/2006/chartDrawing">
    <cdr:from>
      <cdr:x>0.6242</cdr:x>
      <cdr:y>0.19532</cdr:y>
    </cdr:from>
    <cdr:to>
      <cdr:x>0.94932</cdr:x>
      <cdr:y>0.2234</cdr:y>
    </cdr:to>
    <cdr:sp macro="" textlink="">
      <cdr:nvSpPr>
        <cdr:cNvPr id="5137" name="Load Type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659644" y="1262668"/>
          <a:ext cx="1904547" cy="1810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r>
            <a:rPr lang="en-US"/>
            <a:t>LOAD TYPE: FAN / PUMP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333375</xdr:colOff>
      <xdr:row>16</xdr:row>
      <xdr:rowOff>19050</xdr:rowOff>
    </xdr:from>
    <xdr:to>
      <xdr:col>5</xdr:col>
      <xdr:colOff>904875</xdr:colOff>
      <xdr:row>37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603409</xdr:colOff>
      <xdr:row>16</xdr:row>
      <xdr:rowOff>66675</xdr:rowOff>
    </xdr:from>
    <xdr:to>
      <xdr:col>0</xdr:col>
      <xdr:colOff>1104900</xdr:colOff>
      <xdr:row>17</xdr:row>
      <xdr:rowOff>0</xdr:rowOff>
    </xdr:to>
    <xdr:sp macro="" textlink="$N$37">
      <xdr:nvSpPr>
        <xdr:cNvPr id="3" name="RPM11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>
          <a:spLocks noChangeArrowheads="1"/>
        </xdr:cNvSpPr>
      </xdr:nvSpPr>
      <xdr:spPr bwMode="auto">
        <a:xfrm>
          <a:off x="603409" y="3962400"/>
          <a:ext cx="501491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AFD54F74-ECBA-4853-9A20-D5CF0AECB6F4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3600</a:t>
          </a:fld>
          <a:endParaRPr lang="en-US"/>
        </a:p>
      </xdr:txBody>
    </xdr:sp>
    <xdr:clientData/>
  </xdr:twoCellAnchor>
  <xdr:twoCellAnchor>
    <xdr:from>
      <xdr:col>0</xdr:col>
      <xdr:colOff>593884</xdr:colOff>
      <xdr:row>18</xdr:row>
      <xdr:rowOff>9525</xdr:rowOff>
    </xdr:from>
    <xdr:to>
      <xdr:col>0</xdr:col>
      <xdr:colOff>1095375</xdr:colOff>
      <xdr:row>18</xdr:row>
      <xdr:rowOff>180975</xdr:rowOff>
    </xdr:to>
    <xdr:sp macro="" textlink="$N$38">
      <xdr:nvSpPr>
        <xdr:cNvPr id="4" name="RPM10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 txBox="1">
          <a:spLocks noChangeArrowheads="1"/>
        </xdr:cNvSpPr>
      </xdr:nvSpPr>
      <xdr:spPr bwMode="auto">
        <a:xfrm>
          <a:off x="593884" y="4381500"/>
          <a:ext cx="501491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4D8135EE-2DE6-4DB9-8781-1858190786CD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3597</a:t>
          </a:fld>
          <a:endParaRPr lang="en-US"/>
        </a:p>
      </xdr:txBody>
    </xdr:sp>
    <xdr:clientData/>
  </xdr:twoCellAnchor>
  <xdr:twoCellAnchor>
    <xdr:from>
      <xdr:col>0</xdr:col>
      <xdr:colOff>584359</xdr:colOff>
      <xdr:row>19</xdr:row>
      <xdr:rowOff>180975</xdr:rowOff>
    </xdr:from>
    <xdr:to>
      <xdr:col>0</xdr:col>
      <xdr:colOff>1085850</xdr:colOff>
      <xdr:row>20</xdr:row>
      <xdr:rowOff>114300</xdr:rowOff>
    </xdr:to>
    <xdr:sp macro="" textlink="$N$39">
      <xdr:nvSpPr>
        <xdr:cNvPr id="5" name="RPM9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 txBox="1">
          <a:spLocks noChangeArrowheads="1"/>
        </xdr:cNvSpPr>
      </xdr:nvSpPr>
      <xdr:spPr bwMode="auto">
        <a:xfrm>
          <a:off x="584359" y="4791075"/>
          <a:ext cx="501491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6E9E1826-24C2-4DBE-9203-212E163A9D08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3594</a:t>
          </a:fld>
          <a:endParaRPr lang="en-US"/>
        </a:p>
      </xdr:txBody>
    </xdr:sp>
    <xdr:clientData/>
  </xdr:twoCellAnchor>
  <xdr:twoCellAnchor>
    <xdr:from>
      <xdr:col>0</xdr:col>
      <xdr:colOff>584359</xdr:colOff>
      <xdr:row>21</xdr:row>
      <xdr:rowOff>114300</xdr:rowOff>
    </xdr:from>
    <xdr:to>
      <xdr:col>0</xdr:col>
      <xdr:colOff>1085850</xdr:colOff>
      <xdr:row>22</xdr:row>
      <xdr:rowOff>47625</xdr:rowOff>
    </xdr:to>
    <xdr:sp macro="" textlink="$N$40">
      <xdr:nvSpPr>
        <xdr:cNvPr id="6" name="RPM8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 txBox="1">
          <a:spLocks noChangeArrowheads="1"/>
        </xdr:cNvSpPr>
      </xdr:nvSpPr>
      <xdr:spPr bwMode="auto">
        <a:xfrm>
          <a:off x="584359" y="5200650"/>
          <a:ext cx="501491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26CE7E94-1E8E-4940-B8D7-A0289E83373F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3591</a:t>
          </a:fld>
          <a:endParaRPr lang="en-US"/>
        </a:p>
      </xdr:txBody>
    </xdr:sp>
    <xdr:clientData/>
  </xdr:twoCellAnchor>
  <xdr:twoCellAnchor>
    <xdr:from>
      <xdr:col>0</xdr:col>
      <xdr:colOff>593884</xdr:colOff>
      <xdr:row>23</xdr:row>
      <xdr:rowOff>47625</xdr:rowOff>
    </xdr:from>
    <xdr:to>
      <xdr:col>0</xdr:col>
      <xdr:colOff>1095375</xdr:colOff>
      <xdr:row>23</xdr:row>
      <xdr:rowOff>219075</xdr:rowOff>
    </xdr:to>
    <xdr:sp macro="" textlink="$N$41">
      <xdr:nvSpPr>
        <xdr:cNvPr id="7" name="RPM7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 txBox="1">
          <a:spLocks noChangeArrowheads="1"/>
        </xdr:cNvSpPr>
      </xdr:nvSpPr>
      <xdr:spPr bwMode="auto">
        <a:xfrm>
          <a:off x="593884" y="5610225"/>
          <a:ext cx="501491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9D808B28-BCB4-4DA9-8907-1CCC8B4FC323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3588</a:t>
          </a:fld>
          <a:endParaRPr lang="en-US"/>
        </a:p>
      </xdr:txBody>
    </xdr:sp>
    <xdr:clientData/>
  </xdr:twoCellAnchor>
  <xdr:twoCellAnchor>
    <xdr:from>
      <xdr:col>0</xdr:col>
      <xdr:colOff>593884</xdr:colOff>
      <xdr:row>24</xdr:row>
      <xdr:rowOff>219075</xdr:rowOff>
    </xdr:from>
    <xdr:to>
      <xdr:col>0</xdr:col>
      <xdr:colOff>1095375</xdr:colOff>
      <xdr:row>25</xdr:row>
      <xdr:rowOff>152400</xdr:rowOff>
    </xdr:to>
    <xdr:sp macro="" textlink="$N$42">
      <xdr:nvSpPr>
        <xdr:cNvPr id="8" name="RPM6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 txBox="1">
          <a:spLocks noChangeArrowheads="1"/>
        </xdr:cNvSpPr>
      </xdr:nvSpPr>
      <xdr:spPr bwMode="auto">
        <a:xfrm>
          <a:off x="593884" y="6019800"/>
          <a:ext cx="501491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0A77F36B-F35C-417A-8A4B-9823FB767BF6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3585</a:t>
          </a:fld>
          <a:endParaRPr lang="en-US"/>
        </a:p>
      </xdr:txBody>
    </xdr:sp>
    <xdr:clientData/>
  </xdr:twoCellAnchor>
  <xdr:twoCellAnchor>
    <xdr:from>
      <xdr:col>0</xdr:col>
      <xdr:colOff>584359</xdr:colOff>
      <xdr:row>26</xdr:row>
      <xdr:rowOff>152400</xdr:rowOff>
    </xdr:from>
    <xdr:to>
      <xdr:col>0</xdr:col>
      <xdr:colOff>1085850</xdr:colOff>
      <xdr:row>27</xdr:row>
      <xdr:rowOff>85725</xdr:rowOff>
    </xdr:to>
    <xdr:sp macro="" textlink="$N$43">
      <xdr:nvSpPr>
        <xdr:cNvPr id="9" name="RPM5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 txBox="1">
          <a:spLocks noChangeArrowheads="1"/>
        </xdr:cNvSpPr>
      </xdr:nvSpPr>
      <xdr:spPr bwMode="auto">
        <a:xfrm>
          <a:off x="584359" y="6429375"/>
          <a:ext cx="501491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C3C864A9-25B8-4D9A-98D6-E904A7E1B038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3582</a:t>
          </a:fld>
          <a:endParaRPr lang="en-US"/>
        </a:p>
      </xdr:txBody>
    </xdr:sp>
    <xdr:clientData/>
  </xdr:twoCellAnchor>
  <xdr:twoCellAnchor>
    <xdr:from>
      <xdr:col>0</xdr:col>
      <xdr:colOff>574834</xdr:colOff>
      <xdr:row>28</xdr:row>
      <xdr:rowOff>85725</xdr:rowOff>
    </xdr:from>
    <xdr:to>
      <xdr:col>0</xdr:col>
      <xdr:colOff>1076325</xdr:colOff>
      <xdr:row>29</xdr:row>
      <xdr:rowOff>19050</xdr:rowOff>
    </xdr:to>
    <xdr:sp macro="" textlink="$N$44">
      <xdr:nvSpPr>
        <xdr:cNvPr id="10" name="RPM4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 txBox="1">
          <a:spLocks noChangeArrowheads="1"/>
        </xdr:cNvSpPr>
      </xdr:nvSpPr>
      <xdr:spPr bwMode="auto">
        <a:xfrm>
          <a:off x="574834" y="6838950"/>
          <a:ext cx="501491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DCB972BC-C3D5-478A-8C00-480C17E221F7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3579</a:t>
          </a:fld>
          <a:endParaRPr lang="en-US"/>
        </a:p>
      </xdr:txBody>
    </xdr:sp>
    <xdr:clientData/>
  </xdr:twoCellAnchor>
  <xdr:twoCellAnchor>
    <xdr:from>
      <xdr:col>0</xdr:col>
      <xdr:colOff>574834</xdr:colOff>
      <xdr:row>30</xdr:row>
      <xdr:rowOff>28575</xdr:rowOff>
    </xdr:from>
    <xdr:to>
      <xdr:col>0</xdr:col>
      <xdr:colOff>1076325</xdr:colOff>
      <xdr:row>30</xdr:row>
      <xdr:rowOff>200025</xdr:rowOff>
    </xdr:to>
    <xdr:sp macro="" textlink="$N$45">
      <xdr:nvSpPr>
        <xdr:cNvPr id="11" name="RPM3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 txBox="1">
          <a:spLocks noChangeArrowheads="1"/>
        </xdr:cNvSpPr>
      </xdr:nvSpPr>
      <xdr:spPr bwMode="auto">
        <a:xfrm>
          <a:off x="574834" y="7258050"/>
          <a:ext cx="501491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EF4BEE1B-0C7A-4BF2-A3E7-C5BF5D598770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3576</a:t>
          </a:fld>
          <a:endParaRPr lang="en-US"/>
        </a:p>
      </xdr:txBody>
    </xdr:sp>
    <xdr:clientData/>
  </xdr:twoCellAnchor>
  <xdr:twoCellAnchor>
    <xdr:from>
      <xdr:col>0</xdr:col>
      <xdr:colOff>574834</xdr:colOff>
      <xdr:row>31</xdr:row>
      <xdr:rowOff>200025</xdr:rowOff>
    </xdr:from>
    <xdr:to>
      <xdr:col>0</xdr:col>
      <xdr:colOff>1076325</xdr:colOff>
      <xdr:row>32</xdr:row>
      <xdr:rowOff>133350</xdr:rowOff>
    </xdr:to>
    <xdr:sp macro="" textlink="$N$46">
      <xdr:nvSpPr>
        <xdr:cNvPr id="12" name="RPM2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 txBox="1">
          <a:spLocks noChangeArrowheads="1"/>
        </xdr:cNvSpPr>
      </xdr:nvSpPr>
      <xdr:spPr bwMode="auto">
        <a:xfrm>
          <a:off x="574834" y="7667625"/>
          <a:ext cx="501491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AEFEFB2A-C317-4A50-81E6-46152DF0B0F1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3573</a:t>
          </a:fld>
          <a:endParaRPr lang="en-US"/>
        </a:p>
      </xdr:txBody>
    </xdr:sp>
    <xdr:clientData/>
  </xdr:twoCellAnchor>
  <xdr:twoCellAnchor>
    <xdr:from>
      <xdr:col>0</xdr:col>
      <xdr:colOff>584359</xdr:colOff>
      <xdr:row>33</xdr:row>
      <xdr:rowOff>133350</xdr:rowOff>
    </xdr:from>
    <xdr:to>
      <xdr:col>0</xdr:col>
      <xdr:colOff>1085850</xdr:colOff>
      <xdr:row>34</xdr:row>
      <xdr:rowOff>66675</xdr:rowOff>
    </xdr:to>
    <xdr:sp macro="" textlink="$N$47">
      <xdr:nvSpPr>
        <xdr:cNvPr id="13" name="RPM1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 txBox="1">
          <a:spLocks noChangeArrowheads="1"/>
        </xdr:cNvSpPr>
      </xdr:nvSpPr>
      <xdr:spPr bwMode="auto">
        <a:xfrm>
          <a:off x="584359" y="8077200"/>
          <a:ext cx="501491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67154E12-02A6-466D-AA28-588B900C5456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3570</a:t>
          </a:fld>
          <a:endParaRPr lang="en-US"/>
        </a:p>
      </xdr:txBody>
    </xdr:sp>
    <xdr:clientData/>
  </xdr:twoCellAnchor>
  <xdr:twoCellAnchor>
    <xdr:from>
      <xdr:col>0</xdr:col>
      <xdr:colOff>390525</xdr:colOff>
      <xdr:row>24</xdr:row>
      <xdr:rowOff>104775</xdr:rowOff>
    </xdr:from>
    <xdr:to>
      <xdr:col>0</xdr:col>
      <xdr:colOff>600075</xdr:colOff>
      <xdr:row>26</xdr:row>
      <xdr:rowOff>209550</xdr:rowOff>
    </xdr:to>
    <xdr:sp macro="" textlink="">
      <xdr:nvSpPr>
        <xdr:cNvPr id="14" name="RPM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 txBox="1">
          <a:spLocks noChangeArrowheads="1"/>
        </xdr:cNvSpPr>
      </xdr:nvSpPr>
      <xdr:spPr bwMode="auto">
        <a:xfrm>
          <a:off x="390525" y="5905500"/>
          <a:ext cx="209550" cy="581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RPM</a:t>
          </a:r>
        </a:p>
      </xdr:txBody>
    </xdr:sp>
    <xdr:clientData/>
  </xdr:twoCellAnchor>
  <xdr:twoCellAnchor>
    <xdr:from>
      <xdr:col>5</xdr:col>
      <xdr:colOff>352425</xdr:colOff>
      <xdr:row>16</xdr:row>
      <xdr:rowOff>85725</xdr:rowOff>
    </xdr:from>
    <xdr:to>
      <xdr:col>5</xdr:col>
      <xdr:colOff>853916</xdr:colOff>
      <xdr:row>17</xdr:row>
      <xdr:rowOff>38100</xdr:rowOff>
    </xdr:to>
    <xdr:sp macro="" textlink="$O$37">
      <xdr:nvSpPr>
        <xdr:cNvPr id="15" name="Watts11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 txBox="1">
          <a:spLocks noChangeArrowheads="1"/>
        </xdr:cNvSpPr>
      </xdr:nvSpPr>
      <xdr:spPr bwMode="auto">
        <a:xfrm>
          <a:off x="5924550" y="3981450"/>
          <a:ext cx="501491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BA334E50-F4D8-40EF-BA38-DDDE8F28584F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1600</a:t>
          </a:fld>
          <a:endParaRPr lang="en-US"/>
        </a:p>
      </xdr:txBody>
    </xdr:sp>
    <xdr:clientData/>
  </xdr:twoCellAnchor>
  <xdr:twoCellAnchor>
    <xdr:from>
      <xdr:col>5</xdr:col>
      <xdr:colOff>381000</xdr:colOff>
      <xdr:row>25</xdr:row>
      <xdr:rowOff>0</xdr:rowOff>
    </xdr:from>
    <xdr:to>
      <xdr:col>5</xdr:col>
      <xdr:colOff>946785</xdr:colOff>
      <xdr:row>25</xdr:row>
      <xdr:rowOff>200025</xdr:rowOff>
    </xdr:to>
    <xdr:sp macro="" textlink="$O$42">
      <xdr:nvSpPr>
        <xdr:cNvPr id="16" name="Watts6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 txBox="1">
          <a:spLocks noChangeArrowheads="1"/>
        </xdr:cNvSpPr>
      </xdr:nvSpPr>
      <xdr:spPr bwMode="auto">
        <a:xfrm>
          <a:off x="5953125" y="6038850"/>
          <a:ext cx="565785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5674813C-DDCE-4ADA-B01D-9678DF15FD7A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800</a:t>
          </a:fld>
          <a:endParaRPr lang="en-US"/>
        </a:p>
      </xdr:txBody>
    </xdr:sp>
    <xdr:clientData/>
  </xdr:twoCellAnchor>
  <xdr:twoCellAnchor>
    <xdr:from>
      <xdr:col>5</xdr:col>
      <xdr:colOff>371475</xdr:colOff>
      <xdr:row>26</xdr:row>
      <xdr:rowOff>180975</xdr:rowOff>
    </xdr:from>
    <xdr:to>
      <xdr:col>5</xdr:col>
      <xdr:colOff>872966</xdr:colOff>
      <xdr:row>27</xdr:row>
      <xdr:rowOff>133350</xdr:rowOff>
    </xdr:to>
    <xdr:sp macro="" textlink="$O$43">
      <xdr:nvSpPr>
        <xdr:cNvPr id="17" name="Watts5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 txBox="1">
          <a:spLocks noChangeArrowheads="1"/>
        </xdr:cNvSpPr>
      </xdr:nvSpPr>
      <xdr:spPr bwMode="auto">
        <a:xfrm>
          <a:off x="5943600" y="6457950"/>
          <a:ext cx="501491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289972BE-3618-48A5-93DD-ECB328C1B806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640</a:t>
          </a:fld>
          <a:endParaRPr lang="en-US"/>
        </a:p>
      </xdr:txBody>
    </xdr:sp>
    <xdr:clientData/>
  </xdr:twoCellAnchor>
  <xdr:twoCellAnchor>
    <xdr:from>
      <xdr:col>5</xdr:col>
      <xdr:colOff>381000</xdr:colOff>
      <xdr:row>28</xdr:row>
      <xdr:rowOff>114300</xdr:rowOff>
    </xdr:from>
    <xdr:to>
      <xdr:col>5</xdr:col>
      <xdr:colOff>882491</xdr:colOff>
      <xdr:row>29</xdr:row>
      <xdr:rowOff>66675</xdr:rowOff>
    </xdr:to>
    <xdr:sp macro="" textlink="$O$44">
      <xdr:nvSpPr>
        <xdr:cNvPr id="18" name="Watts4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 txBox="1">
          <a:spLocks noChangeArrowheads="1"/>
        </xdr:cNvSpPr>
      </xdr:nvSpPr>
      <xdr:spPr bwMode="auto">
        <a:xfrm>
          <a:off x="5953125" y="6867525"/>
          <a:ext cx="501491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25CD537C-9D01-4A75-921C-CF70128BEE40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480</a:t>
          </a:fld>
          <a:endParaRPr lang="en-US"/>
        </a:p>
      </xdr:txBody>
    </xdr:sp>
    <xdr:clientData/>
  </xdr:twoCellAnchor>
  <xdr:twoCellAnchor>
    <xdr:from>
      <xdr:col>5</xdr:col>
      <xdr:colOff>371475</xdr:colOff>
      <xdr:row>30</xdr:row>
      <xdr:rowOff>38100</xdr:rowOff>
    </xdr:from>
    <xdr:to>
      <xdr:col>5</xdr:col>
      <xdr:colOff>872966</xdr:colOff>
      <xdr:row>30</xdr:row>
      <xdr:rowOff>228600</xdr:rowOff>
    </xdr:to>
    <xdr:sp macro="" textlink="$O$45">
      <xdr:nvSpPr>
        <xdr:cNvPr id="19" name="Watts3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SpPr txBox="1">
          <a:spLocks noChangeArrowheads="1"/>
        </xdr:cNvSpPr>
      </xdr:nvSpPr>
      <xdr:spPr bwMode="auto">
        <a:xfrm>
          <a:off x="5943600" y="7267575"/>
          <a:ext cx="501491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1B8C04FE-47A7-4874-9FCE-B80339F4291C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320</a:t>
          </a:fld>
          <a:endParaRPr lang="en-US"/>
        </a:p>
      </xdr:txBody>
    </xdr:sp>
    <xdr:clientData/>
  </xdr:twoCellAnchor>
  <xdr:twoCellAnchor>
    <xdr:from>
      <xdr:col>5</xdr:col>
      <xdr:colOff>371475</xdr:colOff>
      <xdr:row>31</xdr:row>
      <xdr:rowOff>219075</xdr:rowOff>
    </xdr:from>
    <xdr:to>
      <xdr:col>5</xdr:col>
      <xdr:colOff>872966</xdr:colOff>
      <xdr:row>32</xdr:row>
      <xdr:rowOff>171450</xdr:rowOff>
    </xdr:to>
    <xdr:sp macro="" textlink="$O$46">
      <xdr:nvSpPr>
        <xdr:cNvPr id="20" name="Watts2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SpPr txBox="1">
          <a:spLocks noChangeArrowheads="1"/>
        </xdr:cNvSpPr>
      </xdr:nvSpPr>
      <xdr:spPr bwMode="auto">
        <a:xfrm>
          <a:off x="5943600" y="7686675"/>
          <a:ext cx="501491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C1CE2E5C-2D63-4363-8479-6A6D07489904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160</a:t>
          </a:fld>
          <a:endParaRPr lang="en-US"/>
        </a:p>
      </xdr:txBody>
    </xdr:sp>
    <xdr:clientData/>
  </xdr:twoCellAnchor>
  <xdr:twoCellAnchor>
    <xdr:from>
      <xdr:col>5</xdr:col>
      <xdr:colOff>733425</xdr:colOff>
      <xdr:row>23</xdr:row>
      <xdr:rowOff>9525</xdr:rowOff>
    </xdr:from>
    <xdr:to>
      <xdr:col>5</xdr:col>
      <xdr:colOff>952500</xdr:colOff>
      <xdr:row>28</xdr:row>
      <xdr:rowOff>142875</xdr:rowOff>
    </xdr:to>
    <xdr:sp macro="" textlink="">
      <xdr:nvSpPr>
        <xdr:cNvPr id="21" name="Input Watts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SpPr txBox="1">
          <a:spLocks noChangeArrowheads="1"/>
        </xdr:cNvSpPr>
      </xdr:nvSpPr>
      <xdr:spPr bwMode="auto">
        <a:xfrm>
          <a:off x="6305550" y="5572125"/>
          <a:ext cx="219075" cy="1323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Input Watts (kW)</a:t>
          </a:r>
        </a:p>
      </xdr:txBody>
    </xdr:sp>
    <xdr:clientData/>
  </xdr:twoCellAnchor>
  <xdr:twoCellAnchor>
    <xdr:from>
      <xdr:col>5</xdr:col>
      <xdr:colOff>371475</xdr:colOff>
      <xdr:row>23</xdr:row>
      <xdr:rowOff>66675</xdr:rowOff>
    </xdr:from>
    <xdr:to>
      <xdr:col>5</xdr:col>
      <xdr:colOff>872966</xdr:colOff>
      <xdr:row>24</xdr:row>
      <xdr:rowOff>19050</xdr:rowOff>
    </xdr:to>
    <xdr:sp macro="" textlink="$O$41">
      <xdr:nvSpPr>
        <xdr:cNvPr id="22" name="Watts7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SpPr txBox="1">
          <a:spLocks noChangeArrowheads="1"/>
        </xdr:cNvSpPr>
      </xdr:nvSpPr>
      <xdr:spPr bwMode="auto">
        <a:xfrm>
          <a:off x="5943600" y="5629275"/>
          <a:ext cx="501491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E3904E11-1537-43B8-B4DB-E9F04C4E1A39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960</a:t>
          </a:fld>
          <a:endParaRPr lang="en-US"/>
        </a:p>
      </xdr:txBody>
    </xdr:sp>
    <xdr:clientData/>
  </xdr:twoCellAnchor>
  <xdr:twoCellAnchor>
    <xdr:from>
      <xdr:col>5</xdr:col>
      <xdr:colOff>371475</xdr:colOff>
      <xdr:row>21</xdr:row>
      <xdr:rowOff>133350</xdr:rowOff>
    </xdr:from>
    <xdr:to>
      <xdr:col>5</xdr:col>
      <xdr:colOff>872966</xdr:colOff>
      <xdr:row>22</xdr:row>
      <xdr:rowOff>85725</xdr:rowOff>
    </xdr:to>
    <xdr:sp macro="" textlink="$O$40">
      <xdr:nvSpPr>
        <xdr:cNvPr id="23" name="Watts8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SpPr txBox="1">
          <a:spLocks noChangeArrowheads="1"/>
        </xdr:cNvSpPr>
      </xdr:nvSpPr>
      <xdr:spPr bwMode="auto">
        <a:xfrm>
          <a:off x="5943600" y="5219700"/>
          <a:ext cx="501491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BE892E4A-2E38-4E92-9699-AF79EC416D4A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1120</a:t>
          </a:fld>
          <a:endParaRPr lang="en-US"/>
        </a:p>
      </xdr:txBody>
    </xdr:sp>
    <xdr:clientData/>
  </xdr:twoCellAnchor>
  <xdr:twoCellAnchor>
    <xdr:from>
      <xdr:col>5</xdr:col>
      <xdr:colOff>361950</xdr:colOff>
      <xdr:row>19</xdr:row>
      <xdr:rowOff>200025</xdr:rowOff>
    </xdr:from>
    <xdr:to>
      <xdr:col>5</xdr:col>
      <xdr:colOff>863441</xdr:colOff>
      <xdr:row>20</xdr:row>
      <xdr:rowOff>152400</xdr:rowOff>
    </xdr:to>
    <xdr:sp macro="" textlink="$O$39">
      <xdr:nvSpPr>
        <xdr:cNvPr id="24" name="Watts9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SpPr txBox="1">
          <a:spLocks noChangeArrowheads="1"/>
        </xdr:cNvSpPr>
      </xdr:nvSpPr>
      <xdr:spPr bwMode="auto">
        <a:xfrm>
          <a:off x="5934075" y="4810125"/>
          <a:ext cx="501491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73647990-59CB-478D-A034-1C38D7AB550E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1280</a:t>
          </a:fld>
          <a:endParaRPr lang="en-US"/>
        </a:p>
      </xdr:txBody>
    </xdr:sp>
    <xdr:clientData/>
  </xdr:twoCellAnchor>
  <xdr:twoCellAnchor>
    <xdr:from>
      <xdr:col>5</xdr:col>
      <xdr:colOff>361950</xdr:colOff>
      <xdr:row>18</xdr:row>
      <xdr:rowOff>28575</xdr:rowOff>
    </xdr:from>
    <xdr:to>
      <xdr:col>5</xdr:col>
      <xdr:colOff>863441</xdr:colOff>
      <xdr:row>18</xdr:row>
      <xdr:rowOff>219075</xdr:rowOff>
    </xdr:to>
    <xdr:sp macro="" textlink="$O$38">
      <xdr:nvSpPr>
        <xdr:cNvPr id="25" name="Watts10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SpPr txBox="1">
          <a:spLocks noChangeArrowheads="1"/>
        </xdr:cNvSpPr>
      </xdr:nvSpPr>
      <xdr:spPr bwMode="auto">
        <a:xfrm>
          <a:off x="5934075" y="4400550"/>
          <a:ext cx="501491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DBA832D4-0289-41DD-81F5-7421ADBF0740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1440</a:t>
          </a:fld>
          <a:endParaRPr lang="en-US"/>
        </a:p>
      </xdr:txBody>
    </xdr:sp>
    <xdr:clientData/>
  </xdr:twoCellAnchor>
  <xdr:twoCellAnchor>
    <xdr:from>
      <xdr:col>2</xdr:col>
      <xdr:colOff>857250</xdr:colOff>
      <xdr:row>17</xdr:row>
      <xdr:rowOff>19050</xdr:rowOff>
    </xdr:from>
    <xdr:to>
      <xdr:col>3</xdr:col>
      <xdr:colOff>85725</xdr:colOff>
      <xdr:row>17</xdr:row>
      <xdr:rowOff>161925</xdr:rowOff>
    </xdr:to>
    <xdr:sp macro="" textlink="" fLocksText="0">
      <xdr:nvSpPr>
        <xdr:cNvPr id="26" name="Text Box 26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SpPr txBox="1">
          <a:spLocks noChangeArrowheads="1"/>
        </xdr:cNvSpPr>
      </xdr:nvSpPr>
      <xdr:spPr bwMode="auto">
        <a:xfrm>
          <a:off x="3086100" y="4152900"/>
          <a:ext cx="3429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EFF.</a:t>
          </a:r>
        </a:p>
      </xdr:txBody>
    </xdr:sp>
    <xdr:clientData fLocksWithSheet="0"/>
  </xdr:twoCellAnchor>
  <xdr:twoCellAnchor>
    <xdr:from>
      <xdr:col>3</xdr:col>
      <xdr:colOff>942975</xdr:colOff>
      <xdr:row>18</xdr:row>
      <xdr:rowOff>180975</xdr:rowOff>
    </xdr:from>
    <xdr:to>
      <xdr:col>4</xdr:col>
      <xdr:colOff>161925</xdr:colOff>
      <xdr:row>19</xdr:row>
      <xdr:rowOff>114300</xdr:rowOff>
    </xdr:to>
    <xdr:sp macro="" textlink="" fLocksText="0">
      <xdr:nvSpPr>
        <xdr:cNvPr id="27" name="Text Box 27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SpPr txBox="1">
          <a:spLocks noChangeArrowheads="1"/>
        </xdr:cNvSpPr>
      </xdr:nvSpPr>
      <xdr:spPr bwMode="auto">
        <a:xfrm>
          <a:off x="4286250" y="4552950"/>
          <a:ext cx="3333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P.F.</a:t>
          </a:r>
        </a:p>
      </xdr:txBody>
    </xdr:sp>
    <xdr:clientData fLocksWithSheet="0"/>
  </xdr:twoCellAnchor>
  <xdr:twoCellAnchor>
    <xdr:from>
      <xdr:col>3</xdr:col>
      <xdr:colOff>114300</xdr:colOff>
      <xdr:row>23</xdr:row>
      <xdr:rowOff>9525</xdr:rowOff>
    </xdr:from>
    <xdr:to>
      <xdr:col>3</xdr:col>
      <xdr:colOff>457200</xdr:colOff>
      <xdr:row>23</xdr:row>
      <xdr:rowOff>152400</xdr:rowOff>
    </xdr:to>
    <xdr:sp macro="" textlink="" fLocksText="0">
      <xdr:nvSpPr>
        <xdr:cNvPr id="28" name="Speed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SpPr txBox="1">
          <a:spLocks noChangeArrowheads="1"/>
        </xdr:cNvSpPr>
      </xdr:nvSpPr>
      <xdr:spPr bwMode="auto">
        <a:xfrm>
          <a:off x="3457575" y="5572125"/>
          <a:ext cx="3429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RPM</a:t>
          </a:r>
        </a:p>
      </xdr:txBody>
    </xdr:sp>
    <xdr:clientData fLocksWithSheet="0"/>
  </xdr:twoCellAnchor>
  <xdr:twoCellAnchor>
    <xdr:from>
      <xdr:col>1</xdr:col>
      <xdr:colOff>1000125</xdr:colOff>
      <xdr:row>29</xdr:row>
      <xdr:rowOff>28575</xdr:rowOff>
    </xdr:from>
    <xdr:to>
      <xdr:col>2</xdr:col>
      <xdr:colOff>323850</xdr:colOff>
      <xdr:row>29</xdr:row>
      <xdr:rowOff>180975</xdr:rowOff>
    </xdr:to>
    <xdr:sp macro="" textlink="" fLocksText="0">
      <xdr:nvSpPr>
        <xdr:cNvPr id="29" name="Amps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SpPr txBox="1">
          <a:spLocks noChangeArrowheads="1"/>
        </xdr:cNvSpPr>
      </xdr:nvSpPr>
      <xdr:spPr bwMode="auto">
        <a:xfrm>
          <a:off x="2114550" y="701992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AMPS</a:t>
          </a:r>
        </a:p>
      </xdr:txBody>
    </xdr:sp>
    <xdr:clientData fLocksWithSheet="0"/>
  </xdr:twoCellAnchor>
  <xdr:twoCellAnchor>
    <xdr:from>
      <xdr:col>2</xdr:col>
      <xdr:colOff>581025</xdr:colOff>
      <xdr:row>31</xdr:row>
      <xdr:rowOff>180975</xdr:rowOff>
    </xdr:from>
    <xdr:to>
      <xdr:col>2</xdr:col>
      <xdr:colOff>1085850</xdr:colOff>
      <xdr:row>32</xdr:row>
      <xdr:rowOff>95250</xdr:rowOff>
    </xdr:to>
    <xdr:sp macro="" textlink="" fLocksText="0">
      <xdr:nvSpPr>
        <xdr:cNvPr id="30" name="Watts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SpPr txBox="1">
          <a:spLocks noChangeArrowheads="1"/>
        </xdr:cNvSpPr>
      </xdr:nvSpPr>
      <xdr:spPr bwMode="auto">
        <a:xfrm>
          <a:off x="2809875" y="7648575"/>
          <a:ext cx="50482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WATTS</a:t>
          </a:r>
        </a:p>
      </xdr:txBody>
    </xdr:sp>
    <xdr:clientData fLocksWithSheet="0"/>
  </xdr:twoCellAnchor>
  <xdr:twoCellAnchor>
    <xdr:from>
      <xdr:col>5</xdr:col>
      <xdr:colOff>361950</xdr:colOff>
      <xdr:row>33</xdr:row>
      <xdr:rowOff>142875</xdr:rowOff>
    </xdr:from>
    <xdr:to>
      <xdr:col>5</xdr:col>
      <xdr:colOff>889159</xdr:colOff>
      <xdr:row>34</xdr:row>
      <xdr:rowOff>104775</xdr:rowOff>
    </xdr:to>
    <xdr:sp macro="" textlink="$O$47">
      <xdr:nvSpPr>
        <xdr:cNvPr id="31" name="Watts1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SpPr txBox="1">
          <a:spLocks noChangeArrowheads="1"/>
        </xdr:cNvSpPr>
      </xdr:nvSpPr>
      <xdr:spPr bwMode="auto">
        <a:xfrm>
          <a:off x="5934075" y="8086725"/>
          <a:ext cx="527209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F7C0DD78-8846-4A7F-BC7B-02A582F46797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0.0</a:t>
          </a:fld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>
    <pageSetUpPr fitToPage="1"/>
  </sheetPr>
  <dimension ref="A1:Q113"/>
  <sheetViews>
    <sheetView topLeftCell="A14" zoomScale="95" zoomScaleNormal="95" workbookViewId="0">
      <selection activeCell="A99" sqref="A99:I113"/>
    </sheetView>
  </sheetViews>
  <sheetFormatPr defaultRowHeight="12.75"/>
  <cols>
    <col min="1" max="6" width="12.28515625" customWidth="1"/>
    <col min="7" max="7" width="12.42578125" customWidth="1"/>
    <col min="8" max="8" width="12.7109375" customWidth="1"/>
    <col min="9" max="10" width="12.28515625" customWidth="1"/>
    <col min="12" max="12" width="13.42578125" bestFit="1" customWidth="1"/>
    <col min="13" max="13" width="9" bestFit="1" customWidth="1"/>
  </cols>
  <sheetData>
    <row r="1" spans="1:10" ht="18.75">
      <c r="A1" s="32" t="s">
        <v>167</v>
      </c>
      <c r="B1" s="2"/>
      <c r="C1" s="2"/>
      <c r="D1" s="2"/>
      <c r="E1" s="2"/>
      <c r="F1" s="2"/>
      <c r="G1" s="2"/>
      <c r="H1" s="2"/>
      <c r="I1" s="122" t="s">
        <v>0</v>
      </c>
      <c r="J1" s="122" t="s">
        <v>218</v>
      </c>
    </row>
    <row r="2" spans="1:10" ht="18.75">
      <c r="A2" s="32" t="s">
        <v>173</v>
      </c>
      <c r="B2" s="2"/>
      <c r="C2" s="2"/>
      <c r="D2" s="2"/>
      <c r="E2" s="2"/>
      <c r="F2" s="2"/>
      <c r="G2" s="2"/>
      <c r="H2" s="2"/>
      <c r="I2" s="2"/>
      <c r="J2" s="128" t="s">
        <v>219</v>
      </c>
    </row>
    <row r="3" spans="1:10" ht="15" customHeight="1" thickBot="1">
      <c r="A3" s="47" t="s">
        <v>1</v>
      </c>
      <c r="B3" s="94" t="s">
        <v>217</v>
      </c>
      <c r="C3" s="1"/>
      <c r="D3" s="47"/>
      <c r="E3" s="1"/>
      <c r="F3" s="1"/>
      <c r="G3" s="47" t="s">
        <v>2</v>
      </c>
      <c r="H3" s="172">
        <v>45008</v>
      </c>
      <c r="I3" s="47" t="s">
        <v>3</v>
      </c>
      <c r="J3" s="173">
        <v>0.44812500000000005</v>
      </c>
    </row>
    <row r="4" spans="1:10" ht="15" customHeight="1" thickBot="1">
      <c r="A4" s="11" t="s">
        <v>4</v>
      </c>
      <c r="B4" s="11" t="s">
        <v>171</v>
      </c>
      <c r="C4" s="11" t="s">
        <v>5</v>
      </c>
      <c r="D4" s="11" t="s">
        <v>172</v>
      </c>
      <c r="E4" s="155" t="s">
        <v>6</v>
      </c>
      <c r="F4" s="11" t="s">
        <v>7</v>
      </c>
      <c r="G4" s="11" t="s">
        <v>175</v>
      </c>
      <c r="H4" s="11" t="s">
        <v>8</v>
      </c>
      <c r="I4" s="11" t="s">
        <v>9</v>
      </c>
      <c r="J4" s="11" t="s">
        <v>10</v>
      </c>
    </row>
    <row r="5" spans="1:10" ht="15" customHeight="1" thickBot="1">
      <c r="A5" s="48">
        <v>2</v>
      </c>
      <c r="B5" s="110">
        <v>799.99998363668738</v>
      </c>
      <c r="C5" s="138">
        <v>3600</v>
      </c>
      <c r="D5" s="48" t="s">
        <v>193</v>
      </c>
      <c r="E5" s="156">
        <v>4000</v>
      </c>
      <c r="F5" s="138">
        <v>60</v>
      </c>
      <c r="G5" s="48">
        <v>105</v>
      </c>
      <c r="H5" s="76" t="s">
        <v>252</v>
      </c>
      <c r="I5" s="75" t="s">
        <v>257</v>
      </c>
      <c r="J5" s="48" t="s">
        <v>194</v>
      </c>
    </row>
    <row r="6" spans="1:10" ht="15" customHeight="1" thickBot="1">
      <c r="A6" s="22" t="s">
        <v>11</v>
      </c>
      <c r="B6" s="23"/>
      <c r="C6" s="24"/>
      <c r="D6" s="106" t="s">
        <v>12</v>
      </c>
      <c r="E6" s="152"/>
      <c r="F6" s="13"/>
      <c r="G6" s="14"/>
      <c r="H6" s="41" t="s">
        <v>13</v>
      </c>
      <c r="I6" s="17"/>
      <c r="J6" s="28"/>
    </row>
    <row r="7" spans="1:10" ht="15" customHeight="1" thickBot="1">
      <c r="A7" s="140"/>
      <c r="B7" s="3" t="s">
        <v>14</v>
      </c>
      <c r="C7" s="15" t="s">
        <v>15</v>
      </c>
      <c r="D7" s="140"/>
      <c r="E7" s="157"/>
      <c r="F7" s="3" t="s">
        <v>16</v>
      </c>
      <c r="G7" s="15" t="s">
        <v>17</v>
      </c>
      <c r="H7" s="9" t="s">
        <v>18</v>
      </c>
      <c r="I7" s="66">
        <v>24.543671874999998</v>
      </c>
      <c r="J7" s="104" t="s">
        <v>19</v>
      </c>
    </row>
    <row r="8" spans="1:10" ht="15" customHeight="1">
      <c r="A8" s="9" t="s">
        <v>20</v>
      </c>
      <c r="B8" s="67">
        <v>3.2999999523162842</v>
      </c>
      <c r="C8" s="50"/>
      <c r="D8" s="5"/>
      <c r="E8" s="49"/>
      <c r="F8" s="3"/>
      <c r="G8" s="15"/>
      <c r="H8" s="9" t="s">
        <v>21</v>
      </c>
      <c r="I8" s="66">
        <v>30.456888323673823</v>
      </c>
      <c r="J8" s="101" t="s">
        <v>22</v>
      </c>
    </row>
    <row r="9" spans="1:10" ht="15" customHeight="1" thickBot="1">
      <c r="A9" s="9" t="s">
        <v>23</v>
      </c>
      <c r="B9" s="67">
        <v>0.93000000715255737</v>
      </c>
      <c r="C9" s="50"/>
      <c r="D9" s="9" t="s">
        <v>24</v>
      </c>
      <c r="E9" s="51" t="s">
        <v>201</v>
      </c>
      <c r="F9" s="105" t="s">
        <v>25</v>
      </c>
      <c r="G9" s="29"/>
      <c r="H9" s="9" t="s">
        <v>26</v>
      </c>
      <c r="I9" s="67">
        <v>27.500280099336912</v>
      </c>
      <c r="J9" s="102">
        <v>214.30575864696581</v>
      </c>
    </row>
    <row r="10" spans="1:10" ht="15" customHeight="1">
      <c r="A10" s="9" t="s">
        <v>27</v>
      </c>
      <c r="B10" s="67">
        <v>420</v>
      </c>
      <c r="C10" s="71">
        <v>420</v>
      </c>
      <c r="D10" s="5"/>
      <c r="E10" s="49"/>
      <c r="F10" s="114" t="s">
        <v>213</v>
      </c>
      <c r="G10" s="112" t="s">
        <v>214</v>
      </c>
      <c r="H10" s="9" t="s">
        <v>28</v>
      </c>
      <c r="I10" s="66">
        <v>14.338922976528664</v>
      </c>
      <c r="J10" s="101" t="s">
        <v>29</v>
      </c>
    </row>
    <row r="11" spans="1:10" ht="15" customHeight="1" thickBot="1">
      <c r="A11" s="9" t="s">
        <v>30</v>
      </c>
      <c r="B11" s="67">
        <v>670</v>
      </c>
      <c r="C11" s="71">
        <v>368.40000009536743</v>
      </c>
      <c r="D11" s="9" t="s">
        <v>31</v>
      </c>
      <c r="E11" s="66">
        <v>0.62493749999999992</v>
      </c>
      <c r="F11" s="115"/>
      <c r="G11" s="111"/>
      <c r="H11" s="9" t="s">
        <v>32</v>
      </c>
      <c r="I11" s="66">
        <v>30.038756689833033</v>
      </c>
      <c r="J11" s="102">
        <v>25010.574411150788</v>
      </c>
    </row>
    <row r="12" spans="1:10" ht="15" customHeight="1">
      <c r="A12" s="9" t="s">
        <v>33</v>
      </c>
      <c r="B12" s="67">
        <v>375</v>
      </c>
      <c r="C12" s="71">
        <v>185</v>
      </c>
      <c r="D12" s="9" t="s">
        <v>34</v>
      </c>
      <c r="E12" s="151" t="s">
        <v>174</v>
      </c>
      <c r="F12" s="121" t="s">
        <v>207</v>
      </c>
      <c r="G12" s="113" t="s">
        <v>206</v>
      </c>
      <c r="H12" s="9" t="s">
        <v>35</v>
      </c>
      <c r="I12" s="66">
        <v>1.1789163438632333</v>
      </c>
      <c r="J12" s="101" t="s">
        <v>36</v>
      </c>
    </row>
    <row r="13" spans="1:10" ht="15" customHeight="1" thickBot="1">
      <c r="A13" s="9" t="s">
        <v>37</v>
      </c>
      <c r="B13" s="67">
        <v>85</v>
      </c>
      <c r="C13" s="71">
        <v>55.290000200271606</v>
      </c>
      <c r="D13" s="9" t="s">
        <v>38</v>
      </c>
      <c r="E13" s="68">
        <v>25</v>
      </c>
      <c r="F13" s="121"/>
      <c r="G13" s="113" t="s">
        <v>208</v>
      </c>
      <c r="H13" s="9" t="s">
        <v>40</v>
      </c>
      <c r="I13" s="66">
        <v>1.0139197383619514</v>
      </c>
      <c r="J13" s="102">
        <v>98.39324951171875</v>
      </c>
    </row>
    <row r="14" spans="1:10" ht="15" customHeight="1" thickBot="1">
      <c r="A14" s="158" t="s">
        <v>41</v>
      </c>
      <c r="B14" s="131">
        <v>344.10000610351563</v>
      </c>
      <c r="C14" s="132">
        <v>344.10000610351563</v>
      </c>
      <c r="D14" s="9" t="s">
        <v>42</v>
      </c>
      <c r="E14" s="49" t="s">
        <v>202</v>
      </c>
      <c r="F14" s="49"/>
      <c r="G14" s="113" t="s">
        <v>209</v>
      </c>
      <c r="H14" s="47" t="s">
        <v>43</v>
      </c>
      <c r="I14" s="66">
        <v>1.1953265509204378</v>
      </c>
      <c r="J14" s="101" t="s">
        <v>44</v>
      </c>
    </row>
    <row r="15" spans="1:10" ht="15" customHeight="1" thickBot="1">
      <c r="A15" s="12" t="s">
        <v>45</v>
      </c>
      <c r="B15" s="136"/>
      <c r="C15" s="137"/>
      <c r="D15" s="9" t="s">
        <v>46</v>
      </c>
      <c r="E15" s="49" t="s">
        <v>174</v>
      </c>
      <c r="F15" s="49"/>
      <c r="G15" s="113"/>
      <c r="H15" s="9" t="s">
        <v>47</v>
      </c>
      <c r="I15" s="66">
        <v>0.83141460458883965</v>
      </c>
      <c r="J15" s="102">
        <v>20</v>
      </c>
    </row>
    <row r="16" spans="1:10" ht="15" customHeight="1">
      <c r="A16" s="9" t="s">
        <v>48</v>
      </c>
      <c r="B16" s="49">
        <v>48</v>
      </c>
      <c r="C16" s="50">
        <v>38</v>
      </c>
      <c r="D16" s="9" t="s">
        <v>49</v>
      </c>
      <c r="E16" s="49">
        <v>1</v>
      </c>
      <c r="F16" s="49"/>
      <c r="G16" s="113"/>
      <c r="H16" s="9" t="s">
        <v>50</v>
      </c>
      <c r="I16" s="66">
        <v>0.9554364713800827</v>
      </c>
      <c r="J16" s="103" t="s">
        <v>51</v>
      </c>
    </row>
    <row r="17" spans="1:17" ht="15" customHeight="1" thickBot="1">
      <c r="A17" s="9" t="s">
        <v>52</v>
      </c>
      <c r="B17" s="49" t="s">
        <v>195</v>
      </c>
      <c r="C17" s="50" t="s">
        <v>196</v>
      </c>
      <c r="D17" s="47" t="s">
        <v>53</v>
      </c>
      <c r="E17" s="49" t="s">
        <v>203</v>
      </c>
      <c r="F17" s="49"/>
      <c r="G17" s="113"/>
      <c r="H17" s="9" t="s">
        <v>54</v>
      </c>
      <c r="I17" s="66">
        <v>0.79436383606222771</v>
      </c>
      <c r="J17" s="102">
        <v>578.65258043100789</v>
      </c>
    </row>
    <row r="18" spans="1:17" ht="15" customHeight="1">
      <c r="A18" s="9" t="s">
        <v>55</v>
      </c>
      <c r="B18" s="49" t="s">
        <v>174</v>
      </c>
      <c r="C18" s="71">
        <v>0</v>
      </c>
      <c r="D18" s="9" t="s">
        <v>56</v>
      </c>
      <c r="E18" s="135">
        <v>1115</v>
      </c>
      <c r="F18" s="68">
        <v>590</v>
      </c>
      <c r="G18" s="72"/>
      <c r="H18" s="12" t="s">
        <v>57</v>
      </c>
      <c r="I18" s="129" t="s">
        <v>215</v>
      </c>
      <c r="J18" s="130"/>
    </row>
    <row r="19" spans="1:17" ht="15" customHeight="1">
      <c r="A19" s="9" t="s">
        <v>58</v>
      </c>
      <c r="B19" s="67">
        <v>62.5</v>
      </c>
      <c r="C19" s="71">
        <v>36.409999847412109</v>
      </c>
      <c r="D19" s="9" t="s">
        <v>59</v>
      </c>
      <c r="E19" s="68">
        <v>400</v>
      </c>
      <c r="F19" s="49"/>
      <c r="G19" s="50"/>
      <c r="H19" s="141"/>
      <c r="I19" s="3" t="s">
        <v>60</v>
      </c>
      <c r="J19" s="30" t="s">
        <v>61</v>
      </c>
    </row>
    <row r="20" spans="1:17" ht="15" customHeight="1">
      <c r="A20" s="9" t="s">
        <v>62</v>
      </c>
      <c r="B20" s="67" t="s">
        <v>197</v>
      </c>
      <c r="C20" s="71"/>
      <c r="D20" s="9" t="s">
        <v>166</v>
      </c>
      <c r="E20" s="163">
        <v>0.4787494244009684</v>
      </c>
      <c r="F20" s="49"/>
      <c r="G20" s="50"/>
      <c r="H20" s="9" t="s">
        <v>63</v>
      </c>
      <c r="I20" s="66">
        <v>18.533136367797852</v>
      </c>
      <c r="J20" s="70">
        <v>18.533136367797852</v>
      </c>
    </row>
    <row r="21" spans="1:17" ht="15" customHeight="1">
      <c r="A21" s="9" t="s">
        <v>64</v>
      </c>
      <c r="B21" s="67">
        <v>14.5</v>
      </c>
      <c r="C21" s="71">
        <v>3</v>
      </c>
      <c r="D21" s="9" t="s">
        <v>204</v>
      </c>
      <c r="E21" s="65">
        <v>0.63864608873920925</v>
      </c>
      <c r="F21" s="65">
        <v>0.36614805459976196</v>
      </c>
      <c r="G21" s="69">
        <v>5.2750463269335371E-2</v>
      </c>
      <c r="H21" s="9" t="s">
        <v>65</v>
      </c>
      <c r="I21" s="66">
        <v>16.804136276245117</v>
      </c>
      <c r="J21" s="70">
        <v>14.80540657043457</v>
      </c>
    </row>
    <row r="22" spans="1:17" ht="15" customHeight="1">
      <c r="A22" s="9" t="s">
        <v>66</v>
      </c>
      <c r="B22" s="67">
        <v>2.8299999237060547</v>
      </c>
      <c r="C22" s="71">
        <v>3</v>
      </c>
      <c r="D22" s="9" t="s">
        <v>67</v>
      </c>
      <c r="E22" s="49" t="s">
        <v>205</v>
      </c>
      <c r="F22" s="49" t="s">
        <v>205</v>
      </c>
      <c r="G22" s="50" t="s">
        <v>205</v>
      </c>
      <c r="H22" s="9" t="s">
        <v>68</v>
      </c>
      <c r="I22" s="66">
        <v>4.1274876594543457</v>
      </c>
      <c r="J22" s="70">
        <v>3.9010450839996338</v>
      </c>
    </row>
    <row r="23" spans="1:17" ht="15" customHeight="1">
      <c r="A23" s="9" t="s">
        <v>69</v>
      </c>
      <c r="B23" s="67">
        <v>10.043671607971191</v>
      </c>
      <c r="C23" s="71">
        <v>10.316610336303711</v>
      </c>
      <c r="D23" s="9" t="s">
        <v>70</v>
      </c>
      <c r="E23" s="66">
        <v>1.7419999837875366</v>
      </c>
      <c r="F23" s="66">
        <v>1.7419999837875366</v>
      </c>
      <c r="G23" s="70">
        <v>1.7419999837875366</v>
      </c>
      <c r="H23" s="9" t="s">
        <v>71</v>
      </c>
      <c r="I23" s="66">
        <v>28.165970123601305</v>
      </c>
      <c r="J23" s="15" t="s">
        <v>216</v>
      </c>
    </row>
    <row r="24" spans="1:17" ht="15" customHeight="1">
      <c r="A24" s="9" t="s">
        <v>72</v>
      </c>
      <c r="B24" s="67">
        <v>0</v>
      </c>
      <c r="C24" s="71">
        <v>0.80000001192092896</v>
      </c>
      <c r="D24" s="9" t="s">
        <v>73</v>
      </c>
      <c r="E24" s="66">
        <v>8.8900003433227539</v>
      </c>
      <c r="F24" s="66">
        <v>8.8900003433227539</v>
      </c>
      <c r="G24" s="70">
        <v>8.8900003433227539</v>
      </c>
      <c r="H24" s="9" t="s">
        <v>74</v>
      </c>
      <c r="I24" s="66">
        <v>7.1922226603197199</v>
      </c>
      <c r="J24" s="70">
        <v>6.7976425725284306</v>
      </c>
    </row>
    <row r="25" spans="1:17" ht="15" customHeight="1">
      <c r="A25" s="9" t="s">
        <v>75</v>
      </c>
      <c r="B25" s="49" t="s">
        <v>174</v>
      </c>
      <c r="C25" s="71">
        <v>4.7199997901916504</v>
      </c>
      <c r="D25" s="107" t="s">
        <v>76</v>
      </c>
      <c r="E25" s="51"/>
      <c r="F25" s="51"/>
      <c r="G25" s="58"/>
      <c r="H25" s="9" t="s">
        <v>77</v>
      </c>
      <c r="I25" s="66">
        <v>1.0575445890426636</v>
      </c>
      <c r="J25" s="70">
        <v>2.583256721496582</v>
      </c>
    </row>
    <row r="26" spans="1:17" ht="15" customHeight="1">
      <c r="A26" s="9" t="s">
        <v>78</v>
      </c>
      <c r="B26" s="51" t="s">
        <v>198</v>
      </c>
      <c r="C26" s="58" t="s">
        <v>199</v>
      </c>
      <c r="D26" s="9" t="s">
        <v>79</v>
      </c>
      <c r="E26" s="67">
        <v>193.03347622173675</v>
      </c>
      <c r="F26" s="67">
        <v>67.78020741760254</v>
      </c>
      <c r="G26" s="71">
        <v>26.449351062353312</v>
      </c>
      <c r="H26" s="9" t="s">
        <v>80</v>
      </c>
      <c r="I26" s="66">
        <v>11.418295860290527</v>
      </c>
      <c r="J26" s="70">
        <v>11.018510818481445</v>
      </c>
    </row>
    <row r="27" spans="1:17" ht="15" customHeight="1" thickBot="1">
      <c r="A27" s="9" t="s">
        <v>81</v>
      </c>
      <c r="B27" s="49" t="s">
        <v>200</v>
      </c>
      <c r="C27" s="50" t="s">
        <v>200</v>
      </c>
      <c r="D27" s="10" t="s">
        <v>82</v>
      </c>
      <c r="E27" s="78" t="s">
        <v>174</v>
      </c>
      <c r="F27" s="78" t="s">
        <v>174</v>
      </c>
      <c r="G27" s="80" t="s">
        <v>174</v>
      </c>
      <c r="H27" s="10" t="s">
        <v>83</v>
      </c>
      <c r="I27" s="77">
        <v>11.467164993286133</v>
      </c>
      <c r="J27" s="79">
        <v>11.317278861999512</v>
      </c>
      <c r="M27" s="169"/>
      <c r="N27" s="169"/>
      <c r="O27" s="169"/>
      <c r="P27" s="169"/>
      <c r="Q27" s="169"/>
    </row>
    <row r="28" spans="1:17" ht="15" customHeight="1">
      <c r="A28" s="5" t="s">
        <v>84</v>
      </c>
      <c r="B28" s="1"/>
      <c r="C28" s="37"/>
      <c r="D28" s="12" t="s">
        <v>85</v>
      </c>
      <c r="E28" s="21"/>
      <c r="F28" s="18"/>
      <c r="G28" s="40"/>
      <c r="H28" s="14"/>
      <c r="I28" s="27" t="s">
        <v>86</v>
      </c>
      <c r="J28" s="14"/>
      <c r="M28" s="169"/>
      <c r="N28" s="169"/>
      <c r="O28" s="169"/>
      <c r="P28" s="169"/>
      <c r="Q28" s="169"/>
    </row>
    <row r="29" spans="1:17" ht="15" customHeight="1">
      <c r="A29" s="6"/>
      <c r="B29" s="33" t="s">
        <v>87</v>
      </c>
      <c r="C29" s="73">
        <v>33.371993281235319</v>
      </c>
      <c r="D29" s="6"/>
      <c r="E29" s="3" t="s">
        <v>88</v>
      </c>
      <c r="F29" s="3" t="s">
        <v>89</v>
      </c>
      <c r="G29" s="3" t="s">
        <v>90</v>
      </c>
      <c r="H29" s="15" t="s">
        <v>91</v>
      </c>
      <c r="I29" s="3" t="s">
        <v>92</v>
      </c>
      <c r="J29" s="15" t="s">
        <v>93</v>
      </c>
      <c r="M29" s="170" t="str">
        <f>RIGHT(F$41,SEARCH("/",F$41,1)-1)</f>
        <v xml:space="preserve"> 3575.0</v>
      </c>
      <c r="N29" s="169" t="s">
        <v>186</v>
      </c>
      <c r="O29" s="169"/>
      <c r="P29" s="3" t="s">
        <v>192</v>
      </c>
      <c r="Q29" s="169"/>
    </row>
    <row r="30" spans="1:17" ht="15" customHeight="1" thickBot="1">
      <c r="A30" s="7"/>
      <c r="B30" s="61" t="s">
        <v>94</v>
      </c>
      <c r="C30" s="74">
        <v>33.399128783152655</v>
      </c>
      <c r="D30" s="9" t="s">
        <v>95</v>
      </c>
      <c r="E30" s="164">
        <v>52.621632500000004</v>
      </c>
      <c r="F30" s="164">
        <v>584.97001037597659</v>
      </c>
      <c r="G30" s="164">
        <v>16.156329770401516</v>
      </c>
      <c r="H30" s="165">
        <v>654.05250131984701</v>
      </c>
      <c r="I30" s="68">
        <v>53753.776095739129</v>
      </c>
      <c r="J30" s="72">
        <v>4148.4714397198959</v>
      </c>
      <c r="M30" s="170" t="str">
        <f>RIGHT(E$41,SEARCH("/",E$41,1)-1)</f>
        <v xml:space="preserve"> 3578.5</v>
      </c>
      <c r="N30" s="169" t="s">
        <v>187</v>
      </c>
      <c r="O30" s="169"/>
      <c r="P30" s="171">
        <f>G30*6.4516</f>
        <v>104.23417714672242</v>
      </c>
      <c r="Q30" s="169"/>
    </row>
    <row r="31" spans="1:17" ht="15" customHeight="1">
      <c r="A31" s="22" t="s">
        <v>96</v>
      </c>
      <c r="B31" s="142"/>
      <c r="C31" s="26"/>
      <c r="D31" s="9" t="s">
        <v>97</v>
      </c>
      <c r="E31" s="164">
        <v>6.25</v>
      </c>
      <c r="F31" s="164">
        <v>829.44659078510244</v>
      </c>
      <c r="G31" s="164">
        <v>11.394306153556888</v>
      </c>
      <c r="H31" s="165">
        <v>22.077359777775982</v>
      </c>
      <c r="I31" s="68">
        <v>10368.082384813781</v>
      </c>
      <c r="J31" s="72">
        <v>454.46113619470094</v>
      </c>
      <c r="M31" s="170" t="str">
        <f>RIGHT(D$41,SEARCH("/",D$41,1)-1)</f>
        <v xml:space="preserve"> 3583.4</v>
      </c>
      <c r="N31" s="169" t="s">
        <v>188</v>
      </c>
      <c r="O31" s="169"/>
      <c r="P31" s="171">
        <f>G31*6.4516</f>
        <v>73.511505580287618</v>
      </c>
      <c r="Q31" s="169"/>
    </row>
    <row r="32" spans="1:17" ht="15" customHeight="1">
      <c r="A32" s="5" t="s">
        <v>98</v>
      </c>
      <c r="B32" s="66" t="s">
        <v>259</v>
      </c>
      <c r="C32" s="108"/>
      <c r="D32" s="9" t="s">
        <v>99</v>
      </c>
      <c r="E32" s="164">
        <v>23.214779336458562</v>
      </c>
      <c r="F32" s="164">
        <v>592.70079189137141</v>
      </c>
      <c r="G32" s="164">
        <v>15.945597715957874</v>
      </c>
      <c r="H32" s="165">
        <v>272.8863252436376</v>
      </c>
      <c r="I32" s="8" t="s">
        <v>100</v>
      </c>
      <c r="J32" s="72">
        <v>4602.9325759145968</v>
      </c>
      <c r="M32" s="170" t="str">
        <f>RIGHT(C$41,SEARCH("/",C$41,1)-1)</f>
        <v xml:space="preserve"> 3588.2</v>
      </c>
      <c r="N32" s="169" t="s">
        <v>189</v>
      </c>
      <c r="O32" s="169"/>
      <c r="P32" s="171">
        <f>G32*6.4516</f>
        <v>102.87461822427382</v>
      </c>
      <c r="Q32" s="169"/>
    </row>
    <row r="33" spans="1:17" ht="15" customHeight="1">
      <c r="A33" s="5" t="s">
        <v>101</v>
      </c>
      <c r="B33" s="66" t="s">
        <v>260</v>
      </c>
      <c r="C33" s="109" t="s">
        <v>102</v>
      </c>
      <c r="D33" s="9" t="s">
        <v>97</v>
      </c>
      <c r="E33" s="164">
        <v>3.6409999847412111</v>
      </c>
      <c r="F33" s="164">
        <v>674.48967914104287</v>
      </c>
      <c r="G33" s="164">
        <v>14.012028183241004</v>
      </c>
      <c r="H33" s="165">
        <v>24.844648209179379</v>
      </c>
      <c r="I33" s="8" t="s">
        <v>103</v>
      </c>
      <c r="J33" s="71" t="s">
        <v>227</v>
      </c>
      <c r="M33" s="170" t="str">
        <f>RIGHT(B$41,SEARCH("/",B$41,1)-1)</f>
        <v xml:space="preserve"> 3592.7</v>
      </c>
      <c r="N33" s="169" t="s">
        <v>190</v>
      </c>
      <c r="O33" s="169"/>
      <c r="P33" s="171">
        <f>G33*6.4516</f>
        <v>90.400001026997657</v>
      </c>
      <c r="Q33" s="169"/>
    </row>
    <row r="34" spans="1:17" ht="15" customHeight="1" thickBot="1">
      <c r="A34" s="16" t="s">
        <v>104</v>
      </c>
      <c r="B34" s="77" t="s">
        <v>261</v>
      </c>
      <c r="C34" s="162">
        <v>9.4509683934294753</v>
      </c>
      <c r="D34" s="10" t="s">
        <v>20</v>
      </c>
      <c r="E34" s="166">
        <v>0.32999999523162843</v>
      </c>
      <c r="F34" s="167">
        <v>1823.3327627682456</v>
      </c>
      <c r="G34" s="167">
        <v>5.1833480900549906</v>
      </c>
      <c r="H34" s="168">
        <v>1361.1776560611165</v>
      </c>
      <c r="I34" s="8" t="s">
        <v>105</v>
      </c>
      <c r="J34" s="71">
        <v>6.0500001907348633</v>
      </c>
      <c r="M34" s="169"/>
      <c r="N34" s="169"/>
      <c r="O34" s="169"/>
      <c r="P34" s="171">
        <f>G34*6.4516</f>
        <v>33.440888537798777</v>
      </c>
      <c r="Q34" s="169"/>
    </row>
    <row r="35" spans="1:17" ht="15" customHeight="1">
      <c r="A35" s="12" t="s">
        <v>106</v>
      </c>
      <c r="B35" s="13"/>
      <c r="C35" s="13"/>
      <c r="D35" s="133" t="s">
        <v>229</v>
      </c>
      <c r="E35" s="143" t="s">
        <v>228</v>
      </c>
      <c r="F35" s="14"/>
      <c r="G35" s="25" t="s">
        <v>107</v>
      </c>
      <c r="H35" s="83" t="s">
        <v>222</v>
      </c>
      <c r="I35" s="9" t="s">
        <v>108</v>
      </c>
      <c r="J35" s="72" t="s">
        <v>226</v>
      </c>
      <c r="M35" s="169"/>
      <c r="N35" s="169"/>
      <c r="O35" s="169"/>
      <c r="P35" s="169"/>
      <c r="Q35" s="169"/>
    </row>
    <row r="36" spans="1:17" ht="15" customHeight="1">
      <c r="A36" s="5" t="s">
        <v>109</v>
      </c>
      <c r="B36" s="3">
        <v>25</v>
      </c>
      <c r="C36" s="3">
        <v>50</v>
      </c>
      <c r="D36" s="3">
        <v>75</v>
      </c>
      <c r="E36" s="3">
        <v>100</v>
      </c>
      <c r="F36" s="15">
        <v>125</v>
      </c>
      <c r="G36" s="9" t="s">
        <v>110</v>
      </c>
      <c r="H36" s="72" t="s">
        <v>220</v>
      </c>
      <c r="I36" s="9" t="s">
        <v>111</v>
      </c>
      <c r="J36" s="72" t="s">
        <v>225</v>
      </c>
      <c r="M36" s="169"/>
      <c r="N36" s="169"/>
      <c r="O36" s="169"/>
      <c r="P36" s="169"/>
      <c r="Q36" s="169"/>
    </row>
    <row r="37" spans="1:17" ht="15" customHeight="1" thickBot="1">
      <c r="A37" s="9" t="s">
        <v>112</v>
      </c>
      <c r="B37" s="174" t="s">
        <v>241</v>
      </c>
      <c r="C37" s="174" t="s">
        <v>242</v>
      </c>
      <c r="D37" s="174" t="s">
        <v>243</v>
      </c>
      <c r="E37" s="174" t="s">
        <v>244</v>
      </c>
      <c r="F37" s="175" t="s">
        <v>245</v>
      </c>
      <c r="G37" s="9" t="s">
        <v>113</v>
      </c>
      <c r="H37" s="72" t="s">
        <v>221</v>
      </c>
      <c r="I37" s="10" t="s">
        <v>114</v>
      </c>
      <c r="J37" s="81" t="s">
        <v>224</v>
      </c>
      <c r="O37" s="148"/>
    </row>
    <row r="38" spans="1:17" ht="15" customHeight="1" thickBot="1">
      <c r="A38" s="9" t="s">
        <v>115</v>
      </c>
      <c r="B38" s="176" t="s">
        <v>231</v>
      </c>
      <c r="C38" s="176" t="s">
        <v>232</v>
      </c>
      <c r="D38" s="176" t="s">
        <v>233</v>
      </c>
      <c r="E38" s="176" t="s">
        <v>234</v>
      </c>
      <c r="F38" s="177" t="s">
        <v>235</v>
      </c>
      <c r="G38" s="16" t="s">
        <v>116</v>
      </c>
      <c r="H38" s="81" t="s">
        <v>223</v>
      </c>
      <c r="I38" s="134" t="s">
        <v>230</v>
      </c>
      <c r="J38" s="82">
        <v>11585.8720703125</v>
      </c>
      <c r="L38" t="str">
        <f>LEFT(E38,SEARCH("/",E38,1)-1)</f>
        <v xml:space="preserve">0.949 </v>
      </c>
      <c r="M38" t="str">
        <f>RIGHT(E38,SEARCH("/",E38,1)-1)</f>
        <v xml:space="preserve"> 0.933</v>
      </c>
      <c r="N38" s="149">
        <f>M38/L38</f>
        <v>0.98314014752370926</v>
      </c>
      <c r="O38" s="148" t="s">
        <v>177</v>
      </c>
    </row>
    <row r="39" spans="1:17" ht="15" customHeight="1">
      <c r="A39" s="9" t="s">
        <v>117</v>
      </c>
      <c r="B39" s="176" t="s">
        <v>236</v>
      </c>
      <c r="C39" s="176" t="s">
        <v>237</v>
      </c>
      <c r="D39" s="176" t="s">
        <v>238</v>
      </c>
      <c r="E39" s="176" t="s">
        <v>239</v>
      </c>
      <c r="F39" s="177" t="s">
        <v>240</v>
      </c>
      <c r="G39" s="12" t="s">
        <v>118</v>
      </c>
      <c r="H39" s="13"/>
      <c r="I39" s="38" t="s">
        <v>119</v>
      </c>
      <c r="J39" s="39" t="s">
        <v>120</v>
      </c>
      <c r="L39" t="str">
        <f>LEFT(E39,SEARCH("/",E39,1)-1)</f>
        <v xml:space="preserve">0.922 </v>
      </c>
      <c r="M39" t="str">
        <f>RIGHT(E39,SEARCH("/",E39,1)-1)</f>
        <v xml:space="preserve"> 0.912</v>
      </c>
      <c r="N39" s="149">
        <f>M39/L39</f>
        <v>0.98915401301518435</v>
      </c>
      <c r="O39" s="148" t="s">
        <v>178</v>
      </c>
    </row>
    <row r="40" spans="1:17" ht="15" customHeight="1">
      <c r="A40" s="9" t="s">
        <v>119</v>
      </c>
      <c r="B40" s="178" t="s">
        <v>254</v>
      </c>
      <c r="C40" s="178" t="s">
        <v>255</v>
      </c>
      <c r="D40" s="178" t="s">
        <v>256</v>
      </c>
      <c r="E40" s="178" t="s">
        <v>257</v>
      </c>
      <c r="F40" s="179" t="s">
        <v>258</v>
      </c>
      <c r="G40" s="34" t="s">
        <v>121</v>
      </c>
      <c r="H40" s="89" t="s">
        <v>262</v>
      </c>
      <c r="I40" s="53"/>
      <c r="J40" s="54"/>
      <c r="L40" t="str">
        <f>LEFT(E37,SEARCH("/",E37,1)-1)</f>
        <v xml:space="preserve">98.39 </v>
      </c>
      <c r="M40" t="str">
        <f>RIGHT(E37,SEARCH("/",E37,1)-1)</f>
        <v>101.20</v>
      </c>
      <c r="N40" s="149">
        <f>M40/L40</f>
        <v>1.0285598129891249</v>
      </c>
      <c r="O40" s="148" t="s">
        <v>176</v>
      </c>
    </row>
    <row r="41" spans="1:17" ht="15" customHeight="1">
      <c r="A41" s="9" t="s">
        <v>5</v>
      </c>
      <c r="B41" s="180" t="s">
        <v>249</v>
      </c>
      <c r="C41" s="180" t="s">
        <v>250</v>
      </c>
      <c r="D41" s="180" t="s">
        <v>251</v>
      </c>
      <c r="E41" s="180" t="s">
        <v>252</v>
      </c>
      <c r="F41" s="181" t="s">
        <v>253</v>
      </c>
      <c r="G41" s="35" t="s">
        <v>122</v>
      </c>
      <c r="H41" s="90" t="s">
        <v>263</v>
      </c>
      <c r="I41" s="55"/>
      <c r="J41" s="56"/>
      <c r="L41" t="str">
        <f>LEFT(E41,SEARCH("/",E41,1)-1)</f>
        <v xml:space="preserve">3580.6 </v>
      </c>
      <c r="M41" t="str">
        <f>RIGHT(E41,SEARCH("/",E41,1)-1)</f>
        <v xml:space="preserve"> 3578.5</v>
      </c>
      <c r="N41" s="149">
        <f>M41/L41</f>
        <v>0.99941350611629343</v>
      </c>
      <c r="O41" s="148" t="s">
        <v>5</v>
      </c>
    </row>
    <row r="42" spans="1:17" ht="15" customHeight="1">
      <c r="A42" s="9" t="s">
        <v>123</v>
      </c>
      <c r="B42" s="176">
        <v>26.508690512867169</v>
      </c>
      <c r="C42" s="176">
        <v>26.508690512867169</v>
      </c>
      <c r="D42" s="176">
        <v>26.508690512867169</v>
      </c>
      <c r="E42" s="176">
        <v>26.508690512867169</v>
      </c>
      <c r="F42" s="177">
        <v>26.508690512867169</v>
      </c>
      <c r="G42" s="34" t="s">
        <v>124</v>
      </c>
      <c r="H42" s="89" t="s">
        <v>264</v>
      </c>
      <c r="I42" s="53"/>
      <c r="J42" s="95">
        <v>0.22826456518337074</v>
      </c>
    </row>
    <row r="43" spans="1:17" ht="15" customHeight="1" thickBot="1">
      <c r="A43" s="10" t="s">
        <v>125</v>
      </c>
      <c r="B43" s="182">
        <v>26.508690512867169</v>
      </c>
      <c r="C43" s="183"/>
      <c r="D43" s="184" t="s">
        <v>267</v>
      </c>
      <c r="E43" s="184"/>
      <c r="F43" s="185"/>
      <c r="G43" s="35" t="s">
        <v>122</v>
      </c>
      <c r="H43" s="90" t="s">
        <v>265</v>
      </c>
      <c r="I43" s="55"/>
      <c r="J43" s="56"/>
    </row>
    <row r="44" spans="1:17" ht="15" customHeight="1">
      <c r="A44" s="4" t="s">
        <v>126</v>
      </c>
      <c r="B44" s="139"/>
      <c r="C44" s="1"/>
      <c r="D44" s="1"/>
      <c r="E44" s="4" t="s">
        <v>127</v>
      </c>
      <c r="F44" s="19"/>
      <c r="G44" s="34" t="s">
        <v>128</v>
      </c>
      <c r="H44" s="91">
        <v>1909.9980967209365</v>
      </c>
      <c r="I44" s="88">
        <v>3.6629356286597407E-2</v>
      </c>
      <c r="J44" s="95">
        <v>0.63705895607978891</v>
      </c>
    </row>
    <row r="45" spans="1:17" ht="15" customHeight="1">
      <c r="A45" s="9" t="s">
        <v>129</v>
      </c>
      <c r="B45" s="66">
        <v>0.26820257306098938</v>
      </c>
      <c r="C45" s="159" t="s">
        <v>130</v>
      </c>
      <c r="D45" s="70">
        <v>8.9837387204170227E-3</v>
      </c>
      <c r="E45" s="9" t="s">
        <v>131</v>
      </c>
      <c r="F45" s="72">
        <v>260.25081555306201</v>
      </c>
      <c r="G45" s="36" t="s">
        <v>122</v>
      </c>
      <c r="H45" s="84" t="s">
        <v>266</v>
      </c>
      <c r="I45" s="57"/>
      <c r="J45" s="58"/>
    </row>
    <row r="46" spans="1:17" ht="15" customHeight="1">
      <c r="A46" s="9" t="s">
        <v>132</v>
      </c>
      <c r="B46" s="66">
        <v>0.14704518020153046</v>
      </c>
      <c r="C46" s="159" t="s">
        <v>133</v>
      </c>
      <c r="D46" s="70">
        <v>5.394588690251112E-3</v>
      </c>
      <c r="E46" s="9" t="s">
        <v>134</v>
      </c>
      <c r="F46" s="72">
        <v>482.98592399886138</v>
      </c>
      <c r="G46" s="35" t="s">
        <v>135</v>
      </c>
      <c r="H46" s="92">
        <v>416.89424104564267</v>
      </c>
      <c r="I46" s="55"/>
      <c r="J46" s="56"/>
      <c r="L46" s="144" t="s">
        <v>179</v>
      </c>
      <c r="M46" s="146">
        <f>B5^0.95</f>
        <v>572.71094007948739</v>
      </c>
    </row>
    <row r="47" spans="1:17" ht="15" customHeight="1">
      <c r="A47" s="9" t="s">
        <v>136</v>
      </c>
      <c r="B47" s="66">
        <v>0.41524773836135864</v>
      </c>
      <c r="C47" s="159" t="s">
        <v>137</v>
      </c>
      <c r="D47" s="70">
        <v>2.2620644420385361E-2</v>
      </c>
      <c r="E47" s="9" t="s">
        <v>138</v>
      </c>
      <c r="F47" s="72">
        <v>204.91328889804532</v>
      </c>
      <c r="G47" s="62" t="s">
        <v>139</v>
      </c>
      <c r="H47" s="91">
        <v>1841.3857717607384</v>
      </c>
      <c r="I47" s="88">
        <v>3.5242830005406095E-2</v>
      </c>
      <c r="J47" s="93">
        <v>0.65017520671192064</v>
      </c>
      <c r="L47" s="144" t="s">
        <v>180</v>
      </c>
      <c r="M47" s="146">
        <f>B5^1.5</f>
        <v>22627.416303732971</v>
      </c>
    </row>
    <row r="48" spans="1:17" ht="15" customHeight="1">
      <c r="A48" s="9" t="s">
        <v>140</v>
      </c>
      <c r="B48" s="66">
        <v>1.3232415542006493E-2</v>
      </c>
      <c r="C48" s="159" t="s">
        <v>100</v>
      </c>
      <c r="D48" s="70">
        <v>5.0231385976076126E-2</v>
      </c>
      <c r="E48" s="9" t="s">
        <v>141</v>
      </c>
      <c r="F48" s="72">
        <v>48.426535309397977</v>
      </c>
      <c r="G48" s="63" t="s">
        <v>122</v>
      </c>
      <c r="H48" s="84">
        <v>308.54319863014462</v>
      </c>
      <c r="I48" s="57"/>
      <c r="J48" s="58"/>
      <c r="L48" s="144" t="s">
        <v>181</v>
      </c>
      <c r="M48" s="145">
        <f>IF(A5="",0,(7200/(1000*A5))^2.4)</f>
        <v>21.633460842025631</v>
      </c>
    </row>
    <row r="49" spans="1:13" ht="15" customHeight="1" thickBot="1">
      <c r="A49" s="7"/>
      <c r="B49" s="52"/>
      <c r="C49" s="160" t="s">
        <v>142</v>
      </c>
      <c r="D49" s="79">
        <v>0.94976860284805298</v>
      </c>
      <c r="E49" s="10" t="s">
        <v>143</v>
      </c>
      <c r="F49" s="81">
        <v>121.88172501587734</v>
      </c>
      <c r="G49" s="64" t="s">
        <v>135</v>
      </c>
      <c r="H49" s="92">
        <v>408.7836879779357</v>
      </c>
      <c r="I49" s="55"/>
      <c r="J49" s="59"/>
      <c r="L49" s="144" t="s">
        <v>182</v>
      </c>
      <c r="M49" s="145">
        <f>IF(A5="",0,(7200/(1000*A5))^1.8)</f>
        <v>10.031006258647469</v>
      </c>
    </row>
    <row r="50" spans="1:13" ht="15" customHeight="1">
      <c r="A50" s="12" t="s">
        <v>212</v>
      </c>
      <c r="B50" s="13"/>
      <c r="C50" s="13"/>
      <c r="D50" s="13"/>
      <c r="E50" s="13"/>
      <c r="F50" s="14"/>
      <c r="G50" s="12" t="s">
        <v>144</v>
      </c>
      <c r="H50" s="13"/>
      <c r="I50" s="40"/>
      <c r="J50" s="26"/>
      <c r="L50" s="144" t="s">
        <v>183</v>
      </c>
      <c r="M50" s="147">
        <f>IF(A5=2,27,24)</f>
        <v>27</v>
      </c>
    </row>
    <row r="51" spans="1:13" ht="15" customHeight="1">
      <c r="A51" s="9" t="s">
        <v>145</v>
      </c>
      <c r="B51" s="49">
        <v>38</v>
      </c>
      <c r="C51" s="8" t="s">
        <v>146</v>
      </c>
      <c r="D51" s="67" t="s">
        <v>174</v>
      </c>
      <c r="E51" s="8" t="s">
        <v>147</v>
      </c>
      <c r="F51" s="71" t="s">
        <v>174</v>
      </c>
      <c r="G51" s="8" t="s">
        <v>148</v>
      </c>
      <c r="H51" s="65">
        <v>7.3283338843249946E-2</v>
      </c>
      <c r="I51" s="43" t="s">
        <v>149</v>
      </c>
      <c r="J51" s="37"/>
      <c r="L51" s="144" t="s">
        <v>184</v>
      </c>
      <c r="M51" s="147">
        <v>6.8500000000000005E-2</v>
      </c>
    </row>
    <row r="52" spans="1:13" ht="15" customHeight="1">
      <c r="A52" s="9" t="s">
        <v>58</v>
      </c>
      <c r="B52" s="67">
        <v>36.409999847412109</v>
      </c>
      <c r="C52" s="8" t="s">
        <v>150</v>
      </c>
      <c r="D52" s="67" t="s">
        <v>174</v>
      </c>
      <c r="E52" s="8" t="s">
        <v>151</v>
      </c>
      <c r="F52" s="71" t="s">
        <v>174</v>
      </c>
      <c r="G52" s="8" t="s">
        <v>168</v>
      </c>
      <c r="H52" s="67">
        <v>50215.867225998685</v>
      </c>
      <c r="I52" s="96" t="s">
        <v>246</v>
      </c>
      <c r="J52" s="60"/>
      <c r="L52" s="144" t="s">
        <v>191</v>
      </c>
      <c r="M52" s="161">
        <f>F5</f>
        <v>60</v>
      </c>
    </row>
    <row r="53" spans="1:13" ht="15" customHeight="1">
      <c r="A53" s="9" t="s">
        <v>64</v>
      </c>
      <c r="B53" s="67">
        <v>3</v>
      </c>
      <c r="C53" s="8" t="s">
        <v>152</v>
      </c>
      <c r="D53" s="67" t="s">
        <v>174</v>
      </c>
      <c r="E53" s="8" t="s">
        <v>153</v>
      </c>
      <c r="F53" s="71" t="s">
        <v>174</v>
      </c>
      <c r="G53" s="8" t="s">
        <v>169</v>
      </c>
      <c r="H53" s="66">
        <v>27.260900770368963</v>
      </c>
      <c r="I53" s="42" t="s">
        <v>154</v>
      </c>
      <c r="J53" s="37"/>
      <c r="L53" s="144" t="s">
        <v>185</v>
      </c>
      <c r="M53" s="150">
        <f>IF(F5=60,M50*M46/M48-M51*M47/M49,IF(F5&lt;&gt;60,(60/M52)^2*(M50*M46/M48-M51*M47/M49),0))</f>
        <v>560.26270089112268</v>
      </c>
    </row>
    <row r="54" spans="1:13" ht="15" customHeight="1">
      <c r="A54" s="9" t="s">
        <v>66</v>
      </c>
      <c r="B54" s="67">
        <v>3</v>
      </c>
      <c r="C54" s="8" t="s">
        <v>155</v>
      </c>
      <c r="D54" s="67" t="s">
        <v>174</v>
      </c>
      <c r="E54" s="8" t="s">
        <v>153</v>
      </c>
      <c r="F54" s="71" t="s">
        <v>174</v>
      </c>
      <c r="G54" s="8" t="s">
        <v>170</v>
      </c>
      <c r="H54" s="68">
        <v>166093</v>
      </c>
      <c r="I54" s="97" t="s">
        <v>247</v>
      </c>
      <c r="J54" s="98" t="s">
        <v>210</v>
      </c>
    </row>
    <row r="55" spans="1:13" ht="15" customHeight="1">
      <c r="A55" s="9" t="s">
        <v>156</v>
      </c>
      <c r="B55" s="67">
        <v>14.119999885559082</v>
      </c>
      <c r="C55" s="8" t="s">
        <v>157</v>
      </c>
      <c r="D55" s="67" t="s">
        <v>174</v>
      </c>
      <c r="E55" s="8" t="s">
        <v>158</v>
      </c>
      <c r="F55" s="71" t="s">
        <v>174</v>
      </c>
      <c r="G55" s="8" t="s">
        <v>159</v>
      </c>
      <c r="H55" s="67">
        <v>1</v>
      </c>
      <c r="I55" s="42" t="s">
        <v>160</v>
      </c>
      <c r="J55" s="37"/>
    </row>
    <row r="56" spans="1:13" ht="15" customHeight="1" thickBot="1">
      <c r="A56" s="10" t="s">
        <v>161</v>
      </c>
      <c r="B56" s="78" t="s">
        <v>174</v>
      </c>
      <c r="C56" s="20" t="s">
        <v>162</v>
      </c>
      <c r="D56" s="78" t="s">
        <v>174</v>
      </c>
      <c r="E56" s="20" t="s">
        <v>163</v>
      </c>
      <c r="F56" s="80" t="s">
        <v>174</v>
      </c>
      <c r="G56" s="20" t="s">
        <v>164</v>
      </c>
      <c r="H56" s="77">
        <v>0.68740624999999989</v>
      </c>
      <c r="I56" s="99" t="s">
        <v>248</v>
      </c>
      <c r="J56" s="59" t="s">
        <v>211</v>
      </c>
    </row>
    <row r="57" spans="1:13" ht="15" customHeight="1">
      <c r="A57" s="22" t="s">
        <v>401</v>
      </c>
      <c r="B57" s="40"/>
      <c r="C57" s="40"/>
      <c r="D57" s="40"/>
      <c r="E57" s="40"/>
      <c r="F57" s="26"/>
      <c r="G57" s="116"/>
      <c r="H57" s="117"/>
      <c r="I57" s="117"/>
      <c r="J57" s="118"/>
    </row>
    <row r="58" spans="1:13" ht="15" customHeight="1">
      <c r="A58" s="100" t="s">
        <v>119</v>
      </c>
      <c r="B58" s="3" t="s">
        <v>165</v>
      </c>
      <c r="C58" s="15" t="s">
        <v>399</v>
      </c>
      <c r="D58" s="3" t="s">
        <v>119</v>
      </c>
      <c r="E58" s="3" t="s">
        <v>165</v>
      </c>
      <c r="F58" s="15" t="s">
        <v>400</v>
      </c>
      <c r="G58" s="119"/>
      <c r="H58" s="31"/>
      <c r="I58" s="31"/>
      <c r="J58" s="44"/>
    </row>
    <row r="59" spans="1:13" ht="15" customHeight="1">
      <c r="A59" s="123">
        <v>0</v>
      </c>
      <c r="B59" s="84">
        <v>0</v>
      </c>
      <c r="C59" s="85">
        <v>0.23726227879524231</v>
      </c>
      <c r="D59" s="125">
        <v>0.69526314735412598</v>
      </c>
      <c r="E59" s="84">
        <v>106.35364436427895</v>
      </c>
      <c r="F59" s="85">
        <v>601.6192626953125</v>
      </c>
      <c r="G59" s="119"/>
      <c r="H59" s="31"/>
      <c r="I59" s="31"/>
      <c r="J59" s="44"/>
    </row>
    <row r="60" spans="1:13" ht="15" customHeight="1">
      <c r="A60" s="127">
        <v>6.99999975040555E-3</v>
      </c>
      <c r="B60" s="84">
        <v>153.46159310353764</v>
      </c>
      <c r="C60" s="85">
        <v>160.05226135253906</v>
      </c>
      <c r="D60" s="125">
        <v>0.79684209823608398</v>
      </c>
      <c r="E60" s="84">
        <v>105.64303582592581</v>
      </c>
      <c r="F60" s="85">
        <v>604.3819580078125</v>
      </c>
      <c r="G60" s="119"/>
      <c r="H60" s="31"/>
      <c r="I60" s="31"/>
      <c r="J60" s="44"/>
    </row>
    <row r="61" spans="1:13" ht="15" customHeight="1">
      <c r="A61" s="127">
        <v>3.5000000149011612E-2</v>
      </c>
      <c r="B61" s="84">
        <v>285</v>
      </c>
      <c r="C61" s="85">
        <v>472.106689453125</v>
      </c>
      <c r="D61" s="125">
        <v>0.89842104911804199</v>
      </c>
      <c r="E61" s="84">
        <v>105.22855940215669</v>
      </c>
      <c r="F61" s="85">
        <v>606.79632568359375</v>
      </c>
      <c r="G61" s="119"/>
      <c r="H61" s="31"/>
      <c r="I61" s="31"/>
      <c r="J61" s="44"/>
    </row>
    <row r="62" spans="1:13" ht="15" customHeight="1">
      <c r="A62" s="123">
        <v>8.5789471864700317E-2</v>
      </c>
      <c r="B62" s="84">
        <v>186.6405474992103</v>
      </c>
      <c r="C62" s="85">
        <v>550.5213623046875</v>
      </c>
      <c r="D62" s="126">
        <v>1</v>
      </c>
      <c r="E62" s="84">
        <v>105</v>
      </c>
      <c r="F62" s="85">
        <v>608.910888671875</v>
      </c>
      <c r="G62" s="119"/>
      <c r="H62" s="31"/>
      <c r="I62" s="31"/>
      <c r="J62" s="44"/>
    </row>
    <row r="63" spans="1:13" ht="15" customHeight="1" thickBot="1">
      <c r="A63" s="123">
        <v>0.13657894730567932</v>
      </c>
      <c r="B63" s="84">
        <v>144.84794675948984</v>
      </c>
      <c r="C63" s="85">
        <v>570.99114990234375</v>
      </c>
      <c r="D63" s="372"/>
      <c r="E63" s="86"/>
      <c r="F63" s="373"/>
      <c r="G63" s="119"/>
      <c r="H63" s="31"/>
      <c r="I63" s="31"/>
      <c r="J63" s="44"/>
    </row>
    <row r="64" spans="1:13" ht="15" customHeight="1">
      <c r="A64" s="123">
        <v>0.18736842274665833</v>
      </c>
      <c r="B64" s="84">
        <v>127.22386329728494</v>
      </c>
      <c r="C64" s="85">
        <v>579.18804931640625</v>
      </c>
      <c r="D64" s="374" t="s">
        <v>409</v>
      </c>
      <c r="E64" s="375"/>
      <c r="F64" s="375"/>
      <c r="G64" s="119"/>
      <c r="H64" s="31"/>
      <c r="I64" s="31"/>
      <c r="J64" s="44"/>
    </row>
    <row r="65" spans="1:10" ht="15" customHeight="1">
      <c r="A65" s="123">
        <v>0.28894737362861633</v>
      </c>
      <c r="B65" s="84">
        <v>116.91147276992525</v>
      </c>
      <c r="C65" s="85">
        <v>586.52490234375</v>
      </c>
      <c r="D65" s="376" t="s">
        <v>403</v>
      </c>
      <c r="E65" s="378" t="s">
        <v>407</v>
      </c>
      <c r="F65" s="378"/>
      <c r="G65" s="119"/>
      <c r="H65" s="31"/>
      <c r="I65" s="31"/>
      <c r="J65" s="44"/>
    </row>
    <row r="66" spans="1:10" ht="15" customHeight="1">
      <c r="A66" s="123">
        <v>0.39052632451057434</v>
      </c>
      <c r="B66" s="84">
        <v>112.22072530372245</v>
      </c>
      <c r="C66" s="85">
        <v>591.042236328125</v>
      </c>
      <c r="D66" s="376" t="s">
        <v>404</v>
      </c>
      <c r="E66" s="378" t="s">
        <v>408</v>
      </c>
      <c r="F66" s="378"/>
      <c r="G66" s="119"/>
      <c r="H66" s="31"/>
      <c r="I66" s="31"/>
      <c r="J66" s="44"/>
    </row>
    <row r="67" spans="1:10" ht="15" customHeight="1">
      <c r="A67" s="123">
        <v>0.49210527539253235</v>
      </c>
      <c r="B67" s="84">
        <v>109.36364778329632</v>
      </c>
      <c r="C67" s="85">
        <v>594.94378662109375</v>
      </c>
      <c r="D67" s="376" t="s">
        <v>405</v>
      </c>
      <c r="E67" s="378" t="s">
        <v>410</v>
      </c>
      <c r="F67" s="378"/>
      <c r="G67" s="119"/>
      <c r="H67" s="31"/>
      <c r="I67" s="31"/>
      <c r="J67" s="44"/>
    </row>
    <row r="68" spans="1:10" ht="15" customHeight="1" thickBot="1">
      <c r="A68" s="124">
        <v>0.59368425607681274</v>
      </c>
      <c r="B68" s="86">
        <v>107.51981258329502</v>
      </c>
      <c r="C68" s="87">
        <v>598.473876953125</v>
      </c>
      <c r="D68" s="377" t="s">
        <v>406</v>
      </c>
      <c r="E68" s="379" t="s">
        <v>411</v>
      </c>
      <c r="F68" s="379"/>
      <c r="G68" s="120"/>
      <c r="H68" s="45"/>
      <c r="I68" s="45"/>
      <c r="J68" s="46"/>
    </row>
    <row r="69" spans="1:10" ht="15" customHeight="1">
      <c r="A69" s="153"/>
      <c r="B69" s="154"/>
      <c r="C69" s="31"/>
      <c r="D69" s="31"/>
      <c r="E69" s="31"/>
      <c r="F69" s="31"/>
      <c r="G69" s="31"/>
      <c r="H69" s="31"/>
      <c r="I69" s="31"/>
      <c r="J69" s="31"/>
    </row>
    <row r="70" spans="1:10" ht="15" customHeight="1">
      <c r="A70" s="31"/>
      <c r="B70" s="31"/>
      <c r="C70" s="31"/>
      <c r="D70" s="31"/>
      <c r="E70" s="31"/>
      <c r="F70" s="31"/>
      <c r="G70" s="31"/>
      <c r="H70" s="31"/>
      <c r="I70" s="31"/>
      <c r="J70" s="31"/>
    </row>
    <row r="71" spans="1:10">
      <c r="A71" s="1"/>
      <c r="B71" s="1"/>
      <c r="C71" s="1"/>
      <c r="D71" s="1"/>
      <c r="E71" s="1"/>
      <c r="F71" s="1"/>
      <c r="G71" s="1"/>
      <c r="H71" s="1"/>
      <c r="I71" s="1"/>
      <c r="J71" s="1"/>
    </row>
    <row r="99" spans="1:9">
      <c r="A99" s="371" t="s">
        <v>402</v>
      </c>
      <c r="B99" s="371"/>
      <c r="C99" s="371"/>
      <c r="D99" s="371"/>
      <c r="E99" s="371"/>
      <c r="F99" s="371"/>
      <c r="G99" s="371"/>
      <c r="H99" s="371"/>
      <c r="I99" s="371"/>
    </row>
    <row r="100" spans="1:9">
      <c r="A100" s="371">
        <v>100</v>
      </c>
      <c r="B100" s="371"/>
      <c r="C100" s="371"/>
      <c r="D100" s="371"/>
      <c r="E100" s="371"/>
      <c r="F100" s="371"/>
      <c r="G100" s="371"/>
      <c r="H100" s="371"/>
      <c r="I100" s="371"/>
    </row>
    <row r="101" spans="1:9">
      <c r="A101" s="371">
        <v>98.599998474121094</v>
      </c>
      <c r="B101" s="371"/>
      <c r="C101" s="371"/>
      <c r="D101" s="371"/>
      <c r="E101" s="371"/>
      <c r="F101" s="371"/>
      <c r="G101" s="371"/>
      <c r="H101" s="371"/>
      <c r="I101" s="371"/>
    </row>
    <row r="102" spans="1:9">
      <c r="A102" s="371">
        <v>91.125</v>
      </c>
      <c r="B102" s="371"/>
      <c r="C102" s="371"/>
      <c r="D102" s="371"/>
      <c r="E102" s="371"/>
      <c r="F102" s="371"/>
      <c r="G102" s="371"/>
      <c r="H102" s="371"/>
      <c r="I102" s="371"/>
    </row>
    <row r="103" spans="1:9">
      <c r="A103" s="371">
        <v>77.694740295410156</v>
      </c>
      <c r="B103" s="371"/>
      <c r="C103" s="371"/>
      <c r="D103" s="371"/>
      <c r="E103" s="371"/>
      <c r="F103" s="371"/>
      <c r="G103" s="371"/>
      <c r="H103" s="371"/>
      <c r="I103" s="371"/>
    </row>
    <row r="104" spans="1:9">
      <c r="A104" s="371">
        <v>64.489471435546875</v>
      </c>
      <c r="B104" s="371"/>
      <c r="C104" s="371"/>
      <c r="D104" s="371"/>
      <c r="E104" s="371"/>
      <c r="F104" s="371"/>
      <c r="G104" s="371"/>
      <c r="H104" s="371"/>
      <c r="I104" s="371"/>
    </row>
    <row r="105" spans="1:9">
      <c r="A105" s="371">
        <v>52.778945922851563</v>
      </c>
      <c r="B105" s="371"/>
      <c r="C105" s="371"/>
      <c r="D105" s="371"/>
      <c r="E105" s="371"/>
      <c r="F105" s="371"/>
      <c r="G105" s="371"/>
      <c r="H105" s="371"/>
      <c r="I105" s="371"/>
    </row>
    <row r="106" spans="1:9">
      <c r="A106" s="371">
        <v>34.878948211669922</v>
      </c>
      <c r="B106" s="371"/>
      <c r="C106" s="371"/>
      <c r="D106" s="371"/>
      <c r="E106" s="371"/>
      <c r="F106" s="371"/>
      <c r="G106" s="371"/>
      <c r="H106" s="371"/>
      <c r="I106" s="371"/>
    </row>
    <row r="107" spans="1:9">
      <c r="A107" s="371">
        <v>23.042104721069336</v>
      </c>
      <c r="B107" s="371"/>
      <c r="C107" s="371"/>
      <c r="D107" s="371"/>
      <c r="E107" s="371"/>
      <c r="F107" s="371"/>
      <c r="G107" s="371"/>
      <c r="H107" s="371"/>
      <c r="I107" s="371"/>
    </row>
    <row r="108" spans="1:9">
      <c r="A108" s="371">
        <v>14.63157844543457</v>
      </c>
      <c r="B108" s="371"/>
      <c r="C108" s="371"/>
      <c r="D108" s="371"/>
      <c r="E108" s="371"/>
      <c r="F108" s="371"/>
      <c r="G108" s="371"/>
      <c r="H108" s="371"/>
      <c r="I108" s="371"/>
    </row>
    <row r="109" spans="1:9">
      <c r="A109" s="371">
        <v>8.3789443969726563</v>
      </c>
      <c r="B109" s="371"/>
      <c r="C109" s="371"/>
      <c r="D109" s="371"/>
      <c r="E109" s="371"/>
      <c r="F109" s="371"/>
      <c r="G109" s="371"/>
      <c r="H109" s="371"/>
      <c r="I109" s="371"/>
    </row>
    <row r="110" spans="1:9">
      <c r="A110" s="371">
        <v>6.0947370529174805</v>
      </c>
      <c r="B110" s="371"/>
      <c r="C110" s="371"/>
      <c r="D110" s="371"/>
      <c r="E110" s="371"/>
      <c r="F110" s="371"/>
      <c r="G110" s="371"/>
      <c r="H110" s="371"/>
      <c r="I110" s="371"/>
    </row>
    <row r="111" spans="1:9">
      <c r="A111" s="371">
        <v>7.9368419647216797</v>
      </c>
      <c r="B111" s="371"/>
      <c r="C111" s="371"/>
      <c r="D111" s="371"/>
      <c r="E111" s="371"/>
      <c r="F111" s="371"/>
      <c r="G111" s="371"/>
      <c r="H111" s="371"/>
      <c r="I111" s="371"/>
    </row>
    <row r="112" spans="1:9">
      <c r="A112" s="371">
        <v>14.889472961425781</v>
      </c>
      <c r="B112" s="371"/>
      <c r="C112" s="371"/>
      <c r="D112" s="371"/>
      <c r="E112" s="371"/>
      <c r="F112" s="371"/>
      <c r="G112" s="371"/>
      <c r="H112" s="371"/>
      <c r="I112" s="371"/>
    </row>
    <row r="113" spans="1:9">
      <c r="A113" s="371">
        <v>30</v>
      </c>
      <c r="B113" s="371"/>
      <c r="C113" s="371"/>
      <c r="D113" s="371"/>
      <c r="E113" s="371"/>
      <c r="F113" s="371"/>
      <c r="G113" s="371"/>
      <c r="H113" s="371"/>
      <c r="I113" s="371"/>
    </row>
  </sheetData>
  <phoneticPr fontId="8" type="noConversion"/>
  <printOptions horizontalCentered="1"/>
  <pageMargins left="0.86614173228346503" right="0" top="0.23622047244094499" bottom="0.23622047244094499" header="0" footer="0"/>
  <pageSetup scale="74" orientation="portrait" horizontalDpi="4294967292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53"/>
  <sheetViews>
    <sheetView tabSelected="1" topLeftCell="A27" zoomScaleNormal="100" workbookViewId="0">
      <selection activeCell="M40" sqref="M40:M41"/>
    </sheetView>
  </sheetViews>
  <sheetFormatPr defaultColWidth="9.140625" defaultRowHeight="15.75"/>
  <cols>
    <col min="1" max="1" width="11.85546875" style="327" customWidth="1"/>
    <col min="2" max="2" width="6.140625" style="327" customWidth="1"/>
    <col min="3" max="3" width="7.42578125" style="327" customWidth="1"/>
    <col min="4" max="5" width="12.5703125" style="327" customWidth="1"/>
    <col min="6" max="6" width="9.42578125" style="327" customWidth="1"/>
    <col min="7" max="7" width="5.7109375" style="327" customWidth="1"/>
    <col min="8" max="8" width="7.85546875" style="327" customWidth="1"/>
    <col min="9" max="9" width="6.5703125" style="327" customWidth="1"/>
    <col min="10" max="11" width="12" style="327" customWidth="1"/>
    <col min="12" max="26" width="9.140625" style="186"/>
    <col min="27" max="16384" width="9.140625" style="187"/>
  </cols>
  <sheetData>
    <row r="1" spans="1:26" ht="20.25" customHeight="1">
      <c r="A1" s="537" t="s">
        <v>268</v>
      </c>
      <c r="B1" s="537"/>
      <c r="C1" s="537"/>
      <c r="D1" s="537"/>
      <c r="E1" s="537"/>
      <c r="F1" s="537"/>
      <c r="G1" s="537"/>
      <c r="H1" s="537"/>
      <c r="I1" s="537"/>
      <c r="J1" s="537"/>
      <c r="K1" s="537"/>
    </row>
    <row r="2" spans="1:26" ht="20.25" customHeight="1">
      <c r="A2" s="538" t="s">
        <v>269</v>
      </c>
      <c r="B2" s="538"/>
      <c r="C2" s="538"/>
      <c r="D2" s="538"/>
      <c r="E2" s="538"/>
      <c r="F2" s="538"/>
      <c r="G2" s="538"/>
      <c r="H2" s="538"/>
      <c r="I2" s="538"/>
      <c r="J2" s="538"/>
      <c r="K2" s="538"/>
    </row>
    <row r="3" spans="1:26" ht="18.75" customHeight="1" thickBot="1">
      <c r="A3" s="188" t="s">
        <v>1</v>
      </c>
      <c r="B3" s="189" t="s">
        <v>380</v>
      </c>
      <c r="C3" s="190"/>
      <c r="D3" s="190"/>
      <c r="E3" s="190"/>
      <c r="F3" s="191"/>
      <c r="G3" s="190"/>
      <c r="H3" s="190"/>
      <c r="I3" s="188" t="s">
        <v>270</v>
      </c>
      <c r="J3" s="539" t="s">
        <v>389</v>
      </c>
      <c r="K3" s="539"/>
    </row>
    <row r="4" spans="1:26" s="200" customFormat="1" ht="18.399999999999999" customHeight="1" thickBot="1">
      <c r="A4" s="192" t="s">
        <v>381</v>
      </c>
      <c r="B4" s="193"/>
      <c r="C4" s="194"/>
      <c r="D4" s="194"/>
      <c r="E4" s="194"/>
      <c r="F4" s="194"/>
      <c r="G4" s="194"/>
      <c r="H4" s="194"/>
      <c r="I4" s="194"/>
      <c r="J4" s="194"/>
      <c r="K4" s="195"/>
      <c r="L4" s="196"/>
      <c r="M4" s="196"/>
      <c r="N4" s="196"/>
      <c r="O4" s="196"/>
      <c r="P4" s="196"/>
      <c r="Q4" s="197" t="s">
        <v>271</v>
      </c>
      <c r="R4" s="198"/>
      <c r="S4" s="196"/>
      <c r="T4" s="197" t="s">
        <v>272</v>
      </c>
      <c r="U4" s="199"/>
      <c r="V4" s="196"/>
      <c r="W4" s="196"/>
      <c r="X4" s="196"/>
      <c r="Y4" s="196"/>
      <c r="Z4" s="196"/>
    </row>
    <row r="5" spans="1:26" s="200" customFormat="1" ht="18.399999999999999" customHeight="1">
      <c r="A5" s="540" t="s">
        <v>273</v>
      </c>
      <c r="B5" s="541"/>
      <c r="C5" s="541"/>
      <c r="D5" s="201"/>
      <c r="E5" s="202"/>
      <c r="F5" s="203" t="s">
        <v>274</v>
      </c>
      <c r="G5" s="190"/>
      <c r="H5" s="190"/>
      <c r="I5" s="204"/>
      <c r="J5" s="205" t="s">
        <v>275</v>
      </c>
      <c r="K5" s="206" t="s">
        <v>276</v>
      </c>
      <c r="L5" s="196"/>
      <c r="M5" s="196"/>
      <c r="N5" s="196"/>
      <c r="O5" s="196"/>
      <c r="P5" s="196"/>
      <c r="Q5" s="207" t="s">
        <v>277</v>
      </c>
      <c r="R5" s="208"/>
      <c r="S5" s="196"/>
      <c r="T5" s="207" t="s">
        <v>278</v>
      </c>
      <c r="U5" s="209"/>
      <c r="V5" s="196"/>
      <c r="W5" s="196"/>
      <c r="X5" s="196"/>
      <c r="Y5" s="196"/>
      <c r="Z5" s="196"/>
    </row>
    <row r="6" spans="1:26" s="200" customFormat="1" ht="18.399999999999999" customHeight="1">
      <c r="A6" s="542" t="s">
        <v>67</v>
      </c>
      <c r="B6" s="543"/>
      <c r="C6" s="543"/>
      <c r="D6" s="544" t="s">
        <v>278</v>
      </c>
      <c r="E6" s="545"/>
      <c r="F6" s="546" t="s">
        <v>280</v>
      </c>
      <c r="G6" s="547"/>
      <c r="H6" s="547"/>
      <c r="I6" s="547"/>
      <c r="J6" s="547"/>
      <c r="K6" s="548"/>
      <c r="L6" s="196"/>
      <c r="M6" s="196"/>
      <c r="N6" s="196"/>
      <c r="O6" s="196"/>
      <c r="P6" s="196"/>
      <c r="Q6" s="207" t="s">
        <v>281</v>
      </c>
      <c r="R6" s="208"/>
      <c r="S6" s="196"/>
      <c r="T6" s="207" t="s">
        <v>282</v>
      </c>
      <c r="U6" s="209"/>
      <c r="V6" s="196"/>
      <c r="W6" s="196"/>
      <c r="X6" s="196"/>
      <c r="Y6" s="196"/>
      <c r="Z6" s="196"/>
    </row>
    <row r="7" spans="1:26" s="200" customFormat="1" ht="18.399999999999999" customHeight="1">
      <c r="A7" s="552" t="s">
        <v>20</v>
      </c>
      <c r="B7" s="553"/>
      <c r="C7" s="553"/>
      <c r="D7" s="554">
        <v>3.2999999523162802</v>
      </c>
      <c r="E7" s="555"/>
      <c r="F7" s="210" t="s">
        <v>283</v>
      </c>
      <c r="G7" s="211"/>
      <c r="H7" s="212"/>
      <c r="I7" s="213"/>
      <c r="J7" s="214">
        <v>20</v>
      </c>
      <c r="K7" s="215" t="s">
        <v>174</v>
      </c>
      <c r="L7" s="196"/>
      <c r="M7" s="196"/>
      <c r="N7" s="196"/>
      <c r="O7" s="196"/>
      <c r="P7" s="196"/>
      <c r="Q7" s="207" t="s">
        <v>284</v>
      </c>
      <c r="R7" s="208"/>
      <c r="S7" s="196"/>
      <c r="T7" s="207" t="s">
        <v>279</v>
      </c>
      <c r="U7" s="209"/>
      <c r="V7" s="196"/>
      <c r="W7" s="196"/>
      <c r="X7" s="196"/>
      <c r="Y7" s="196"/>
      <c r="Z7" s="196"/>
    </row>
    <row r="8" spans="1:26" s="200" customFormat="1" ht="18.399999999999999" customHeight="1">
      <c r="A8" s="552" t="s">
        <v>285</v>
      </c>
      <c r="B8" s="553"/>
      <c r="C8" s="553"/>
      <c r="D8" s="556">
        <v>420</v>
      </c>
      <c r="E8" s="557"/>
      <c r="F8" s="216" t="s">
        <v>286</v>
      </c>
      <c r="G8" s="217"/>
      <c r="H8" s="218"/>
      <c r="I8" s="219"/>
      <c r="J8" s="220">
        <v>20836</v>
      </c>
      <c r="K8" s="221" t="s">
        <v>174</v>
      </c>
      <c r="L8" s="196"/>
      <c r="M8" s="196"/>
      <c r="N8" s="196"/>
      <c r="O8" s="196"/>
      <c r="P8" s="196"/>
      <c r="Q8" s="207" t="s">
        <v>287</v>
      </c>
      <c r="R8" s="208"/>
      <c r="S8" s="196"/>
      <c r="T8" s="207" t="s">
        <v>288</v>
      </c>
      <c r="U8" s="209"/>
      <c r="V8" s="196"/>
      <c r="W8" s="196"/>
      <c r="X8" s="196"/>
      <c r="Y8" s="196"/>
      <c r="Z8" s="196"/>
    </row>
    <row r="9" spans="1:26" s="200" customFormat="1" ht="18.399999999999999" customHeight="1">
      <c r="A9" s="558" t="s">
        <v>289</v>
      </c>
      <c r="B9" s="559"/>
      <c r="C9" s="560"/>
      <c r="D9" s="561" t="s">
        <v>388</v>
      </c>
      <c r="E9" s="562"/>
      <c r="F9" s="210" t="s">
        <v>290</v>
      </c>
      <c r="G9" s="211"/>
      <c r="H9" s="222">
        <v>3</v>
      </c>
      <c r="I9" s="223" t="s">
        <v>291</v>
      </c>
      <c r="J9" s="224">
        <v>528</v>
      </c>
      <c r="K9" s="221" t="s">
        <v>174</v>
      </c>
      <c r="L9" s="196"/>
      <c r="M9" s="196"/>
      <c r="N9" s="196"/>
      <c r="O9" s="196"/>
      <c r="P9" s="196"/>
      <c r="Q9" s="207" t="s">
        <v>292</v>
      </c>
      <c r="R9" s="208"/>
      <c r="S9" s="196"/>
      <c r="T9" s="207" t="s">
        <v>293</v>
      </c>
      <c r="U9" s="209"/>
      <c r="V9" s="196"/>
      <c r="W9" s="196"/>
      <c r="X9" s="196"/>
      <c r="Y9" s="196"/>
      <c r="Z9" s="196"/>
    </row>
    <row r="10" spans="1:26" s="200" customFormat="1" ht="18.399999999999999" customHeight="1" thickBot="1">
      <c r="A10" s="558" t="s">
        <v>294</v>
      </c>
      <c r="B10" s="559"/>
      <c r="C10" s="560"/>
      <c r="D10" s="563" t="s">
        <v>202</v>
      </c>
      <c r="E10" s="564"/>
      <c r="F10" s="210" t="s">
        <v>295</v>
      </c>
      <c r="G10" s="211"/>
      <c r="H10" s="222">
        <v>3</v>
      </c>
      <c r="I10" s="223" t="s">
        <v>291</v>
      </c>
      <c r="J10" s="224">
        <v>1150</v>
      </c>
      <c r="K10" s="221" t="s">
        <v>174</v>
      </c>
      <c r="L10" s="196"/>
      <c r="M10" s="196"/>
      <c r="N10" s="196"/>
      <c r="O10" s="196"/>
      <c r="P10" s="196"/>
      <c r="Q10" s="207" t="s">
        <v>296</v>
      </c>
      <c r="R10" s="208"/>
      <c r="S10" s="196"/>
      <c r="T10" s="225" t="s">
        <v>297</v>
      </c>
      <c r="U10" s="226"/>
      <c r="V10" s="196"/>
      <c r="W10" s="196"/>
      <c r="X10" s="196"/>
      <c r="Y10" s="196"/>
      <c r="Z10" s="196"/>
    </row>
    <row r="11" spans="1:26" s="200" customFormat="1" ht="18.399999999999999" customHeight="1" thickBot="1">
      <c r="A11" s="558" t="s">
        <v>298</v>
      </c>
      <c r="B11" s="559"/>
      <c r="C11" s="560"/>
      <c r="D11" s="565" t="s">
        <v>174</v>
      </c>
      <c r="E11" s="566"/>
      <c r="F11" s="227" t="s">
        <v>299</v>
      </c>
      <c r="G11" s="228"/>
      <c r="H11" s="229">
        <v>3</v>
      </c>
      <c r="I11" s="223" t="s">
        <v>291</v>
      </c>
      <c r="J11" s="230">
        <v>25011</v>
      </c>
      <c r="K11" s="231" t="s">
        <v>174</v>
      </c>
      <c r="L11" s="196"/>
      <c r="M11" s="196"/>
      <c r="N11" s="196"/>
      <c r="O11" s="196"/>
      <c r="P11" s="196"/>
      <c r="Q11" s="207" t="s">
        <v>300</v>
      </c>
      <c r="R11" s="208"/>
      <c r="S11" s="196"/>
      <c r="T11" s="197" t="s">
        <v>301</v>
      </c>
      <c r="U11" s="199"/>
      <c r="V11" s="196"/>
      <c r="W11" s="196"/>
      <c r="X11" s="196"/>
      <c r="Y11" s="196"/>
      <c r="Z11" s="196"/>
    </row>
    <row r="12" spans="1:26" s="200" customFormat="1" ht="18.399999999999999" customHeight="1" thickBot="1">
      <c r="A12" s="232" t="s">
        <v>302</v>
      </c>
      <c r="C12" s="233"/>
      <c r="D12" s="567" t="s">
        <v>174</v>
      </c>
      <c r="E12" s="568"/>
      <c r="F12" s="549" t="s">
        <v>303</v>
      </c>
      <c r="G12" s="550"/>
      <c r="H12" s="550"/>
      <c r="I12" s="550"/>
      <c r="J12" s="550"/>
      <c r="K12" s="551"/>
      <c r="L12" s="196"/>
      <c r="M12" s="196"/>
      <c r="N12" s="196"/>
      <c r="O12" s="196"/>
      <c r="P12" s="196"/>
      <c r="Q12" s="225" t="s">
        <v>304</v>
      </c>
      <c r="R12" s="234"/>
      <c r="S12" s="196"/>
      <c r="T12" s="196"/>
      <c r="U12" s="196"/>
      <c r="V12" s="196"/>
      <c r="W12" s="196"/>
      <c r="X12" s="196"/>
      <c r="Y12" s="196"/>
      <c r="Z12" s="196"/>
    </row>
    <row r="13" spans="1:26" s="200" customFormat="1" ht="18.399999999999999" customHeight="1">
      <c r="A13" s="558" t="s">
        <v>53</v>
      </c>
      <c r="B13" s="559"/>
      <c r="C13" s="560"/>
      <c r="D13" s="569" t="s">
        <v>383</v>
      </c>
      <c r="E13" s="570"/>
      <c r="F13" s="235"/>
      <c r="G13" s="236" t="s">
        <v>305</v>
      </c>
      <c r="H13" s="237"/>
      <c r="I13" s="238" t="s">
        <v>306</v>
      </c>
      <c r="J13" s="239" t="s">
        <v>385</v>
      </c>
      <c r="K13" s="240" t="s">
        <v>174</v>
      </c>
      <c r="L13" s="196"/>
      <c r="M13" s="196"/>
      <c r="N13" s="196"/>
      <c r="O13" s="196"/>
      <c r="P13" s="196"/>
      <c r="Q13" s="196"/>
      <c r="R13" s="196"/>
      <c r="S13" s="196"/>
      <c r="T13" s="196"/>
      <c r="U13" s="196"/>
      <c r="V13" s="196"/>
      <c r="W13" s="196"/>
      <c r="X13" s="196"/>
      <c r="Y13" s="196"/>
      <c r="Z13" s="196"/>
    </row>
    <row r="14" spans="1:26" s="200" customFormat="1" ht="18.399999999999999" customHeight="1">
      <c r="A14" s="558" t="s">
        <v>56</v>
      </c>
      <c r="B14" s="559"/>
      <c r="C14" s="560"/>
      <c r="D14" s="567">
        <v>1115</v>
      </c>
      <c r="E14" s="568"/>
      <c r="F14" s="235"/>
      <c r="G14" s="241" t="s">
        <v>10</v>
      </c>
      <c r="H14" s="242"/>
      <c r="I14" s="242"/>
      <c r="J14" s="224" t="s">
        <v>174</v>
      </c>
      <c r="K14" s="221" t="s">
        <v>174</v>
      </c>
      <c r="L14" s="196"/>
      <c r="M14" s="196"/>
      <c r="N14" s="196"/>
      <c r="O14" s="196"/>
      <c r="P14" s="196"/>
      <c r="Q14" s="196"/>
      <c r="R14" s="196"/>
      <c r="S14" s="196"/>
      <c r="T14" s="196"/>
      <c r="U14" s="196"/>
      <c r="V14" s="196"/>
      <c r="W14" s="196"/>
      <c r="X14" s="196"/>
      <c r="Y14" s="196"/>
      <c r="Z14" s="196"/>
    </row>
    <row r="15" spans="1:26" s="200" customFormat="1" ht="18.399999999999999" customHeight="1">
      <c r="A15" s="571" t="s">
        <v>307</v>
      </c>
      <c r="B15" s="572"/>
      <c r="C15" s="573"/>
      <c r="D15" s="574">
        <v>14.029999732971191</v>
      </c>
      <c r="E15" s="575"/>
      <c r="F15" s="235"/>
      <c r="G15" s="241" t="s">
        <v>308</v>
      </c>
      <c r="H15" s="242"/>
      <c r="I15" s="242"/>
      <c r="J15" s="224" t="s">
        <v>174</v>
      </c>
      <c r="K15" s="221" t="s">
        <v>174</v>
      </c>
      <c r="L15" s="196"/>
      <c r="M15" s="196"/>
      <c r="N15" s="196"/>
      <c r="O15" s="196"/>
      <c r="P15" s="196"/>
      <c r="Q15" s="196"/>
      <c r="R15" s="196"/>
      <c r="S15" s="196"/>
      <c r="T15" s="196"/>
      <c r="U15" s="196"/>
      <c r="V15" s="196"/>
      <c r="W15" s="196"/>
      <c r="X15" s="196"/>
      <c r="Y15" s="196"/>
      <c r="Z15" s="196"/>
    </row>
    <row r="16" spans="1:26" s="200" customFormat="1" ht="18.399999999999999" customHeight="1">
      <c r="A16" s="576" t="s">
        <v>309</v>
      </c>
      <c r="B16" s="577"/>
      <c r="C16" s="578"/>
      <c r="D16" s="574">
        <v>3.736799955368042</v>
      </c>
      <c r="E16" s="575"/>
      <c r="F16" s="243"/>
      <c r="G16" s="244" t="s">
        <v>17</v>
      </c>
      <c r="H16" s="245"/>
      <c r="I16" s="245"/>
      <c r="J16" s="230" t="s">
        <v>174</v>
      </c>
      <c r="K16" s="231" t="s">
        <v>174</v>
      </c>
      <c r="L16" s="196"/>
      <c r="M16" s="196"/>
      <c r="N16" s="196"/>
      <c r="O16" s="196"/>
      <c r="P16" s="196"/>
      <c r="Q16" s="196"/>
      <c r="R16" s="196"/>
      <c r="S16" s="196"/>
      <c r="T16" s="196"/>
      <c r="U16" s="196"/>
      <c r="V16" s="196"/>
      <c r="W16" s="196"/>
      <c r="X16" s="196"/>
      <c r="Y16" s="196"/>
      <c r="Z16" s="196"/>
    </row>
    <row r="17" spans="1:26" s="200" customFormat="1" ht="18.399999999999999" customHeight="1">
      <c r="A17" s="246" t="s">
        <v>310</v>
      </c>
      <c r="B17" s="247"/>
      <c r="C17" s="248"/>
      <c r="D17" s="565" t="s">
        <v>382</v>
      </c>
      <c r="E17" s="566"/>
      <c r="F17" s="549" t="s">
        <v>311</v>
      </c>
      <c r="G17" s="550"/>
      <c r="H17" s="550"/>
      <c r="I17" s="550"/>
      <c r="J17" s="550"/>
      <c r="K17" s="551"/>
      <c r="L17" s="196"/>
      <c r="M17" s="196"/>
      <c r="N17" s="196"/>
      <c r="O17" s="196"/>
      <c r="P17" s="196"/>
      <c r="Q17" s="196"/>
      <c r="R17" s="196"/>
      <c r="S17" s="196"/>
      <c r="T17" s="196"/>
      <c r="U17" s="196"/>
      <c r="V17" s="196"/>
      <c r="W17" s="196"/>
      <c r="X17" s="196"/>
      <c r="Y17" s="196"/>
      <c r="Z17" s="196"/>
    </row>
    <row r="18" spans="1:26" s="200" customFormat="1" ht="18.399999999999999" customHeight="1">
      <c r="A18" s="249" t="s">
        <v>312</v>
      </c>
      <c r="B18" s="250"/>
      <c r="C18" s="248"/>
      <c r="D18" s="563" t="s">
        <v>174</v>
      </c>
      <c r="E18" s="564"/>
      <c r="F18" s="579"/>
      <c r="G18" s="580"/>
      <c r="H18" s="251" t="s">
        <v>313</v>
      </c>
      <c r="I18" s="252"/>
      <c r="J18" s="220">
        <v>101</v>
      </c>
      <c r="K18" s="221"/>
      <c r="L18" s="196"/>
      <c r="M18" s="196">
        <f>J18*6.5</f>
        <v>656.5</v>
      </c>
      <c r="N18" s="196"/>
      <c r="O18" s="196"/>
      <c r="P18" s="196"/>
      <c r="Q18" s="196"/>
      <c r="R18" s="196"/>
      <c r="S18" s="196"/>
      <c r="T18" s="196"/>
      <c r="U18" s="196"/>
      <c r="V18" s="196"/>
      <c r="W18" s="196"/>
      <c r="X18" s="196"/>
      <c r="Y18" s="196"/>
      <c r="Z18" s="196"/>
    </row>
    <row r="19" spans="1:26" s="200" customFormat="1" ht="18.399999999999999" customHeight="1">
      <c r="A19" s="585" t="s">
        <v>314</v>
      </c>
      <c r="B19" s="586"/>
      <c r="C19" s="587"/>
      <c r="D19" s="588" t="s">
        <v>174</v>
      </c>
      <c r="E19" s="566"/>
      <c r="F19" s="581"/>
      <c r="G19" s="582"/>
      <c r="H19" s="251" t="s">
        <v>5</v>
      </c>
      <c r="I19" s="213"/>
      <c r="J19" s="220">
        <v>3580</v>
      </c>
      <c r="K19" s="221"/>
      <c r="L19" s="196"/>
      <c r="M19" s="196"/>
      <c r="N19" s="196"/>
      <c r="O19" s="196"/>
      <c r="P19" s="196"/>
      <c r="Q19" s="196"/>
      <c r="R19" s="196"/>
      <c r="S19" s="196"/>
      <c r="T19" s="196"/>
      <c r="U19" s="196"/>
      <c r="V19" s="196"/>
      <c r="W19" s="196"/>
      <c r="X19" s="196"/>
      <c r="Y19" s="196"/>
      <c r="Z19" s="196"/>
    </row>
    <row r="20" spans="1:26" s="200" customFormat="1" ht="18.399999999999999" customHeight="1" thickBot="1">
      <c r="A20" s="253" t="s">
        <v>315</v>
      </c>
      <c r="C20" s="254"/>
      <c r="D20" s="589" t="s">
        <v>201</v>
      </c>
      <c r="E20" s="557"/>
      <c r="F20" s="581"/>
      <c r="G20" s="582"/>
      <c r="H20" s="251" t="s">
        <v>316</v>
      </c>
      <c r="I20" s="213"/>
      <c r="J20" s="224" t="s">
        <v>364</v>
      </c>
      <c r="K20" s="221"/>
      <c r="L20" s="196"/>
      <c r="M20" s="196"/>
      <c r="N20" s="196"/>
      <c r="O20" s="196"/>
      <c r="P20" s="196"/>
      <c r="Q20" s="196"/>
      <c r="R20" s="196"/>
      <c r="S20" s="196"/>
      <c r="T20" s="196"/>
      <c r="U20" s="196"/>
      <c r="V20" s="196"/>
      <c r="W20" s="196"/>
      <c r="X20" s="196"/>
      <c r="Y20" s="196"/>
      <c r="Z20" s="196"/>
    </row>
    <row r="21" spans="1:26" s="200" customFormat="1" ht="18.399999999999999" customHeight="1" thickBot="1">
      <c r="A21" s="571" t="s">
        <v>317</v>
      </c>
      <c r="B21" s="572"/>
      <c r="C21" s="573"/>
      <c r="D21" s="556" t="s">
        <v>174</v>
      </c>
      <c r="E21" s="557"/>
      <c r="F21" s="581"/>
      <c r="G21" s="582"/>
      <c r="H21" s="255" t="s">
        <v>318</v>
      </c>
      <c r="I21" s="213"/>
      <c r="J21" s="224">
        <v>1.1499999999999999</v>
      </c>
      <c r="K21" s="221"/>
      <c r="L21" s="196"/>
      <c r="M21" s="196"/>
      <c r="N21" s="196"/>
      <c r="O21" s="196"/>
      <c r="P21" s="196"/>
      <c r="Q21" s="197" t="s">
        <v>319</v>
      </c>
      <c r="R21" s="199"/>
      <c r="S21" s="196"/>
      <c r="T21" s="196"/>
      <c r="U21" s="196"/>
      <c r="V21" s="196"/>
      <c r="W21" s="196"/>
      <c r="X21" s="196"/>
      <c r="Y21" s="196"/>
      <c r="Z21" s="196"/>
    </row>
    <row r="22" spans="1:26" s="200" customFormat="1" ht="18.399999999999999" customHeight="1">
      <c r="A22" s="249" t="s">
        <v>320</v>
      </c>
      <c r="B22" s="256"/>
      <c r="C22" s="256"/>
      <c r="D22" s="590">
        <v>0.47870001196861267</v>
      </c>
      <c r="E22" s="591"/>
      <c r="F22" s="581"/>
      <c r="G22" s="582"/>
      <c r="H22" s="251" t="s">
        <v>275</v>
      </c>
      <c r="I22" s="213"/>
      <c r="J22" s="224" t="s">
        <v>174</v>
      </c>
      <c r="K22" s="221"/>
      <c r="L22" s="196"/>
      <c r="M22" s="196"/>
      <c r="N22" s="196"/>
      <c r="O22" s="196"/>
      <c r="P22" s="196"/>
      <c r="Q22" s="207" t="s">
        <v>322</v>
      </c>
      <c r="R22" s="209"/>
      <c r="S22" s="196"/>
      <c r="T22" s="196"/>
      <c r="U22" s="196"/>
      <c r="V22" s="196"/>
      <c r="W22" s="196"/>
      <c r="X22" s="196"/>
      <c r="Y22" s="196"/>
      <c r="Z22" s="196"/>
    </row>
    <row r="23" spans="1:26" s="200" customFormat="1" ht="18.399999999999999" customHeight="1">
      <c r="A23" s="257" t="s">
        <v>323</v>
      </c>
      <c r="B23" s="258" t="s">
        <v>324</v>
      </c>
      <c r="C23" s="259"/>
      <c r="D23" s="569">
        <v>424.7</v>
      </c>
      <c r="E23" s="570"/>
      <c r="F23" s="581"/>
      <c r="G23" s="582"/>
      <c r="H23" s="260" t="s">
        <v>325</v>
      </c>
      <c r="I23" s="261"/>
      <c r="J23" s="366">
        <v>93</v>
      </c>
      <c r="K23" s="262"/>
      <c r="L23" s="196"/>
      <c r="Q23" s="207" t="s">
        <v>326</v>
      </c>
      <c r="R23" s="209"/>
      <c r="S23" s="196"/>
      <c r="T23" s="196"/>
      <c r="U23" s="196"/>
      <c r="V23" s="196"/>
      <c r="W23" s="196"/>
      <c r="X23" s="196"/>
      <c r="Y23" s="196"/>
      <c r="Z23" s="196"/>
    </row>
    <row r="24" spans="1:26" s="200" customFormat="1" ht="18.399999999999999" customHeight="1" thickBot="1">
      <c r="A24" s="263" t="s">
        <v>327</v>
      </c>
      <c r="B24" s="264" t="s">
        <v>328</v>
      </c>
      <c r="C24" s="265"/>
      <c r="D24" s="592" t="s">
        <v>174</v>
      </c>
      <c r="E24" s="593"/>
      <c r="F24" s="581"/>
      <c r="G24" s="582"/>
      <c r="H24" s="251" t="s">
        <v>329</v>
      </c>
      <c r="I24" s="233"/>
      <c r="J24" s="266" t="s">
        <v>174</v>
      </c>
      <c r="K24" s="267"/>
      <c r="Q24" s="268" t="s">
        <v>174</v>
      </c>
      <c r="R24" s="269"/>
      <c r="S24" s="196"/>
      <c r="T24" s="196"/>
      <c r="U24" s="196"/>
      <c r="V24" s="196"/>
      <c r="W24" s="196"/>
      <c r="X24" s="196"/>
      <c r="Y24" s="196"/>
      <c r="Z24" s="196"/>
    </row>
    <row r="25" spans="1:26" s="200" customFormat="1" ht="18.399999999999999" customHeight="1">
      <c r="A25" s="270" t="s">
        <v>330</v>
      </c>
      <c r="B25" s="271"/>
      <c r="C25" s="271"/>
      <c r="D25" s="272"/>
      <c r="E25" s="272" t="s">
        <v>331</v>
      </c>
      <c r="F25" s="581"/>
      <c r="G25" s="582"/>
      <c r="H25" s="251" t="s">
        <v>332</v>
      </c>
      <c r="I25" s="233"/>
      <c r="J25" s="273">
        <v>91</v>
      </c>
      <c r="K25" s="267"/>
      <c r="R25" s="196"/>
      <c r="S25" s="196"/>
      <c r="T25" s="196"/>
      <c r="U25" s="196"/>
      <c r="V25" s="196"/>
      <c r="W25" s="196"/>
      <c r="X25" s="196"/>
      <c r="Y25" s="196"/>
      <c r="Z25" s="196"/>
    </row>
    <row r="26" spans="1:26" s="200" customFormat="1" ht="18.399999999999999" customHeight="1">
      <c r="A26" s="274" t="s">
        <v>333</v>
      </c>
      <c r="B26" s="275"/>
      <c r="C26" s="276"/>
      <c r="D26" s="277" t="s">
        <v>386</v>
      </c>
      <c r="E26" s="277" t="s">
        <v>387</v>
      </c>
      <c r="F26" s="583"/>
      <c r="G26" s="584"/>
      <c r="H26" s="594"/>
      <c r="I26" s="595"/>
      <c r="J26" s="278"/>
      <c r="K26" s="279"/>
      <c r="R26" s="196"/>
      <c r="S26" s="196"/>
      <c r="T26" s="196"/>
      <c r="U26" s="196"/>
      <c r="V26" s="196"/>
      <c r="W26" s="196"/>
      <c r="X26" s="196"/>
      <c r="Y26" s="196"/>
      <c r="Z26" s="196"/>
    </row>
    <row r="27" spans="1:26" s="200" customFormat="1" ht="18.399999999999999" customHeight="1">
      <c r="A27" s="596" t="s">
        <v>334</v>
      </c>
      <c r="B27" s="597"/>
      <c r="C27" s="597"/>
      <c r="D27" s="597"/>
      <c r="E27" s="597"/>
      <c r="F27" s="546" t="s">
        <v>335</v>
      </c>
      <c r="G27" s="547"/>
      <c r="H27" s="547"/>
      <c r="I27" s="547"/>
      <c r="J27" s="547"/>
      <c r="K27" s="548"/>
      <c r="R27" s="196"/>
      <c r="S27" s="196"/>
      <c r="T27" s="196"/>
      <c r="U27" s="196"/>
      <c r="V27" s="196"/>
      <c r="W27" s="196"/>
      <c r="X27" s="196"/>
      <c r="Y27" s="196"/>
      <c r="Z27" s="196"/>
    </row>
    <row r="28" spans="1:26" s="200" customFormat="1" ht="18.399999999999999" customHeight="1">
      <c r="A28" s="600"/>
      <c r="B28" s="601"/>
      <c r="C28" s="601"/>
      <c r="D28" s="601"/>
      <c r="E28" s="602"/>
      <c r="F28" s="280"/>
      <c r="G28" s="281"/>
      <c r="H28" s="241" t="s">
        <v>336</v>
      </c>
      <c r="I28" s="282" t="s">
        <v>384</v>
      </c>
      <c r="J28" s="220">
        <v>615</v>
      </c>
      <c r="K28" s="283" t="s">
        <v>174</v>
      </c>
      <c r="M28" s="200">
        <f>(J28/J18)*100</f>
        <v>608.91089108910887</v>
      </c>
      <c r="N28" s="284"/>
      <c r="R28" s="196"/>
      <c r="S28" s="196"/>
      <c r="T28" s="196"/>
      <c r="U28" s="196"/>
      <c r="V28" s="196"/>
      <c r="W28" s="196"/>
      <c r="X28" s="196"/>
      <c r="Y28" s="196"/>
      <c r="Z28" s="196"/>
    </row>
    <row r="29" spans="1:26" s="200" customFormat="1" ht="18.399999999999999" customHeight="1">
      <c r="A29" s="600"/>
      <c r="B29" s="601"/>
      <c r="C29" s="601"/>
      <c r="D29" s="601"/>
      <c r="E29" s="602"/>
      <c r="F29" s="285"/>
      <c r="G29" s="286"/>
      <c r="H29" s="241" t="s">
        <v>337</v>
      </c>
      <c r="I29" s="287">
        <v>60</v>
      </c>
      <c r="J29" s="220">
        <v>108</v>
      </c>
      <c r="K29" s="215" t="s">
        <v>174</v>
      </c>
      <c r="Q29" s="196"/>
      <c r="R29" s="196"/>
      <c r="S29" s="196"/>
      <c r="T29" s="196"/>
      <c r="U29" s="196"/>
      <c r="V29" s="196"/>
      <c r="W29" s="196"/>
      <c r="X29" s="196"/>
      <c r="Y29" s="196"/>
      <c r="Z29" s="196"/>
    </row>
    <row r="30" spans="1:26" s="200" customFormat="1" ht="18.399999999999999" customHeight="1">
      <c r="A30" s="600"/>
      <c r="B30" s="601"/>
      <c r="C30" s="601"/>
      <c r="D30" s="601"/>
      <c r="E30" s="602"/>
      <c r="F30" s="285"/>
      <c r="G30" s="286"/>
      <c r="H30" s="241" t="s">
        <v>338</v>
      </c>
      <c r="I30" s="287">
        <v>175</v>
      </c>
      <c r="J30" s="220">
        <v>288</v>
      </c>
      <c r="K30" s="215" t="s">
        <v>174</v>
      </c>
      <c r="L30" s="196"/>
      <c r="M30" s="288"/>
      <c r="N30" s="288"/>
      <c r="O30" s="288"/>
      <c r="P30" s="288"/>
      <c r="Q30" s="288"/>
      <c r="R30" s="196"/>
      <c r="S30" s="196"/>
      <c r="T30" s="196"/>
      <c r="U30" s="196"/>
      <c r="V30" s="196"/>
      <c r="W30" s="196"/>
      <c r="X30" s="196"/>
      <c r="Y30" s="196"/>
      <c r="Z30" s="196"/>
    </row>
    <row r="31" spans="1:26" s="200" customFormat="1" ht="18.399999999999999" customHeight="1">
      <c r="A31" s="600"/>
      <c r="B31" s="601"/>
      <c r="C31" s="601"/>
      <c r="D31" s="601"/>
      <c r="E31" s="602"/>
      <c r="F31" s="285"/>
      <c r="G31" s="286"/>
      <c r="H31" s="241" t="s">
        <v>339</v>
      </c>
      <c r="I31" s="242"/>
      <c r="J31" s="289">
        <v>0.6</v>
      </c>
      <c r="K31" s="215" t="s">
        <v>174</v>
      </c>
      <c r="L31" s="196"/>
      <c r="M31" s="288"/>
      <c r="N31" s="288"/>
      <c r="O31" s="288"/>
      <c r="P31" s="288"/>
      <c r="Q31" s="288"/>
      <c r="R31" s="196"/>
      <c r="S31" s="196"/>
      <c r="T31" s="196"/>
      <c r="U31" s="196"/>
      <c r="V31" s="196"/>
      <c r="W31" s="196"/>
      <c r="X31" s="196"/>
      <c r="Y31" s="196"/>
      <c r="Z31" s="196"/>
    </row>
    <row r="32" spans="1:26" s="200" customFormat="1" ht="18.399999999999999" customHeight="1">
      <c r="A32" s="603"/>
      <c r="B32" s="604"/>
      <c r="C32" s="604"/>
      <c r="D32" s="604"/>
      <c r="E32" s="605"/>
      <c r="F32" s="285"/>
      <c r="G32" s="290" t="s">
        <v>340</v>
      </c>
      <c r="H32" s="241" t="s">
        <v>341</v>
      </c>
      <c r="I32" s="291"/>
      <c r="J32" s="214">
        <v>93.3</v>
      </c>
      <c r="K32" s="215" t="s">
        <v>174</v>
      </c>
      <c r="L32" s="196"/>
      <c r="M32" s="288"/>
      <c r="N32" s="288"/>
      <c r="O32" s="288"/>
      <c r="P32" s="288"/>
      <c r="Q32" s="288"/>
      <c r="R32" s="196"/>
      <c r="S32" s="196"/>
      <c r="T32" s="196"/>
      <c r="U32" s="196"/>
      <c r="V32" s="196"/>
      <c r="W32" s="196"/>
      <c r="X32" s="196"/>
      <c r="Y32" s="196"/>
      <c r="Z32" s="196"/>
    </row>
    <row r="33" spans="1:26" s="200" customFormat="1" ht="18.399999999999999" customHeight="1">
      <c r="A33" s="596" t="s">
        <v>342</v>
      </c>
      <c r="B33" s="597"/>
      <c r="C33" s="597"/>
      <c r="D33" s="597"/>
      <c r="E33" s="606"/>
      <c r="F33" s="292"/>
      <c r="G33" s="293"/>
      <c r="H33" s="294" t="s">
        <v>343</v>
      </c>
      <c r="I33" s="295"/>
      <c r="J33" s="296">
        <v>91.2</v>
      </c>
      <c r="K33" s="283" t="s">
        <v>174</v>
      </c>
      <c r="L33" s="196"/>
      <c r="M33" s="288"/>
      <c r="N33" s="288"/>
      <c r="O33" s="288"/>
      <c r="P33" s="288"/>
      <c r="Q33" s="288"/>
      <c r="R33" s="196"/>
      <c r="S33" s="196"/>
      <c r="T33" s="196"/>
      <c r="U33" s="196"/>
      <c r="V33" s="196"/>
      <c r="W33" s="196"/>
      <c r="X33" s="196"/>
      <c r="Y33" s="196"/>
      <c r="Z33" s="196"/>
    </row>
    <row r="34" spans="1:26" s="200" customFormat="1" ht="18.399999999999999" customHeight="1">
      <c r="A34" s="600"/>
      <c r="B34" s="601"/>
      <c r="C34" s="601"/>
      <c r="D34" s="601"/>
      <c r="E34" s="602"/>
      <c r="F34" s="216" t="s">
        <v>344</v>
      </c>
      <c r="G34" s="297"/>
      <c r="H34" s="298" t="s">
        <v>14</v>
      </c>
      <c r="I34" s="299"/>
      <c r="J34" s="300">
        <v>6798</v>
      </c>
      <c r="K34" s="283" t="s">
        <v>174</v>
      </c>
      <c r="L34" s="301"/>
      <c r="M34" s="288"/>
      <c r="N34" s="288"/>
      <c r="O34" s="288"/>
      <c r="P34" s="288"/>
      <c r="Q34" s="288"/>
      <c r="R34" s="196"/>
      <c r="S34" s="196"/>
      <c r="T34" s="196"/>
      <c r="U34" s="196"/>
      <c r="V34" s="196"/>
      <c r="W34" s="196"/>
      <c r="X34" s="196"/>
      <c r="Y34" s="196"/>
      <c r="Z34" s="196"/>
    </row>
    <row r="35" spans="1:26" s="200" customFormat="1" ht="18.399999999999999" customHeight="1">
      <c r="A35" s="600"/>
      <c r="B35" s="601"/>
      <c r="C35" s="601"/>
      <c r="D35" s="601"/>
      <c r="E35" s="602"/>
      <c r="F35" s="235"/>
      <c r="G35" s="302"/>
      <c r="H35" s="303" t="s">
        <v>15</v>
      </c>
      <c r="I35" s="304"/>
      <c r="J35" s="220">
        <v>3655</v>
      </c>
      <c r="K35" s="283" t="s">
        <v>174</v>
      </c>
      <c r="M35" s="288"/>
      <c r="N35" s="288"/>
      <c r="O35" s="288"/>
      <c r="P35" s="288"/>
      <c r="Q35" s="288"/>
      <c r="R35" s="196"/>
      <c r="S35" s="196"/>
      <c r="T35" s="196"/>
      <c r="U35" s="196"/>
      <c r="V35" s="196"/>
      <c r="W35" s="196"/>
      <c r="X35" s="196"/>
      <c r="Y35" s="196"/>
      <c r="Z35" s="196"/>
    </row>
    <row r="36" spans="1:26" s="200" customFormat="1" ht="18.399999999999999" customHeight="1">
      <c r="A36" s="600"/>
      <c r="B36" s="601"/>
      <c r="C36" s="601"/>
      <c r="D36" s="601"/>
      <c r="E36" s="602"/>
      <c r="F36" s="235"/>
      <c r="G36" s="302"/>
      <c r="H36" s="303" t="s">
        <v>345</v>
      </c>
      <c r="I36" s="304"/>
      <c r="J36" s="220">
        <v>4995</v>
      </c>
      <c r="K36" s="283" t="s">
        <v>174</v>
      </c>
      <c r="M36" s="288"/>
      <c r="N36" s="288"/>
      <c r="O36" s="288"/>
      <c r="P36" s="288"/>
      <c r="Q36" s="288"/>
      <c r="R36" s="196"/>
      <c r="S36" s="196"/>
      <c r="T36" s="196"/>
      <c r="U36" s="196"/>
      <c r="V36" s="196"/>
      <c r="W36" s="196"/>
      <c r="X36" s="196"/>
      <c r="Y36" s="196"/>
      <c r="Z36" s="196"/>
    </row>
    <row r="37" spans="1:26" s="200" customFormat="1" ht="18.399999999999999" customHeight="1">
      <c r="A37" s="600"/>
      <c r="B37" s="601"/>
      <c r="C37" s="601"/>
      <c r="D37" s="601"/>
      <c r="E37" s="602"/>
      <c r="F37" s="285"/>
      <c r="G37" s="302"/>
      <c r="H37" s="303" t="s">
        <v>346</v>
      </c>
      <c r="I37" s="304"/>
      <c r="J37" s="220">
        <v>15959</v>
      </c>
      <c r="K37" s="305" t="s">
        <v>174</v>
      </c>
      <c r="M37" s="288"/>
      <c r="N37" s="288"/>
      <c r="O37" s="288"/>
      <c r="P37" s="288"/>
      <c r="Q37" s="288"/>
      <c r="R37" s="196"/>
      <c r="S37" s="196"/>
      <c r="T37" s="196"/>
      <c r="U37" s="196"/>
      <c r="V37" s="196"/>
      <c r="W37" s="196"/>
      <c r="X37" s="196"/>
      <c r="Y37" s="196"/>
      <c r="Z37" s="196"/>
    </row>
    <row r="38" spans="1:26" s="200" customFormat="1" ht="18.399999999999999" customHeight="1">
      <c r="A38" s="603"/>
      <c r="B38" s="604"/>
      <c r="C38" s="604"/>
      <c r="D38" s="604"/>
      <c r="E38" s="605"/>
      <c r="F38" s="243"/>
      <c r="G38" s="306"/>
      <c r="H38" s="307" t="s">
        <v>347</v>
      </c>
      <c r="I38" s="308"/>
      <c r="J38" s="309">
        <v>11586</v>
      </c>
      <c r="K38" s="283" t="s">
        <v>174</v>
      </c>
      <c r="M38" s="288"/>
      <c r="N38" s="288"/>
      <c r="O38" s="288"/>
      <c r="P38" s="288"/>
      <c r="Q38" s="288"/>
      <c r="R38" s="196"/>
      <c r="S38" s="196"/>
      <c r="T38" s="196"/>
      <c r="U38" s="196"/>
      <c r="V38" s="196"/>
      <c r="W38" s="196"/>
      <c r="X38" s="196"/>
      <c r="Y38" s="196"/>
      <c r="Z38" s="196"/>
    </row>
    <row r="39" spans="1:26" s="200" customFormat="1" ht="18.399999999999999" customHeight="1">
      <c r="A39" s="596" t="s">
        <v>348</v>
      </c>
      <c r="B39" s="597"/>
      <c r="C39" s="597"/>
      <c r="D39" s="597"/>
      <c r="E39" s="597"/>
      <c r="F39" s="310" t="s">
        <v>349</v>
      </c>
      <c r="G39" s="311"/>
      <c r="H39" s="311"/>
      <c r="I39" s="311"/>
      <c r="J39" s="311"/>
      <c r="K39" s="312"/>
      <c r="M39" s="288"/>
      <c r="N39" s="288"/>
      <c r="O39" s="288"/>
      <c r="P39" s="288"/>
      <c r="Q39" s="288"/>
      <c r="R39" s="196"/>
      <c r="S39" s="196"/>
      <c r="T39" s="196"/>
      <c r="U39" s="196"/>
      <c r="V39" s="196"/>
      <c r="W39" s="196"/>
      <c r="X39" s="196"/>
      <c r="Y39" s="196"/>
      <c r="Z39" s="196"/>
    </row>
    <row r="40" spans="1:26" s="200" customFormat="1" ht="18.399999999999999" customHeight="1">
      <c r="A40" s="600"/>
      <c r="B40" s="601"/>
      <c r="C40" s="601"/>
      <c r="D40" s="601"/>
      <c r="E40" s="602"/>
      <c r="F40" s="313" t="s">
        <v>390</v>
      </c>
      <c r="G40" s="314" t="s">
        <v>397</v>
      </c>
      <c r="H40" s="314"/>
      <c r="I40" s="314"/>
      <c r="J40" s="314"/>
      <c r="K40" s="315"/>
      <c r="M40" s="668" t="s">
        <v>724</v>
      </c>
      <c r="N40" s="288"/>
      <c r="O40" s="288"/>
      <c r="P40" s="288"/>
      <c r="Q40" s="288"/>
      <c r="R40" s="196"/>
      <c r="S40" s="196"/>
      <c r="T40" s="196"/>
      <c r="U40" s="196"/>
      <c r="V40" s="196"/>
      <c r="W40" s="196"/>
      <c r="X40" s="196"/>
      <c r="Y40" s="196"/>
      <c r="Z40" s="196"/>
    </row>
    <row r="41" spans="1:26" s="200" customFormat="1" ht="18.399999999999999" customHeight="1">
      <c r="A41" s="600"/>
      <c r="B41" s="601"/>
      <c r="C41" s="601"/>
      <c r="D41" s="601"/>
      <c r="E41" s="602"/>
      <c r="F41" s="313"/>
      <c r="G41" s="316" t="s">
        <v>391</v>
      </c>
      <c r="H41" s="316"/>
      <c r="I41" s="316"/>
      <c r="J41" s="316"/>
      <c r="K41" s="317"/>
      <c r="L41" s="318"/>
      <c r="M41" s="669" t="s">
        <v>723</v>
      </c>
      <c r="N41" s="288"/>
      <c r="O41" s="288"/>
      <c r="P41" s="288"/>
      <c r="Q41" s="288"/>
      <c r="R41" s="196"/>
      <c r="S41" s="196"/>
      <c r="T41" s="196"/>
      <c r="U41" s="196"/>
      <c r="V41" s="196"/>
      <c r="W41" s="196"/>
      <c r="X41" s="196"/>
      <c r="Y41" s="196"/>
      <c r="Z41" s="196"/>
    </row>
    <row r="42" spans="1:26" s="200" customFormat="1" ht="18.399999999999999" customHeight="1">
      <c r="A42" s="600"/>
      <c r="B42" s="601"/>
      <c r="C42" s="601"/>
      <c r="D42" s="601"/>
      <c r="E42" s="602"/>
      <c r="F42" s="313"/>
      <c r="G42" s="316" t="s">
        <v>392</v>
      </c>
      <c r="H42" s="316"/>
      <c r="I42" s="316"/>
      <c r="J42" s="316"/>
      <c r="K42" s="317"/>
      <c r="L42" s="196"/>
      <c r="M42" s="288"/>
      <c r="N42" s="288"/>
      <c r="O42" s="288"/>
      <c r="P42" s="288"/>
      <c r="Q42" s="288"/>
      <c r="R42" s="196"/>
      <c r="S42" s="196"/>
      <c r="T42" s="196"/>
      <c r="U42" s="196"/>
      <c r="V42" s="196"/>
      <c r="W42" s="196"/>
      <c r="X42" s="196"/>
      <c r="Y42" s="196"/>
      <c r="Z42" s="196"/>
    </row>
    <row r="43" spans="1:26" s="200" customFormat="1" ht="18.399999999999999" customHeight="1">
      <c r="A43" s="600"/>
      <c r="B43" s="601"/>
      <c r="C43" s="601"/>
      <c r="D43" s="601"/>
      <c r="E43" s="602"/>
      <c r="F43" s="313"/>
      <c r="G43" s="316" t="s">
        <v>393</v>
      </c>
      <c r="H43" s="316"/>
      <c r="I43" s="316"/>
      <c r="J43" s="316"/>
      <c r="K43" s="317"/>
      <c r="L43" s="196"/>
      <c r="M43" s="288"/>
      <c r="N43" s="288"/>
      <c r="O43" s="288"/>
      <c r="P43" s="288"/>
      <c r="Q43" s="288"/>
      <c r="R43" s="196"/>
      <c r="S43" s="196"/>
      <c r="T43" s="196"/>
      <c r="U43" s="196"/>
      <c r="V43" s="196"/>
      <c r="W43" s="196"/>
      <c r="X43" s="196"/>
      <c r="Y43" s="196"/>
      <c r="Z43" s="196"/>
    </row>
    <row r="44" spans="1:26" s="200" customFormat="1" ht="17.100000000000001" customHeight="1" thickBot="1">
      <c r="A44" s="607"/>
      <c r="B44" s="608"/>
      <c r="C44" s="608"/>
      <c r="D44" s="608"/>
      <c r="E44" s="609"/>
      <c r="F44" s="313"/>
      <c r="G44" s="327" t="s">
        <v>394</v>
      </c>
      <c r="H44" s="316"/>
      <c r="I44" s="316"/>
      <c r="J44" s="316"/>
      <c r="K44" s="317"/>
      <c r="L44" s="196"/>
      <c r="M44" s="288"/>
      <c r="N44" s="288"/>
      <c r="O44" s="288"/>
      <c r="P44" s="288"/>
      <c r="Q44" s="288"/>
      <c r="R44" s="196"/>
      <c r="S44" s="196"/>
      <c r="T44" s="196"/>
      <c r="U44" s="196"/>
      <c r="V44" s="196"/>
      <c r="W44" s="196"/>
      <c r="X44" s="196"/>
      <c r="Y44" s="196"/>
      <c r="Z44" s="196"/>
    </row>
    <row r="45" spans="1:26" s="200" customFormat="1" ht="17.100000000000001" customHeight="1">
      <c r="A45" s="319" t="s">
        <v>350</v>
      </c>
      <c r="B45" s="610"/>
      <c r="C45" s="611"/>
      <c r="D45" s="320" t="s">
        <v>351</v>
      </c>
      <c r="E45" s="369" t="s">
        <v>398</v>
      </c>
      <c r="F45" s="321"/>
      <c r="G45" s="367" t="s">
        <v>395</v>
      </c>
      <c r="H45" s="316"/>
      <c r="I45" s="316"/>
      <c r="J45" s="316"/>
      <c r="K45" s="317"/>
      <c r="L45" s="196"/>
      <c r="M45" s="288"/>
      <c r="N45" s="288"/>
      <c r="O45" s="288"/>
      <c r="P45" s="288"/>
      <c r="Q45" s="288"/>
      <c r="R45" s="196"/>
      <c r="S45" s="196"/>
      <c r="T45" s="196"/>
      <c r="U45" s="196"/>
      <c r="V45" s="196"/>
      <c r="W45" s="196"/>
      <c r="X45" s="196"/>
      <c r="Y45" s="196"/>
      <c r="Z45" s="196"/>
    </row>
    <row r="46" spans="1:26" s="200" customFormat="1" ht="17.100000000000001" customHeight="1" thickBot="1">
      <c r="A46" s="322" t="s">
        <v>352</v>
      </c>
      <c r="B46" s="598"/>
      <c r="C46" s="599"/>
      <c r="D46" s="323" t="s">
        <v>352</v>
      </c>
      <c r="E46" s="370">
        <v>37707</v>
      </c>
      <c r="F46" s="324"/>
      <c r="G46" s="368" t="s">
        <v>396</v>
      </c>
      <c r="H46" s="325"/>
      <c r="I46" s="325"/>
      <c r="J46" s="325"/>
      <c r="K46" s="326"/>
      <c r="L46" s="196"/>
      <c r="M46" s="288"/>
      <c r="N46" s="288"/>
      <c r="O46" s="288"/>
      <c r="P46" s="288"/>
      <c r="Q46" s="288"/>
      <c r="R46" s="196"/>
      <c r="S46" s="196"/>
      <c r="T46" s="196"/>
      <c r="U46" s="196"/>
      <c r="V46" s="196"/>
      <c r="W46" s="196"/>
      <c r="X46" s="196"/>
      <c r="Y46" s="196"/>
      <c r="Z46" s="196"/>
    </row>
    <row r="47" spans="1:26" s="200" customFormat="1" ht="17.100000000000001" customHeight="1">
      <c r="F47" s="327"/>
      <c r="G47" s="196" t="s">
        <v>722</v>
      </c>
      <c r="H47" s="196"/>
      <c r="I47" s="196"/>
      <c r="J47" s="196"/>
      <c r="K47" s="196"/>
      <c r="L47" s="196"/>
      <c r="M47" s="196"/>
      <c r="N47" s="196"/>
      <c r="O47" s="196"/>
      <c r="P47" s="196"/>
      <c r="Q47" s="196"/>
      <c r="R47" s="196"/>
      <c r="S47" s="196"/>
      <c r="T47" s="196"/>
      <c r="U47" s="196"/>
    </row>
    <row r="48" spans="1:26" s="200" customFormat="1" ht="17.100000000000001" customHeight="1">
      <c r="F48" s="196"/>
      <c r="G48" s="196"/>
      <c r="H48" s="196"/>
      <c r="I48" s="196"/>
      <c r="J48" s="196"/>
      <c r="K48" s="196"/>
    </row>
    <row r="49" spans="2:26" ht="17.100000000000001" customHeight="1">
      <c r="F49" s="186"/>
      <c r="G49" s="186"/>
      <c r="H49" s="186"/>
      <c r="I49" s="186"/>
      <c r="J49" s="186"/>
      <c r="K49" s="186"/>
      <c r="L49" s="187"/>
      <c r="M49" s="187"/>
      <c r="N49" s="187"/>
      <c r="O49" s="187"/>
      <c r="P49" s="187"/>
      <c r="Q49" s="187"/>
      <c r="R49" s="187"/>
      <c r="S49" s="187"/>
      <c r="T49" s="187"/>
      <c r="U49" s="187"/>
      <c r="V49" s="187"/>
      <c r="W49" s="187"/>
      <c r="X49" s="187"/>
      <c r="Y49" s="187"/>
      <c r="Z49" s="187"/>
    </row>
    <row r="50" spans="2:26">
      <c r="F50" s="186"/>
      <c r="G50" s="186"/>
      <c r="H50" s="186"/>
      <c r="I50" s="186"/>
      <c r="J50" s="186"/>
      <c r="K50" s="186"/>
      <c r="L50" s="187"/>
      <c r="M50" s="187"/>
      <c r="N50" s="187"/>
      <c r="O50" s="187"/>
      <c r="P50" s="187"/>
      <c r="Q50" s="187"/>
      <c r="R50" s="187"/>
      <c r="S50" s="187"/>
      <c r="T50" s="187"/>
      <c r="U50" s="187"/>
      <c r="V50" s="187"/>
      <c r="W50" s="187"/>
      <c r="X50" s="187"/>
      <c r="Y50" s="187"/>
      <c r="Z50" s="187"/>
    </row>
    <row r="51" spans="2:26">
      <c r="F51" s="186"/>
      <c r="G51" s="186"/>
      <c r="H51" s="186"/>
      <c r="I51" s="186"/>
      <c r="J51" s="186"/>
      <c r="K51" s="186"/>
      <c r="L51" s="187"/>
      <c r="M51" s="187"/>
      <c r="N51" s="187"/>
      <c r="O51" s="187"/>
      <c r="P51" s="187"/>
      <c r="Q51" s="187"/>
      <c r="R51" s="187"/>
      <c r="S51" s="187"/>
      <c r="T51" s="187"/>
      <c r="U51" s="187"/>
      <c r="V51" s="187"/>
      <c r="W51" s="187"/>
      <c r="X51" s="187"/>
      <c r="Y51" s="187"/>
      <c r="Z51" s="187"/>
    </row>
    <row r="52" spans="2:26">
      <c r="B52" s="186"/>
      <c r="C52" s="186"/>
      <c r="D52" s="186"/>
      <c r="E52" s="186"/>
      <c r="F52" s="186"/>
      <c r="G52" s="186"/>
      <c r="H52" s="186"/>
      <c r="I52" s="186"/>
      <c r="J52" s="186"/>
      <c r="K52" s="186"/>
      <c r="Q52" s="187"/>
      <c r="R52" s="187"/>
      <c r="S52" s="187"/>
      <c r="T52" s="187"/>
      <c r="U52" s="187"/>
      <c r="V52" s="187"/>
      <c r="W52" s="187"/>
      <c r="X52" s="187"/>
      <c r="Y52" s="187"/>
      <c r="Z52" s="187"/>
    </row>
    <row r="53" spans="2:26">
      <c r="F53" s="186"/>
      <c r="G53" s="186"/>
      <c r="H53" s="186"/>
      <c r="I53" s="186"/>
      <c r="J53" s="186"/>
      <c r="K53" s="186"/>
      <c r="Q53" s="187"/>
      <c r="R53" s="187"/>
      <c r="S53" s="187"/>
      <c r="T53" s="187"/>
      <c r="U53" s="187"/>
      <c r="V53" s="187"/>
      <c r="W53" s="187"/>
      <c r="X53" s="187"/>
      <c r="Y53" s="187"/>
      <c r="Z53" s="187"/>
    </row>
  </sheetData>
  <mergeCells count="49">
    <mergeCell ref="A27:E27"/>
    <mergeCell ref="F27:K27"/>
    <mergeCell ref="B46:C46"/>
    <mergeCell ref="A28:E32"/>
    <mergeCell ref="A33:E33"/>
    <mergeCell ref="A34:E38"/>
    <mergeCell ref="A39:E39"/>
    <mergeCell ref="A40:E44"/>
    <mergeCell ref="B45:C45"/>
    <mergeCell ref="A16:C16"/>
    <mergeCell ref="D16:E16"/>
    <mergeCell ref="D17:E17"/>
    <mergeCell ref="F17:K17"/>
    <mergeCell ref="D18:E18"/>
    <mergeCell ref="F18:G26"/>
    <mergeCell ref="A19:C19"/>
    <mergeCell ref="D19:E19"/>
    <mergeCell ref="D20:E20"/>
    <mergeCell ref="A21:C21"/>
    <mergeCell ref="D21:E21"/>
    <mergeCell ref="D22:E22"/>
    <mergeCell ref="D23:E23"/>
    <mergeCell ref="D24:E24"/>
    <mergeCell ref="H26:I26"/>
    <mergeCell ref="A13:C13"/>
    <mergeCell ref="D13:E13"/>
    <mergeCell ref="A14:C14"/>
    <mergeCell ref="D14:E14"/>
    <mergeCell ref="A15:C15"/>
    <mergeCell ref="D15:E15"/>
    <mergeCell ref="F12:K12"/>
    <mergeCell ref="A7:C7"/>
    <mergeCell ref="D7:E7"/>
    <mergeCell ref="A8:C8"/>
    <mergeCell ref="D8:E8"/>
    <mergeCell ref="A9:C9"/>
    <mergeCell ref="D9:E9"/>
    <mergeCell ref="A10:C10"/>
    <mergeCell ref="D10:E10"/>
    <mergeCell ref="A11:C11"/>
    <mergeCell ref="D11:E11"/>
    <mergeCell ref="D12:E12"/>
    <mergeCell ref="A1:K1"/>
    <mergeCell ref="A2:K2"/>
    <mergeCell ref="J3:K3"/>
    <mergeCell ref="A5:C5"/>
    <mergeCell ref="A6:C6"/>
    <mergeCell ref="D6:E6"/>
    <mergeCell ref="F6:K6"/>
  </mergeCells>
  <dataValidations count="3">
    <dataValidation type="list" allowBlank="1" showErrorMessage="1" error="Choose from list!" sqref="D21" xr:uid="{00000000-0002-0000-0100-000000000000}">
      <formula1>$Q$22:$Q$24</formula1>
    </dataValidation>
    <dataValidation type="list" allowBlank="1" showInputMessage="1" errorTitle="Hold on!" error="Enter a valid motor type!" prompt="Motor Type  Select one from the list or input name" sqref="K4" xr:uid="{00000000-0002-0000-0100-000001000000}">
      <formula1>$Q$5:$Q$12</formula1>
    </dataValidation>
    <dataValidation type="list" allowBlank="1" showInputMessage="1" sqref="D6:E6" xr:uid="{00000000-0002-0000-0100-000002000000}">
      <formula1>$T$5:$T$10</formula1>
    </dataValidation>
  </dataValidations>
  <printOptions horizontalCentered="1" verticalCentered="1"/>
  <pageMargins left="0.25" right="0.25" top="0.5" bottom="0.5" header="0.5" footer="0.5"/>
  <pageSetup scale="82" orientation="portrait" blackAndWhite="1" horizontalDpi="300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N79"/>
  <sheetViews>
    <sheetView zoomScale="75" zoomScaleNormal="75" workbookViewId="0">
      <selection activeCell="K4" sqref="K4"/>
    </sheetView>
  </sheetViews>
  <sheetFormatPr defaultColWidth="9.140625" defaultRowHeight="12.75"/>
  <cols>
    <col min="1" max="1" width="9.140625" style="333" customWidth="1"/>
    <col min="2" max="2" width="18.140625" style="333" customWidth="1"/>
    <col min="3" max="3" width="21.5703125" style="333" customWidth="1"/>
    <col min="4" max="4" width="21.28515625" style="333" bestFit="1" customWidth="1"/>
    <col min="5" max="5" width="6.85546875" style="333" bestFit="1" customWidth="1"/>
    <col min="6" max="6" width="29.85546875" style="333" customWidth="1"/>
    <col min="7" max="7" width="43.7109375" style="333" customWidth="1"/>
    <col min="8" max="8" width="17.140625" style="333" customWidth="1"/>
    <col min="9" max="9" width="7.85546875" style="333" customWidth="1"/>
    <col min="10" max="10" width="2.28515625" style="333" bestFit="1" customWidth="1"/>
    <col min="11" max="12" width="2.28515625" style="333" customWidth="1"/>
    <col min="13" max="13" width="2.5703125" style="333" bestFit="1" customWidth="1"/>
    <col min="14" max="14" width="2.28515625" style="333" bestFit="1" customWidth="1"/>
    <col min="15" max="16384" width="9.140625" style="333"/>
  </cols>
  <sheetData>
    <row r="1" spans="2:14" ht="12.75" customHeight="1">
      <c r="B1" s="328"/>
      <c r="C1" s="329"/>
      <c r="D1" s="329"/>
      <c r="E1" s="329"/>
      <c r="F1" s="329"/>
      <c r="G1" s="329"/>
      <c r="H1" s="330"/>
      <c r="I1" s="331"/>
      <c r="J1" s="332" t="s">
        <v>353</v>
      </c>
      <c r="K1" s="332" t="s">
        <v>354</v>
      </c>
      <c r="L1" s="332" t="s">
        <v>355</v>
      </c>
      <c r="M1" s="332" t="s">
        <v>354</v>
      </c>
      <c r="N1" s="332"/>
    </row>
    <row r="2" spans="2:14" ht="12.75" customHeight="1">
      <c r="B2" s="620" t="s">
        <v>356</v>
      </c>
      <c r="C2" s="621"/>
      <c r="D2" s="621"/>
      <c r="E2" s="621"/>
      <c r="F2" s="621"/>
      <c r="G2" s="621"/>
      <c r="H2" s="334"/>
      <c r="I2" s="335"/>
      <c r="J2" s="336" t="s">
        <v>357</v>
      </c>
      <c r="K2" s="336" t="s">
        <v>358</v>
      </c>
      <c r="L2" s="336" t="s">
        <v>359</v>
      </c>
      <c r="M2" s="336" t="s">
        <v>360</v>
      </c>
      <c r="N2" s="336" t="s">
        <v>361</v>
      </c>
    </row>
    <row r="3" spans="2:14" ht="12.75" customHeight="1">
      <c r="B3" s="620"/>
      <c r="C3" s="621"/>
      <c r="D3" s="621"/>
      <c r="E3" s="621"/>
      <c r="F3" s="621"/>
      <c r="G3" s="621"/>
      <c r="H3" s="334"/>
      <c r="I3" s="335"/>
      <c r="J3" s="336" t="s">
        <v>362</v>
      </c>
      <c r="K3" s="336"/>
      <c r="L3" s="336" t="s">
        <v>363</v>
      </c>
      <c r="M3" s="336" t="s">
        <v>353</v>
      </c>
      <c r="N3" s="336"/>
    </row>
    <row r="4" spans="2:14" ht="12.75" customHeight="1">
      <c r="B4" s="620"/>
      <c r="C4" s="621"/>
      <c r="D4" s="621"/>
      <c r="E4" s="621"/>
      <c r="F4" s="621"/>
      <c r="G4" s="621"/>
      <c r="H4" s="334"/>
      <c r="I4" s="335"/>
      <c r="J4" s="336" t="s">
        <v>364</v>
      </c>
      <c r="K4" s="336"/>
      <c r="L4" s="336" t="s">
        <v>359</v>
      </c>
      <c r="M4" s="336" t="s">
        <v>357</v>
      </c>
      <c r="N4" s="336"/>
    </row>
    <row r="5" spans="2:14" ht="12.75" customHeight="1">
      <c r="B5" s="337"/>
      <c r="C5" s="338"/>
      <c r="D5" s="338"/>
      <c r="E5" s="338"/>
      <c r="F5" s="338"/>
      <c r="G5" s="338"/>
      <c r="H5" s="334"/>
      <c r="I5" s="335"/>
      <c r="J5" s="336"/>
      <c r="K5" s="336" t="s">
        <v>365</v>
      </c>
      <c r="L5" s="336" t="s">
        <v>354</v>
      </c>
      <c r="M5" s="336"/>
      <c r="N5" s="336" t="s">
        <v>359</v>
      </c>
    </row>
    <row r="6" spans="2:14" ht="12" customHeight="1">
      <c r="B6" s="339"/>
      <c r="C6" s="340"/>
      <c r="D6" s="340"/>
      <c r="F6" s="340"/>
      <c r="H6" s="341"/>
      <c r="I6" s="335"/>
      <c r="J6" s="336" t="s">
        <v>358</v>
      </c>
      <c r="K6" s="336" t="s">
        <v>366</v>
      </c>
      <c r="L6" s="336"/>
      <c r="M6" s="336" t="s">
        <v>354</v>
      </c>
      <c r="N6" s="336" t="s">
        <v>367</v>
      </c>
    </row>
    <row r="7" spans="2:14" ht="12.75" customHeight="1">
      <c r="B7" s="339"/>
      <c r="D7" s="342"/>
      <c r="H7" s="341"/>
      <c r="I7" s="335"/>
      <c r="J7" s="336" t="s">
        <v>183</v>
      </c>
      <c r="K7" s="336" t="s">
        <v>362</v>
      </c>
      <c r="L7" s="336" t="s">
        <v>362</v>
      </c>
      <c r="M7" s="336" t="s">
        <v>357</v>
      </c>
      <c r="N7" s="336" t="s">
        <v>368</v>
      </c>
    </row>
    <row r="8" spans="2:14" ht="12.75" customHeight="1">
      <c r="B8" s="339"/>
      <c r="G8" s="342"/>
      <c r="H8" s="343"/>
      <c r="I8" s="336" t="s">
        <v>368</v>
      </c>
      <c r="J8" s="336" t="s">
        <v>354</v>
      </c>
      <c r="K8" s="336" t="s">
        <v>369</v>
      </c>
      <c r="L8" s="336" t="s">
        <v>357</v>
      </c>
      <c r="M8" s="336" t="s">
        <v>368</v>
      </c>
      <c r="N8" s="336" t="s">
        <v>366</v>
      </c>
    </row>
    <row r="9" spans="2:14">
      <c r="B9" s="336" t="s">
        <v>370</v>
      </c>
      <c r="C9" s="343" t="s">
        <v>371</v>
      </c>
      <c r="D9" s="343" t="s">
        <v>372</v>
      </c>
      <c r="E9" s="343" t="s">
        <v>373</v>
      </c>
      <c r="F9" s="336" t="s">
        <v>374</v>
      </c>
      <c r="G9" s="336" t="s">
        <v>375</v>
      </c>
      <c r="H9" s="336" t="s">
        <v>376</v>
      </c>
      <c r="I9" s="336" t="s">
        <v>364</v>
      </c>
      <c r="J9" s="336" t="s">
        <v>183</v>
      </c>
      <c r="K9" s="336" t="s">
        <v>357</v>
      </c>
      <c r="L9" s="336" t="s">
        <v>369</v>
      </c>
      <c r="M9" s="336" t="s">
        <v>354</v>
      </c>
      <c r="N9" s="336" t="s">
        <v>355</v>
      </c>
    </row>
    <row r="10" spans="2:14" ht="15" customHeight="1">
      <c r="B10" s="344"/>
      <c r="C10" s="345"/>
      <c r="D10" s="345"/>
      <c r="E10" s="345"/>
      <c r="F10" s="346"/>
      <c r="G10" s="347"/>
      <c r="H10" s="347"/>
      <c r="I10" s="348"/>
      <c r="J10" s="349"/>
      <c r="K10" s="349"/>
      <c r="L10" s="349"/>
      <c r="M10" s="349"/>
      <c r="N10" s="350"/>
    </row>
    <row r="11" spans="2:14" ht="15" customHeight="1">
      <c r="B11" s="344"/>
      <c r="C11" s="346"/>
      <c r="D11" s="346"/>
      <c r="E11" s="346"/>
      <c r="F11" s="346"/>
      <c r="G11" s="346"/>
      <c r="H11" s="346"/>
      <c r="I11" s="351"/>
      <c r="J11" s="349"/>
      <c r="K11" s="349"/>
      <c r="L11" s="349"/>
      <c r="M11" s="349"/>
      <c r="N11" s="350"/>
    </row>
    <row r="12" spans="2:14" ht="15" customHeight="1">
      <c r="B12" s="344"/>
      <c r="C12" s="346"/>
      <c r="D12" s="346"/>
      <c r="E12" s="346"/>
      <c r="F12" s="346"/>
      <c r="G12" s="346"/>
      <c r="H12" s="346"/>
      <c r="I12" s="351"/>
      <c r="J12" s="352"/>
      <c r="K12" s="349"/>
      <c r="L12" s="349"/>
      <c r="M12" s="349"/>
      <c r="N12" s="350"/>
    </row>
    <row r="13" spans="2:14" ht="15" customHeight="1">
      <c r="B13" s="344"/>
      <c r="C13" s="346"/>
      <c r="D13" s="346"/>
      <c r="E13" s="346"/>
      <c r="F13" s="346"/>
      <c r="G13" s="346"/>
      <c r="H13" s="346"/>
      <c r="I13" s="351"/>
      <c r="J13" s="349"/>
      <c r="K13" s="349"/>
      <c r="L13" s="349"/>
      <c r="M13" s="349"/>
      <c r="N13" s="350"/>
    </row>
    <row r="14" spans="2:14" ht="15" customHeight="1">
      <c r="B14" s="344"/>
      <c r="C14" s="346"/>
      <c r="D14" s="346"/>
      <c r="E14" s="346"/>
      <c r="F14" s="346"/>
      <c r="G14" s="346"/>
      <c r="H14" s="346"/>
      <c r="I14" s="351"/>
      <c r="J14" s="349"/>
      <c r="K14" s="349"/>
      <c r="L14" s="349"/>
      <c r="M14" s="349"/>
      <c r="N14" s="350"/>
    </row>
    <row r="15" spans="2:14" ht="15" customHeight="1">
      <c r="B15" s="344"/>
      <c r="C15" s="346"/>
      <c r="D15" s="346"/>
      <c r="E15" s="346"/>
      <c r="F15" s="346"/>
      <c r="G15" s="346"/>
      <c r="H15" s="346"/>
      <c r="I15" s="351"/>
      <c r="J15" s="349"/>
      <c r="K15" s="349"/>
      <c r="L15" s="349"/>
      <c r="M15" s="349"/>
      <c r="N15" s="350"/>
    </row>
    <row r="16" spans="2:14" ht="15" customHeight="1">
      <c r="B16" s="344"/>
      <c r="C16" s="346"/>
      <c r="D16" s="346"/>
      <c r="E16" s="346"/>
      <c r="F16" s="346"/>
      <c r="G16" s="346"/>
      <c r="H16" s="346"/>
      <c r="I16" s="351"/>
      <c r="J16" s="349"/>
      <c r="K16" s="349"/>
      <c r="L16" s="349"/>
      <c r="M16" s="349"/>
      <c r="N16" s="350"/>
    </row>
    <row r="17" spans="2:14" ht="15" customHeight="1">
      <c r="B17" s="344"/>
      <c r="C17" s="346"/>
      <c r="D17" s="346"/>
      <c r="E17" s="346"/>
      <c r="F17" s="346"/>
      <c r="G17" s="346"/>
      <c r="H17" s="346"/>
      <c r="I17" s="351"/>
      <c r="J17" s="349"/>
      <c r="K17" s="349"/>
      <c r="L17" s="349"/>
      <c r="M17" s="349"/>
      <c r="N17" s="350"/>
    </row>
    <row r="18" spans="2:14" ht="15" customHeight="1">
      <c r="B18" s="344"/>
      <c r="C18" s="346"/>
      <c r="D18" s="346"/>
      <c r="E18" s="346"/>
      <c r="F18" s="346"/>
      <c r="G18" s="346"/>
      <c r="H18" s="346"/>
      <c r="I18" s="351"/>
      <c r="J18" s="349"/>
      <c r="K18" s="349"/>
      <c r="L18" s="349"/>
      <c r="M18" s="349"/>
      <c r="N18" s="350"/>
    </row>
    <row r="19" spans="2:14" ht="15" customHeight="1">
      <c r="B19" s="344"/>
      <c r="C19" s="346"/>
      <c r="D19" s="346"/>
      <c r="E19" s="346"/>
      <c r="F19" s="346"/>
      <c r="G19" s="346"/>
      <c r="H19" s="346"/>
      <c r="I19" s="351"/>
      <c r="J19" s="349"/>
      <c r="K19" s="349"/>
      <c r="L19" s="349"/>
      <c r="M19" s="349"/>
      <c r="N19" s="350"/>
    </row>
    <row r="20" spans="2:14" ht="15" customHeight="1">
      <c r="B20" s="344"/>
      <c r="C20" s="346"/>
      <c r="D20" s="346"/>
      <c r="E20" s="346"/>
      <c r="F20" s="346"/>
      <c r="G20" s="346"/>
      <c r="H20" s="346"/>
      <c r="I20" s="351"/>
      <c r="J20" s="349"/>
      <c r="K20" s="349"/>
      <c r="L20" s="349"/>
      <c r="M20" s="349"/>
      <c r="N20" s="350"/>
    </row>
    <row r="21" spans="2:14" ht="15" customHeight="1">
      <c r="B21" s="344"/>
      <c r="C21" s="346"/>
      <c r="D21" s="346"/>
      <c r="E21" s="346"/>
      <c r="F21" s="346"/>
      <c r="G21" s="346"/>
      <c r="H21" s="346"/>
      <c r="I21" s="351"/>
      <c r="J21" s="349"/>
      <c r="K21" s="349"/>
      <c r="L21" s="349"/>
      <c r="M21" s="349"/>
      <c r="N21" s="350"/>
    </row>
    <row r="22" spans="2:14" ht="15" customHeight="1">
      <c r="B22" s="344"/>
      <c r="C22" s="346"/>
      <c r="D22" s="346"/>
      <c r="E22" s="346"/>
      <c r="F22" s="346"/>
      <c r="G22" s="346"/>
      <c r="H22" s="346"/>
      <c r="I22" s="351"/>
      <c r="J22" s="349"/>
      <c r="K22" s="349"/>
      <c r="L22" s="349"/>
      <c r="M22" s="349"/>
      <c r="N22" s="350"/>
    </row>
    <row r="23" spans="2:14" ht="15" customHeight="1">
      <c r="B23" s="344"/>
      <c r="C23" s="346"/>
      <c r="D23" s="346"/>
      <c r="E23" s="346"/>
      <c r="F23" s="346"/>
      <c r="G23" s="346"/>
      <c r="H23" s="346"/>
      <c r="I23" s="351"/>
      <c r="J23" s="349"/>
      <c r="K23" s="349"/>
      <c r="L23" s="349"/>
      <c r="M23" s="349"/>
      <c r="N23" s="350"/>
    </row>
    <row r="24" spans="2:14" ht="15" customHeight="1">
      <c r="B24" s="344"/>
      <c r="C24" s="346"/>
      <c r="D24" s="346"/>
      <c r="E24" s="346"/>
      <c r="F24" s="346"/>
      <c r="G24" s="346"/>
      <c r="H24" s="346"/>
      <c r="I24" s="351"/>
      <c r="J24" s="349"/>
      <c r="K24" s="349"/>
      <c r="L24" s="349"/>
      <c r="M24" s="349"/>
      <c r="N24" s="350"/>
    </row>
    <row r="25" spans="2:14" ht="15" customHeight="1">
      <c r="B25" s="344"/>
      <c r="C25" s="346"/>
      <c r="D25" s="346"/>
      <c r="E25" s="346"/>
      <c r="F25" s="346"/>
      <c r="G25" s="346"/>
      <c r="H25" s="346"/>
      <c r="I25" s="351"/>
      <c r="J25" s="349"/>
      <c r="K25" s="349"/>
      <c r="L25" s="349"/>
      <c r="M25" s="349"/>
      <c r="N25" s="350"/>
    </row>
    <row r="26" spans="2:14" ht="15" customHeight="1">
      <c r="B26" s="344"/>
      <c r="C26" s="346"/>
      <c r="D26" s="346"/>
      <c r="E26" s="346"/>
      <c r="F26" s="346"/>
      <c r="G26" s="346"/>
      <c r="H26" s="346"/>
      <c r="I26" s="351"/>
      <c r="J26" s="349"/>
      <c r="K26" s="349"/>
      <c r="L26" s="349"/>
      <c r="M26" s="349"/>
      <c r="N26" s="350"/>
    </row>
    <row r="27" spans="2:14" ht="15" customHeight="1">
      <c r="B27" s="344"/>
      <c r="C27" s="346"/>
      <c r="D27" s="346"/>
      <c r="E27" s="346"/>
      <c r="F27" s="346"/>
      <c r="G27" s="346"/>
      <c r="H27" s="346"/>
      <c r="I27" s="351"/>
      <c r="J27" s="349"/>
      <c r="K27" s="349"/>
      <c r="L27" s="349"/>
      <c r="M27" s="349"/>
      <c r="N27" s="350"/>
    </row>
    <row r="28" spans="2:14" ht="15" customHeight="1">
      <c r="B28" s="344"/>
      <c r="C28" s="346"/>
      <c r="D28" s="346"/>
      <c r="E28" s="346"/>
      <c r="F28" s="346"/>
      <c r="G28" s="346"/>
      <c r="H28" s="346"/>
      <c r="I28" s="351"/>
      <c r="J28" s="349"/>
      <c r="K28" s="349"/>
      <c r="L28" s="349"/>
      <c r="M28" s="349"/>
      <c r="N28" s="350"/>
    </row>
    <row r="29" spans="2:14" ht="15" customHeight="1">
      <c r="B29" s="344"/>
      <c r="C29" s="346"/>
      <c r="D29" s="346"/>
      <c r="E29" s="346"/>
      <c r="F29" s="346"/>
      <c r="G29" s="346"/>
      <c r="H29" s="346"/>
      <c r="I29" s="351"/>
      <c r="J29" s="349"/>
      <c r="K29" s="349"/>
      <c r="L29" s="349"/>
      <c r="M29" s="349"/>
      <c r="N29" s="350"/>
    </row>
    <row r="30" spans="2:14" ht="15" customHeight="1">
      <c r="B30" s="344"/>
      <c r="C30" s="346"/>
      <c r="D30" s="346"/>
      <c r="E30" s="346"/>
      <c r="F30" s="346"/>
      <c r="G30" s="346"/>
      <c r="H30" s="346"/>
      <c r="I30" s="351"/>
      <c r="J30" s="349"/>
      <c r="K30" s="349"/>
      <c r="L30" s="349"/>
      <c r="M30" s="349"/>
      <c r="N30" s="350"/>
    </row>
    <row r="31" spans="2:14" ht="15" customHeight="1">
      <c r="B31" s="344"/>
      <c r="C31" s="346"/>
      <c r="D31" s="346"/>
      <c r="E31" s="346"/>
      <c r="F31" s="346"/>
      <c r="G31" s="346"/>
      <c r="H31" s="346"/>
      <c r="I31" s="351"/>
      <c r="J31" s="349"/>
      <c r="K31" s="349"/>
      <c r="L31" s="349"/>
      <c r="M31" s="349"/>
      <c r="N31" s="350"/>
    </row>
    <row r="32" spans="2:14" ht="15" customHeight="1">
      <c r="B32" s="344"/>
      <c r="C32" s="346"/>
      <c r="D32" s="346"/>
      <c r="E32" s="346"/>
      <c r="F32" s="346"/>
      <c r="G32" s="346"/>
      <c r="H32" s="346"/>
      <c r="I32" s="351"/>
      <c r="J32" s="349"/>
      <c r="K32" s="349"/>
      <c r="L32" s="349"/>
      <c r="M32" s="349"/>
      <c r="N32" s="350"/>
    </row>
    <row r="33" spans="2:14" ht="15" customHeight="1">
      <c r="B33" s="344"/>
      <c r="C33" s="346"/>
      <c r="D33" s="346"/>
      <c r="E33" s="346"/>
      <c r="F33" s="346"/>
      <c r="G33" s="346"/>
      <c r="H33" s="346"/>
      <c r="I33" s="351"/>
      <c r="J33" s="349"/>
      <c r="K33" s="349"/>
      <c r="L33" s="349"/>
      <c r="M33" s="349"/>
      <c r="N33" s="350"/>
    </row>
    <row r="34" spans="2:14" ht="15" customHeight="1">
      <c r="B34" s="344"/>
      <c r="C34" s="346"/>
      <c r="D34" s="346"/>
      <c r="E34" s="346"/>
      <c r="F34" s="346"/>
      <c r="G34" s="346"/>
      <c r="H34" s="346"/>
      <c r="I34" s="351"/>
      <c r="J34" s="349"/>
      <c r="K34" s="349"/>
      <c r="L34" s="349"/>
      <c r="M34" s="349"/>
      <c r="N34" s="350"/>
    </row>
    <row r="35" spans="2:14" ht="15" customHeight="1">
      <c r="B35" s="344"/>
      <c r="C35" s="346"/>
      <c r="D35" s="346"/>
      <c r="E35" s="346"/>
      <c r="F35" s="346"/>
      <c r="G35" s="346"/>
      <c r="H35" s="346"/>
      <c r="I35" s="351"/>
      <c r="J35" s="349"/>
      <c r="K35" s="349"/>
      <c r="L35" s="349"/>
      <c r="M35" s="349"/>
      <c r="N35" s="350"/>
    </row>
    <row r="36" spans="2:14" ht="15" customHeight="1">
      <c r="B36" s="344"/>
      <c r="C36" s="346"/>
      <c r="D36" s="346"/>
      <c r="E36" s="346"/>
      <c r="F36" s="346"/>
      <c r="G36" s="346"/>
      <c r="H36" s="346"/>
      <c r="I36" s="351"/>
      <c r="J36" s="349"/>
      <c r="K36" s="349"/>
      <c r="L36" s="349"/>
      <c r="M36" s="349"/>
      <c r="N36" s="350"/>
    </row>
    <row r="37" spans="2:14" ht="15" customHeight="1">
      <c r="B37" s="344"/>
      <c r="C37" s="346"/>
      <c r="D37" s="346"/>
      <c r="E37" s="346"/>
      <c r="F37" s="346"/>
      <c r="G37" s="346"/>
      <c r="H37" s="346"/>
      <c r="I37" s="351"/>
      <c r="J37" s="349"/>
      <c r="K37" s="349"/>
      <c r="L37" s="349"/>
      <c r="M37" s="349"/>
      <c r="N37" s="350"/>
    </row>
    <row r="38" spans="2:14" ht="15" customHeight="1">
      <c r="B38" s="344"/>
      <c r="C38" s="346"/>
      <c r="D38" s="346"/>
      <c r="E38" s="346"/>
      <c r="F38" s="346"/>
      <c r="G38" s="346"/>
      <c r="H38" s="346"/>
      <c r="I38" s="351"/>
      <c r="J38" s="349"/>
      <c r="K38" s="349"/>
      <c r="L38" s="349"/>
      <c r="M38" s="349"/>
      <c r="N38" s="350"/>
    </row>
    <row r="39" spans="2:14" ht="15" customHeight="1">
      <c r="B39" s="344"/>
      <c r="C39" s="346"/>
      <c r="D39" s="346"/>
      <c r="E39" s="346"/>
      <c r="F39" s="346"/>
      <c r="G39" s="346"/>
      <c r="H39" s="346"/>
      <c r="I39" s="351"/>
      <c r="J39" s="349"/>
      <c r="K39" s="349"/>
      <c r="L39" s="349"/>
      <c r="M39" s="349"/>
      <c r="N39" s="350"/>
    </row>
    <row r="40" spans="2:14" ht="15" customHeight="1">
      <c r="B40" s="344"/>
      <c r="C40" s="346"/>
      <c r="D40" s="346"/>
      <c r="E40" s="346"/>
      <c r="F40" s="346"/>
      <c r="G40" s="346"/>
      <c r="H40" s="346"/>
      <c r="I40" s="351"/>
      <c r="J40" s="349"/>
      <c r="K40" s="349"/>
      <c r="L40" s="349"/>
      <c r="M40" s="349"/>
      <c r="N40" s="350"/>
    </row>
    <row r="41" spans="2:14" ht="15" customHeight="1">
      <c r="B41" s="344"/>
      <c r="C41" s="346"/>
      <c r="D41" s="346"/>
      <c r="E41" s="346"/>
      <c r="F41" s="346"/>
      <c r="G41" s="346"/>
      <c r="H41" s="346"/>
      <c r="I41" s="351"/>
      <c r="J41" s="349"/>
      <c r="K41" s="349"/>
      <c r="L41" s="349"/>
      <c r="M41" s="349"/>
      <c r="N41" s="350"/>
    </row>
    <row r="42" spans="2:14" ht="15" customHeight="1">
      <c r="B42" s="344"/>
      <c r="C42" s="346"/>
      <c r="D42" s="346"/>
      <c r="E42" s="346"/>
      <c r="F42" s="346"/>
      <c r="G42" s="346"/>
      <c r="H42" s="346"/>
      <c r="I42" s="351"/>
      <c r="J42" s="349"/>
      <c r="K42" s="349"/>
      <c r="L42" s="349"/>
      <c r="M42" s="349"/>
      <c r="N42" s="350"/>
    </row>
    <row r="43" spans="2:14" ht="15" customHeight="1">
      <c r="B43" s="344"/>
      <c r="C43" s="346"/>
      <c r="D43" s="346"/>
      <c r="E43" s="346"/>
      <c r="F43" s="346"/>
      <c r="G43" s="346"/>
      <c r="H43" s="346"/>
      <c r="I43" s="351"/>
      <c r="J43" s="349"/>
      <c r="K43" s="349"/>
      <c r="L43" s="349"/>
      <c r="M43" s="349"/>
      <c r="N43" s="350"/>
    </row>
    <row r="44" spans="2:14" ht="15" customHeight="1">
      <c r="B44" s="344"/>
      <c r="C44" s="346"/>
      <c r="D44" s="346"/>
      <c r="E44" s="346"/>
      <c r="F44" s="346"/>
      <c r="G44" s="346"/>
      <c r="H44" s="346"/>
      <c r="I44" s="351"/>
      <c r="J44" s="349"/>
      <c r="K44" s="349"/>
      <c r="L44" s="349"/>
      <c r="M44" s="349"/>
      <c r="N44" s="350"/>
    </row>
    <row r="45" spans="2:14" ht="15" customHeight="1">
      <c r="B45" s="344"/>
      <c r="C45" s="346"/>
      <c r="D45" s="346"/>
      <c r="E45" s="346"/>
      <c r="F45" s="346"/>
      <c r="G45" s="346"/>
      <c r="H45" s="346"/>
      <c r="I45" s="351"/>
      <c r="J45" s="349"/>
      <c r="K45" s="349"/>
      <c r="L45" s="349"/>
      <c r="M45" s="349"/>
      <c r="N45" s="350"/>
    </row>
    <row r="46" spans="2:14" ht="15" customHeight="1">
      <c r="B46" s="344"/>
      <c r="C46" s="346"/>
      <c r="D46" s="346"/>
      <c r="E46" s="346"/>
      <c r="F46" s="346"/>
      <c r="G46" s="346"/>
      <c r="H46" s="346"/>
      <c r="I46" s="351"/>
      <c r="J46" s="349"/>
      <c r="K46" s="349"/>
      <c r="L46" s="349"/>
      <c r="M46" s="349"/>
      <c r="N46" s="350"/>
    </row>
    <row r="47" spans="2:14" ht="15" customHeight="1">
      <c r="B47" s="344"/>
      <c r="C47" s="346"/>
      <c r="D47" s="346"/>
      <c r="E47" s="346"/>
      <c r="F47" s="346"/>
      <c r="G47" s="346"/>
      <c r="H47" s="346"/>
      <c r="I47" s="351"/>
      <c r="J47" s="349"/>
      <c r="K47" s="349"/>
      <c r="L47" s="349"/>
      <c r="M47" s="349"/>
      <c r="N47" s="350"/>
    </row>
    <row r="48" spans="2:14" ht="15" customHeight="1">
      <c r="B48" s="344"/>
      <c r="C48" s="346"/>
      <c r="D48" s="346"/>
      <c r="E48" s="346"/>
      <c r="F48" s="346"/>
      <c r="G48" s="346"/>
      <c r="H48" s="346"/>
      <c r="I48" s="351"/>
      <c r="J48" s="349"/>
      <c r="K48" s="349"/>
      <c r="L48" s="349"/>
      <c r="M48" s="349"/>
      <c r="N48" s="350"/>
    </row>
    <row r="49" spans="2:14" ht="15" customHeight="1">
      <c r="B49" s="344"/>
      <c r="C49" s="346"/>
      <c r="D49" s="346"/>
      <c r="E49" s="346"/>
      <c r="F49" s="346"/>
      <c r="G49" s="346"/>
      <c r="H49" s="346"/>
      <c r="I49" s="351"/>
      <c r="J49" s="349"/>
      <c r="K49" s="349"/>
      <c r="L49" s="349"/>
      <c r="M49" s="349"/>
      <c r="N49" s="350"/>
    </row>
    <row r="50" spans="2:14" ht="15" customHeight="1">
      <c r="B50" s="344"/>
      <c r="C50" s="346"/>
      <c r="D50" s="346"/>
      <c r="E50" s="346"/>
      <c r="F50" s="346"/>
      <c r="G50" s="346"/>
      <c r="H50" s="346"/>
      <c r="I50" s="351"/>
      <c r="J50" s="349"/>
      <c r="K50" s="349"/>
      <c r="L50" s="349"/>
      <c r="M50" s="349"/>
      <c r="N50" s="350"/>
    </row>
    <row r="51" spans="2:14" ht="15" customHeight="1">
      <c r="B51" s="344"/>
      <c r="C51" s="346"/>
      <c r="D51" s="346"/>
      <c r="E51" s="346"/>
      <c r="F51" s="346"/>
      <c r="G51" s="346"/>
      <c r="H51" s="346"/>
      <c r="I51" s="351"/>
      <c r="J51" s="349"/>
      <c r="K51" s="349"/>
      <c r="L51" s="349"/>
      <c r="M51" s="349"/>
      <c r="N51" s="350"/>
    </row>
    <row r="52" spans="2:14" ht="15" customHeight="1" thickBot="1">
      <c r="B52" s="353"/>
      <c r="C52" s="354"/>
      <c r="D52" s="354"/>
      <c r="E52" s="354"/>
      <c r="F52" s="354"/>
      <c r="G52" s="354"/>
      <c r="H52" s="354"/>
      <c r="I52" s="355"/>
      <c r="J52" s="356"/>
      <c r="K52" s="356"/>
      <c r="L52" s="356"/>
      <c r="M52" s="356"/>
      <c r="N52" s="357"/>
    </row>
    <row r="53" spans="2:14" ht="20.25" customHeight="1" thickBot="1">
      <c r="B53" s="622" t="s">
        <v>377</v>
      </c>
      <c r="C53" s="622"/>
      <c r="D53" s="622"/>
      <c r="E53" s="622"/>
      <c r="F53" s="622"/>
      <c r="G53" s="622"/>
      <c r="H53" s="622"/>
      <c r="I53" s="622"/>
      <c r="J53" s="622"/>
      <c r="K53" s="622"/>
      <c r="L53" s="622"/>
      <c r="M53" s="622"/>
      <c r="N53" s="622"/>
    </row>
    <row r="54" spans="2:14" ht="15" customHeight="1" thickBot="1">
      <c r="B54" s="358" t="s">
        <v>378</v>
      </c>
      <c r="C54" s="623" t="s">
        <v>375</v>
      </c>
      <c r="D54" s="624"/>
      <c r="E54" s="624"/>
      <c r="F54" s="624"/>
      <c r="G54" s="624"/>
      <c r="H54" s="359"/>
      <c r="I54" s="623" t="s">
        <v>370</v>
      </c>
      <c r="J54" s="624"/>
      <c r="K54" s="625"/>
      <c r="L54" s="623" t="s">
        <v>379</v>
      </c>
      <c r="M54" s="624"/>
      <c r="N54" s="626"/>
    </row>
    <row r="55" spans="2:14" ht="15" customHeight="1">
      <c r="B55" s="360"/>
      <c r="C55" s="612"/>
      <c r="D55" s="613"/>
      <c r="E55" s="613"/>
      <c r="F55" s="613"/>
      <c r="G55" s="613"/>
      <c r="H55" s="361"/>
      <c r="I55" s="614"/>
      <c r="J55" s="615"/>
      <c r="K55" s="616"/>
      <c r="L55" s="617"/>
      <c r="M55" s="618"/>
      <c r="N55" s="619"/>
    </row>
    <row r="56" spans="2:14" ht="15" customHeight="1">
      <c r="B56" s="362"/>
      <c r="C56" s="627"/>
      <c r="D56" s="628"/>
      <c r="E56" s="628"/>
      <c r="F56" s="628"/>
      <c r="G56" s="628"/>
      <c r="H56" s="363"/>
      <c r="I56" s="629"/>
      <c r="J56" s="630"/>
      <c r="K56" s="631"/>
      <c r="L56" s="632"/>
      <c r="M56" s="633"/>
      <c r="N56" s="634"/>
    </row>
    <row r="57" spans="2:14" ht="15" customHeight="1">
      <c r="B57" s="362"/>
      <c r="C57" s="627"/>
      <c r="D57" s="628"/>
      <c r="E57" s="628"/>
      <c r="F57" s="628"/>
      <c r="G57" s="628"/>
      <c r="H57" s="363"/>
      <c r="I57" s="629"/>
      <c r="J57" s="630"/>
      <c r="K57" s="631"/>
      <c r="L57" s="632"/>
      <c r="M57" s="633"/>
      <c r="N57" s="634"/>
    </row>
    <row r="58" spans="2:14" ht="15" customHeight="1">
      <c r="B58" s="362"/>
      <c r="C58" s="627"/>
      <c r="D58" s="628"/>
      <c r="E58" s="628"/>
      <c r="F58" s="628"/>
      <c r="G58" s="628"/>
      <c r="H58" s="363"/>
      <c r="I58" s="629"/>
      <c r="J58" s="630"/>
      <c r="K58" s="631"/>
      <c r="L58" s="632"/>
      <c r="M58" s="633"/>
      <c r="N58" s="634"/>
    </row>
    <row r="59" spans="2:14" ht="15" customHeight="1">
      <c r="B59" s="362"/>
      <c r="C59" s="627"/>
      <c r="D59" s="628"/>
      <c r="E59" s="628"/>
      <c r="F59" s="628"/>
      <c r="G59" s="628"/>
      <c r="H59" s="363"/>
      <c r="I59" s="629"/>
      <c r="J59" s="630"/>
      <c r="K59" s="631"/>
      <c r="L59" s="632"/>
      <c r="M59" s="633"/>
      <c r="N59" s="634"/>
    </row>
    <row r="60" spans="2:14" ht="15" customHeight="1">
      <c r="B60" s="362"/>
      <c r="C60" s="627"/>
      <c r="D60" s="628"/>
      <c r="E60" s="628"/>
      <c r="F60" s="628"/>
      <c r="G60" s="628"/>
      <c r="H60" s="363"/>
      <c r="I60" s="629"/>
      <c r="J60" s="630"/>
      <c r="K60" s="631"/>
      <c r="L60" s="632"/>
      <c r="M60" s="633"/>
      <c r="N60" s="634"/>
    </row>
    <row r="61" spans="2:14" ht="15" customHeight="1">
      <c r="B61" s="362"/>
      <c r="C61" s="627"/>
      <c r="D61" s="628"/>
      <c r="E61" s="628"/>
      <c r="F61" s="628"/>
      <c r="G61" s="628"/>
      <c r="H61" s="363"/>
      <c r="I61" s="629"/>
      <c r="J61" s="630"/>
      <c r="K61" s="631"/>
      <c r="L61" s="632"/>
      <c r="M61" s="633"/>
      <c r="N61" s="634"/>
    </row>
    <row r="62" spans="2:14" ht="15" customHeight="1">
      <c r="B62" s="362"/>
      <c r="C62" s="627"/>
      <c r="D62" s="628"/>
      <c r="E62" s="628"/>
      <c r="F62" s="628"/>
      <c r="G62" s="628"/>
      <c r="H62" s="363"/>
      <c r="I62" s="629"/>
      <c r="J62" s="630"/>
      <c r="K62" s="631"/>
      <c r="L62" s="632"/>
      <c r="M62" s="633"/>
      <c r="N62" s="634"/>
    </row>
    <row r="63" spans="2:14" ht="15" customHeight="1">
      <c r="B63" s="362"/>
      <c r="C63" s="627"/>
      <c r="D63" s="628"/>
      <c r="E63" s="628"/>
      <c r="F63" s="628"/>
      <c r="G63" s="628"/>
      <c r="H63" s="363"/>
      <c r="I63" s="629"/>
      <c r="J63" s="630"/>
      <c r="K63" s="631"/>
      <c r="L63" s="632"/>
      <c r="M63" s="633"/>
      <c r="N63" s="634"/>
    </row>
    <row r="64" spans="2:14" ht="15" customHeight="1">
      <c r="B64" s="362"/>
      <c r="C64" s="627"/>
      <c r="D64" s="628"/>
      <c r="E64" s="628"/>
      <c r="F64" s="628"/>
      <c r="G64" s="628"/>
      <c r="H64" s="363"/>
      <c r="I64" s="629"/>
      <c r="J64" s="630"/>
      <c r="K64" s="631"/>
      <c r="L64" s="632"/>
      <c r="M64" s="633"/>
      <c r="N64" s="634"/>
    </row>
    <row r="65" spans="2:14" ht="15" customHeight="1">
      <c r="B65" s="362"/>
      <c r="C65" s="627"/>
      <c r="D65" s="628"/>
      <c r="E65" s="628"/>
      <c r="F65" s="628"/>
      <c r="G65" s="628"/>
      <c r="H65" s="363"/>
      <c r="I65" s="629"/>
      <c r="J65" s="630"/>
      <c r="K65" s="631"/>
      <c r="L65" s="632"/>
      <c r="M65" s="633"/>
      <c r="N65" s="634"/>
    </row>
    <row r="66" spans="2:14" ht="15" customHeight="1">
      <c r="B66" s="362"/>
      <c r="C66" s="627"/>
      <c r="D66" s="628"/>
      <c r="E66" s="628"/>
      <c r="F66" s="628"/>
      <c r="G66" s="628"/>
      <c r="H66" s="363"/>
      <c r="I66" s="629"/>
      <c r="J66" s="630"/>
      <c r="K66" s="631"/>
      <c r="L66" s="632"/>
      <c r="M66" s="633"/>
      <c r="N66" s="634"/>
    </row>
    <row r="67" spans="2:14" ht="15" customHeight="1">
      <c r="B67" s="362"/>
      <c r="C67" s="627"/>
      <c r="D67" s="628"/>
      <c r="E67" s="628"/>
      <c r="F67" s="628"/>
      <c r="G67" s="628"/>
      <c r="H67" s="363"/>
      <c r="I67" s="629"/>
      <c r="J67" s="630"/>
      <c r="K67" s="631"/>
      <c r="L67" s="632"/>
      <c r="M67" s="633"/>
      <c r="N67" s="634"/>
    </row>
    <row r="68" spans="2:14" ht="15" customHeight="1">
      <c r="B68" s="362"/>
      <c r="C68" s="627"/>
      <c r="D68" s="628"/>
      <c r="E68" s="628"/>
      <c r="F68" s="628"/>
      <c r="G68" s="628"/>
      <c r="H68" s="363"/>
      <c r="I68" s="629"/>
      <c r="J68" s="630"/>
      <c r="K68" s="631"/>
      <c r="L68" s="632"/>
      <c r="M68" s="633"/>
      <c r="N68" s="634"/>
    </row>
    <row r="69" spans="2:14" ht="15" customHeight="1">
      <c r="B69" s="362"/>
      <c r="C69" s="627"/>
      <c r="D69" s="628"/>
      <c r="E69" s="628"/>
      <c r="F69" s="628"/>
      <c r="G69" s="628"/>
      <c r="H69" s="363"/>
      <c r="I69" s="629"/>
      <c r="J69" s="630"/>
      <c r="K69" s="631"/>
      <c r="L69" s="632"/>
      <c r="M69" s="633"/>
      <c r="N69" s="634"/>
    </row>
    <row r="70" spans="2:14" ht="15" customHeight="1">
      <c r="B70" s="362"/>
      <c r="C70" s="627"/>
      <c r="D70" s="628"/>
      <c r="E70" s="628"/>
      <c r="F70" s="628"/>
      <c r="G70" s="628"/>
      <c r="H70" s="363"/>
      <c r="I70" s="629"/>
      <c r="J70" s="630"/>
      <c r="K70" s="631"/>
      <c r="L70" s="632"/>
      <c r="M70" s="633"/>
      <c r="N70" s="634"/>
    </row>
    <row r="71" spans="2:14" ht="15" customHeight="1">
      <c r="B71" s="362"/>
      <c r="C71" s="627"/>
      <c r="D71" s="628"/>
      <c r="E71" s="628"/>
      <c r="F71" s="628"/>
      <c r="G71" s="628"/>
      <c r="H71" s="363"/>
      <c r="I71" s="629"/>
      <c r="J71" s="630"/>
      <c r="K71" s="631"/>
      <c r="L71" s="632"/>
      <c r="M71" s="633"/>
      <c r="N71" s="634"/>
    </row>
    <row r="72" spans="2:14">
      <c r="B72" s="362"/>
      <c r="C72" s="627"/>
      <c r="D72" s="628"/>
      <c r="E72" s="628"/>
      <c r="F72" s="628"/>
      <c r="G72" s="628"/>
      <c r="H72" s="363"/>
      <c r="I72" s="629"/>
      <c r="J72" s="630"/>
      <c r="K72" s="631"/>
      <c r="L72" s="632"/>
      <c r="M72" s="633"/>
      <c r="N72" s="634"/>
    </row>
    <row r="73" spans="2:14">
      <c r="B73" s="362"/>
      <c r="C73" s="627"/>
      <c r="D73" s="628"/>
      <c r="E73" s="628"/>
      <c r="F73" s="628"/>
      <c r="G73" s="628"/>
      <c r="H73" s="363"/>
      <c r="I73" s="629"/>
      <c r="J73" s="630"/>
      <c r="K73" s="631"/>
      <c r="L73" s="632"/>
      <c r="M73" s="633"/>
      <c r="N73" s="634"/>
    </row>
    <row r="74" spans="2:14">
      <c r="B74" s="362"/>
      <c r="C74" s="627"/>
      <c r="D74" s="628"/>
      <c r="E74" s="628"/>
      <c r="F74" s="628"/>
      <c r="G74" s="628"/>
      <c r="H74" s="363"/>
      <c r="I74" s="629"/>
      <c r="J74" s="630"/>
      <c r="K74" s="631"/>
      <c r="L74" s="632"/>
      <c r="M74" s="633"/>
      <c r="N74" s="634"/>
    </row>
    <row r="75" spans="2:14">
      <c r="B75" s="362"/>
      <c r="C75" s="627"/>
      <c r="D75" s="628"/>
      <c r="E75" s="628"/>
      <c r="F75" s="628"/>
      <c r="G75" s="628"/>
      <c r="H75" s="363"/>
      <c r="I75" s="629"/>
      <c r="J75" s="630"/>
      <c r="K75" s="631"/>
      <c r="L75" s="632"/>
      <c r="M75" s="633"/>
      <c r="N75" s="634"/>
    </row>
    <row r="76" spans="2:14">
      <c r="B76" s="362"/>
      <c r="C76" s="627"/>
      <c r="D76" s="628"/>
      <c r="E76" s="628"/>
      <c r="F76" s="628"/>
      <c r="G76" s="628"/>
      <c r="H76" s="363"/>
      <c r="I76" s="629"/>
      <c r="J76" s="630"/>
      <c r="K76" s="631"/>
      <c r="L76" s="632"/>
      <c r="M76" s="633"/>
      <c r="N76" s="634"/>
    </row>
    <row r="77" spans="2:14">
      <c r="B77" s="362"/>
      <c r="C77" s="627"/>
      <c r="D77" s="628"/>
      <c r="E77" s="628"/>
      <c r="F77" s="628"/>
      <c r="G77" s="628"/>
      <c r="H77" s="363"/>
      <c r="I77" s="629"/>
      <c r="J77" s="630"/>
      <c r="K77" s="631"/>
      <c r="L77" s="632"/>
      <c r="M77" s="633"/>
      <c r="N77" s="634"/>
    </row>
    <row r="78" spans="2:14">
      <c r="B78" s="362"/>
      <c r="C78" s="627"/>
      <c r="D78" s="628"/>
      <c r="E78" s="628"/>
      <c r="F78" s="628"/>
      <c r="G78" s="628"/>
      <c r="H78" s="363"/>
      <c r="I78" s="629"/>
      <c r="J78" s="630"/>
      <c r="K78" s="631"/>
      <c r="L78" s="632"/>
      <c r="M78" s="633"/>
      <c r="N78" s="634"/>
    </row>
    <row r="79" spans="2:14" ht="13.5" thickBot="1">
      <c r="B79" s="364"/>
      <c r="C79" s="635"/>
      <c r="D79" s="636"/>
      <c r="E79" s="636"/>
      <c r="F79" s="636"/>
      <c r="G79" s="636"/>
      <c r="H79" s="365"/>
      <c r="I79" s="637"/>
      <c r="J79" s="638"/>
      <c r="K79" s="639"/>
      <c r="L79" s="640"/>
      <c r="M79" s="641"/>
      <c r="N79" s="642"/>
    </row>
  </sheetData>
  <mergeCells count="80">
    <mergeCell ref="C78:G78"/>
    <mergeCell ref="I78:K78"/>
    <mergeCell ref="L78:N78"/>
    <mergeCell ref="C79:G79"/>
    <mergeCell ref="I79:K79"/>
    <mergeCell ref="L79:N79"/>
    <mergeCell ref="C76:G76"/>
    <mergeCell ref="I76:K76"/>
    <mergeCell ref="L76:N76"/>
    <mergeCell ref="C77:G77"/>
    <mergeCell ref="I77:K77"/>
    <mergeCell ref="L77:N77"/>
    <mergeCell ref="C74:G74"/>
    <mergeCell ref="I74:K74"/>
    <mergeCell ref="L74:N74"/>
    <mergeCell ref="C75:G75"/>
    <mergeCell ref="I75:K75"/>
    <mergeCell ref="L75:N75"/>
    <mergeCell ref="C72:G72"/>
    <mergeCell ref="I72:K72"/>
    <mergeCell ref="L72:N72"/>
    <mergeCell ref="C73:G73"/>
    <mergeCell ref="I73:K73"/>
    <mergeCell ref="L73:N73"/>
    <mergeCell ref="C70:G70"/>
    <mergeCell ref="I70:K70"/>
    <mergeCell ref="L70:N70"/>
    <mergeCell ref="C71:G71"/>
    <mergeCell ref="I71:K71"/>
    <mergeCell ref="L71:N71"/>
    <mergeCell ref="C68:G68"/>
    <mergeCell ref="I68:K68"/>
    <mergeCell ref="L68:N68"/>
    <mergeCell ref="C69:G69"/>
    <mergeCell ref="I69:K69"/>
    <mergeCell ref="L69:N69"/>
    <mergeCell ref="C66:G66"/>
    <mergeCell ref="I66:K66"/>
    <mergeCell ref="L66:N66"/>
    <mergeCell ref="C67:G67"/>
    <mergeCell ref="I67:K67"/>
    <mergeCell ref="L67:N67"/>
    <mergeCell ref="C64:G64"/>
    <mergeCell ref="I64:K64"/>
    <mergeCell ref="L64:N64"/>
    <mergeCell ref="C65:G65"/>
    <mergeCell ref="I65:K65"/>
    <mergeCell ref="L65:N65"/>
    <mergeCell ref="C62:G62"/>
    <mergeCell ref="I62:K62"/>
    <mergeCell ref="L62:N62"/>
    <mergeCell ref="C63:G63"/>
    <mergeCell ref="I63:K63"/>
    <mergeCell ref="L63:N63"/>
    <mergeCell ref="C60:G60"/>
    <mergeCell ref="I60:K60"/>
    <mergeCell ref="L60:N60"/>
    <mergeCell ref="C61:G61"/>
    <mergeCell ref="I61:K61"/>
    <mergeCell ref="L61:N61"/>
    <mergeCell ref="C58:G58"/>
    <mergeCell ref="I58:K58"/>
    <mergeCell ref="L58:N58"/>
    <mergeCell ref="C59:G59"/>
    <mergeCell ref="I59:K59"/>
    <mergeCell ref="L59:N59"/>
    <mergeCell ref="C56:G56"/>
    <mergeCell ref="I56:K56"/>
    <mergeCell ref="L56:N56"/>
    <mergeCell ref="C57:G57"/>
    <mergeCell ref="I57:K57"/>
    <mergeCell ref="L57:N57"/>
    <mergeCell ref="C55:G55"/>
    <mergeCell ref="I55:K55"/>
    <mergeCell ref="L55:N55"/>
    <mergeCell ref="B2:G4"/>
    <mergeCell ref="B53:N53"/>
    <mergeCell ref="C54:G54"/>
    <mergeCell ref="I54:K54"/>
    <mergeCell ref="L54:N54"/>
  </mergeCells>
  <printOptions horizontalCentered="1"/>
  <pageMargins left="0" right="0" top="0.5" bottom="0.5" header="0.5" footer="0.5"/>
  <pageSetup scale="53" orientation="portrait" horizontalDpi="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61"/>
  <sheetViews>
    <sheetView workbookViewId="0"/>
  </sheetViews>
  <sheetFormatPr defaultColWidth="9.140625" defaultRowHeight="12.75"/>
  <cols>
    <col min="1" max="1" width="19.7109375" style="381" customWidth="1"/>
    <col min="2" max="7" width="10.7109375" style="381" customWidth="1"/>
    <col min="8" max="16384" width="9.140625" style="381"/>
  </cols>
  <sheetData>
    <row r="1" spans="1:12" ht="21" customHeight="1">
      <c r="A1" s="380" t="s">
        <v>412</v>
      </c>
      <c r="B1" s="644" t="s">
        <v>451</v>
      </c>
      <c r="C1" s="644"/>
      <c r="D1" s="644"/>
      <c r="E1" s="644"/>
      <c r="F1" s="644"/>
      <c r="G1" s="644"/>
    </row>
    <row r="2" spans="1:12" ht="15" customHeight="1"/>
    <row r="3" spans="1:12" ht="20.25">
      <c r="A3" s="382" t="s">
        <v>413</v>
      </c>
    </row>
    <row r="4" spans="1:12" ht="12" customHeight="1">
      <c r="A4" s="383"/>
      <c r="B4" s="383"/>
      <c r="C4" s="383"/>
      <c r="D4" s="383" t="s">
        <v>465</v>
      </c>
      <c r="E4" s="383"/>
      <c r="F4" s="383"/>
      <c r="G4" s="383"/>
      <c r="H4" s="383"/>
      <c r="I4" s="383"/>
      <c r="J4" s="383"/>
      <c r="K4" s="383"/>
      <c r="L4" s="383"/>
    </row>
    <row r="5" spans="1:12" ht="15.6" customHeight="1">
      <c r="A5" s="384" t="s">
        <v>5</v>
      </c>
      <c r="B5" s="384" t="s">
        <v>414</v>
      </c>
      <c r="C5" s="384" t="s">
        <v>415</v>
      </c>
      <c r="D5" s="384" t="s">
        <v>416</v>
      </c>
      <c r="E5" s="384" t="s">
        <v>417</v>
      </c>
      <c r="F5" s="384" t="s">
        <v>418</v>
      </c>
      <c r="G5" s="384" t="s">
        <v>419</v>
      </c>
      <c r="H5" s="383"/>
      <c r="I5" s="383"/>
      <c r="J5" s="383"/>
      <c r="K5" s="383"/>
      <c r="L5" s="383"/>
    </row>
    <row r="6" spans="1:12" ht="15.6" customHeight="1">
      <c r="A6" s="385" t="s">
        <v>420</v>
      </c>
      <c r="B6" s="385" t="s">
        <v>165</v>
      </c>
      <c r="C6" s="385" t="s">
        <v>165</v>
      </c>
      <c r="D6" s="385" t="s">
        <v>421</v>
      </c>
      <c r="E6" s="385" t="s">
        <v>135</v>
      </c>
      <c r="F6" s="385" t="s">
        <v>422</v>
      </c>
      <c r="G6" s="385" t="s">
        <v>422</v>
      </c>
      <c r="H6" s="383"/>
      <c r="I6" s="383"/>
      <c r="J6" s="383"/>
      <c r="K6" s="383"/>
      <c r="L6" s="383"/>
    </row>
    <row r="7" spans="1:12" ht="15.95" customHeight="1">
      <c r="A7" s="386" t="s">
        <v>452</v>
      </c>
      <c r="B7" s="386" t="s">
        <v>466</v>
      </c>
      <c r="C7" s="386" t="s">
        <v>479</v>
      </c>
      <c r="D7" s="386" t="s">
        <v>492</v>
      </c>
      <c r="E7" s="386" t="s">
        <v>505</v>
      </c>
      <c r="F7" s="386" t="s">
        <v>518</v>
      </c>
      <c r="G7" s="386" t="s">
        <v>531</v>
      </c>
      <c r="H7" s="383"/>
      <c r="I7" s="383"/>
      <c r="J7" s="383"/>
      <c r="K7" s="383"/>
      <c r="L7" s="383"/>
    </row>
    <row r="8" spans="1:12" ht="15.95" customHeight="1">
      <c r="A8" s="386" t="s">
        <v>453</v>
      </c>
      <c r="B8" s="386" t="s">
        <v>467</v>
      </c>
      <c r="C8" s="386" t="s">
        <v>480</v>
      </c>
      <c r="D8" s="386" t="s">
        <v>493</v>
      </c>
      <c r="E8" s="386" t="s">
        <v>506</v>
      </c>
      <c r="F8" s="386" t="s">
        <v>519</v>
      </c>
      <c r="G8" s="386" t="s">
        <v>532</v>
      </c>
      <c r="H8" s="383"/>
      <c r="I8" s="383"/>
      <c r="J8" s="383"/>
      <c r="K8" s="383"/>
      <c r="L8" s="383"/>
    </row>
    <row r="9" spans="1:12" ht="15.95" customHeight="1">
      <c r="A9" s="386" t="s">
        <v>454</v>
      </c>
      <c r="B9" s="386" t="s">
        <v>468</v>
      </c>
      <c r="C9" s="386" t="s">
        <v>481</v>
      </c>
      <c r="D9" s="386" t="s">
        <v>494</v>
      </c>
      <c r="E9" s="386" t="s">
        <v>507</v>
      </c>
      <c r="F9" s="386" t="s">
        <v>520</v>
      </c>
      <c r="G9" s="386" t="s">
        <v>533</v>
      </c>
      <c r="H9" s="383"/>
      <c r="I9" s="383"/>
      <c r="J9" s="383"/>
      <c r="K9" s="383"/>
      <c r="L9" s="383"/>
    </row>
    <row r="10" spans="1:12" ht="15.95" customHeight="1">
      <c r="A10" s="386" t="s">
        <v>455</v>
      </c>
      <c r="B10" s="386" t="s">
        <v>469</v>
      </c>
      <c r="C10" s="386" t="s">
        <v>482</v>
      </c>
      <c r="D10" s="386" t="s">
        <v>495</v>
      </c>
      <c r="E10" s="386" t="s">
        <v>508</v>
      </c>
      <c r="F10" s="386" t="s">
        <v>521</v>
      </c>
      <c r="G10" s="386" t="s">
        <v>534</v>
      </c>
      <c r="H10" s="383"/>
      <c r="I10" s="383"/>
      <c r="J10" s="383"/>
      <c r="K10" s="383"/>
      <c r="L10" s="383"/>
    </row>
    <row r="11" spans="1:12" ht="15.95" customHeight="1">
      <c r="A11" s="386" t="s">
        <v>456</v>
      </c>
      <c r="B11" s="386" t="s">
        <v>470</v>
      </c>
      <c r="C11" s="386" t="s">
        <v>483</v>
      </c>
      <c r="D11" s="386" t="s">
        <v>496</v>
      </c>
      <c r="E11" s="386" t="s">
        <v>509</v>
      </c>
      <c r="F11" s="386" t="s">
        <v>522</v>
      </c>
      <c r="G11" s="386" t="s">
        <v>535</v>
      </c>
      <c r="H11" s="383"/>
      <c r="I11" s="383"/>
      <c r="J11" s="383"/>
      <c r="K11" s="383"/>
      <c r="L11" s="383"/>
    </row>
    <row r="12" spans="1:12" ht="15.95" customHeight="1">
      <c r="A12" s="386" t="s">
        <v>457</v>
      </c>
      <c r="B12" s="386" t="s">
        <v>471</v>
      </c>
      <c r="C12" s="386" t="s">
        <v>484</v>
      </c>
      <c r="D12" s="386" t="s">
        <v>497</v>
      </c>
      <c r="E12" s="386" t="s">
        <v>510</v>
      </c>
      <c r="F12" s="386" t="s">
        <v>523</v>
      </c>
      <c r="G12" s="386" t="s">
        <v>536</v>
      </c>
      <c r="H12" s="383"/>
      <c r="I12" s="383"/>
      <c r="J12" s="383"/>
      <c r="K12" s="383"/>
      <c r="L12" s="383"/>
    </row>
    <row r="13" spans="1:12" ht="15.95" customHeight="1">
      <c r="A13" s="386" t="s">
        <v>458</v>
      </c>
      <c r="B13" s="386" t="s">
        <v>472</v>
      </c>
      <c r="C13" s="386" t="s">
        <v>485</v>
      </c>
      <c r="D13" s="386" t="s">
        <v>498</v>
      </c>
      <c r="E13" s="386" t="s">
        <v>511</v>
      </c>
      <c r="F13" s="386" t="s">
        <v>524</v>
      </c>
      <c r="G13" s="386" t="s">
        <v>537</v>
      </c>
      <c r="H13" s="383"/>
      <c r="I13" s="383"/>
      <c r="J13" s="383"/>
      <c r="K13" s="383"/>
      <c r="L13" s="383"/>
    </row>
    <row r="14" spans="1:12" ht="15.95" customHeight="1">
      <c r="A14" s="386" t="s">
        <v>459</v>
      </c>
      <c r="B14" s="386" t="s">
        <v>473</v>
      </c>
      <c r="C14" s="386" t="s">
        <v>486</v>
      </c>
      <c r="D14" s="386" t="s">
        <v>499</v>
      </c>
      <c r="E14" s="386" t="s">
        <v>512</v>
      </c>
      <c r="F14" s="386" t="s">
        <v>525</v>
      </c>
      <c r="G14" s="386" t="s">
        <v>538</v>
      </c>
      <c r="H14" s="383"/>
      <c r="I14" s="383"/>
      <c r="J14" s="383"/>
      <c r="K14" s="383"/>
      <c r="L14" s="383"/>
    </row>
    <row r="15" spans="1:12" ht="15.95" customHeight="1">
      <c r="A15" s="386" t="s">
        <v>460</v>
      </c>
      <c r="B15" s="386" t="s">
        <v>474</v>
      </c>
      <c r="C15" s="386" t="s">
        <v>487</v>
      </c>
      <c r="D15" s="386" t="s">
        <v>500</v>
      </c>
      <c r="E15" s="386" t="s">
        <v>513</v>
      </c>
      <c r="F15" s="386" t="s">
        <v>526</v>
      </c>
      <c r="G15" s="386" t="s">
        <v>539</v>
      </c>
      <c r="H15" s="383"/>
      <c r="I15" s="383"/>
      <c r="J15" s="383"/>
      <c r="K15" s="383"/>
      <c r="L15" s="383"/>
    </row>
    <row r="16" spans="1:12" ht="15.95" customHeight="1">
      <c r="A16" s="386" t="s">
        <v>461</v>
      </c>
      <c r="B16" s="386" t="s">
        <v>475</v>
      </c>
      <c r="C16" s="386" t="s">
        <v>488</v>
      </c>
      <c r="D16" s="386" t="s">
        <v>501</v>
      </c>
      <c r="E16" s="386" t="s">
        <v>514</v>
      </c>
      <c r="F16" s="386" t="s">
        <v>527</v>
      </c>
      <c r="G16" s="386" t="s">
        <v>540</v>
      </c>
      <c r="H16" s="383"/>
      <c r="I16" s="383"/>
      <c r="J16" s="383"/>
      <c r="K16" s="383"/>
      <c r="L16" s="383"/>
    </row>
    <row r="17" spans="1:12" ht="15.95" customHeight="1">
      <c r="A17" s="386" t="s">
        <v>462</v>
      </c>
      <c r="B17" s="386" t="s">
        <v>476</v>
      </c>
      <c r="C17" s="386" t="s">
        <v>489</v>
      </c>
      <c r="D17" s="386" t="s">
        <v>502</v>
      </c>
      <c r="E17" s="386" t="s">
        <v>515</v>
      </c>
      <c r="F17" s="386" t="s">
        <v>528</v>
      </c>
      <c r="G17" s="386" t="s">
        <v>541</v>
      </c>
      <c r="H17" s="383"/>
      <c r="I17" s="383"/>
      <c r="J17" s="383"/>
      <c r="K17" s="383"/>
      <c r="L17" s="383"/>
    </row>
    <row r="18" spans="1:12" ht="15.95" customHeight="1">
      <c r="A18" s="386" t="s">
        <v>463</v>
      </c>
      <c r="B18" s="386" t="s">
        <v>477</v>
      </c>
      <c r="C18" s="386" t="s">
        <v>490</v>
      </c>
      <c r="D18" s="386" t="s">
        <v>503</v>
      </c>
      <c r="E18" s="386" t="s">
        <v>516</v>
      </c>
      <c r="F18" s="386" t="s">
        <v>529</v>
      </c>
      <c r="G18" s="386" t="s">
        <v>542</v>
      </c>
      <c r="H18" s="383"/>
      <c r="I18" s="383"/>
      <c r="J18" s="383"/>
      <c r="K18" s="383"/>
      <c r="L18" s="383"/>
    </row>
    <row r="19" spans="1:12" ht="15.95" customHeight="1">
      <c r="A19" s="386" t="s">
        <v>464</v>
      </c>
      <c r="B19" s="386" t="s">
        <v>478</v>
      </c>
      <c r="C19" s="386" t="s">
        <v>491</v>
      </c>
      <c r="D19" s="386" t="s">
        <v>504</v>
      </c>
      <c r="E19" s="386" t="s">
        <v>517</v>
      </c>
      <c r="F19" s="386" t="s">
        <v>530</v>
      </c>
      <c r="G19" s="386" t="s">
        <v>543</v>
      </c>
      <c r="H19" s="383"/>
      <c r="I19" s="383"/>
      <c r="J19" s="383"/>
      <c r="K19" s="383"/>
      <c r="L19" s="383"/>
    </row>
    <row r="20" spans="1:12" ht="15.75">
      <c r="A20" s="383"/>
      <c r="B20" s="383"/>
      <c r="C20" s="383"/>
      <c r="D20" s="383"/>
      <c r="E20" s="383"/>
      <c r="F20" s="383"/>
      <c r="G20" s="383"/>
      <c r="H20" s="383"/>
      <c r="I20" s="383"/>
      <c r="J20" s="383"/>
      <c r="K20" s="383"/>
      <c r="L20" s="383"/>
    </row>
    <row r="21" spans="1:12" ht="15.75">
      <c r="A21" s="383"/>
      <c r="B21" s="383"/>
      <c r="C21" s="383"/>
      <c r="D21" s="645" t="s">
        <v>553</v>
      </c>
      <c r="E21" s="646"/>
      <c r="F21" s="646"/>
      <c r="G21" s="647"/>
      <c r="H21" s="383"/>
      <c r="I21" s="383"/>
      <c r="J21" s="383"/>
      <c r="K21" s="383"/>
      <c r="L21" s="383"/>
    </row>
    <row r="22" spans="1:12" ht="17.25" customHeight="1">
      <c r="A22" s="383"/>
      <c r="B22" s="648" t="s">
        <v>423</v>
      </c>
      <c r="C22" s="648"/>
      <c r="D22" s="648" t="s">
        <v>424</v>
      </c>
      <c r="E22" s="648"/>
      <c r="F22" s="648" t="s">
        <v>425</v>
      </c>
      <c r="G22" s="648"/>
      <c r="H22" s="383"/>
      <c r="I22" s="383"/>
      <c r="J22" s="383"/>
      <c r="K22" s="383"/>
      <c r="L22" s="383"/>
    </row>
    <row r="23" spans="1:12" ht="15.75">
      <c r="A23" s="387" t="s">
        <v>426</v>
      </c>
      <c r="B23" s="643" t="s">
        <v>544</v>
      </c>
      <c r="C23" s="643"/>
      <c r="D23" s="643" t="s">
        <v>547</v>
      </c>
      <c r="E23" s="643"/>
      <c r="F23" s="643" t="s">
        <v>550</v>
      </c>
      <c r="G23" s="643"/>
      <c r="H23" s="383"/>
      <c r="I23" s="383"/>
      <c r="J23" s="383"/>
      <c r="K23" s="383"/>
      <c r="L23" s="383"/>
    </row>
    <row r="24" spans="1:12" ht="18" customHeight="1">
      <c r="A24" s="387" t="s">
        <v>427</v>
      </c>
      <c r="B24" s="643" t="s">
        <v>545</v>
      </c>
      <c r="C24" s="643"/>
      <c r="D24" s="643" t="s">
        <v>548</v>
      </c>
      <c r="E24" s="643"/>
      <c r="F24" s="643" t="s">
        <v>551</v>
      </c>
      <c r="G24" s="643"/>
      <c r="H24" s="383"/>
      <c r="I24" s="383"/>
      <c r="J24" s="383"/>
      <c r="K24" s="383"/>
      <c r="L24" s="383"/>
    </row>
    <row r="25" spans="1:12" ht="15.75">
      <c r="A25" s="387" t="s">
        <v>428</v>
      </c>
      <c r="B25" s="643" t="s">
        <v>546</v>
      </c>
      <c r="C25" s="643"/>
      <c r="D25" s="643" t="s">
        <v>549</v>
      </c>
      <c r="E25" s="643"/>
      <c r="F25" s="643" t="s">
        <v>552</v>
      </c>
      <c r="G25" s="643"/>
      <c r="H25" s="383"/>
      <c r="I25" s="383"/>
      <c r="J25" s="383"/>
      <c r="K25" s="383"/>
      <c r="L25" s="383"/>
    </row>
    <row r="26" spans="1:12" ht="15.75">
      <c r="A26" s="383"/>
      <c r="B26" s="383"/>
      <c r="C26" s="383"/>
      <c r="D26" s="383"/>
      <c r="E26" s="383"/>
      <c r="F26" s="383"/>
      <c r="G26" s="383"/>
      <c r="H26" s="383"/>
      <c r="I26" s="383"/>
      <c r="J26" s="383"/>
      <c r="K26" s="383"/>
      <c r="L26" s="383"/>
    </row>
    <row r="27" spans="1:12" ht="20.25">
      <c r="A27" s="382" t="s">
        <v>429</v>
      </c>
      <c r="B27" s="383"/>
      <c r="C27" s="383"/>
      <c r="D27" s="383"/>
      <c r="E27" s="383"/>
      <c r="F27" s="383"/>
      <c r="G27" s="383"/>
      <c r="H27" s="383"/>
      <c r="I27" s="383"/>
      <c r="J27" s="383"/>
      <c r="K27" s="383"/>
      <c r="L27" s="383"/>
    </row>
    <row r="28" spans="1:12" ht="15.75">
      <c r="A28" s="383"/>
      <c r="B28" s="383"/>
      <c r="C28" s="383"/>
      <c r="D28" s="383"/>
      <c r="E28" s="649" t="s">
        <v>430</v>
      </c>
      <c r="F28" s="646"/>
      <c r="G28" s="647"/>
      <c r="H28" s="383"/>
      <c r="I28" s="383"/>
      <c r="J28" s="383"/>
      <c r="K28" s="383"/>
      <c r="L28" s="383"/>
    </row>
    <row r="29" spans="1:12" ht="15.75">
      <c r="A29" s="383"/>
      <c r="B29" s="648" t="s">
        <v>431</v>
      </c>
      <c r="C29" s="648"/>
      <c r="D29" s="388" t="s">
        <v>432</v>
      </c>
      <c r="E29" s="388" t="s">
        <v>433</v>
      </c>
      <c r="F29" s="648" t="s">
        <v>434</v>
      </c>
      <c r="G29" s="648"/>
      <c r="H29" s="383"/>
      <c r="I29" s="383"/>
      <c r="J29" s="383"/>
      <c r="K29" s="383"/>
      <c r="L29" s="383"/>
    </row>
    <row r="30" spans="1:12" ht="15.75">
      <c r="A30" s="387" t="s">
        <v>435</v>
      </c>
      <c r="B30" s="643" t="s">
        <v>554</v>
      </c>
      <c r="C30" s="643"/>
      <c r="D30" s="386" t="s">
        <v>557</v>
      </c>
      <c r="E30" s="386" t="s">
        <v>436</v>
      </c>
      <c r="F30" s="643" t="s">
        <v>560</v>
      </c>
      <c r="G30" s="643"/>
      <c r="H30" s="383"/>
      <c r="I30" s="383"/>
      <c r="J30" s="383"/>
      <c r="K30" s="383"/>
      <c r="L30" s="383"/>
    </row>
    <row r="31" spans="1:12" ht="15.75">
      <c r="A31" s="387" t="s">
        <v>437</v>
      </c>
      <c r="B31" s="643" t="s">
        <v>555</v>
      </c>
      <c r="C31" s="643"/>
      <c r="D31" s="386" t="s">
        <v>558</v>
      </c>
      <c r="E31" s="386" t="s">
        <v>438</v>
      </c>
      <c r="F31" s="643" t="s">
        <v>561</v>
      </c>
      <c r="G31" s="643"/>
      <c r="H31" s="383"/>
      <c r="I31" s="383"/>
      <c r="J31" s="383"/>
      <c r="K31" s="383"/>
      <c r="L31" s="383"/>
    </row>
    <row r="32" spans="1:12" ht="15.75">
      <c r="A32" s="387" t="s">
        <v>439</v>
      </c>
      <c r="B32" s="643" t="s">
        <v>556</v>
      </c>
      <c r="C32" s="643"/>
      <c r="D32" s="386" t="s">
        <v>559</v>
      </c>
      <c r="E32" s="386" t="s">
        <v>440</v>
      </c>
      <c r="F32" s="643" t="s">
        <v>562</v>
      </c>
      <c r="G32" s="643"/>
      <c r="H32" s="383"/>
      <c r="I32" s="383"/>
      <c r="J32" s="383"/>
      <c r="K32" s="383"/>
      <c r="L32" s="383"/>
    </row>
    <row r="33" spans="1:12" ht="15.75">
      <c r="A33" s="383"/>
      <c r="B33" s="383"/>
      <c r="C33" s="383"/>
      <c r="D33" s="383"/>
      <c r="E33" s="383"/>
      <c r="F33" s="383"/>
      <c r="G33" s="383"/>
      <c r="H33" s="383"/>
      <c r="I33" s="383"/>
      <c r="J33" s="383"/>
      <c r="K33" s="383"/>
      <c r="L33" s="383"/>
    </row>
    <row r="34" spans="1:12" ht="15.75">
      <c r="A34" s="383"/>
      <c r="B34" s="383"/>
      <c r="C34" s="383"/>
      <c r="D34" s="383"/>
      <c r="E34" s="649" t="s">
        <v>441</v>
      </c>
      <c r="F34" s="646"/>
      <c r="G34" s="647"/>
      <c r="H34" s="383"/>
      <c r="I34" s="383"/>
      <c r="J34" s="383"/>
      <c r="K34" s="383"/>
      <c r="L34" s="383"/>
    </row>
    <row r="35" spans="1:12" ht="15.75">
      <c r="A35" s="383"/>
      <c r="B35" s="648" t="s">
        <v>442</v>
      </c>
      <c r="C35" s="648"/>
      <c r="D35" s="388" t="s">
        <v>433</v>
      </c>
      <c r="E35" s="388" t="s">
        <v>443</v>
      </c>
      <c r="F35" s="388" t="s">
        <v>100</v>
      </c>
      <c r="G35" s="388" t="s">
        <v>444</v>
      </c>
      <c r="H35" s="383"/>
      <c r="I35" s="383"/>
      <c r="J35" s="383"/>
      <c r="K35" s="383"/>
      <c r="L35" s="383"/>
    </row>
    <row r="36" spans="1:12" ht="15.75">
      <c r="A36" s="387" t="s">
        <v>435</v>
      </c>
      <c r="B36" s="650" t="s">
        <v>563</v>
      </c>
      <c r="C36" s="651"/>
      <c r="D36" s="389" t="s">
        <v>565</v>
      </c>
      <c r="E36" s="389" t="s">
        <v>445</v>
      </c>
      <c r="F36" s="390" t="s">
        <v>446</v>
      </c>
      <c r="G36" s="386" t="s">
        <v>568</v>
      </c>
      <c r="H36" s="383"/>
      <c r="I36" s="383"/>
      <c r="J36" s="383"/>
      <c r="K36" s="383"/>
      <c r="L36" s="383"/>
    </row>
    <row r="37" spans="1:12" ht="15.75">
      <c r="A37" s="387" t="s">
        <v>437</v>
      </c>
      <c r="B37" s="650" t="s">
        <v>564</v>
      </c>
      <c r="C37" s="651"/>
      <c r="D37" s="389" t="s">
        <v>566</v>
      </c>
      <c r="E37" s="389" t="s">
        <v>445</v>
      </c>
      <c r="F37" s="390" t="s">
        <v>447</v>
      </c>
      <c r="G37" s="391" t="s">
        <v>569</v>
      </c>
      <c r="H37" s="383"/>
      <c r="I37" s="383"/>
      <c r="J37" s="383"/>
      <c r="K37" s="383"/>
      <c r="L37" s="383"/>
    </row>
    <row r="38" spans="1:12" ht="15.75">
      <c r="A38" s="387" t="s">
        <v>439</v>
      </c>
      <c r="B38" s="650" t="s">
        <v>564</v>
      </c>
      <c r="C38" s="651"/>
      <c r="D38" s="389" t="s">
        <v>567</v>
      </c>
      <c r="E38" s="389" t="s">
        <v>445</v>
      </c>
      <c r="F38" s="390" t="s">
        <v>448</v>
      </c>
      <c r="G38" s="386" t="s">
        <v>570</v>
      </c>
      <c r="H38" s="383"/>
      <c r="I38" s="383"/>
      <c r="J38" s="383"/>
      <c r="K38" s="383"/>
      <c r="L38" s="383"/>
    </row>
    <row r="39" spans="1:12" ht="15.75">
      <c r="A39" s="383"/>
      <c r="B39" s="383"/>
      <c r="C39" s="383"/>
      <c r="D39" s="383"/>
      <c r="E39" s="383"/>
      <c r="F39" s="383"/>
      <c r="G39" s="383"/>
      <c r="H39" s="383"/>
      <c r="I39" s="383"/>
      <c r="J39" s="383"/>
      <c r="K39" s="383"/>
      <c r="L39" s="383"/>
    </row>
    <row r="40" spans="1:12" ht="15.75">
      <c r="A40" s="392" t="s">
        <v>449</v>
      </c>
      <c r="B40" s="652" t="s">
        <v>571</v>
      </c>
      <c r="C40" s="652"/>
      <c r="D40" s="653" t="s">
        <v>450</v>
      </c>
      <c r="E40" s="653"/>
      <c r="F40" s="652" t="s">
        <v>572</v>
      </c>
      <c r="G40" s="652"/>
      <c r="H40" s="383"/>
      <c r="I40" s="383"/>
      <c r="J40" s="383"/>
      <c r="K40" s="383"/>
      <c r="L40" s="383"/>
    </row>
    <row r="41" spans="1:12" ht="15.75">
      <c r="A41" s="383"/>
      <c r="B41" s="383"/>
      <c r="C41" s="383"/>
      <c r="D41" s="383"/>
      <c r="E41" s="383"/>
      <c r="F41" s="383"/>
      <c r="G41" s="383"/>
      <c r="H41" s="383"/>
      <c r="I41" s="383"/>
      <c r="J41" s="383"/>
      <c r="K41" s="383"/>
      <c r="L41" s="383"/>
    </row>
    <row r="42" spans="1:12" ht="15.75">
      <c r="A42" s="383"/>
      <c r="B42" s="383"/>
      <c r="C42" s="383"/>
      <c r="D42" s="383"/>
      <c r="E42" s="383"/>
      <c r="F42" s="383"/>
      <c r="G42" s="383"/>
      <c r="H42" s="383"/>
      <c r="I42" s="383"/>
      <c r="J42" s="383"/>
      <c r="K42" s="383"/>
      <c r="L42" s="383"/>
    </row>
    <row r="43" spans="1:12" ht="15.75">
      <c r="A43" s="383"/>
      <c r="B43" s="383"/>
      <c r="C43" s="383"/>
      <c r="D43" s="383"/>
      <c r="E43" s="383"/>
      <c r="F43" s="383"/>
      <c r="G43" s="383"/>
      <c r="H43" s="383"/>
      <c r="I43" s="383"/>
      <c r="J43" s="383"/>
      <c r="K43" s="383"/>
      <c r="L43" s="383"/>
    </row>
    <row r="44" spans="1:12" ht="15.75">
      <c r="A44" s="383"/>
      <c r="B44" s="383"/>
      <c r="C44" s="383"/>
      <c r="D44" s="383"/>
      <c r="E44" s="383"/>
      <c r="F44" s="383"/>
      <c r="G44" s="383"/>
      <c r="H44" s="383"/>
      <c r="I44" s="383"/>
      <c r="J44" s="383"/>
      <c r="K44" s="383"/>
      <c r="L44" s="383"/>
    </row>
    <row r="45" spans="1:12" ht="15.75">
      <c r="A45" s="383"/>
      <c r="B45" s="383"/>
      <c r="C45" s="383"/>
      <c r="D45" s="383"/>
      <c r="E45" s="383"/>
      <c r="F45" s="383"/>
      <c r="G45" s="383"/>
      <c r="H45" s="383"/>
      <c r="I45" s="383"/>
      <c r="J45" s="383"/>
      <c r="K45" s="383"/>
      <c r="L45" s="383"/>
    </row>
    <row r="46" spans="1:12" ht="15.75">
      <c r="A46" s="383"/>
      <c r="B46" s="383"/>
      <c r="C46" s="383"/>
      <c r="D46" s="383"/>
      <c r="E46" s="383"/>
      <c r="F46" s="383"/>
      <c r="G46" s="383"/>
      <c r="H46" s="383"/>
      <c r="I46" s="383"/>
      <c r="J46" s="383"/>
      <c r="K46" s="383"/>
      <c r="L46" s="383"/>
    </row>
    <row r="47" spans="1:12" ht="15.75">
      <c r="A47" s="383"/>
      <c r="B47" s="383"/>
      <c r="C47" s="383"/>
      <c r="D47" s="383"/>
      <c r="E47" s="383"/>
      <c r="F47" s="383"/>
      <c r="G47" s="383"/>
      <c r="H47" s="383"/>
      <c r="I47" s="383"/>
      <c r="J47" s="383"/>
      <c r="K47" s="383"/>
      <c r="L47" s="383"/>
    </row>
    <row r="48" spans="1:12" ht="15.75">
      <c r="A48" s="383"/>
      <c r="B48" s="383"/>
      <c r="C48" s="383"/>
      <c r="D48" s="383"/>
      <c r="E48" s="383"/>
      <c r="F48" s="383"/>
      <c r="G48" s="383"/>
      <c r="H48" s="383"/>
      <c r="I48" s="383"/>
      <c r="J48" s="383"/>
      <c r="K48" s="383"/>
      <c r="L48" s="383"/>
    </row>
    <row r="49" spans="1:12" ht="15.75">
      <c r="A49" s="383"/>
      <c r="B49" s="383"/>
      <c r="C49" s="383"/>
      <c r="D49" s="383"/>
      <c r="E49" s="383"/>
      <c r="F49" s="383"/>
      <c r="G49" s="383"/>
      <c r="H49" s="383"/>
      <c r="I49" s="383"/>
      <c r="J49" s="383"/>
      <c r="K49" s="383"/>
      <c r="L49" s="383"/>
    </row>
    <row r="50" spans="1:12" ht="15.75">
      <c r="A50" s="383"/>
      <c r="B50" s="383"/>
      <c r="C50" s="383"/>
      <c r="D50" s="383"/>
      <c r="E50" s="383"/>
      <c r="F50" s="383"/>
      <c r="G50" s="383"/>
      <c r="H50" s="383"/>
      <c r="I50" s="383"/>
      <c r="J50" s="383"/>
      <c r="K50" s="383"/>
      <c r="L50" s="383"/>
    </row>
    <row r="51" spans="1:12" ht="15.75">
      <c r="A51" s="383"/>
      <c r="B51" s="383"/>
      <c r="C51" s="383"/>
      <c r="D51" s="383"/>
      <c r="E51" s="383"/>
      <c r="F51" s="383"/>
      <c r="G51" s="383"/>
      <c r="H51" s="383"/>
      <c r="I51" s="383"/>
      <c r="J51" s="383"/>
      <c r="K51" s="383"/>
      <c r="L51" s="383"/>
    </row>
    <row r="52" spans="1:12" ht="15.75">
      <c r="A52" s="383"/>
      <c r="B52" s="383"/>
      <c r="C52" s="383"/>
      <c r="D52" s="383"/>
      <c r="E52" s="383"/>
      <c r="F52" s="383"/>
      <c r="G52" s="383"/>
      <c r="H52" s="383"/>
      <c r="I52" s="383"/>
      <c r="J52" s="383"/>
      <c r="K52" s="383"/>
      <c r="L52" s="383"/>
    </row>
    <row r="53" spans="1:12" ht="15.75">
      <c r="A53" s="383"/>
      <c r="B53" s="383"/>
      <c r="C53" s="383"/>
      <c r="D53" s="383"/>
      <c r="E53" s="383"/>
      <c r="F53" s="383"/>
      <c r="G53" s="383"/>
      <c r="H53" s="383"/>
      <c r="I53" s="383"/>
      <c r="J53" s="383"/>
      <c r="K53" s="383"/>
      <c r="L53" s="383"/>
    </row>
    <row r="54" spans="1:12" ht="15.75">
      <c r="A54" s="383"/>
      <c r="B54" s="383"/>
      <c r="C54" s="383"/>
      <c r="D54" s="383"/>
      <c r="E54" s="383"/>
      <c r="F54" s="383"/>
      <c r="G54" s="383"/>
      <c r="H54" s="383"/>
      <c r="I54" s="383"/>
      <c r="J54" s="383"/>
      <c r="K54" s="383"/>
      <c r="L54" s="383"/>
    </row>
    <row r="55" spans="1:12" ht="15.75">
      <c r="A55" s="383"/>
      <c r="B55" s="383"/>
      <c r="C55" s="383"/>
      <c r="D55" s="383"/>
      <c r="E55" s="383"/>
      <c r="F55" s="383"/>
      <c r="G55" s="383"/>
      <c r="H55" s="383"/>
      <c r="I55" s="383"/>
      <c r="J55" s="383"/>
      <c r="K55" s="383"/>
      <c r="L55" s="383"/>
    </row>
    <row r="56" spans="1:12" ht="15.75">
      <c r="A56" s="383"/>
      <c r="B56" s="383"/>
      <c r="C56" s="383"/>
      <c r="D56" s="383"/>
      <c r="E56" s="383"/>
      <c r="F56" s="383"/>
      <c r="G56" s="383"/>
      <c r="H56" s="383"/>
      <c r="I56" s="383"/>
      <c r="J56" s="383"/>
      <c r="K56" s="383"/>
      <c r="L56" s="383"/>
    </row>
    <row r="57" spans="1:12" ht="15.75">
      <c r="A57" s="383"/>
      <c r="B57" s="383"/>
      <c r="C57" s="383"/>
      <c r="D57" s="383"/>
      <c r="E57" s="383"/>
      <c r="F57" s="383"/>
      <c r="G57" s="383"/>
      <c r="H57" s="383"/>
      <c r="I57" s="383"/>
      <c r="J57" s="383"/>
      <c r="K57" s="383"/>
      <c r="L57" s="383"/>
    </row>
    <row r="58" spans="1:12" ht="15.75">
      <c r="A58" s="383"/>
      <c r="B58" s="383"/>
      <c r="C58" s="383"/>
      <c r="D58" s="383"/>
      <c r="E58" s="383"/>
      <c r="F58" s="383"/>
      <c r="G58" s="383"/>
      <c r="H58" s="383"/>
      <c r="I58" s="383"/>
      <c r="J58" s="383"/>
      <c r="K58" s="383"/>
      <c r="L58" s="383"/>
    </row>
    <row r="59" spans="1:12" ht="15.75">
      <c r="A59" s="383"/>
      <c r="B59" s="383"/>
      <c r="C59" s="383"/>
      <c r="D59" s="383"/>
      <c r="E59" s="383"/>
      <c r="F59" s="383"/>
      <c r="G59" s="383"/>
      <c r="H59" s="383"/>
      <c r="I59" s="383"/>
      <c r="J59" s="383"/>
      <c r="K59" s="383"/>
      <c r="L59" s="383"/>
    </row>
    <row r="60" spans="1:12" ht="15.75">
      <c r="A60" s="383"/>
      <c r="B60" s="383"/>
      <c r="C60" s="383"/>
      <c r="D60" s="383"/>
      <c r="E60" s="383"/>
      <c r="F60" s="383"/>
      <c r="G60" s="383"/>
      <c r="H60" s="383"/>
      <c r="I60" s="383"/>
      <c r="J60" s="383"/>
      <c r="K60" s="383"/>
      <c r="L60" s="383"/>
    </row>
    <row r="61" spans="1:12" ht="15.75">
      <c r="A61" s="383"/>
      <c r="B61" s="383"/>
      <c r="C61" s="383"/>
      <c r="D61" s="383"/>
      <c r="E61" s="383"/>
      <c r="F61" s="383"/>
      <c r="G61" s="383"/>
      <c r="H61" s="383"/>
      <c r="I61" s="383"/>
      <c r="J61" s="383"/>
      <c r="K61" s="383"/>
      <c r="L61" s="383"/>
    </row>
  </sheetData>
  <mergeCells count="31">
    <mergeCell ref="B38:C38"/>
    <mergeCell ref="B40:C40"/>
    <mergeCell ref="D40:E40"/>
    <mergeCell ref="F40:G40"/>
    <mergeCell ref="B32:C32"/>
    <mergeCell ref="F32:G32"/>
    <mergeCell ref="E34:G34"/>
    <mergeCell ref="B35:C35"/>
    <mergeCell ref="B36:C36"/>
    <mergeCell ref="B37:C37"/>
    <mergeCell ref="B31:C31"/>
    <mergeCell ref="F31:G31"/>
    <mergeCell ref="B24:C24"/>
    <mergeCell ref="D24:E24"/>
    <mergeCell ref="F24:G24"/>
    <mergeCell ref="B25:C25"/>
    <mergeCell ref="D25:E25"/>
    <mergeCell ref="F25:G25"/>
    <mergeCell ref="E28:G28"/>
    <mergeCell ref="B29:C29"/>
    <mergeCell ref="F29:G29"/>
    <mergeCell ref="B30:C30"/>
    <mergeCell ref="F30:G30"/>
    <mergeCell ref="B23:C23"/>
    <mergeCell ref="D23:E23"/>
    <mergeCell ref="F23:G23"/>
    <mergeCell ref="B1:G1"/>
    <mergeCell ref="D21:G21"/>
    <mergeCell ref="B22:C22"/>
    <mergeCell ref="D22:E22"/>
    <mergeCell ref="F22:G22"/>
  </mergeCells>
  <printOptions horizontalCentered="1"/>
  <pageMargins left="0.75" right="0.75" top="1" bottom="1" header="0.5" footer="0.5"/>
  <pageSetup scale="98" orientation="portrait" horizontalDpi="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syncVertical="1" syncRef="A10" transitionEvaluation="1"/>
  <dimension ref="A1:N120"/>
  <sheetViews>
    <sheetView showGridLines="0" topLeftCell="A10" zoomScaleNormal="100" workbookViewId="0">
      <selection activeCell="C15" sqref="C15"/>
    </sheetView>
  </sheetViews>
  <sheetFormatPr defaultColWidth="12.5703125" defaultRowHeight="15.75"/>
  <cols>
    <col min="1" max="13" width="7" style="445" customWidth="1"/>
    <col min="14" max="14" width="7.140625" style="445" customWidth="1"/>
    <col min="15" max="16384" width="12.5703125" style="445"/>
  </cols>
  <sheetData>
    <row r="1" spans="1:14" ht="17.100000000000001" customHeight="1">
      <c r="A1" s="438" t="s">
        <v>268</v>
      </c>
      <c r="B1" s="439"/>
      <c r="C1" s="439"/>
      <c r="D1" s="439"/>
      <c r="E1" s="439"/>
      <c r="F1" s="439"/>
      <c r="G1" s="439"/>
      <c r="H1" s="439"/>
      <c r="I1" s="439"/>
      <c r="J1" s="440" t="s">
        <v>605</v>
      </c>
      <c r="K1" s="441"/>
      <c r="L1" s="442" t="s">
        <v>606</v>
      </c>
      <c r="M1" s="443"/>
      <c r="N1" s="444"/>
    </row>
    <row r="2" spans="1:14" ht="17.100000000000001" customHeight="1">
      <c r="A2" s="446" t="s">
        <v>607</v>
      </c>
      <c r="B2" s="447"/>
      <c r="C2" s="447"/>
      <c r="D2" s="447"/>
      <c r="E2" s="447"/>
      <c r="F2" s="447"/>
      <c r="G2" s="447"/>
      <c r="H2" s="447"/>
      <c r="I2" s="447"/>
      <c r="J2" s="448" t="s">
        <v>608</v>
      </c>
      <c r="K2" s="449"/>
      <c r="L2" s="450" t="s">
        <v>609</v>
      </c>
      <c r="M2" s="451"/>
      <c r="N2" s="444"/>
    </row>
    <row r="3" spans="1:14" ht="15.95" customHeight="1">
      <c r="A3" s="452"/>
      <c r="B3" s="453"/>
      <c r="C3" s="453"/>
      <c r="D3" s="453"/>
      <c r="E3" s="453"/>
      <c r="F3" s="453"/>
      <c r="G3" s="453"/>
      <c r="H3" s="453"/>
      <c r="I3" s="453"/>
      <c r="J3" s="448" t="s">
        <v>610</v>
      </c>
      <c r="K3" s="449"/>
      <c r="L3" s="454" t="s">
        <v>611</v>
      </c>
      <c r="M3" s="451"/>
      <c r="N3" s="444"/>
    </row>
    <row r="4" spans="1:14" ht="15.95" customHeight="1">
      <c r="A4" s="455"/>
      <c r="B4" s="453"/>
      <c r="C4" s="453"/>
      <c r="D4" s="453"/>
      <c r="E4" s="453"/>
      <c r="F4" s="453"/>
      <c r="G4" s="453"/>
      <c r="H4" s="453"/>
      <c r="I4" s="453"/>
      <c r="J4" s="448" t="s">
        <v>612</v>
      </c>
      <c r="K4" s="449"/>
      <c r="L4" s="454" t="s">
        <v>613</v>
      </c>
      <c r="M4" s="451"/>
      <c r="N4" s="444"/>
    </row>
    <row r="5" spans="1:14" ht="15.95" customHeight="1">
      <c r="A5" s="452"/>
      <c r="B5" s="453"/>
      <c r="C5" s="453"/>
      <c r="D5" s="453"/>
      <c r="E5" s="453"/>
      <c r="F5" s="453"/>
      <c r="G5" s="453"/>
      <c r="H5" s="453"/>
      <c r="I5" s="453"/>
      <c r="J5" s="448" t="s">
        <v>614</v>
      </c>
      <c r="K5" s="449"/>
      <c r="L5" s="450">
        <v>2</v>
      </c>
      <c r="M5" s="451"/>
      <c r="N5" s="444"/>
    </row>
    <row r="6" spans="1:14" ht="15.95" customHeight="1">
      <c r="A6" s="456" t="s">
        <v>615</v>
      </c>
      <c r="B6" s="453"/>
      <c r="C6" s="453"/>
      <c r="D6" s="453"/>
      <c r="E6" s="453"/>
      <c r="F6" s="453"/>
      <c r="G6" s="453"/>
      <c r="H6" s="453"/>
      <c r="I6" s="453"/>
      <c r="J6" s="448" t="s">
        <v>616</v>
      </c>
      <c r="K6" s="449"/>
      <c r="L6" s="450" t="s">
        <v>617</v>
      </c>
      <c r="M6" s="451"/>
      <c r="N6" s="444"/>
    </row>
    <row r="7" spans="1:14" ht="15.95" customHeight="1" thickBot="1">
      <c r="A7" s="457" t="s">
        <v>618</v>
      </c>
      <c r="B7" s="458"/>
      <c r="C7" s="458"/>
      <c r="D7" s="458"/>
      <c r="E7" s="458"/>
      <c r="F7" s="458"/>
      <c r="G7" s="458"/>
      <c r="H7" s="458"/>
      <c r="I7" s="458"/>
      <c r="J7" s="459" t="s">
        <v>619</v>
      </c>
      <c r="K7" s="460"/>
      <c r="L7" s="461" t="s">
        <v>620</v>
      </c>
      <c r="M7" s="462"/>
      <c r="N7" s="444"/>
    </row>
    <row r="8" spans="1:14" ht="15.95" customHeight="1">
      <c r="A8" s="463"/>
      <c r="B8" s="453"/>
      <c r="C8" s="453"/>
      <c r="D8" s="453"/>
      <c r="E8" s="453"/>
      <c r="F8" s="453"/>
      <c r="G8" s="453"/>
      <c r="H8" s="453"/>
      <c r="I8" s="453"/>
      <c r="J8" s="453"/>
      <c r="K8" s="464"/>
      <c r="L8" s="465"/>
      <c r="M8" s="466"/>
      <c r="N8" s="453"/>
    </row>
    <row r="9" spans="1:14" ht="12" customHeight="1">
      <c r="A9" s="467"/>
      <c r="B9" s="468" t="s">
        <v>621</v>
      </c>
      <c r="C9" s="469" t="s">
        <v>174</v>
      </c>
      <c r="D9" s="470"/>
      <c r="E9" s="470"/>
      <c r="F9" s="470"/>
      <c r="G9" s="470"/>
      <c r="H9" s="470"/>
      <c r="I9" s="470"/>
      <c r="J9" s="470"/>
      <c r="K9" s="471"/>
      <c r="L9" s="467"/>
      <c r="M9" s="470"/>
      <c r="N9" s="453"/>
    </row>
    <row r="10" spans="1:14" ht="12" customHeight="1">
      <c r="A10" s="467"/>
      <c r="B10" s="468" t="s">
        <v>622</v>
      </c>
      <c r="C10" s="472" t="s">
        <v>174</v>
      </c>
      <c r="D10" s="467"/>
      <c r="E10" s="467"/>
      <c r="F10" s="467"/>
      <c r="G10" s="467"/>
      <c r="H10" s="467"/>
      <c r="I10" s="467"/>
      <c r="J10" s="467"/>
      <c r="K10" s="467"/>
      <c r="L10" s="467"/>
      <c r="M10" s="467"/>
      <c r="N10" s="465"/>
    </row>
    <row r="11" spans="1:14" ht="16.5" thickBot="1">
      <c r="A11" s="465"/>
      <c r="B11" s="465"/>
      <c r="C11" s="465"/>
      <c r="D11" s="465"/>
      <c r="E11" s="465"/>
      <c r="F11" s="465"/>
      <c r="G11" s="465"/>
      <c r="H11" s="465"/>
      <c r="I11" s="465"/>
      <c r="J11" s="465"/>
      <c r="K11" s="465"/>
      <c r="L11" s="465"/>
      <c r="M11" s="465"/>
      <c r="N11" s="465"/>
    </row>
    <row r="12" spans="1:14" ht="20.100000000000001" customHeight="1" thickBot="1">
      <c r="A12" s="473" t="s">
        <v>623</v>
      </c>
      <c r="B12" s="474"/>
      <c r="C12" s="474"/>
      <c r="D12" s="474"/>
      <c r="E12" s="474"/>
      <c r="F12" s="474"/>
      <c r="G12" s="474"/>
      <c r="H12" s="474"/>
      <c r="I12" s="474"/>
      <c r="J12" s="474"/>
      <c r="K12" s="474"/>
      <c r="L12" s="474"/>
      <c r="M12" s="475"/>
      <c r="N12" s="444"/>
    </row>
    <row r="13" spans="1:14" ht="12.95" customHeight="1" thickTop="1">
      <c r="A13" s="476"/>
      <c r="B13" s="468" t="s">
        <v>624</v>
      </c>
      <c r="C13" s="477">
        <v>800</v>
      </c>
      <c r="D13" s="467"/>
      <c r="E13" s="468" t="s">
        <v>625</v>
      </c>
      <c r="F13" s="477">
        <v>4000</v>
      </c>
      <c r="G13" s="467"/>
      <c r="H13" s="468" t="s">
        <v>626</v>
      </c>
      <c r="I13" s="477" t="s">
        <v>710</v>
      </c>
      <c r="J13" s="467"/>
      <c r="K13" s="467"/>
      <c r="L13" s="468" t="s">
        <v>627</v>
      </c>
      <c r="M13" s="478">
        <v>3600</v>
      </c>
      <c r="N13" s="444"/>
    </row>
    <row r="14" spans="1:14" ht="12.95" customHeight="1">
      <c r="A14" s="476"/>
      <c r="B14" s="468" t="s">
        <v>628</v>
      </c>
      <c r="C14" s="469" t="s">
        <v>721</v>
      </c>
      <c r="D14" s="467"/>
      <c r="E14" s="468" t="s">
        <v>629</v>
      </c>
      <c r="F14" s="479" t="s">
        <v>670</v>
      </c>
      <c r="G14" s="467"/>
      <c r="H14" s="468" t="s">
        <v>630</v>
      </c>
      <c r="I14" s="477">
        <v>101</v>
      </c>
      <c r="J14" s="467"/>
      <c r="K14" s="467"/>
      <c r="L14" s="468" t="s">
        <v>585</v>
      </c>
      <c r="M14" s="478">
        <v>3580</v>
      </c>
      <c r="N14" s="444"/>
    </row>
    <row r="15" spans="1:14" ht="12.95" customHeight="1">
      <c r="A15" s="476"/>
      <c r="B15" s="468" t="s">
        <v>631</v>
      </c>
      <c r="C15" s="477" t="s">
        <v>720</v>
      </c>
      <c r="D15" s="467"/>
      <c r="E15" s="468" t="s">
        <v>632</v>
      </c>
      <c r="F15" s="480">
        <v>1.1499999999999999</v>
      </c>
      <c r="G15" s="467"/>
      <c r="H15" s="468" t="s">
        <v>633</v>
      </c>
      <c r="I15" s="479" t="s">
        <v>174</v>
      </c>
      <c r="J15" s="467"/>
      <c r="K15" s="467"/>
      <c r="L15" s="468" t="s">
        <v>634</v>
      </c>
      <c r="M15" s="478" t="s">
        <v>364</v>
      </c>
      <c r="N15" s="444"/>
    </row>
    <row r="16" spans="1:14" ht="12.95" customHeight="1">
      <c r="A16" s="476"/>
      <c r="B16" s="468" t="s">
        <v>635</v>
      </c>
      <c r="C16" s="477" t="s">
        <v>711</v>
      </c>
      <c r="D16" s="467"/>
      <c r="E16" s="468" t="s">
        <v>636</v>
      </c>
      <c r="F16" s="477" t="s">
        <v>445</v>
      </c>
      <c r="G16" s="467"/>
      <c r="H16" s="481" t="s">
        <v>637</v>
      </c>
      <c r="I16" s="482" t="s">
        <v>364</v>
      </c>
      <c r="J16" s="467"/>
      <c r="K16" s="467"/>
      <c r="L16" s="468" t="s">
        <v>638</v>
      </c>
      <c r="M16" s="478" t="s">
        <v>639</v>
      </c>
      <c r="N16" s="444"/>
    </row>
    <row r="17" spans="1:14" ht="12.95" customHeight="1">
      <c r="A17" s="476"/>
      <c r="B17" s="468" t="s">
        <v>640</v>
      </c>
      <c r="C17" s="469" t="s">
        <v>389</v>
      </c>
      <c r="D17" s="467"/>
      <c r="E17" s="468"/>
      <c r="F17" s="479"/>
      <c r="G17" s="467"/>
      <c r="H17" s="468" t="s">
        <v>641</v>
      </c>
      <c r="I17" s="482" t="s">
        <v>174</v>
      </c>
      <c r="J17" s="467"/>
      <c r="K17" s="467"/>
      <c r="L17" s="468"/>
      <c r="M17" s="483"/>
      <c r="N17" s="444"/>
    </row>
    <row r="18" spans="1:14" ht="12.95" customHeight="1" thickBot="1">
      <c r="A18" s="484"/>
      <c r="B18" s="485" t="s">
        <v>642</v>
      </c>
      <c r="C18" s="486" t="s">
        <v>174</v>
      </c>
      <c r="D18" s="487"/>
      <c r="E18" s="485" t="s">
        <v>643</v>
      </c>
      <c r="F18" s="486" t="s">
        <v>174</v>
      </c>
      <c r="G18" s="488"/>
      <c r="H18" s="485" t="s">
        <v>644</v>
      </c>
      <c r="I18" s="486" t="s">
        <v>174</v>
      </c>
      <c r="J18" s="487"/>
      <c r="K18" s="487"/>
      <c r="L18" s="487"/>
      <c r="M18" s="489"/>
      <c r="N18" s="444"/>
    </row>
    <row r="19" spans="1:14" ht="16.5" thickBot="1">
      <c r="A19" s="444"/>
      <c r="B19" s="444"/>
      <c r="C19" s="444"/>
      <c r="D19" s="444"/>
      <c r="E19" s="444"/>
      <c r="F19" s="444"/>
      <c r="G19" s="444"/>
      <c r="H19" s="444"/>
      <c r="I19" s="444"/>
      <c r="J19" s="444"/>
      <c r="K19" s="444"/>
      <c r="L19" s="444"/>
      <c r="M19" s="444"/>
      <c r="N19" s="444"/>
    </row>
    <row r="20" spans="1:14" ht="20.100000000000001" customHeight="1" thickBot="1">
      <c r="A20" s="473"/>
      <c r="B20" s="474"/>
      <c r="C20" s="474"/>
      <c r="D20" s="474"/>
      <c r="E20" s="474"/>
      <c r="F20" s="474"/>
      <c r="G20" s="474"/>
      <c r="H20" s="474"/>
      <c r="I20" s="474"/>
      <c r="J20" s="474"/>
      <c r="K20" s="474"/>
      <c r="L20" s="474"/>
      <c r="M20" s="475"/>
    </row>
    <row r="21" spans="1:14" ht="15.95" customHeight="1" thickTop="1">
      <c r="A21" s="490" t="s">
        <v>645</v>
      </c>
      <c r="B21" s="491"/>
      <c r="C21" s="465"/>
      <c r="D21" s="492"/>
      <c r="E21" s="493" t="s">
        <v>646</v>
      </c>
      <c r="F21" s="494"/>
      <c r="G21" s="494"/>
      <c r="H21" s="495"/>
      <c r="I21" s="496" t="s">
        <v>647</v>
      </c>
      <c r="J21" s="494"/>
      <c r="K21" s="494"/>
      <c r="L21" s="465"/>
      <c r="M21" s="497"/>
    </row>
    <row r="22" spans="1:14" ht="15.95" customHeight="1">
      <c r="A22" s="498"/>
      <c r="B22" s="467"/>
      <c r="C22" s="468" t="s">
        <v>648</v>
      </c>
      <c r="D22" s="499">
        <v>615</v>
      </c>
      <c r="E22" s="468"/>
      <c r="G22" s="481" t="s">
        <v>649</v>
      </c>
      <c r="H22" s="500">
        <v>1174</v>
      </c>
      <c r="I22" s="468"/>
      <c r="J22" s="467"/>
      <c r="K22" s="468" t="s">
        <v>650</v>
      </c>
      <c r="L22" s="467" t="s">
        <v>651</v>
      </c>
      <c r="M22" s="483"/>
    </row>
    <row r="23" spans="1:14" ht="15.95" customHeight="1">
      <c r="A23" s="498"/>
      <c r="B23" s="468"/>
      <c r="C23" s="471"/>
      <c r="D23" s="501"/>
      <c r="E23" s="468"/>
      <c r="G23" s="468" t="s">
        <v>652</v>
      </c>
      <c r="H23" s="499">
        <v>105</v>
      </c>
      <c r="I23" s="467"/>
      <c r="J23" s="467"/>
      <c r="K23" s="468" t="s">
        <v>653</v>
      </c>
      <c r="L23" s="467" t="s">
        <v>651</v>
      </c>
      <c r="M23" s="483"/>
    </row>
    <row r="24" spans="1:14" ht="15.95" customHeight="1">
      <c r="A24" s="476"/>
      <c r="B24" s="468"/>
      <c r="C24" s="467"/>
      <c r="D24" s="501"/>
      <c r="E24" s="468"/>
      <c r="G24" s="481" t="s">
        <v>654</v>
      </c>
      <c r="H24" s="499">
        <v>285</v>
      </c>
      <c r="I24" s="467"/>
      <c r="J24" s="468"/>
      <c r="K24" s="467"/>
      <c r="L24" s="467"/>
      <c r="M24" s="483"/>
    </row>
    <row r="25" spans="1:14" ht="15.95" customHeight="1" thickBot="1">
      <c r="A25" s="484"/>
      <c r="B25" s="485"/>
      <c r="C25" s="487"/>
      <c r="D25" s="502"/>
      <c r="E25" s="485"/>
      <c r="F25" s="485"/>
      <c r="G25" s="485"/>
      <c r="H25" s="503"/>
      <c r="I25" s="487"/>
      <c r="J25" s="485"/>
      <c r="K25" s="487"/>
      <c r="L25" s="487"/>
      <c r="M25" s="489"/>
    </row>
    <row r="26" spans="1:14" ht="18.95" customHeight="1" thickBot="1">
      <c r="A26" s="463"/>
      <c r="B26" s="463"/>
      <c r="C26" s="463"/>
      <c r="D26" s="444"/>
      <c r="E26" s="444"/>
      <c r="F26" s="444"/>
      <c r="G26" s="444"/>
      <c r="H26" s="444"/>
      <c r="I26" s="444"/>
      <c r="J26" s="444"/>
      <c r="K26" s="444"/>
      <c r="L26" s="444"/>
      <c r="M26" s="444"/>
      <c r="N26" s="444"/>
    </row>
    <row r="27" spans="1:14" ht="20.100000000000001" customHeight="1" thickBot="1">
      <c r="A27" s="504"/>
      <c r="B27" s="505"/>
      <c r="C27" s="505"/>
      <c r="D27" s="505"/>
      <c r="E27" s="505"/>
      <c r="F27" s="505"/>
      <c r="G27" s="506"/>
      <c r="H27" s="505"/>
      <c r="I27" s="505"/>
      <c r="J27" s="505"/>
      <c r="K27" s="505"/>
      <c r="L27" s="505"/>
      <c r="M27" s="507"/>
    </row>
    <row r="28" spans="1:14" ht="15.95" customHeight="1" thickTop="1">
      <c r="A28" s="508" t="s">
        <v>655</v>
      </c>
      <c r="B28" s="491"/>
      <c r="C28" s="465"/>
      <c r="D28" s="465"/>
      <c r="E28" s="494"/>
      <c r="F28" s="494"/>
      <c r="G28" s="509"/>
      <c r="H28" s="493" t="s">
        <v>656</v>
      </c>
      <c r="I28" s="494"/>
      <c r="J28" s="494"/>
      <c r="K28" s="493"/>
      <c r="L28" s="494"/>
      <c r="M28" s="497"/>
    </row>
    <row r="29" spans="1:14" ht="15.95" customHeight="1">
      <c r="A29" s="476"/>
      <c r="B29" s="468"/>
      <c r="C29" s="468" t="s">
        <v>657</v>
      </c>
      <c r="D29" s="510">
        <v>93.3</v>
      </c>
      <c r="E29" s="468"/>
      <c r="F29" s="468"/>
      <c r="G29" s="509"/>
      <c r="H29" s="481"/>
      <c r="I29" s="468"/>
      <c r="J29" s="468" t="s">
        <v>657</v>
      </c>
      <c r="K29" s="510">
        <v>91.2</v>
      </c>
      <c r="L29" s="467"/>
      <c r="M29" s="483"/>
    </row>
    <row r="30" spans="1:14" ht="15.95" customHeight="1">
      <c r="A30" s="511"/>
      <c r="B30" s="467"/>
      <c r="C30" s="468" t="s">
        <v>658</v>
      </c>
      <c r="D30" s="510">
        <v>92.5</v>
      </c>
      <c r="E30" s="468"/>
      <c r="F30" s="468"/>
      <c r="G30" s="509"/>
      <c r="H30" s="468"/>
      <c r="I30" s="467"/>
      <c r="J30" s="468" t="s">
        <v>658</v>
      </c>
      <c r="K30" s="510">
        <v>89.5</v>
      </c>
      <c r="L30" s="467"/>
      <c r="M30" s="483"/>
    </row>
    <row r="31" spans="1:14" ht="15.95" customHeight="1">
      <c r="A31" s="476"/>
      <c r="B31" s="468"/>
      <c r="C31" s="468" t="s">
        <v>659</v>
      </c>
      <c r="D31" s="510">
        <v>90.5</v>
      </c>
      <c r="E31" s="468"/>
      <c r="F31" s="468"/>
      <c r="G31" s="509"/>
      <c r="H31" s="468"/>
      <c r="I31" s="467"/>
      <c r="J31" s="468" t="s">
        <v>659</v>
      </c>
      <c r="K31" s="510">
        <v>84.5</v>
      </c>
      <c r="L31" s="468"/>
      <c r="M31" s="483"/>
    </row>
    <row r="32" spans="1:14" ht="15.95" customHeight="1" thickBot="1">
      <c r="A32" s="484"/>
      <c r="B32" s="485"/>
      <c r="C32" s="487"/>
      <c r="D32" s="487"/>
      <c r="E32" s="485"/>
      <c r="F32" s="485"/>
      <c r="G32" s="512"/>
      <c r="H32" s="485"/>
      <c r="I32" s="487"/>
      <c r="J32" s="485"/>
      <c r="K32" s="487"/>
      <c r="L32" s="485"/>
      <c r="M32" s="489"/>
    </row>
    <row r="33" spans="1:14" ht="20.100000000000001" customHeight="1" thickBot="1">
      <c r="A33" s="513"/>
      <c r="B33" s="513"/>
      <c r="C33" s="513"/>
      <c r="D33" s="513"/>
      <c r="E33" s="513"/>
      <c r="F33" s="513"/>
      <c r="G33" s="513"/>
      <c r="H33" s="513"/>
      <c r="I33" s="513"/>
      <c r="J33" s="513"/>
      <c r="K33" s="513"/>
      <c r="L33" s="513"/>
      <c r="M33" s="513"/>
      <c r="N33" s="513"/>
    </row>
    <row r="34" spans="1:14" ht="20.100000000000001" customHeight="1" thickBot="1">
      <c r="A34" s="514"/>
      <c r="B34" s="515"/>
      <c r="C34" s="515"/>
      <c r="D34" s="515"/>
      <c r="E34" s="515"/>
      <c r="F34" s="515"/>
      <c r="G34" s="515"/>
      <c r="H34" s="515"/>
      <c r="I34" s="515"/>
      <c r="J34" s="515"/>
      <c r="K34" s="515"/>
      <c r="L34" s="515"/>
      <c r="M34" s="516"/>
    </row>
    <row r="35" spans="1:14" ht="15.95" customHeight="1" thickTop="1">
      <c r="A35" s="517" t="s">
        <v>660</v>
      </c>
      <c r="B35" s="471"/>
      <c r="C35" s="471"/>
      <c r="D35" s="471"/>
      <c r="E35" s="471"/>
      <c r="F35" s="471"/>
      <c r="G35" s="471"/>
      <c r="H35" s="471"/>
      <c r="I35" s="471"/>
      <c r="J35" s="471"/>
      <c r="K35" s="471"/>
      <c r="L35" s="471"/>
      <c r="M35" s="518"/>
    </row>
    <row r="36" spans="1:14" ht="15.95" customHeight="1">
      <c r="A36" s="511" t="s">
        <v>661</v>
      </c>
      <c r="B36" s="471"/>
      <c r="C36" s="471"/>
      <c r="D36" s="471"/>
      <c r="E36" s="471"/>
      <c r="F36" s="471"/>
      <c r="G36" s="471"/>
      <c r="H36" s="471"/>
      <c r="I36" s="471"/>
      <c r="J36" s="471"/>
      <c r="K36" s="471"/>
      <c r="L36" s="471"/>
      <c r="M36" s="518"/>
    </row>
    <row r="37" spans="1:14" ht="15.95" customHeight="1">
      <c r="A37" s="519" t="s">
        <v>662</v>
      </c>
      <c r="B37" s="471"/>
      <c r="C37" s="471"/>
      <c r="D37" s="471"/>
      <c r="E37" s="520"/>
      <c r="F37" s="471"/>
      <c r="G37" s="471"/>
      <c r="H37" s="471"/>
      <c r="I37" s="471"/>
      <c r="J37" s="471"/>
      <c r="K37" s="471"/>
      <c r="L37" s="471"/>
      <c r="M37" s="518"/>
    </row>
    <row r="38" spans="1:14" ht="15.95" customHeight="1">
      <c r="A38" s="521" t="s">
        <v>663</v>
      </c>
      <c r="B38" s="471"/>
      <c r="C38" s="471"/>
      <c r="D38" s="471"/>
      <c r="E38" s="471"/>
      <c r="F38" s="471"/>
      <c r="G38" s="471"/>
      <c r="H38" s="471"/>
      <c r="I38" s="471"/>
      <c r="J38" s="471"/>
      <c r="K38" s="471"/>
      <c r="L38" s="471"/>
      <c r="M38" s="518"/>
    </row>
    <row r="39" spans="1:14" ht="15.95" customHeight="1">
      <c r="A39" s="522" t="s">
        <v>664</v>
      </c>
      <c r="B39" s="471"/>
      <c r="C39" s="471"/>
      <c r="D39" s="471"/>
      <c r="E39" s="471"/>
      <c r="F39" s="471"/>
      <c r="G39" s="471"/>
      <c r="H39" s="471"/>
      <c r="I39" s="471"/>
      <c r="J39" s="471"/>
      <c r="K39" s="471"/>
      <c r="L39" s="471"/>
      <c r="M39" s="518"/>
    </row>
    <row r="40" spans="1:14" ht="15.95" customHeight="1" thickBot="1">
      <c r="A40" s="523" t="s">
        <v>665</v>
      </c>
      <c r="B40" s="524"/>
      <c r="C40" s="524"/>
      <c r="D40" s="524"/>
      <c r="E40" s="524"/>
      <c r="F40" s="524"/>
      <c r="G40" s="524"/>
      <c r="H40" s="524"/>
      <c r="I40" s="524"/>
      <c r="J40" s="524"/>
      <c r="K40" s="524"/>
      <c r="L40" s="524"/>
      <c r="M40" s="525"/>
    </row>
    <row r="41" spans="1:14" ht="15.95" customHeight="1"/>
    <row r="42" spans="1:14" ht="18">
      <c r="A42" s="526"/>
      <c r="B42" s="526"/>
      <c r="C42" s="526"/>
      <c r="D42" s="526"/>
      <c r="E42" s="526"/>
      <c r="F42" s="526"/>
      <c r="G42" s="526"/>
      <c r="H42" s="444"/>
      <c r="I42" s="444"/>
      <c r="J42" s="527" t="s">
        <v>666</v>
      </c>
      <c r="K42" s="654" t="s">
        <v>667</v>
      </c>
      <c r="L42" s="654"/>
      <c r="M42" s="654"/>
      <c r="N42" s="526"/>
    </row>
    <row r="43" spans="1:14" ht="7.5" customHeight="1">
      <c r="H43" s="444"/>
      <c r="I43" s="444"/>
      <c r="J43" s="444"/>
      <c r="K43" s="444"/>
      <c r="L43" s="444"/>
      <c r="M43" s="444"/>
    </row>
    <row r="44" spans="1:14" ht="16.5">
      <c r="H44" s="444"/>
      <c r="I44" s="444"/>
      <c r="J44" s="527" t="s">
        <v>668</v>
      </c>
      <c r="K44" s="655">
        <v>45008</v>
      </c>
      <c r="L44" s="655"/>
      <c r="M44" s="655"/>
    </row>
    <row r="59" spans="1:5">
      <c r="A59" s="445" t="s">
        <v>174</v>
      </c>
      <c r="B59" s="445" t="s">
        <v>669</v>
      </c>
      <c r="D59" s="445">
        <v>1</v>
      </c>
      <c r="E59" s="528" t="s">
        <v>174</v>
      </c>
    </row>
    <row r="60" spans="1:5">
      <c r="A60" s="445" t="s">
        <v>670</v>
      </c>
      <c r="B60" s="445" t="s">
        <v>671</v>
      </c>
      <c r="D60" s="445">
        <v>1.1499999999999999</v>
      </c>
      <c r="E60" s="528" t="s">
        <v>183</v>
      </c>
    </row>
    <row r="61" spans="1:5">
      <c r="A61" s="445" t="s">
        <v>672</v>
      </c>
      <c r="B61" s="445" t="s">
        <v>673</v>
      </c>
      <c r="E61" s="528" t="s">
        <v>321</v>
      </c>
    </row>
    <row r="62" spans="1:5">
      <c r="B62" s="445" t="s">
        <v>674</v>
      </c>
    </row>
    <row r="63" spans="1:5">
      <c r="B63" s="445" t="s">
        <v>675</v>
      </c>
    </row>
    <row r="64" spans="1:5">
      <c r="B64" s="445" t="s">
        <v>676</v>
      </c>
    </row>
    <row r="65" spans="2:2">
      <c r="B65" s="445" t="s">
        <v>677</v>
      </c>
    </row>
    <row r="66" spans="2:2">
      <c r="B66" s="445" t="s">
        <v>678</v>
      </c>
    </row>
    <row r="67" spans="2:2">
      <c r="B67" s="445" t="s">
        <v>679</v>
      </c>
    </row>
    <row r="68" spans="2:2">
      <c r="B68" s="445" t="s">
        <v>680</v>
      </c>
    </row>
    <row r="69" spans="2:2">
      <c r="B69" s="445" t="s">
        <v>681</v>
      </c>
    </row>
    <row r="70" spans="2:2">
      <c r="B70" s="445" t="s">
        <v>682</v>
      </c>
    </row>
    <row r="71" spans="2:2">
      <c r="B71" s="445" t="s">
        <v>683</v>
      </c>
    </row>
    <row r="72" spans="2:2">
      <c r="B72" s="445" t="s">
        <v>684</v>
      </c>
    </row>
    <row r="73" spans="2:2">
      <c r="B73" s="445" t="s">
        <v>685</v>
      </c>
    </row>
    <row r="74" spans="2:2">
      <c r="B74" s="445" t="s">
        <v>686</v>
      </c>
    </row>
    <row r="75" spans="2:2">
      <c r="B75" s="445" t="s">
        <v>687</v>
      </c>
    </row>
    <row r="76" spans="2:2">
      <c r="B76" s="445" t="s">
        <v>688</v>
      </c>
    </row>
    <row r="77" spans="2:2">
      <c r="B77" s="445" t="s">
        <v>689</v>
      </c>
    </row>
    <row r="78" spans="2:2">
      <c r="B78" s="445" t="s">
        <v>690</v>
      </c>
    </row>
    <row r="79" spans="2:2">
      <c r="B79" s="445" t="s">
        <v>691</v>
      </c>
    </row>
    <row r="80" spans="2:2">
      <c r="B80" s="445">
        <v>6312</v>
      </c>
    </row>
    <row r="81" spans="2:2">
      <c r="B81" s="445" t="s">
        <v>692</v>
      </c>
    </row>
    <row r="82" spans="2:2">
      <c r="B82" s="445" t="s">
        <v>693</v>
      </c>
    </row>
    <row r="83" spans="2:2">
      <c r="B83" s="445" t="s">
        <v>694</v>
      </c>
    </row>
    <row r="84" spans="2:2">
      <c r="B84" s="445" t="s">
        <v>695</v>
      </c>
    </row>
    <row r="85" spans="2:2">
      <c r="B85" s="445">
        <v>6313</v>
      </c>
    </row>
    <row r="86" spans="2:2">
      <c r="B86" s="445" t="s">
        <v>696</v>
      </c>
    </row>
    <row r="87" spans="2:2">
      <c r="B87" s="445" t="s">
        <v>697</v>
      </c>
    </row>
    <row r="88" spans="2:2">
      <c r="B88" s="445" t="s">
        <v>698</v>
      </c>
    </row>
    <row r="89" spans="2:2">
      <c r="B89" s="445">
        <v>6314</v>
      </c>
    </row>
    <row r="90" spans="2:2">
      <c r="B90" s="445" t="s">
        <v>699</v>
      </c>
    </row>
    <row r="91" spans="2:2">
      <c r="B91" s="445">
        <v>6317</v>
      </c>
    </row>
    <row r="92" spans="2:2">
      <c r="B92" s="445" t="s">
        <v>700</v>
      </c>
    </row>
    <row r="93" spans="2:2">
      <c r="B93" s="445">
        <v>6318</v>
      </c>
    </row>
    <row r="94" spans="2:2">
      <c r="B94" s="445" t="s">
        <v>701</v>
      </c>
    </row>
    <row r="95" spans="2:2">
      <c r="B95" s="445" t="s">
        <v>702</v>
      </c>
    </row>
    <row r="96" spans="2:2">
      <c r="B96" s="445" t="s">
        <v>703</v>
      </c>
    </row>
    <row r="97" spans="2:2">
      <c r="B97" s="445">
        <v>6320</v>
      </c>
    </row>
    <row r="98" spans="2:2">
      <c r="B98" s="445" t="s">
        <v>704</v>
      </c>
    </row>
    <row r="99" spans="2:2">
      <c r="B99" s="445" t="s">
        <v>705</v>
      </c>
    </row>
    <row r="100" spans="2:2">
      <c r="B100" s="445" t="s">
        <v>706</v>
      </c>
    </row>
    <row r="101" spans="2:2">
      <c r="B101" s="445" t="s">
        <v>707</v>
      </c>
    </row>
    <row r="102" spans="2:2">
      <c r="B102" s="445" t="s">
        <v>707</v>
      </c>
    </row>
    <row r="118" spans="2:2">
      <c r="B118" s="445" t="s">
        <v>708</v>
      </c>
    </row>
    <row r="120" spans="2:2">
      <c r="B120" s="445" t="s">
        <v>709</v>
      </c>
    </row>
  </sheetData>
  <mergeCells count="2">
    <mergeCell ref="K42:M42"/>
    <mergeCell ref="K44:M44"/>
  </mergeCells>
  <printOptions horizontalCentered="1" gridLinesSet="0"/>
  <pageMargins left="0.5" right="0.5" top="0.5" bottom="0.5" header="0.5" footer="0.5"/>
  <pageSetup orientation="portrait" horizontalDpi="4294967292" r:id="rId1"/>
  <headerFooter alignWithMargins="0">
    <oddFooter>&amp;L&amp;"Univers (WN),Regular"&amp;7N:\ELECTRIC\PERFORMA&amp;C&amp;"Univers (WN),Regular"&amp;7&amp;F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L67"/>
  <sheetViews>
    <sheetView workbookViewId="0">
      <selection activeCell="L33" sqref="L33"/>
    </sheetView>
  </sheetViews>
  <sheetFormatPr defaultColWidth="9.140625" defaultRowHeight="12.75"/>
  <cols>
    <col min="1" max="6" width="16.7109375" style="381" customWidth="1"/>
    <col min="7" max="16384" width="9.140625" style="381"/>
  </cols>
  <sheetData>
    <row r="1" spans="1:6" ht="18.95" customHeight="1">
      <c r="A1" s="393"/>
      <c r="B1" s="394"/>
      <c r="C1" s="394"/>
      <c r="D1" s="394"/>
      <c r="E1" s="394"/>
      <c r="F1" s="395"/>
    </row>
    <row r="2" spans="1:6" ht="26.1" customHeight="1">
      <c r="A2" s="396" t="s">
        <v>268</v>
      </c>
      <c r="B2" s="397"/>
      <c r="C2" s="397"/>
      <c r="D2" s="397"/>
      <c r="E2" s="397"/>
      <c r="F2" s="398"/>
    </row>
    <row r="3" spans="1:6" ht="18.95" customHeight="1">
      <c r="A3" s="399" t="s">
        <v>573</v>
      </c>
      <c r="B3" s="397"/>
      <c r="C3" s="397"/>
      <c r="D3" s="397"/>
      <c r="E3" s="397"/>
      <c r="F3" s="398"/>
    </row>
    <row r="4" spans="1:6" ht="18.95" customHeight="1">
      <c r="A4" s="400"/>
      <c r="B4" s="401"/>
      <c r="C4" s="401"/>
      <c r="D4" s="401"/>
      <c r="E4" s="401"/>
      <c r="F4" s="402"/>
    </row>
    <row r="5" spans="1:6" ht="18.95" customHeight="1">
      <c r="A5" s="400"/>
      <c r="B5" s="401"/>
      <c r="C5" s="401"/>
      <c r="D5" s="401"/>
      <c r="E5" s="401"/>
      <c r="F5" s="402"/>
    </row>
    <row r="6" spans="1:6" ht="18.95" customHeight="1">
      <c r="A6" s="403" t="s">
        <v>574</v>
      </c>
      <c r="B6" s="656" t="str">
        <f>'Performance Data Sheet'!C17</f>
        <v>8003TCQL11F-C</v>
      </c>
      <c r="C6" s="657"/>
      <c r="D6" s="658"/>
      <c r="E6" s="403" t="s">
        <v>575</v>
      </c>
      <c r="F6" s="404">
        <f>'Performance Data Sheet'!I14</f>
        <v>101</v>
      </c>
    </row>
    <row r="7" spans="1:6" ht="18.95" customHeight="1">
      <c r="A7" s="403" t="s">
        <v>576</v>
      </c>
      <c r="B7" s="404" t="str">
        <f>'Performance Data Sheet'!F14</f>
        <v>TEFC</v>
      </c>
      <c r="C7" s="403" t="s">
        <v>577</v>
      </c>
      <c r="D7" s="404" t="str">
        <f>'Performance Data Sheet'!F13 &amp; " V"</f>
        <v>4000 V</v>
      </c>
      <c r="E7" s="403" t="s">
        <v>578</v>
      </c>
      <c r="F7" s="404" t="str">
        <f>'Performance Data Sheet'!C14</f>
        <v>5812USS</v>
      </c>
    </row>
    <row r="8" spans="1:6" ht="18.95" customHeight="1">
      <c r="A8" s="403" t="s">
        <v>579</v>
      </c>
      <c r="B8" s="404">
        <v>2</v>
      </c>
      <c r="C8" s="403" t="s">
        <v>580</v>
      </c>
      <c r="D8" s="404" t="s">
        <v>581</v>
      </c>
      <c r="E8" s="403" t="s">
        <v>582</v>
      </c>
      <c r="F8" s="404" t="str">
        <f>'Performance Data Sheet'!M15</f>
        <v>F</v>
      </c>
    </row>
    <row r="9" spans="1:6" ht="18.95" customHeight="1">
      <c r="A9" s="403" t="s">
        <v>583</v>
      </c>
      <c r="B9" s="404">
        <f>'Performance Data Sheet'!C13</f>
        <v>800</v>
      </c>
      <c r="C9" s="403" t="s">
        <v>584</v>
      </c>
      <c r="D9" s="404" t="s">
        <v>594</v>
      </c>
      <c r="E9" s="403" t="s">
        <v>2</v>
      </c>
      <c r="F9" s="405">
        <f>'Performance Data Sheet'!K44</f>
        <v>45008</v>
      </c>
    </row>
    <row r="10" spans="1:6" ht="18.95" customHeight="1">
      <c r="A10" s="403" t="s">
        <v>585</v>
      </c>
      <c r="B10" s="404">
        <f>'Performance Data Sheet'!M14</f>
        <v>3580</v>
      </c>
      <c r="C10" s="403" t="s">
        <v>404</v>
      </c>
      <c r="D10" s="404" t="s">
        <v>595</v>
      </c>
      <c r="E10" s="403" t="s">
        <v>1</v>
      </c>
      <c r="F10" s="404" t="s">
        <v>719</v>
      </c>
    </row>
    <row r="11" spans="1:6" ht="18.95" customHeight="1">
      <c r="A11" s="400"/>
      <c r="B11" s="401"/>
      <c r="C11" s="401"/>
      <c r="D11" s="401"/>
      <c r="E11" s="401"/>
      <c r="F11" s="402"/>
    </row>
    <row r="12" spans="1:6" ht="18.95" customHeight="1">
      <c r="A12" s="400"/>
      <c r="B12" s="406" t="s">
        <v>586</v>
      </c>
      <c r="C12" s="407" t="str">
        <f>'Performance Data Sheet'!D22 &amp; " A"</f>
        <v>615 A</v>
      </c>
      <c r="D12" s="406" t="s">
        <v>403</v>
      </c>
      <c r="E12" s="407" t="s">
        <v>407</v>
      </c>
      <c r="F12" s="402"/>
    </row>
    <row r="13" spans="1:6" ht="18.95" customHeight="1">
      <c r="A13" s="400"/>
      <c r="B13" s="406" t="s">
        <v>587</v>
      </c>
      <c r="C13" s="408">
        <f>'Performance Data Sheet'!H23/100</f>
        <v>1.05</v>
      </c>
      <c r="D13" s="406" t="s">
        <v>588</v>
      </c>
      <c r="E13" s="407" t="s">
        <v>596</v>
      </c>
      <c r="F13" s="402"/>
    </row>
    <row r="14" spans="1:6" ht="18.95" customHeight="1">
      <c r="A14" s="400"/>
      <c r="B14" s="406" t="s">
        <v>589</v>
      </c>
      <c r="C14" s="408">
        <v>2.85</v>
      </c>
      <c r="D14" s="406" t="s">
        <v>405</v>
      </c>
      <c r="E14" s="407" t="s">
        <v>410</v>
      </c>
      <c r="F14" s="402"/>
    </row>
    <row r="15" spans="1:6" ht="18.95" customHeight="1">
      <c r="A15" s="400"/>
      <c r="B15" s="406" t="s">
        <v>406</v>
      </c>
      <c r="C15" s="407" t="str">
        <f>'Performance Data Sheet'!H22 &amp; " lb-ft"</f>
        <v>1174 lb-ft</v>
      </c>
      <c r="D15" s="401"/>
      <c r="E15" s="401"/>
      <c r="F15" s="402"/>
    </row>
    <row r="16" spans="1:6" ht="18.95" customHeight="1">
      <c r="A16" s="400"/>
      <c r="B16" s="401"/>
      <c r="C16" s="401"/>
      <c r="D16" s="401"/>
      <c r="E16" s="401"/>
      <c r="F16" s="402"/>
    </row>
    <row r="17" spans="1:6" ht="18.95" customHeight="1">
      <c r="A17" s="400"/>
      <c r="B17" s="401"/>
      <c r="C17" s="401"/>
      <c r="D17" s="401"/>
      <c r="E17" s="401"/>
      <c r="F17" s="402"/>
    </row>
    <row r="18" spans="1:6" ht="18.95" customHeight="1">
      <c r="A18" s="400"/>
      <c r="B18" s="401"/>
      <c r="C18" s="401"/>
      <c r="D18" s="401"/>
      <c r="E18" s="401"/>
      <c r="F18" s="402"/>
    </row>
    <row r="19" spans="1:6" ht="18.95" customHeight="1">
      <c r="A19" s="400"/>
      <c r="B19" s="401"/>
      <c r="C19" s="401"/>
      <c r="D19" s="401"/>
      <c r="E19" s="401"/>
      <c r="F19" s="402"/>
    </row>
    <row r="20" spans="1:6" ht="18.95" customHeight="1">
      <c r="A20" s="400"/>
      <c r="B20" s="401"/>
      <c r="C20" s="401"/>
      <c r="D20" s="401"/>
      <c r="E20" s="401"/>
      <c r="F20" s="402"/>
    </row>
    <row r="21" spans="1:6" ht="18.95" customHeight="1">
      <c r="A21" s="400"/>
      <c r="B21" s="401"/>
      <c r="C21" s="401"/>
      <c r="D21" s="401"/>
      <c r="E21" s="401"/>
      <c r="F21" s="402"/>
    </row>
    <row r="22" spans="1:6" ht="18.95" customHeight="1">
      <c r="A22" s="400"/>
      <c r="B22" s="401"/>
      <c r="C22" s="401"/>
      <c r="D22" s="401"/>
      <c r="E22" s="401"/>
      <c r="F22" s="402"/>
    </row>
    <row r="23" spans="1:6" ht="18.95" customHeight="1">
      <c r="A23" s="400"/>
      <c r="B23" s="401"/>
      <c r="C23" s="401"/>
      <c r="D23" s="401"/>
      <c r="E23" s="401"/>
      <c r="F23" s="402"/>
    </row>
    <row r="24" spans="1:6" ht="18.95" customHeight="1">
      <c r="A24" s="400"/>
      <c r="B24" s="401"/>
      <c r="C24" s="401"/>
      <c r="D24" s="401"/>
      <c r="E24" s="401"/>
      <c r="F24" s="402"/>
    </row>
    <row r="25" spans="1:6" ht="18.95" customHeight="1">
      <c r="A25" s="400"/>
      <c r="B25" s="401"/>
      <c r="C25" s="401"/>
      <c r="D25" s="401"/>
      <c r="E25" s="401"/>
      <c r="F25" s="402"/>
    </row>
    <row r="26" spans="1:6" ht="18.95" customHeight="1">
      <c r="A26" s="400"/>
      <c r="B26" s="401"/>
      <c r="C26" s="401"/>
      <c r="D26" s="401"/>
      <c r="E26" s="401"/>
      <c r="F26" s="402"/>
    </row>
    <row r="27" spans="1:6" ht="18.95" customHeight="1">
      <c r="A27" s="400"/>
      <c r="B27" s="401"/>
      <c r="C27" s="401"/>
      <c r="D27" s="401"/>
      <c r="E27" s="401"/>
      <c r="F27" s="402"/>
    </row>
    <row r="28" spans="1:6" ht="18.95" customHeight="1">
      <c r="A28" s="400"/>
      <c r="B28" s="401"/>
      <c r="C28" s="401"/>
      <c r="D28" s="401"/>
      <c r="E28" s="401"/>
      <c r="F28" s="402"/>
    </row>
    <row r="29" spans="1:6" ht="18.95" customHeight="1">
      <c r="A29" s="400"/>
      <c r="B29" s="401"/>
      <c r="C29" s="401"/>
      <c r="D29" s="401"/>
      <c r="E29" s="401"/>
      <c r="F29" s="402"/>
    </row>
    <row r="30" spans="1:6" ht="18.95" customHeight="1">
      <c r="A30" s="400"/>
      <c r="B30" s="401"/>
      <c r="C30" s="401"/>
      <c r="D30" s="401"/>
      <c r="E30" s="401"/>
      <c r="F30" s="402"/>
    </row>
    <row r="31" spans="1:6" ht="18.95" customHeight="1">
      <c r="A31" s="400"/>
      <c r="B31" s="401"/>
      <c r="C31" s="401"/>
      <c r="D31" s="401"/>
      <c r="E31" s="401"/>
      <c r="F31" s="402"/>
    </row>
    <row r="32" spans="1:6" ht="18.95" customHeight="1">
      <c r="A32" s="400"/>
      <c r="B32" s="401"/>
      <c r="C32" s="401"/>
      <c r="D32" s="401"/>
      <c r="E32" s="401"/>
      <c r="F32" s="402"/>
    </row>
    <row r="33" spans="1:6" ht="18.95" customHeight="1">
      <c r="A33" s="400"/>
      <c r="B33" s="401"/>
      <c r="C33" s="401"/>
      <c r="D33" s="401"/>
      <c r="E33" s="401"/>
      <c r="F33" s="402"/>
    </row>
    <row r="34" spans="1:6" ht="18.95" customHeight="1">
      <c r="A34" s="400"/>
      <c r="B34" s="401"/>
      <c r="C34" s="401"/>
      <c r="D34" s="401"/>
      <c r="E34" s="401"/>
      <c r="F34" s="402"/>
    </row>
    <row r="35" spans="1:6" ht="18.95" customHeight="1">
      <c r="A35" s="400"/>
      <c r="B35" s="401"/>
      <c r="C35" s="401"/>
      <c r="D35" s="401"/>
      <c r="E35" s="401"/>
      <c r="F35" s="402"/>
    </row>
    <row r="36" spans="1:6" ht="18.95" customHeight="1">
      <c r="A36" s="400"/>
      <c r="B36" s="401"/>
      <c r="C36" s="401"/>
      <c r="D36" s="401"/>
      <c r="E36" s="401"/>
      <c r="F36" s="402"/>
    </row>
    <row r="37" spans="1:6" ht="18.95" customHeight="1">
      <c r="A37" s="400"/>
      <c r="B37" s="401"/>
      <c r="C37" s="401"/>
      <c r="D37" s="401"/>
      <c r="E37" s="401"/>
      <c r="F37" s="402"/>
    </row>
    <row r="38" spans="1:6" ht="18.95" customHeight="1">
      <c r="A38" s="400"/>
      <c r="B38" s="401"/>
      <c r="C38" s="401"/>
      <c r="D38" s="401"/>
      <c r="E38" s="401"/>
      <c r="F38" s="402"/>
    </row>
    <row r="39" spans="1:6" ht="18.95" customHeight="1">
      <c r="A39" s="409" t="s">
        <v>590</v>
      </c>
      <c r="B39" s="410" t="s">
        <v>371</v>
      </c>
      <c r="C39" s="529" t="str">
        <f>'Performance Data Sheet'!C10</f>
        <v>-</v>
      </c>
      <c r="D39" s="401"/>
      <c r="E39" s="406" t="s">
        <v>591</v>
      </c>
      <c r="F39" s="411" t="str">
        <f>F10</f>
        <v>BS2800U</v>
      </c>
    </row>
    <row r="40" spans="1:6" ht="18.95" customHeight="1">
      <c r="A40" s="400"/>
      <c r="B40" s="410"/>
      <c r="C40" s="410"/>
      <c r="D40" s="401"/>
      <c r="E40" s="401"/>
      <c r="F40" s="402"/>
    </row>
    <row r="41" spans="1:6" ht="18.95" customHeight="1">
      <c r="A41" s="400"/>
      <c r="B41" s="410"/>
      <c r="C41" s="410"/>
      <c r="D41" s="401"/>
      <c r="E41" s="401"/>
      <c r="F41" s="402"/>
    </row>
    <row r="42" spans="1:6" ht="18.95" customHeight="1">
      <c r="A42" s="400"/>
      <c r="B42" s="401"/>
      <c r="C42" s="401"/>
      <c r="D42" s="401"/>
      <c r="E42" s="401"/>
      <c r="F42" s="402"/>
    </row>
    <row r="43" spans="1:6" ht="18.95" customHeight="1">
      <c r="A43" s="412"/>
      <c r="B43" s="410"/>
      <c r="C43" s="413" t="s">
        <v>592</v>
      </c>
      <c r="D43" s="414" t="str">
        <f>'Performance Data Sheet'!K42</f>
        <v>Zichao Xie</v>
      </c>
      <c r="E43" s="413" t="s">
        <v>593</v>
      </c>
      <c r="F43" s="414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1:12" ht="15" customHeight="1"/>
    <row r="50" spans="1:12" ht="15" customHeight="1"/>
    <row r="51" spans="1:12" ht="15" customHeight="1"/>
    <row r="52" spans="1:12" ht="15" customHeight="1"/>
    <row r="53" spans="1:12" ht="15" customHeight="1">
      <c r="D53" s="371" t="s">
        <v>402</v>
      </c>
      <c r="E53" s="371"/>
      <c r="F53" s="371"/>
      <c r="G53" s="371"/>
      <c r="H53" s="371"/>
      <c r="I53" s="371"/>
      <c r="J53" s="371"/>
      <c r="K53" s="371"/>
      <c r="L53" s="371"/>
    </row>
    <row r="54" spans="1:12" ht="15" customHeight="1">
      <c r="A54" s="417">
        <v>100</v>
      </c>
      <c r="B54" s="371">
        <v>0</v>
      </c>
      <c r="C54" s="371">
        <v>0.23726227879524231</v>
      </c>
      <c r="D54" s="371">
        <v>100</v>
      </c>
      <c r="E54" s="371"/>
      <c r="F54" s="371"/>
      <c r="G54" s="371"/>
      <c r="H54" s="371"/>
      <c r="I54" s="371"/>
      <c r="J54" s="371"/>
      <c r="K54" s="371"/>
      <c r="L54" s="371"/>
    </row>
    <row r="55" spans="1:12" ht="15" customHeight="1">
      <c r="A55" s="417">
        <v>99.300000024959445</v>
      </c>
      <c r="B55" s="371">
        <v>153.46159310353764</v>
      </c>
      <c r="C55" s="371">
        <v>160.05226135253906</v>
      </c>
      <c r="D55" s="371">
        <v>98.599998474121094</v>
      </c>
      <c r="E55" s="371"/>
      <c r="F55" s="371"/>
      <c r="G55" s="371"/>
      <c r="H55" s="371"/>
      <c r="I55" s="371"/>
      <c r="J55" s="371"/>
      <c r="K55" s="371"/>
      <c r="L55" s="371"/>
    </row>
    <row r="56" spans="1:12" ht="15" customHeight="1">
      <c r="A56" s="417">
        <v>96.499999985098839</v>
      </c>
      <c r="B56" s="371">
        <v>285</v>
      </c>
      <c r="C56" s="371">
        <v>472.106689453125</v>
      </c>
      <c r="D56" s="371">
        <v>91.125</v>
      </c>
      <c r="E56" s="371"/>
      <c r="F56" s="371"/>
      <c r="G56" s="371"/>
      <c r="H56" s="371"/>
      <c r="I56" s="371"/>
      <c r="J56" s="371"/>
      <c r="K56" s="371"/>
      <c r="L56" s="371"/>
    </row>
    <row r="57" spans="1:12">
      <c r="A57" s="417">
        <v>91.421052813529968</v>
      </c>
      <c r="B57" s="371">
        <v>186.6405474992103</v>
      </c>
      <c r="C57" s="371">
        <v>550.5213623046875</v>
      </c>
      <c r="D57" s="371">
        <v>77.694740295410156</v>
      </c>
      <c r="E57" s="371"/>
      <c r="F57" s="371"/>
      <c r="G57" s="371"/>
      <c r="H57" s="371"/>
      <c r="I57" s="371"/>
      <c r="J57" s="371"/>
      <c r="K57" s="371"/>
      <c r="L57" s="371"/>
    </row>
    <row r="58" spans="1:12">
      <c r="A58" s="417">
        <v>86.342105269432068</v>
      </c>
      <c r="B58" s="371">
        <v>144.84794675948984</v>
      </c>
      <c r="C58" s="371">
        <v>570.99114990234375</v>
      </c>
      <c r="D58" s="371">
        <v>64.489471435546875</v>
      </c>
      <c r="E58" s="371"/>
      <c r="F58" s="371"/>
      <c r="G58" s="371"/>
      <c r="H58" s="371"/>
      <c r="I58" s="371"/>
      <c r="J58" s="371"/>
      <c r="K58" s="371"/>
      <c r="L58" s="371"/>
    </row>
    <row r="59" spans="1:12">
      <c r="A59" s="417">
        <v>81.263157725334167</v>
      </c>
      <c r="B59" s="371">
        <v>127.22386329728494</v>
      </c>
      <c r="C59" s="371">
        <v>579.18804931640625</v>
      </c>
      <c r="D59" s="371">
        <v>52.778945922851563</v>
      </c>
      <c r="E59" s="371"/>
      <c r="F59" s="371"/>
      <c r="G59" s="371"/>
      <c r="H59" s="371"/>
      <c r="I59" s="371"/>
      <c r="J59" s="371"/>
      <c r="K59" s="371"/>
      <c r="L59" s="371"/>
    </row>
    <row r="60" spans="1:12">
      <c r="A60" s="417">
        <v>71.105262637138367</v>
      </c>
      <c r="B60" s="371">
        <v>116.91147276992525</v>
      </c>
      <c r="C60" s="371">
        <v>586.52490234375</v>
      </c>
      <c r="D60" s="371">
        <v>34.878948211669922</v>
      </c>
      <c r="E60" s="371"/>
      <c r="F60" s="371"/>
      <c r="G60" s="371"/>
      <c r="H60" s="371"/>
      <c r="I60" s="371"/>
      <c r="J60" s="371"/>
      <c r="K60" s="371"/>
      <c r="L60" s="371"/>
    </row>
    <row r="61" spans="1:12">
      <c r="A61" s="417">
        <v>60.947367548942566</v>
      </c>
      <c r="B61" s="371">
        <v>112.22072530372245</v>
      </c>
      <c r="C61" s="371">
        <v>591.042236328125</v>
      </c>
      <c r="D61" s="371">
        <v>23.042104721069336</v>
      </c>
      <c r="E61" s="371"/>
      <c r="F61" s="371"/>
      <c r="G61" s="371"/>
      <c r="H61" s="371"/>
      <c r="I61" s="371"/>
      <c r="J61" s="371"/>
      <c r="K61" s="371"/>
      <c r="L61" s="371"/>
    </row>
    <row r="62" spans="1:12">
      <c r="A62" s="417">
        <v>50.789472460746765</v>
      </c>
      <c r="B62" s="371">
        <v>109.36364778329632</v>
      </c>
      <c r="C62" s="371">
        <v>594.94378662109375</v>
      </c>
      <c r="D62" s="371">
        <v>14.63157844543457</v>
      </c>
      <c r="E62" s="371"/>
      <c r="F62" s="371"/>
      <c r="G62" s="371"/>
      <c r="H62" s="371"/>
      <c r="I62" s="371"/>
      <c r="J62" s="371"/>
      <c r="K62" s="371"/>
      <c r="L62" s="371"/>
    </row>
    <row r="63" spans="1:12">
      <c r="A63" s="417">
        <v>40.631574392318726</v>
      </c>
      <c r="B63" s="371">
        <v>107.51981258329502</v>
      </c>
      <c r="C63" s="371">
        <v>598.473876953125</v>
      </c>
      <c r="D63" s="371">
        <v>8.3789443969726563</v>
      </c>
      <c r="E63" s="371"/>
      <c r="F63" s="371"/>
      <c r="G63" s="371"/>
      <c r="H63" s="371"/>
      <c r="I63" s="371"/>
      <c r="J63" s="371"/>
      <c r="K63" s="371"/>
      <c r="L63" s="371"/>
    </row>
    <row r="64" spans="1:12">
      <c r="A64" s="417">
        <v>30.473685264587402</v>
      </c>
      <c r="B64" s="371">
        <v>106.35364436427895</v>
      </c>
      <c r="C64" s="371">
        <v>601.6192626953125</v>
      </c>
      <c r="D64" s="371">
        <v>6.0947370529174805</v>
      </c>
      <c r="E64" s="371"/>
      <c r="F64" s="371"/>
      <c r="G64" s="371"/>
      <c r="H64" s="371"/>
      <c r="I64" s="371"/>
      <c r="J64" s="371"/>
      <c r="K64" s="371"/>
      <c r="L64" s="371"/>
    </row>
    <row r="65" spans="1:12">
      <c r="A65" s="417">
        <v>20.315790176391602</v>
      </c>
      <c r="B65" s="371">
        <v>105.64303582592581</v>
      </c>
      <c r="C65" s="371">
        <v>604.3819580078125</v>
      </c>
      <c r="D65" s="371">
        <v>7.9368419647216797</v>
      </c>
      <c r="E65" s="371"/>
      <c r="F65" s="371"/>
      <c r="G65" s="371"/>
      <c r="H65" s="371"/>
      <c r="I65" s="371"/>
      <c r="J65" s="371"/>
      <c r="K65" s="371"/>
      <c r="L65" s="371"/>
    </row>
    <row r="66" spans="1:12">
      <c r="A66" s="417">
        <v>10.157895088195801</v>
      </c>
      <c r="B66" s="371">
        <v>105.22855940215669</v>
      </c>
      <c r="C66" s="371">
        <v>606.79632568359375</v>
      </c>
      <c r="D66" s="371">
        <v>14.889472961425781</v>
      </c>
      <c r="E66" s="371"/>
      <c r="F66" s="371"/>
      <c r="G66" s="371"/>
      <c r="H66" s="371"/>
      <c r="I66" s="371"/>
      <c r="J66" s="371"/>
      <c r="K66" s="371"/>
      <c r="L66" s="371"/>
    </row>
    <row r="67" spans="1:12">
      <c r="A67" s="418">
        <v>0</v>
      </c>
      <c r="B67" s="371">
        <v>105</v>
      </c>
      <c r="C67" s="371">
        <v>608.910888671875</v>
      </c>
      <c r="D67" s="371">
        <v>30</v>
      </c>
      <c r="E67" s="371"/>
      <c r="F67" s="371"/>
      <c r="G67" s="371"/>
      <c r="H67" s="371"/>
      <c r="I67" s="371"/>
      <c r="J67" s="371"/>
      <c r="K67" s="371"/>
      <c r="L67" s="371"/>
    </row>
  </sheetData>
  <mergeCells count="1"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I81"/>
  <sheetViews>
    <sheetView workbookViewId="0">
      <selection activeCell="L12" sqref="L12"/>
    </sheetView>
  </sheetViews>
  <sheetFormatPr defaultColWidth="9.140625" defaultRowHeight="12.75"/>
  <cols>
    <col min="1" max="6" width="16.7109375" style="381" customWidth="1"/>
    <col min="7" max="16384" width="9.140625" style="381"/>
  </cols>
  <sheetData>
    <row r="1" spans="1:6" ht="18.95" customHeight="1">
      <c r="A1" s="393"/>
      <c r="B1" s="394"/>
      <c r="C1" s="394"/>
      <c r="D1" s="394"/>
      <c r="E1" s="394"/>
      <c r="F1" s="395"/>
    </row>
    <row r="2" spans="1:6" ht="26.1" customHeight="1">
      <c r="A2" s="396" t="s">
        <v>268</v>
      </c>
      <c r="B2" s="397"/>
      <c r="C2" s="397"/>
      <c r="D2" s="397"/>
      <c r="E2" s="397"/>
      <c r="F2" s="398"/>
    </row>
    <row r="3" spans="1:6" ht="18.95" customHeight="1">
      <c r="A3" s="659" t="s">
        <v>597</v>
      </c>
      <c r="B3" s="660"/>
      <c r="C3" s="660"/>
      <c r="D3" s="660"/>
      <c r="E3" s="660"/>
      <c r="F3" s="661"/>
    </row>
    <row r="4" spans="1:6" ht="18.95" customHeight="1">
      <c r="A4" s="662" t="s">
        <v>598</v>
      </c>
      <c r="B4" s="663"/>
      <c r="C4" s="663"/>
      <c r="D4" s="663"/>
      <c r="E4" s="663"/>
      <c r="F4" s="664"/>
    </row>
    <row r="5" spans="1:6" ht="18.95" customHeight="1">
      <c r="A5" s="400"/>
      <c r="B5" s="401"/>
      <c r="C5" s="401"/>
      <c r="D5" s="401"/>
      <c r="E5" s="401"/>
      <c r="F5" s="402"/>
    </row>
    <row r="6" spans="1:6" ht="18.95" customHeight="1">
      <c r="A6" s="403" t="s">
        <v>574</v>
      </c>
      <c r="B6" s="656" t="str">
        <f>'Performance Data Sheet'!C17</f>
        <v>8003TCQL11F-C</v>
      </c>
      <c r="C6" s="657"/>
      <c r="D6" s="658"/>
      <c r="E6" s="403" t="s">
        <v>575</v>
      </c>
      <c r="F6" s="404">
        <f>'Performance Data Sheet'!I14</f>
        <v>101</v>
      </c>
    </row>
    <row r="7" spans="1:6" ht="18.95" customHeight="1">
      <c r="A7" s="403" t="s">
        <v>576</v>
      </c>
      <c r="B7" s="404" t="str">
        <f>'Performance Data Sheet'!F14</f>
        <v>TEFC</v>
      </c>
      <c r="C7" s="403" t="s">
        <v>577</v>
      </c>
      <c r="D7" s="404" t="str">
        <f>'Performance Data Sheet'!F13 &amp; " V"</f>
        <v>4000 V</v>
      </c>
      <c r="E7" s="403" t="s">
        <v>578</v>
      </c>
      <c r="F7" s="404" t="str">
        <f>'Performance Data Sheet'!C14</f>
        <v>5812USS</v>
      </c>
    </row>
    <row r="8" spans="1:6" ht="18.95" customHeight="1">
      <c r="A8" s="403" t="s">
        <v>579</v>
      </c>
      <c r="B8" s="404">
        <v>2</v>
      </c>
      <c r="C8" s="403" t="s">
        <v>580</v>
      </c>
      <c r="D8" s="404" t="s">
        <v>581</v>
      </c>
      <c r="E8" s="403" t="s">
        <v>582</v>
      </c>
      <c r="F8" s="404" t="str">
        <f>'Performance Data Sheet'!M15</f>
        <v>F</v>
      </c>
    </row>
    <row r="9" spans="1:6" ht="18.95" customHeight="1">
      <c r="A9" s="403" t="s">
        <v>583</v>
      </c>
      <c r="B9" s="404">
        <f>'Performance Data Sheet'!C13</f>
        <v>800</v>
      </c>
      <c r="C9" s="403" t="s">
        <v>584</v>
      </c>
      <c r="D9" s="404" t="s">
        <v>594</v>
      </c>
      <c r="E9" s="403" t="s">
        <v>2</v>
      </c>
      <c r="F9" s="405">
        <f>'Performance Data Sheet'!K44</f>
        <v>45008</v>
      </c>
    </row>
    <row r="10" spans="1:6" ht="18.95" customHeight="1">
      <c r="A10" s="403" t="s">
        <v>585</v>
      </c>
      <c r="B10" s="404">
        <f>'Performance Data Sheet'!M14</f>
        <v>3580</v>
      </c>
      <c r="C10" s="403" t="s">
        <v>404</v>
      </c>
      <c r="D10" s="404" t="s">
        <v>595</v>
      </c>
      <c r="E10" s="403" t="s">
        <v>1</v>
      </c>
      <c r="F10" s="404" t="s">
        <v>719</v>
      </c>
    </row>
    <row r="11" spans="1:6" ht="18.95" customHeight="1">
      <c r="A11" s="400"/>
      <c r="B11" s="401"/>
      <c r="C11" s="401"/>
      <c r="D11" s="401"/>
      <c r="E11" s="401"/>
      <c r="F11" s="402"/>
    </row>
    <row r="12" spans="1:6" ht="18.95" customHeight="1">
      <c r="A12" s="400"/>
      <c r="B12" s="406"/>
      <c r="C12" s="407" t="str">
        <f>'Performance Data Sheet'!D22 &amp; " A"</f>
        <v>615 A</v>
      </c>
      <c r="D12" s="406"/>
      <c r="E12" s="407"/>
      <c r="F12" s="402"/>
    </row>
    <row r="13" spans="1:6" ht="18.95" customHeight="1">
      <c r="A13" s="400"/>
      <c r="B13" s="406"/>
      <c r="C13" s="408">
        <f>'Performance Data Sheet'!H23/100</f>
        <v>1.05</v>
      </c>
      <c r="D13" s="406"/>
      <c r="E13" s="407"/>
      <c r="F13" s="402"/>
    </row>
    <row r="14" spans="1:6" ht="18.95" customHeight="1">
      <c r="A14" s="400"/>
      <c r="B14" s="406"/>
      <c r="C14" s="408"/>
      <c r="D14" s="406"/>
      <c r="E14" s="407"/>
      <c r="F14" s="402"/>
    </row>
    <row r="15" spans="1:6" ht="18.95" customHeight="1">
      <c r="A15" s="400"/>
      <c r="B15" s="406"/>
      <c r="C15" s="407" t="str">
        <f>'Performance Data Sheet'!H22 &amp; " lb-ft"</f>
        <v>1174 lb-ft</v>
      </c>
      <c r="D15" s="401"/>
      <c r="E15" s="401"/>
      <c r="F15" s="402"/>
    </row>
    <row r="16" spans="1:6" ht="18.95" customHeight="1">
      <c r="A16" s="400"/>
      <c r="B16" s="401"/>
      <c r="C16" s="401"/>
      <c r="D16" s="401"/>
      <c r="E16" s="401"/>
      <c r="F16" s="402"/>
    </row>
    <row r="17" spans="1:6" ht="18.95" customHeight="1">
      <c r="A17" s="400"/>
      <c r="B17" s="401"/>
      <c r="C17" s="401"/>
      <c r="D17" s="401"/>
      <c r="E17" s="401"/>
      <c r="F17" s="402"/>
    </row>
    <row r="18" spans="1:6" ht="18.95" customHeight="1">
      <c r="A18" s="400"/>
      <c r="B18" s="401"/>
      <c r="C18" s="401"/>
      <c r="D18" s="401"/>
      <c r="E18" s="401"/>
      <c r="F18" s="402"/>
    </row>
    <row r="19" spans="1:6" ht="18.95" customHeight="1">
      <c r="A19" s="400"/>
      <c r="B19" s="401"/>
      <c r="C19" s="401"/>
      <c r="D19" s="401"/>
      <c r="E19" s="401"/>
      <c r="F19" s="402"/>
    </row>
    <row r="20" spans="1:6" ht="18.95" customHeight="1">
      <c r="A20" s="400"/>
      <c r="B20" s="401"/>
      <c r="C20" s="401"/>
      <c r="D20" s="401"/>
      <c r="E20" s="401"/>
      <c r="F20" s="402"/>
    </row>
    <row r="21" spans="1:6" ht="18.95" customHeight="1">
      <c r="A21" s="400"/>
      <c r="B21" s="401"/>
      <c r="C21" s="401"/>
      <c r="D21" s="401"/>
      <c r="E21" s="401"/>
      <c r="F21" s="402"/>
    </row>
    <row r="22" spans="1:6" ht="18.95" customHeight="1">
      <c r="A22" s="400"/>
      <c r="B22" s="401"/>
      <c r="C22" s="401"/>
      <c r="D22" s="401"/>
      <c r="E22" s="401"/>
      <c r="F22" s="402"/>
    </row>
    <row r="23" spans="1:6" ht="18.95" customHeight="1">
      <c r="A23" s="400"/>
      <c r="B23" s="401"/>
      <c r="C23" s="401"/>
      <c r="D23" s="401"/>
      <c r="E23" s="401"/>
      <c r="F23" s="402"/>
    </row>
    <row r="24" spans="1:6" ht="18.95" customHeight="1">
      <c r="A24" s="400"/>
      <c r="B24" s="401"/>
      <c r="C24" s="401"/>
      <c r="D24" s="401"/>
      <c r="E24" s="401"/>
      <c r="F24" s="402"/>
    </row>
    <row r="25" spans="1:6" ht="18.95" customHeight="1">
      <c r="A25" s="400"/>
      <c r="B25" s="401"/>
      <c r="C25" s="401"/>
      <c r="D25" s="401"/>
      <c r="E25" s="401"/>
      <c r="F25" s="402"/>
    </row>
    <row r="26" spans="1:6" ht="18.95" customHeight="1">
      <c r="A26" s="400"/>
      <c r="B26" s="401"/>
      <c r="C26" s="401"/>
      <c r="D26" s="401"/>
      <c r="E26" s="401"/>
      <c r="F26" s="402"/>
    </row>
    <row r="27" spans="1:6" ht="18.95" customHeight="1">
      <c r="A27" s="400"/>
      <c r="B27" s="401"/>
      <c r="C27" s="401"/>
      <c r="D27" s="401"/>
      <c r="E27" s="401"/>
      <c r="F27" s="402"/>
    </row>
    <row r="28" spans="1:6" ht="18.95" customHeight="1">
      <c r="A28" s="400"/>
      <c r="B28" s="401"/>
      <c r="C28" s="401"/>
      <c r="D28" s="401"/>
      <c r="E28" s="401"/>
      <c r="F28" s="402"/>
    </row>
    <row r="29" spans="1:6" ht="18.95" customHeight="1">
      <c r="A29" s="400"/>
      <c r="B29" s="401"/>
      <c r="C29" s="401"/>
      <c r="D29" s="401"/>
      <c r="E29" s="401"/>
      <c r="F29" s="402"/>
    </row>
    <row r="30" spans="1:6" ht="18.95" customHeight="1">
      <c r="A30" s="400"/>
      <c r="B30" s="401"/>
      <c r="C30" s="401"/>
      <c r="D30" s="401"/>
      <c r="E30" s="401"/>
      <c r="F30" s="402"/>
    </row>
    <row r="31" spans="1:6" ht="18.95" customHeight="1">
      <c r="A31" s="400"/>
      <c r="B31" s="401"/>
      <c r="C31" s="401"/>
      <c r="D31" s="401"/>
      <c r="E31" s="401"/>
      <c r="F31" s="402"/>
    </row>
    <row r="32" spans="1:6" ht="18.95" customHeight="1">
      <c r="A32" s="400"/>
      <c r="B32" s="401"/>
      <c r="C32" s="401"/>
      <c r="D32" s="401"/>
      <c r="E32" s="401"/>
      <c r="F32" s="402"/>
    </row>
    <row r="33" spans="1:6" ht="18.95" customHeight="1">
      <c r="A33" s="400"/>
      <c r="B33" s="401"/>
      <c r="C33" s="401"/>
      <c r="D33" s="401"/>
      <c r="E33" s="401"/>
      <c r="F33" s="402"/>
    </row>
    <row r="34" spans="1:6" ht="18.95" customHeight="1">
      <c r="A34" s="400"/>
      <c r="B34" s="401"/>
      <c r="C34" s="401"/>
      <c r="D34" s="401"/>
      <c r="E34" s="401"/>
      <c r="F34" s="402"/>
    </row>
    <row r="35" spans="1:6" ht="18.95" customHeight="1">
      <c r="A35" s="400"/>
      <c r="B35" s="401"/>
      <c r="C35" s="401"/>
      <c r="D35" s="401"/>
      <c r="E35" s="401"/>
      <c r="F35" s="402"/>
    </row>
    <row r="36" spans="1:6" ht="18.95" customHeight="1">
      <c r="A36" s="400"/>
      <c r="B36" s="401"/>
      <c r="C36" s="401"/>
      <c r="D36" s="401"/>
      <c r="E36" s="401"/>
      <c r="F36" s="402"/>
    </row>
    <row r="37" spans="1:6" ht="18.95" customHeight="1">
      <c r="A37" s="400"/>
      <c r="B37" s="401"/>
      <c r="C37" s="401"/>
      <c r="D37" s="401"/>
      <c r="E37" s="401"/>
      <c r="F37" s="402"/>
    </row>
    <row r="38" spans="1:6" ht="18.95" customHeight="1">
      <c r="A38" s="400"/>
      <c r="B38" s="401"/>
      <c r="C38" s="401"/>
      <c r="D38" s="401"/>
      <c r="E38" s="401"/>
      <c r="F38" s="402"/>
    </row>
    <row r="39" spans="1:6" ht="18.95" customHeight="1">
      <c r="A39" s="409" t="s">
        <v>590</v>
      </c>
      <c r="B39" s="410" t="s">
        <v>371</v>
      </c>
      <c r="C39" s="529" t="str">
        <f>'Performance Data Sheet'!C10</f>
        <v>-</v>
      </c>
      <c r="D39" s="401"/>
      <c r="E39" s="406" t="s">
        <v>591</v>
      </c>
      <c r="F39" s="411" t="str">
        <f>F10</f>
        <v>BS2800U</v>
      </c>
    </row>
    <row r="40" spans="1:6" ht="18.95" customHeight="1">
      <c r="A40" s="400"/>
      <c r="B40" s="410"/>
      <c r="C40" s="410"/>
      <c r="D40" s="401"/>
      <c r="E40" s="401"/>
      <c r="F40" s="402"/>
    </row>
    <row r="41" spans="1:6" ht="18.95" customHeight="1">
      <c r="A41" s="400"/>
      <c r="B41" s="410"/>
      <c r="C41" s="410"/>
      <c r="D41" s="401"/>
      <c r="E41" s="401"/>
      <c r="F41" s="402"/>
    </row>
    <row r="42" spans="1:6" ht="18.95" customHeight="1">
      <c r="A42" s="400"/>
      <c r="B42" s="401"/>
      <c r="C42" s="401"/>
      <c r="D42" s="401"/>
      <c r="E42" s="401"/>
      <c r="F42" s="402"/>
    </row>
    <row r="43" spans="1:6" ht="18.95" customHeight="1">
      <c r="A43" s="412"/>
      <c r="B43" s="410"/>
      <c r="C43" s="413" t="s">
        <v>592</v>
      </c>
      <c r="D43" s="414" t="str">
        <f>'Performance Data Sheet'!K42</f>
        <v>Zichao Xie</v>
      </c>
      <c r="E43" s="413" t="s">
        <v>593</v>
      </c>
      <c r="F43" s="414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6:9" ht="15" customHeight="1"/>
    <row r="50" spans="6:9" ht="15" customHeight="1">
      <c r="F50" s="419" t="e">
        <f>5252.1*B50/D53</f>
        <v>#DIV/0!</v>
      </c>
      <c r="G50" s="419"/>
    </row>
    <row r="51" spans="6:9" ht="15" customHeight="1"/>
    <row r="52" spans="6:9" ht="15" customHeight="1"/>
    <row r="53" spans="6:9" ht="15" customHeight="1"/>
    <row r="54" spans="6:9" ht="15" customHeight="1"/>
    <row r="55" spans="6:9" ht="15" customHeight="1"/>
    <row r="56" spans="6:9" ht="15" customHeight="1"/>
    <row r="62" spans="6:9">
      <c r="I62" s="420"/>
    </row>
    <row r="63" spans="6:9">
      <c r="I63" s="381" t="s">
        <v>39</v>
      </c>
    </row>
    <row r="66" spans="1:6">
      <c r="D66" s="419" t="e">
        <f>D65/D64</f>
        <v>#DIV/0!</v>
      </c>
    </row>
    <row r="67" spans="1:6">
      <c r="A67" s="421" t="s">
        <v>399</v>
      </c>
      <c r="B67" s="421" t="s">
        <v>599</v>
      </c>
      <c r="C67" s="421" t="s">
        <v>600</v>
      </c>
      <c r="E67" s="421" t="s">
        <v>601</v>
      </c>
      <c r="F67" s="421" t="s">
        <v>602</v>
      </c>
    </row>
    <row r="68" spans="1:6">
      <c r="A68" s="422">
        <v>608.91089108910887</v>
      </c>
      <c r="B68" s="423">
        <v>32.271178109305247</v>
      </c>
      <c r="C68" s="423">
        <v>15</v>
      </c>
      <c r="E68" s="422">
        <f>A68</f>
        <v>608.91089108910887</v>
      </c>
      <c r="F68" s="423">
        <v>1E-4</v>
      </c>
    </row>
    <row r="69" spans="1:6">
      <c r="A69" s="422">
        <v>545.94689108910893</v>
      </c>
      <c r="B69" s="423">
        <f>((A68/A69)^2)*B68</f>
        <v>40.144080033882382</v>
      </c>
      <c r="C69" s="423">
        <f>((A68/A69)^2)*C68</f>
        <v>18.65941176577639</v>
      </c>
      <c r="E69" s="422">
        <v>607.82178217821786</v>
      </c>
      <c r="F69" s="423">
        <v>0.88400000333786011</v>
      </c>
    </row>
    <row r="70" spans="1:6">
      <c r="A70" s="422">
        <v>482.964</v>
      </c>
      <c r="B70" s="423">
        <f>((A68/A70)^2)*B68</f>
        <v>51.297096583293545</v>
      </c>
      <c r="C70" s="423">
        <f>((A68/A70)^2)*C68</f>
        <v>23.843457035971486</v>
      </c>
      <c r="E70" s="422">
        <v>605.54455445544556</v>
      </c>
      <c r="F70" s="423">
        <v>1.6620000600814819</v>
      </c>
    </row>
    <row r="71" spans="1:6">
      <c r="A71" s="422">
        <v>420</v>
      </c>
      <c r="B71" s="423">
        <f>((A68/A71)^2)*B68</f>
        <v>67.830297752098787</v>
      </c>
      <c r="C71" s="423">
        <f>((A68/A71)^2)*C68</f>
        <v>31.528271538004478</v>
      </c>
      <c r="E71" s="422">
        <v>602.97029702970292</v>
      </c>
      <c r="F71" s="423">
        <v>2.4000000953674316</v>
      </c>
    </row>
    <row r="72" spans="1:6">
      <c r="A72" s="422">
        <f>A71-100</f>
        <v>320</v>
      </c>
      <c r="B72" s="423">
        <f>((A68/A72)^2)*B68</f>
        <v>116.84828636201392</v>
      </c>
      <c r="C72" s="423"/>
      <c r="E72" s="422">
        <v>600</v>
      </c>
      <c r="F72" s="423">
        <v>3.1330001354217529</v>
      </c>
    </row>
    <row r="73" spans="1:6">
      <c r="A73" s="422">
        <f>A72-100</f>
        <v>220</v>
      </c>
      <c r="B73" s="423">
        <f>((A68/A73)^2)*B68</f>
        <v>247.21620916260792</v>
      </c>
      <c r="C73" s="423"/>
      <c r="E73" s="422">
        <v>596.73267326732685</v>
      </c>
      <c r="F73" s="423">
        <v>3.8870000839233398</v>
      </c>
    </row>
    <row r="74" spans="1:6">
      <c r="A74" s="422">
        <v>285</v>
      </c>
      <c r="B74" s="423">
        <f>((A68/A74)^2)*B68</f>
        <v>147.31012032588762</v>
      </c>
      <c r="C74" s="423">
        <f>((A68/A74)^2)*C68</f>
        <v>68.47137087477978</v>
      </c>
      <c r="E74" s="422">
        <v>592.97029702970292</v>
      </c>
      <c r="F74" s="423">
        <v>4.6820001602172852</v>
      </c>
    </row>
    <row r="75" spans="1:6">
      <c r="A75" s="424">
        <v>180</v>
      </c>
      <c r="B75" s="423">
        <f>((A68/A75)^2)*B69</f>
        <v>459.39258771577596</v>
      </c>
      <c r="C75" s="423">
        <f>((A68/A75)^2)*C68</f>
        <v>171.65392281802437</v>
      </c>
      <c r="E75" s="422">
        <v>588.81188118811883</v>
      </c>
      <c r="F75" s="423">
        <v>5.5360002517700195</v>
      </c>
    </row>
    <row r="76" spans="1:6">
      <c r="A76" s="424">
        <v>145</v>
      </c>
      <c r="B76" s="423">
        <f>((A68/A76)^2)*B68</f>
        <v>569.09700468348274</v>
      </c>
      <c r="C76" s="423">
        <f>((A68/A76)^2)*C68</f>
        <v>264.52257309412551</v>
      </c>
      <c r="E76" s="422">
        <v>582.87128712871299</v>
      </c>
      <c r="F76" s="423">
        <v>6.4710001945495605</v>
      </c>
    </row>
    <row r="77" spans="1:6">
      <c r="A77" s="424">
        <v>125</v>
      </c>
      <c r="B77" s="423"/>
      <c r="C77" s="422">
        <f>CEILING(C76*2,100)</f>
        <v>600</v>
      </c>
      <c r="E77" s="422">
        <v>575.04950495049502</v>
      </c>
      <c r="F77" s="423">
        <v>6.943000316619873</v>
      </c>
    </row>
    <row r="78" spans="1:6">
      <c r="A78" s="424">
        <v>125</v>
      </c>
      <c r="B78" s="423"/>
      <c r="C78" s="422">
        <f>2*C77</f>
        <v>1200</v>
      </c>
      <c r="E78" s="422">
        <v>560.79207920792078</v>
      </c>
      <c r="F78" s="423">
        <v>7.3290004730224609</v>
      </c>
    </row>
    <row r="79" spans="1:6">
      <c r="A79" s="424">
        <v>125</v>
      </c>
      <c r="B79" s="424"/>
      <c r="C79" s="424">
        <v>10000</v>
      </c>
      <c r="E79" s="422">
        <v>511.28712871287127</v>
      </c>
      <c r="F79" s="423">
        <v>7.5700006484985352</v>
      </c>
    </row>
    <row r="80" spans="1:6">
      <c r="E80" s="422">
        <v>316.03960396039605</v>
      </c>
      <c r="F80" s="423">
        <v>7.7320008277893066</v>
      </c>
    </row>
    <row r="81" spans="5:6">
      <c r="E81" s="422">
        <f>A77</f>
        <v>125</v>
      </c>
      <c r="F81" s="423">
        <v>7.7740006446838379</v>
      </c>
    </row>
  </sheetData>
  <mergeCells count="3">
    <mergeCell ref="A3:F3"/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O69"/>
  <sheetViews>
    <sheetView workbookViewId="0">
      <selection activeCell="M20" sqref="M20"/>
    </sheetView>
  </sheetViews>
  <sheetFormatPr defaultColWidth="9.140625" defaultRowHeight="12.75"/>
  <cols>
    <col min="1" max="6" width="16.7109375" style="381" customWidth="1"/>
    <col min="7" max="16384" width="9.140625" style="381"/>
  </cols>
  <sheetData>
    <row r="1" spans="1:6" ht="18.95" customHeight="1">
      <c r="A1" s="393"/>
      <c r="B1" s="394"/>
      <c r="C1" s="394"/>
      <c r="D1" s="394"/>
      <c r="E1" s="394"/>
      <c r="F1" s="395"/>
    </row>
    <row r="2" spans="1:6" ht="26.1" customHeight="1">
      <c r="A2" s="396" t="s">
        <v>268</v>
      </c>
      <c r="B2" s="397"/>
      <c r="C2" s="397"/>
      <c r="D2" s="397"/>
      <c r="E2" s="397"/>
      <c r="F2" s="398"/>
    </row>
    <row r="3" spans="1:6" ht="18.95" customHeight="1">
      <c r="A3" s="399" t="s">
        <v>603</v>
      </c>
      <c r="B3" s="397"/>
      <c r="C3" s="397"/>
      <c r="D3" s="397"/>
      <c r="E3" s="397"/>
      <c r="F3" s="398"/>
    </row>
    <row r="4" spans="1:6" ht="18.95" customHeight="1">
      <c r="A4" s="662" t="s">
        <v>598</v>
      </c>
      <c r="B4" s="663"/>
      <c r="C4" s="663"/>
      <c r="D4" s="663"/>
      <c r="E4" s="663"/>
      <c r="F4" s="664"/>
    </row>
    <row r="5" spans="1:6" ht="18.95" customHeight="1">
      <c r="A5" s="400"/>
      <c r="B5" s="401"/>
      <c r="C5" s="401"/>
      <c r="D5" s="401"/>
      <c r="E5" s="401"/>
      <c r="F5" s="402"/>
    </row>
    <row r="6" spans="1:6" ht="18.95" customHeight="1">
      <c r="A6" s="403" t="s">
        <v>574</v>
      </c>
      <c r="B6" s="656" t="str">
        <f>'Performance Data Sheet'!C17</f>
        <v>8003TCQL11F-C</v>
      </c>
      <c r="C6" s="657"/>
      <c r="D6" s="658"/>
      <c r="E6" s="403" t="s">
        <v>575</v>
      </c>
      <c r="F6" s="404">
        <f>'Performance Data Sheet'!I14</f>
        <v>101</v>
      </c>
    </row>
    <row r="7" spans="1:6" ht="18.95" customHeight="1">
      <c r="A7" s="403" t="s">
        <v>576</v>
      </c>
      <c r="B7" s="404" t="str">
        <f>'Performance Data Sheet'!F14</f>
        <v>TEFC</v>
      </c>
      <c r="C7" s="403" t="s">
        <v>577</v>
      </c>
      <c r="D7" s="404" t="str">
        <f>'Performance Data Sheet'!F13 &amp; " V"</f>
        <v>4000 V</v>
      </c>
      <c r="E7" s="403" t="s">
        <v>578</v>
      </c>
      <c r="F7" s="404" t="str">
        <f>'Performance Data Sheet'!C14</f>
        <v>5812USS</v>
      </c>
    </row>
    <row r="8" spans="1:6" ht="18.95" customHeight="1">
      <c r="A8" s="403" t="s">
        <v>579</v>
      </c>
      <c r="B8" s="404">
        <v>2</v>
      </c>
      <c r="C8" s="403" t="s">
        <v>580</v>
      </c>
      <c r="D8" s="404" t="s">
        <v>581</v>
      </c>
      <c r="E8" s="403" t="s">
        <v>582</v>
      </c>
      <c r="F8" s="404" t="str">
        <f>'Performance Data Sheet'!M15</f>
        <v>F</v>
      </c>
    </row>
    <row r="9" spans="1:6" ht="18.95" customHeight="1">
      <c r="A9" s="403" t="s">
        <v>583</v>
      </c>
      <c r="B9" s="404">
        <f>'Performance Data Sheet'!C13</f>
        <v>800</v>
      </c>
      <c r="C9" s="403" t="s">
        <v>584</v>
      </c>
      <c r="D9" s="404" t="s">
        <v>594</v>
      </c>
      <c r="E9" s="403" t="s">
        <v>2</v>
      </c>
      <c r="F9" s="405">
        <f>'Performance Data Sheet'!K44</f>
        <v>45008</v>
      </c>
    </row>
    <row r="10" spans="1:6" ht="18.95" customHeight="1">
      <c r="A10" s="403" t="s">
        <v>585</v>
      </c>
      <c r="B10" s="404">
        <f>'Performance Data Sheet'!M14</f>
        <v>3580</v>
      </c>
      <c r="C10" s="403" t="s">
        <v>404</v>
      </c>
      <c r="D10" s="404" t="s">
        <v>595</v>
      </c>
      <c r="E10" s="403" t="s">
        <v>1</v>
      </c>
      <c r="F10" s="404" t="s">
        <v>719</v>
      </c>
    </row>
    <row r="11" spans="1:6" ht="18.95" customHeight="1">
      <c r="A11" s="400"/>
      <c r="B11" s="401"/>
      <c r="C11" s="401"/>
      <c r="D11" s="401"/>
      <c r="E11" s="401"/>
      <c r="F11" s="402"/>
    </row>
    <row r="12" spans="1:6" ht="18.95" customHeight="1">
      <c r="A12" s="400"/>
      <c r="B12" s="406" t="s">
        <v>586</v>
      </c>
      <c r="C12" s="407" t="str">
        <f>'Performance Data Sheet'!D22 &amp; " A"</f>
        <v>615 A</v>
      </c>
      <c r="D12" s="406" t="s">
        <v>403</v>
      </c>
      <c r="E12" s="407" t="s">
        <v>407</v>
      </c>
      <c r="F12" s="402"/>
    </row>
    <row r="13" spans="1:6" ht="18.95" customHeight="1">
      <c r="A13" s="400"/>
      <c r="B13" s="406" t="s">
        <v>587</v>
      </c>
      <c r="C13" s="408">
        <f>'Performance Data Sheet'!H23/100</f>
        <v>1.05</v>
      </c>
      <c r="D13" s="406" t="s">
        <v>588</v>
      </c>
      <c r="E13" s="407" t="s">
        <v>596</v>
      </c>
      <c r="F13" s="402"/>
    </row>
    <row r="14" spans="1:6" ht="18.95" customHeight="1">
      <c r="A14" s="400"/>
      <c r="B14" s="406" t="s">
        <v>589</v>
      </c>
      <c r="C14" s="408">
        <v>2.85</v>
      </c>
      <c r="D14" s="406" t="s">
        <v>405</v>
      </c>
      <c r="E14" s="407" t="s">
        <v>410</v>
      </c>
      <c r="F14" s="402"/>
    </row>
    <row r="15" spans="1:6" ht="18.95" customHeight="1">
      <c r="A15" s="400"/>
      <c r="B15" s="406" t="s">
        <v>406</v>
      </c>
      <c r="C15" s="407" t="str">
        <f>'Performance Data Sheet'!H22 &amp; " lb-ft"</f>
        <v>1174 lb-ft</v>
      </c>
      <c r="D15" s="401"/>
      <c r="E15" s="401"/>
      <c r="F15" s="402"/>
    </row>
    <row r="16" spans="1:6" ht="18.95" customHeight="1">
      <c r="A16" s="400"/>
      <c r="B16" s="401"/>
      <c r="C16" s="401"/>
      <c r="D16" s="401"/>
      <c r="E16" s="401"/>
      <c r="F16" s="402"/>
    </row>
    <row r="17" spans="1:8" ht="18.95" customHeight="1">
      <c r="A17" s="400"/>
      <c r="B17" s="401"/>
      <c r="C17" s="401"/>
      <c r="D17" s="401"/>
      <c r="E17" s="401"/>
      <c r="F17" s="402"/>
    </row>
    <row r="18" spans="1:8" ht="18.95" customHeight="1">
      <c r="A18" s="400"/>
      <c r="B18" s="401"/>
      <c r="C18" s="401"/>
      <c r="D18" s="401"/>
      <c r="E18" s="401"/>
      <c r="F18" s="402"/>
    </row>
    <row r="19" spans="1:8" ht="18.95" customHeight="1">
      <c r="A19" s="400"/>
      <c r="B19" s="401"/>
      <c r="C19" s="401"/>
      <c r="D19" s="401"/>
      <c r="E19" s="401"/>
      <c r="F19" s="402"/>
    </row>
    <row r="20" spans="1:8" ht="18.95" customHeight="1">
      <c r="A20" s="400"/>
      <c r="B20" s="401"/>
      <c r="C20" s="401"/>
      <c r="D20" s="401"/>
      <c r="E20" s="401"/>
      <c r="F20" s="402"/>
    </row>
    <row r="21" spans="1:8" ht="18.95" customHeight="1">
      <c r="A21" s="400"/>
      <c r="B21" s="401"/>
      <c r="C21" s="401"/>
      <c r="D21" s="401"/>
      <c r="E21" s="401"/>
      <c r="F21" s="402"/>
    </row>
    <row r="22" spans="1:8" ht="18.95" customHeight="1">
      <c r="A22" s="400"/>
      <c r="B22" s="401"/>
      <c r="C22" s="401"/>
      <c r="D22" s="401"/>
      <c r="E22" s="401"/>
      <c r="F22" s="402"/>
    </row>
    <row r="23" spans="1:8" ht="18.95" customHeight="1">
      <c r="A23" s="400"/>
      <c r="B23" s="401"/>
      <c r="C23" s="401"/>
      <c r="D23" s="401"/>
      <c r="E23" s="401"/>
      <c r="F23" s="402"/>
    </row>
    <row r="24" spans="1:8" ht="18.95" customHeight="1">
      <c r="A24" s="400"/>
      <c r="B24" s="401"/>
      <c r="C24" s="401"/>
      <c r="D24" s="401"/>
      <c r="E24" s="401"/>
      <c r="F24" s="402"/>
      <c r="H24" s="425"/>
    </row>
    <row r="25" spans="1:8" ht="18.95" customHeight="1">
      <c r="A25" s="400"/>
      <c r="B25" s="401"/>
      <c r="C25" s="401"/>
      <c r="D25" s="401"/>
      <c r="E25" s="401"/>
      <c r="F25" s="402"/>
    </row>
    <row r="26" spans="1:8" ht="18.95" customHeight="1">
      <c r="A26" s="400"/>
      <c r="B26" s="401"/>
      <c r="C26" s="401"/>
      <c r="D26" s="401"/>
      <c r="E26" s="401"/>
      <c r="F26" s="402"/>
    </row>
    <row r="27" spans="1:8" ht="18.95" customHeight="1">
      <c r="A27" s="400"/>
      <c r="B27" s="401"/>
      <c r="C27" s="401"/>
      <c r="D27" s="401"/>
      <c r="E27" s="401"/>
      <c r="F27" s="402"/>
    </row>
    <row r="28" spans="1:8" ht="18.95" customHeight="1">
      <c r="A28" s="400"/>
      <c r="B28" s="401"/>
      <c r="C28" s="401"/>
      <c r="D28" s="401"/>
      <c r="E28" s="401"/>
      <c r="F28" s="402"/>
    </row>
    <row r="29" spans="1:8" ht="18.95" customHeight="1">
      <c r="A29" s="400"/>
      <c r="B29" s="401"/>
      <c r="C29" s="401"/>
      <c r="D29" s="401"/>
      <c r="E29" s="401"/>
      <c r="F29" s="402"/>
    </row>
    <row r="30" spans="1:8" ht="18.95" customHeight="1">
      <c r="A30" s="400"/>
      <c r="B30" s="401"/>
      <c r="C30" s="401"/>
      <c r="D30" s="401"/>
      <c r="E30" s="401"/>
      <c r="F30" s="402"/>
    </row>
    <row r="31" spans="1:8" ht="18.95" customHeight="1">
      <c r="A31" s="400"/>
      <c r="B31" s="401"/>
      <c r="C31" s="401"/>
      <c r="D31" s="401"/>
      <c r="E31" s="401"/>
      <c r="F31" s="402"/>
    </row>
    <row r="32" spans="1:8" ht="18.95" customHeight="1">
      <c r="A32" s="400"/>
      <c r="B32" s="401"/>
      <c r="C32" s="401"/>
      <c r="D32" s="401"/>
      <c r="E32" s="401"/>
      <c r="F32" s="402"/>
    </row>
    <row r="33" spans="1:15" ht="18.95" customHeight="1">
      <c r="A33" s="400"/>
      <c r="B33" s="401"/>
      <c r="C33" s="401"/>
      <c r="D33" s="401"/>
      <c r="E33" s="401"/>
      <c r="F33" s="402"/>
    </row>
    <row r="34" spans="1:15" ht="18.95" customHeight="1">
      <c r="A34" s="400"/>
      <c r="B34" s="401"/>
      <c r="C34" s="401"/>
      <c r="D34" s="401"/>
      <c r="E34" s="401"/>
      <c r="F34" s="402"/>
    </row>
    <row r="35" spans="1:15" ht="18.95" customHeight="1">
      <c r="A35" s="400"/>
      <c r="B35" s="401"/>
      <c r="C35" s="401"/>
      <c r="D35" s="401"/>
      <c r="E35" s="401"/>
      <c r="F35" s="402"/>
    </row>
    <row r="36" spans="1:15" ht="18.95" customHeight="1">
      <c r="A36" s="400"/>
      <c r="B36" s="401"/>
      <c r="C36" s="401"/>
      <c r="D36" s="401"/>
      <c r="E36" s="401"/>
      <c r="F36" s="402"/>
      <c r="N36" s="530" t="s">
        <v>717</v>
      </c>
      <c r="O36" s="530" t="s">
        <v>718</v>
      </c>
    </row>
    <row r="37" spans="1:15" ht="18.95" customHeight="1">
      <c r="A37" s="400"/>
      <c r="B37" s="401"/>
      <c r="C37" s="401"/>
      <c r="D37" s="401"/>
      <c r="E37" s="401"/>
      <c r="F37" s="402"/>
      <c r="N37" s="530">
        <f xml:space="preserve"> L43 - (L43-L44) / 10 * 0</f>
        <v>3600</v>
      </c>
      <c r="O37" s="530">
        <f xml:space="preserve"> L45 / 10 * 10</f>
        <v>1600</v>
      </c>
    </row>
    <row r="38" spans="1:15" ht="18.95" customHeight="1">
      <c r="A38" s="400"/>
      <c r="B38" s="401"/>
      <c r="C38" s="401"/>
      <c r="D38" s="401"/>
      <c r="E38" s="401"/>
      <c r="F38" s="402"/>
      <c r="N38" s="530">
        <f xml:space="preserve"> L43 - (L43-L44) / 10 * 1</f>
        <v>3597</v>
      </c>
      <c r="O38" s="530">
        <f xml:space="preserve"> L45 / 10 * 9</f>
        <v>1440</v>
      </c>
    </row>
    <row r="39" spans="1:15" ht="18.95" customHeight="1">
      <c r="A39" s="409" t="s">
        <v>590</v>
      </c>
      <c r="B39" s="410" t="s">
        <v>371</v>
      </c>
      <c r="C39" s="529" t="str">
        <f>'Performance Data Sheet'!C10</f>
        <v>-</v>
      </c>
      <c r="D39" s="401"/>
      <c r="E39" s="406" t="s">
        <v>591</v>
      </c>
      <c r="F39" s="411" t="str">
        <f>F10</f>
        <v>BS2800U</v>
      </c>
      <c r="N39" s="530">
        <f xml:space="preserve"> L43 - (L43-L44) / 10 * 2</f>
        <v>3594</v>
      </c>
      <c r="O39" s="530">
        <f xml:space="preserve"> L45 / 10 * 8</f>
        <v>1280</v>
      </c>
    </row>
    <row r="40" spans="1:15" ht="18.95" customHeight="1">
      <c r="A40" s="400"/>
      <c r="B40" s="410"/>
      <c r="C40" s="410"/>
      <c r="D40" s="401"/>
      <c r="E40" s="401"/>
      <c r="F40" s="402"/>
      <c r="N40" s="530">
        <f xml:space="preserve"> L43 - (L43-L44) / 10 * 3</f>
        <v>3591</v>
      </c>
      <c r="O40" s="530">
        <f xml:space="preserve"> L45 / 10 * 7</f>
        <v>1120</v>
      </c>
    </row>
    <row r="41" spans="1:15" ht="18.95" customHeight="1">
      <c r="A41" s="400"/>
      <c r="B41" s="410"/>
      <c r="C41" s="410"/>
      <c r="D41" s="401"/>
      <c r="E41" s="401"/>
      <c r="F41" s="402"/>
      <c r="N41" s="530">
        <f xml:space="preserve"> L43 - (L43-L44) / 10 * 4</f>
        <v>3588</v>
      </c>
      <c r="O41" s="530">
        <f xml:space="preserve"> L45 / 10 * 6</f>
        <v>960</v>
      </c>
    </row>
    <row r="42" spans="1:15" ht="18.95" customHeight="1">
      <c r="A42" s="400"/>
      <c r="B42" s="401"/>
      <c r="C42" s="401"/>
      <c r="D42" s="401"/>
      <c r="E42" s="401"/>
      <c r="F42" s="402"/>
      <c r="N42" s="530">
        <f xml:space="preserve"> L43 - (L43-L44) / 10 * 5</f>
        <v>3585</v>
      </c>
      <c r="O42" s="530">
        <f xml:space="preserve"> L45 / 10 * 5</f>
        <v>800</v>
      </c>
    </row>
    <row r="43" spans="1:15" ht="18.95" customHeight="1">
      <c r="A43" s="412"/>
      <c r="B43" s="410"/>
      <c r="C43" s="413" t="s">
        <v>592</v>
      </c>
      <c r="D43" s="414" t="str">
        <f>'Performance Data Sheet'!K42</f>
        <v>Zichao Xie</v>
      </c>
      <c r="E43" s="413" t="s">
        <v>593</v>
      </c>
      <c r="F43" s="414"/>
      <c r="K43" s="533" t="s">
        <v>714</v>
      </c>
      <c r="L43" s="534">
        <v>3600</v>
      </c>
      <c r="N43" s="530">
        <f xml:space="preserve"> L43 - (L43-L44) / 10 * 6</f>
        <v>3582</v>
      </c>
      <c r="O43" s="530">
        <f xml:space="preserve"> L45 / 10 * 4</f>
        <v>640</v>
      </c>
    </row>
    <row r="44" spans="1:15" ht="15" customHeight="1">
      <c r="K44" s="533" t="s">
        <v>715</v>
      </c>
      <c r="L44" s="535">
        <v>3570</v>
      </c>
      <c r="N44" s="530">
        <f xml:space="preserve"> L43 - (L43-L44) / 10 * 7</f>
        <v>3579</v>
      </c>
      <c r="O44" s="530">
        <f xml:space="preserve"> L45 / 10 * 3</f>
        <v>480</v>
      </c>
    </row>
    <row r="45" spans="1:15" ht="15" customHeight="1">
      <c r="K45" s="533" t="s">
        <v>716</v>
      </c>
      <c r="L45" s="535">
        <v>1600</v>
      </c>
      <c r="N45" s="530">
        <f xml:space="preserve"> L43 - (L43-L44) / 10 * 8</f>
        <v>3576</v>
      </c>
      <c r="O45" s="530">
        <f xml:space="preserve"> L45 / 10 * 2</f>
        <v>320</v>
      </c>
    </row>
    <row r="46" spans="1:15" ht="15" customHeight="1">
      <c r="N46" s="530">
        <f xml:space="preserve"> L43 - (L43-L44) / 10 * 9</f>
        <v>3573</v>
      </c>
      <c r="O46" s="530">
        <f xml:space="preserve"> L45 / 10 * 1</f>
        <v>160</v>
      </c>
    </row>
    <row r="47" spans="1:15" ht="15" customHeight="1">
      <c r="N47" s="530">
        <f xml:space="preserve"> L43 - (L43-L44) / 10 * 10</f>
        <v>3570</v>
      </c>
      <c r="O47" s="536">
        <f xml:space="preserve"> L45 / 10 * 0</f>
        <v>0</v>
      </c>
    </row>
    <row r="48" spans="1:15" ht="15" customHeight="1"/>
    <row r="49" spans="1:6" ht="15" customHeight="1"/>
    <row r="50" spans="1:6" ht="15" customHeight="1"/>
    <row r="51" spans="1:6" ht="15" customHeight="1" thickBot="1"/>
    <row r="52" spans="1:6" ht="15" customHeight="1" thickBot="1">
      <c r="A52" s="665" t="s">
        <v>712</v>
      </c>
      <c r="B52" s="666"/>
      <c r="C52" s="666"/>
      <c r="D52" s="666"/>
      <c r="E52" s="666"/>
      <c r="F52" s="667"/>
    </row>
    <row r="53" spans="1:6" ht="15" customHeight="1" thickBot="1">
      <c r="A53" s="531" t="s">
        <v>402</v>
      </c>
      <c r="B53" s="531" t="s">
        <v>142</v>
      </c>
      <c r="C53" s="531" t="s">
        <v>120</v>
      </c>
      <c r="D53" s="531" t="s">
        <v>135</v>
      </c>
      <c r="E53" s="531" t="s">
        <v>5</v>
      </c>
      <c r="F53" s="532" t="s">
        <v>604</v>
      </c>
    </row>
    <row r="54" spans="1:6" ht="15" customHeight="1">
      <c r="A54" s="426">
        <v>0</v>
      </c>
      <c r="B54" s="427"/>
      <c r="C54" s="428"/>
      <c r="D54" s="428">
        <v>20</v>
      </c>
      <c r="E54" s="428">
        <v>100</v>
      </c>
      <c r="F54" s="429">
        <f>20836/(L45*1000) * 100</f>
        <v>1.3022499999999999</v>
      </c>
    </row>
    <row r="55" spans="1:6" ht="15" customHeight="1">
      <c r="A55" s="430">
        <v>25</v>
      </c>
      <c r="B55" s="431">
        <v>84.599998474121094</v>
      </c>
      <c r="C55" s="432">
        <v>68.599998474121094</v>
      </c>
      <c r="D55" s="432">
        <v>37.090000152587891</v>
      </c>
      <c r="E55" s="432">
        <f xml:space="preserve"> (1.00408915088163*B10-L44)/(L43-L44)*100</f>
        <v>82.130533854119676</v>
      </c>
      <c r="F55" s="433">
        <f xml:space="preserve"> 176279.4/(L45*1000)*100</f>
        <v>11.017462500000001</v>
      </c>
    </row>
    <row r="56" spans="1:6" ht="15" customHeight="1">
      <c r="A56" s="430">
        <v>50</v>
      </c>
      <c r="B56" s="431">
        <v>90.5</v>
      </c>
      <c r="C56" s="432">
        <v>84.5</v>
      </c>
      <c r="D56" s="432">
        <v>56.319999694824219</v>
      </c>
      <c r="E56" s="432">
        <f xml:space="preserve"> (1.00276444930604*B10-L44)/(L43-L44)*100</f>
        <v>66.322428385409083</v>
      </c>
      <c r="F56" s="433">
        <f xml:space="preserve"> 329716/(L45*1000)*100</f>
        <v>20.607250000000001</v>
      </c>
    </row>
    <row r="57" spans="1:6">
      <c r="A57" s="430">
        <v>75</v>
      </c>
      <c r="B57" s="431">
        <v>92.5</v>
      </c>
      <c r="C57" s="432">
        <v>89.5</v>
      </c>
      <c r="D57" s="432">
        <v>78.069999694824219</v>
      </c>
      <c r="E57" s="432">
        <f xml:space="preserve"> (1.00141103733851*B10-L44)/(L43-L44)*100</f>
        <v>50.171712239551503</v>
      </c>
      <c r="F57" s="433">
        <f xml:space="preserve"> 484091.9/(L45*1000)*100</f>
        <v>30.255743750000004</v>
      </c>
    </row>
    <row r="58" spans="1:6">
      <c r="A58" s="430">
        <v>100</v>
      </c>
      <c r="B58" s="431">
        <v>93.300003051757813</v>
      </c>
      <c r="C58" s="432">
        <v>91.199996948242188</v>
      </c>
      <c r="D58" s="432">
        <v>101.19999694824219</v>
      </c>
      <c r="E58" s="432">
        <f xml:space="preserve"> (1*B10-L44)/(L43-L44)*100</f>
        <v>33.333333333333329</v>
      </c>
      <c r="F58" s="433">
        <f xml:space="preserve"> 639434.3/(L45*1000)*100</f>
        <v>39.96464375</v>
      </c>
    </row>
    <row r="59" spans="1:6" ht="13.5" thickBot="1">
      <c r="A59" s="434">
        <v>125</v>
      </c>
      <c r="B59" s="435">
        <v>93.699996948242188</v>
      </c>
      <c r="C59" s="436">
        <v>91.699996948242188</v>
      </c>
      <c r="D59" s="436">
        <v>125.41999816894531</v>
      </c>
      <c r="E59" s="436">
        <f xml:space="preserve"> (0.998963288887919*B10-L44)/(L43-L44)*100</f>
        <v>20.9619140625</v>
      </c>
      <c r="F59" s="437">
        <f xml:space="preserve"> 796813.6/(L45*1000)*100</f>
        <v>49.800849999999997</v>
      </c>
    </row>
    <row r="60" spans="1:6">
      <c r="A60" s="415"/>
      <c r="B60" s="416"/>
      <c r="C60" s="416"/>
    </row>
    <row r="61" spans="1:6" ht="13.5" thickBot="1">
      <c r="A61" s="415"/>
      <c r="B61" s="416"/>
      <c r="C61" s="416"/>
    </row>
    <row r="62" spans="1:6" ht="13.5" thickBot="1">
      <c r="A62" s="665" t="s">
        <v>713</v>
      </c>
      <c r="B62" s="666"/>
      <c r="C62" s="666"/>
      <c r="D62" s="666"/>
      <c r="E62" s="666"/>
      <c r="F62" s="667"/>
    </row>
    <row r="63" spans="1:6" ht="13.5" thickBot="1">
      <c r="A63" s="531" t="s">
        <v>402</v>
      </c>
      <c r="B63" s="531" t="s">
        <v>142</v>
      </c>
      <c r="C63" s="531" t="s">
        <v>120</v>
      </c>
      <c r="D63" s="531" t="s">
        <v>135</v>
      </c>
      <c r="E63" s="531" t="s">
        <v>5</v>
      </c>
      <c r="F63" s="532" t="s">
        <v>604</v>
      </c>
    </row>
    <row r="64" spans="1:6">
      <c r="A64" s="426">
        <v>0</v>
      </c>
      <c r="B64" s="427"/>
      <c r="C64" s="428"/>
      <c r="D64" s="428">
        <v>24.648845937888129</v>
      </c>
      <c r="E64" s="428">
        <v>100</v>
      </c>
      <c r="F64" s="429">
        <v>1.3022625000000003</v>
      </c>
    </row>
    <row r="65" spans="1:6">
      <c r="A65" s="430">
        <v>25</v>
      </c>
      <c r="B65" s="431">
        <v>84.679450988769531</v>
      </c>
      <c r="C65" s="432">
        <v>68.579078674316406</v>
      </c>
      <c r="D65" s="432">
        <v>37.092803955078125</v>
      </c>
      <c r="E65" s="432">
        <v>75.435212888266292</v>
      </c>
      <c r="F65" s="433">
        <v>11.014612010231128</v>
      </c>
    </row>
    <row r="66" spans="1:6">
      <c r="A66" s="430">
        <v>50</v>
      </c>
      <c r="B66" s="431">
        <v>90.514793395996094</v>
      </c>
      <c r="C66" s="432">
        <v>84.498779296875</v>
      </c>
      <c r="D66" s="432">
        <v>56.327358245849609</v>
      </c>
      <c r="E66" s="432">
        <v>60.245183982382009</v>
      </c>
      <c r="F66" s="433">
        <v>20.609037322581642</v>
      </c>
    </row>
    <row r="67" spans="1:6">
      <c r="A67" s="430">
        <v>75</v>
      </c>
      <c r="B67" s="431">
        <v>92.521095275878906</v>
      </c>
      <c r="C67" s="432">
        <v>89.46295166015625</v>
      </c>
      <c r="D67" s="432">
        <v>78.072250366210938</v>
      </c>
      <c r="E67" s="432">
        <v>44.484072847466607</v>
      </c>
      <c r="F67" s="433">
        <v>30.243203886658737</v>
      </c>
    </row>
    <row r="68" spans="1:6">
      <c r="A68" s="430">
        <v>100</v>
      </c>
      <c r="B68" s="431">
        <v>93.340843200683594</v>
      </c>
      <c r="C68" s="432">
        <v>91.208610534667969</v>
      </c>
      <c r="D68" s="432">
        <v>101.20729064941406</v>
      </c>
      <c r="E68" s="432">
        <v>28.104011232082414</v>
      </c>
      <c r="F68" s="433">
        <v>39.970130395698021</v>
      </c>
    </row>
    <row r="69" spans="1:6" ht="13.5" thickBot="1">
      <c r="A69" s="434">
        <v>125</v>
      </c>
      <c r="B69" s="435">
        <v>93.717765808105469</v>
      </c>
      <c r="C69" s="436">
        <v>91.625434875488281</v>
      </c>
      <c r="D69" s="436">
        <v>125.42711639404297</v>
      </c>
      <c r="E69" s="436">
        <v>16.308875338632589</v>
      </c>
      <c r="F69" s="437">
        <v>49.761721004533875</v>
      </c>
    </row>
  </sheetData>
  <mergeCells count="4">
    <mergeCell ref="A4:F4"/>
    <mergeCell ref="B6:D6"/>
    <mergeCell ref="A52:F52"/>
    <mergeCell ref="A62:F62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9</vt:i4>
      </vt:variant>
    </vt:vector>
  </HeadingPairs>
  <TitlesOfParts>
    <vt:vector size="17" baseType="lpstr">
      <vt:lpstr>DesignSheet</vt:lpstr>
      <vt:lpstr>Data Sheet</vt:lpstr>
      <vt:lpstr>LoginSheet</vt:lpstr>
      <vt:lpstr>StallTime</vt:lpstr>
      <vt:lpstr>Performance Data Sheet</vt:lpstr>
      <vt:lpstr>STCurve</vt:lpstr>
      <vt:lpstr>Thermdam</vt:lpstr>
      <vt:lpstr>Performance</vt:lpstr>
      <vt:lpstr>'Data Sheet'!Print_Area</vt:lpstr>
      <vt:lpstr>DesignSheet!Print_Area</vt:lpstr>
      <vt:lpstr>LoginSheet!Print_Area</vt:lpstr>
      <vt:lpstr>Performance!Print_Area</vt:lpstr>
      <vt:lpstr>'Performance Data Sheet'!Print_Area</vt:lpstr>
      <vt:lpstr>StallTime!Print_Area</vt:lpstr>
      <vt:lpstr>STCurve!Print_Area</vt:lpstr>
      <vt:lpstr>Thermdam!Print_Area</vt:lpstr>
      <vt:lpstr>Print_Area_MI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DesOut</dc:title>
  <dc:creator>Xie, Zichao</dc:creator>
  <cp:lastModifiedBy>Rodriguez, Jerry (TIC)</cp:lastModifiedBy>
  <cp:lastPrinted>2017-05-22T14:20:14Z</cp:lastPrinted>
  <dcterms:created xsi:type="dcterms:W3CDTF">1997-10-03T20:37:30Z</dcterms:created>
  <dcterms:modified xsi:type="dcterms:W3CDTF">2025-11-12T16:09:15Z</dcterms:modified>
</cp:coreProperties>
</file>