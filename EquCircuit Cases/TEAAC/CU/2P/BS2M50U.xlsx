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\Electrical Design\TEAAC\2P\Series\"/>
    </mc:Choice>
  </mc:AlternateContent>
  <xr:revisionPtr revIDLastSave="0" documentId="13_ncr:1_{0235D7D2-EFB7-4E4F-AB51-9A805D8F3AAD}" xr6:coauthVersionLast="47" xr6:coauthVersionMax="47" xr10:uidLastSave="{00000000-0000-0000-0000-000000000000}"/>
  <bookViews>
    <workbookView xWindow="-19308" yWindow="3480" windowWidth="19416" windowHeight="10416" tabRatio="749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43" i="10" l="1"/>
  <c r="D43" i="8"/>
  <c r="F9" i="10"/>
  <c r="F8" i="10"/>
  <c r="F7" i="10"/>
  <c r="B7" i="10"/>
  <c r="B6" i="10"/>
  <c r="F9" i="8"/>
  <c r="F8" i="8"/>
  <c r="F7" i="8"/>
  <c r="B7" i="8"/>
  <c r="B6" i="8"/>
  <c r="D43" i="6"/>
  <c r="F9" i="6"/>
  <c r="F8" i="6"/>
  <c r="F7" i="6"/>
  <c r="B7" i="6"/>
  <c r="B6" i="6"/>
  <c r="C76" i="8"/>
  <c r="C77" i="8" s="1"/>
  <c r="C78" i="8" s="1"/>
  <c r="B76" i="8"/>
  <c r="C75" i="8"/>
  <c r="C74" i="8"/>
  <c r="B74" i="8"/>
  <c r="A69" i="8"/>
  <c r="C69" i="8" s="1"/>
  <c r="E68" i="8"/>
  <c r="D66" i="8"/>
  <c r="F50" i="8"/>
  <c r="B69" i="8" l="1"/>
  <c r="B75" i="8" s="1"/>
  <c r="A70" i="8"/>
  <c r="M28" i="3"/>
  <c r="M18" i="3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<sst xmlns="http://schemas.openxmlformats.org/spreadsheetml/2006/main" count="997" uniqueCount="757">
  <si>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</si>
  <si>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</si>
  <si>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</si>
  <si>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</si>
  <si>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</si>
  <si>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</si>
  <si>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</si>
  <si>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</si>
  <si>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</si>
  <si>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</si>
  <si>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</si>
  <si>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</si>
  <si>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</si>
  <si>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</si>
  <si>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</si>
  <si>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</si>
  <si>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</si>
  <si>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</si>
  <si>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</si>
  <si>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</si>
  <si>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</si>
  <si>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</si>
  <si>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</si>
  <si>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</si>
  <si>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</si>
  <si>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</si>
  <si>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</si>
  <si>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</si>
  <si>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</si>
  <si>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</si>
  <si>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</si>
  <si>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</si>
  <si>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</si>
  <si>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</si>
  <si>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</si>
  <si>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</si>
  <si>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</si>
  <si>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</si>
  <si>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</si>
  <si>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</si>
  <si>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</si>
  <si>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</si>
  <si>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</si>
  <si>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</si>
  <si>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</si>
  <si>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</si>
  <si>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</si>
  <si>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</si>
  <si>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</si>
  <si>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</si>
  <si>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</si>
  <si>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</si>
  <si>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</si>
  <si>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</si>
  <si>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</si>
  <si>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</si>
  <si>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</si>
  <si>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</si>
  <si>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</si>
  <si>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</si>
  <si>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</si>
  <si>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</si>
  <si>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</si>
  <si>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</si>
  <si>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</si>
  <si>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</si>
  <si>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</si>
  <si>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</si>
  <si>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</si>
  <si>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</si>
  <si>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</si>
  <si>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</si>
  <si>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</si>
  <si>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</si>
  <si>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</si>
  <si>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</si>
  <si>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</si>
  <si>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</si>
  <si>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</si>
  <si>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</si>
  <si>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</si>
  <si>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</si>
  <si>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</si>
  <si>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</si>
  <si>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</si>
  <si>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</si>
  <si>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</si>
  <si>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</si>
  <si>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</si>
  <si>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</si>
  <si>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</si>
  <si>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</si>
  <si>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</si>
  <si>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</si>
  <si>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</si>
  <si>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</si>
  <si>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</si>
  <si>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</si>
  <si>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</si>
  <si>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</si>
  <si>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</si>
  <si>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</si>
  <si>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</si>
  <si>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</si>
  <si>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</si>
  <si>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</si>
  <si>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</si>
  <si>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</si>
  <si>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</si>
  <si>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</si>
  <si>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</si>
  <si>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</si>
  <si>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</si>
  <si>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</si>
  <si>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</si>
  <si>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</si>
  <si>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</si>
  <si>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</si>
  <si>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</si>
  <si>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</si>
  <si>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</si>
  <si>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</si>
  <si>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</si>
  <si>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</si>
  <si>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</si>
  <si>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</si>
  <si>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</si>
  <si>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</si>
  <si>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</si>
  <si>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</si>
  <si>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</si>
  <si>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</si>
  <si>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</si>
  <si>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</si>
  <si>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</si>
  <si>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</si>
  <si>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</si>
  <si>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</si>
  <si>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</si>
  <si>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</si>
  <si>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</si>
  <si>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</si>
  <si>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</si>
  <si>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</si>
  <si>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</si>
  <si>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</si>
  <si>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</si>
  <si>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</si>
  <si>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</si>
  <si>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</si>
  <si>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</si>
  <si>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</si>
  <si>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</si>
  <si>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</si>
  <si>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</si>
  <si>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</si>
  <si>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</si>
  <si>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</si>
  <si>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</si>
  <si>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</si>
  <si>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</si>
  <si>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</si>
  <si>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</si>
  <si>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</si>
  <si>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</si>
  <si>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</si>
  <si>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</si>
  <si>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</si>
  <si>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</si>
  <si>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</si>
  <si>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</si>
  <si>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</si>
  <si>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</si>
  <si>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</si>
  <si>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</si>
  <si>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</si>
  <si>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</si>
  <si>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450-1600</t>
  </si>
  <si>
    <t>Open</t>
  </si>
  <si>
    <t>Trapeze</t>
  </si>
  <si>
    <t>17.30 - 17.30</t>
  </si>
  <si>
    <t>0.80 - 2.40</t>
  </si>
  <si>
    <t>Normal</t>
  </si>
  <si>
    <t>31 x 6</t>
  </si>
  <si>
    <t>21 x 6</t>
  </si>
  <si>
    <t>1 ~ 18</t>
  </si>
  <si>
    <t>(.081"x.258")x2</t>
  </si>
  <si>
    <t>Delta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</si>
  <si>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</si>
  <si>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</si>
  <si>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</si>
  <si>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</si>
  <si>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</si>
  <si>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</si>
  <si>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</si>
  <si>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</si>
  <si>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</si>
  <si>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</si>
  <si>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</si>
  <si>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0.0588)</t>
  </si>
  <si>
    <t>Skew R.: 0.00</t>
  </si>
  <si>
    <t>Z:\Motor R&amp;D\Active Projects\6810 Development\Electrical Design\TEAAC\2P\Series\BS2M50U.rat</t>
  </si>
  <si>
    <t>2-2-2-0-1-2</t>
  </si>
  <si>
    <t>B.L.-1  P.F.-1</t>
  </si>
  <si>
    <t>12326.7 / 12450.2</t>
  </si>
  <si>
    <t>10461.4 / 9925.7</t>
  </si>
  <si>
    <t>34963.8 / 51946.4</t>
  </si>
  <si>
    <t>9407.5 / 29927.4</t>
  </si>
  <si>
    <t>25325.7 / 10315.0</t>
  </si>
  <si>
    <t>6211.0 / 2529.7</t>
  </si>
  <si>
    <t>19114.7 / 7785.3</t>
  </si>
  <si>
    <t>1.75 / 0.71</t>
  </si>
  <si>
    <t>77 / 77</t>
  </si>
  <si>
    <t>Temp. Rise @ 100%:</t>
  </si>
  <si>
    <t>Stray Loss</t>
  </si>
  <si>
    <t>0.927 / 0.914</t>
  </si>
  <si>
    <t>0.958 / 0.944</t>
  </si>
  <si>
    <t>0.967 / 0.953</t>
  </si>
  <si>
    <t>0.970 / 0.956</t>
  </si>
  <si>
    <t>0.971 / 0.957</t>
  </si>
  <si>
    <t>0.819 / 0.805</t>
  </si>
  <si>
    <t>0.926 / 0.911</t>
  </si>
  <si>
    <t>0.949 / 0.933</t>
  </si>
  <si>
    <t>0.954 / 0.939</t>
  </si>
  <si>
    <t>0.953 / 0.937</t>
  </si>
  <si>
    <t>88.64 / 91.43</t>
  </si>
  <si>
    <t>151.70 / 156.47</t>
  </si>
  <si>
    <t>220.01 / 226.93</t>
  </si>
  <si>
    <t>290.74 / 299.89</t>
  </si>
  <si>
    <t>363.67 / 375.11</t>
  </si>
  <si>
    <t>3.19 / 3.29</t>
  </si>
  <si>
    <t>UB: 4.64 / 4.79</t>
  </si>
  <si>
    <t>UER: 2.91 / 3.00</t>
  </si>
  <si>
    <t>3595.1 / 3595.4</t>
  </si>
  <si>
    <t>3590.3 / 3590.5</t>
  </si>
  <si>
    <t>3585.4 / 3585.7</t>
  </si>
  <si>
    <t>3580.3 / 3580.6</t>
  </si>
  <si>
    <t>3575.4 / 3575.7</t>
  </si>
  <si>
    <t>0.0014 / 0.0013</t>
  </si>
  <si>
    <t>0.0027 / 0.0026</t>
  </si>
  <si>
    <t>0.0041 / 0.0040</t>
  </si>
  <si>
    <t>0.0055 / 0.0054</t>
  </si>
  <si>
    <t>0.0068 / 0.0068</t>
  </si>
  <si>
    <t>26.515 / 26.556</t>
  </si>
  <si>
    <t>2.108 / 2.112</t>
  </si>
  <si>
    <t>46.07 / 46.14</t>
  </si>
  <si>
    <t>1985.7 / 1928.1</t>
  </si>
  <si>
    <t>683.0 / 663.2</t>
  </si>
  <si>
    <t>650.2 / 531.0</t>
  </si>
  <si>
    <t>128.2 / 104.7</t>
  </si>
  <si>
    <t>332.0 / 251.4</t>
  </si>
  <si>
    <t>Correlated to: P148450_TEAAC_CStubes_Lab1317.dat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</si>
  <si>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</si>
  <si>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</si>
  <si>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</si>
  <si>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</si>
  <si>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</si>
  <si>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</si>
  <si>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</si>
  <si>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</si>
  <si>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</si>
  <si>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</si>
  <si>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</si>
  <si>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</si>
  <si>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</si>
  <si>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</si>
  <si>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</si>
  <si>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</si>
  <si>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</si>
  <si>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</si>
  <si>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</si>
  <si>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</si>
  <si>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</si>
  <si>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</si>
  <si>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</si>
  <si>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</si>
  <si>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</si>
  <si>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</si>
  <si>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</si>
  <si>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</si>
  <si>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</si>
  <si>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</si>
  <si>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</si>
  <si>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</si>
  <si>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</si>
  <si>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</si>
  <si>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</si>
  <si>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</si>
  <si>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</si>
  <si>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</si>
  <si>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</si>
  <si>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</si>
  <si>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</si>
  <si>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</si>
  <si>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</si>
  <si>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</si>
  <si>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</si>
  <si>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</si>
  <si>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</si>
  <si>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</si>
  <si>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</si>
  <si>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</si>
  <si>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</si>
  <si>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</si>
  <si>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</si>
  <si>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</si>
  <si>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</si>
  <si>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</si>
  <si>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</si>
  <si>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</si>
  <si>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</si>
  <si>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</si>
  <si>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</si>
  <si>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</si>
  <si>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</si>
  <si>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</si>
  <si>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</si>
  <si>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</si>
  <si>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</si>
  <si>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</si>
  <si>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</si>
  <si>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</si>
  <si>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</si>
  <si>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</si>
  <si>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</si>
  <si>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</si>
  <si>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</si>
  <si>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</si>
  <si>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</si>
  <si>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</si>
  <si>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</si>
  <si>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</si>
  <si>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</si>
  <si>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</si>
  <si>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</si>
  <si>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</si>
  <si>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</si>
  <si>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</si>
  <si>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</si>
  <si>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</si>
  <si>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</si>
  <si>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</si>
  <si>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</si>
  <si>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</si>
  <si>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</si>
  <si>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</si>
  <si>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</si>
  <si>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</si>
  <si>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</si>
  <si>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</si>
  <si>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</si>
  <si>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</si>
  <si>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</si>
  <si>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</si>
  <si>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</si>
  <si>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</si>
  <si>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</si>
  <si>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</si>
  <si>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</si>
  <si>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</si>
  <si>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</si>
  <si>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</si>
  <si>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</si>
  <si>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</si>
  <si>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BS2M50U</t>
  </si>
  <si>
    <t>Type: TIKE - Form: FCW4 - 2 Pole - 2500 HP - 4000 V - 60 Hz - 450-1600 - Class F</t>
  </si>
  <si>
    <t>20 x 2</t>
  </si>
  <si>
    <t>2 x Delta</t>
  </si>
  <si>
    <t xml:space="preserve"> - </t>
  </si>
  <si>
    <t>77 / 102</t>
  </si>
  <si>
    <t>329 / 2114</t>
  </si>
  <si>
    <t>479 / 300</t>
  </si>
  <si>
    <t>M503TCQL11F-C</t>
  </si>
  <si>
    <t>Outer Fan: DT360</t>
  </si>
  <si>
    <t>Limits: BS2M50U</t>
  </si>
  <si>
    <t>Rev 0: First Issue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</si>
  <si>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</si>
  <si>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</si>
  <si>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</si>
  <si>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</si>
  <si>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</si>
  <si>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</si>
  <si>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</si>
  <si>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</si>
  <si>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</si>
  <si>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</si>
  <si>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</si>
  <si>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</si>
  <si>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1837.0</t>
  </si>
  <si>
    <t xml:space="preserve">10T: </t>
  </si>
  <si>
    <t/>
  </si>
  <si>
    <t>0.0250 ~ 0.0240</t>
  </si>
  <si>
    <t>10T: 22.57</t>
  </si>
  <si>
    <t>10T: 13.51</t>
  </si>
  <si>
    <t>17.40 ~ 17.00</t>
  </si>
  <si>
    <t>14.70</t>
  </si>
  <si>
    <t>3.79</t>
  </si>
  <si>
    <t xml:space="preserve"> (.081"x.258")x 2: </t>
  </si>
  <si>
    <t>1048 lbs.</t>
  </si>
  <si>
    <t xml:space="preserve">1-2, 2-3, 3-1: 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</si>
  <si>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</si>
  <si>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</si>
  <si>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</si>
  <si>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</si>
  <si>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</si>
  <si>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</si>
  <si>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</si>
  <si>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</si>
  <si>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</si>
  <si>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</si>
  <si>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</si>
  <si>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</si>
  <si>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</si>
  <si>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</si>
  <si>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</si>
  <si>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</si>
  <si>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</si>
  <si>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</si>
  <si>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</si>
  <si>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</si>
  <si>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</si>
  <si>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</si>
  <si>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</si>
  <si>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</si>
  <si>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</si>
  <si>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</si>
  <si>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</si>
  <si>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</si>
  <si>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</si>
  <si>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</si>
  <si>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771.3 lb-ft²</t>
  </si>
  <si>
    <t>1928 A</t>
  </si>
  <si>
    <t>Load</t>
  </si>
  <si>
    <t>Fan / Pump</t>
  </si>
  <si>
    <t>Acceleration Data (FV V)</t>
  </si>
  <si>
    <t>507.4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</si>
  <si>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</si>
  <si>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</si>
  <si>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</si>
  <si>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</si>
  <si>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</si>
  <si>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</si>
  <si>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</si>
  <si>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</si>
  <si>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</si>
  <si>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</si>
  <si>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</si>
  <si>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</si>
  <si>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</si>
  <si>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</si>
  <si>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</si>
  <si>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</si>
  <si>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</si>
  <si>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</si>
  <si>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</si>
  <si>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</si>
  <si>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</si>
  <si>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</si>
  <si>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</si>
  <si>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</si>
  <si>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</si>
  <si>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</si>
  <si>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</si>
  <si>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</si>
  <si>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</si>
  <si>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</si>
  <si>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</si>
  <si>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</si>
  <si>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</si>
  <si>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</si>
  <si>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</si>
  <si>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</si>
  <si>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</si>
  <si>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</si>
  <si>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</si>
  <si>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- 2500.0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</si>
  <si>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</si>
  <si>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</si>
  <si>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</si>
  <si>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</si>
  <si>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</si>
  <si>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</si>
  <si>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</si>
  <si>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</si>
  <si>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</si>
  <si>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</si>
  <si>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</si>
  <si>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</si>
  <si>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</si>
  <si>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100.1</t>
  </si>
  <si>
    <t>100.3</t>
  </si>
  <si>
    <t>100.6</t>
  </si>
  <si>
    <t>101.3</t>
  </si>
  <si>
    <t>102.3</t>
  </si>
  <si>
    <t>103.9</t>
  </si>
  <si>
    <t>106.6</t>
  </si>
  <si>
    <t>111.6</t>
  </si>
  <si>
    <t>120.7</t>
  </si>
  <si>
    <t>139.6</t>
  </si>
  <si>
    <t>201.4</t>
  </si>
  <si>
    <t>188.9</t>
  </si>
  <si>
    <t>113.9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</si>
  <si>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</si>
  <si>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</si>
  <si>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</si>
  <si>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</si>
  <si>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</si>
  <si>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</si>
  <si>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</si>
  <si>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</si>
  <si>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</si>
  <si>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</si>
  <si>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</si>
  <si>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</si>
  <si>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</si>
  <si>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1923.9</t>
  </si>
  <si>
    <t>1915.1</t>
  </si>
  <si>
    <t>1904.9</t>
  </si>
  <si>
    <t>1892.8</t>
  </si>
  <si>
    <t>1878.7</t>
  </si>
  <si>
    <t>1862.1</t>
  </si>
  <si>
    <t>1842.8</t>
  </si>
  <si>
    <t>1817.5</t>
  </si>
  <si>
    <t>1788.3</t>
  </si>
  <si>
    <t>1740.1</t>
  </si>
  <si>
    <t>1579.7</t>
  </si>
  <si>
    <t>965.7</t>
  </si>
  <si>
    <t>308.3</t>
  </si>
  <si>
    <t>3.6°C / s</t>
  </si>
  <si>
    <t>25.2°C / s</t>
  </si>
  <si>
    <t>9.2°C / s</t>
  </si>
  <si>
    <t>650.7 kW</t>
  </si>
  <si>
    <t>1564.5 kW</t>
  </si>
  <si>
    <t>300.5 kW</t>
  </si>
  <si>
    <t>44.0 s</t>
  </si>
  <si>
    <t>10.3 s</t>
  </si>
  <si>
    <t>19.5 s</t>
  </si>
  <si>
    <t>77°C    +</t>
  </si>
  <si>
    <t>105°C    +</t>
  </si>
  <si>
    <t>83°C    +</t>
  </si>
  <si>
    <t>155°C   +</t>
  </si>
  <si>
    <t>75°C   +</t>
  </si>
  <si>
    <t>22.8 s</t>
  </si>
  <si>
    <t>6.2 s</t>
  </si>
  <si>
    <t>8.2 s</t>
  </si>
  <si>
    <t>19.6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</si>
  <si>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</si>
  <si>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</si>
  <si>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</si>
  <si>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</si>
  <si>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</si>
  <si>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</si>
  <si>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</si>
  <si>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</si>
  <si>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</si>
  <si>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</si>
  <si>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</si>
  <si>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</si>
  <si>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</si>
  <si>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</si>
  <si>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</si>
  <si>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</si>
  <si>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</si>
  <si>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</si>
  <si>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</si>
  <si>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</si>
  <si>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</si>
  <si>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</si>
  <si>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</si>
  <si>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</si>
  <si>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</si>
  <si>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</si>
  <si>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</si>
  <si>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</si>
  <si>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2864.9 Hz</t>
  </si>
  <si>
    <t>2640.0 Hz</t>
  </si>
  <si>
    <t>2624.9 Hz</t>
  </si>
  <si>
    <t>2760.0 Hz</t>
  </si>
  <si>
    <t>2744.9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</si>
  <si>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</si>
  <si>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</si>
  <si>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</si>
  <si>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</si>
  <si>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</si>
  <si>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</si>
  <si>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</si>
  <si>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</si>
  <si>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</si>
  <si>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</si>
  <si>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</si>
  <si>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</si>
  <si>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</si>
  <si>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</si>
  <si>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</si>
  <si>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</si>
  <si>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</si>
  <si>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</si>
  <si>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</si>
  <si>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</si>
  <si>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</si>
  <si>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</si>
  <si>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</si>
  <si>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</si>
  <si>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</si>
  <si>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</si>
  <si>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</si>
  <si>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</si>
  <si>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</si>
  <si>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</si>
  <si>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</si>
  <si>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</si>
  <si>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</si>
  <si>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</si>
  <si>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</si>
  <si>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</si>
  <si>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</si>
  <si>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</si>
  <si>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</si>
  <si>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</si>
  <si>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</si>
  <si>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</si>
  <si>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</si>
  <si>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</si>
  <si>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</si>
  <si>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</si>
  <si>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</si>
  <si>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</si>
  <si>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</si>
  <si>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</si>
  <si>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</si>
  <si>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</si>
  <si>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</si>
  <si>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</si>
  <si>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</si>
  <si>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</si>
  <si>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</si>
  <si>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</si>
  <si>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</si>
  <si>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</si>
  <si>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</si>
  <si>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</si>
  <si>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</si>
  <si>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</si>
  <si>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</si>
  <si>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</si>
  <si>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</si>
  <si>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</si>
  <si>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</si>
  <si>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</si>
  <si>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</si>
  <si>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</si>
  <si>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</si>
  <si>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</si>
  <si>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</si>
  <si>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</si>
  <si>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</si>
  <si>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</si>
  <si>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</si>
  <si>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</si>
  <si>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</si>
  <si>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</si>
  <si>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</si>
  <si>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</si>
  <si>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</si>
  <si>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</si>
  <si>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</si>
  <si>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</si>
  <si>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</si>
  <si>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</si>
  <si>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</si>
  <si>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</si>
  <si>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</si>
  <si>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</si>
  <si>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</si>
  <si>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</si>
  <si>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</si>
  <si>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</si>
  <si>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</si>
  <si>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</si>
  <si>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</si>
  <si>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</si>
  <si>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</si>
  <si>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</si>
  <si>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</si>
  <si>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</si>
  <si>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</si>
  <si>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</si>
  <si>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</si>
  <si>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</si>
  <si>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</si>
  <si>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</si>
  <si>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</si>
  <si>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</si>
  <si>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</si>
  <si>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</si>
  <si>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</si>
  <si>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TEAAC</t>
  </si>
  <si>
    <t>M9-90</t>
  </si>
  <si>
    <t>3667 lb-ft</t>
  </si>
  <si>
    <t>AWG. (1/0 x 2) x 3</t>
  </si>
  <si>
    <t>0.078 ~ 0.073</t>
  </si>
  <si>
    <t>M9-90 INS</t>
  </si>
  <si>
    <t>105.9 kg.m²</t>
  </si>
  <si>
    <t>5.6 (s)</t>
  </si>
  <si>
    <t>Load Type: Fan / Pump - 628.0 lb-ft²</t>
  </si>
  <si>
    <t>0.599</t>
  </si>
  <si>
    <t>324.5</t>
  </si>
  <si>
    <t>1415.9</t>
  </si>
  <si>
    <t>0.523</t>
  </si>
  <si>
    <t>280.9</t>
  </si>
  <si>
    <t>1108.9</t>
  </si>
  <si>
    <t>0.497</t>
  </si>
  <si>
    <t>264.5</t>
  </si>
  <si>
    <t>934.2</t>
  </si>
  <si>
    <t>261.4</t>
  </si>
  <si>
    <t>814.9</t>
  </si>
  <si>
    <t>0.517</t>
  </si>
  <si>
    <t>268.4</t>
  </si>
  <si>
    <t>725.4</t>
  </si>
  <si>
    <t>0.556</t>
  </si>
  <si>
    <t>283.7</t>
  </si>
  <si>
    <t>647.9</t>
  </si>
  <si>
    <t>0.619</t>
  </si>
  <si>
    <t>309.7</t>
  </si>
  <si>
    <t>575.2</t>
  </si>
  <si>
    <t>0.728</t>
  </si>
  <si>
    <t>356.4</t>
  </si>
  <si>
    <t>504.0</t>
  </si>
  <si>
    <t>0.409</t>
  </si>
  <si>
    <t>194.0</t>
  </si>
  <si>
    <t>370.5</t>
  </si>
  <si>
    <t>0.372</t>
  </si>
  <si>
    <t>170.7</t>
  </si>
  <si>
    <t>254.0</t>
  </si>
  <si>
    <t>0.210</t>
  </si>
  <si>
    <t>89.3</t>
  </si>
  <si>
    <t>94.5</t>
  </si>
  <si>
    <t>0.040</t>
  </si>
  <si>
    <t>12.2</t>
  </si>
  <si>
    <t>30.5</t>
  </si>
  <si>
    <t>0.063</t>
  </si>
  <si>
    <t>0.8</t>
  </si>
  <si>
    <t>54.5</t>
  </si>
  <si>
    <t>Acceleration Time:  5.6 s</t>
  </si>
  <si>
    <t>2817 kW / s</t>
  </si>
  <si>
    <t>16°C</t>
  </si>
  <si>
    <t>31°C</t>
  </si>
  <si>
    <t>6317 kW / s</t>
  </si>
  <si>
    <t>102°C</t>
  </si>
  <si>
    <t>203°C</t>
  </si>
  <si>
    <t>1213 kW / s</t>
  </si>
  <si>
    <t>37°C</t>
  </si>
  <si>
    <t>75°C</t>
  </si>
  <si>
    <t>628.0 lb-ft²</t>
  </si>
  <si>
    <t>LINK:</t>
  </si>
  <si>
    <t>P148450.rat with P148450_TEAAC_CStubes_Lab1317.dat</t>
  </si>
  <si>
    <t>Run BS2M50U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</si>
</sst>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1" fillId="0" borderId="0"/>
    <xf numFmtId="0" fontId="1" fillId="0" borderId="0"/>
  </cellStyleXfs>
  <cellXfs count="699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/>
    <xf numFmtId="0" fontId="25" fillId="0" borderId="51" xfId="1" applyFont="1" applyBorder="1"/>
    <xf numFmtId="0" fontId="24" fillId="0" borderId="53" xfId="1" applyFont="1" applyBorder="1"/>
    <xf numFmtId="0" fontId="25" fillId="0" borderId="53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Border="1"/>
    <xf numFmtId="0" fontId="31" fillId="0" borderId="95" xfId="1" applyFont="1" applyBorder="1" applyAlignment="1">
      <alignment horizontal="center"/>
    </xf>
    <xf numFmtId="0" fontId="31" fillId="0" borderId="96" xfId="1" applyFont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31" fillId="0" borderId="73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Border="1"/>
    <xf numFmtId="0" fontId="26" fillId="0" borderId="78" xfId="1" applyFont="1" applyBorder="1"/>
    <xf numFmtId="0" fontId="26" fillId="0" borderId="86" xfId="1" applyFont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Alignment="1">
      <alignment horizontal="left"/>
    </xf>
    <xf numFmtId="0" fontId="26" fillId="0" borderId="0" xfId="2" applyFont="1"/>
    <xf numFmtId="0" fontId="29" fillId="2" borderId="0" xfId="1" applyFont="1" applyFill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/>
    <xf numFmtId="0" fontId="29" fillId="0" borderId="113" xfId="1" applyFont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9" fillId="0" borderId="0" xfId="0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2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5" fillId="0" borderId="0" xfId="4"/>
    <xf numFmtId="0" fontId="53" fillId="0" borderId="82" xfId="4" applyFont="1" applyBorder="1" applyAlignment="1">
      <alignment horizontal="centerContinuous"/>
    </xf>
    <xf numFmtId="0" fontId="52" fillId="0" borderId="0" xfId="4" applyFont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4" fillId="0" borderId="82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/>
    <xf numFmtId="0" fontId="52" fillId="0" borderId="107" xfId="4" applyFont="1" applyBorder="1"/>
    <xf numFmtId="0" fontId="50" fillId="0" borderId="0" xfId="4" applyFont="1" applyAlignment="1">
      <alignment horizontal="right"/>
    </xf>
    <xf numFmtId="0" fontId="52" fillId="0" borderId="0" xfId="4" applyFont="1" applyAlignment="1">
      <alignment horizontal="center"/>
    </xf>
    <xf numFmtId="9" fontId="52" fillId="0" borderId="0" xfId="4" applyNumberFormat="1" applyFont="1" applyAlignment="1">
      <alignment horizontal="center"/>
    </xf>
    <xf numFmtId="166" fontId="7" fillId="0" borderId="0" xfId="4" quotePrefix="1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66" fontId="7" fillId="0" borderId="0" xfId="4" applyNumberFormat="1" applyFont="1" applyAlignment="1">
      <alignment horizontal="center"/>
    </xf>
    <xf numFmtId="0" fontId="49" fillId="0" borderId="0" xfId="4" applyFont="1"/>
    <xf numFmtId="0" fontId="49" fillId="0" borderId="1" xfId="4" applyFont="1" applyBorder="1" applyAlignment="1">
      <alignment horizontal="center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0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4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5" xfId="4" applyNumberFormat="1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129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3" fillId="0" borderId="6" xfId="5" applyFont="1" applyBorder="1" applyAlignment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4" fillId="0" borderId="109" xfId="5" applyFont="1" applyBorder="1" applyAlignment="1">
      <alignment horizontal="left"/>
    </xf>
    <xf numFmtId="171" fontId="65" fillId="0" borderId="39" xfId="5" applyFont="1" applyBorder="1"/>
    <xf numFmtId="171" fontId="64" fillId="0" borderId="40" xfId="5" applyFont="1" applyBorder="1" applyAlignment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>
      <alignment horizontal="centerContinuous"/>
    </xf>
    <xf numFmtId="171" fontId="66" fillId="0" borderId="45" xfId="5" applyFont="1" applyBorder="1" applyAlignment="1">
      <alignment horizontal="centerContinuous"/>
    </xf>
    <xf numFmtId="171" fontId="66" fillId="0" borderId="46" xfId="5" applyFont="1" applyBorder="1" applyAlignment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Alignment="1">
      <alignment horizontal="centerContinuous"/>
    </xf>
    <xf numFmtId="171" fontId="64" fillId="0" borderId="0" xfId="5" applyFont="1" applyAlignment="1">
      <alignment horizontal="left"/>
    </xf>
    <xf numFmtId="171" fontId="65" fillId="0" borderId="0" xfId="5" applyFont="1"/>
    <xf numFmtId="171" fontId="64" fillId="0" borderId="0" xfId="5" applyFont="1" applyAlignment="1">
      <alignment horizontal="centerContinuous"/>
    </xf>
    <xf numFmtId="171" fontId="69" fillId="0" borderId="0" xfId="5" applyFont="1"/>
    <xf numFmtId="171" fontId="69" fillId="0" borderId="0" xfId="5" applyFont="1" applyAlignment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Alignment="1">
      <alignment horizontal="centerContinuous"/>
    </xf>
    <xf numFmtId="171" fontId="69" fillId="0" borderId="0" xfId="5" applyFont="1" applyAlignment="1">
      <alignment horizontal="left"/>
    </xf>
    <xf numFmtId="171" fontId="69" fillId="0" borderId="0" xfId="5" quotePrefix="1" applyFont="1" applyAlignment="1" applyProtection="1">
      <alignment horizontal="left"/>
      <protection locked="0"/>
    </xf>
    <xf numFmtId="171" fontId="70" fillId="0" borderId="137" xfId="5" applyFont="1" applyBorder="1" applyAlignment="1">
      <alignment horizontal="centerContinuous"/>
    </xf>
    <xf numFmtId="171" fontId="66" fillId="0" borderId="138" xfId="5" applyFont="1" applyBorder="1" applyAlignment="1">
      <alignment horizontal="centerContinuous"/>
    </xf>
    <xf numFmtId="171" fontId="66" fillId="0" borderId="139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Alignment="1">
      <alignment horizontal="right"/>
    </xf>
    <xf numFmtId="171" fontId="69" fillId="0" borderId="0" xfId="5" quotePrefix="1" applyFont="1" applyAlignment="1">
      <alignment horizontal="right"/>
    </xf>
    <xf numFmtId="171" fontId="69" fillId="0" borderId="0" xfId="5" quotePrefix="1" applyFont="1" applyAlignment="1" applyProtection="1">
      <alignment horizontal="center"/>
      <protection locked="0"/>
    </xf>
    <xf numFmtId="171" fontId="69" fillId="0" borderId="0" xfId="5" applyFont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66" fontId="69" fillId="0" borderId="23" xfId="5" applyNumberFormat="1" applyFont="1" applyBorder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Alignment="1">
      <alignment horizontal="right"/>
    </xf>
    <xf numFmtId="171" fontId="65" fillId="0" borderId="107" xfId="5" applyFont="1" applyBorder="1"/>
    <xf numFmtId="171" fontId="71" fillId="0" borderId="0" xfId="5" applyFont="1" applyAlignment="1">
      <alignment horizontal="left"/>
    </xf>
    <xf numFmtId="171" fontId="65" fillId="0" borderId="0" xfId="5" applyFont="1" applyAlignment="1">
      <alignment horizontal="right"/>
    </xf>
    <xf numFmtId="171" fontId="65" fillId="0" borderId="107" xfId="5" applyFont="1" applyBorder="1" applyAlignment="1">
      <alignment horizontal="right"/>
    </xf>
    <xf numFmtId="171" fontId="71" fillId="0" borderId="0" xfId="5" quotePrefix="1" applyFont="1" applyAlignment="1">
      <alignment horizontal="left"/>
    </xf>
    <xf numFmtId="171" fontId="65" fillId="0" borderId="21" xfId="5" applyFont="1" applyBorder="1"/>
    <xf numFmtId="171" fontId="62" fillId="0" borderId="45" xfId="5" applyBorder="1"/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70" fillId="0" borderId="140" xfId="5" applyFont="1" applyBorder="1" applyAlignment="1">
      <alignment horizontal="centerContinuous"/>
    </xf>
    <xf numFmtId="171" fontId="66" fillId="0" borderId="141" xfId="5" applyFont="1" applyBorder="1" applyAlignment="1">
      <alignment horizontal="centerContinuous"/>
    </xf>
    <xf numFmtId="171" fontId="62" fillId="0" borderId="142" xfId="5" applyBorder="1"/>
    <xf numFmtId="171" fontId="66" fillId="0" borderId="143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Alignment="1">
      <alignment horizontal="left"/>
    </xf>
    <xf numFmtId="171" fontId="66" fillId="0" borderId="140" xfId="5" applyFont="1" applyBorder="1"/>
    <xf numFmtId="171" fontId="65" fillId="0" borderId="141" xfId="5" applyFont="1" applyBorder="1" applyAlignment="1">
      <alignment horizontal="left"/>
    </xf>
    <xf numFmtId="171" fontId="65" fillId="0" borderId="143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4" xfId="5" applyFont="1" applyBorder="1"/>
    <xf numFmtId="171" fontId="69" fillId="0" borderId="0" xfId="5" quotePrefix="1" applyFont="1" applyAlignment="1">
      <alignment horizontal="left"/>
    </xf>
    <xf numFmtId="171" fontId="69" fillId="0" borderId="145" xfId="5" quotePrefix="1" applyFont="1" applyBorder="1" applyAlignment="1">
      <alignment horizontal="left"/>
    </xf>
    <xf numFmtId="171" fontId="69" fillId="0" borderId="146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>
      <alignment horizontal="right"/>
    </xf>
    <xf numFmtId="171" fontId="62" fillId="0" borderId="0" xfId="5" applyAlignment="1">
      <alignment horizontal="right"/>
    </xf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Alignment="1">
      <alignment horizontal="right"/>
    </xf>
    <xf numFmtId="0" fontId="52" fillId="0" borderId="0" xfId="0" applyFont="1" applyAlignment="1">
      <alignment horizontal="center"/>
    </xf>
    <xf numFmtId="9" fontId="52" fillId="0" borderId="0" xfId="0" applyNumberFormat="1" applyFont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2" fontId="3" fillId="0" borderId="0" xfId="6" applyNumberFormat="1" applyFont="1" applyAlignment="1">
      <alignment horizontal="right"/>
    </xf>
    <xf numFmtId="2" fontId="3" fillId="0" borderId="23" xfId="6" applyNumberFormat="1" applyFont="1" applyBorder="1" applyAlignment="1">
      <alignment horizontal="right"/>
    </xf>
    <xf numFmtId="166" fontId="2" fillId="0" borderId="0" xfId="6" applyNumberFormat="1" applyFont="1" applyAlignment="1">
      <alignment horizontal="centerContinuous"/>
    </xf>
    <xf numFmtId="166" fontId="2" fillId="0" borderId="23" xfId="6" applyNumberFormat="1" applyFont="1" applyBorder="1" applyAlignment="1">
      <alignment horizontal="centerContinuous"/>
    </xf>
    <xf numFmtId="0" fontId="1" fillId="0" borderId="0" xfId="7"/>
    <xf numFmtId="0" fontId="6" fillId="0" borderId="0" xfId="7" applyFont="1" applyAlignment="1">
      <alignment horizontal="right"/>
    </xf>
    <xf numFmtId="0" fontId="16" fillId="0" borderId="0" xfId="7" applyFont="1"/>
    <xf numFmtId="0" fontId="49" fillId="0" borderId="0" xfId="7" applyFont="1"/>
    <xf numFmtId="0" fontId="56" fillId="0" borderId="26" xfId="7" applyFont="1" applyBorder="1" applyAlignment="1">
      <alignment horizontal="center"/>
    </xf>
    <xf numFmtId="0" fontId="56" fillId="0" borderId="28" xfId="7" applyFont="1" applyBorder="1" applyAlignment="1">
      <alignment horizontal="center"/>
    </xf>
    <xf numFmtId="0" fontId="49" fillId="0" borderId="1" xfId="7" applyFont="1" applyBorder="1" applyAlignment="1">
      <alignment horizontal="center"/>
    </xf>
    <xf numFmtId="0" fontId="56" fillId="0" borderId="1" xfId="7" applyFont="1" applyBorder="1" applyAlignment="1">
      <alignment horizontal="center"/>
    </xf>
    <xf numFmtId="0" fontId="56" fillId="0" borderId="1" xfId="7" applyFont="1" applyBorder="1" applyAlignment="1">
      <alignment horizontal="right"/>
    </xf>
    <xf numFmtId="0" fontId="49" fillId="0" borderId="128" xfId="7" applyFont="1" applyBorder="1" applyAlignment="1">
      <alignment horizontal="center"/>
    </xf>
    <xf numFmtId="0" fontId="49" fillId="0" borderId="129" xfId="7" quotePrefix="1" applyFont="1" applyBorder="1" applyAlignment="1">
      <alignment horizontal="center"/>
    </xf>
    <xf numFmtId="0" fontId="49" fillId="0" borderId="129" xfId="7" applyFont="1" applyBorder="1" applyAlignment="1">
      <alignment horizontal="center"/>
    </xf>
    <xf numFmtId="0" fontId="56" fillId="0" borderId="0" xfId="7" applyFont="1" applyAlignment="1">
      <alignment horizontal="right"/>
    </xf>
    <xf numFmtId="0" fontId="52" fillId="0" borderId="1" xfId="7" applyFont="1" applyBorder="1" applyAlignment="1">
      <alignment horizontal="center"/>
    </xf>
    <xf numFmtId="2" fontId="2" fillId="2" borderId="1" xfId="7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Border="1" applyAlignment="1">
      <alignment horizontal="left"/>
    </xf>
    <xf numFmtId="0" fontId="29" fillId="0" borderId="58" xfId="1" applyFont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79" xfId="1" applyFont="1" applyBorder="1" applyAlignment="1">
      <alignment horizontal="left"/>
    </xf>
    <xf numFmtId="0" fontId="20" fillId="0" borderId="80" xfId="1" applyFont="1" applyBorder="1" applyAlignment="1">
      <alignment horizontal="left"/>
    </xf>
    <xf numFmtId="0" fontId="20" fillId="0" borderId="81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0" borderId="63" xfId="1" applyFont="1" applyBorder="1" applyAlignment="1">
      <alignment horizontal="left"/>
    </xf>
    <xf numFmtId="2" fontId="31" fillId="0" borderId="64" xfId="1" applyNumberFormat="1" applyFont="1" applyBorder="1" applyAlignment="1">
      <alignment horizontal="center"/>
    </xf>
    <xf numFmtId="2" fontId="31" fillId="0" borderId="65" xfId="1" applyNumberFormat="1" applyFont="1" applyBorder="1" applyAlignment="1">
      <alignment horizontal="center"/>
    </xf>
    <xf numFmtId="0" fontId="31" fillId="0" borderId="64" xfId="1" applyFont="1" applyBorder="1" applyAlignment="1">
      <alignment horizontal="center"/>
    </xf>
    <xf numFmtId="0" fontId="31" fillId="0" borderId="65" xfId="1" applyFont="1" applyBorder="1" applyAlignment="1">
      <alignment horizontal="center"/>
    </xf>
    <xf numFmtId="0" fontId="29" fillId="0" borderId="74" xfId="1" applyFont="1" applyBorder="1" applyAlignment="1">
      <alignment horizontal="left"/>
    </xf>
    <xf numFmtId="0" fontId="29" fillId="0" borderId="67" xfId="1" applyFont="1" applyBorder="1" applyAlignment="1">
      <alignment horizontal="left"/>
    </xf>
    <xf numFmtId="0" fontId="29" fillId="0" borderId="68" xfId="1" applyFont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166" fontId="31" fillId="0" borderId="64" xfId="1" applyNumberFormat="1" applyFont="1" applyBorder="1" applyAlignment="1">
      <alignment horizontal="center"/>
    </xf>
    <xf numFmtId="166" fontId="31" fillId="0" borderId="65" xfId="1" applyNumberFormat="1" applyFont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Border="1" applyAlignment="1">
      <alignment horizontal="left"/>
    </xf>
    <xf numFmtId="0" fontId="26" fillId="0" borderId="76" xfId="1" applyFont="1" applyBorder="1" applyAlignment="1">
      <alignment horizontal="left"/>
    </xf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107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107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23" fillId="0" borderId="6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49" fillId="0" borderId="1" xfId="7" applyFont="1" applyBorder="1" applyAlignment="1">
      <alignment horizontal="center"/>
    </xf>
    <xf numFmtId="0" fontId="6" fillId="0" borderId="0" xfId="7" applyFont="1" applyAlignment="1">
      <alignment horizontal="center"/>
    </xf>
    <xf numFmtId="0" fontId="51" fillId="0" borderId="17" xfId="7" applyFont="1" applyBorder="1" applyAlignment="1">
      <alignment horizontal="center"/>
    </xf>
    <xf numFmtId="0" fontId="23" fillId="0" borderId="128" xfId="7" applyFont="1" applyBorder="1" applyAlignment="1">
      <alignment horizontal="center"/>
    </xf>
    <xf numFmtId="0" fontId="23" fillId="0" borderId="129" xfId="7" applyFont="1" applyBorder="1" applyAlignment="1">
      <alignment horizontal="center"/>
    </xf>
    <xf numFmtId="0" fontId="56" fillId="0" borderId="1" xfId="7" applyFont="1" applyBorder="1" applyAlignment="1">
      <alignment horizontal="center"/>
    </xf>
    <xf numFmtId="0" fontId="23" fillId="0" borderId="17" xfId="7" applyFont="1" applyBorder="1" applyAlignment="1">
      <alignment horizontal="center"/>
    </xf>
    <xf numFmtId="0" fontId="49" fillId="0" borderId="17" xfId="7" applyFont="1" applyBorder="1" applyAlignment="1">
      <alignment horizontal="right"/>
    </xf>
    <xf numFmtId="0" fontId="49" fillId="0" borderId="128" xfId="7" applyFont="1" applyBorder="1" applyAlignment="1">
      <alignment horizontal="right"/>
    </xf>
    <xf numFmtId="0" fontId="23" fillId="0" borderId="0" xfId="7" applyFont="1" applyAlignment="1">
      <alignment horizontal="center"/>
    </xf>
    <xf numFmtId="0" fontId="56" fillId="0" borderId="0" xfId="7" applyFont="1" applyAlignment="1">
      <alignment horizontal="right"/>
    </xf>
    <xf numFmtId="0" fontId="54" fillId="0" borderId="82" xfId="4" applyFont="1" applyBorder="1" applyAlignment="1">
      <alignment horizontal="center"/>
    </xf>
    <xf numFmtId="0" fontId="54" fillId="0" borderId="0" xfId="4" applyFont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107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49" fillId="0" borderId="1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7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171" fontId="69" fillId="0" borderId="0" xfId="5" applyFont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7" xfId="5" applyFont="1" applyBorder="1" applyAlignment="1" applyProtection="1">
      <alignment horizontal="center"/>
      <protection locked="0"/>
    </xf>
    <xf numFmtId="14" fontId="15" fillId="0" borderId="147" xfId="5" quotePrefix="1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2" xfId="1" xr:uid="{00000000-0005-0000-0000-000001000000}"/>
    <cellStyle name="Normal 3" xfId="4" xr:uid="{00000000-0005-0000-0000-000002000000}"/>
    <cellStyle name="Normal 3 2" xfId="7" xr:uid="{00000000-0005-0000-0000-000003000000}"/>
    <cellStyle name="Normal 4" xfId="5" xr:uid="{00000000-0005-0000-0000-000004000000}"/>
    <cellStyle name="Normal 5" xfId="6" xr:uid="{00000000-0005-0000-0000-000005000000}"/>
    <cellStyle name="Normal_OPTEST" xfId="2" xr:uid="{00000000-0005-0000-0000-000006000000}"/>
    <cellStyle name="Normal_PROJ_REV_HIST" xfId="3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127.76008796746615</c:v>
                </c:pt>
                <c:pt idx="2">
                  <c:v>250</c:v>
                </c:pt>
                <c:pt idx="3">
                  <c:v>152.77502804584049</c:v>
                </c:pt>
                <c:pt idx="4">
                  <c:v>126.34990682798316</c:v>
                </c:pt>
                <c:pt idx="5">
                  <c:v>115.02740340499436</c:v>
                </c:pt>
                <c:pt idx="6">
                  <c:v>108.21832215453816</c:v>
                </c:pt>
                <c:pt idx="7">
                  <c:v>104.92704876048124</c:v>
                </c:pt>
                <c:pt idx="8">
                  <c:v>102.91224980374456</c:v>
                </c:pt>
                <c:pt idx="9">
                  <c:v>101.64367608278535</c:v>
                </c:pt>
                <c:pt idx="10">
                  <c:v>100.86511215433664</c:v>
                </c:pt>
                <c:pt idx="11">
                  <c:v>100.4038291363442</c:v>
                </c:pt>
                <c:pt idx="12">
                  <c:v>100.14142195411701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3-498C-B9C5-53CB19BD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02592"/>
        <c:axId val="19715059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0.15356402099132538</c:v>
                </c:pt>
                <c:pt idx="1">
                  <c:v>159.43498229980469</c:v>
                </c:pt>
                <c:pt idx="2">
                  <c:v>484.3831787109375</c:v>
                </c:pt>
                <c:pt idx="3">
                  <c:v>568.7569580078125</c:v>
                </c:pt>
                <c:pt idx="4">
                  <c:v>591.320068359375</c:v>
                </c:pt>
                <c:pt idx="5">
                  <c:v>600.862548828125</c:v>
                </c:pt>
                <c:pt idx="6">
                  <c:v>610.771240234375</c:v>
                </c:pt>
                <c:pt idx="7">
                  <c:v>617.7333984375</c:v>
                </c:pt>
                <c:pt idx="8">
                  <c:v>623.669189453125</c:v>
                </c:pt>
                <c:pt idx="9">
                  <c:v>628.77191162109375</c:v>
                </c:pt>
                <c:pt idx="10">
                  <c:v>633.1126708984375</c:v>
                </c:pt>
                <c:pt idx="11">
                  <c:v>636.79827880859375</c:v>
                </c:pt>
                <c:pt idx="12">
                  <c:v>639.94732666015625</c:v>
                </c:pt>
                <c:pt idx="13">
                  <c:v>642.6666259765625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3-498C-B9C5-53CB19BD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93344"/>
        <c:axId val="199718784"/>
      </c:scatterChart>
      <c:valAx>
        <c:axId val="18590259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7150592"/>
        <c:crossesAt val="0"/>
        <c:crossBetween val="midCat"/>
        <c:majorUnit val="0.2"/>
        <c:minorUnit val="0.2"/>
      </c:valAx>
      <c:valAx>
        <c:axId val="19715059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5902592"/>
        <c:crosses val="max"/>
        <c:crossBetween val="midCat"/>
        <c:majorUnit val="50"/>
        <c:minorUnit val="50"/>
      </c:valAx>
      <c:valAx>
        <c:axId val="19959334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99718784"/>
        <c:crosses val="autoZero"/>
        <c:crossBetween val="midCat"/>
      </c:valAx>
      <c:valAx>
        <c:axId val="1997187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959334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127.76008796746615</c:v>
                </c:pt>
                <c:pt idx="2">
                  <c:v>250</c:v>
                </c:pt>
                <c:pt idx="3">
                  <c:v>152.77502804584049</c:v>
                </c:pt>
                <c:pt idx="4">
                  <c:v>126.34990682798316</c:v>
                </c:pt>
                <c:pt idx="5">
                  <c:v>115.02740340499436</c:v>
                </c:pt>
                <c:pt idx="6">
                  <c:v>108.21832215453816</c:v>
                </c:pt>
                <c:pt idx="7">
                  <c:v>104.92704876048124</c:v>
                </c:pt>
                <c:pt idx="8">
                  <c:v>102.91224980374456</c:v>
                </c:pt>
                <c:pt idx="9">
                  <c:v>101.64367608278535</c:v>
                </c:pt>
                <c:pt idx="10">
                  <c:v>100.86511215433664</c:v>
                </c:pt>
                <c:pt idx="11">
                  <c:v>100.4038291363442</c:v>
                </c:pt>
                <c:pt idx="12">
                  <c:v>100.14142195411701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C1-4C84-96D3-1D11453E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77408"/>
        <c:axId val="20057932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0.15356402099132538</c:v>
                </c:pt>
                <c:pt idx="1">
                  <c:v>159.43498229980469</c:v>
                </c:pt>
                <c:pt idx="2">
                  <c:v>484.3831787109375</c:v>
                </c:pt>
                <c:pt idx="3">
                  <c:v>568.7569580078125</c:v>
                </c:pt>
                <c:pt idx="4">
                  <c:v>591.320068359375</c:v>
                </c:pt>
                <c:pt idx="5">
                  <c:v>600.862548828125</c:v>
                </c:pt>
                <c:pt idx="6">
                  <c:v>610.771240234375</c:v>
                </c:pt>
                <c:pt idx="7">
                  <c:v>617.7333984375</c:v>
                </c:pt>
                <c:pt idx="8">
                  <c:v>623.669189453125</c:v>
                </c:pt>
                <c:pt idx="9">
                  <c:v>628.77191162109375</c:v>
                </c:pt>
                <c:pt idx="10">
                  <c:v>633.1126708984375</c:v>
                </c:pt>
                <c:pt idx="11">
                  <c:v>636.79827880859375</c:v>
                </c:pt>
                <c:pt idx="12">
                  <c:v>639.94732666015625</c:v>
                </c:pt>
                <c:pt idx="13">
                  <c:v>642.6666259765625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1-4C84-96D3-1D11453E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3904"/>
        <c:axId val="200685440"/>
      </c:scatterChart>
      <c:valAx>
        <c:axId val="20057740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0579328"/>
        <c:crosses val="autoZero"/>
        <c:crossBetween val="midCat"/>
        <c:majorUnit val="20"/>
        <c:minorUnit val="20"/>
      </c:valAx>
      <c:valAx>
        <c:axId val="200579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0577408"/>
        <c:crosses val="autoZero"/>
        <c:crossBetween val="midCat"/>
      </c:valAx>
      <c:valAx>
        <c:axId val="20068390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0685440"/>
        <c:crosses val="autoZero"/>
        <c:crossBetween val="midCat"/>
      </c:valAx>
      <c:valAx>
        <c:axId val="200685440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068390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642.66666666666663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28.001875196184432</c:v>
                </c:pt>
                <c:pt idx="1">
                  <c:v>32.125963718905446</c:v>
                </c:pt>
                <c:pt idx="2">
                  <c:v>46.261387755223829</c:v>
                </c:pt>
                <c:pt idx="3">
                  <c:v>72.283418367537223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50-442B-B8D7-079609E4C16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642.66666666666663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11.732198170253209</c:v>
                </c:pt>
                <c:pt idx="1">
                  <c:v>13.460104729411885</c:v>
                </c:pt>
                <c:pt idx="2">
                  <c:v>19.382550810353109</c:v>
                </c:pt>
                <c:pt idx="3">
                  <c:v>30.285235641176733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50-442B-B8D7-079609E4C16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77.530203241412437</c:v>
                </c:pt>
                <c:pt idx="3">
                  <c:v>149.55671921568756</c:v>
                </c:pt>
                <c:pt idx="4">
                  <c:v>230.47028311953756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50-442B-B8D7-079609E4C16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642.66666666666663</c:v>
                </c:pt>
                <c:pt idx="1">
                  <c:v>641.29999999999995</c:v>
                </c:pt>
                <c:pt idx="2">
                  <c:v>638.36666666666667</c:v>
                </c:pt>
                <c:pt idx="3">
                  <c:v>634.9666666666667</c:v>
                </c:pt>
                <c:pt idx="4">
                  <c:v>630.93333333333328</c:v>
                </c:pt>
                <c:pt idx="5">
                  <c:v>626.23333333333335</c:v>
                </c:pt>
                <c:pt idx="6">
                  <c:v>620.70000000000005</c:v>
                </c:pt>
                <c:pt idx="7">
                  <c:v>614.26666666666665</c:v>
                </c:pt>
                <c:pt idx="8">
                  <c:v>605.83333333333337</c:v>
                </c:pt>
                <c:pt idx="9">
                  <c:v>596.1</c:v>
                </c:pt>
                <c:pt idx="10">
                  <c:v>580.0333333333333</c:v>
                </c:pt>
                <c:pt idx="11">
                  <c:v>526.56666666666672</c:v>
                </c:pt>
                <c:pt idx="12">
                  <c:v>321.89999999999998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0.59899997711181641</c:v>
                </c:pt>
                <c:pt idx="2">
                  <c:v>1.121999979019165</c:v>
                </c:pt>
                <c:pt idx="3">
                  <c:v>1.6189999580383301</c:v>
                </c:pt>
                <c:pt idx="4">
                  <c:v>2.1159999370574951</c:v>
                </c:pt>
                <c:pt idx="5">
                  <c:v>2.6329998970031738</c:v>
                </c:pt>
                <c:pt idx="6">
                  <c:v>3.1889998912811279</c:v>
                </c:pt>
                <c:pt idx="7">
                  <c:v>3.807999849319458</c:v>
                </c:pt>
                <c:pt idx="8">
                  <c:v>4.5359997749328613</c:v>
                </c:pt>
                <c:pt idx="9">
                  <c:v>4.9449996948242188</c:v>
                </c:pt>
                <c:pt idx="10">
                  <c:v>5.3169999122619629</c:v>
                </c:pt>
                <c:pt idx="11">
                  <c:v>5.5269999504089355</c:v>
                </c:pt>
                <c:pt idx="12">
                  <c:v>5.5669999122619629</c:v>
                </c:pt>
                <c:pt idx="13">
                  <c:v>5.630000114440918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50-442B-B8D7-079609E4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45888"/>
        <c:axId val="201048064"/>
      </c:scatterChart>
      <c:valAx>
        <c:axId val="20104588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048064"/>
        <c:crossesAt val="0.1"/>
        <c:crossBetween val="midCat"/>
        <c:majorUnit val="100"/>
      </c:valAx>
      <c:valAx>
        <c:axId val="201048064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04588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91.384986877441406</c:v>
                </c:pt>
                <c:pt idx="2">
                  <c:v>94.437095642089844</c:v>
                </c:pt>
                <c:pt idx="3">
                  <c:v>95.319160461425781</c:v>
                </c:pt>
                <c:pt idx="4">
                  <c:v>95.630836486816406</c:v>
                </c:pt>
                <c:pt idx="5">
                  <c:v>95.696624755859375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93-4B99-A77B-E60CDF6B5F4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80.587455749511719</c:v>
                </c:pt>
                <c:pt idx="1">
                  <c:v>91.134536743164063</c:v>
                </c:pt>
                <c:pt idx="2">
                  <c:v>93.388114929199219</c:v>
                </c:pt>
                <c:pt idx="3">
                  <c:v>93.917182922363281</c:v>
                </c:pt>
                <c:pt idx="4">
                  <c:v>93.789390563964844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93-4B99-A77B-E60CDF6B5F4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84.611807335276865</c:v>
                </c:pt>
                <c:pt idx="2">
                  <c:v>68.527800178245244</c:v>
                </c:pt>
                <c:pt idx="3">
                  <c:v>52.380875977709486</c:v>
                </c:pt>
                <c:pt idx="4">
                  <c:v>35.430330936789957</c:v>
                </c:pt>
                <c:pt idx="5">
                  <c:v>19.032361669254616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93-4B99-A77B-E60CDF6B5F4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0.67459999999999998</c:v>
                </c:pt>
                <c:pt idx="1">
                  <c:v>8.507921216985876</c:v>
                </c:pt>
                <c:pt idx="2">
                  <c:v>16.465908221027192</c:v>
                </c:pt>
                <c:pt idx="3">
                  <c:v>24.47030327145222</c:v>
                </c:pt>
                <c:pt idx="4">
                  <c:v>32.520731250286879</c:v>
                </c:pt>
                <c:pt idx="5">
                  <c:v>40.622973059730569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93-4B99-A77B-E60CDF6B5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14240"/>
        <c:axId val="20392870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47.519069203843465</c:v>
                </c:pt>
                <c:pt idx="1">
                  <c:v>91.432243347167969</c:v>
                </c:pt>
                <c:pt idx="2">
                  <c:v>156.47540283203125</c:v>
                </c:pt>
                <c:pt idx="3">
                  <c:v>226.92958068847656</c:v>
                </c:pt>
                <c:pt idx="4">
                  <c:v>299.88766479492188</c:v>
                </c:pt>
                <c:pt idx="5">
                  <c:v>375.11233520507813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93-4B99-A77B-E60CDF6B5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30624"/>
        <c:axId val="203936512"/>
      </c:scatterChart>
      <c:valAx>
        <c:axId val="2039142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928704"/>
        <c:crossesAt val="0"/>
        <c:crossBetween val="midCat"/>
        <c:majorUnit val="25"/>
        <c:minorUnit val="12.5"/>
      </c:valAx>
      <c:valAx>
        <c:axId val="20392870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914240"/>
        <c:crosses val="autoZero"/>
        <c:crossBetween val="midCat"/>
        <c:majorUnit val="10"/>
        <c:minorUnit val="5"/>
      </c:valAx>
      <c:valAx>
        <c:axId val="2039306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3936512"/>
        <c:crosses val="autoZero"/>
        <c:crossBetween val="midCat"/>
      </c:valAx>
      <c:valAx>
        <c:axId val="203936512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930624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205865" y="7768590"/>
          <a:ext cx="891540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48715" y="6282690"/>
          <a:ext cx="967740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756285</xdr:colOff>
      <xdr:row>39</xdr:row>
      <xdr:rowOff>161925</xdr:rowOff>
    </xdr:from>
    <xdr:to>
      <xdr:col>4</xdr:col>
      <xdr:colOff>765810</xdr:colOff>
      <xdr:row>40</xdr:row>
      <xdr:rowOff>87890</xdr:rowOff>
    </xdr:to>
    <xdr:sp macro="" textlink="">
      <xdr:nvSpPr>
        <xdr:cNvPr id="134" name="Text 219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2451735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752475</xdr:colOff>
      <xdr:row>33</xdr:row>
      <xdr:rowOff>133350</xdr:rowOff>
    </xdr:from>
    <xdr:to>
      <xdr:col>4</xdr:col>
      <xdr:colOff>723900</xdr:colOff>
      <xdr:row>34</xdr:row>
      <xdr:rowOff>59315</xdr:rowOff>
    </xdr:to>
    <xdr:sp macro="" textlink="">
      <xdr:nvSpPr>
        <xdr:cNvPr id="135" name="Text 21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2447925" y="7743825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411-TA13</a:t>
          </a:r>
        </a:p>
      </xdr:txBody>
    </xdr:sp>
    <xdr:clientData/>
  </xdr:twoCellAnchor>
  <xdr:twoCellAnchor>
    <xdr:from>
      <xdr:col>3</xdr:col>
      <xdr:colOff>723900</xdr:colOff>
      <xdr:row>27</xdr:row>
      <xdr:rowOff>123825</xdr:rowOff>
    </xdr:from>
    <xdr:to>
      <xdr:col>4</xdr:col>
      <xdr:colOff>695325</xdr:colOff>
      <xdr:row>28</xdr:row>
      <xdr:rowOff>49790</xdr:rowOff>
    </xdr:to>
    <xdr:sp macro="" textlink="">
      <xdr:nvSpPr>
        <xdr:cNvPr id="136" name="Text 21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2419350" y="6362700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311-TA13</a:t>
          </a:r>
        </a:p>
      </xdr:txBody>
    </xdr:sp>
    <xdr:clientData/>
  </xdr:twoCellAnchor>
  <xdr:twoCellAnchor>
    <xdr:from>
      <xdr:col>1</xdr:col>
      <xdr:colOff>9525</xdr:colOff>
      <xdr:row>39</xdr:row>
      <xdr:rowOff>85725</xdr:rowOff>
    </xdr:from>
    <xdr:to>
      <xdr:col>3</xdr:col>
      <xdr:colOff>682105</xdr:colOff>
      <xdr:row>43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824865" y="9054465"/>
          <a:ext cx="1602220" cy="942975"/>
          <a:chOff x="800100" y="9067800"/>
          <a:chExt cx="1577455" cy="942975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pSpPr/>
        </xdr:nvGrpSpPr>
        <xdr:grpSpPr>
          <a:xfrm>
            <a:off x="1362075" y="9115425"/>
            <a:ext cx="752475" cy="571500"/>
            <a:chOff x="1295400" y="9115425"/>
            <a:chExt cx="752475" cy="571500"/>
          </a:xfrm>
        </xdr:grpSpPr>
        <xdr:sp macro="" textlink="">
          <xdr:nvSpPr>
            <xdr:cNvPr id="116" name="Line 138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047875" y="9286875"/>
              <a:ext cx="0" cy="952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146">
              <a:extLst>
                <a:ext uri="{FF2B5EF4-FFF2-40B4-BE49-F238E27FC236}">
                  <a16:creationId xmlns:a16="http://schemas.microsoft.com/office/drawing/2014/main" id="{00000000-0008-0000-0100-00008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71650" y="9382125"/>
              <a:ext cx="2190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137">
              <a:extLst>
                <a:ext uri="{FF2B5EF4-FFF2-40B4-BE49-F238E27FC236}">
                  <a16:creationId xmlns:a16="http://schemas.microsoft.com/office/drawing/2014/main" id="{00000000-0008-0000-0100-00008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295400" y="9686925"/>
              <a:ext cx="4095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148">
              <a:extLst>
                <a:ext uri="{FF2B5EF4-FFF2-40B4-BE49-F238E27FC236}">
                  <a16:creationId xmlns:a16="http://schemas.microsoft.com/office/drawing/2014/main" id="{00000000-0008-0000-0100-00007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724025" y="9115425"/>
              <a:ext cx="762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1093470" y="9067800"/>
            <a:ext cx="1284085" cy="781050"/>
            <a:chOff x="1026795" y="9067800"/>
            <a:chExt cx="1284085" cy="781050"/>
          </a:xfrm>
        </xdr:grpSpPr>
        <xdr:sp macro="" textlink="">
          <xdr:nvSpPr>
            <xdr:cNvPr id="103" name="Radius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36445" y="9686925"/>
              <a:ext cx="274435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328.0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04" name="Clear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26795" y="9734550"/>
              <a:ext cx="266700" cy="11430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62.5</a:t>
              </a:r>
            </a:p>
          </xdr:txBody>
        </xdr:sp>
        <xdr:sp macro="" textlink="">
          <xdr:nvSpPr>
            <xdr:cNvPr id="105" name="Thickness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22070" y="9744075"/>
              <a:ext cx="411562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85.0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08" name="Line 127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8700" y="9686925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130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71675" y="9601200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Thickness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12620" y="9382125"/>
              <a:ext cx="284006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57.5</a:t>
              </a:r>
            </a:p>
          </xdr:txBody>
        </xdr:sp>
        <xdr:sp macro="" textlink="">
          <xdr:nvSpPr>
            <xdr:cNvPr id="118" name="Line 143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828800" y="9420225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144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819275" y="9144000"/>
              <a:ext cx="0" cy="1238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Height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74470" y="9067800"/>
              <a:ext cx="268681" cy="9525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55</a:t>
              </a:r>
            </a:p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.0</a:t>
              </a:r>
            </a:p>
          </xdr:txBody>
        </xdr:sp>
        <xdr:sp macro="" textlink="">
          <xdr:nvSpPr>
            <xdr:cNvPr id="126" name="Line 149">
              <a:extLst>
                <a:ext uri="{FF2B5EF4-FFF2-40B4-BE49-F238E27FC236}">
                  <a16:creationId xmlns:a16="http://schemas.microsoft.com/office/drawing/2014/main" id="{00000000-0008-0000-0100-00007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90650" y="9115425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150">
              <a:extLst>
                <a:ext uri="{FF2B5EF4-FFF2-40B4-BE49-F238E27FC236}">
                  <a16:creationId xmlns:a16="http://schemas.microsoft.com/office/drawing/2014/main" id="{00000000-0008-0000-0100-00007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95425" y="9086850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Thickness">
              <a:extLst>
                <a:ext uri="{FF2B5EF4-FFF2-40B4-BE49-F238E27FC236}">
                  <a16:creationId xmlns:a16="http://schemas.microsoft.com/office/drawing/2014/main" id="{00000000-0008-0000-0100-00007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85925" y="9296400"/>
              <a:ext cx="320423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18.50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29" name="Line 136">
              <a:extLst>
                <a:ext uri="{FF2B5EF4-FFF2-40B4-BE49-F238E27FC236}">
                  <a16:creationId xmlns:a16="http://schemas.microsoft.com/office/drawing/2014/main" id="{00000000-0008-0000-0100-00008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14450" y="9686925"/>
              <a:ext cx="4191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139">
              <a:extLst>
                <a:ext uri="{FF2B5EF4-FFF2-40B4-BE49-F238E27FC236}">
                  <a16:creationId xmlns:a16="http://schemas.microsoft.com/office/drawing/2014/main" id="{00000000-0008-0000-0100-00008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8825" y="9505950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800100" y="9096375"/>
            <a:ext cx="1419225" cy="914400"/>
            <a:chOff x="733425" y="9096375"/>
            <a:chExt cx="1419225" cy="914400"/>
          </a:xfrm>
        </xdr:grpSpPr>
        <xdr:sp macro="" textlink="">
          <xdr:nvSpPr>
            <xdr:cNvPr id="106" name="Line 125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33425" y="9277350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126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00125" y="9277350"/>
              <a:ext cx="0" cy="7334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128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8700" y="9563100"/>
              <a:ext cx="2952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129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00125" y="9305925"/>
              <a:ext cx="3048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Rectangle 132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304925" y="9277350"/>
              <a:ext cx="419100" cy="3333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4" name="Rectangle 133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495425" y="9277350"/>
              <a:ext cx="228600" cy="1047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7" name="Line 140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62125" y="9601200"/>
              <a:ext cx="3905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134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04925" y="9658350"/>
              <a:ext cx="0" cy="1905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135">
              <a:extLst>
                <a:ext uri="{FF2B5EF4-FFF2-40B4-BE49-F238E27FC236}">
                  <a16:creationId xmlns:a16="http://schemas.microsoft.com/office/drawing/2014/main" id="{00000000-0008-0000-0100-00007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24025" y="9648825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151">
              <a:extLst>
                <a:ext uri="{FF2B5EF4-FFF2-40B4-BE49-F238E27FC236}">
                  <a16:creationId xmlns:a16="http://schemas.microsoft.com/office/drawing/2014/main" id="{00000000-0008-0000-0100-00008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724025" y="9096375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142">
              <a:extLst>
                <a:ext uri="{FF2B5EF4-FFF2-40B4-BE49-F238E27FC236}">
                  <a16:creationId xmlns:a16="http://schemas.microsoft.com/office/drawing/2014/main" id="{00000000-0008-0000-0100-00008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43075" y="92773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6" name="Line 142">
              <a:extLst>
                <a:ext uri="{FF2B5EF4-FFF2-40B4-BE49-F238E27FC236}">
                  <a16:creationId xmlns:a16="http://schemas.microsoft.com/office/drawing/2014/main" id="{00000000-0008-0000-0100-0000A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43075" y="93916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16</xdr:row>
      <xdr:rowOff>85725</xdr:rowOff>
    </xdr:from>
    <xdr:to>
      <xdr:col>1</xdr:col>
      <xdr:colOff>47625</xdr:colOff>
      <xdr:row>17</xdr:row>
      <xdr:rowOff>47624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38175" y="398145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628650</xdr:colOff>
      <xdr:row>18</xdr:row>
      <xdr:rowOff>28575</xdr:rowOff>
    </xdr:from>
    <xdr:to>
      <xdr:col>1</xdr:col>
      <xdr:colOff>38100</xdr:colOff>
      <xdr:row>18</xdr:row>
      <xdr:rowOff>228599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28650" y="440055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619125</xdr:colOff>
      <xdr:row>19</xdr:row>
      <xdr:rowOff>200025</xdr:rowOff>
    </xdr:from>
    <xdr:to>
      <xdr:col>1</xdr:col>
      <xdr:colOff>28575</xdr:colOff>
      <xdr:row>20</xdr:row>
      <xdr:rowOff>161924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19125" y="4810125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619125</xdr:colOff>
      <xdr:row>21</xdr:row>
      <xdr:rowOff>133350</xdr:rowOff>
    </xdr:from>
    <xdr:to>
      <xdr:col>1</xdr:col>
      <xdr:colOff>28575</xdr:colOff>
      <xdr:row>22</xdr:row>
      <xdr:rowOff>95249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19125" y="521970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628650</xdr:colOff>
      <xdr:row>23</xdr:row>
      <xdr:rowOff>66675</xdr:rowOff>
    </xdr:from>
    <xdr:to>
      <xdr:col>1</xdr:col>
      <xdr:colOff>38100</xdr:colOff>
      <xdr:row>24</xdr:row>
      <xdr:rowOff>28574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28650" y="5629275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628650</xdr:colOff>
      <xdr:row>25</xdr:row>
      <xdr:rowOff>0</xdr:rowOff>
    </xdr:from>
    <xdr:to>
      <xdr:col>1</xdr:col>
      <xdr:colOff>38100</xdr:colOff>
      <xdr:row>25</xdr:row>
      <xdr:rowOff>200024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28650" y="603885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619125</xdr:colOff>
      <xdr:row>26</xdr:row>
      <xdr:rowOff>171450</xdr:rowOff>
    </xdr:from>
    <xdr:to>
      <xdr:col>1</xdr:col>
      <xdr:colOff>28575</xdr:colOff>
      <xdr:row>27</xdr:row>
      <xdr:rowOff>133349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19125" y="6448425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609600</xdr:colOff>
      <xdr:row>28</xdr:row>
      <xdr:rowOff>104775</xdr:rowOff>
    </xdr:from>
    <xdr:to>
      <xdr:col>1</xdr:col>
      <xdr:colOff>19050</xdr:colOff>
      <xdr:row>29</xdr:row>
      <xdr:rowOff>66674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9600" y="685800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609600</xdr:colOff>
      <xdr:row>30</xdr:row>
      <xdr:rowOff>47625</xdr:rowOff>
    </xdr:from>
    <xdr:to>
      <xdr:col>1</xdr:col>
      <xdr:colOff>19050</xdr:colOff>
      <xdr:row>31</xdr:row>
      <xdr:rowOff>9524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9600" y="727710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609600</xdr:colOff>
      <xdr:row>31</xdr:row>
      <xdr:rowOff>219075</xdr:rowOff>
    </xdr:from>
    <xdr:to>
      <xdr:col>1</xdr:col>
      <xdr:colOff>19050</xdr:colOff>
      <xdr:row>32</xdr:row>
      <xdr:rowOff>180974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9600" y="7686675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619125</xdr:colOff>
      <xdr:row>33</xdr:row>
      <xdr:rowOff>152400</xdr:rowOff>
    </xdr:from>
    <xdr:to>
      <xdr:col>1</xdr:col>
      <xdr:colOff>28575</xdr:colOff>
      <xdr:row>34</xdr:row>
      <xdr:rowOff>114299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19125" y="8096250"/>
          <a:ext cx="523875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342900</xdr:colOff>
      <xdr:row>16</xdr:row>
      <xdr:rowOff>95249</xdr:rowOff>
    </xdr:from>
    <xdr:to>
      <xdr:col>5</xdr:col>
      <xdr:colOff>857250</xdr:colOff>
      <xdr:row>17</xdr:row>
      <xdr:rowOff>76199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15025" y="3990974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370253</xdr:colOff>
      <xdr:row>25</xdr:row>
      <xdr:rowOff>10002</xdr:rowOff>
    </xdr:from>
    <xdr:to>
      <xdr:col>5</xdr:col>
      <xdr:colOff>950545</xdr:colOff>
      <xdr:row>26</xdr:row>
      <xdr:rowOff>1906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42378" y="6048852"/>
          <a:ext cx="580292" cy="2300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361950</xdr:colOff>
      <xdr:row>26</xdr:row>
      <xdr:rowOff>190499</xdr:rowOff>
    </xdr:from>
    <xdr:to>
      <xdr:col>5</xdr:col>
      <xdr:colOff>876300</xdr:colOff>
      <xdr:row>27</xdr:row>
      <xdr:rowOff>171449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34075" y="6467474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371475</xdr:colOff>
      <xdr:row>28</xdr:row>
      <xdr:rowOff>123824</xdr:rowOff>
    </xdr:from>
    <xdr:to>
      <xdr:col>5</xdr:col>
      <xdr:colOff>885825</xdr:colOff>
      <xdr:row>29</xdr:row>
      <xdr:rowOff>104774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43600" y="6877049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361950</xdr:colOff>
      <xdr:row>30</xdr:row>
      <xdr:rowOff>47624</xdr:rowOff>
    </xdr:from>
    <xdr:to>
      <xdr:col>5</xdr:col>
      <xdr:colOff>876300</xdr:colOff>
      <xdr:row>31</xdr:row>
      <xdr:rowOff>28574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34075" y="7277099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361950</xdr:colOff>
      <xdr:row>31</xdr:row>
      <xdr:rowOff>228599</xdr:rowOff>
    </xdr:from>
    <xdr:to>
      <xdr:col>5</xdr:col>
      <xdr:colOff>876300</xdr:colOff>
      <xdr:row>32</xdr:row>
      <xdr:rowOff>209549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34075" y="7696199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733425</xdr:colOff>
      <xdr:row>23</xdr:row>
      <xdr:rowOff>19050</xdr:rowOff>
    </xdr:from>
    <xdr:to>
      <xdr:col>5</xdr:col>
      <xdr:colOff>952500</xdr:colOff>
      <xdr:row>28</xdr:row>
      <xdr:rowOff>152400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81650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361950</xdr:colOff>
      <xdr:row>23</xdr:row>
      <xdr:rowOff>76199</xdr:rowOff>
    </xdr:from>
    <xdr:to>
      <xdr:col>5</xdr:col>
      <xdr:colOff>876300</xdr:colOff>
      <xdr:row>24</xdr:row>
      <xdr:rowOff>57149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34075" y="5638799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5</xdr:col>
      <xdr:colOff>361950</xdr:colOff>
      <xdr:row>21</xdr:row>
      <xdr:rowOff>142874</xdr:rowOff>
    </xdr:from>
    <xdr:to>
      <xdr:col>5</xdr:col>
      <xdr:colOff>876300</xdr:colOff>
      <xdr:row>22</xdr:row>
      <xdr:rowOff>123824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34075" y="5229224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4200</a:t>
          </a:r>
        </a:p>
      </xdr:txBody>
    </xdr:sp>
    <xdr:clientData/>
  </xdr:twoCellAnchor>
  <xdr:twoCellAnchor>
    <xdr:from>
      <xdr:col>5</xdr:col>
      <xdr:colOff>352425</xdr:colOff>
      <xdr:row>19</xdr:row>
      <xdr:rowOff>209549</xdr:rowOff>
    </xdr:from>
    <xdr:to>
      <xdr:col>5</xdr:col>
      <xdr:colOff>866775</xdr:colOff>
      <xdr:row>20</xdr:row>
      <xdr:rowOff>190499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24550" y="4819649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352425</xdr:colOff>
      <xdr:row>18</xdr:row>
      <xdr:rowOff>38099</xdr:rowOff>
    </xdr:from>
    <xdr:to>
      <xdr:col>5</xdr:col>
      <xdr:colOff>866775</xdr:colOff>
      <xdr:row>19</xdr:row>
      <xdr:rowOff>19049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24550" y="4410074"/>
          <a:ext cx="5143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5400</a:t>
          </a:r>
        </a:p>
      </xdr:txBody>
    </xdr:sp>
    <xdr:clientData/>
  </xdr:twoCellAnchor>
  <xdr:twoCellAnchor>
    <xdr:from>
      <xdr:col>2</xdr:col>
      <xdr:colOff>866775</xdr:colOff>
      <xdr:row>16</xdr:row>
      <xdr:rowOff>219075</xdr:rowOff>
    </xdr:from>
    <xdr:to>
      <xdr:col>3</xdr:col>
      <xdr:colOff>95250</xdr:colOff>
      <xdr:row>17</xdr:row>
      <xdr:rowOff>123825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95625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857250</xdr:colOff>
      <xdr:row>18</xdr:row>
      <xdr:rowOff>152400</xdr:rowOff>
    </xdr:from>
    <xdr:to>
      <xdr:col>3</xdr:col>
      <xdr:colOff>76200</xdr:colOff>
      <xdr:row>19</xdr:row>
      <xdr:rowOff>85725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086100" y="452437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466725</xdr:colOff>
      <xdr:row>22</xdr:row>
      <xdr:rowOff>57150</xdr:rowOff>
    </xdr:from>
    <xdr:to>
      <xdr:col>2</xdr:col>
      <xdr:colOff>809625</xdr:colOff>
      <xdr:row>22</xdr:row>
      <xdr:rowOff>200025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2695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685800</xdr:colOff>
      <xdr:row>31</xdr:row>
      <xdr:rowOff>180975</xdr:rowOff>
    </xdr:from>
    <xdr:to>
      <xdr:col>3</xdr:col>
      <xdr:colOff>76200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91465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351937</xdr:colOff>
      <xdr:row>33</xdr:row>
      <xdr:rowOff>152877</xdr:rowOff>
    </xdr:from>
    <xdr:to>
      <xdr:col>5</xdr:col>
      <xdr:colOff>892664</xdr:colOff>
      <xdr:row>34</xdr:row>
      <xdr:rowOff>144781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24062" y="8096727"/>
          <a:ext cx="540727" cy="2300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8" zoomScale="95" zoomScaleNormal="95" workbookViewId="0">
      <selection activeCell="S29" sqref="S29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7.399999999999999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41934</v>
      </c>
      <c r="I3" s="49" t="s">
        <v>3</v>
      </c>
      <c r="J3" s="150">
        <v>0.47835648148148152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2500</v>
      </c>
      <c r="C5" s="143">
        <v>3600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26.179916666666667</v>
      </c>
      <c r="J7" s="106" t="s">
        <v>19</v>
      </c>
    </row>
    <row r="8" spans="1:10" ht="15" customHeight="1">
      <c r="A8" s="6" t="s">
        <v>20</v>
      </c>
      <c r="B8" s="69">
        <v>3.5</v>
      </c>
      <c r="C8" s="52"/>
      <c r="D8" s="6"/>
      <c r="E8" s="51"/>
      <c r="F8" s="3"/>
      <c r="G8" s="16"/>
      <c r="H8" s="10" t="s">
        <v>21</v>
      </c>
      <c r="I8" s="68">
        <v>30.254877608695651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185</v>
      </c>
      <c r="F9" s="107" t="s">
        <v>25</v>
      </c>
      <c r="G9" s="30"/>
      <c r="H9" s="10" t="s">
        <v>26</v>
      </c>
      <c r="I9" s="69">
        <v>28.217397137681161</v>
      </c>
      <c r="J9" s="104">
        <v>195.21954214815338</v>
      </c>
    </row>
    <row r="10" spans="1:10" ht="15" customHeight="1">
      <c r="A10" s="6" t="s">
        <v>27</v>
      </c>
      <c r="B10" s="69">
        <v>970</v>
      </c>
      <c r="C10" s="73">
        <v>970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17.127578248316492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443</v>
      </c>
      <c r="D11" s="6" t="s">
        <v>31</v>
      </c>
      <c r="E11" s="68">
        <v>0.62956666666666661</v>
      </c>
      <c r="F11" s="118"/>
      <c r="G11" s="114"/>
      <c r="H11" s="10" t="s">
        <v>32</v>
      </c>
      <c r="I11" s="68">
        <v>29.859305480929297</v>
      </c>
      <c r="J11" s="104">
        <v>63742.16500996206</v>
      </c>
    </row>
    <row r="12" spans="1:10" ht="15" customHeight="1">
      <c r="A12" s="6" t="s">
        <v>33</v>
      </c>
      <c r="B12" s="69">
        <v>450</v>
      </c>
      <c r="C12" s="73">
        <v>170</v>
      </c>
      <c r="D12" s="6" t="s">
        <v>34</v>
      </c>
      <c r="E12" s="138" t="s">
        <v>174</v>
      </c>
      <c r="F12" s="124" t="s">
        <v>191</v>
      </c>
      <c r="G12" s="116" t="s">
        <v>190</v>
      </c>
      <c r="H12" s="10" t="s">
        <v>35</v>
      </c>
      <c r="I12" s="68">
        <v>1.5285241314976885</v>
      </c>
      <c r="J12" s="103" t="s">
        <v>36</v>
      </c>
    </row>
    <row r="13" spans="1:10" ht="15" customHeight="1" thickBot="1">
      <c r="A13" s="6" t="s">
        <v>37</v>
      </c>
      <c r="B13" s="69">
        <v>109.5</v>
      </c>
      <c r="C13" s="73">
        <v>98.090000152587891</v>
      </c>
      <c r="D13" s="6" t="s">
        <v>38</v>
      </c>
      <c r="E13" s="70">
        <v>20</v>
      </c>
      <c r="F13" s="124"/>
      <c r="G13" s="116" t="s">
        <v>192</v>
      </c>
      <c r="H13" s="10" t="s">
        <v>40</v>
      </c>
      <c r="I13" s="68">
        <v>1.0132478676712358</v>
      </c>
      <c r="J13" s="104">
        <v>290.73776245117188</v>
      </c>
    </row>
    <row r="14" spans="1:10" ht="15" customHeight="1" thickBot="1">
      <c r="A14" s="134" t="s">
        <v>41</v>
      </c>
      <c r="B14" s="135">
        <v>729.1199951171875</v>
      </c>
      <c r="C14" s="136">
        <v>784.91998291015625</v>
      </c>
      <c r="D14" s="6" t="s">
        <v>42</v>
      </c>
      <c r="E14" s="51" t="s">
        <v>186</v>
      </c>
      <c r="F14" s="51"/>
      <c r="G14" s="116" t="s">
        <v>193</v>
      </c>
      <c r="H14" s="49" t="s">
        <v>43</v>
      </c>
      <c r="I14" s="68">
        <v>1.5487738169240604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0.83543300071747506</v>
      </c>
      <c r="J15" s="104">
        <v>44.444444444444443</v>
      </c>
    </row>
    <row r="16" spans="1:10" ht="15" customHeight="1">
      <c r="A16" s="6" t="s">
        <v>48</v>
      </c>
      <c r="B16" s="51">
        <v>54</v>
      </c>
      <c r="C16" s="52">
        <v>46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0.95529270900034158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187</v>
      </c>
      <c r="F17" s="51"/>
      <c r="G17" s="116"/>
      <c r="H17" s="10" t="s">
        <v>54</v>
      </c>
      <c r="I17" s="68">
        <v>0.79808305444368111</v>
      </c>
      <c r="J17" s="104">
        <v>641.18789762658002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1837</v>
      </c>
      <c r="F18" s="70">
        <v>1160.5370025634766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73</v>
      </c>
      <c r="C19" s="73">
        <v>38.409999847412109</v>
      </c>
      <c r="D19" s="6" t="s">
        <v>59</v>
      </c>
      <c r="E19" s="70">
        <v>180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/>
      <c r="D20" s="6" t="s">
        <v>166</v>
      </c>
      <c r="E20" s="67">
        <v>0.10931198990842021</v>
      </c>
      <c r="F20" s="51"/>
      <c r="G20" s="52"/>
      <c r="H20" s="10" t="s">
        <v>63</v>
      </c>
      <c r="I20" s="68">
        <v>14.993256568908691</v>
      </c>
      <c r="J20" s="72">
        <v>14.993256568908691</v>
      </c>
    </row>
    <row r="21" spans="1:10" ht="15" customHeight="1">
      <c r="A21" s="6" t="s">
        <v>64</v>
      </c>
      <c r="B21" s="69">
        <v>17.299999237060547</v>
      </c>
      <c r="C21" s="73">
        <v>3</v>
      </c>
      <c r="D21" s="10" t="s">
        <v>188</v>
      </c>
      <c r="E21" s="67">
        <v>0.14582090598785327</v>
      </c>
      <c r="F21" s="67">
        <v>0.11491634696722031</v>
      </c>
      <c r="G21" s="71">
        <v>2.2075781988467186E-2</v>
      </c>
      <c r="H21" s="10" t="s">
        <v>65</v>
      </c>
      <c r="I21" s="68">
        <v>16.318153381347656</v>
      </c>
      <c r="J21" s="72">
        <v>13.79779052734375</v>
      </c>
    </row>
    <row r="22" spans="1:10" ht="15" customHeight="1">
      <c r="A22" s="6" t="s">
        <v>66</v>
      </c>
      <c r="B22" s="69">
        <v>13.149999618530273</v>
      </c>
      <c r="C22" s="73">
        <v>3</v>
      </c>
      <c r="D22" s="6" t="s">
        <v>67</v>
      </c>
      <c r="E22" s="51" t="s">
        <v>189</v>
      </c>
      <c r="F22" s="51" t="s">
        <v>189</v>
      </c>
      <c r="G22" s="52" t="s">
        <v>189</v>
      </c>
      <c r="H22" s="10" t="s">
        <v>68</v>
      </c>
      <c r="I22" s="68">
        <v>4.6907854080200195</v>
      </c>
      <c r="J22" s="72">
        <v>4.2773609161376953</v>
      </c>
    </row>
    <row r="23" spans="1:10" ht="15" customHeight="1">
      <c r="A23" s="6" t="s">
        <v>69</v>
      </c>
      <c r="B23" s="69">
        <v>8.8799171447753906</v>
      </c>
      <c r="C23" s="73">
        <v>10.888422012329102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18.685387772336615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6.7857612215462551</v>
      </c>
      <c r="J24" s="72">
        <v>6.195993217591675</v>
      </c>
    </row>
    <row r="25" spans="1:10" ht="15" customHeight="1">
      <c r="A25" s="6" t="s">
        <v>75</v>
      </c>
      <c r="B25" s="51" t="s">
        <v>174</v>
      </c>
      <c r="C25" s="73">
        <v>5.7199997901916504</v>
      </c>
      <c r="D25" s="109" t="s">
        <v>76</v>
      </c>
      <c r="E25" s="53"/>
      <c r="F25" s="53"/>
      <c r="G25" s="60"/>
      <c r="H25" s="10" t="s">
        <v>77</v>
      </c>
      <c r="I25" s="68">
        <v>0.28281304240226746</v>
      </c>
      <c r="J25" s="72">
        <v>0.7540469765663147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464.69361120741218</v>
      </c>
      <c r="F26" s="69">
        <v>161.51801485819385</v>
      </c>
      <c r="G26" s="73">
        <v>84.531503356144583</v>
      </c>
      <c r="H26" s="10" t="s">
        <v>80</v>
      </c>
      <c r="I26" s="68">
        <v>3.6141409873962402</v>
      </c>
      <c r="J26" s="72">
        <v>3.4064962863922119</v>
      </c>
    </row>
    <row r="27" spans="1:10" ht="15" customHeight="1" thickBot="1">
      <c r="A27" s="6" t="s">
        <v>81</v>
      </c>
      <c r="B27" s="51" t="s">
        <v>183</v>
      </c>
      <c r="C27" s="52" t="s">
        <v>184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3.6251895427703857</v>
      </c>
      <c r="J27" s="81">
        <v>3.4889545440673828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35.359193128881586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35.395463326989393</v>
      </c>
      <c r="D30" s="10" t="s">
        <v>95</v>
      </c>
      <c r="E30" s="69">
        <v>64.009896249999997</v>
      </c>
      <c r="F30" s="69">
        <v>1596.7727893066406</v>
      </c>
      <c r="G30" s="69">
        <v>13.09157953737113</v>
      </c>
      <c r="H30" s="74">
        <v>337.51625180751904</v>
      </c>
      <c r="I30" s="70">
        <v>176953.70144299313</v>
      </c>
      <c r="J30" s="74">
        <v>9712.9400468363292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7.3000000000000007</v>
      </c>
      <c r="F31" s="69">
        <v>1748.1217892147088</v>
      </c>
      <c r="G31" s="69">
        <v>11.958135928108566</v>
      </c>
      <c r="H31" s="74">
        <v>29.632832092297839</v>
      </c>
      <c r="I31" s="70">
        <v>25522.578122534749</v>
      </c>
      <c r="J31" s="74">
        <v>1209.7714372246287</v>
      </c>
    </row>
    <row r="32" spans="1:10" ht="15" customHeight="1">
      <c r="A32" s="6" t="s">
        <v>98</v>
      </c>
      <c r="B32" s="68" t="s">
        <v>243</v>
      </c>
      <c r="C32" s="110"/>
      <c r="D32" s="10" t="s">
        <v>99</v>
      </c>
      <c r="E32" s="69">
        <v>28.759685678968431</v>
      </c>
      <c r="F32" s="69">
        <v>1984.6440151842855</v>
      </c>
      <c r="G32" s="69">
        <v>10.533011368477966</v>
      </c>
      <c r="H32" s="74">
        <v>80.647610389649032</v>
      </c>
      <c r="I32" s="9" t="s">
        <v>100</v>
      </c>
      <c r="J32" s="74">
        <v>10922.711484060957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3.8409999847412113</v>
      </c>
      <c r="F33" s="69">
        <v>1965.7042045622634</v>
      </c>
      <c r="G33" s="69">
        <v>10.63449827588528</v>
      </c>
      <c r="H33" s="74">
        <v>11.081949463948604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245</v>
      </c>
      <c r="C34" s="112">
        <v>20.904277974317836</v>
      </c>
      <c r="D34" s="11" t="s">
        <v>20</v>
      </c>
      <c r="E34" s="79">
        <v>0.35000000000000003</v>
      </c>
      <c r="F34" s="80">
        <v>3715.0822296488514</v>
      </c>
      <c r="G34" s="80">
        <v>5.6268681773683653</v>
      </c>
      <c r="H34" s="83">
        <v>1567.2031217304996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219</v>
      </c>
      <c r="G38" s="17" t="s">
        <v>116</v>
      </c>
      <c r="H38" s="83" t="s">
        <v>207</v>
      </c>
      <c r="I38" s="139" t="s">
        <v>214</v>
      </c>
      <c r="J38" s="84">
        <v>22787.158203125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8.133375538963536</v>
      </c>
      <c r="C42" s="68">
        <v>8.133375538963536</v>
      </c>
      <c r="D42" s="68">
        <v>8.133375538963536</v>
      </c>
      <c r="E42" s="68">
        <v>8.133375538963536</v>
      </c>
      <c r="F42" s="72">
        <v>8.133375538963536</v>
      </c>
      <c r="G42" s="36" t="s">
        <v>124</v>
      </c>
      <c r="H42" s="91" t="s">
        <v>248</v>
      </c>
      <c r="I42" s="55"/>
      <c r="J42" s="97">
        <v>0.21613049796289599</v>
      </c>
    </row>
    <row r="43" spans="1:10" ht="15" customHeight="1" thickBot="1">
      <c r="A43" s="17" t="s">
        <v>125</v>
      </c>
      <c r="B43" s="79">
        <v>8.133375538963536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6226.1689834720328</v>
      </c>
      <c r="I44" s="90">
        <v>3.7873662660096764E-2</v>
      </c>
      <c r="J44" s="97">
        <v>0.6511295609417288</v>
      </c>
    </row>
    <row r="45" spans="1:10" ht="15" customHeight="1">
      <c r="A45" s="6" t="s">
        <v>129</v>
      </c>
      <c r="B45" s="68">
        <v>0.16619083285331726</v>
      </c>
      <c r="C45" s="4" t="s">
        <v>130</v>
      </c>
      <c r="D45" s="72">
        <v>6.1175273731350899E-3</v>
      </c>
      <c r="E45" s="6" t="s">
        <v>131</v>
      </c>
      <c r="F45" s="74">
        <v>779.83085659664755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0.1441558450460434</v>
      </c>
      <c r="C46" s="4" t="s">
        <v>133</v>
      </c>
      <c r="D46" s="72">
        <v>5.4641519673168659E-3</v>
      </c>
      <c r="E46" s="6" t="s">
        <v>134</v>
      </c>
      <c r="F46" s="74">
        <v>1116.9696137136518</v>
      </c>
      <c r="G46" s="37" t="s">
        <v>135</v>
      </c>
      <c r="H46" s="94">
        <v>1327.8981722802032</v>
      </c>
      <c r="I46" s="57"/>
      <c r="J46" s="58"/>
    </row>
    <row r="47" spans="1:10" ht="15" customHeight="1">
      <c r="A47" s="6" t="s">
        <v>136</v>
      </c>
      <c r="B47" s="68">
        <v>0.31034666299819946</v>
      </c>
      <c r="C47" s="4" t="s">
        <v>137</v>
      </c>
      <c r="D47" s="72">
        <v>5.0442549400031567E-3</v>
      </c>
      <c r="E47" s="6" t="s">
        <v>138</v>
      </c>
      <c r="F47" s="74">
        <v>379.73787785927846</v>
      </c>
      <c r="G47" s="64" t="s">
        <v>139</v>
      </c>
      <c r="H47" s="93">
        <v>5994.9978987331497</v>
      </c>
      <c r="I47" s="90">
        <v>3.6412949330228581E-2</v>
      </c>
      <c r="J47" s="95">
        <v>0.66482229951250205</v>
      </c>
    </row>
    <row r="48" spans="1:10" ht="15" customHeight="1">
      <c r="A48" s="6" t="s">
        <v>140</v>
      </c>
      <c r="B48" s="68">
        <v>1.2564050033688545E-2</v>
      </c>
      <c r="C48" s="4" t="s">
        <v>100</v>
      </c>
      <c r="D48" s="72">
        <v>2.9189985245466232E-2</v>
      </c>
      <c r="E48" s="6" t="s">
        <v>141</v>
      </c>
      <c r="F48" s="74">
        <v>282.6988716254466</v>
      </c>
      <c r="G48" s="65" t="s">
        <v>122</v>
      </c>
      <c r="H48" s="86">
        <v>321.44760851116087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0.97080999612808228</v>
      </c>
      <c r="E49" s="17" t="s">
        <v>143</v>
      </c>
      <c r="F49" s="83">
        <v>721.02299564608336</v>
      </c>
      <c r="G49" s="66" t="s">
        <v>135</v>
      </c>
      <c r="H49" s="94">
        <v>1301.5553326699505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46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6.721299682020021E-2</v>
      </c>
      <c r="I51" s="45" t="s">
        <v>149</v>
      </c>
      <c r="J51" s="39"/>
    </row>
    <row r="52" spans="1:10" ht="15" customHeight="1">
      <c r="A52" s="10" t="s">
        <v>58</v>
      </c>
      <c r="B52" s="69">
        <v>38.409999847412109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165634.15600000002</v>
      </c>
      <c r="I52" s="98" t="s">
        <v>230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130.02214992337599</v>
      </c>
      <c r="I53" s="44" t="s">
        <v>154</v>
      </c>
      <c r="J53" s="39"/>
    </row>
    <row r="54" spans="1:10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520752.4</v>
      </c>
      <c r="I54" s="99" t="s">
        <v>231</v>
      </c>
      <c r="J54" s="100" t="s">
        <v>194</v>
      </c>
    </row>
    <row r="55" spans="1:10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0.69434999999999991</v>
      </c>
      <c r="I56" s="101" t="s">
        <v>232</v>
      </c>
      <c r="J56" s="61" t="s">
        <v>195</v>
      </c>
    </row>
    <row r="57" spans="1:10" ht="15" customHeight="1">
      <c r="A57" s="23" t="s">
        <v>400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401</v>
      </c>
      <c r="D58" s="3" t="s">
        <v>119</v>
      </c>
      <c r="E58" s="3" t="s">
        <v>165</v>
      </c>
      <c r="F58" s="16" t="s">
        <v>402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0.15356402099132538</v>
      </c>
      <c r="D59" s="128">
        <v>0.68736839294433594</v>
      </c>
      <c r="E59" s="86">
        <v>100.86511215433664</v>
      </c>
      <c r="F59" s="87">
        <v>633.1126708984375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127.76008796746615</v>
      </c>
      <c r="C60" s="87">
        <v>159.43498229980469</v>
      </c>
      <c r="D60" s="128">
        <v>0.79157894849777222</v>
      </c>
      <c r="E60" s="86">
        <v>100.4038291363442</v>
      </c>
      <c r="F60" s="87">
        <v>636.79827880859375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250</v>
      </c>
      <c r="C61" s="87">
        <v>484.3831787109375</v>
      </c>
      <c r="D61" s="128">
        <v>0.89578944444656372</v>
      </c>
      <c r="E61" s="86">
        <v>100.14142195411701</v>
      </c>
      <c r="F61" s="87">
        <v>639.94732666015625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152.77502804584049</v>
      </c>
      <c r="C62" s="87">
        <v>568.7569580078125</v>
      </c>
      <c r="D62" s="129">
        <v>1</v>
      </c>
      <c r="E62" s="86">
        <v>100</v>
      </c>
      <c r="F62" s="87">
        <v>642.6666259765625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126.34990682798316</v>
      </c>
      <c r="C63" s="87">
        <v>591.320068359375</v>
      </c>
      <c r="D63" s="340"/>
      <c r="E63" s="88"/>
      <c r="F63" s="341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115.02740340499436</v>
      </c>
      <c r="C64" s="87">
        <v>600.862548828125</v>
      </c>
      <c r="D64" s="342" t="s">
        <v>434</v>
      </c>
      <c r="E64" s="343"/>
      <c r="F64" s="343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108.21832215453816</v>
      </c>
      <c r="C65" s="87">
        <v>610.771240234375</v>
      </c>
      <c r="D65" s="518" t="s">
        <v>419</v>
      </c>
      <c r="E65" s="520" t="s">
        <v>433</v>
      </c>
      <c r="F65" s="520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104.92704876048124</v>
      </c>
      <c r="C66" s="87">
        <v>617.7333984375</v>
      </c>
      <c r="D66" s="518" t="s">
        <v>416</v>
      </c>
      <c r="E66" s="520" t="s">
        <v>702</v>
      </c>
      <c r="F66" s="520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102.91224980374456</v>
      </c>
      <c r="C67" s="87">
        <v>623.669189453125</v>
      </c>
      <c r="D67" s="518" t="s">
        <v>423</v>
      </c>
      <c r="E67" s="520" t="s">
        <v>703</v>
      </c>
      <c r="F67" s="520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101.64367608278535</v>
      </c>
      <c r="C68" s="89">
        <v>628.77191162109375</v>
      </c>
      <c r="D68" s="519" t="s">
        <v>424</v>
      </c>
      <c r="E68" s="521" t="s">
        <v>435</v>
      </c>
      <c r="F68" s="521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39" t="s">
        <v>432</v>
      </c>
      <c r="B99" s="339"/>
      <c r="C99" s="339"/>
      <c r="D99" s="339"/>
      <c r="E99" s="339"/>
      <c r="F99" s="339"/>
      <c r="G99" s="339"/>
      <c r="H99" s="339"/>
      <c r="I99" s="339"/>
    </row>
    <row r="100" spans="1:9">
      <c r="A100" s="339">
        <v>100</v>
      </c>
      <c r="B100" s="339"/>
      <c r="C100" s="339"/>
      <c r="D100" s="339"/>
      <c r="E100" s="339"/>
      <c r="F100" s="339"/>
      <c r="G100" s="339"/>
      <c r="H100" s="339"/>
      <c r="I100" s="339"/>
    </row>
    <row r="101" spans="1:9">
      <c r="A101" s="339">
        <v>99.599998474121094</v>
      </c>
      <c r="B101" s="339"/>
      <c r="C101" s="339"/>
      <c r="D101" s="339"/>
      <c r="E101" s="339"/>
      <c r="F101" s="339"/>
      <c r="G101" s="339"/>
      <c r="H101" s="339"/>
      <c r="I101" s="339"/>
    </row>
    <row r="102" spans="1:9">
      <c r="A102" s="339">
        <v>98</v>
      </c>
      <c r="B102" s="339"/>
      <c r="C102" s="339"/>
      <c r="D102" s="339"/>
      <c r="E102" s="339"/>
      <c r="F102" s="339"/>
      <c r="G102" s="339"/>
      <c r="H102" s="339"/>
      <c r="I102" s="339"/>
    </row>
    <row r="103" spans="1:9">
      <c r="A103" s="339">
        <v>83.852630615234375</v>
      </c>
      <c r="B103" s="339"/>
      <c r="C103" s="339"/>
      <c r="D103" s="339"/>
      <c r="E103" s="339"/>
      <c r="F103" s="339"/>
      <c r="G103" s="339"/>
      <c r="H103" s="339"/>
      <c r="I103" s="339"/>
    </row>
    <row r="104" spans="1:9">
      <c r="A104" s="339">
        <v>70.305259704589844</v>
      </c>
      <c r="B104" s="339"/>
      <c r="C104" s="339"/>
      <c r="D104" s="339"/>
      <c r="E104" s="339"/>
      <c r="F104" s="339"/>
      <c r="G104" s="339"/>
      <c r="H104" s="339"/>
      <c r="I104" s="339"/>
    </row>
    <row r="105" spans="1:9">
      <c r="A105" s="339">
        <v>57.410526275634766</v>
      </c>
      <c r="B105" s="339"/>
      <c r="C105" s="339"/>
      <c r="D105" s="339"/>
      <c r="E105" s="339"/>
      <c r="F105" s="339"/>
      <c r="G105" s="339"/>
      <c r="H105" s="339"/>
      <c r="I105" s="339"/>
    </row>
    <row r="106" spans="1:9">
      <c r="A106" s="339">
        <v>38.010524749755859</v>
      </c>
      <c r="B106" s="339"/>
      <c r="C106" s="339"/>
      <c r="D106" s="339"/>
      <c r="E106" s="339"/>
      <c r="F106" s="339"/>
      <c r="G106" s="339"/>
      <c r="H106" s="339"/>
      <c r="I106" s="339"/>
    </row>
    <row r="107" spans="1:9">
      <c r="A107" s="339">
        <v>24.778947830200195</v>
      </c>
      <c r="B107" s="339"/>
      <c r="C107" s="339"/>
      <c r="D107" s="339"/>
      <c r="E107" s="339"/>
      <c r="F107" s="339"/>
      <c r="G107" s="339"/>
      <c r="H107" s="339"/>
      <c r="I107" s="339"/>
    </row>
    <row r="108" spans="1:9">
      <c r="A108" s="339">
        <v>15.684209823608398</v>
      </c>
      <c r="B108" s="339"/>
      <c r="C108" s="339"/>
      <c r="D108" s="339"/>
      <c r="E108" s="339"/>
      <c r="F108" s="339"/>
      <c r="G108" s="339"/>
      <c r="H108" s="339"/>
      <c r="I108" s="339"/>
    </row>
    <row r="109" spans="1:9">
      <c r="A109" s="339">
        <v>9.0105257034301758</v>
      </c>
      <c r="B109" s="339"/>
      <c r="C109" s="339"/>
      <c r="D109" s="339"/>
      <c r="E109" s="339"/>
      <c r="F109" s="339"/>
      <c r="G109" s="339"/>
      <c r="H109" s="339"/>
      <c r="I109" s="339"/>
    </row>
    <row r="110" spans="1:9">
      <c r="A110" s="339">
        <v>6.2526321411132813</v>
      </c>
      <c r="B110" s="339"/>
      <c r="C110" s="339"/>
      <c r="D110" s="339"/>
      <c r="E110" s="339"/>
      <c r="F110" s="339"/>
      <c r="G110" s="339"/>
      <c r="H110" s="339"/>
      <c r="I110" s="339"/>
    </row>
    <row r="111" spans="1:9">
      <c r="A111" s="339">
        <v>7.8315787315368652</v>
      </c>
      <c r="B111" s="339"/>
      <c r="C111" s="339"/>
      <c r="D111" s="339"/>
      <c r="E111" s="339"/>
      <c r="F111" s="339"/>
      <c r="G111" s="339"/>
      <c r="H111" s="339"/>
      <c r="I111" s="339"/>
    </row>
    <row r="112" spans="1:9">
      <c r="A112" s="339">
        <v>14.70526123046875</v>
      </c>
      <c r="B112" s="339"/>
      <c r="C112" s="339"/>
      <c r="D112" s="339"/>
      <c r="E112" s="339"/>
      <c r="F112" s="339"/>
      <c r="G112" s="339"/>
      <c r="H112" s="339"/>
      <c r="I112" s="339"/>
    </row>
    <row r="113" spans="1:9">
      <c r="A113" s="339">
        <v>30</v>
      </c>
      <c r="B113" s="339"/>
      <c r="C113" s="339"/>
      <c r="D113" s="339"/>
      <c r="E113" s="339"/>
      <c r="F113" s="339"/>
      <c r="G113" s="339"/>
      <c r="H113" s="339"/>
      <c r="I113" s="339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34" workbookViewId="0">
      <selection activeCell="F40" sqref="F40:L41"/>
    </sheetView>
  </sheetViews>
  <sheetFormatPr defaultColWidth="9.109375" defaultRowHeight="15"/>
  <cols>
    <col min="1" max="1" width="11.88671875" style="297" customWidth="1"/>
    <col min="2" max="2" width="6.109375" style="297" customWidth="1"/>
    <col min="3" max="3" width="7.44140625" style="297" customWidth="1"/>
    <col min="4" max="5" width="12.5546875" style="297" customWidth="1"/>
    <col min="6" max="6" width="9.44140625" style="297" customWidth="1"/>
    <col min="7" max="7" width="5.6640625" style="297" customWidth="1"/>
    <col min="8" max="8" width="7.88671875" style="297" customWidth="1"/>
    <col min="9" max="9" width="6.5546875" style="297" customWidth="1"/>
    <col min="10" max="11" width="12" style="297" customWidth="1"/>
    <col min="12" max="26" width="9.109375" style="151"/>
    <col min="27" max="16384" width="9.109375" style="152"/>
  </cols>
  <sheetData>
    <row r="1" spans="1:26" ht="20.25" customHeight="1">
      <c r="A1" s="537" t="s">
        <v>252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</row>
    <row r="2" spans="1:26" ht="20.25" customHeight="1">
      <c r="A2" s="538" t="s">
        <v>253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</row>
    <row r="3" spans="1:26" ht="18.75" customHeight="1" thickBot="1">
      <c r="A3" s="153" t="s">
        <v>1</v>
      </c>
      <c r="B3" s="154" t="s">
        <v>364</v>
      </c>
      <c r="C3" s="155"/>
      <c r="D3" s="155"/>
      <c r="E3" s="155"/>
      <c r="F3" s="156"/>
      <c r="G3" s="155"/>
      <c r="H3" s="155"/>
      <c r="I3" s="153" t="s">
        <v>254</v>
      </c>
      <c r="J3" s="539" t="s">
        <v>372</v>
      </c>
      <c r="K3" s="539"/>
    </row>
    <row r="4" spans="1:26" s="165" customFormat="1" ht="18.45" customHeight="1" thickBot="1">
      <c r="A4" s="157" t="s">
        <v>365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255</v>
      </c>
      <c r="R4" s="163"/>
      <c r="S4" s="161"/>
      <c r="T4" s="162" t="s">
        <v>256</v>
      </c>
      <c r="U4" s="164"/>
      <c r="V4" s="161"/>
      <c r="W4" s="161"/>
      <c r="X4" s="161"/>
      <c r="Y4" s="161"/>
      <c r="Z4" s="161"/>
    </row>
    <row r="5" spans="1:26" s="165" customFormat="1" ht="18.45" customHeight="1">
      <c r="A5" s="540" t="s">
        <v>257</v>
      </c>
      <c r="B5" s="541"/>
      <c r="C5" s="541"/>
      <c r="D5" s="166"/>
      <c r="E5" s="167"/>
      <c r="F5" s="168" t="s">
        <v>258</v>
      </c>
      <c r="G5" s="155"/>
      <c r="H5" s="155"/>
      <c r="I5" s="169"/>
      <c r="J5" s="170" t="s">
        <v>259</v>
      </c>
      <c r="K5" s="171" t="s">
        <v>260</v>
      </c>
      <c r="L5" s="161"/>
      <c r="M5" s="161"/>
      <c r="N5" s="161"/>
      <c r="O5" s="161"/>
      <c r="P5" s="161"/>
      <c r="Q5" s="172" t="s">
        <v>261</v>
      </c>
      <c r="R5" s="173"/>
      <c r="S5" s="161"/>
      <c r="T5" s="172" t="s">
        <v>262</v>
      </c>
      <c r="U5" s="174"/>
      <c r="V5" s="161"/>
      <c r="W5" s="161"/>
      <c r="X5" s="161"/>
      <c r="Y5" s="161"/>
      <c r="Z5" s="161"/>
    </row>
    <row r="6" spans="1:26" s="165" customFormat="1" ht="18.45" customHeight="1">
      <c r="A6" s="542" t="s">
        <v>67</v>
      </c>
      <c r="B6" s="543"/>
      <c r="C6" s="543"/>
      <c r="D6" s="544" t="s">
        <v>266</v>
      </c>
      <c r="E6" s="545"/>
      <c r="F6" s="546" t="s">
        <v>264</v>
      </c>
      <c r="G6" s="547"/>
      <c r="H6" s="547"/>
      <c r="I6" s="547"/>
      <c r="J6" s="547"/>
      <c r="K6" s="548"/>
      <c r="L6" s="161"/>
      <c r="M6" s="161"/>
      <c r="N6" s="161"/>
      <c r="O6" s="161"/>
      <c r="P6" s="161"/>
      <c r="Q6" s="172" t="s">
        <v>265</v>
      </c>
      <c r="R6" s="173"/>
      <c r="S6" s="161"/>
      <c r="T6" s="172" t="s">
        <v>266</v>
      </c>
      <c r="U6" s="174"/>
      <c r="V6" s="161"/>
      <c r="W6" s="161"/>
      <c r="X6" s="161"/>
      <c r="Y6" s="161"/>
      <c r="Z6" s="161"/>
    </row>
    <row r="7" spans="1:26" s="165" customFormat="1" ht="18.45" customHeight="1">
      <c r="A7" s="552" t="s">
        <v>20</v>
      </c>
      <c r="B7" s="553"/>
      <c r="C7" s="553"/>
      <c r="D7" s="554">
        <v>3.5</v>
      </c>
      <c r="E7" s="555"/>
      <c r="F7" s="175" t="s">
        <v>267</v>
      </c>
      <c r="G7" s="176"/>
      <c r="H7" s="177"/>
      <c r="I7" s="178"/>
      <c r="J7" s="179">
        <v>46</v>
      </c>
      <c r="K7" s="180" t="s">
        <v>174</v>
      </c>
      <c r="L7" s="161"/>
      <c r="M7" s="161"/>
      <c r="N7" s="161"/>
      <c r="O7" s="161"/>
      <c r="P7" s="161"/>
      <c r="Q7" s="172" t="s">
        <v>268</v>
      </c>
      <c r="R7" s="173"/>
      <c r="S7" s="161"/>
      <c r="T7" s="172" t="s">
        <v>263</v>
      </c>
      <c r="U7" s="174"/>
      <c r="V7" s="161"/>
      <c r="W7" s="161"/>
      <c r="X7" s="161"/>
      <c r="Y7" s="161"/>
      <c r="Z7" s="161"/>
    </row>
    <row r="8" spans="1:26" s="165" customFormat="1" ht="18.45" customHeight="1">
      <c r="A8" s="552" t="s">
        <v>269</v>
      </c>
      <c r="B8" s="553"/>
      <c r="C8" s="553"/>
      <c r="D8" s="556">
        <v>970</v>
      </c>
      <c r="E8" s="557"/>
      <c r="F8" s="181" t="s">
        <v>270</v>
      </c>
      <c r="G8" s="182"/>
      <c r="H8" s="183"/>
      <c r="I8" s="184"/>
      <c r="J8" s="185">
        <v>40482</v>
      </c>
      <c r="K8" s="186" t="s">
        <v>174</v>
      </c>
      <c r="L8" s="161"/>
      <c r="M8" s="161"/>
      <c r="N8" s="161"/>
      <c r="O8" s="161"/>
      <c r="P8" s="161"/>
      <c r="Q8" s="172" t="s">
        <v>271</v>
      </c>
      <c r="R8" s="173"/>
      <c r="S8" s="161"/>
      <c r="T8" s="172" t="s">
        <v>272</v>
      </c>
      <c r="U8" s="174"/>
      <c r="V8" s="161"/>
      <c r="W8" s="161"/>
      <c r="X8" s="161"/>
      <c r="Y8" s="161"/>
      <c r="Z8" s="161"/>
    </row>
    <row r="9" spans="1:26" s="165" customFormat="1" ht="18.45" customHeight="1">
      <c r="A9" s="558" t="s">
        <v>273</v>
      </c>
      <c r="B9" s="559"/>
      <c r="C9" s="560"/>
      <c r="D9" s="556">
        <v>10</v>
      </c>
      <c r="E9" s="557"/>
      <c r="F9" s="175" t="s">
        <v>274</v>
      </c>
      <c r="G9" s="176"/>
      <c r="H9" s="187">
        <v>3</v>
      </c>
      <c r="I9" s="188" t="s">
        <v>275</v>
      </c>
      <c r="J9" s="189">
        <v>457</v>
      </c>
      <c r="K9" s="186" t="s">
        <v>174</v>
      </c>
      <c r="L9" s="161"/>
      <c r="M9" s="161"/>
      <c r="N9" s="161"/>
      <c r="O9" s="161"/>
      <c r="P9" s="161"/>
      <c r="Q9" s="172" t="s">
        <v>276</v>
      </c>
      <c r="R9" s="173"/>
      <c r="S9" s="161"/>
      <c r="T9" s="172" t="s">
        <v>277</v>
      </c>
      <c r="U9" s="174"/>
      <c r="V9" s="161"/>
      <c r="W9" s="161"/>
      <c r="X9" s="161"/>
      <c r="Y9" s="161"/>
      <c r="Z9" s="161"/>
    </row>
    <row r="10" spans="1:26" s="165" customFormat="1" ht="18.45" customHeight="1" thickBot="1">
      <c r="A10" s="558" t="s">
        <v>278</v>
      </c>
      <c r="B10" s="559"/>
      <c r="C10" s="560"/>
      <c r="D10" s="561" t="s">
        <v>186</v>
      </c>
      <c r="E10" s="562"/>
      <c r="F10" s="175" t="s">
        <v>279</v>
      </c>
      <c r="G10" s="176"/>
      <c r="H10" s="187">
        <v>3</v>
      </c>
      <c r="I10" s="188" t="s">
        <v>275</v>
      </c>
      <c r="J10" s="189">
        <v>1150</v>
      </c>
      <c r="K10" s="186" t="s">
        <v>174</v>
      </c>
      <c r="L10" s="161"/>
      <c r="M10" s="161"/>
      <c r="N10" s="161"/>
      <c r="O10" s="161"/>
      <c r="P10" s="161"/>
      <c r="Q10" s="172" t="s">
        <v>280</v>
      </c>
      <c r="R10" s="173"/>
      <c r="S10" s="161"/>
      <c r="T10" s="190" t="s">
        <v>281</v>
      </c>
      <c r="U10" s="191"/>
      <c r="V10" s="161"/>
      <c r="W10" s="161"/>
      <c r="X10" s="161"/>
      <c r="Y10" s="161"/>
      <c r="Z10" s="161"/>
    </row>
    <row r="11" spans="1:26" s="165" customFormat="1" ht="18.45" customHeight="1" thickBot="1">
      <c r="A11" s="558" t="s">
        <v>282</v>
      </c>
      <c r="B11" s="559"/>
      <c r="C11" s="560"/>
      <c r="D11" s="563" t="s">
        <v>174</v>
      </c>
      <c r="E11" s="564"/>
      <c r="F11" s="192" t="s">
        <v>283</v>
      </c>
      <c r="G11" s="193"/>
      <c r="H11" s="194">
        <v>3</v>
      </c>
      <c r="I11" s="188" t="s">
        <v>275</v>
      </c>
      <c r="J11" s="195">
        <v>138440</v>
      </c>
      <c r="K11" s="196" t="s">
        <v>174</v>
      </c>
      <c r="L11" s="161"/>
      <c r="M11" s="161"/>
      <c r="N11" s="161"/>
      <c r="O11" s="161"/>
      <c r="P11" s="161"/>
      <c r="Q11" s="190" t="s">
        <v>284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45" customHeight="1">
      <c r="A12" s="198" t="s">
        <v>285</v>
      </c>
      <c r="C12" s="199"/>
      <c r="D12" s="565" t="s">
        <v>174</v>
      </c>
      <c r="E12" s="566"/>
      <c r="F12" s="549" t="s">
        <v>286</v>
      </c>
      <c r="G12" s="550"/>
      <c r="H12" s="550"/>
      <c r="I12" s="550"/>
      <c r="J12" s="550"/>
      <c r="K12" s="55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45" customHeight="1">
      <c r="A13" s="558" t="s">
        <v>53</v>
      </c>
      <c r="B13" s="559"/>
      <c r="C13" s="560"/>
      <c r="D13" s="567" t="s">
        <v>367</v>
      </c>
      <c r="E13" s="568"/>
      <c r="F13" s="200"/>
      <c r="G13" s="201" t="s">
        <v>287</v>
      </c>
      <c r="H13" s="202"/>
      <c r="I13" s="203" t="s">
        <v>288</v>
      </c>
      <c r="J13" s="204" t="s">
        <v>369</v>
      </c>
      <c r="K13" s="205" t="s">
        <v>174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45" customHeight="1">
      <c r="A14" s="558" t="s">
        <v>56</v>
      </c>
      <c r="B14" s="559"/>
      <c r="C14" s="560"/>
      <c r="D14" s="565">
        <v>1837</v>
      </c>
      <c r="E14" s="566"/>
      <c r="F14" s="200"/>
      <c r="G14" s="206" t="s">
        <v>10</v>
      </c>
      <c r="H14" s="207"/>
      <c r="I14" s="207"/>
      <c r="J14" s="189" t="s">
        <v>174</v>
      </c>
      <c r="K14" s="186" t="s">
        <v>174</v>
      </c>
      <c r="L14" s="161"/>
      <c r="M14" s="161"/>
      <c r="N14" s="161" t="s">
        <v>39</v>
      </c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45" customHeight="1">
      <c r="A15" s="569" t="s">
        <v>289</v>
      </c>
      <c r="B15" s="570"/>
      <c r="C15" s="571"/>
      <c r="D15" s="572">
        <v>14.702000617980957</v>
      </c>
      <c r="E15" s="573"/>
      <c r="F15" s="200"/>
      <c r="G15" s="206" t="s">
        <v>290</v>
      </c>
      <c r="H15" s="207"/>
      <c r="I15" s="207"/>
      <c r="J15" s="189" t="s">
        <v>174</v>
      </c>
      <c r="K15" s="186" t="s">
        <v>174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45" customHeight="1">
      <c r="A16" s="574" t="s">
        <v>291</v>
      </c>
      <c r="B16" s="575"/>
      <c r="C16" s="576"/>
      <c r="D16" s="572">
        <v>3.7935991287231445</v>
      </c>
      <c r="E16" s="573"/>
      <c r="F16" s="208"/>
      <c r="G16" s="209" t="s">
        <v>17</v>
      </c>
      <c r="H16" s="210"/>
      <c r="I16" s="210"/>
      <c r="J16" s="195" t="s">
        <v>174</v>
      </c>
      <c r="K16" s="196" t="s">
        <v>174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45" customHeight="1">
      <c r="A17" s="211" t="s">
        <v>292</v>
      </c>
      <c r="B17" s="212"/>
      <c r="C17" s="213"/>
      <c r="D17" s="563" t="s">
        <v>366</v>
      </c>
      <c r="E17" s="564"/>
      <c r="F17" s="549" t="s">
        <v>293</v>
      </c>
      <c r="G17" s="550"/>
      <c r="H17" s="550"/>
      <c r="I17" s="550"/>
      <c r="J17" s="550"/>
      <c r="K17" s="55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45" customHeight="1">
      <c r="A18" s="214" t="s">
        <v>294</v>
      </c>
      <c r="B18" s="215"/>
      <c r="C18" s="213"/>
      <c r="D18" s="561" t="s">
        <v>174</v>
      </c>
      <c r="E18" s="562"/>
      <c r="F18" s="577"/>
      <c r="G18" s="578"/>
      <c r="H18" s="216" t="s">
        <v>295</v>
      </c>
      <c r="I18" s="217"/>
      <c r="J18" s="185">
        <v>300</v>
      </c>
      <c r="K18" s="186"/>
      <c r="L18" s="161"/>
      <c r="M18" s="161">
        <f>J18*6.5</f>
        <v>1950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45" customHeight="1">
      <c r="A19" s="583" t="s">
        <v>296</v>
      </c>
      <c r="B19" s="584"/>
      <c r="C19" s="585"/>
      <c r="D19" s="586" t="s">
        <v>174</v>
      </c>
      <c r="E19" s="564"/>
      <c r="F19" s="579"/>
      <c r="G19" s="580"/>
      <c r="H19" s="216" t="s">
        <v>5</v>
      </c>
      <c r="I19" s="178"/>
      <c r="J19" s="185">
        <v>3581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45" customHeight="1" thickBot="1">
      <c r="A20" s="218" t="s">
        <v>297</v>
      </c>
      <c r="C20" s="219"/>
      <c r="D20" s="587" t="s">
        <v>185</v>
      </c>
      <c r="E20" s="557"/>
      <c r="F20" s="579"/>
      <c r="G20" s="580"/>
      <c r="H20" s="216" t="s">
        <v>298</v>
      </c>
      <c r="I20" s="178"/>
      <c r="J20" s="189" t="s">
        <v>347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45" customHeight="1" thickBot="1">
      <c r="A21" s="569" t="s">
        <v>299</v>
      </c>
      <c r="B21" s="570"/>
      <c r="C21" s="571"/>
      <c r="D21" s="556" t="s">
        <v>174</v>
      </c>
      <c r="E21" s="557"/>
      <c r="F21" s="579"/>
      <c r="G21" s="580"/>
      <c r="H21" s="220" t="s">
        <v>300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301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45" customHeight="1">
      <c r="A22" s="214" t="s">
        <v>302</v>
      </c>
      <c r="B22" s="221"/>
      <c r="C22" s="221"/>
      <c r="D22" s="588">
        <v>0.11325</v>
      </c>
      <c r="E22" s="589"/>
      <c r="F22" s="579"/>
      <c r="G22" s="580"/>
      <c r="H22" s="216" t="s">
        <v>259</v>
      </c>
      <c r="I22" s="178"/>
      <c r="J22" s="189" t="s">
        <v>174</v>
      </c>
      <c r="K22" s="186"/>
      <c r="L22" s="161"/>
      <c r="M22" s="161"/>
      <c r="N22" s="161"/>
      <c r="O22" s="161"/>
      <c r="P22" s="161"/>
      <c r="Q22" s="172" t="s">
        <v>304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45" customHeight="1">
      <c r="A23" s="222" t="s">
        <v>305</v>
      </c>
      <c r="B23" s="223" t="s">
        <v>306</v>
      </c>
      <c r="C23" s="224"/>
      <c r="D23" s="567">
        <v>1048</v>
      </c>
      <c r="E23" s="568"/>
      <c r="F23" s="579"/>
      <c r="G23" s="580"/>
      <c r="H23" s="225" t="s">
        <v>307</v>
      </c>
      <c r="I23" s="226"/>
      <c r="J23" s="227"/>
      <c r="K23" s="228"/>
      <c r="L23" s="161"/>
      <c r="Q23" s="172" t="s">
        <v>308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45" customHeight="1" thickBot="1">
      <c r="A24" s="229" t="s">
        <v>309</v>
      </c>
      <c r="B24" s="230" t="s">
        <v>310</v>
      </c>
      <c r="C24" s="231"/>
      <c r="D24" s="590" t="s">
        <v>174</v>
      </c>
      <c r="E24" s="591"/>
      <c r="F24" s="579"/>
      <c r="G24" s="580"/>
      <c r="H24" s="216" t="s">
        <v>311</v>
      </c>
      <c r="I24" s="199"/>
      <c r="J24" s="232"/>
      <c r="K24" s="233"/>
      <c r="Q24" s="234" t="s">
        <v>174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45" customHeight="1">
      <c r="A25" s="236" t="s">
        <v>312</v>
      </c>
      <c r="B25" s="237"/>
      <c r="C25" s="237"/>
      <c r="D25" s="238"/>
      <c r="E25" s="238" t="s">
        <v>313</v>
      </c>
      <c r="F25" s="579"/>
      <c r="G25" s="580"/>
      <c r="H25" s="216" t="s">
        <v>314</v>
      </c>
      <c r="I25" s="199"/>
      <c r="J25" s="239" t="s">
        <v>174</v>
      </c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45" customHeight="1">
      <c r="A26" s="240" t="s">
        <v>315</v>
      </c>
      <c r="B26" s="241"/>
      <c r="C26" s="242"/>
      <c r="D26" s="243" t="s">
        <v>370</v>
      </c>
      <c r="E26" s="243" t="s">
        <v>371</v>
      </c>
      <c r="F26" s="581"/>
      <c r="G26" s="582"/>
      <c r="H26" s="592"/>
      <c r="I26" s="593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45" customHeight="1">
      <c r="A27" s="594" t="s">
        <v>316</v>
      </c>
      <c r="B27" s="595"/>
      <c r="C27" s="595"/>
      <c r="D27" s="595"/>
      <c r="E27" s="595"/>
      <c r="F27" s="546" t="s">
        <v>317</v>
      </c>
      <c r="G27" s="547"/>
      <c r="H27" s="547"/>
      <c r="I27" s="547"/>
      <c r="J27" s="547"/>
      <c r="K27" s="548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45" customHeight="1">
      <c r="A28" s="604"/>
      <c r="B28" s="605"/>
      <c r="C28" s="605"/>
      <c r="D28" s="605"/>
      <c r="E28" s="606"/>
      <c r="F28" s="246"/>
      <c r="G28" s="247"/>
      <c r="H28" s="206" t="s">
        <v>318</v>
      </c>
      <c r="I28" s="248" t="s">
        <v>368</v>
      </c>
      <c r="J28" s="185">
        <v>1928</v>
      </c>
      <c r="K28" s="249" t="s">
        <v>174</v>
      </c>
      <c r="M28" s="165">
        <f>(J28/J18)*100</f>
        <v>642.66666666666663</v>
      </c>
      <c r="N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45" customHeight="1">
      <c r="A29" s="604"/>
      <c r="B29" s="605"/>
      <c r="C29" s="605"/>
      <c r="D29" s="605"/>
      <c r="E29" s="606"/>
      <c r="F29" s="251"/>
      <c r="G29" s="252"/>
      <c r="H29" s="206" t="s">
        <v>319</v>
      </c>
      <c r="I29" s="253">
        <v>60</v>
      </c>
      <c r="J29" s="185">
        <v>104</v>
      </c>
      <c r="K29" s="180" t="s">
        <v>174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45" customHeight="1">
      <c r="A30" s="604"/>
      <c r="B30" s="605"/>
      <c r="C30" s="605"/>
      <c r="D30" s="605"/>
      <c r="E30" s="606"/>
      <c r="F30" s="251"/>
      <c r="G30" s="252"/>
      <c r="H30" s="206" t="s">
        <v>320</v>
      </c>
      <c r="I30" s="253">
        <v>175</v>
      </c>
      <c r="J30" s="185">
        <v>251</v>
      </c>
      <c r="K30" s="180" t="s">
        <v>174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45" customHeight="1">
      <c r="A31" s="604"/>
      <c r="B31" s="605"/>
      <c r="C31" s="605"/>
      <c r="D31" s="605"/>
      <c r="E31" s="606"/>
      <c r="F31" s="251"/>
      <c r="G31" s="252"/>
      <c r="H31" s="206" t="s">
        <v>321</v>
      </c>
      <c r="I31" s="207"/>
      <c r="J31" s="254">
        <v>0.54</v>
      </c>
      <c r="K31" s="180" t="s">
        <v>174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45" customHeight="1">
      <c r="A32" s="607"/>
      <c r="B32" s="608"/>
      <c r="C32" s="608"/>
      <c r="D32" s="608"/>
      <c r="E32" s="609"/>
      <c r="F32" s="251"/>
      <c r="G32" s="255" t="s">
        <v>322</v>
      </c>
      <c r="H32" s="206" t="s">
        <v>323</v>
      </c>
      <c r="I32" s="256"/>
      <c r="J32" s="179">
        <v>95.6</v>
      </c>
      <c r="K32" s="180" t="s">
        <v>174</v>
      </c>
      <c r="L32" s="161"/>
      <c r="N32" s="257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45" customHeight="1">
      <c r="A33" s="594" t="s">
        <v>324</v>
      </c>
      <c r="B33" s="595"/>
      <c r="C33" s="595"/>
      <c r="D33" s="595"/>
      <c r="E33" s="610"/>
      <c r="F33" s="258"/>
      <c r="G33" s="259"/>
      <c r="H33" s="260" t="s">
        <v>325</v>
      </c>
      <c r="I33" s="261"/>
      <c r="J33" s="262">
        <v>93.9</v>
      </c>
      <c r="K33" s="249" t="s">
        <v>174</v>
      </c>
      <c r="L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45" customHeight="1">
      <c r="A34" s="604"/>
      <c r="B34" s="605"/>
      <c r="C34" s="605"/>
      <c r="D34" s="605"/>
      <c r="E34" s="606"/>
      <c r="F34" s="181" t="s">
        <v>326</v>
      </c>
      <c r="G34" s="263"/>
      <c r="H34" s="264" t="s">
        <v>14</v>
      </c>
      <c r="I34" s="265"/>
      <c r="J34" s="266">
        <v>12450</v>
      </c>
      <c r="K34" s="249" t="s">
        <v>174</v>
      </c>
      <c r="L34" s="267"/>
      <c r="M34" s="268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45" customHeight="1">
      <c r="A35" s="604"/>
      <c r="B35" s="605"/>
      <c r="C35" s="605"/>
      <c r="D35" s="605"/>
      <c r="E35" s="606"/>
      <c r="F35" s="200"/>
      <c r="G35" s="269"/>
      <c r="H35" s="270" t="s">
        <v>15</v>
      </c>
      <c r="I35" s="271"/>
      <c r="J35" s="185">
        <v>9926</v>
      </c>
      <c r="K35" s="249" t="s">
        <v>174</v>
      </c>
      <c r="M35" s="268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45" customHeight="1">
      <c r="A36" s="604"/>
      <c r="B36" s="605"/>
      <c r="C36" s="605"/>
      <c r="D36" s="605"/>
      <c r="E36" s="606"/>
      <c r="F36" s="200"/>
      <c r="G36" s="269"/>
      <c r="H36" s="270" t="s">
        <v>327</v>
      </c>
      <c r="I36" s="271"/>
      <c r="J36" s="185">
        <v>10315</v>
      </c>
      <c r="K36" s="249" t="s">
        <v>174</v>
      </c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45" customHeight="1">
      <c r="A37" s="604"/>
      <c r="B37" s="605"/>
      <c r="C37" s="605"/>
      <c r="D37" s="605"/>
      <c r="E37" s="606"/>
      <c r="F37" s="251"/>
      <c r="G37" s="269"/>
      <c r="H37" s="270" t="s">
        <v>328</v>
      </c>
      <c r="I37" s="271"/>
      <c r="J37" s="185">
        <v>29927</v>
      </c>
      <c r="K37" s="272" t="s">
        <v>174</v>
      </c>
      <c r="M37" s="273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45" customHeight="1">
      <c r="A38" s="607"/>
      <c r="B38" s="608"/>
      <c r="C38" s="608"/>
      <c r="D38" s="608"/>
      <c r="E38" s="609"/>
      <c r="F38" s="208"/>
      <c r="G38" s="274"/>
      <c r="H38" s="275" t="s">
        <v>329</v>
      </c>
      <c r="I38" s="276"/>
      <c r="J38" s="277">
        <v>22787</v>
      </c>
      <c r="K38" s="249" t="s">
        <v>174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45" customHeight="1">
      <c r="A39" s="594" t="s">
        <v>330</v>
      </c>
      <c r="B39" s="595"/>
      <c r="C39" s="595"/>
      <c r="D39" s="595"/>
      <c r="E39" s="595"/>
      <c r="F39" s="278" t="s">
        <v>331</v>
      </c>
      <c r="G39" s="279"/>
      <c r="H39" s="279"/>
      <c r="I39" s="279"/>
      <c r="J39" s="279"/>
      <c r="K39" s="280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45" customHeight="1">
      <c r="A40" s="598"/>
      <c r="B40" s="599"/>
      <c r="C40" s="599"/>
      <c r="D40" s="599"/>
      <c r="E40" s="600"/>
      <c r="F40" s="281" t="s">
        <v>754</v>
      </c>
      <c r="G40" s="282" t="s">
        <v>755</v>
      </c>
      <c r="H40" s="282"/>
      <c r="I40" s="282"/>
      <c r="J40" s="282"/>
      <c r="K40" s="283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45" customHeight="1">
      <c r="A41" s="598"/>
      <c r="B41" s="599"/>
      <c r="C41" s="599"/>
      <c r="D41" s="599"/>
      <c r="E41" s="600"/>
      <c r="F41" s="281"/>
      <c r="G41" s="284" t="s">
        <v>756</v>
      </c>
      <c r="H41" s="284"/>
      <c r="I41" s="284"/>
      <c r="J41" s="284"/>
      <c r="K41" s="285"/>
      <c r="L41" s="286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45" customHeight="1">
      <c r="A42" s="598"/>
      <c r="B42" s="599"/>
      <c r="C42" s="599"/>
      <c r="D42" s="599"/>
      <c r="E42" s="600"/>
      <c r="F42" s="281"/>
      <c r="G42" s="284"/>
      <c r="H42" s="284"/>
      <c r="I42" s="284"/>
      <c r="J42" s="284"/>
      <c r="K42" s="285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45" customHeight="1">
      <c r="A43" s="598"/>
      <c r="B43" s="599"/>
      <c r="C43" s="599"/>
      <c r="D43" s="599"/>
      <c r="E43" s="600"/>
      <c r="F43" s="281"/>
      <c r="G43" s="284" t="s">
        <v>373</v>
      </c>
      <c r="H43" s="284"/>
      <c r="I43" s="284"/>
      <c r="J43" s="284"/>
      <c r="K43" s="285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601"/>
      <c r="B44" s="602"/>
      <c r="C44" s="602"/>
      <c r="D44" s="602"/>
      <c r="E44" s="603"/>
      <c r="F44" s="281"/>
      <c r="G44" s="284" t="s">
        <v>374</v>
      </c>
      <c r="H44" s="284"/>
      <c r="I44" s="284"/>
      <c r="J44" s="284"/>
      <c r="K44" s="285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87" t="s">
        <v>332</v>
      </c>
      <c r="B45" s="611"/>
      <c r="C45" s="612"/>
      <c r="D45" s="288" t="s">
        <v>333</v>
      </c>
      <c r="E45" s="289" t="s">
        <v>334</v>
      </c>
      <c r="F45" s="290"/>
      <c r="G45" s="284"/>
      <c r="H45" s="284"/>
      <c r="I45" s="284"/>
      <c r="J45" s="284"/>
      <c r="K45" s="285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1" t="s">
        <v>335</v>
      </c>
      <c r="B46" s="596"/>
      <c r="C46" s="597"/>
      <c r="D46" s="292" t="s">
        <v>335</v>
      </c>
      <c r="E46" s="293">
        <v>41934</v>
      </c>
      <c r="F46" s="294"/>
      <c r="G46" s="295" t="s">
        <v>375</v>
      </c>
      <c r="H46" s="295"/>
      <c r="I46" s="295"/>
      <c r="J46" s="295"/>
      <c r="K46" s="296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297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9">
    <mergeCell ref="A27:E27"/>
    <mergeCell ref="F27:K27"/>
    <mergeCell ref="B46:C46"/>
    <mergeCell ref="A40:E44"/>
    <mergeCell ref="A28:E32"/>
    <mergeCell ref="A33:E33"/>
    <mergeCell ref="A34:E38"/>
    <mergeCell ref="A39:E39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37" zoomScale="75" zoomScaleNormal="75" workbookViewId="0"/>
  </sheetViews>
  <sheetFormatPr defaultColWidth="9.109375" defaultRowHeight="13.2"/>
  <cols>
    <col min="1" max="1" width="9.109375" style="303" customWidth="1"/>
    <col min="2" max="2" width="18.109375" style="303" customWidth="1"/>
    <col min="3" max="3" width="21.5546875" style="303" customWidth="1"/>
    <col min="4" max="4" width="21.33203125" style="303" bestFit="1" customWidth="1"/>
    <col min="5" max="5" width="6.88671875" style="303" bestFit="1" customWidth="1"/>
    <col min="6" max="6" width="29.88671875" style="303" customWidth="1"/>
    <col min="7" max="7" width="43.6640625" style="303" customWidth="1"/>
    <col min="8" max="8" width="17.109375" style="303" customWidth="1"/>
    <col min="9" max="9" width="7.88671875" style="303" customWidth="1"/>
    <col min="10" max="10" width="2.33203125" style="303" bestFit="1" customWidth="1"/>
    <col min="11" max="12" width="2.33203125" style="303" customWidth="1"/>
    <col min="13" max="13" width="2.5546875" style="303" bestFit="1" customWidth="1"/>
    <col min="14" max="14" width="2.33203125" style="303" bestFit="1" customWidth="1"/>
    <col min="15" max="16384" width="9.109375" style="303"/>
  </cols>
  <sheetData>
    <row r="1" spans="2:14" ht="12.75" customHeight="1">
      <c r="B1" s="298"/>
      <c r="C1" s="299"/>
      <c r="D1" s="299"/>
      <c r="E1" s="299"/>
      <c r="F1" s="299"/>
      <c r="G1" s="299"/>
      <c r="H1" s="300"/>
      <c r="I1" s="301"/>
      <c r="J1" s="302" t="s">
        <v>336</v>
      </c>
      <c r="K1" s="302" t="s">
        <v>337</v>
      </c>
      <c r="L1" s="302" t="s">
        <v>338</v>
      </c>
      <c r="M1" s="302" t="s">
        <v>337</v>
      </c>
      <c r="N1" s="302"/>
    </row>
    <row r="2" spans="2:14" ht="12.75" customHeight="1">
      <c r="B2" s="621" t="s">
        <v>339</v>
      </c>
      <c r="C2" s="622"/>
      <c r="D2" s="622"/>
      <c r="E2" s="622"/>
      <c r="F2" s="622"/>
      <c r="G2" s="622"/>
      <c r="H2" s="304"/>
      <c r="I2" s="305"/>
      <c r="J2" s="306" t="s">
        <v>340</v>
      </c>
      <c r="K2" s="306" t="s">
        <v>341</v>
      </c>
      <c r="L2" s="306" t="s">
        <v>342</v>
      </c>
      <c r="M2" s="306" t="s">
        <v>343</v>
      </c>
      <c r="N2" s="306" t="s">
        <v>344</v>
      </c>
    </row>
    <row r="3" spans="2:14" ht="12.75" customHeight="1">
      <c r="B3" s="621"/>
      <c r="C3" s="622"/>
      <c r="D3" s="622"/>
      <c r="E3" s="622"/>
      <c r="F3" s="622"/>
      <c r="G3" s="622"/>
      <c r="H3" s="304"/>
      <c r="I3" s="305"/>
      <c r="J3" s="306" t="s">
        <v>345</v>
      </c>
      <c r="K3" s="306"/>
      <c r="L3" s="306" t="s">
        <v>346</v>
      </c>
      <c r="M3" s="306" t="s">
        <v>336</v>
      </c>
      <c r="N3" s="306"/>
    </row>
    <row r="4" spans="2:14" ht="12.75" customHeight="1">
      <c r="B4" s="621"/>
      <c r="C4" s="622"/>
      <c r="D4" s="622"/>
      <c r="E4" s="622"/>
      <c r="F4" s="622"/>
      <c r="G4" s="622"/>
      <c r="H4" s="304"/>
      <c r="I4" s="305"/>
      <c r="J4" s="306" t="s">
        <v>347</v>
      </c>
      <c r="K4" s="306"/>
      <c r="L4" s="306" t="s">
        <v>342</v>
      </c>
      <c r="M4" s="306" t="s">
        <v>340</v>
      </c>
      <c r="N4" s="306"/>
    </row>
    <row r="5" spans="2:14" ht="12.75" customHeight="1">
      <c r="B5" s="307"/>
      <c r="C5" s="308"/>
      <c r="D5" s="308"/>
      <c r="E5" s="308"/>
      <c r="F5" s="308"/>
      <c r="G5" s="308"/>
      <c r="H5" s="304"/>
      <c r="I5" s="305"/>
      <c r="J5" s="306"/>
      <c r="K5" s="306" t="s">
        <v>348</v>
      </c>
      <c r="L5" s="306" t="s">
        <v>337</v>
      </c>
      <c r="M5" s="306"/>
      <c r="N5" s="306" t="s">
        <v>342</v>
      </c>
    </row>
    <row r="6" spans="2:14" ht="12" customHeight="1">
      <c r="B6" s="309"/>
      <c r="C6" s="310"/>
      <c r="D6" s="310"/>
      <c r="F6" s="310"/>
      <c r="H6" s="311"/>
      <c r="I6" s="305"/>
      <c r="J6" s="306" t="s">
        <v>341</v>
      </c>
      <c r="K6" s="306" t="s">
        <v>349</v>
      </c>
      <c r="L6" s="306"/>
      <c r="M6" s="306" t="s">
        <v>337</v>
      </c>
      <c r="N6" s="306" t="s">
        <v>350</v>
      </c>
    </row>
    <row r="7" spans="2:14" ht="12.75" customHeight="1">
      <c r="B7" s="309"/>
      <c r="D7" s="312"/>
      <c r="H7" s="311"/>
      <c r="I7" s="305"/>
      <c r="J7" s="306" t="s">
        <v>351</v>
      </c>
      <c r="K7" s="306" t="s">
        <v>345</v>
      </c>
      <c r="L7" s="306" t="s">
        <v>345</v>
      </c>
      <c r="M7" s="306" t="s">
        <v>340</v>
      </c>
      <c r="N7" s="306" t="s">
        <v>352</v>
      </c>
    </row>
    <row r="8" spans="2:14" ht="12.75" customHeight="1">
      <c r="B8" s="309"/>
      <c r="G8" s="312"/>
      <c r="H8" s="313"/>
      <c r="I8" s="306" t="s">
        <v>352</v>
      </c>
      <c r="J8" s="306" t="s">
        <v>337</v>
      </c>
      <c r="K8" s="306" t="s">
        <v>353</v>
      </c>
      <c r="L8" s="306" t="s">
        <v>340</v>
      </c>
      <c r="M8" s="306" t="s">
        <v>352</v>
      </c>
      <c r="N8" s="306" t="s">
        <v>349</v>
      </c>
    </row>
    <row r="9" spans="2:14">
      <c r="B9" s="306" t="s">
        <v>354</v>
      </c>
      <c r="C9" s="313" t="s">
        <v>355</v>
      </c>
      <c r="D9" s="313" t="s">
        <v>356</v>
      </c>
      <c r="E9" s="313" t="s">
        <v>357</v>
      </c>
      <c r="F9" s="306" t="s">
        <v>358</v>
      </c>
      <c r="G9" s="306" t="s">
        <v>359</v>
      </c>
      <c r="H9" s="306" t="s">
        <v>360</v>
      </c>
      <c r="I9" s="306" t="s">
        <v>347</v>
      </c>
      <c r="J9" s="306" t="s">
        <v>351</v>
      </c>
      <c r="K9" s="306" t="s">
        <v>340</v>
      </c>
      <c r="L9" s="306" t="s">
        <v>353</v>
      </c>
      <c r="M9" s="306" t="s">
        <v>337</v>
      </c>
      <c r="N9" s="306" t="s">
        <v>338</v>
      </c>
    </row>
    <row r="10" spans="2:14" ht="15" customHeight="1">
      <c r="B10" s="314"/>
      <c r="C10" s="315"/>
      <c r="D10" s="315"/>
      <c r="E10" s="315"/>
      <c r="F10" s="316"/>
      <c r="G10" s="317"/>
      <c r="H10" s="317"/>
      <c r="I10" s="318"/>
      <c r="J10" s="319"/>
      <c r="K10" s="319"/>
      <c r="L10" s="319"/>
      <c r="M10" s="319"/>
      <c r="N10" s="320"/>
    </row>
    <row r="11" spans="2:14" ht="15" customHeight="1">
      <c r="B11" s="314"/>
      <c r="C11" s="316"/>
      <c r="D11" s="316"/>
      <c r="E11" s="316"/>
      <c r="F11" s="316"/>
      <c r="G11" s="316"/>
      <c r="H11" s="316"/>
      <c r="I11" s="321"/>
      <c r="J11" s="319"/>
      <c r="K11" s="319"/>
      <c r="L11" s="319"/>
      <c r="M11" s="319"/>
      <c r="N11" s="320"/>
    </row>
    <row r="12" spans="2:14" ht="15" customHeight="1">
      <c r="B12" s="314"/>
      <c r="C12" s="316"/>
      <c r="D12" s="316"/>
      <c r="E12" s="316"/>
      <c r="F12" s="316"/>
      <c r="G12" s="316"/>
      <c r="H12" s="316"/>
      <c r="I12" s="321"/>
      <c r="J12" s="322"/>
      <c r="K12" s="319"/>
      <c r="L12" s="319"/>
      <c r="M12" s="319"/>
      <c r="N12" s="320"/>
    </row>
    <row r="13" spans="2:14" ht="15" customHeight="1">
      <c r="B13" s="314"/>
      <c r="C13" s="316"/>
      <c r="D13" s="316"/>
      <c r="E13" s="316"/>
      <c r="F13" s="316"/>
      <c r="G13" s="316"/>
      <c r="H13" s="316"/>
      <c r="I13" s="321"/>
      <c r="J13" s="319"/>
      <c r="K13" s="319"/>
      <c r="L13" s="319"/>
      <c r="M13" s="319"/>
      <c r="N13" s="320"/>
    </row>
    <row r="14" spans="2:14" ht="15" customHeight="1">
      <c r="B14" s="314"/>
      <c r="C14" s="316"/>
      <c r="D14" s="316"/>
      <c r="E14" s="316"/>
      <c r="F14" s="316"/>
      <c r="G14" s="316"/>
      <c r="H14" s="316"/>
      <c r="I14" s="321"/>
      <c r="J14" s="319"/>
      <c r="K14" s="319"/>
      <c r="L14" s="319"/>
      <c r="M14" s="319"/>
      <c r="N14" s="320"/>
    </row>
    <row r="15" spans="2:14" ht="15" customHeight="1">
      <c r="B15" s="314"/>
      <c r="C15" s="316"/>
      <c r="D15" s="316"/>
      <c r="E15" s="316"/>
      <c r="F15" s="316"/>
      <c r="G15" s="316"/>
      <c r="H15" s="316"/>
      <c r="I15" s="321"/>
      <c r="J15" s="319"/>
      <c r="K15" s="319"/>
      <c r="L15" s="319"/>
      <c r="M15" s="319"/>
      <c r="N15" s="320"/>
    </row>
    <row r="16" spans="2:14" ht="15" customHeight="1">
      <c r="B16" s="314"/>
      <c r="C16" s="316"/>
      <c r="D16" s="316"/>
      <c r="E16" s="316"/>
      <c r="F16" s="316"/>
      <c r="G16" s="316"/>
      <c r="H16" s="316"/>
      <c r="I16" s="321"/>
      <c r="J16" s="319"/>
      <c r="K16" s="319"/>
      <c r="L16" s="319"/>
      <c r="M16" s="319"/>
      <c r="N16" s="320"/>
    </row>
    <row r="17" spans="2:14" ht="15" customHeight="1">
      <c r="B17" s="314"/>
      <c r="C17" s="316"/>
      <c r="D17" s="316"/>
      <c r="E17" s="316"/>
      <c r="F17" s="316"/>
      <c r="G17" s="316"/>
      <c r="H17" s="316"/>
      <c r="I17" s="321"/>
      <c r="J17" s="319"/>
      <c r="K17" s="319"/>
      <c r="L17" s="319"/>
      <c r="M17" s="319"/>
      <c r="N17" s="320"/>
    </row>
    <row r="18" spans="2:14" ht="15" customHeight="1">
      <c r="B18" s="314"/>
      <c r="C18" s="316"/>
      <c r="D18" s="316"/>
      <c r="E18" s="316"/>
      <c r="F18" s="316"/>
      <c r="G18" s="316"/>
      <c r="H18" s="316"/>
      <c r="I18" s="321"/>
      <c r="J18" s="319"/>
      <c r="K18" s="319"/>
      <c r="L18" s="319"/>
      <c r="M18" s="319"/>
      <c r="N18" s="320"/>
    </row>
    <row r="19" spans="2:14" ht="15" customHeight="1">
      <c r="B19" s="314"/>
      <c r="C19" s="316"/>
      <c r="D19" s="316"/>
      <c r="E19" s="316"/>
      <c r="F19" s="316"/>
      <c r="G19" s="316"/>
      <c r="H19" s="316"/>
      <c r="I19" s="321"/>
      <c r="J19" s="319"/>
      <c r="K19" s="319"/>
      <c r="L19" s="319"/>
      <c r="M19" s="319"/>
      <c r="N19" s="320"/>
    </row>
    <row r="20" spans="2:14" ht="15" customHeight="1">
      <c r="B20" s="314"/>
      <c r="C20" s="316"/>
      <c r="D20" s="316"/>
      <c r="E20" s="316"/>
      <c r="F20" s="316"/>
      <c r="G20" s="316"/>
      <c r="H20" s="316"/>
      <c r="I20" s="321"/>
      <c r="J20" s="319"/>
      <c r="K20" s="319"/>
      <c r="L20" s="319"/>
      <c r="M20" s="319"/>
      <c r="N20" s="320"/>
    </row>
    <row r="21" spans="2:14" ht="15" customHeight="1">
      <c r="B21" s="314"/>
      <c r="C21" s="316"/>
      <c r="D21" s="316"/>
      <c r="E21" s="316"/>
      <c r="F21" s="316"/>
      <c r="G21" s="316"/>
      <c r="H21" s="316"/>
      <c r="I21" s="321"/>
      <c r="J21" s="319"/>
      <c r="K21" s="319"/>
      <c r="L21" s="319"/>
      <c r="M21" s="319"/>
      <c r="N21" s="320"/>
    </row>
    <row r="22" spans="2:14" ht="15" customHeight="1">
      <c r="B22" s="314"/>
      <c r="C22" s="316"/>
      <c r="D22" s="316"/>
      <c r="E22" s="316"/>
      <c r="F22" s="316"/>
      <c r="G22" s="316"/>
      <c r="H22" s="316"/>
      <c r="I22" s="321"/>
      <c r="J22" s="319"/>
      <c r="K22" s="319"/>
      <c r="L22" s="319"/>
      <c r="M22" s="319"/>
      <c r="N22" s="320"/>
    </row>
    <row r="23" spans="2:14" ht="15" customHeight="1">
      <c r="B23" s="314"/>
      <c r="C23" s="316"/>
      <c r="D23" s="316"/>
      <c r="E23" s="316"/>
      <c r="F23" s="316"/>
      <c r="G23" s="316"/>
      <c r="H23" s="316"/>
      <c r="I23" s="321"/>
      <c r="J23" s="319"/>
      <c r="K23" s="319"/>
      <c r="L23" s="319"/>
      <c r="M23" s="319"/>
      <c r="N23" s="320"/>
    </row>
    <row r="24" spans="2:14" ht="15" customHeight="1">
      <c r="B24" s="314"/>
      <c r="C24" s="316"/>
      <c r="D24" s="316"/>
      <c r="E24" s="316"/>
      <c r="F24" s="316"/>
      <c r="G24" s="316"/>
      <c r="H24" s="316"/>
      <c r="I24" s="321"/>
      <c r="J24" s="319"/>
      <c r="K24" s="319"/>
      <c r="L24" s="319"/>
      <c r="M24" s="319"/>
      <c r="N24" s="320"/>
    </row>
    <row r="25" spans="2:14" ht="15" customHeight="1">
      <c r="B25" s="314"/>
      <c r="C25" s="316"/>
      <c r="D25" s="316"/>
      <c r="E25" s="316"/>
      <c r="F25" s="316"/>
      <c r="G25" s="316"/>
      <c r="H25" s="316"/>
      <c r="I25" s="321"/>
      <c r="J25" s="319"/>
      <c r="K25" s="319"/>
      <c r="L25" s="319"/>
      <c r="M25" s="319"/>
      <c r="N25" s="320"/>
    </row>
    <row r="26" spans="2:14" ht="15" customHeight="1">
      <c r="B26" s="314"/>
      <c r="C26" s="316"/>
      <c r="D26" s="316"/>
      <c r="E26" s="316"/>
      <c r="F26" s="316"/>
      <c r="G26" s="316"/>
      <c r="H26" s="316"/>
      <c r="I26" s="321"/>
      <c r="J26" s="319"/>
      <c r="K26" s="319"/>
      <c r="L26" s="319"/>
      <c r="M26" s="319"/>
      <c r="N26" s="320"/>
    </row>
    <row r="27" spans="2:14" ht="15" customHeight="1">
      <c r="B27" s="314"/>
      <c r="C27" s="316"/>
      <c r="D27" s="316"/>
      <c r="E27" s="316"/>
      <c r="F27" s="316"/>
      <c r="G27" s="316"/>
      <c r="H27" s="316"/>
      <c r="I27" s="321"/>
      <c r="J27" s="319"/>
      <c r="K27" s="319"/>
      <c r="L27" s="319"/>
      <c r="M27" s="319"/>
      <c r="N27" s="320"/>
    </row>
    <row r="28" spans="2:14" ht="15" customHeight="1">
      <c r="B28" s="314"/>
      <c r="C28" s="316"/>
      <c r="D28" s="316"/>
      <c r="E28" s="316"/>
      <c r="F28" s="316"/>
      <c r="G28" s="316"/>
      <c r="H28" s="316"/>
      <c r="I28" s="321"/>
      <c r="J28" s="319"/>
      <c r="K28" s="319"/>
      <c r="L28" s="319"/>
      <c r="M28" s="319"/>
      <c r="N28" s="320"/>
    </row>
    <row r="29" spans="2:14" ht="15" customHeight="1">
      <c r="B29" s="314"/>
      <c r="C29" s="316"/>
      <c r="D29" s="316"/>
      <c r="E29" s="316"/>
      <c r="F29" s="316"/>
      <c r="G29" s="316"/>
      <c r="H29" s="316"/>
      <c r="I29" s="321"/>
      <c r="J29" s="319"/>
      <c r="K29" s="319"/>
      <c r="L29" s="319"/>
      <c r="M29" s="319"/>
      <c r="N29" s="320"/>
    </row>
    <row r="30" spans="2:14" ht="15" customHeight="1">
      <c r="B30" s="314"/>
      <c r="C30" s="316"/>
      <c r="D30" s="316"/>
      <c r="E30" s="316"/>
      <c r="F30" s="316"/>
      <c r="G30" s="316"/>
      <c r="H30" s="316"/>
      <c r="I30" s="321"/>
      <c r="J30" s="319"/>
      <c r="K30" s="319"/>
      <c r="L30" s="319"/>
      <c r="M30" s="319"/>
      <c r="N30" s="320"/>
    </row>
    <row r="31" spans="2:14" ht="15" customHeight="1">
      <c r="B31" s="314"/>
      <c r="C31" s="316"/>
      <c r="D31" s="316"/>
      <c r="E31" s="316"/>
      <c r="F31" s="316"/>
      <c r="G31" s="316"/>
      <c r="H31" s="316"/>
      <c r="I31" s="321"/>
      <c r="J31" s="319"/>
      <c r="K31" s="319"/>
      <c r="L31" s="319"/>
      <c r="M31" s="319"/>
      <c r="N31" s="320"/>
    </row>
    <row r="32" spans="2:14" ht="15" customHeight="1">
      <c r="B32" s="314"/>
      <c r="C32" s="316"/>
      <c r="D32" s="316"/>
      <c r="E32" s="316"/>
      <c r="F32" s="316"/>
      <c r="G32" s="316"/>
      <c r="H32" s="316"/>
      <c r="I32" s="321"/>
      <c r="J32" s="319"/>
      <c r="K32" s="319"/>
      <c r="L32" s="319"/>
      <c r="M32" s="319"/>
      <c r="N32" s="320"/>
    </row>
    <row r="33" spans="2:14" ht="15" customHeight="1">
      <c r="B33" s="314"/>
      <c r="C33" s="316"/>
      <c r="D33" s="316"/>
      <c r="E33" s="316"/>
      <c r="F33" s="316"/>
      <c r="G33" s="316"/>
      <c r="H33" s="316"/>
      <c r="I33" s="321"/>
      <c r="J33" s="319"/>
      <c r="K33" s="319"/>
      <c r="L33" s="319"/>
      <c r="M33" s="319"/>
      <c r="N33" s="320"/>
    </row>
    <row r="34" spans="2:14" ht="15" customHeight="1">
      <c r="B34" s="314"/>
      <c r="C34" s="316"/>
      <c r="D34" s="316"/>
      <c r="E34" s="316"/>
      <c r="F34" s="316"/>
      <c r="G34" s="316"/>
      <c r="H34" s="316"/>
      <c r="I34" s="321"/>
      <c r="J34" s="319"/>
      <c r="K34" s="319"/>
      <c r="L34" s="319"/>
      <c r="M34" s="319"/>
      <c r="N34" s="320"/>
    </row>
    <row r="35" spans="2:14" ht="15" customHeight="1">
      <c r="B35" s="314"/>
      <c r="C35" s="316"/>
      <c r="D35" s="316"/>
      <c r="E35" s="316"/>
      <c r="F35" s="316"/>
      <c r="G35" s="316"/>
      <c r="H35" s="316"/>
      <c r="I35" s="321"/>
      <c r="J35" s="319"/>
      <c r="K35" s="319"/>
      <c r="L35" s="319"/>
      <c r="M35" s="319"/>
      <c r="N35" s="320"/>
    </row>
    <row r="36" spans="2:14" ht="15" customHeight="1">
      <c r="B36" s="314"/>
      <c r="C36" s="316"/>
      <c r="D36" s="316"/>
      <c r="E36" s="316"/>
      <c r="F36" s="316"/>
      <c r="G36" s="316"/>
      <c r="H36" s="316"/>
      <c r="I36" s="321"/>
      <c r="J36" s="319"/>
      <c r="K36" s="319"/>
      <c r="L36" s="319"/>
      <c r="M36" s="319"/>
      <c r="N36" s="320"/>
    </row>
    <row r="37" spans="2:14" ht="15" customHeight="1">
      <c r="B37" s="314"/>
      <c r="C37" s="316"/>
      <c r="D37" s="316"/>
      <c r="E37" s="316"/>
      <c r="F37" s="316"/>
      <c r="G37" s="316"/>
      <c r="H37" s="316"/>
      <c r="I37" s="321"/>
      <c r="J37" s="319"/>
      <c r="K37" s="319"/>
      <c r="L37" s="319"/>
      <c r="M37" s="319"/>
      <c r="N37" s="320"/>
    </row>
    <row r="38" spans="2:14" ht="15" customHeight="1">
      <c r="B38" s="314"/>
      <c r="C38" s="316"/>
      <c r="D38" s="316"/>
      <c r="E38" s="316"/>
      <c r="F38" s="316"/>
      <c r="G38" s="316"/>
      <c r="H38" s="316"/>
      <c r="I38" s="321"/>
      <c r="J38" s="319"/>
      <c r="K38" s="319"/>
      <c r="L38" s="319"/>
      <c r="M38" s="319"/>
      <c r="N38" s="320"/>
    </row>
    <row r="39" spans="2:14" ht="15" customHeight="1">
      <c r="B39" s="314"/>
      <c r="C39" s="316"/>
      <c r="D39" s="316"/>
      <c r="E39" s="316"/>
      <c r="F39" s="316"/>
      <c r="G39" s="316"/>
      <c r="H39" s="316"/>
      <c r="I39" s="321"/>
      <c r="J39" s="319"/>
      <c r="K39" s="319"/>
      <c r="L39" s="319"/>
      <c r="M39" s="319"/>
      <c r="N39" s="320"/>
    </row>
    <row r="40" spans="2:14" ht="15" customHeight="1">
      <c r="B40" s="314"/>
      <c r="C40" s="316"/>
      <c r="D40" s="316"/>
      <c r="E40" s="316"/>
      <c r="F40" s="316"/>
      <c r="G40" s="316"/>
      <c r="H40" s="316"/>
      <c r="I40" s="321"/>
      <c r="J40" s="319"/>
      <c r="K40" s="319"/>
      <c r="L40" s="319"/>
      <c r="M40" s="319"/>
      <c r="N40" s="320"/>
    </row>
    <row r="41" spans="2:14" ht="15" customHeight="1">
      <c r="B41" s="314"/>
      <c r="C41" s="316"/>
      <c r="D41" s="316"/>
      <c r="E41" s="316"/>
      <c r="F41" s="316"/>
      <c r="G41" s="316"/>
      <c r="H41" s="316"/>
      <c r="I41" s="321"/>
      <c r="J41" s="319"/>
      <c r="K41" s="319"/>
      <c r="L41" s="319"/>
      <c r="M41" s="319"/>
      <c r="N41" s="320"/>
    </row>
    <row r="42" spans="2:14" ht="15" customHeight="1">
      <c r="B42" s="314"/>
      <c r="C42" s="316"/>
      <c r="D42" s="316"/>
      <c r="E42" s="316"/>
      <c r="F42" s="316"/>
      <c r="G42" s="316"/>
      <c r="H42" s="316"/>
      <c r="I42" s="321"/>
      <c r="J42" s="319"/>
      <c r="K42" s="319"/>
      <c r="L42" s="319"/>
      <c r="M42" s="319"/>
      <c r="N42" s="320"/>
    </row>
    <row r="43" spans="2:14" ht="15" customHeight="1">
      <c r="B43" s="314"/>
      <c r="C43" s="316"/>
      <c r="D43" s="316"/>
      <c r="E43" s="316"/>
      <c r="F43" s="316"/>
      <c r="G43" s="316"/>
      <c r="H43" s="316"/>
      <c r="I43" s="321"/>
      <c r="J43" s="319"/>
      <c r="K43" s="319"/>
      <c r="L43" s="319"/>
      <c r="M43" s="319"/>
      <c r="N43" s="320"/>
    </row>
    <row r="44" spans="2:14" ht="15" customHeight="1">
      <c r="B44" s="314"/>
      <c r="C44" s="316"/>
      <c r="D44" s="316"/>
      <c r="E44" s="316"/>
      <c r="F44" s="316"/>
      <c r="G44" s="316"/>
      <c r="H44" s="316"/>
      <c r="I44" s="321"/>
      <c r="J44" s="319"/>
      <c r="K44" s="319"/>
      <c r="L44" s="319"/>
      <c r="M44" s="319"/>
      <c r="N44" s="320"/>
    </row>
    <row r="45" spans="2:14" ht="15" customHeight="1">
      <c r="B45" s="314"/>
      <c r="C45" s="316"/>
      <c r="D45" s="316"/>
      <c r="E45" s="316"/>
      <c r="F45" s="316"/>
      <c r="G45" s="316"/>
      <c r="H45" s="316"/>
      <c r="I45" s="321"/>
      <c r="J45" s="319"/>
      <c r="K45" s="319"/>
      <c r="L45" s="319"/>
      <c r="M45" s="319"/>
      <c r="N45" s="320"/>
    </row>
    <row r="46" spans="2:14" ht="15" customHeight="1">
      <c r="B46" s="314"/>
      <c r="C46" s="316"/>
      <c r="D46" s="316"/>
      <c r="E46" s="316"/>
      <c r="F46" s="316"/>
      <c r="G46" s="316"/>
      <c r="H46" s="316"/>
      <c r="I46" s="321"/>
      <c r="J46" s="319"/>
      <c r="K46" s="319"/>
      <c r="L46" s="319"/>
      <c r="M46" s="319"/>
      <c r="N46" s="320"/>
    </row>
    <row r="47" spans="2:14" ht="15" customHeight="1">
      <c r="B47" s="314"/>
      <c r="C47" s="316"/>
      <c r="D47" s="316"/>
      <c r="E47" s="316"/>
      <c r="F47" s="316"/>
      <c r="G47" s="316"/>
      <c r="H47" s="316"/>
      <c r="I47" s="321"/>
      <c r="J47" s="319"/>
      <c r="K47" s="319"/>
      <c r="L47" s="319"/>
      <c r="M47" s="319"/>
      <c r="N47" s="320"/>
    </row>
    <row r="48" spans="2:14" ht="15" customHeight="1">
      <c r="B48" s="314"/>
      <c r="C48" s="316"/>
      <c r="D48" s="316"/>
      <c r="E48" s="316"/>
      <c r="F48" s="316"/>
      <c r="G48" s="316"/>
      <c r="H48" s="316"/>
      <c r="I48" s="321"/>
      <c r="J48" s="319"/>
      <c r="K48" s="319"/>
      <c r="L48" s="319"/>
      <c r="M48" s="319"/>
      <c r="N48" s="320"/>
    </row>
    <row r="49" spans="2:14" ht="15" customHeight="1">
      <c r="B49" s="314"/>
      <c r="C49" s="316"/>
      <c r="D49" s="316"/>
      <c r="E49" s="316"/>
      <c r="F49" s="316"/>
      <c r="G49" s="316"/>
      <c r="H49" s="316"/>
      <c r="I49" s="321"/>
      <c r="J49" s="319"/>
      <c r="K49" s="319"/>
      <c r="L49" s="319"/>
      <c r="M49" s="319"/>
      <c r="N49" s="320"/>
    </row>
    <row r="50" spans="2:14" ht="15" customHeight="1">
      <c r="B50" s="314"/>
      <c r="C50" s="316"/>
      <c r="D50" s="316"/>
      <c r="E50" s="316"/>
      <c r="F50" s="316"/>
      <c r="G50" s="316"/>
      <c r="H50" s="316"/>
      <c r="I50" s="321"/>
      <c r="J50" s="319"/>
      <c r="K50" s="319"/>
      <c r="L50" s="319"/>
      <c r="M50" s="319"/>
      <c r="N50" s="320"/>
    </row>
    <row r="51" spans="2:14" ht="15" customHeight="1">
      <c r="B51" s="314"/>
      <c r="C51" s="316"/>
      <c r="D51" s="316"/>
      <c r="E51" s="316"/>
      <c r="F51" s="316"/>
      <c r="G51" s="316"/>
      <c r="H51" s="316"/>
      <c r="I51" s="321"/>
      <c r="J51" s="319"/>
      <c r="K51" s="319"/>
      <c r="L51" s="319"/>
      <c r="M51" s="319"/>
      <c r="N51" s="320"/>
    </row>
    <row r="52" spans="2:14" ht="15" customHeight="1" thickBot="1">
      <c r="B52" s="323"/>
      <c r="C52" s="324"/>
      <c r="D52" s="324"/>
      <c r="E52" s="324"/>
      <c r="F52" s="324"/>
      <c r="G52" s="324"/>
      <c r="H52" s="324"/>
      <c r="I52" s="325"/>
      <c r="J52" s="326"/>
      <c r="K52" s="326"/>
      <c r="L52" s="326"/>
      <c r="M52" s="326"/>
      <c r="N52" s="327"/>
    </row>
    <row r="53" spans="2:14" ht="20.25" customHeight="1" thickBot="1">
      <c r="B53" s="623" t="s">
        <v>361</v>
      </c>
      <c r="C53" s="623"/>
      <c r="D53" s="623"/>
      <c r="E53" s="623"/>
      <c r="F53" s="623"/>
      <c r="G53" s="623"/>
      <c r="H53" s="623"/>
      <c r="I53" s="623"/>
      <c r="J53" s="623"/>
      <c r="K53" s="623"/>
      <c r="L53" s="623"/>
      <c r="M53" s="623"/>
      <c r="N53" s="623"/>
    </row>
    <row r="54" spans="2:14" ht="15" customHeight="1" thickBot="1">
      <c r="B54" s="328" t="s">
        <v>362</v>
      </c>
      <c r="C54" s="624" t="s">
        <v>359</v>
      </c>
      <c r="D54" s="625"/>
      <c r="E54" s="625"/>
      <c r="F54" s="625"/>
      <c r="G54" s="625"/>
      <c r="H54" s="329"/>
      <c r="I54" s="624" t="s">
        <v>354</v>
      </c>
      <c r="J54" s="625"/>
      <c r="K54" s="626"/>
      <c r="L54" s="624" t="s">
        <v>363</v>
      </c>
      <c r="M54" s="625"/>
      <c r="N54" s="627"/>
    </row>
    <row r="55" spans="2:14" ht="15" customHeight="1">
      <c r="B55" s="330"/>
      <c r="C55" s="613"/>
      <c r="D55" s="614"/>
      <c r="E55" s="614"/>
      <c r="F55" s="614"/>
      <c r="G55" s="614"/>
      <c r="H55" s="331"/>
      <c r="I55" s="615"/>
      <c r="J55" s="616"/>
      <c r="K55" s="617"/>
      <c r="L55" s="618"/>
      <c r="M55" s="619"/>
      <c r="N55" s="620"/>
    </row>
    <row r="56" spans="2:14" ht="15" customHeight="1">
      <c r="B56" s="332"/>
      <c r="C56" s="628"/>
      <c r="D56" s="629"/>
      <c r="E56" s="629"/>
      <c r="F56" s="629"/>
      <c r="G56" s="629"/>
      <c r="H56" s="333"/>
      <c r="I56" s="630"/>
      <c r="J56" s="631"/>
      <c r="K56" s="632"/>
      <c r="L56" s="633"/>
      <c r="M56" s="634"/>
      <c r="N56" s="635"/>
    </row>
    <row r="57" spans="2:14" ht="15" customHeight="1">
      <c r="B57" s="332"/>
      <c r="C57" s="628"/>
      <c r="D57" s="629"/>
      <c r="E57" s="629"/>
      <c r="F57" s="629"/>
      <c r="G57" s="629"/>
      <c r="H57" s="333"/>
      <c r="I57" s="630"/>
      <c r="J57" s="631"/>
      <c r="K57" s="632"/>
      <c r="L57" s="633"/>
      <c r="M57" s="634"/>
      <c r="N57" s="635"/>
    </row>
    <row r="58" spans="2:14" ht="15" customHeight="1">
      <c r="B58" s="332"/>
      <c r="C58" s="628"/>
      <c r="D58" s="629"/>
      <c r="E58" s="629"/>
      <c r="F58" s="629"/>
      <c r="G58" s="629"/>
      <c r="H58" s="333"/>
      <c r="I58" s="630"/>
      <c r="J58" s="631"/>
      <c r="K58" s="632"/>
      <c r="L58" s="633"/>
      <c r="M58" s="634"/>
      <c r="N58" s="635"/>
    </row>
    <row r="59" spans="2:14" ht="15" customHeight="1">
      <c r="B59" s="332"/>
      <c r="C59" s="628"/>
      <c r="D59" s="629"/>
      <c r="E59" s="629"/>
      <c r="F59" s="629"/>
      <c r="G59" s="629"/>
      <c r="H59" s="333"/>
      <c r="I59" s="630"/>
      <c r="J59" s="631"/>
      <c r="K59" s="632"/>
      <c r="L59" s="633"/>
      <c r="M59" s="634"/>
      <c r="N59" s="635"/>
    </row>
    <row r="60" spans="2:14" ht="15" customHeight="1">
      <c r="B60" s="332"/>
      <c r="C60" s="628"/>
      <c r="D60" s="629"/>
      <c r="E60" s="629"/>
      <c r="F60" s="629"/>
      <c r="G60" s="629"/>
      <c r="H60" s="333"/>
      <c r="I60" s="630"/>
      <c r="J60" s="631"/>
      <c r="K60" s="632"/>
      <c r="L60" s="633"/>
      <c r="M60" s="634"/>
      <c r="N60" s="635"/>
    </row>
    <row r="61" spans="2:14" ht="15" customHeight="1">
      <c r="B61" s="332"/>
      <c r="C61" s="628"/>
      <c r="D61" s="629"/>
      <c r="E61" s="629"/>
      <c r="F61" s="629"/>
      <c r="G61" s="629"/>
      <c r="H61" s="333"/>
      <c r="I61" s="630"/>
      <c r="J61" s="631"/>
      <c r="K61" s="632"/>
      <c r="L61" s="633"/>
      <c r="M61" s="634"/>
      <c r="N61" s="635"/>
    </row>
    <row r="62" spans="2:14" ht="15" customHeight="1">
      <c r="B62" s="332"/>
      <c r="C62" s="628"/>
      <c r="D62" s="629"/>
      <c r="E62" s="629"/>
      <c r="F62" s="629"/>
      <c r="G62" s="629"/>
      <c r="H62" s="333"/>
      <c r="I62" s="630"/>
      <c r="J62" s="631"/>
      <c r="K62" s="632"/>
      <c r="L62" s="633"/>
      <c r="M62" s="634"/>
      <c r="N62" s="635"/>
    </row>
    <row r="63" spans="2:14" ht="15" customHeight="1">
      <c r="B63" s="332"/>
      <c r="C63" s="628"/>
      <c r="D63" s="629"/>
      <c r="E63" s="629"/>
      <c r="F63" s="629"/>
      <c r="G63" s="629"/>
      <c r="H63" s="333"/>
      <c r="I63" s="630"/>
      <c r="J63" s="631"/>
      <c r="K63" s="632"/>
      <c r="L63" s="633"/>
      <c r="M63" s="634"/>
      <c r="N63" s="635"/>
    </row>
    <row r="64" spans="2:14" ht="15" customHeight="1">
      <c r="B64" s="332"/>
      <c r="C64" s="628"/>
      <c r="D64" s="629"/>
      <c r="E64" s="629"/>
      <c r="F64" s="629"/>
      <c r="G64" s="629"/>
      <c r="H64" s="333"/>
      <c r="I64" s="630"/>
      <c r="J64" s="631"/>
      <c r="K64" s="632"/>
      <c r="L64" s="633"/>
      <c r="M64" s="634"/>
      <c r="N64" s="635"/>
    </row>
    <row r="65" spans="2:14" ht="15" customHeight="1">
      <c r="B65" s="332"/>
      <c r="C65" s="628"/>
      <c r="D65" s="629"/>
      <c r="E65" s="629"/>
      <c r="F65" s="629"/>
      <c r="G65" s="629"/>
      <c r="H65" s="333"/>
      <c r="I65" s="630"/>
      <c r="J65" s="631"/>
      <c r="K65" s="632"/>
      <c r="L65" s="633"/>
      <c r="M65" s="634"/>
      <c r="N65" s="635"/>
    </row>
    <row r="66" spans="2:14" ht="15" customHeight="1">
      <c r="B66" s="332"/>
      <c r="C66" s="628"/>
      <c r="D66" s="629"/>
      <c r="E66" s="629"/>
      <c r="F66" s="629"/>
      <c r="G66" s="629"/>
      <c r="H66" s="333"/>
      <c r="I66" s="630"/>
      <c r="J66" s="631"/>
      <c r="K66" s="632"/>
      <c r="L66" s="633"/>
      <c r="M66" s="634"/>
      <c r="N66" s="635"/>
    </row>
    <row r="67" spans="2:14" ht="15" customHeight="1">
      <c r="B67" s="332"/>
      <c r="C67" s="628"/>
      <c r="D67" s="629"/>
      <c r="E67" s="629"/>
      <c r="F67" s="629"/>
      <c r="G67" s="629"/>
      <c r="H67" s="333"/>
      <c r="I67" s="630"/>
      <c r="J67" s="631"/>
      <c r="K67" s="632"/>
      <c r="L67" s="633"/>
      <c r="M67" s="634"/>
      <c r="N67" s="635"/>
    </row>
    <row r="68" spans="2:14" ht="15" customHeight="1">
      <c r="B68" s="332"/>
      <c r="C68" s="628"/>
      <c r="D68" s="629"/>
      <c r="E68" s="629"/>
      <c r="F68" s="629"/>
      <c r="G68" s="629"/>
      <c r="H68" s="333"/>
      <c r="I68" s="630"/>
      <c r="J68" s="631"/>
      <c r="K68" s="632"/>
      <c r="L68" s="633"/>
      <c r="M68" s="634"/>
      <c r="N68" s="635"/>
    </row>
    <row r="69" spans="2:14" ht="15" customHeight="1">
      <c r="B69" s="332"/>
      <c r="C69" s="628"/>
      <c r="D69" s="629"/>
      <c r="E69" s="629"/>
      <c r="F69" s="629"/>
      <c r="G69" s="629"/>
      <c r="H69" s="333"/>
      <c r="I69" s="630"/>
      <c r="J69" s="631"/>
      <c r="K69" s="632"/>
      <c r="L69" s="633"/>
      <c r="M69" s="634"/>
      <c r="N69" s="635"/>
    </row>
    <row r="70" spans="2:14" ht="15" customHeight="1">
      <c r="B70" s="332"/>
      <c r="C70" s="628"/>
      <c r="D70" s="629"/>
      <c r="E70" s="629"/>
      <c r="F70" s="629"/>
      <c r="G70" s="629"/>
      <c r="H70" s="333"/>
      <c r="I70" s="630"/>
      <c r="J70" s="631"/>
      <c r="K70" s="632"/>
      <c r="L70" s="633"/>
      <c r="M70" s="634"/>
      <c r="N70" s="635"/>
    </row>
    <row r="71" spans="2:14" ht="15" customHeight="1">
      <c r="B71" s="332"/>
      <c r="C71" s="628"/>
      <c r="D71" s="629"/>
      <c r="E71" s="629"/>
      <c r="F71" s="629"/>
      <c r="G71" s="629"/>
      <c r="H71" s="333"/>
      <c r="I71" s="630"/>
      <c r="J71" s="631"/>
      <c r="K71" s="632"/>
      <c r="L71" s="633"/>
      <c r="M71" s="634"/>
      <c r="N71" s="635"/>
    </row>
    <row r="72" spans="2:14">
      <c r="B72" s="332"/>
      <c r="C72" s="628"/>
      <c r="D72" s="629"/>
      <c r="E72" s="629"/>
      <c r="F72" s="629"/>
      <c r="G72" s="629"/>
      <c r="H72" s="333"/>
      <c r="I72" s="630"/>
      <c r="J72" s="631"/>
      <c r="K72" s="632"/>
      <c r="L72" s="633"/>
      <c r="M72" s="634"/>
      <c r="N72" s="635"/>
    </row>
    <row r="73" spans="2:14">
      <c r="B73" s="332"/>
      <c r="C73" s="628"/>
      <c r="D73" s="629"/>
      <c r="E73" s="629"/>
      <c r="F73" s="629"/>
      <c r="G73" s="629"/>
      <c r="H73" s="333"/>
      <c r="I73" s="630"/>
      <c r="J73" s="631"/>
      <c r="K73" s="632"/>
      <c r="L73" s="633"/>
      <c r="M73" s="634"/>
      <c r="N73" s="635"/>
    </row>
    <row r="74" spans="2:14">
      <c r="B74" s="332"/>
      <c r="C74" s="628"/>
      <c r="D74" s="629"/>
      <c r="E74" s="629"/>
      <c r="F74" s="629"/>
      <c r="G74" s="629"/>
      <c r="H74" s="333"/>
      <c r="I74" s="630"/>
      <c r="J74" s="631"/>
      <c r="K74" s="632"/>
      <c r="L74" s="633"/>
      <c r="M74" s="634"/>
      <c r="N74" s="635"/>
    </row>
    <row r="75" spans="2:14">
      <c r="B75" s="332"/>
      <c r="C75" s="628"/>
      <c r="D75" s="629"/>
      <c r="E75" s="629"/>
      <c r="F75" s="629"/>
      <c r="G75" s="629"/>
      <c r="H75" s="333"/>
      <c r="I75" s="630"/>
      <c r="J75" s="631"/>
      <c r="K75" s="632"/>
      <c r="L75" s="633"/>
      <c r="M75" s="634"/>
      <c r="N75" s="635"/>
    </row>
    <row r="76" spans="2:14">
      <c r="B76" s="332"/>
      <c r="C76" s="628"/>
      <c r="D76" s="629"/>
      <c r="E76" s="629"/>
      <c r="F76" s="629"/>
      <c r="G76" s="629"/>
      <c r="H76" s="333"/>
      <c r="I76" s="630"/>
      <c r="J76" s="631"/>
      <c r="K76" s="632"/>
      <c r="L76" s="633"/>
      <c r="M76" s="634"/>
      <c r="N76" s="635"/>
    </row>
    <row r="77" spans="2:14">
      <c r="B77" s="332"/>
      <c r="C77" s="628"/>
      <c r="D77" s="629"/>
      <c r="E77" s="629"/>
      <c r="F77" s="629"/>
      <c r="G77" s="629"/>
      <c r="H77" s="333"/>
      <c r="I77" s="630"/>
      <c r="J77" s="631"/>
      <c r="K77" s="632"/>
      <c r="L77" s="633"/>
      <c r="M77" s="634"/>
      <c r="N77" s="635"/>
    </row>
    <row r="78" spans="2:14">
      <c r="B78" s="332"/>
      <c r="C78" s="628"/>
      <c r="D78" s="629"/>
      <c r="E78" s="629"/>
      <c r="F78" s="629"/>
      <c r="G78" s="629"/>
      <c r="H78" s="333"/>
      <c r="I78" s="630"/>
      <c r="J78" s="631"/>
      <c r="K78" s="632"/>
      <c r="L78" s="633"/>
      <c r="M78" s="634"/>
      <c r="N78" s="635"/>
    </row>
    <row r="79" spans="2:14" ht="13.8" thickBot="1">
      <c r="B79" s="334"/>
      <c r="C79" s="636"/>
      <c r="D79" s="637"/>
      <c r="E79" s="637"/>
      <c r="F79" s="637"/>
      <c r="G79" s="637"/>
      <c r="H79" s="335"/>
      <c r="I79" s="638"/>
      <c r="J79" s="639"/>
      <c r="K79" s="640"/>
      <c r="L79" s="641"/>
      <c r="M79" s="642"/>
      <c r="N79" s="643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C18" sqref="C18"/>
    </sheetView>
  </sheetViews>
  <sheetFormatPr defaultColWidth="9.109375" defaultRowHeight="13.2"/>
  <cols>
    <col min="1" max="6" width="14.6640625" customWidth="1"/>
  </cols>
  <sheetData>
    <row r="1" spans="1:7" ht="20.399999999999999">
      <c r="A1" s="644" t="s">
        <v>376</v>
      </c>
      <c r="B1" s="644"/>
      <c r="C1" s="644"/>
      <c r="D1" s="644"/>
      <c r="E1" s="644"/>
      <c r="F1" s="644"/>
    </row>
    <row r="2" spans="1:7" ht="18" thickBot="1">
      <c r="A2" s="338"/>
      <c r="B2" s="338"/>
      <c r="C2" s="645" t="s">
        <v>388</v>
      </c>
      <c r="D2" s="645"/>
      <c r="E2" s="338"/>
      <c r="F2" s="338"/>
      <c r="G2" s="338"/>
    </row>
    <row r="3" spans="1:7" ht="18">
      <c r="A3" s="646" t="s">
        <v>377</v>
      </c>
      <c r="B3" s="647"/>
      <c r="C3" s="648"/>
      <c r="D3" s="646" t="s">
        <v>378</v>
      </c>
      <c r="E3" s="647"/>
      <c r="F3" s="648"/>
      <c r="G3" s="338"/>
    </row>
    <row r="4" spans="1:7" ht="16.2">
      <c r="A4" s="480" t="s">
        <v>389</v>
      </c>
      <c r="B4" s="649" t="s">
        <v>391</v>
      </c>
      <c r="C4" s="650"/>
      <c r="D4" s="651" t="s">
        <v>699</v>
      </c>
      <c r="E4" s="652"/>
      <c r="F4" s="653"/>
      <c r="G4" s="338"/>
    </row>
    <row r="5" spans="1:7" ht="16.8" thickBot="1">
      <c r="A5" s="481" t="s">
        <v>390</v>
      </c>
      <c r="B5" s="657" t="s">
        <v>390</v>
      </c>
      <c r="C5" s="658"/>
      <c r="D5" s="659">
        <f>0.00144/2</f>
        <v>7.2000000000000005E-4</v>
      </c>
      <c r="E5" s="660"/>
      <c r="F5" s="661"/>
      <c r="G5" s="338"/>
    </row>
    <row r="6" spans="1:7" ht="18">
      <c r="A6" s="646" t="s">
        <v>379</v>
      </c>
      <c r="B6" s="647"/>
      <c r="C6" s="647"/>
      <c r="D6" s="647"/>
      <c r="E6" s="647"/>
      <c r="F6" s="648"/>
      <c r="G6" s="338"/>
    </row>
    <row r="7" spans="1:7" ht="16.2">
      <c r="A7" s="482" t="s">
        <v>380</v>
      </c>
      <c r="B7" s="483" t="s">
        <v>392</v>
      </c>
      <c r="C7" s="484" t="s">
        <v>381</v>
      </c>
      <c r="D7" s="485" t="s">
        <v>393</v>
      </c>
      <c r="E7" s="662" t="s">
        <v>382</v>
      </c>
      <c r="F7" s="663"/>
      <c r="G7" s="338"/>
    </row>
    <row r="8" spans="1:7" ht="16.2" thickBot="1">
      <c r="A8" s="486"/>
      <c r="B8" s="487" t="s">
        <v>390</v>
      </c>
      <c r="C8" s="488"/>
      <c r="D8" s="489" t="s">
        <v>390</v>
      </c>
      <c r="E8" s="664" t="s">
        <v>394</v>
      </c>
      <c r="F8" s="661"/>
      <c r="G8" s="338"/>
    </row>
    <row r="9" spans="1:7" ht="18">
      <c r="A9" s="646" t="s">
        <v>383</v>
      </c>
      <c r="B9" s="647"/>
      <c r="C9" s="648"/>
      <c r="D9" s="646" t="s">
        <v>384</v>
      </c>
      <c r="E9" s="647"/>
      <c r="F9" s="648"/>
      <c r="G9" s="338"/>
    </row>
    <row r="10" spans="1:7" ht="16.2">
      <c r="A10" s="490" t="s">
        <v>385</v>
      </c>
      <c r="B10" s="665" t="s">
        <v>395</v>
      </c>
      <c r="C10" s="650"/>
      <c r="D10" s="666" t="s">
        <v>397</v>
      </c>
      <c r="E10" s="667"/>
      <c r="F10" s="491" t="s">
        <v>398</v>
      </c>
      <c r="G10" s="338"/>
    </row>
    <row r="11" spans="1:7" ht="16.8" thickBot="1">
      <c r="A11" s="492" t="s">
        <v>386</v>
      </c>
      <c r="B11" s="660" t="s">
        <v>396</v>
      </c>
      <c r="C11" s="661"/>
      <c r="D11" s="668"/>
      <c r="E11" s="669"/>
      <c r="F11" s="493" t="s">
        <v>390</v>
      </c>
      <c r="G11" s="338"/>
    </row>
    <row r="12" spans="1:7" ht="18">
      <c r="A12" s="646" t="s">
        <v>387</v>
      </c>
      <c r="B12" s="647"/>
      <c r="C12" s="647"/>
      <c r="D12" s="647"/>
      <c r="E12" s="647"/>
      <c r="F12" s="648"/>
      <c r="G12" s="338"/>
    </row>
    <row r="13" spans="1:7" ht="16.2" thickBot="1">
      <c r="A13" s="654" t="s">
        <v>399</v>
      </c>
      <c r="B13" s="655"/>
      <c r="C13" s="656" t="s">
        <v>700</v>
      </c>
      <c r="D13" s="656"/>
      <c r="E13" s="656"/>
      <c r="F13" s="494"/>
      <c r="G13" s="338"/>
    </row>
    <row r="14" spans="1:7" ht="18.899999999999999" customHeight="1">
      <c r="A14" s="495"/>
      <c r="B14" s="495"/>
      <c r="C14" s="495"/>
      <c r="D14" s="495"/>
      <c r="E14" s="495"/>
      <c r="F14" s="495"/>
      <c r="G14" s="338"/>
    </row>
    <row r="15" spans="1:7" ht="15.6">
      <c r="G15" s="338"/>
    </row>
    <row r="16" spans="1:7" ht="15.6">
      <c r="G16" s="338"/>
    </row>
    <row r="17" spans="7:7" ht="15.6">
      <c r="G17" s="338"/>
    </row>
    <row r="18" spans="7:7" ht="15.6">
      <c r="G18" s="338"/>
    </row>
    <row r="19" spans="7:7" ht="15.6">
      <c r="G19" s="338"/>
    </row>
    <row r="20" spans="7:7" ht="15.6">
      <c r="G20" s="338"/>
    </row>
    <row r="21" spans="7:7" ht="15.6">
      <c r="G21" s="338"/>
    </row>
    <row r="22" spans="7:7" ht="15.6">
      <c r="G22" s="338"/>
    </row>
    <row r="23" spans="7:7" ht="15.6">
      <c r="G23" s="338"/>
    </row>
    <row r="24" spans="7:7" ht="15.6">
      <c r="G24" s="338"/>
    </row>
    <row r="25" spans="7:7" ht="15.6">
      <c r="G25" s="338"/>
    </row>
    <row r="26" spans="7:7" ht="15.6">
      <c r="G26" s="338"/>
    </row>
    <row r="27" spans="7:7" ht="18.899999999999999" customHeight="1">
      <c r="G27" s="338"/>
    </row>
    <row r="28" spans="7:7" ht="15.6">
      <c r="G28" s="338"/>
    </row>
    <row r="29" spans="7:7" ht="15.6">
      <c r="G29" s="338"/>
    </row>
    <row r="30" spans="7:7" ht="15.6">
      <c r="G30" s="338"/>
    </row>
    <row r="31" spans="7:7" ht="15.6">
      <c r="G31" s="338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activeCell="I19" sqref="I19"/>
    </sheetView>
  </sheetViews>
  <sheetFormatPr defaultColWidth="9.109375" defaultRowHeight="13.2"/>
  <cols>
    <col min="1" max="6" width="16.6640625" customWidth="1"/>
  </cols>
  <sheetData>
    <row r="1" spans="1:6" ht="18.899999999999999" customHeight="1">
      <c r="A1" s="496"/>
      <c r="B1" s="497"/>
      <c r="C1" s="497"/>
      <c r="D1" s="497"/>
      <c r="E1" s="497"/>
      <c r="F1" s="498"/>
    </row>
    <row r="2" spans="1:6" ht="26.1" customHeight="1">
      <c r="A2" s="499" t="s">
        <v>252</v>
      </c>
      <c r="B2" s="500"/>
      <c r="C2" s="500"/>
      <c r="D2" s="500"/>
      <c r="E2" s="500"/>
      <c r="F2" s="501"/>
    </row>
    <row r="3" spans="1:6" ht="18.899999999999999" customHeight="1">
      <c r="A3" s="502" t="s">
        <v>403</v>
      </c>
      <c r="B3" s="500"/>
      <c r="C3" s="500"/>
      <c r="D3" s="500"/>
      <c r="E3" s="500"/>
      <c r="F3" s="501"/>
    </row>
    <row r="4" spans="1:6" ht="18.899999999999999" customHeight="1">
      <c r="A4" s="503"/>
      <c r="B4" s="504"/>
      <c r="C4" s="504"/>
      <c r="D4" s="504"/>
      <c r="E4" s="504"/>
      <c r="F4" s="505"/>
    </row>
    <row r="5" spans="1:6" ht="18.899999999999999" customHeight="1">
      <c r="A5" s="503"/>
      <c r="B5" s="504"/>
      <c r="C5" s="504"/>
      <c r="D5" s="504"/>
      <c r="E5" s="504"/>
      <c r="F5" s="505"/>
    </row>
    <row r="6" spans="1:6" ht="18.899999999999999" customHeight="1">
      <c r="A6" s="506" t="s">
        <v>404</v>
      </c>
      <c r="B6" s="670" t="str">
        <f>'Performance Data Sheet'!C17</f>
        <v>M503TCQL11F-C</v>
      </c>
      <c r="C6" s="671"/>
      <c r="D6" s="672"/>
      <c r="E6" s="506" t="s">
        <v>405</v>
      </c>
      <c r="F6" s="507">
        <v>300</v>
      </c>
    </row>
    <row r="7" spans="1:6" ht="18.899999999999999" customHeight="1">
      <c r="A7" s="506" t="s">
        <v>406</v>
      </c>
      <c r="B7" s="507" t="str">
        <f>'Performance Data Sheet'!F14</f>
        <v>TEAAC</v>
      </c>
      <c r="C7" s="506" t="s">
        <v>407</v>
      </c>
      <c r="D7" s="507" t="s">
        <v>429</v>
      </c>
      <c r="E7" s="506" t="s">
        <v>408</v>
      </c>
      <c r="F7" s="507" t="str">
        <f>'Performance Data Sheet'!C14</f>
        <v>450-1600</v>
      </c>
    </row>
    <row r="8" spans="1:6" ht="18.899999999999999" customHeight="1">
      <c r="A8" s="506" t="s">
        <v>409</v>
      </c>
      <c r="B8" s="507">
        <v>2</v>
      </c>
      <c r="C8" s="506" t="s">
        <v>410</v>
      </c>
      <c r="D8" s="507" t="s">
        <v>411</v>
      </c>
      <c r="E8" s="506" t="s">
        <v>412</v>
      </c>
      <c r="F8" s="507" t="str">
        <f>'Performance Data Sheet'!M15</f>
        <v>F</v>
      </c>
    </row>
    <row r="9" spans="1:6" ht="18.899999999999999" customHeight="1">
      <c r="A9" s="506" t="s">
        <v>413</v>
      </c>
      <c r="B9" s="507">
        <v>2500</v>
      </c>
      <c r="C9" s="506" t="s">
        <v>414</v>
      </c>
      <c r="D9" s="507" t="s">
        <v>430</v>
      </c>
      <c r="E9" s="506" t="s">
        <v>2</v>
      </c>
      <c r="F9" s="508">
        <f>'Performance Data Sheet'!K45</f>
        <v>41934</v>
      </c>
    </row>
    <row r="10" spans="1:6" ht="18.899999999999999" customHeight="1">
      <c r="A10" s="506" t="s">
        <v>415</v>
      </c>
      <c r="B10" s="507">
        <v>3581</v>
      </c>
      <c r="C10" s="506" t="s">
        <v>416</v>
      </c>
      <c r="D10" s="507" t="s">
        <v>417</v>
      </c>
      <c r="E10" s="506" t="s">
        <v>1</v>
      </c>
      <c r="F10" s="507" t="s">
        <v>364</v>
      </c>
    </row>
    <row r="11" spans="1:6" ht="18.899999999999999" customHeight="1">
      <c r="A11" s="503"/>
      <c r="B11" s="504"/>
      <c r="C11" s="504"/>
      <c r="D11" s="504"/>
      <c r="E11" s="504"/>
      <c r="F11" s="505"/>
    </row>
    <row r="12" spans="1:6" ht="18.899999999999999" customHeight="1">
      <c r="A12" s="503"/>
      <c r="B12" s="509" t="s">
        <v>418</v>
      </c>
      <c r="C12" s="510" t="s">
        <v>431</v>
      </c>
      <c r="D12" s="509" t="s">
        <v>419</v>
      </c>
      <c r="E12" s="510" t="s">
        <v>417</v>
      </c>
      <c r="F12" s="505"/>
    </row>
    <row r="13" spans="1:6" ht="18.899999999999999" customHeight="1">
      <c r="A13" s="503"/>
      <c r="B13" s="509" t="s">
        <v>420</v>
      </c>
      <c r="C13" s="511">
        <v>1</v>
      </c>
      <c r="D13" s="509" t="s">
        <v>421</v>
      </c>
      <c r="E13" s="510" t="s">
        <v>417</v>
      </c>
      <c r="F13" s="505"/>
    </row>
    <row r="14" spans="1:6" ht="18.899999999999999" customHeight="1">
      <c r="A14" s="503"/>
      <c r="B14" s="509" t="s">
        <v>422</v>
      </c>
      <c r="C14" s="511">
        <v>2.5</v>
      </c>
      <c r="D14" s="509" t="s">
        <v>423</v>
      </c>
      <c r="E14" s="510" t="s">
        <v>417</v>
      </c>
      <c r="F14" s="505"/>
    </row>
    <row r="15" spans="1:6" ht="18.899999999999999" customHeight="1">
      <c r="A15" s="503"/>
      <c r="B15" s="509" t="s">
        <v>424</v>
      </c>
      <c r="C15" s="510" t="s">
        <v>698</v>
      </c>
      <c r="D15" s="504"/>
      <c r="E15" s="504"/>
      <c r="F15" s="505"/>
    </row>
    <row r="16" spans="1:6" ht="18.899999999999999" customHeight="1">
      <c r="A16" s="503"/>
      <c r="B16" s="504"/>
      <c r="C16" s="504"/>
      <c r="D16" s="504"/>
      <c r="E16" s="504"/>
      <c r="F16" s="505"/>
    </row>
    <row r="17" spans="1:6" ht="18.899999999999999" customHeight="1">
      <c r="A17" s="503"/>
      <c r="B17" s="504"/>
      <c r="C17" s="504"/>
      <c r="D17" s="504"/>
      <c r="E17" s="504"/>
      <c r="F17" s="505"/>
    </row>
    <row r="18" spans="1:6" ht="18.899999999999999" customHeight="1">
      <c r="A18" s="503"/>
      <c r="B18" s="504"/>
      <c r="C18" s="504"/>
      <c r="D18" s="504"/>
      <c r="E18" s="504"/>
      <c r="F18" s="505"/>
    </row>
    <row r="19" spans="1:6" ht="18.899999999999999" customHeight="1">
      <c r="A19" s="503"/>
      <c r="B19" s="504"/>
      <c r="C19" s="504"/>
      <c r="D19" s="504"/>
      <c r="E19" s="504"/>
      <c r="F19" s="505"/>
    </row>
    <row r="20" spans="1:6" ht="18.899999999999999" customHeight="1">
      <c r="A20" s="503"/>
      <c r="B20" s="504"/>
      <c r="C20" s="504"/>
      <c r="D20" s="504"/>
      <c r="E20" s="504"/>
      <c r="F20" s="505"/>
    </row>
    <row r="21" spans="1:6" ht="18.899999999999999" customHeight="1">
      <c r="A21" s="503"/>
      <c r="B21" s="504"/>
      <c r="C21" s="504"/>
      <c r="D21" s="504"/>
      <c r="E21" s="504"/>
      <c r="F21" s="505"/>
    </row>
    <row r="22" spans="1:6" ht="18.899999999999999" customHeight="1">
      <c r="A22" s="503"/>
      <c r="B22" s="504"/>
      <c r="C22" s="504"/>
      <c r="D22" s="504"/>
      <c r="E22" s="504"/>
      <c r="F22" s="505"/>
    </row>
    <row r="23" spans="1:6" ht="18.899999999999999" customHeight="1">
      <c r="A23" s="503"/>
      <c r="B23" s="504"/>
      <c r="C23" s="504"/>
      <c r="D23" s="504"/>
      <c r="E23" s="504"/>
      <c r="F23" s="505"/>
    </row>
    <row r="24" spans="1:6" ht="18.899999999999999" customHeight="1">
      <c r="A24" s="503"/>
      <c r="B24" s="504"/>
      <c r="C24" s="504"/>
      <c r="D24" s="504"/>
      <c r="E24" s="504"/>
      <c r="F24" s="505"/>
    </row>
    <row r="25" spans="1:6" ht="18.899999999999999" customHeight="1">
      <c r="A25" s="503"/>
      <c r="B25" s="504"/>
      <c r="C25" s="504"/>
      <c r="D25" s="504"/>
      <c r="E25" s="504"/>
      <c r="F25" s="505"/>
    </row>
    <row r="26" spans="1:6" ht="18.899999999999999" customHeight="1">
      <c r="A26" s="503"/>
      <c r="B26" s="504"/>
      <c r="C26" s="504"/>
      <c r="D26" s="504"/>
      <c r="E26" s="504"/>
      <c r="F26" s="505"/>
    </row>
    <row r="27" spans="1:6" ht="18.899999999999999" customHeight="1">
      <c r="A27" s="503"/>
      <c r="B27" s="504"/>
      <c r="C27" s="504"/>
      <c r="D27" s="504"/>
      <c r="E27" s="504"/>
      <c r="F27" s="505"/>
    </row>
    <row r="28" spans="1:6" ht="18.899999999999999" customHeight="1">
      <c r="A28" s="503"/>
      <c r="B28" s="504"/>
      <c r="C28" s="504"/>
      <c r="D28" s="504"/>
      <c r="E28" s="504"/>
      <c r="F28" s="505"/>
    </row>
    <row r="29" spans="1:6" ht="18.899999999999999" customHeight="1">
      <c r="A29" s="503"/>
      <c r="B29" s="504"/>
      <c r="C29" s="504"/>
      <c r="D29" s="504"/>
      <c r="E29" s="504"/>
      <c r="F29" s="505"/>
    </row>
    <row r="30" spans="1:6" ht="18.899999999999999" customHeight="1">
      <c r="A30" s="503"/>
      <c r="B30" s="504"/>
      <c r="C30" s="504"/>
      <c r="D30" s="504"/>
      <c r="E30" s="504"/>
      <c r="F30" s="505"/>
    </row>
    <row r="31" spans="1:6" ht="18.899999999999999" customHeight="1">
      <c r="A31" s="503"/>
      <c r="B31" s="504"/>
      <c r="C31" s="504"/>
      <c r="D31" s="504"/>
      <c r="E31" s="504"/>
      <c r="F31" s="505"/>
    </row>
    <row r="32" spans="1:6" ht="18.899999999999999" customHeight="1">
      <c r="A32" s="503"/>
      <c r="B32" s="504"/>
      <c r="C32" s="504"/>
      <c r="D32" s="504"/>
      <c r="E32" s="504"/>
      <c r="F32" s="505"/>
    </row>
    <row r="33" spans="1:6" ht="18.899999999999999" customHeight="1">
      <c r="A33" s="503"/>
      <c r="B33" s="504"/>
      <c r="C33" s="504"/>
      <c r="D33" s="504"/>
      <c r="E33" s="504"/>
      <c r="F33" s="505"/>
    </row>
    <row r="34" spans="1:6" ht="18.899999999999999" customHeight="1">
      <c r="A34" s="503"/>
      <c r="B34" s="504"/>
      <c r="C34" s="504"/>
      <c r="D34" s="504"/>
      <c r="E34" s="504"/>
      <c r="F34" s="505"/>
    </row>
    <row r="35" spans="1:6" ht="18.899999999999999" customHeight="1">
      <c r="A35" s="503"/>
      <c r="B35" s="504"/>
      <c r="C35" s="504"/>
      <c r="D35" s="504"/>
      <c r="E35" s="504"/>
      <c r="F35" s="505"/>
    </row>
    <row r="36" spans="1:6" ht="18.899999999999999" customHeight="1">
      <c r="A36" s="503"/>
      <c r="B36" s="504"/>
      <c r="C36" s="504"/>
      <c r="D36" s="504"/>
      <c r="E36" s="504"/>
      <c r="F36" s="505"/>
    </row>
    <row r="37" spans="1:6" ht="18.899999999999999" customHeight="1">
      <c r="A37" s="503"/>
      <c r="B37" s="504"/>
      <c r="C37" s="504"/>
      <c r="D37" s="504"/>
      <c r="E37" s="504"/>
      <c r="F37" s="505"/>
    </row>
    <row r="38" spans="1:6" ht="18.899999999999999" customHeight="1">
      <c r="A38" s="503"/>
      <c r="B38" s="504"/>
      <c r="C38" s="504"/>
      <c r="D38" s="504"/>
      <c r="E38" s="504"/>
      <c r="F38" s="505"/>
    </row>
    <row r="39" spans="1:6" ht="18.899999999999999" customHeight="1">
      <c r="A39" s="512" t="s">
        <v>425</v>
      </c>
      <c r="B39" s="513"/>
      <c r="C39" s="513"/>
      <c r="D39" s="504"/>
      <c r="E39" s="509" t="s">
        <v>426</v>
      </c>
      <c r="F39" s="514" t="s">
        <v>364</v>
      </c>
    </row>
    <row r="40" spans="1:6" ht="18.899999999999999" customHeight="1">
      <c r="A40" s="503"/>
      <c r="B40" s="513"/>
      <c r="C40" s="513"/>
      <c r="D40" s="504"/>
      <c r="E40" s="504"/>
      <c r="F40" s="505"/>
    </row>
    <row r="41" spans="1:6" ht="18.899999999999999" customHeight="1">
      <c r="A41" s="503"/>
      <c r="B41" s="513"/>
      <c r="C41" s="513"/>
      <c r="D41" s="504"/>
      <c r="E41" s="504"/>
      <c r="F41" s="505"/>
    </row>
    <row r="42" spans="1:6" ht="18.899999999999999" customHeight="1">
      <c r="A42" s="503"/>
      <c r="B42" s="504"/>
      <c r="C42" s="504"/>
      <c r="D42" s="504"/>
      <c r="E42" s="504"/>
      <c r="F42" s="505"/>
    </row>
    <row r="43" spans="1:6" ht="18.899999999999999" customHeight="1">
      <c r="A43" s="515"/>
      <c r="B43" s="513"/>
      <c r="C43" s="516" t="s">
        <v>427</v>
      </c>
      <c r="D43" s="517" t="str">
        <f>'Performance Data Sheet'!K43</f>
        <v>Mario L</v>
      </c>
      <c r="E43" s="516" t="s">
        <v>428</v>
      </c>
      <c r="F43" s="5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36">
        <v>100</v>
      </c>
      <c r="B54" s="339">
        <v>0</v>
      </c>
      <c r="C54" s="339">
        <v>0.15356402099132538</v>
      </c>
    </row>
    <row r="55" spans="1:3" ht="15" customHeight="1">
      <c r="A55" s="336">
        <v>99.799999967217445</v>
      </c>
      <c r="B55" s="339">
        <v>127.76008796746615</v>
      </c>
      <c r="C55" s="339">
        <v>159.43498229980469</v>
      </c>
    </row>
    <row r="56" spans="1:3" ht="15" customHeight="1">
      <c r="A56" s="336">
        <v>98.999999836087227</v>
      </c>
      <c r="B56" s="339">
        <v>250</v>
      </c>
      <c r="C56" s="339">
        <v>484.3831787109375</v>
      </c>
    </row>
    <row r="57" spans="1:3">
      <c r="A57" s="336">
        <v>93.789473548531532</v>
      </c>
      <c r="B57" s="339">
        <v>152.77502804584049</v>
      </c>
      <c r="C57" s="339">
        <v>568.7569580078125</v>
      </c>
    </row>
    <row r="58" spans="1:3">
      <c r="A58" s="336">
        <v>88.578946888446808</v>
      </c>
      <c r="B58" s="339">
        <v>126.34990682798316</v>
      </c>
      <c r="C58" s="339">
        <v>591.320068359375</v>
      </c>
    </row>
    <row r="59" spans="1:3">
      <c r="A59" s="336">
        <v>83.368420600891113</v>
      </c>
      <c r="B59" s="339">
        <v>115.02740340499436</v>
      </c>
      <c r="C59" s="339">
        <v>600.862548828125</v>
      </c>
    </row>
    <row r="60" spans="1:3">
      <c r="A60" s="336">
        <v>72.947368025779724</v>
      </c>
      <c r="B60" s="339">
        <v>108.21832215453816</v>
      </c>
      <c r="C60" s="339">
        <v>610.771240234375</v>
      </c>
    </row>
    <row r="61" spans="1:3">
      <c r="A61" s="336">
        <v>62.526315450668335</v>
      </c>
      <c r="B61" s="339">
        <v>104.92704876048124</v>
      </c>
      <c r="C61" s="339">
        <v>617.7333984375</v>
      </c>
    </row>
    <row r="62" spans="1:3">
      <c r="A62" s="336">
        <v>52.105262875556946</v>
      </c>
      <c r="B62" s="339">
        <v>102.91224980374456</v>
      </c>
      <c r="C62" s="339">
        <v>623.669189453125</v>
      </c>
    </row>
    <row r="63" spans="1:3">
      <c r="A63" s="336">
        <v>41.684210300445557</v>
      </c>
      <c r="B63" s="339">
        <v>101.64367608278535</v>
      </c>
      <c r="C63" s="339">
        <v>628.77191162109375</v>
      </c>
    </row>
    <row r="64" spans="1:3">
      <c r="A64" s="336">
        <v>31.263160705566406</v>
      </c>
      <c r="B64" s="339">
        <v>100.86511215433664</v>
      </c>
      <c r="C64" s="339">
        <v>633.1126708984375</v>
      </c>
    </row>
    <row r="65" spans="1:3">
      <c r="A65" s="336">
        <v>20.842105150222778</v>
      </c>
      <c r="B65" s="339">
        <v>100.4038291363442</v>
      </c>
      <c r="C65" s="339">
        <v>636.79827880859375</v>
      </c>
    </row>
    <row r="66" spans="1:3">
      <c r="A66" s="336">
        <v>10.421055555343628</v>
      </c>
      <c r="B66" s="339">
        <v>100.14142195411701</v>
      </c>
      <c r="C66" s="339">
        <v>639.94732666015625</v>
      </c>
    </row>
    <row r="67" spans="1:3">
      <c r="A67" s="337">
        <v>0</v>
      </c>
      <c r="B67" s="339">
        <v>100</v>
      </c>
      <c r="C67" s="339">
        <v>642.6666259765625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>
      <selection activeCell="K16" sqref="K16"/>
    </sheetView>
  </sheetViews>
  <sheetFormatPr defaultColWidth="9.109375" defaultRowHeight="13.2"/>
  <cols>
    <col min="1" max="1" width="19.6640625" style="347" customWidth="1"/>
    <col min="2" max="7" width="10.6640625" style="347" customWidth="1"/>
    <col min="8" max="16384" width="9.109375" style="347"/>
  </cols>
  <sheetData>
    <row r="1" spans="1:12" ht="21" customHeight="1">
      <c r="A1" s="523" t="s">
        <v>436</v>
      </c>
      <c r="B1" s="674" t="s">
        <v>475</v>
      </c>
      <c r="C1" s="674"/>
      <c r="D1" s="674"/>
      <c r="E1" s="674"/>
      <c r="F1" s="674"/>
      <c r="G1" s="674"/>
    </row>
    <row r="2" spans="1:12" ht="15" customHeight="1">
      <c r="A2" s="522"/>
      <c r="B2" s="522"/>
      <c r="C2" s="522"/>
      <c r="D2" s="522"/>
      <c r="E2" s="522"/>
      <c r="F2" s="522"/>
      <c r="G2" s="522"/>
    </row>
    <row r="3" spans="1:12" ht="20.399999999999999">
      <c r="A3" s="524" t="s">
        <v>437</v>
      </c>
      <c r="B3" s="522"/>
      <c r="C3" s="522"/>
      <c r="D3" s="522"/>
      <c r="E3" s="522"/>
      <c r="F3" s="522"/>
      <c r="G3" s="522"/>
    </row>
    <row r="4" spans="1:12" ht="12" customHeight="1">
      <c r="A4" s="525"/>
      <c r="B4" s="525"/>
      <c r="C4" s="525"/>
      <c r="D4" s="525" t="s">
        <v>704</v>
      </c>
      <c r="E4" s="525"/>
      <c r="F4" s="525"/>
      <c r="G4" s="525"/>
      <c r="H4" s="361"/>
      <c r="I4" s="361"/>
      <c r="J4" s="361"/>
      <c r="K4" s="361"/>
      <c r="L4" s="361"/>
    </row>
    <row r="5" spans="1:12" ht="15.6" customHeight="1">
      <c r="A5" s="526" t="s">
        <v>5</v>
      </c>
      <c r="B5" s="526" t="s">
        <v>438</v>
      </c>
      <c r="C5" s="526" t="s">
        <v>439</v>
      </c>
      <c r="D5" s="526" t="s">
        <v>440</v>
      </c>
      <c r="E5" s="526" t="s">
        <v>441</v>
      </c>
      <c r="F5" s="526" t="s">
        <v>442</v>
      </c>
      <c r="G5" s="526" t="s">
        <v>443</v>
      </c>
      <c r="H5" s="361"/>
      <c r="I5" s="361"/>
      <c r="J5" s="361"/>
      <c r="K5" s="361"/>
      <c r="L5" s="361"/>
    </row>
    <row r="6" spans="1:12" ht="15.6" customHeight="1">
      <c r="A6" s="527" t="s">
        <v>444</v>
      </c>
      <c r="B6" s="527" t="s">
        <v>165</v>
      </c>
      <c r="C6" s="527" t="s">
        <v>165</v>
      </c>
      <c r="D6" s="527" t="s">
        <v>445</v>
      </c>
      <c r="E6" s="527" t="s">
        <v>135</v>
      </c>
      <c r="F6" s="527" t="s">
        <v>446</v>
      </c>
      <c r="G6" s="527" t="s">
        <v>446</v>
      </c>
      <c r="H6" s="361"/>
      <c r="I6" s="361"/>
      <c r="J6" s="361"/>
      <c r="K6" s="361"/>
      <c r="L6" s="361"/>
    </row>
    <row r="7" spans="1:12" ht="15.9" customHeight="1">
      <c r="A7" s="528" t="s">
        <v>476</v>
      </c>
      <c r="B7" s="528" t="s">
        <v>489</v>
      </c>
      <c r="C7" s="528" t="s">
        <v>502</v>
      </c>
      <c r="D7" s="528" t="s">
        <v>705</v>
      </c>
      <c r="E7" s="528" t="s">
        <v>515</v>
      </c>
      <c r="F7" s="528" t="s">
        <v>706</v>
      </c>
      <c r="G7" s="528" t="s">
        <v>707</v>
      </c>
      <c r="H7" s="361"/>
      <c r="I7" s="361"/>
      <c r="J7" s="361"/>
      <c r="K7" s="361"/>
      <c r="L7" s="361"/>
    </row>
    <row r="8" spans="1:12" ht="15.9" customHeight="1">
      <c r="A8" s="528" t="s">
        <v>477</v>
      </c>
      <c r="B8" s="528" t="s">
        <v>490</v>
      </c>
      <c r="C8" s="528" t="s">
        <v>503</v>
      </c>
      <c r="D8" s="528" t="s">
        <v>708</v>
      </c>
      <c r="E8" s="528" t="s">
        <v>516</v>
      </c>
      <c r="F8" s="528" t="s">
        <v>709</v>
      </c>
      <c r="G8" s="528" t="s">
        <v>710</v>
      </c>
      <c r="H8" s="361"/>
      <c r="I8" s="361"/>
      <c r="J8" s="361"/>
      <c r="K8" s="361"/>
      <c r="L8" s="361"/>
    </row>
    <row r="9" spans="1:12" ht="15.9" customHeight="1">
      <c r="A9" s="528" t="s">
        <v>478</v>
      </c>
      <c r="B9" s="528" t="s">
        <v>491</v>
      </c>
      <c r="C9" s="528" t="s">
        <v>504</v>
      </c>
      <c r="D9" s="528" t="s">
        <v>711</v>
      </c>
      <c r="E9" s="528" t="s">
        <v>517</v>
      </c>
      <c r="F9" s="528" t="s">
        <v>712</v>
      </c>
      <c r="G9" s="528" t="s">
        <v>713</v>
      </c>
      <c r="H9" s="361"/>
      <c r="I9" s="361"/>
      <c r="J9" s="361"/>
      <c r="K9" s="361"/>
      <c r="L9" s="361"/>
    </row>
    <row r="10" spans="1:12" ht="15.9" customHeight="1">
      <c r="A10" s="528" t="s">
        <v>479</v>
      </c>
      <c r="B10" s="528" t="s">
        <v>492</v>
      </c>
      <c r="C10" s="528" t="s">
        <v>505</v>
      </c>
      <c r="D10" s="528" t="s">
        <v>711</v>
      </c>
      <c r="E10" s="528" t="s">
        <v>518</v>
      </c>
      <c r="F10" s="528" t="s">
        <v>714</v>
      </c>
      <c r="G10" s="528" t="s">
        <v>715</v>
      </c>
      <c r="H10" s="361"/>
      <c r="I10" s="361"/>
      <c r="J10" s="361"/>
      <c r="K10" s="361"/>
      <c r="L10" s="361"/>
    </row>
    <row r="11" spans="1:12" ht="15.9" customHeight="1">
      <c r="A11" s="528" t="s">
        <v>480</v>
      </c>
      <c r="B11" s="528" t="s">
        <v>493</v>
      </c>
      <c r="C11" s="528" t="s">
        <v>506</v>
      </c>
      <c r="D11" s="528" t="s">
        <v>716</v>
      </c>
      <c r="E11" s="528" t="s">
        <v>519</v>
      </c>
      <c r="F11" s="528" t="s">
        <v>717</v>
      </c>
      <c r="G11" s="528" t="s">
        <v>718</v>
      </c>
      <c r="H11" s="361"/>
      <c r="I11" s="361"/>
      <c r="J11" s="361"/>
      <c r="K11" s="361"/>
      <c r="L11" s="361"/>
    </row>
    <row r="12" spans="1:12" ht="15.9" customHeight="1">
      <c r="A12" s="528" t="s">
        <v>481</v>
      </c>
      <c r="B12" s="528" t="s">
        <v>494</v>
      </c>
      <c r="C12" s="528" t="s">
        <v>507</v>
      </c>
      <c r="D12" s="528" t="s">
        <v>719</v>
      </c>
      <c r="E12" s="528" t="s">
        <v>520</v>
      </c>
      <c r="F12" s="528" t="s">
        <v>720</v>
      </c>
      <c r="G12" s="528" t="s">
        <v>721</v>
      </c>
      <c r="H12" s="361"/>
      <c r="I12" s="361"/>
      <c r="J12" s="361"/>
      <c r="K12" s="361"/>
      <c r="L12" s="361"/>
    </row>
    <row r="13" spans="1:12" ht="15.9" customHeight="1">
      <c r="A13" s="528" t="s">
        <v>482</v>
      </c>
      <c r="B13" s="528" t="s">
        <v>495</v>
      </c>
      <c r="C13" s="528" t="s">
        <v>508</v>
      </c>
      <c r="D13" s="528" t="s">
        <v>722</v>
      </c>
      <c r="E13" s="528" t="s">
        <v>521</v>
      </c>
      <c r="F13" s="528" t="s">
        <v>723</v>
      </c>
      <c r="G13" s="528" t="s">
        <v>724</v>
      </c>
      <c r="H13" s="361"/>
      <c r="I13" s="361"/>
      <c r="J13" s="361"/>
      <c r="K13" s="361"/>
      <c r="L13" s="361"/>
    </row>
    <row r="14" spans="1:12" ht="15.9" customHeight="1">
      <c r="A14" s="528" t="s">
        <v>483</v>
      </c>
      <c r="B14" s="528" t="s">
        <v>496</v>
      </c>
      <c r="C14" s="528" t="s">
        <v>509</v>
      </c>
      <c r="D14" s="528" t="s">
        <v>725</v>
      </c>
      <c r="E14" s="528" t="s">
        <v>522</v>
      </c>
      <c r="F14" s="528" t="s">
        <v>726</v>
      </c>
      <c r="G14" s="528" t="s">
        <v>727</v>
      </c>
      <c r="H14" s="361"/>
      <c r="I14" s="361"/>
      <c r="J14" s="361"/>
      <c r="K14" s="361"/>
      <c r="L14" s="361"/>
    </row>
    <row r="15" spans="1:12" ht="15.9" customHeight="1">
      <c r="A15" s="528" t="s">
        <v>484</v>
      </c>
      <c r="B15" s="528" t="s">
        <v>497</v>
      </c>
      <c r="C15" s="528" t="s">
        <v>510</v>
      </c>
      <c r="D15" s="528" t="s">
        <v>728</v>
      </c>
      <c r="E15" s="528" t="s">
        <v>523</v>
      </c>
      <c r="F15" s="528" t="s">
        <v>729</v>
      </c>
      <c r="G15" s="528" t="s">
        <v>730</v>
      </c>
      <c r="H15" s="361"/>
      <c r="I15" s="361"/>
      <c r="J15" s="361"/>
      <c r="K15" s="361"/>
      <c r="L15" s="361"/>
    </row>
    <row r="16" spans="1:12" ht="15.9" customHeight="1">
      <c r="A16" s="528" t="s">
        <v>485</v>
      </c>
      <c r="B16" s="528" t="s">
        <v>498</v>
      </c>
      <c r="C16" s="528" t="s">
        <v>511</v>
      </c>
      <c r="D16" s="528" t="s">
        <v>731</v>
      </c>
      <c r="E16" s="528" t="s">
        <v>524</v>
      </c>
      <c r="F16" s="528" t="s">
        <v>732</v>
      </c>
      <c r="G16" s="528" t="s">
        <v>733</v>
      </c>
      <c r="H16" s="361"/>
      <c r="I16" s="361"/>
      <c r="J16" s="361"/>
      <c r="K16" s="361"/>
      <c r="L16" s="361"/>
    </row>
    <row r="17" spans="1:12" ht="15.9" customHeight="1">
      <c r="A17" s="528" t="s">
        <v>486</v>
      </c>
      <c r="B17" s="528" t="s">
        <v>499</v>
      </c>
      <c r="C17" s="528" t="s">
        <v>512</v>
      </c>
      <c r="D17" s="528" t="s">
        <v>734</v>
      </c>
      <c r="E17" s="528" t="s">
        <v>525</v>
      </c>
      <c r="F17" s="528" t="s">
        <v>735</v>
      </c>
      <c r="G17" s="528" t="s">
        <v>736</v>
      </c>
      <c r="H17" s="361"/>
      <c r="I17" s="361"/>
      <c r="J17" s="361"/>
      <c r="K17" s="361"/>
      <c r="L17" s="361"/>
    </row>
    <row r="18" spans="1:12" ht="15.9" customHeight="1">
      <c r="A18" s="528" t="s">
        <v>487</v>
      </c>
      <c r="B18" s="528" t="s">
        <v>500</v>
      </c>
      <c r="C18" s="528" t="s">
        <v>513</v>
      </c>
      <c r="D18" s="528" t="s">
        <v>737</v>
      </c>
      <c r="E18" s="528" t="s">
        <v>526</v>
      </c>
      <c r="F18" s="528" t="s">
        <v>738</v>
      </c>
      <c r="G18" s="528" t="s">
        <v>739</v>
      </c>
      <c r="H18" s="361"/>
      <c r="I18" s="361"/>
      <c r="J18" s="361"/>
      <c r="K18" s="361"/>
      <c r="L18" s="361"/>
    </row>
    <row r="19" spans="1:12" ht="15.9" customHeight="1">
      <c r="A19" s="528" t="s">
        <v>488</v>
      </c>
      <c r="B19" s="528" t="s">
        <v>501</v>
      </c>
      <c r="C19" s="528" t="s">
        <v>514</v>
      </c>
      <c r="D19" s="528" t="s">
        <v>740</v>
      </c>
      <c r="E19" s="528" t="s">
        <v>527</v>
      </c>
      <c r="F19" s="528" t="s">
        <v>741</v>
      </c>
      <c r="G19" s="528" t="s">
        <v>742</v>
      </c>
      <c r="H19" s="361"/>
      <c r="I19" s="361"/>
      <c r="J19" s="361"/>
      <c r="K19" s="361"/>
      <c r="L19" s="361"/>
    </row>
    <row r="20" spans="1:12" ht="15.6">
      <c r="A20" s="525"/>
      <c r="B20" s="525"/>
      <c r="C20" s="525"/>
      <c r="D20" s="525"/>
      <c r="E20" s="525"/>
      <c r="F20" s="525"/>
      <c r="G20" s="525"/>
      <c r="H20" s="361"/>
      <c r="I20" s="361"/>
      <c r="J20" s="361"/>
      <c r="K20" s="361"/>
      <c r="L20" s="361"/>
    </row>
    <row r="21" spans="1:12" ht="16.2">
      <c r="A21" s="525"/>
      <c r="B21" s="525"/>
      <c r="C21" s="525"/>
      <c r="D21" s="675" t="s">
        <v>743</v>
      </c>
      <c r="E21" s="676"/>
      <c r="F21" s="676"/>
      <c r="G21" s="677"/>
      <c r="H21" s="361"/>
      <c r="I21" s="361"/>
      <c r="J21" s="361"/>
      <c r="K21" s="361"/>
      <c r="L21" s="361"/>
    </row>
    <row r="22" spans="1:12" ht="17.25" customHeight="1">
      <c r="A22" s="525"/>
      <c r="B22" s="678" t="s">
        <v>447</v>
      </c>
      <c r="C22" s="678"/>
      <c r="D22" s="678" t="s">
        <v>448</v>
      </c>
      <c r="E22" s="678"/>
      <c r="F22" s="678" t="s">
        <v>449</v>
      </c>
      <c r="G22" s="678"/>
      <c r="H22" s="361"/>
      <c r="I22" s="361"/>
      <c r="J22" s="361"/>
      <c r="K22" s="361"/>
      <c r="L22" s="361"/>
    </row>
    <row r="23" spans="1:12" ht="15.6">
      <c r="A23" s="530" t="s">
        <v>450</v>
      </c>
      <c r="B23" s="673" t="s">
        <v>744</v>
      </c>
      <c r="C23" s="673"/>
      <c r="D23" s="673" t="s">
        <v>745</v>
      </c>
      <c r="E23" s="673"/>
      <c r="F23" s="673" t="s">
        <v>746</v>
      </c>
      <c r="G23" s="673"/>
      <c r="H23" s="361"/>
      <c r="I23" s="361"/>
      <c r="J23" s="361"/>
      <c r="K23" s="361"/>
      <c r="L23" s="361"/>
    </row>
    <row r="24" spans="1:12" ht="18" customHeight="1">
      <c r="A24" s="530" t="s">
        <v>451</v>
      </c>
      <c r="B24" s="673" t="s">
        <v>747</v>
      </c>
      <c r="C24" s="673"/>
      <c r="D24" s="673" t="s">
        <v>748</v>
      </c>
      <c r="E24" s="673"/>
      <c r="F24" s="673" t="s">
        <v>749</v>
      </c>
      <c r="G24" s="673"/>
      <c r="H24" s="361"/>
      <c r="I24" s="361"/>
      <c r="J24" s="361"/>
      <c r="K24" s="361"/>
      <c r="L24" s="361"/>
    </row>
    <row r="25" spans="1:12" ht="15.6">
      <c r="A25" s="530" t="s">
        <v>452</v>
      </c>
      <c r="B25" s="673" t="s">
        <v>750</v>
      </c>
      <c r="C25" s="673"/>
      <c r="D25" s="673" t="s">
        <v>751</v>
      </c>
      <c r="E25" s="673"/>
      <c r="F25" s="673" t="s">
        <v>752</v>
      </c>
      <c r="G25" s="673"/>
      <c r="H25" s="361"/>
      <c r="I25" s="361"/>
      <c r="J25" s="361"/>
      <c r="K25" s="361"/>
      <c r="L25" s="361"/>
    </row>
    <row r="26" spans="1:12" ht="15.6">
      <c r="A26" s="525"/>
      <c r="B26" s="525"/>
      <c r="C26" s="525"/>
      <c r="D26" s="525"/>
      <c r="E26" s="525"/>
      <c r="F26" s="525"/>
      <c r="G26" s="525"/>
      <c r="H26" s="361"/>
      <c r="I26" s="361"/>
      <c r="J26" s="361"/>
      <c r="K26" s="361"/>
      <c r="L26" s="361"/>
    </row>
    <row r="27" spans="1:12" ht="20.399999999999999">
      <c r="A27" s="524" t="s">
        <v>453</v>
      </c>
      <c r="B27" s="525"/>
      <c r="C27" s="525"/>
      <c r="D27" s="525"/>
      <c r="E27" s="525"/>
      <c r="F27" s="525"/>
      <c r="G27" s="525"/>
      <c r="H27" s="361"/>
      <c r="I27" s="361"/>
      <c r="J27" s="361"/>
      <c r="K27" s="361"/>
      <c r="L27" s="361"/>
    </row>
    <row r="28" spans="1:12" ht="15.6">
      <c r="A28" s="525"/>
      <c r="B28" s="525"/>
      <c r="C28" s="525"/>
      <c r="D28" s="525"/>
      <c r="E28" s="679" t="s">
        <v>454</v>
      </c>
      <c r="F28" s="676"/>
      <c r="G28" s="677"/>
      <c r="H28" s="361"/>
      <c r="I28" s="361"/>
      <c r="J28" s="361"/>
      <c r="K28" s="361"/>
      <c r="L28" s="361"/>
    </row>
    <row r="29" spans="1:12" ht="15.6">
      <c r="A29" s="525"/>
      <c r="B29" s="678" t="s">
        <v>455</v>
      </c>
      <c r="C29" s="678"/>
      <c r="D29" s="529" t="s">
        <v>456</v>
      </c>
      <c r="E29" s="529" t="s">
        <v>457</v>
      </c>
      <c r="F29" s="678" t="s">
        <v>458</v>
      </c>
      <c r="G29" s="678"/>
      <c r="H29" s="361"/>
      <c r="I29" s="361"/>
      <c r="J29" s="361"/>
      <c r="K29" s="361"/>
      <c r="L29" s="361"/>
    </row>
    <row r="30" spans="1:12" ht="15.6">
      <c r="A30" s="530" t="s">
        <v>459</v>
      </c>
      <c r="B30" s="673" t="s">
        <v>528</v>
      </c>
      <c r="C30" s="673"/>
      <c r="D30" s="528" t="s">
        <v>531</v>
      </c>
      <c r="E30" s="528" t="s">
        <v>460</v>
      </c>
      <c r="F30" s="673" t="s">
        <v>534</v>
      </c>
      <c r="G30" s="673"/>
      <c r="H30" s="361"/>
      <c r="I30" s="361"/>
      <c r="J30" s="361"/>
      <c r="K30" s="361"/>
      <c r="L30" s="361"/>
    </row>
    <row r="31" spans="1:12" ht="15.6">
      <c r="A31" s="530" t="s">
        <v>461</v>
      </c>
      <c r="B31" s="673" t="s">
        <v>529</v>
      </c>
      <c r="C31" s="673"/>
      <c r="D31" s="528" t="s">
        <v>532</v>
      </c>
      <c r="E31" s="528" t="s">
        <v>462</v>
      </c>
      <c r="F31" s="673" t="s">
        <v>535</v>
      </c>
      <c r="G31" s="673"/>
      <c r="H31" s="361"/>
      <c r="I31" s="361"/>
      <c r="J31" s="361"/>
      <c r="K31" s="361"/>
      <c r="L31" s="361"/>
    </row>
    <row r="32" spans="1:12" ht="15.6">
      <c r="A32" s="530" t="s">
        <v>463</v>
      </c>
      <c r="B32" s="673" t="s">
        <v>530</v>
      </c>
      <c r="C32" s="673"/>
      <c r="D32" s="528" t="s">
        <v>533</v>
      </c>
      <c r="E32" s="528" t="s">
        <v>464</v>
      </c>
      <c r="F32" s="673" t="s">
        <v>536</v>
      </c>
      <c r="G32" s="673"/>
      <c r="H32" s="361"/>
      <c r="I32" s="361"/>
      <c r="J32" s="361"/>
      <c r="K32" s="361"/>
      <c r="L32" s="361"/>
    </row>
    <row r="33" spans="1:12" ht="15.6">
      <c r="A33" s="525"/>
      <c r="B33" s="525"/>
      <c r="C33" s="525"/>
      <c r="D33" s="525"/>
      <c r="E33" s="525"/>
      <c r="F33" s="525"/>
      <c r="G33" s="525"/>
      <c r="H33" s="361"/>
      <c r="I33" s="361"/>
      <c r="J33" s="361"/>
      <c r="K33" s="361"/>
      <c r="L33" s="361"/>
    </row>
    <row r="34" spans="1:12" ht="15.6">
      <c r="A34" s="525"/>
      <c r="B34" s="525"/>
      <c r="C34" s="525"/>
      <c r="D34" s="525"/>
      <c r="E34" s="679" t="s">
        <v>465</v>
      </c>
      <c r="F34" s="676"/>
      <c r="G34" s="677"/>
      <c r="H34" s="361"/>
      <c r="I34" s="361"/>
      <c r="J34" s="361"/>
      <c r="K34" s="361"/>
      <c r="L34" s="361"/>
    </row>
    <row r="35" spans="1:12" ht="15.6">
      <c r="A35" s="525"/>
      <c r="B35" s="678" t="s">
        <v>466</v>
      </c>
      <c r="C35" s="678"/>
      <c r="D35" s="529" t="s">
        <v>457</v>
      </c>
      <c r="E35" s="529" t="s">
        <v>467</v>
      </c>
      <c r="F35" s="529" t="s">
        <v>100</v>
      </c>
      <c r="G35" s="529" t="s">
        <v>468</v>
      </c>
      <c r="H35" s="361"/>
      <c r="I35" s="361"/>
      <c r="J35" s="361"/>
      <c r="K35" s="361"/>
      <c r="L35" s="361"/>
    </row>
    <row r="36" spans="1:12" ht="15.6">
      <c r="A36" s="530" t="s">
        <v>459</v>
      </c>
      <c r="B36" s="680" t="s">
        <v>537</v>
      </c>
      <c r="C36" s="681"/>
      <c r="D36" s="531" t="s">
        <v>539</v>
      </c>
      <c r="E36" s="531" t="s">
        <v>469</v>
      </c>
      <c r="F36" s="532" t="s">
        <v>470</v>
      </c>
      <c r="G36" s="528" t="s">
        <v>542</v>
      </c>
      <c r="H36" s="361"/>
      <c r="I36" s="361"/>
      <c r="J36" s="361"/>
      <c r="K36" s="361"/>
      <c r="L36" s="361"/>
    </row>
    <row r="37" spans="1:12" ht="15.6">
      <c r="A37" s="530" t="s">
        <v>461</v>
      </c>
      <c r="B37" s="680" t="s">
        <v>538</v>
      </c>
      <c r="C37" s="681"/>
      <c r="D37" s="531" t="s">
        <v>540</v>
      </c>
      <c r="E37" s="531" t="s">
        <v>469</v>
      </c>
      <c r="F37" s="532" t="s">
        <v>471</v>
      </c>
      <c r="G37" s="533" t="s">
        <v>543</v>
      </c>
      <c r="H37" s="361"/>
      <c r="I37" s="361"/>
      <c r="J37" s="361"/>
      <c r="K37" s="361"/>
      <c r="L37" s="361"/>
    </row>
    <row r="38" spans="1:12" ht="15.6">
      <c r="A38" s="530" t="s">
        <v>463</v>
      </c>
      <c r="B38" s="680" t="s">
        <v>538</v>
      </c>
      <c r="C38" s="681"/>
      <c r="D38" s="531" t="s">
        <v>541</v>
      </c>
      <c r="E38" s="531" t="s">
        <v>469</v>
      </c>
      <c r="F38" s="532" t="s">
        <v>472</v>
      </c>
      <c r="G38" s="528" t="s">
        <v>544</v>
      </c>
      <c r="H38" s="361"/>
      <c r="I38" s="361"/>
      <c r="J38" s="361"/>
      <c r="K38" s="361"/>
      <c r="L38" s="361"/>
    </row>
    <row r="39" spans="1:12" ht="15.6">
      <c r="A39" s="525"/>
      <c r="B39" s="525"/>
      <c r="C39" s="525"/>
      <c r="D39" s="525"/>
      <c r="E39" s="525"/>
      <c r="F39" s="525"/>
      <c r="G39" s="525"/>
      <c r="H39" s="361"/>
      <c r="I39" s="361"/>
      <c r="J39" s="361"/>
      <c r="K39" s="361"/>
      <c r="L39" s="361"/>
    </row>
    <row r="40" spans="1:12" ht="15.6">
      <c r="A40" s="534" t="s">
        <v>473</v>
      </c>
      <c r="B40" s="682" t="s">
        <v>545</v>
      </c>
      <c r="C40" s="682"/>
      <c r="D40" s="683" t="s">
        <v>474</v>
      </c>
      <c r="E40" s="683"/>
      <c r="F40" s="682" t="s">
        <v>544</v>
      </c>
      <c r="G40" s="682"/>
      <c r="H40" s="361"/>
      <c r="I40" s="361"/>
      <c r="J40" s="361"/>
      <c r="K40" s="361"/>
      <c r="L40" s="361"/>
    </row>
    <row r="41" spans="1:12" ht="15.6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</row>
    <row r="42" spans="1:12" ht="15.6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</row>
    <row r="43" spans="1:12" ht="15.6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</row>
    <row r="44" spans="1:12" ht="15.6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</row>
    <row r="45" spans="1:12" ht="15.6">
      <c r="A45" s="361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</row>
    <row r="46" spans="1:12" ht="15.6">
      <c r="A46" s="361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</row>
    <row r="47" spans="1:12" ht="15.6">
      <c r="A47" s="361"/>
      <c r="B47" s="361"/>
      <c r="C47" s="361"/>
      <c r="D47" s="361"/>
      <c r="E47" s="361"/>
      <c r="F47" s="361"/>
      <c r="G47" s="361"/>
      <c r="H47" s="361"/>
      <c r="I47" s="361"/>
      <c r="J47" s="361"/>
      <c r="K47" s="361"/>
      <c r="L47" s="361"/>
    </row>
    <row r="48" spans="1:12" ht="15.6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</row>
    <row r="49" spans="1:12" ht="15.6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</row>
    <row r="50" spans="1:12" ht="15.6">
      <c r="A50" s="361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</row>
    <row r="51" spans="1:12" ht="15.6">
      <c r="A51" s="361"/>
      <c r="B51" s="361"/>
      <c r="C51" s="361"/>
      <c r="D51" s="361"/>
      <c r="E51" s="361"/>
      <c r="F51" s="361"/>
      <c r="G51" s="361"/>
      <c r="H51" s="361"/>
      <c r="I51" s="361"/>
      <c r="J51" s="361"/>
      <c r="K51" s="361"/>
      <c r="L51" s="361"/>
    </row>
    <row r="52" spans="1:12" ht="15.6">
      <c r="A52" s="361"/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</row>
    <row r="53" spans="1:12" ht="15.6">
      <c r="A53" s="361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</row>
    <row r="54" spans="1:12" ht="15.6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</row>
    <row r="55" spans="1:12" ht="15.6">
      <c r="A55" s="361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</row>
    <row r="56" spans="1:12" ht="15.6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</row>
    <row r="57" spans="1:12" ht="15.6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</row>
    <row r="58" spans="1:12" ht="15.6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</row>
    <row r="59" spans="1:12" ht="15.6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</row>
    <row r="60" spans="1:12" ht="15.6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</row>
    <row r="61" spans="1:12" ht="15.6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5:C25"/>
    <mergeCell ref="D25:E25"/>
    <mergeCell ref="F25:G25"/>
    <mergeCell ref="E28:G28"/>
    <mergeCell ref="B29:C29"/>
    <mergeCell ref="F29:G29"/>
    <mergeCell ref="B30:C30"/>
    <mergeCell ref="F30:G30"/>
    <mergeCell ref="B1:G1"/>
    <mergeCell ref="D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I30" sqref="I30"/>
    </sheetView>
  </sheetViews>
  <sheetFormatPr defaultColWidth="9.109375" defaultRowHeight="13.2"/>
  <cols>
    <col min="1" max="6" width="16.6640625" style="347" customWidth="1"/>
    <col min="7" max="16384" width="9.109375" style="347"/>
  </cols>
  <sheetData>
    <row r="1" spans="1:6" ht="18.899999999999999" customHeight="1">
      <c r="A1" s="344"/>
      <c r="B1" s="345"/>
      <c r="C1" s="345"/>
      <c r="D1" s="345"/>
      <c r="E1" s="345"/>
      <c r="F1" s="346"/>
    </row>
    <row r="2" spans="1:6" ht="26.1" customHeight="1">
      <c r="A2" s="348" t="s">
        <v>252</v>
      </c>
      <c r="B2" s="349"/>
      <c r="C2" s="349"/>
      <c r="D2" s="349"/>
      <c r="E2" s="349"/>
      <c r="F2" s="350"/>
    </row>
    <row r="3" spans="1:6" ht="18.899999999999999" customHeight="1">
      <c r="A3" s="684" t="s">
        <v>546</v>
      </c>
      <c r="B3" s="685"/>
      <c r="C3" s="685"/>
      <c r="D3" s="685"/>
      <c r="E3" s="685"/>
      <c r="F3" s="686"/>
    </row>
    <row r="4" spans="1:6" ht="18.899999999999999" customHeight="1">
      <c r="A4" s="687" t="s">
        <v>547</v>
      </c>
      <c r="B4" s="688"/>
      <c r="C4" s="688"/>
      <c r="D4" s="688"/>
      <c r="E4" s="688"/>
      <c r="F4" s="689"/>
    </row>
    <row r="5" spans="1:6" ht="18.899999999999999" customHeight="1">
      <c r="A5" s="352"/>
      <c r="B5" s="353"/>
      <c r="C5" s="353"/>
      <c r="D5" s="353"/>
      <c r="E5" s="353"/>
      <c r="F5" s="354"/>
    </row>
    <row r="6" spans="1:6" ht="18.899999999999999" customHeight="1">
      <c r="A6" s="506" t="s">
        <v>404</v>
      </c>
      <c r="B6" s="670" t="str">
        <f>'Performance Data Sheet'!C17</f>
        <v>M503TCQL11F-C</v>
      </c>
      <c r="C6" s="671"/>
      <c r="D6" s="672"/>
      <c r="E6" s="506" t="s">
        <v>405</v>
      </c>
      <c r="F6" s="507">
        <v>300</v>
      </c>
    </row>
    <row r="7" spans="1:6" ht="18.899999999999999" customHeight="1">
      <c r="A7" s="506" t="s">
        <v>406</v>
      </c>
      <c r="B7" s="507" t="str">
        <f>'Performance Data Sheet'!F14</f>
        <v>TEAAC</v>
      </c>
      <c r="C7" s="506" t="s">
        <v>407</v>
      </c>
      <c r="D7" s="507" t="s">
        <v>429</v>
      </c>
      <c r="E7" s="506" t="s">
        <v>408</v>
      </c>
      <c r="F7" s="507" t="str">
        <f>'Performance Data Sheet'!C14</f>
        <v>450-1600</v>
      </c>
    </row>
    <row r="8" spans="1:6" ht="18.899999999999999" customHeight="1">
      <c r="A8" s="506" t="s">
        <v>409</v>
      </c>
      <c r="B8" s="507">
        <v>2</v>
      </c>
      <c r="C8" s="506" t="s">
        <v>410</v>
      </c>
      <c r="D8" s="507" t="s">
        <v>411</v>
      </c>
      <c r="E8" s="506" t="s">
        <v>412</v>
      </c>
      <c r="F8" s="507" t="str">
        <f>'Performance Data Sheet'!M15</f>
        <v>F</v>
      </c>
    </row>
    <row r="9" spans="1:6" ht="18.899999999999999" customHeight="1">
      <c r="A9" s="506" t="s">
        <v>413</v>
      </c>
      <c r="B9" s="507">
        <v>2500</v>
      </c>
      <c r="C9" s="506" t="s">
        <v>414</v>
      </c>
      <c r="D9" s="507" t="s">
        <v>430</v>
      </c>
      <c r="E9" s="506" t="s">
        <v>2</v>
      </c>
      <c r="F9" s="508">
        <f>'Performance Data Sheet'!K45</f>
        <v>41934</v>
      </c>
    </row>
    <row r="10" spans="1:6" ht="18.899999999999999" customHeight="1">
      <c r="A10" s="506" t="s">
        <v>415</v>
      </c>
      <c r="B10" s="507">
        <v>3581</v>
      </c>
      <c r="C10" s="506" t="s">
        <v>416</v>
      </c>
      <c r="D10" s="535" t="s">
        <v>753</v>
      </c>
      <c r="E10" s="506" t="s">
        <v>1</v>
      </c>
      <c r="F10" s="507" t="s">
        <v>364</v>
      </c>
    </row>
    <row r="11" spans="1:6" ht="18.899999999999999" customHeight="1">
      <c r="A11" s="352"/>
      <c r="B11" s="353"/>
      <c r="C11" s="353"/>
      <c r="D11" s="353"/>
      <c r="E11" s="353"/>
      <c r="F11" s="354"/>
    </row>
    <row r="12" spans="1:6" ht="18.899999999999999" customHeight="1">
      <c r="A12" s="352"/>
      <c r="B12" s="355"/>
      <c r="C12" s="356"/>
      <c r="D12" s="355"/>
      <c r="E12" s="356"/>
      <c r="F12" s="354"/>
    </row>
    <row r="13" spans="1:6" ht="18.899999999999999" customHeight="1">
      <c r="A13" s="352"/>
      <c r="B13" s="355"/>
      <c r="C13" s="357"/>
      <c r="D13" s="355"/>
      <c r="E13" s="356"/>
      <c r="F13" s="354"/>
    </row>
    <row r="14" spans="1:6" ht="18.899999999999999" customHeight="1">
      <c r="A14" s="352"/>
      <c r="B14" s="355"/>
      <c r="C14" s="357"/>
      <c r="D14" s="355"/>
      <c r="E14" s="356"/>
      <c r="F14" s="354"/>
    </row>
    <row r="15" spans="1:6" ht="18.899999999999999" customHeight="1">
      <c r="A15" s="352"/>
      <c r="B15" s="355"/>
      <c r="C15" s="356"/>
      <c r="D15" s="353"/>
      <c r="E15" s="353"/>
      <c r="F15" s="354"/>
    </row>
    <row r="16" spans="1:6" ht="18.899999999999999" customHeight="1">
      <c r="A16" s="352"/>
      <c r="B16" s="353"/>
      <c r="C16" s="353"/>
      <c r="D16" s="353"/>
      <c r="E16" s="353"/>
      <c r="F16" s="354"/>
    </row>
    <row r="17" spans="1:6" ht="18.899999999999999" customHeight="1">
      <c r="A17" s="352"/>
      <c r="B17" s="353"/>
      <c r="C17" s="353"/>
      <c r="D17" s="353"/>
      <c r="E17" s="353"/>
      <c r="F17" s="354"/>
    </row>
    <row r="18" spans="1:6" ht="18.899999999999999" customHeight="1">
      <c r="A18" s="352"/>
      <c r="B18" s="353"/>
      <c r="C18" s="353"/>
      <c r="D18" s="353"/>
      <c r="E18" s="353"/>
      <c r="F18" s="354"/>
    </row>
    <row r="19" spans="1:6" ht="18.899999999999999" customHeight="1">
      <c r="A19" s="352"/>
      <c r="B19" s="353"/>
      <c r="C19" s="353"/>
      <c r="D19" s="353"/>
      <c r="E19" s="353"/>
      <c r="F19" s="354"/>
    </row>
    <row r="20" spans="1:6" ht="18.899999999999999" customHeight="1">
      <c r="A20" s="352"/>
      <c r="B20" s="353"/>
      <c r="C20" s="353"/>
      <c r="D20" s="353"/>
      <c r="E20" s="353"/>
      <c r="F20" s="354"/>
    </row>
    <row r="21" spans="1:6" ht="18.899999999999999" customHeight="1">
      <c r="A21" s="352"/>
      <c r="B21" s="353"/>
      <c r="C21" s="353"/>
      <c r="D21" s="353"/>
      <c r="E21" s="353"/>
      <c r="F21" s="354"/>
    </row>
    <row r="22" spans="1:6" ht="18.899999999999999" customHeight="1">
      <c r="A22" s="352"/>
      <c r="B22" s="353"/>
      <c r="C22" s="353"/>
      <c r="D22" s="353"/>
      <c r="E22" s="353"/>
      <c r="F22" s="354"/>
    </row>
    <row r="23" spans="1:6" ht="18.899999999999999" customHeight="1">
      <c r="A23" s="352"/>
      <c r="B23" s="353"/>
      <c r="C23" s="353"/>
      <c r="D23" s="353"/>
      <c r="E23" s="353"/>
      <c r="F23" s="354"/>
    </row>
    <row r="24" spans="1:6" ht="18.899999999999999" customHeight="1">
      <c r="A24" s="352"/>
      <c r="B24" s="353"/>
      <c r="C24" s="353"/>
      <c r="D24" s="353"/>
      <c r="E24" s="353"/>
      <c r="F24" s="354"/>
    </row>
    <row r="25" spans="1:6" ht="18.899999999999999" customHeight="1">
      <c r="A25" s="352"/>
      <c r="B25" s="353"/>
      <c r="C25" s="353"/>
      <c r="D25" s="353"/>
      <c r="E25" s="353"/>
      <c r="F25" s="354"/>
    </row>
    <row r="26" spans="1:6" ht="18.899999999999999" customHeight="1">
      <c r="A26" s="352"/>
      <c r="B26" s="353"/>
      <c r="C26" s="353"/>
      <c r="D26" s="353"/>
      <c r="E26" s="353"/>
      <c r="F26" s="354"/>
    </row>
    <row r="27" spans="1:6" ht="18.899999999999999" customHeight="1">
      <c r="A27" s="352"/>
      <c r="B27" s="353"/>
      <c r="C27" s="353"/>
      <c r="D27" s="353"/>
      <c r="E27" s="353"/>
      <c r="F27" s="354"/>
    </row>
    <row r="28" spans="1:6" ht="18.899999999999999" customHeight="1">
      <c r="A28" s="352"/>
      <c r="B28" s="353"/>
      <c r="C28" s="353"/>
      <c r="D28" s="353"/>
      <c r="E28" s="353"/>
      <c r="F28" s="354"/>
    </row>
    <row r="29" spans="1:6" ht="18.899999999999999" customHeight="1">
      <c r="A29" s="352"/>
      <c r="B29" s="353"/>
      <c r="C29" s="353"/>
      <c r="D29" s="353"/>
      <c r="E29" s="353"/>
      <c r="F29" s="354"/>
    </row>
    <row r="30" spans="1:6" ht="18.899999999999999" customHeight="1">
      <c r="A30" s="352"/>
      <c r="B30" s="353"/>
      <c r="C30" s="353"/>
      <c r="D30" s="353"/>
      <c r="E30" s="353"/>
      <c r="F30" s="354"/>
    </row>
    <row r="31" spans="1:6" ht="18.899999999999999" customHeight="1">
      <c r="A31" s="352"/>
      <c r="B31" s="353"/>
      <c r="C31" s="353"/>
      <c r="D31" s="353"/>
      <c r="E31" s="353"/>
      <c r="F31" s="354"/>
    </row>
    <row r="32" spans="1:6" ht="18.899999999999999" customHeight="1">
      <c r="A32" s="352"/>
      <c r="B32" s="353"/>
      <c r="C32" s="353"/>
      <c r="D32" s="353"/>
      <c r="E32" s="353"/>
      <c r="F32" s="354"/>
    </row>
    <row r="33" spans="1:6" ht="18.899999999999999" customHeight="1">
      <c r="A33" s="352"/>
      <c r="B33" s="353"/>
      <c r="C33" s="353"/>
      <c r="D33" s="353"/>
      <c r="E33" s="353"/>
      <c r="F33" s="354"/>
    </row>
    <row r="34" spans="1:6" ht="18.899999999999999" customHeight="1">
      <c r="A34" s="352"/>
      <c r="B34" s="353"/>
      <c r="C34" s="353"/>
      <c r="D34" s="353"/>
      <c r="E34" s="353"/>
      <c r="F34" s="354"/>
    </row>
    <row r="35" spans="1:6" ht="18.899999999999999" customHeight="1">
      <c r="A35" s="352"/>
      <c r="B35" s="353"/>
      <c r="C35" s="353"/>
      <c r="D35" s="353"/>
      <c r="E35" s="353"/>
      <c r="F35" s="354"/>
    </row>
    <row r="36" spans="1:6" ht="18.899999999999999" customHeight="1">
      <c r="A36" s="352"/>
      <c r="B36" s="353"/>
      <c r="C36" s="353"/>
      <c r="D36" s="353"/>
      <c r="E36" s="353"/>
      <c r="F36" s="354"/>
    </row>
    <row r="37" spans="1:6" ht="18.899999999999999" customHeight="1">
      <c r="A37" s="352"/>
      <c r="B37" s="353"/>
      <c r="C37" s="353"/>
      <c r="D37" s="353"/>
      <c r="E37" s="353"/>
      <c r="F37" s="354"/>
    </row>
    <row r="38" spans="1:6" ht="18.899999999999999" customHeight="1">
      <c r="A38" s="352"/>
      <c r="B38" s="353"/>
      <c r="C38" s="353"/>
      <c r="D38" s="353"/>
      <c r="E38" s="353"/>
      <c r="F38" s="354"/>
    </row>
    <row r="39" spans="1:6" ht="18.899999999999999" customHeight="1">
      <c r="A39" s="512" t="s">
        <v>425</v>
      </c>
      <c r="B39" s="513"/>
      <c r="C39" s="513"/>
      <c r="D39" s="504"/>
      <c r="E39" s="509" t="s">
        <v>426</v>
      </c>
      <c r="F39" s="514" t="s">
        <v>364</v>
      </c>
    </row>
    <row r="40" spans="1:6" ht="18.899999999999999" customHeight="1">
      <c r="A40" s="503"/>
      <c r="B40" s="513"/>
      <c r="C40" s="513"/>
      <c r="D40" s="504"/>
      <c r="E40" s="504"/>
      <c r="F40" s="505"/>
    </row>
    <row r="41" spans="1:6" ht="18.899999999999999" customHeight="1">
      <c r="A41" s="503"/>
      <c r="B41" s="513"/>
      <c r="C41" s="513"/>
      <c r="D41" s="504"/>
      <c r="E41" s="504"/>
      <c r="F41" s="505"/>
    </row>
    <row r="42" spans="1:6" ht="18.899999999999999" customHeight="1">
      <c r="A42" s="503"/>
      <c r="B42" s="504"/>
      <c r="C42" s="504"/>
      <c r="D42" s="504"/>
      <c r="E42" s="504"/>
      <c r="F42" s="505"/>
    </row>
    <row r="43" spans="1:6" ht="18.899999999999999" customHeight="1">
      <c r="A43" s="515"/>
      <c r="B43" s="513"/>
      <c r="C43" s="516" t="s">
        <v>427</v>
      </c>
      <c r="D43" s="517" t="str">
        <f>'Performance Data Sheet'!K43</f>
        <v>Mario L</v>
      </c>
      <c r="E43" s="516" t="s">
        <v>428</v>
      </c>
      <c r="F43" s="5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63" t="e">
        <f>5252.1*B50/D53</f>
        <v>#DIV/0!</v>
      </c>
      <c r="G50" s="363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64"/>
    </row>
    <row r="63" spans="6:9">
      <c r="I63" s="347" t="s">
        <v>39</v>
      </c>
    </row>
    <row r="66" spans="1:6">
      <c r="D66" s="363" t="e">
        <f>D65/D64</f>
        <v>#DIV/0!</v>
      </c>
    </row>
    <row r="67" spans="1:6">
      <c r="A67" s="365" t="s">
        <v>401</v>
      </c>
      <c r="B67" s="365" t="s">
        <v>548</v>
      </c>
      <c r="C67" s="365" t="s">
        <v>549</v>
      </c>
      <c r="E67" s="365" t="s">
        <v>550</v>
      </c>
      <c r="F67" s="365" t="s">
        <v>551</v>
      </c>
    </row>
    <row r="68" spans="1:6">
      <c r="A68" s="366">
        <v>642.66666666666663</v>
      </c>
      <c r="B68" s="367">
        <v>28.001875196184432</v>
      </c>
      <c r="C68" s="367">
        <v>11.732198170253209</v>
      </c>
      <c r="E68" s="366">
        <f>A68</f>
        <v>642.66666666666663</v>
      </c>
      <c r="F68" s="536">
        <v>1E-4</v>
      </c>
    </row>
    <row r="69" spans="1:6">
      <c r="A69" s="366">
        <f>FLOOR(A68,100)</f>
        <v>600</v>
      </c>
      <c r="B69" s="367">
        <f>((A68/A69)^2)*B68</f>
        <v>32.125963718905446</v>
      </c>
      <c r="C69" s="367">
        <f>((A68/A69)^2)*C68</f>
        <v>13.460104729411885</v>
      </c>
      <c r="E69" s="366">
        <v>641.29999999999995</v>
      </c>
      <c r="F69" s="536">
        <v>0.59899997711181641</v>
      </c>
    </row>
    <row r="70" spans="1:6">
      <c r="A70" s="366">
        <f>A69-100</f>
        <v>500</v>
      </c>
      <c r="B70" s="367">
        <f>((A68/A70)^2)*B68</f>
        <v>46.261387755223829</v>
      </c>
      <c r="C70" s="367">
        <f>((A68/A70)^2)*C68</f>
        <v>19.382550810353109</v>
      </c>
      <c r="E70" s="366">
        <v>638.36666666666667</v>
      </c>
      <c r="F70" s="536">
        <v>1.121999979019165</v>
      </c>
    </row>
    <row r="71" spans="1:6">
      <c r="A71" s="366">
        <f>A70-100</f>
        <v>400</v>
      </c>
      <c r="B71" s="367">
        <f>((A68/A71)^2)*B68</f>
        <v>72.283418367537223</v>
      </c>
      <c r="C71" s="367">
        <f>((A68/A71)^2)*C68</f>
        <v>30.285235641176733</v>
      </c>
      <c r="E71" s="366">
        <v>634.9666666666667</v>
      </c>
      <c r="F71" s="536">
        <v>1.6189999580383301</v>
      </c>
    </row>
    <row r="72" spans="1:6">
      <c r="A72" s="366">
        <f>A71-100</f>
        <v>300</v>
      </c>
      <c r="B72" s="367">
        <f>((A68/A72)^2)*B68</f>
        <v>128.50385487562178</v>
      </c>
      <c r="C72" s="367"/>
      <c r="E72" s="366">
        <v>630.93333333333328</v>
      </c>
      <c r="F72" s="536">
        <v>2.1159999370574951</v>
      </c>
    </row>
    <row r="73" spans="1:6">
      <c r="A73" s="366">
        <f>A72-100</f>
        <v>200</v>
      </c>
      <c r="B73" s="367">
        <f>((A68/A73)^2)*B68</f>
        <v>289.13367347014889</v>
      </c>
      <c r="C73" s="367"/>
      <c r="E73" s="366">
        <v>626.23333333333335</v>
      </c>
      <c r="F73" s="536">
        <v>2.6329998970031738</v>
      </c>
    </row>
    <row r="74" spans="1:6">
      <c r="A74" s="366">
        <v>250</v>
      </c>
      <c r="B74" s="367">
        <f>((A68/A74)^2)*B68</f>
        <v>185.04555102089532</v>
      </c>
      <c r="C74" s="367">
        <f>((A68/A74)^2)*C68</f>
        <v>77.530203241412437</v>
      </c>
      <c r="E74" s="366">
        <v>620.70000000000005</v>
      </c>
      <c r="F74" s="536">
        <v>3.1889998912811279</v>
      </c>
    </row>
    <row r="75" spans="1:6">
      <c r="A75" s="368">
        <v>180</v>
      </c>
      <c r="B75" s="367">
        <f>((A68/A75)^2)*B69</f>
        <v>409.52715473421057</v>
      </c>
      <c r="C75" s="367">
        <f>((A68/A75)^2)*C68</f>
        <v>149.55671921568756</v>
      </c>
      <c r="E75" s="366">
        <v>614.26666666666665</v>
      </c>
      <c r="F75" s="536">
        <v>3.807999849319458</v>
      </c>
    </row>
    <row r="76" spans="1:6">
      <c r="A76" s="368">
        <v>145</v>
      </c>
      <c r="B76" s="367">
        <f>((A68/A76)^2)*B68</f>
        <v>550.07595428327977</v>
      </c>
      <c r="C76" s="367">
        <f>((A68/A76)^2)*C68</f>
        <v>230.47028311953756</v>
      </c>
      <c r="E76" s="366">
        <v>605.83333333333337</v>
      </c>
      <c r="F76" s="536">
        <v>4.5359997749328613</v>
      </c>
    </row>
    <row r="77" spans="1:6">
      <c r="A77" s="368">
        <v>125</v>
      </c>
      <c r="B77" s="367"/>
      <c r="C77" s="366">
        <f>CEILING(C76*2,100)</f>
        <v>500</v>
      </c>
      <c r="E77" s="366">
        <v>596.1</v>
      </c>
      <c r="F77" s="536">
        <v>4.9449996948242188</v>
      </c>
    </row>
    <row r="78" spans="1:6">
      <c r="A78" s="368">
        <v>125</v>
      </c>
      <c r="B78" s="367"/>
      <c r="C78" s="366">
        <f>2*C77</f>
        <v>1000</v>
      </c>
      <c r="E78" s="366">
        <v>580.0333333333333</v>
      </c>
      <c r="F78" s="536">
        <v>5.3169999122619629</v>
      </c>
    </row>
    <row r="79" spans="1:6">
      <c r="A79" s="368">
        <v>125</v>
      </c>
      <c r="B79" s="368"/>
      <c r="C79" s="368">
        <v>10000</v>
      </c>
      <c r="E79" s="366">
        <v>526.56666666666672</v>
      </c>
      <c r="F79" s="536">
        <v>5.5269999504089355</v>
      </c>
    </row>
    <row r="80" spans="1:6">
      <c r="E80" s="366">
        <v>321.89999999999998</v>
      </c>
      <c r="F80" s="536">
        <v>5.5669999122619629</v>
      </c>
    </row>
    <row r="81" spans="5:6">
      <c r="E81" s="366">
        <v>0</v>
      </c>
      <c r="F81" s="536">
        <v>5.630000114440918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M29" sqref="M29"/>
    </sheetView>
  </sheetViews>
  <sheetFormatPr defaultColWidth="9.109375" defaultRowHeight="13.2"/>
  <cols>
    <col min="1" max="1" width="9.5546875" style="347" customWidth="1"/>
    <col min="2" max="11" width="7.6640625" style="347" customWidth="1"/>
    <col min="12" max="16384" width="9.109375" style="347"/>
  </cols>
  <sheetData>
    <row r="1" spans="1:12" ht="20.399999999999999">
      <c r="A1" s="690" t="s">
        <v>552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361"/>
    </row>
    <row r="2" spans="1:12" ht="30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</row>
    <row r="3" spans="1:12" ht="18">
      <c r="A3" s="355" t="s">
        <v>436</v>
      </c>
      <c r="B3" s="369" t="s">
        <v>475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</row>
    <row r="4" spans="1:12" ht="12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</row>
    <row r="5" spans="1:12" ht="18">
      <c r="A5" s="370" t="s">
        <v>553</v>
      </c>
      <c r="B5" s="353"/>
      <c r="C5" s="353"/>
      <c r="D5" s="353"/>
      <c r="E5" s="353"/>
      <c r="F5" s="361"/>
      <c r="G5" s="361"/>
      <c r="H5" s="361"/>
      <c r="I5" s="361"/>
      <c r="J5" s="361"/>
      <c r="K5" s="361"/>
      <c r="L5" s="361"/>
    </row>
    <row r="6" spans="1:12" ht="17.2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</row>
    <row r="7" spans="1:12" ht="15.6">
      <c r="A7" s="361"/>
      <c r="B7" s="371" t="s">
        <v>554</v>
      </c>
      <c r="C7" s="372">
        <v>0</v>
      </c>
      <c r="D7" s="371" t="s">
        <v>554</v>
      </c>
      <c r="E7" s="373" t="s">
        <v>555</v>
      </c>
      <c r="F7" s="371" t="s">
        <v>554</v>
      </c>
      <c r="G7" s="373" t="s">
        <v>556</v>
      </c>
      <c r="H7" s="371" t="s">
        <v>557</v>
      </c>
      <c r="I7" s="373">
        <v>0</v>
      </c>
      <c r="J7" s="371" t="s">
        <v>557</v>
      </c>
      <c r="K7" s="373">
        <v>5.0000000000000001E-3</v>
      </c>
      <c r="L7" s="361"/>
    </row>
    <row r="8" spans="1:12" ht="15.6">
      <c r="A8" s="362" t="s">
        <v>558</v>
      </c>
      <c r="B8" s="691">
        <v>6</v>
      </c>
      <c r="C8" s="691"/>
      <c r="D8" s="691">
        <v>12</v>
      </c>
      <c r="E8" s="691"/>
      <c r="F8" s="691">
        <v>0</v>
      </c>
      <c r="G8" s="691"/>
      <c r="H8" s="691" t="s">
        <v>573</v>
      </c>
      <c r="I8" s="691"/>
      <c r="J8" s="691" t="s">
        <v>574</v>
      </c>
      <c r="K8" s="691"/>
      <c r="L8" s="361"/>
    </row>
    <row r="9" spans="1:12" ht="15.6">
      <c r="A9" s="362" t="s">
        <v>559</v>
      </c>
      <c r="B9" s="691">
        <v>10</v>
      </c>
      <c r="C9" s="691"/>
      <c r="D9" s="691">
        <v>16</v>
      </c>
      <c r="E9" s="691"/>
      <c r="F9" s="691">
        <v>4</v>
      </c>
      <c r="G9" s="691"/>
      <c r="H9" s="691" t="s">
        <v>575</v>
      </c>
      <c r="I9" s="691"/>
      <c r="J9" s="691" t="s">
        <v>576</v>
      </c>
      <c r="K9" s="691"/>
      <c r="L9" s="361"/>
    </row>
    <row r="10" spans="1:12" ht="15.6">
      <c r="A10" s="362" t="s">
        <v>560</v>
      </c>
      <c r="B10" s="691">
        <v>8</v>
      </c>
      <c r="C10" s="691"/>
      <c r="D10" s="691">
        <v>14</v>
      </c>
      <c r="E10" s="691"/>
      <c r="F10" s="691">
        <v>2</v>
      </c>
      <c r="G10" s="691"/>
      <c r="H10" s="691" t="s">
        <v>577</v>
      </c>
      <c r="I10" s="691"/>
      <c r="J10" s="691" t="s">
        <v>578</v>
      </c>
      <c r="K10" s="691"/>
      <c r="L10" s="361"/>
    </row>
    <row r="11" spans="1:12" ht="26.2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</row>
    <row r="12" spans="1:12" ht="18">
      <c r="A12" s="370" t="s">
        <v>561</v>
      </c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</row>
    <row r="13" spans="1:12" ht="15.6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</row>
    <row r="14" spans="1:12" ht="15.6">
      <c r="A14" s="361"/>
      <c r="B14" s="692" t="s">
        <v>562</v>
      </c>
      <c r="C14" s="693"/>
      <c r="D14" s="694" t="s">
        <v>579</v>
      </c>
      <c r="E14" s="691"/>
      <c r="F14" s="692" t="s">
        <v>563</v>
      </c>
      <c r="G14" s="693"/>
      <c r="H14" s="694" t="s">
        <v>584</v>
      </c>
      <c r="I14" s="691"/>
      <c r="J14" s="361"/>
      <c r="K14" s="361"/>
      <c r="L14" s="361"/>
    </row>
    <row r="15" spans="1:12" ht="15.6">
      <c r="A15" s="361"/>
      <c r="B15" s="692" t="s">
        <v>564</v>
      </c>
      <c r="C15" s="693"/>
      <c r="D15" s="694" t="s">
        <v>580</v>
      </c>
      <c r="E15" s="691"/>
      <c r="F15" s="692" t="s">
        <v>565</v>
      </c>
      <c r="G15" s="693"/>
      <c r="H15" s="694" t="s">
        <v>585</v>
      </c>
      <c r="I15" s="691"/>
      <c r="J15" s="361"/>
      <c r="K15" s="361"/>
      <c r="L15" s="361"/>
    </row>
    <row r="16" spans="1:12" ht="15.6">
      <c r="A16" s="361"/>
      <c r="B16" s="692" t="s">
        <v>566</v>
      </c>
      <c r="C16" s="693"/>
      <c r="D16" s="694" t="s">
        <v>581</v>
      </c>
      <c r="E16" s="691"/>
      <c r="F16" s="692" t="s">
        <v>567</v>
      </c>
      <c r="G16" s="693"/>
      <c r="H16" s="694" t="s">
        <v>586</v>
      </c>
      <c r="I16" s="691"/>
      <c r="J16" s="361"/>
      <c r="K16" s="361"/>
      <c r="L16" s="361"/>
    </row>
    <row r="17" spans="1:12" ht="15.6">
      <c r="A17" s="361"/>
      <c r="B17" s="692" t="s">
        <v>568</v>
      </c>
      <c r="C17" s="693"/>
      <c r="D17" s="694" t="s">
        <v>582</v>
      </c>
      <c r="E17" s="691"/>
      <c r="F17" s="692" t="s">
        <v>569</v>
      </c>
      <c r="G17" s="693"/>
      <c r="H17" s="694" t="s">
        <v>587</v>
      </c>
      <c r="I17" s="691"/>
      <c r="J17" s="361"/>
      <c r="K17" s="361"/>
      <c r="L17" s="361"/>
    </row>
    <row r="18" spans="1:12" ht="15.6">
      <c r="A18" s="361"/>
      <c r="B18" s="692" t="s">
        <v>570</v>
      </c>
      <c r="C18" s="693"/>
      <c r="D18" s="694" t="s">
        <v>583</v>
      </c>
      <c r="E18" s="691"/>
      <c r="F18" s="692" t="s">
        <v>571</v>
      </c>
      <c r="G18" s="693"/>
      <c r="H18" s="694" t="s">
        <v>588</v>
      </c>
      <c r="I18" s="691"/>
      <c r="J18" s="361"/>
      <c r="K18" s="361"/>
      <c r="L18" s="361"/>
    </row>
    <row r="19" spans="1:12" ht="27" customHeight="1">
      <c r="A19" s="361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</row>
    <row r="20" spans="1:12" ht="18">
      <c r="A20" s="370" t="s">
        <v>572</v>
      </c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</row>
    <row r="21" spans="1:12" ht="15.6">
      <c r="A21" s="361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</row>
    <row r="22" spans="1:12" ht="18">
      <c r="A22" s="361"/>
      <c r="B22" s="370" t="s">
        <v>589</v>
      </c>
      <c r="C22" s="361"/>
      <c r="D22" s="361"/>
      <c r="E22" s="361"/>
      <c r="F22" s="361"/>
      <c r="G22" s="361"/>
      <c r="H22" s="361"/>
      <c r="I22" s="361"/>
      <c r="J22" s="361"/>
      <c r="K22" s="361"/>
      <c r="L22" s="361"/>
    </row>
    <row r="23" spans="1:12" ht="15.6">
      <c r="A23" s="361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</row>
    <row r="24" spans="1:12" ht="15.6">
      <c r="A24" s="361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</row>
    <row r="25" spans="1:12" ht="15.6">
      <c r="A25" s="361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</row>
    <row r="26" spans="1:12" ht="15.6">
      <c r="A26" s="361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</row>
    <row r="27" spans="1:12" ht="15.6">
      <c r="A27" s="361"/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</row>
    <row r="28" spans="1:12" ht="15.6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</row>
    <row r="29" spans="1:12" ht="15.6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</row>
    <row r="30" spans="1:12" ht="15.6">
      <c r="A30" s="361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</row>
    <row r="31" spans="1:12" ht="15.6">
      <c r="A31" s="361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</row>
    <row r="32" spans="1:12" ht="15.6">
      <c r="A32" s="361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</row>
    <row r="33" spans="1:12" ht="15.6">
      <c r="A33" s="361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topLeftCell="A13" workbookViewId="0">
      <selection activeCell="J35" sqref="J35"/>
    </sheetView>
  </sheetViews>
  <sheetFormatPr defaultColWidth="9.109375" defaultRowHeight="13.2"/>
  <cols>
    <col min="1" max="6" width="16.6640625" style="347" customWidth="1"/>
    <col min="7" max="16384" width="9.109375" style="347"/>
  </cols>
  <sheetData>
    <row r="1" spans="1:6" ht="18.899999999999999" customHeight="1">
      <c r="A1" s="344"/>
      <c r="B1" s="345"/>
      <c r="C1" s="345"/>
      <c r="D1" s="345"/>
      <c r="E1" s="345"/>
      <c r="F1" s="346"/>
    </row>
    <row r="2" spans="1:6" ht="26.1" customHeight="1">
      <c r="A2" s="348" t="s">
        <v>252</v>
      </c>
      <c r="B2" s="349"/>
      <c r="C2" s="349"/>
      <c r="D2" s="349"/>
      <c r="E2" s="349"/>
      <c r="F2" s="350"/>
    </row>
    <row r="3" spans="1:6" ht="18.899999999999999" customHeight="1">
      <c r="A3" s="351" t="s">
        <v>590</v>
      </c>
      <c r="B3" s="349"/>
      <c r="C3" s="349"/>
      <c r="D3" s="349"/>
      <c r="E3" s="349"/>
      <c r="F3" s="350"/>
    </row>
    <row r="4" spans="1:6" ht="18.899999999999999" customHeight="1">
      <c r="A4" s="687" t="s">
        <v>547</v>
      </c>
      <c r="B4" s="688"/>
      <c r="C4" s="688"/>
      <c r="D4" s="688"/>
      <c r="E4" s="688"/>
      <c r="F4" s="689"/>
    </row>
    <row r="5" spans="1:6" ht="18.899999999999999" customHeight="1">
      <c r="A5" s="352"/>
      <c r="B5" s="353"/>
      <c r="C5" s="353"/>
      <c r="D5" s="353"/>
      <c r="E5" s="353"/>
      <c r="F5" s="354"/>
    </row>
    <row r="6" spans="1:6" ht="18.899999999999999" customHeight="1">
      <c r="A6" s="506" t="s">
        <v>404</v>
      </c>
      <c r="B6" s="670" t="str">
        <f>'Performance Data Sheet'!C17</f>
        <v>M503TCQL11F-C</v>
      </c>
      <c r="C6" s="671"/>
      <c r="D6" s="672"/>
      <c r="E6" s="506" t="s">
        <v>405</v>
      </c>
      <c r="F6" s="507">
        <v>300</v>
      </c>
    </row>
    <row r="7" spans="1:6" ht="18.899999999999999" customHeight="1">
      <c r="A7" s="506" t="s">
        <v>406</v>
      </c>
      <c r="B7" s="507" t="str">
        <f>'Performance Data Sheet'!F14</f>
        <v>TEAAC</v>
      </c>
      <c r="C7" s="506" t="s">
        <v>407</v>
      </c>
      <c r="D7" s="507" t="s">
        <v>429</v>
      </c>
      <c r="E7" s="506" t="s">
        <v>408</v>
      </c>
      <c r="F7" s="507" t="str">
        <f>'Performance Data Sheet'!C14</f>
        <v>450-1600</v>
      </c>
    </row>
    <row r="8" spans="1:6" ht="18.899999999999999" customHeight="1">
      <c r="A8" s="506" t="s">
        <v>409</v>
      </c>
      <c r="B8" s="507">
        <v>2</v>
      </c>
      <c r="C8" s="506" t="s">
        <v>410</v>
      </c>
      <c r="D8" s="507" t="s">
        <v>411</v>
      </c>
      <c r="E8" s="506" t="s">
        <v>412</v>
      </c>
      <c r="F8" s="507" t="str">
        <f>'Performance Data Sheet'!M15</f>
        <v>F</v>
      </c>
    </row>
    <row r="9" spans="1:6" ht="18.899999999999999" customHeight="1">
      <c r="A9" s="506" t="s">
        <v>413</v>
      </c>
      <c r="B9" s="507">
        <v>2500</v>
      </c>
      <c r="C9" s="506" t="s">
        <v>414</v>
      </c>
      <c r="D9" s="507" t="s">
        <v>430</v>
      </c>
      <c r="E9" s="506" t="s">
        <v>2</v>
      </c>
      <c r="F9" s="508">
        <f>'Performance Data Sheet'!K45</f>
        <v>41934</v>
      </c>
    </row>
    <row r="10" spans="1:6" ht="18.899999999999999" customHeight="1">
      <c r="A10" s="506" t="s">
        <v>415</v>
      </c>
      <c r="B10" s="507">
        <v>3581</v>
      </c>
      <c r="C10" s="506" t="s">
        <v>416</v>
      </c>
      <c r="D10" s="507" t="s">
        <v>417</v>
      </c>
      <c r="E10" s="506" t="s">
        <v>1</v>
      </c>
      <c r="F10" s="507" t="s">
        <v>364</v>
      </c>
    </row>
    <row r="11" spans="1:6" ht="18.899999999999999" customHeight="1">
      <c r="A11" s="352"/>
      <c r="B11" s="353"/>
      <c r="C11" s="353"/>
      <c r="D11" s="353"/>
      <c r="E11" s="353"/>
      <c r="F11" s="354"/>
    </row>
    <row r="12" spans="1:6" ht="18.899999999999999" customHeight="1">
      <c r="A12" s="503"/>
      <c r="B12" s="509" t="s">
        <v>418</v>
      </c>
      <c r="C12" s="510" t="s">
        <v>431</v>
      </c>
      <c r="D12" s="509" t="s">
        <v>419</v>
      </c>
      <c r="E12" s="510" t="s">
        <v>417</v>
      </c>
      <c r="F12" s="354"/>
    </row>
    <row r="13" spans="1:6" ht="18.899999999999999" customHeight="1">
      <c r="A13" s="503"/>
      <c r="B13" s="509" t="s">
        <v>420</v>
      </c>
      <c r="C13" s="511">
        <v>1</v>
      </c>
      <c r="D13" s="509" t="s">
        <v>421</v>
      </c>
      <c r="E13" s="510" t="s">
        <v>417</v>
      </c>
      <c r="F13" s="354"/>
    </row>
    <row r="14" spans="1:6" ht="18.899999999999999" customHeight="1">
      <c r="A14" s="503"/>
      <c r="B14" s="509" t="s">
        <v>422</v>
      </c>
      <c r="C14" s="511">
        <v>2.5</v>
      </c>
      <c r="D14" s="509" t="s">
        <v>423</v>
      </c>
      <c r="E14" s="510" t="s">
        <v>417</v>
      </c>
      <c r="F14" s="354"/>
    </row>
    <row r="15" spans="1:6" ht="18.899999999999999" customHeight="1">
      <c r="A15" s="503"/>
      <c r="B15" s="509" t="s">
        <v>424</v>
      </c>
      <c r="C15" s="510" t="s">
        <v>698</v>
      </c>
      <c r="D15" s="504"/>
      <c r="E15" s="504"/>
      <c r="F15" s="354"/>
    </row>
    <row r="16" spans="1:6" ht="18.899999999999999" customHeight="1">
      <c r="A16" s="352"/>
      <c r="B16" s="353"/>
      <c r="C16" s="353"/>
      <c r="D16" s="353"/>
      <c r="E16" s="353"/>
      <c r="F16" s="354"/>
    </row>
    <row r="17" spans="1:8" ht="18.899999999999999" customHeight="1">
      <c r="A17" s="352"/>
      <c r="B17" s="353"/>
      <c r="C17" s="353"/>
      <c r="D17" s="353"/>
      <c r="E17" s="353"/>
      <c r="F17" s="354"/>
    </row>
    <row r="18" spans="1:8" ht="18.899999999999999" customHeight="1">
      <c r="A18" s="352"/>
      <c r="B18" s="353"/>
      <c r="C18" s="353"/>
      <c r="D18" s="353"/>
      <c r="E18" s="353"/>
      <c r="F18" s="354"/>
    </row>
    <row r="19" spans="1:8" ht="18.899999999999999" customHeight="1">
      <c r="A19" s="352"/>
      <c r="B19" s="353"/>
      <c r="C19" s="353"/>
      <c r="D19" s="353"/>
      <c r="E19" s="353"/>
      <c r="F19" s="354"/>
    </row>
    <row r="20" spans="1:8" ht="18.899999999999999" customHeight="1">
      <c r="A20" s="352"/>
      <c r="B20" s="353"/>
      <c r="C20" s="353"/>
      <c r="D20" s="353"/>
      <c r="E20" s="353"/>
      <c r="F20" s="354"/>
    </row>
    <row r="21" spans="1:8" ht="18.899999999999999" customHeight="1">
      <c r="A21" s="352"/>
      <c r="B21" s="353"/>
      <c r="C21" s="353"/>
      <c r="D21" s="353"/>
      <c r="E21" s="353"/>
      <c r="F21" s="354"/>
    </row>
    <row r="22" spans="1:8" ht="18.899999999999999" customHeight="1">
      <c r="A22" s="352"/>
      <c r="B22" s="353"/>
      <c r="C22" s="353"/>
      <c r="D22" s="353"/>
      <c r="E22" s="353"/>
      <c r="F22" s="354"/>
    </row>
    <row r="23" spans="1:8" ht="18.899999999999999" customHeight="1">
      <c r="A23" s="352"/>
      <c r="B23" s="353"/>
      <c r="C23" s="353"/>
      <c r="D23" s="353"/>
      <c r="E23" s="353"/>
      <c r="F23" s="354"/>
    </row>
    <row r="24" spans="1:8" ht="18.899999999999999" customHeight="1">
      <c r="A24" s="352"/>
      <c r="B24" s="353"/>
      <c r="C24" s="353"/>
      <c r="D24" s="353"/>
      <c r="E24" s="353"/>
      <c r="F24" s="354"/>
      <c r="H24" s="374"/>
    </row>
    <row r="25" spans="1:8" ht="18.899999999999999" customHeight="1">
      <c r="A25" s="352"/>
      <c r="B25" s="353"/>
      <c r="C25" s="353"/>
      <c r="D25" s="353"/>
      <c r="E25" s="353"/>
      <c r="F25" s="354"/>
    </row>
    <row r="26" spans="1:8" ht="18.899999999999999" customHeight="1">
      <c r="A26" s="352"/>
      <c r="B26" s="353"/>
      <c r="C26" s="353"/>
      <c r="D26" s="353"/>
      <c r="E26" s="353"/>
      <c r="F26" s="354"/>
    </row>
    <row r="27" spans="1:8" ht="18.899999999999999" customHeight="1">
      <c r="A27" s="352"/>
      <c r="B27" s="353"/>
      <c r="C27" s="353"/>
      <c r="D27" s="353"/>
      <c r="E27" s="353"/>
      <c r="F27" s="354"/>
    </row>
    <row r="28" spans="1:8" ht="18.899999999999999" customHeight="1">
      <c r="A28" s="352"/>
      <c r="B28" s="353"/>
      <c r="C28" s="353"/>
      <c r="D28" s="353"/>
      <c r="E28" s="353"/>
      <c r="F28" s="354"/>
    </row>
    <row r="29" spans="1:8" ht="18.899999999999999" customHeight="1">
      <c r="A29" s="352"/>
      <c r="B29" s="353"/>
      <c r="C29" s="353"/>
      <c r="D29" s="353"/>
      <c r="E29" s="353"/>
      <c r="F29" s="354"/>
    </row>
    <row r="30" spans="1:8" ht="18.899999999999999" customHeight="1">
      <c r="A30" s="352"/>
      <c r="B30" s="353"/>
      <c r="C30" s="353"/>
      <c r="D30" s="353"/>
      <c r="E30" s="353"/>
      <c r="F30" s="354"/>
    </row>
    <row r="31" spans="1:8" ht="18.899999999999999" customHeight="1">
      <c r="A31" s="352"/>
      <c r="B31" s="353"/>
      <c r="C31" s="353"/>
      <c r="D31" s="353"/>
      <c r="E31" s="353"/>
      <c r="F31" s="354"/>
    </row>
    <row r="32" spans="1:8" ht="18.899999999999999" customHeight="1">
      <c r="A32" s="352"/>
      <c r="B32" s="353"/>
      <c r="C32" s="353"/>
      <c r="D32" s="353"/>
      <c r="E32" s="353"/>
      <c r="F32" s="354"/>
    </row>
    <row r="33" spans="1:6" ht="18.899999999999999" customHeight="1">
      <c r="A33" s="352"/>
      <c r="B33" s="353"/>
      <c r="C33" s="353"/>
      <c r="D33" s="353"/>
      <c r="E33" s="353"/>
      <c r="F33" s="354"/>
    </row>
    <row r="34" spans="1:6" ht="18.899999999999999" customHeight="1">
      <c r="A34" s="352"/>
      <c r="B34" s="353"/>
      <c r="C34" s="353"/>
      <c r="D34" s="353"/>
      <c r="E34" s="353"/>
      <c r="F34" s="354"/>
    </row>
    <row r="35" spans="1:6" ht="18.899999999999999" customHeight="1">
      <c r="A35" s="352"/>
      <c r="B35" s="353"/>
      <c r="C35" s="353"/>
      <c r="D35" s="353"/>
      <c r="E35" s="353"/>
      <c r="F35" s="354"/>
    </row>
    <row r="36" spans="1:6" ht="18.899999999999999" customHeight="1">
      <c r="A36" s="352"/>
      <c r="B36" s="353"/>
      <c r="C36" s="353"/>
      <c r="D36" s="353"/>
      <c r="E36" s="353"/>
      <c r="F36" s="354"/>
    </row>
    <row r="37" spans="1:6" ht="18.899999999999999" customHeight="1">
      <c r="A37" s="352"/>
      <c r="B37" s="353"/>
      <c r="C37" s="353"/>
      <c r="D37" s="353"/>
      <c r="E37" s="353"/>
      <c r="F37" s="354"/>
    </row>
    <row r="38" spans="1:6" ht="18.899999999999999" customHeight="1">
      <c r="A38" s="352"/>
      <c r="B38" s="353"/>
      <c r="C38" s="353"/>
      <c r="D38" s="353"/>
      <c r="E38" s="353"/>
      <c r="F38" s="354"/>
    </row>
    <row r="39" spans="1:6" ht="18.899999999999999" customHeight="1">
      <c r="A39" s="512" t="s">
        <v>425</v>
      </c>
      <c r="B39" s="513"/>
      <c r="C39" s="513"/>
      <c r="D39" s="504"/>
      <c r="E39" s="509" t="s">
        <v>426</v>
      </c>
      <c r="F39" s="514" t="s">
        <v>364</v>
      </c>
    </row>
    <row r="40" spans="1:6" ht="18.899999999999999" customHeight="1">
      <c r="A40" s="503"/>
      <c r="B40" s="513"/>
      <c r="C40" s="513"/>
      <c r="D40" s="504"/>
      <c r="E40" s="504"/>
      <c r="F40" s="505"/>
    </row>
    <row r="41" spans="1:6" ht="18.899999999999999" customHeight="1">
      <c r="A41" s="503"/>
      <c r="B41" s="513"/>
      <c r="C41" s="513"/>
      <c r="D41" s="504"/>
      <c r="E41" s="504"/>
      <c r="F41" s="505"/>
    </row>
    <row r="42" spans="1:6" ht="18.899999999999999" customHeight="1">
      <c r="A42" s="503"/>
      <c r="B42" s="504"/>
      <c r="C42" s="504"/>
      <c r="D42" s="504"/>
      <c r="E42" s="504"/>
      <c r="F42" s="505"/>
    </row>
    <row r="43" spans="1:6" ht="18.899999999999999" customHeight="1">
      <c r="A43" s="515"/>
      <c r="B43" s="513"/>
      <c r="C43" s="516" t="s">
        <v>427</v>
      </c>
      <c r="D43" s="517" t="str">
        <f>'Performance Data Sheet'!K43</f>
        <v>Mario L</v>
      </c>
      <c r="E43" s="516" t="s">
        <v>428</v>
      </c>
      <c r="F43" s="5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375" t="s">
        <v>432</v>
      </c>
      <c r="B53" s="375" t="s">
        <v>142</v>
      </c>
      <c r="C53" s="375" t="s">
        <v>120</v>
      </c>
      <c r="D53" s="375" t="s">
        <v>135</v>
      </c>
      <c r="E53" s="375" t="s">
        <v>5</v>
      </c>
      <c r="F53" s="376" t="s">
        <v>591</v>
      </c>
    </row>
    <row r="54" spans="1:6" ht="15" customHeight="1">
      <c r="A54" s="377">
        <v>0</v>
      </c>
      <c r="B54" s="378"/>
      <c r="C54" s="379"/>
      <c r="D54" s="379">
        <v>47.519069203843465</v>
      </c>
      <c r="E54" s="379">
        <v>100</v>
      </c>
      <c r="F54" s="380">
        <v>0.67459999999999998</v>
      </c>
    </row>
    <row r="55" spans="1:6" ht="15" customHeight="1">
      <c r="A55" s="381">
        <v>25</v>
      </c>
      <c r="B55" s="382">
        <v>91.384986877441406</v>
      </c>
      <c r="C55" s="383">
        <v>80.587455749511719</v>
      </c>
      <c r="D55" s="383">
        <v>91.432243347167969</v>
      </c>
      <c r="E55" s="383">
        <v>84.611807335276865</v>
      </c>
      <c r="F55" s="384">
        <v>8.507921216985876</v>
      </c>
    </row>
    <row r="56" spans="1:6" ht="15" customHeight="1">
      <c r="A56" s="381">
        <v>50</v>
      </c>
      <c r="B56" s="382">
        <v>94.437095642089844</v>
      </c>
      <c r="C56" s="383">
        <v>91.134536743164063</v>
      </c>
      <c r="D56" s="383">
        <v>156.47540283203125</v>
      </c>
      <c r="E56" s="383">
        <v>68.527800178245244</v>
      </c>
      <c r="F56" s="384">
        <v>16.465908221027192</v>
      </c>
    </row>
    <row r="57" spans="1:6">
      <c r="A57" s="381">
        <v>75</v>
      </c>
      <c r="B57" s="382">
        <v>95.319160461425781</v>
      </c>
      <c r="C57" s="383">
        <v>93.388114929199219</v>
      </c>
      <c r="D57" s="383">
        <v>226.92958068847656</v>
      </c>
      <c r="E57" s="383">
        <v>52.380875977709486</v>
      </c>
      <c r="F57" s="384">
        <v>24.47030327145222</v>
      </c>
    </row>
    <row r="58" spans="1:6">
      <c r="A58" s="381">
        <v>100</v>
      </c>
      <c r="B58" s="382">
        <v>95.630836486816406</v>
      </c>
      <c r="C58" s="383">
        <v>93.917182922363281</v>
      </c>
      <c r="D58" s="383">
        <v>299.88766479492188</v>
      </c>
      <c r="E58" s="383">
        <v>35.430330936789957</v>
      </c>
      <c r="F58" s="384">
        <v>32.520731250286879</v>
      </c>
    </row>
    <row r="59" spans="1:6" ht="13.8" thickBot="1">
      <c r="A59" s="385">
        <v>125</v>
      </c>
      <c r="B59" s="386">
        <v>95.696624755859375</v>
      </c>
      <c r="C59" s="387">
        <v>93.789390563964844</v>
      </c>
      <c r="D59" s="387">
        <v>375.11233520507813</v>
      </c>
      <c r="E59" s="387">
        <v>19.032361669254616</v>
      </c>
      <c r="F59" s="388">
        <v>40.622973059730569</v>
      </c>
    </row>
    <row r="60" spans="1:6">
      <c r="A60" s="358"/>
      <c r="B60" s="359"/>
      <c r="C60" s="359"/>
    </row>
    <row r="61" spans="1:6">
      <c r="A61" s="358"/>
      <c r="B61" s="359"/>
      <c r="C61" s="359"/>
    </row>
    <row r="62" spans="1:6">
      <c r="A62" s="358"/>
      <c r="B62" s="359"/>
      <c r="C62" s="359"/>
    </row>
    <row r="63" spans="1:6">
      <c r="A63" s="358"/>
      <c r="B63" s="359"/>
      <c r="C63" s="359"/>
    </row>
    <row r="64" spans="1:6">
      <c r="A64" s="358"/>
      <c r="B64" s="359"/>
      <c r="C64" s="359"/>
    </row>
    <row r="65" spans="1:3">
      <c r="A65" s="358"/>
      <c r="B65" s="359"/>
      <c r="C65" s="359"/>
    </row>
    <row r="66" spans="1:3">
      <c r="A66" s="358"/>
      <c r="B66" s="359"/>
      <c r="C66" s="359"/>
    </row>
    <row r="67" spans="1:3">
      <c r="A67" s="360"/>
      <c r="B67" s="359"/>
      <c r="C67" s="35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1" transitionEvaluation="1"/>
  <dimension ref="A1:N121"/>
  <sheetViews>
    <sheetView showGridLines="0" zoomScale="90" workbookViewId="0">
      <selection activeCell="O21" sqref="O21"/>
    </sheetView>
  </sheetViews>
  <sheetFormatPr defaultColWidth="12.5546875" defaultRowHeight="15.6"/>
  <cols>
    <col min="1" max="13" width="7" style="396" customWidth="1"/>
    <col min="14" max="14" width="7.109375" style="396" customWidth="1"/>
    <col min="15" max="16384" width="12.5546875" style="396"/>
  </cols>
  <sheetData>
    <row r="1" spans="1:14" ht="17.100000000000001" customHeight="1">
      <c r="A1" s="389" t="s">
        <v>252</v>
      </c>
      <c r="B1" s="390"/>
      <c r="C1" s="390"/>
      <c r="D1" s="390"/>
      <c r="E1" s="390"/>
      <c r="F1" s="390"/>
      <c r="G1" s="390"/>
      <c r="H1" s="390"/>
      <c r="I1" s="390"/>
      <c r="J1" s="391" t="s">
        <v>592</v>
      </c>
      <c r="K1" s="392"/>
      <c r="L1" s="393" t="s">
        <v>593</v>
      </c>
      <c r="M1" s="394"/>
      <c r="N1" s="395"/>
    </row>
    <row r="2" spans="1:14" ht="17.100000000000001" customHeight="1">
      <c r="A2" s="397" t="s">
        <v>594</v>
      </c>
      <c r="B2" s="398"/>
      <c r="C2" s="398"/>
      <c r="D2" s="398"/>
      <c r="E2" s="398"/>
      <c r="F2" s="398"/>
      <c r="G2" s="398"/>
      <c r="H2" s="398"/>
      <c r="I2" s="398"/>
      <c r="J2" s="399" t="s">
        <v>595</v>
      </c>
      <c r="K2" s="400"/>
      <c r="L2" s="401" t="s">
        <v>596</v>
      </c>
      <c r="M2" s="402"/>
      <c r="N2" s="395"/>
    </row>
    <row r="3" spans="1:14" ht="15.9" customHeight="1">
      <c r="A3" s="403"/>
      <c r="B3" s="404"/>
      <c r="C3" s="404"/>
      <c r="D3" s="404"/>
      <c r="E3" s="404"/>
      <c r="F3" s="404"/>
      <c r="G3" s="404"/>
      <c r="H3" s="404"/>
      <c r="I3" s="404"/>
      <c r="J3" s="399" t="s">
        <v>597</v>
      </c>
      <c r="K3" s="400"/>
      <c r="L3" s="405" t="s">
        <v>598</v>
      </c>
      <c r="M3" s="402"/>
      <c r="N3" s="395"/>
    </row>
    <row r="4" spans="1:14" ht="15.9" customHeight="1">
      <c r="A4" s="406"/>
      <c r="B4" s="404"/>
      <c r="C4" s="404"/>
      <c r="D4" s="404"/>
      <c r="E4" s="404"/>
      <c r="F4" s="404"/>
      <c r="G4" s="404"/>
      <c r="H4" s="404"/>
      <c r="I4" s="404"/>
      <c r="J4" s="399" t="s">
        <v>599</v>
      </c>
      <c r="K4" s="400"/>
      <c r="L4" s="405" t="s">
        <v>600</v>
      </c>
      <c r="M4" s="402"/>
      <c r="N4" s="395"/>
    </row>
    <row r="5" spans="1:14" ht="15.9" customHeight="1">
      <c r="A5" s="403"/>
      <c r="B5" s="404"/>
      <c r="C5" s="404"/>
      <c r="D5" s="404"/>
      <c r="E5" s="404"/>
      <c r="F5" s="404"/>
      <c r="G5" s="404"/>
      <c r="H5" s="404"/>
      <c r="I5" s="404"/>
      <c r="J5" s="399" t="s">
        <v>601</v>
      </c>
      <c r="K5" s="400"/>
      <c r="L5" s="401">
        <v>1</v>
      </c>
      <c r="M5" s="402"/>
      <c r="N5" s="395"/>
    </row>
    <row r="6" spans="1:14" ht="15.9" customHeight="1">
      <c r="A6" s="407" t="s">
        <v>602</v>
      </c>
      <c r="B6" s="404"/>
      <c r="C6" s="404"/>
      <c r="D6" s="404"/>
      <c r="E6" s="404"/>
      <c r="F6" s="404"/>
      <c r="G6" s="404"/>
      <c r="H6" s="404"/>
      <c r="I6" s="404"/>
      <c r="J6" s="399" t="s">
        <v>603</v>
      </c>
      <c r="K6" s="400"/>
      <c r="L6" s="401" t="s">
        <v>604</v>
      </c>
      <c r="M6" s="402"/>
      <c r="N6" s="395"/>
    </row>
    <row r="7" spans="1:14" ht="15.9" customHeight="1" thickBot="1">
      <c r="A7" s="408" t="s">
        <v>605</v>
      </c>
      <c r="B7" s="409"/>
      <c r="C7" s="409"/>
      <c r="D7" s="409"/>
      <c r="E7" s="409"/>
      <c r="F7" s="409"/>
      <c r="G7" s="409"/>
      <c r="H7" s="409"/>
      <c r="I7" s="409"/>
      <c r="J7" s="410" t="s">
        <v>606</v>
      </c>
      <c r="K7" s="411"/>
      <c r="L7" s="412" t="s">
        <v>607</v>
      </c>
      <c r="M7" s="413"/>
      <c r="N7" s="395"/>
    </row>
    <row r="8" spans="1:14" ht="15.9" customHeight="1">
      <c r="A8" s="414"/>
      <c r="B8" s="404"/>
      <c r="C8" s="404"/>
      <c r="D8" s="404"/>
      <c r="E8" s="404"/>
      <c r="F8" s="404"/>
      <c r="G8" s="404"/>
      <c r="H8" s="404"/>
      <c r="I8" s="404"/>
      <c r="J8" s="404"/>
      <c r="K8" s="415"/>
      <c r="L8" s="416"/>
      <c r="M8" s="417"/>
      <c r="N8" s="404"/>
    </row>
    <row r="9" spans="1:14" ht="12" customHeight="1">
      <c r="A9" s="418"/>
      <c r="B9" s="419" t="s">
        <v>608</v>
      </c>
      <c r="C9" s="420"/>
      <c r="D9" s="421"/>
      <c r="E9" s="421"/>
      <c r="F9" s="421"/>
      <c r="G9" s="421"/>
      <c r="H9" s="421"/>
      <c r="I9" s="421"/>
      <c r="J9" s="421"/>
      <c r="K9" s="422"/>
      <c r="L9" s="418"/>
      <c r="M9" s="421"/>
      <c r="N9" s="404"/>
    </row>
    <row r="10" spans="1:14" ht="12" customHeight="1">
      <c r="A10" s="418"/>
      <c r="B10" s="419" t="s">
        <v>609</v>
      </c>
      <c r="C10" s="423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6"/>
    </row>
    <row r="11" spans="1:14" ht="16.2" thickBot="1">
      <c r="A11" s="416"/>
      <c r="B11" s="416"/>
      <c r="C11" s="416"/>
      <c r="D11" s="416"/>
      <c r="E11" s="416"/>
      <c r="F11" s="416"/>
      <c r="G11" s="416"/>
      <c r="H11" s="416"/>
      <c r="I11" s="416"/>
      <c r="J11" s="416"/>
      <c r="K11" s="416"/>
      <c r="L11" s="416"/>
      <c r="M11" s="416"/>
      <c r="N11" s="416"/>
    </row>
    <row r="12" spans="1:14" ht="20.100000000000001" customHeight="1" thickBot="1">
      <c r="A12" s="424" t="s">
        <v>610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6"/>
      <c r="N12" s="395"/>
    </row>
    <row r="13" spans="1:14" ht="12.9" customHeight="1" thickTop="1">
      <c r="A13" s="427"/>
      <c r="B13" s="419" t="s">
        <v>611</v>
      </c>
      <c r="C13" s="428">
        <v>2500</v>
      </c>
      <c r="D13" s="418"/>
      <c r="E13" s="419" t="s">
        <v>612</v>
      </c>
      <c r="F13" s="428">
        <v>4000</v>
      </c>
      <c r="G13" s="418"/>
      <c r="H13" s="419" t="s">
        <v>613</v>
      </c>
      <c r="I13" s="428" t="s">
        <v>695</v>
      </c>
      <c r="J13" s="418"/>
      <c r="K13" s="418"/>
      <c r="L13" s="419" t="s">
        <v>614</v>
      </c>
      <c r="M13" s="429">
        <v>3600</v>
      </c>
      <c r="N13" s="395"/>
    </row>
    <row r="14" spans="1:14" ht="12.9" customHeight="1">
      <c r="A14" s="427"/>
      <c r="B14" s="419" t="s">
        <v>615</v>
      </c>
      <c r="C14" s="428" t="s">
        <v>177</v>
      </c>
      <c r="D14" s="418"/>
      <c r="E14" s="419" t="s">
        <v>616</v>
      </c>
      <c r="F14" s="428" t="s">
        <v>696</v>
      </c>
      <c r="G14" s="418"/>
      <c r="H14" s="419" t="s">
        <v>617</v>
      </c>
      <c r="I14" s="428">
        <v>300</v>
      </c>
      <c r="J14" s="418"/>
      <c r="K14" s="418"/>
      <c r="L14" s="419" t="s">
        <v>415</v>
      </c>
      <c r="M14" s="429">
        <v>3581</v>
      </c>
      <c r="N14" s="395"/>
    </row>
    <row r="15" spans="1:14" ht="12.9" customHeight="1">
      <c r="A15" s="427"/>
      <c r="B15" s="419" t="s">
        <v>618</v>
      </c>
      <c r="C15" s="428" t="s">
        <v>176</v>
      </c>
      <c r="D15" s="418"/>
      <c r="E15" s="419" t="s">
        <v>619</v>
      </c>
      <c r="F15" s="428">
        <v>1.1499999999999999</v>
      </c>
      <c r="G15" s="418"/>
      <c r="H15" s="430" t="s">
        <v>620</v>
      </c>
      <c r="I15" s="428" t="s">
        <v>174</v>
      </c>
      <c r="J15" s="418"/>
      <c r="K15" s="418"/>
      <c r="L15" s="419" t="s">
        <v>621</v>
      </c>
      <c r="M15" s="429" t="s">
        <v>347</v>
      </c>
      <c r="N15" s="395"/>
    </row>
    <row r="16" spans="1:14" ht="12.9" customHeight="1">
      <c r="A16" s="427"/>
      <c r="B16" s="419" t="s">
        <v>622</v>
      </c>
      <c r="C16" s="428" t="s">
        <v>694</v>
      </c>
      <c r="D16" s="418"/>
      <c r="E16" s="419" t="s">
        <v>623</v>
      </c>
      <c r="F16" s="428" t="s">
        <v>469</v>
      </c>
      <c r="G16" s="418"/>
      <c r="H16" s="431" t="s">
        <v>624</v>
      </c>
      <c r="I16" s="432" t="s">
        <v>347</v>
      </c>
      <c r="J16" s="418"/>
      <c r="K16" s="418"/>
      <c r="L16" s="419" t="s">
        <v>625</v>
      </c>
      <c r="M16" s="429" t="s">
        <v>626</v>
      </c>
      <c r="N16" s="395"/>
    </row>
    <row r="17" spans="1:14" ht="12.9" customHeight="1">
      <c r="A17" s="427"/>
      <c r="B17" s="419" t="s">
        <v>627</v>
      </c>
      <c r="C17" s="420" t="s">
        <v>372</v>
      </c>
      <c r="D17" s="418"/>
      <c r="E17" s="419"/>
      <c r="F17" s="433"/>
      <c r="G17" s="418"/>
      <c r="H17" s="419" t="s">
        <v>628</v>
      </c>
      <c r="I17" s="432"/>
      <c r="J17" s="418"/>
      <c r="K17" s="418"/>
      <c r="L17" s="419"/>
      <c r="M17" s="434"/>
      <c r="N17" s="395"/>
    </row>
    <row r="18" spans="1:14" ht="12.9" customHeight="1" thickBot="1">
      <c r="A18" s="435"/>
      <c r="B18" s="436" t="s">
        <v>629</v>
      </c>
      <c r="C18" s="437" t="s">
        <v>174</v>
      </c>
      <c r="D18" s="438"/>
      <c r="E18" s="436" t="s">
        <v>630</v>
      </c>
      <c r="F18" s="437" t="s">
        <v>174</v>
      </c>
      <c r="G18" s="439"/>
      <c r="H18" s="436" t="s">
        <v>631</v>
      </c>
      <c r="I18" s="437" t="s">
        <v>174</v>
      </c>
      <c r="J18" s="438"/>
      <c r="K18" s="438"/>
      <c r="L18" s="438"/>
      <c r="M18" s="440"/>
      <c r="N18" s="395"/>
    </row>
    <row r="19" spans="1:14" ht="16.2" thickBot="1">
      <c r="A19" s="395"/>
      <c r="B19" s="395"/>
      <c r="C19" s="395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</row>
    <row r="20" spans="1:14" ht="20.100000000000001" customHeight="1" thickBot="1">
      <c r="A20" s="424"/>
      <c r="B20" s="425"/>
      <c r="C20" s="425"/>
      <c r="D20" s="425"/>
      <c r="E20" s="425"/>
      <c r="F20" s="425"/>
      <c r="G20" s="425"/>
      <c r="H20" s="425"/>
      <c r="I20" s="425"/>
      <c r="J20" s="425"/>
      <c r="K20" s="425"/>
      <c r="L20" s="425"/>
      <c r="M20" s="426"/>
    </row>
    <row r="21" spans="1:14" ht="15.9" customHeight="1" thickTop="1">
      <c r="A21" s="441" t="s">
        <v>632</v>
      </c>
      <c r="B21" s="442"/>
      <c r="C21" s="416"/>
      <c r="D21" s="443"/>
      <c r="E21" s="444" t="s">
        <v>633</v>
      </c>
      <c r="F21" s="445"/>
      <c r="G21" s="445"/>
      <c r="H21" s="446"/>
      <c r="I21" s="447" t="s">
        <v>634</v>
      </c>
      <c r="J21" s="445"/>
      <c r="K21" s="445"/>
      <c r="L21" s="416"/>
      <c r="M21" s="448"/>
    </row>
    <row r="22" spans="1:14" ht="15.9" customHeight="1">
      <c r="A22" s="449"/>
      <c r="B22" s="418"/>
      <c r="C22" s="419" t="s">
        <v>635</v>
      </c>
      <c r="D22" s="450">
        <v>1928</v>
      </c>
      <c r="E22" s="419"/>
      <c r="G22" s="431" t="s">
        <v>636</v>
      </c>
      <c r="H22" s="451">
        <v>3667</v>
      </c>
      <c r="I22" s="419"/>
      <c r="J22" s="418"/>
      <c r="K22" s="419" t="s">
        <v>637</v>
      </c>
      <c r="L22" s="695" t="s">
        <v>701</v>
      </c>
      <c r="M22" s="696"/>
    </row>
    <row r="23" spans="1:14" ht="15.9" customHeight="1">
      <c r="A23" s="449"/>
      <c r="B23" s="419"/>
      <c r="C23" s="422"/>
      <c r="D23" s="452"/>
      <c r="E23" s="419"/>
      <c r="G23" s="419" t="s">
        <v>638</v>
      </c>
      <c r="H23" s="450">
        <v>100</v>
      </c>
      <c r="I23" s="418"/>
      <c r="J23" s="418"/>
      <c r="K23" s="419" t="s">
        <v>639</v>
      </c>
      <c r="L23" s="695" t="s">
        <v>701</v>
      </c>
      <c r="M23" s="696"/>
    </row>
    <row r="24" spans="1:14" ht="15.9" customHeight="1">
      <c r="A24" s="427"/>
      <c r="B24" s="419"/>
      <c r="C24" s="418"/>
      <c r="D24" s="452"/>
      <c r="E24" s="419"/>
      <c r="G24" s="431" t="s">
        <v>640</v>
      </c>
      <c r="H24" s="450">
        <v>250</v>
      </c>
      <c r="I24" s="418"/>
      <c r="J24" s="419"/>
      <c r="K24" s="418"/>
      <c r="L24" s="418"/>
      <c r="M24" s="434"/>
    </row>
    <row r="25" spans="1:14" ht="15.9" customHeight="1" thickBot="1">
      <c r="A25" s="435"/>
      <c r="B25" s="436"/>
      <c r="C25" s="438"/>
      <c r="D25" s="453"/>
      <c r="E25" s="436"/>
      <c r="F25" s="436"/>
      <c r="G25" s="436"/>
      <c r="H25" s="454"/>
      <c r="I25" s="438"/>
      <c r="J25" s="436"/>
      <c r="K25" s="438"/>
      <c r="L25" s="438"/>
      <c r="M25" s="440"/>
    </row>
    <row r="26" spans="1:14" ht="18.899999999999999" customHeight="1" thickBot="1">
      <c r="A26" s="414"/>
      <c r="B26" s="414"/>
      <c r="C26" s="414"/>
      <c r="D26" s="395"/>
      <c r="E26" s="395"/>
      <c r="F26" s="395"/>
      <c r="G26" s="395"/>
      <c r="H26" s="395"/>
      <c r="I26" s="395"/>
      <c r="J26" s="395"/>
      <c r="K26" s="395"/>
      <c r="L26" s="395"/>
      <c r="M26" s="395"/>
      <c r="N26" s="395"/>
    </row>
    <row r="27" spans="1:14" ht="20.100000000000001" customHeight="1" thickBot="1">
      <c r="A27" s="455"/>
      <c r="B27" s="456"/>
      <c r="C27" s="456"/>
      <c r="D27" s="456"/>
      <c r="E27" s="456"/>
      <c r="F27" s="456"/>
      <c r="G27" s="457"/>
      <c r="H27" s="456"/>
      <c r="I27" s="456"/>
      <c r="J27" s="456"/>
      <c r="K27" s="456"/>
      <c r="L27" s="456"/>
      <c r="M27" s="458"/>
    </row>
    <row r="28" spans="1:14" ht="15.9" customHeight="1" thickTop="1">
      <c r="A28" s="459" t="s">
        <v>641</v>
      </c>
      <c r="B28" s="442"/>
      <c r="C28" s="416"/>
      <c r="D28" s="416"/>
      <c r="E28" s="445"/>
      <c r="F28" s="445"/>
      <c r="G28" s="460"/>
      <c r="H28" s="444" t="s">
        <v>642</v>
      </c>
      <c r="I28" s="445"/>
      <c r="J28" s="445"/>
      <c r="K28" s="444"/>
      <c r="L28" s="445"/>
      <c r="M28" s="448"/>
    </row>
    <row r="29" spans="1:14" ht="15.9" customHeight="1">
      <c r="A29" s="427"/>
      <c r="B29" s="419"/>
      <c r="C29" s="419" t="s">
        <v>643</v>
      </c>
      <c r="D29" s="461">
        <v>95.6</v>
      </c>
      <c r="E29" s="419"/>
      <c r="F29" s="419"/>
      <c r="G29" s="460"/>
      <c r="H29" s="431"/>
      <c r="I29" s="419"/>
      <c r="J29" s="419" t="s">
        <v>643</v>
      </c>
      <c r="K29" s="461">
        <v>93.9</v>
      </c>
      <c r="L29" s="418"/>
      <c r="M29" s="434"/>
    </row>
    <row r="30" spans="1:14" ht="15.9" customHeight="1">
      <c r="A30" s="462"/>
      <c r="B30" s="418"/>
      <c r="C30" s="419" t="s">
        <v>644</v>
      </c>
      <c r="D30" s="461">
        <v>95.3</v>
      </c>
      <c r="E30" s="419"/>
      <c r="F30" s="419"/>
      <c r="G30" s="460"/>
      <c r="H30" s="419"/>
      <c r="I30" s="418"/>
      <c r="J30" s="419" t="s">
        <v>644</v>
      </c>
      <c r="K30" s="461">
        <v>93.3</v>
      </c>
      <c r="L30" s="418"/>
      <c r="M30" s="434"/>
    </row>
    <row r="31" spans="1:14" ht="15.9" customHeight="1">
      <c r="A31" s="427"/>
      <c r="B31" s="419"/>
      <c r="C31" s="419" t="s">
        <v>645</v>
      </c>
      <c r="D31" s="461">
        <v>94.4</v>
      </c>
      <c r="E31" s="419"/>
      <c r="F31" s="419"/>
      <c r="G31" s="460"/>
      <c r="H31" s="419"/>
      <c r="I31" s="418"/>
      <c r="J31" s="419" t="s">
        <v>645</v>
      </c>
      <c r="K31" s="461">
        <v>91.1</v>
      </c>
      <c r="L31" s="419"/>
      <c r="M31" s="434"/>
    </row>
    <row r="32" spans="1:14" ht="15.9" customHeight="1" thickBot="1">
      <c r="A32" s="435"/>
      <c r="B32" s="436"/>
      <c r="C32" s="438"/>
      <c r="D32" s="438"/>
      <c r="E32" s="436"/>
      <c r="F32" s="436"/>
      <c r="G32" s="463"/>
      <c r="H32" s="436"/>
      <c r="I32" s="438"/>
      <c r="J32" s="436"/>
      <c r="K32" s="438"/>
      <c r="L32" s="436"/>
      <c r="M32" s="440"/>
    </row>
    <row r="33" spans="1:14" ht="20.100000000000001" customHeight="1" thickBot="1">
      <c r="A33" s="464"/>
      <c r="B33" s="464"/>
      <c r="C33" s="464"/>
      <c r="D33" s="464"/>
      <c r="E33" s="464"/>
      <c r="F33" s="464"/>
      <c r="G33" s="464"/>
      <c r="H33" s="464"/>
      <c r="I33" s="464"/>
      <c r="J33" s="464"/>
      <c r="K33" s="464"/>
      <c r="L33" s="464"/>
      <c r="M33" s="464"/>
      <c r="N33" s="464"/>
    </row>
    <row r="34" spans="1:14" ht="20.100000000000001" customHeight="1" thickBot="1">
      <c r="A34" s="465"/>
      <c r="B34" s="466"/>
      <c r="C34" s="466"/>
      <c r="D34" s="466"/>
      <c r="E34" s="466"/>
      <c r="F34" s="466"/>
      <c r="G34" s="466"/>
      <c r="H34" s="466"/>
      <c r="I34" s="466"/>
      <c r="J34" s="466"/>
      <c r="K34" s="466"/>
      <c r="L34" s="466"/>
      <c r="M34" s="467"/>
    </row>
    <row r="35" spans="1:14" ht="15.9" customHeight="1" thickTop="1">
      <c r="A35" s="468" t="s">
        <v>646</v>
      </c>
      <c r="B35" s="422"/>
      <c r="C35" s="422"/>
      <c r="D35" s="422"/>
      <c r="E35" s="422"/>
      <c r="F35" s="422"/>
      <c r="G35" s="422"/>
      <c r="H35" s="422"/>
      <c r="I35" s="422"/>
      <c r="J35" s="422"/>
      <c r="K35" s="422"/>
      <c r="L35" s="422"/>
      <c r="M35" s="469"/>
    </row>
    <row r="36" spans="1:14" ht="15.9" customHeight="1">
      <c r="A36" s="462" t="s">
        <v>647</v>
      </c>
      <c r="B36" s="422"/>
      <c r="C36" s="422"/>
      <c r="D36" s="422"/>
      <c r="E36" s="422"/>
      <c r="F36" s="422"/>
      <c r="G36" s="422"/>
      <c r="H36" s="422"/>
      <c r="I36" s="422"/>
      <c r="J36" s="422"/>
      <c r="K36" s="422"/>
      <c r="L36" s="422"/>
      <c r="M36" s="469"/>
    </row>
    <row r="37" spans="1:14" ht="15.9" customHeight="1">
      <c r="A37" s="470" t="s">
        <v>648</v>
      </c>
      <c r="B37" s="422"/>
      <c r="C37" s="422"/>
      <c r="D37" s="422"/>
      <c r="E37" s="471"/>
      <c r="F37" s="422"/>
      <c r="G37" s="422"/>
      <c r="H37" s="422"/>
      <c r="I37" s="422"/>
      <c r="J37" s="422"/>
      <c r="K37" s="422"/>
      <c r="L37" s="422"/>
      <c r="M37" s="469"/>
    </row>
    <row r="38" spans="1:14" ht="15.9" customHeight="1">
      <c r="A38" s="472" t="s">
        <v>649</v>
      </c>
      <c r="B38" s="422"/>
      <c r="C38" s="422"/>
      <c r="D38" s="422"/>
      <c r="E38" s="422"/>
      <c r="F38" s="422"/>
      <c r="G38" s="422"/>
      <c r="H38" s="422"/>
      <c r="I38" s="422"/>
      <c r="J38" s="422"/>
      <c r="K38" s="422"/>
      <c r="L38" s="422"/>
      <c r="M38" s="469"/>
    </row>
    <row r="39" spans="1:14" ht="15.9" customHeight="1">
      <c r="A39" s="473" t="s">
        <v>650</v>
      </c>
      <c r="B39" s="422"/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69"/>
    </row>
    <row r="40" spans="1:14" ht="15.9" customHeight="1" thickBot="1">
      <c r="A40" s="474" t="s">
        <v>651</v>
      </c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6"/>
    </row>
    <row r="41" spans="1:14" ht="15.9" customHeight="1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4" ht="15.9" customHeight="1"/>
    <row r="43" spans="1:14" ht="18.600000000000001">
      <c r="A43" s="477"/>
      <c r="B43" s="477"/>
      <c r="C43" s="477"/>
      <c r="D43" s="477"/>
      <c r="E43" s="477"/>
      <c r="F43" s="477"/>
      <c r="G43" s="477"/>
      <c r="H43" s="395"/>
      <c r="I43" s="395"/>
      <c r="J43" s="478" t="s">
        <v>652</v>
      </c>
      <c r="K43" s="697" t="s">
        <v>334</v>
      </c>
      <c r="L43" s="697"/>
      <c r="M43" s="697"/>
      <c r="N43" s="477"/>
    </row>
    <row r="44" spans="1:14" ht="7.5" customHeight="1">
      <c r="H44" s="395"/>
      <c r="I44" s="395"/>
      <c r="J44" s="395"/>
      <c r="K44" s="395"/>
      <c r="L44" s="395"/>
      <c r="M44" s="395"/>
    </row>
    <row r="45" spans="1:14" ht="16.8">
      <c r="H45" s="395"/>
      <c r="I45" s="395"/>
      <c r="J45" s="478" t="s">
        <v>653</v>
      </c>
      <c r="K45" s="698">
        <v>41934</v>
      </c>
      <c r="L45" s="698"/>
      <c r="M45" s="698"/>
    </row>
    <row r="60" spans="1:5">
      <c r="A60" s="396" t="s">
        <v>174</v>
      </c>
      <c r="B60" s="396" t="s">
        <v>701</v>
      </c>
      <c r="D60" s="396">
        <v>1</v>
      </c>
      <c r="E60" s="479" t="s">
        <v>174</v>
      </c>
    </row>
    <row r="61" spans="1:5">
      <c r="A61" s="396" t="s">
        <v>654</v>
      </c>
      <c r="B61" s="396" t="s">
        <v>655</v>
      </c>
      <c r="D61" s="396">
        <v>1.1499999999999999</v>
      </c>
      <c r="E61" s="479" t="s">
        <v>351</v>
      </c>
    </row>
    <row r="62" spans="1:5">
      <c r="A62" s="396" t="s">
        <v>656</v>
      </c>
      <c r="B62" s="396" t="s">
        <v>657</v>
      </c>
      <c r="E62" s="479" t="s">
        <v>303</v>
      </c>
    </row>
    <row r="63" spans="1:5">
      <c r="B63" s="396" t="s">
        <v>658</v>
      </c>
    </row>
    <row r="64" spans="1:5">
      <c r="B64" s="396" t="s">
        <v>659</v>
      </c>
    </row>
    <row r="65" spans="2:2">
      <c r="B65" s="396" t="s">
        <v>660</v>
      </c>
    </row>
    <row r="66" spans="2:2">
      <c r="B66" s="396" t="s">
        <v>661</v>
      </c>
    </row>
    <row r="67" spans="2:2">
      <c r="B67" s="396" t="s">
        <v>662</v>
      </c>
    </row>
    <row r="68" spans="2:2">
      <c r="B68" s="396" t="s">
        <v>663</v>
      </c>
    </row>
    <row r="69" spans="2:2">
      <c r="B69" s="396" t="s">
        <v>664</v>
      </c>
    </row>
    <row r="70" spans="2:2">
      <c r="B70" s="396" t="s">
        <v>665</v>
      </c>
    </row>
    <row r="71" spans="2:2">
      <c r="B71" s="396" t="s">
        <v>666</v>
      </c>
    </row>
    <row r="72" spans="2:2">
      <c r="B72" s="396" t="s">
        <v>667</v>
      </c>
    </row>
    <row r="73" spans="2:2">
      <c r="B73" s="396" t="s">
        <v>668</v>
      </c>
    </row>
    <row r="74" spans="2:2">
      <c r="B74" s="396" t="s">
        <v>669</v>
      </c>
    </row>
    <row r="75" spans="2:2">
      <c r="B75" s="396" t="s">
        <v>670</v>
      </c>
    </row>
    <row r="76" spans="2:2">
      <c r="B76" s="396" t="s">
        <v>671</v>
      </c>
    </row>
    <row r="77" spans="2:2">
      <c r="B77" s="396" t="s">
        <v>672</v>
      </c>
    </row>
    <row r="78" spans="2:2">
      <c r="B78" s="396" t="s">
        <v>673</v>
      </c>
    </row>
    <row r="79" spans="2:2">
      <c r="B79" s="396" t="s">
        <v>674</v>
      </c>
    </row>
    <row r="80" spans="2:2">
      <c r="B80" s="396" t="s">
        <v>675</v>
      </c>
    </row>
    <row r="81" spans="2:2">
      <c r="B81" s="396">
        <v>6312</v>
      </c>
    </row>
    <row r="82" spans="2:2">
      <c r="B82" s="396" t="s">
        <v>676</v>
      </c>
    </row>
    <row r="83" spans="2:2">
      <c r="B83" s="396" t="s">
        <v>677</v>
      </c>
    </row>
    <row r="84" spans="2:2">
      <c r="B84" s="396" t="s">
        <v>678</v>
      </c>
    </row>
    <row r="85" spans="2:2">
      <c r="B85" s="396" t="s">
        <v>679</v>
      </c>
    </row>
    <row r="86" spans="2:2">
      <c r="B86" s="396">
        <v>6313</v>
      </c>
    </row>
    <row r="87" spans="2:2">
      <c r="B87" s="396" t="s">
        <v>680</v>
      </c>
    </row>
    <row r="88" spans="2:2">
      <c r="B88" s="396" t="s">
        <v>681</v>
      </c>
    </row>
    <row r="89" spans="2:2">
      <c r="B89" s="396" t="s">
        <v>682</v>
      </c>
    </row>
    <row r="90" spans="2:2">
      <c r="B90" s="396">
        <v>6314</v>
      </c>
    </row>
    <row r="91" spans="2:2">
      <c r="B91" s="396" t="s">
        <v>683</v>
      </c>
    </row>
    <row r="92" spans="2:2">
      <c r="B92" s="396">
        <v>6317</v>
      </c>
    </row>
    <row r="93" spans="2:2">
      <c r="B93" s="396" t="s">
        <v>684</v>
      </c>
    </row>
    <row r="94" spans="2:2">
      <c r="B94" s="396">
        <v>6318</v>
      </c>
    </row>
    <row r="95" spans="2:2">
      <c r="B95" s="396" t="s">
        <v>685</v>
      </c>
    </row>
    <row r="96" spans="2:2">
      <c r="B96" s="396" t="s">
        <v>686</v>
      </c>
    </row>
    <row r="97" spans="2:2">
      <c r="B97" s="396" t="s">
        <v>687</v>
      </c>
    </row>
    <row r="98" spans="2:2">
      <c r="B98" s="396">
        <v>6320</v>
      </c>
    </row>
    <row r="99" spans="2:2">
      <c r="B99" s="396" t="s">
        <v>688</v>
      </c>
    </row>
    <row r="100" spans="2:2">
      <c r="B100" s="396" t="s">
        <v>689</v>
      </c>
    </row>
    <row r="101" spans="2:2">
      <c r="B101" s="396" t="s">
        <v>690</v>
      </c>
    </row>
    <row r="102" spans="2:2">
      <c r="B102" s="396" t="s">
        <v>691</v>
      </c>
    </row>
    <row r="103" spans="2:2">
      <c r="B103" s="396" t="s">
        <v>691</v>
      </c>
    </row>
    <row r="104" spans="2:2">
      <c r="B104" s="396" t="s">
        <v>697</v>
      </c>
    </row>
    <row r="119" spans="2:2">
      <c r="B119" s="396" t="s">
        <v>692</v>
      </c>
    </row>
    <row r="121" spans="2:2">
      <c r="B121" s="396" t="s">
        <v>693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 xr:uid="{00000000-0002-0000-0900-000000000000}">
      <formula1>$E$60:$E$62</formula1>
    </dataValidation>
    <dataValidation type="list" allowBlank="1" showInputMessage="1" showErrorMessage="1" prompt="Pick from list" sqref="F15" xr:uid="{00000000-0002-0000-0900-000001000000}">
      <formula1>$D$60:$D$61</formula1>
    </dataValidation>
    <dataValidation type="list" allowBlank="1" showInputMessage="1" showErrorMessage="1" prompt="Choose from list" sqref="L22:L23" xr:uid="{00000000-0002-0000-0900-000002000000}">
      <formula1>$B$60:$B$103</formula1>
    </dataValidation>
    <dataValidation type="list" errorStyle="warning" allowBlank="1" showInputMessage="1" showErrorMessage="1" error="You should choose from the list!" prompt="Choose Enclosure Type" sqref="F14" xr:uid="{00000000-0002-0000-0900-000003000000}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2014-10-27T20:42:53Z</cp:lastPrinted>
  <dcterms:created xsi:type="dcterms:W3CDTF">1997-10-03T20:37:30Z</dcterms:created>
  <dcterms:modified xsi:type="dcterms:W3CDTF">2024-02-07T15:32:25Z</dcterms:modified>
</cp:coreProperties>
</file>