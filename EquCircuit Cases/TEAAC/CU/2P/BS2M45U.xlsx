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824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5" i="5" l="1"/>
  <c r="D43" i="10" l="1"/>
  <c r="D43" i="8"/>
  <c r="F9" i="10"/>
  <c r="F8" i="10"/>
  <c r="F7" i="10"/>
  <c r="B7" i="10"/>
  <c r="B6" i="10"/>
  <c r="F9" i="8"/>
  <c r="F8" i="8"/>
  <c r="F7" i="8"/>
  <c r="B7" i="8"/>
  <c r="B6" i="8"/>
  <c r="D43" i="6"/>
  <c r="F9" i="6"/>
  <c r="F8" i="6"/>
  <c r="F7" i="6"/>
  <c r="B7" i="6"/>
  <c r="B6" i="6"/>
  <c r="C76" i="8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<sst xmlns="http://schemas.openxmlformats.org/spreadsheetml/2006/main" count="992" uniqueCount="754">
  <si>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</si>
  <si>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</si>
  <si>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</si>
  <si>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</si>
  <si>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</si>
  <si>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</si>
  <si>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</si>
  <si>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</si>
  <si>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</si>
  <si>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</si>
  <si>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</si>
  <si>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</si>
  <si>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</si>
  <si>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</si>
  <si>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</si>
  <si>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</si>
  <si>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</si>
  <si>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</si>
  <si>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</si>
  <si>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</si>
  <si>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</si>
  <si>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</si>
  <si>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</si>
  <si>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</si>
  <si>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</si>
  <si>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</si>
  <si>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</si>
  <si>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</si>
  <si>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</si>
  <si>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</si>
  <si>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</si>
  <si>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</si>
  <si>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</si>
  <si>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</si>
  <si>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</si>
  <si>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</si>
  <si>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</si>
  <si>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</si>
  <si>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</si>
  <si>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</si>
  <si>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</si>
  <si>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</si>
  <si>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</si>
  <si>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</si>
  <si>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</si>
  <si>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</si>
  <si>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</si>
  <si>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</si>
  <si>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</si>
  <si>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</si>
  <si>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</si>
  <si>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</si>
  <si>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</si>
  <si>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</si>
  <si>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</si>
  <si>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</si>
  <si>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</si>
  <si>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</si>
  <si>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</si>
  <si>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</si>
  <si>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</si>
  <si>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</si>
  <si>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</si>
  <si>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</si>
  <si>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</si>
  <si>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</si>
  <si>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</si>
  <si>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</si>
  <si>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</si>
  <si>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</si>
  <si>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</si>
  <si>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</si>
  <si>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</si>
  <si>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</si>
  <si>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</si>
  <si>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</si>
  <si>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</si>
  <si>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</si>
  <si>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</si>
  <si>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</si>
  <si>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</si>
  <si>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</si>
  <si>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</si>
  <si>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</si>
  <si>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</si>
  <si>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</si>
  <si>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</si>
  <si>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</si>
  <si>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</si>
  <si>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</si>
  <si>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</si>
  <si>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</si>
  <si>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</si>
  <si>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</si>
  <si>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</si>
  <si>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</si>
  <si>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</si>
  <si>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</si>
  <si>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</si>
  <si>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</si>
  <si>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</si>
  <si>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</si>
  <si>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</si>
  <si>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</si>
  <si>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</si>
  <si>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</si>
  <si>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</si>
  <si>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</si>
  <si>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</si>
  <si>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</si>
  <si>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</si>
  <si>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</si>
  <si>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</si>
  <si>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</si>
  <si>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</si>
  <si>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</si>
  <si>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</si>
  <si>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</si>
  <si>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</si>
  <si>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</si>
  <si>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</si>
  <si>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</si>
  <si>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</si>
  <si>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</si>
  <si>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</si>
  <si>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</si>
  <si>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</si>
  <si>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</si>
  <si>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</si>
  <si>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</si>
  <si>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</si>
  <si>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</si>
  <si>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</si>
  <si>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</si>
  <si>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</si>
  <si>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</si>
  <si>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</si>
  <si>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</si>
  <si>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</si>
  <si>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</si>
  <si>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</si>
  <si>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</si>
  <si>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</si>
  <si>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</si>
  <si>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</si>
  <si>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</si>
  <si>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</si>
  <si>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</si>
  <si>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</si>
  <si>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</si>
  <si>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</si>
  <si>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</si>
  <si>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</si>
  <si>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</si>
  <si>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</si>
  <si>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</si>
  <si>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</si>
  <si>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</si>
  <si>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</si>
  <si>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</si>
  <si>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</si>
  <si>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</si>
  <si>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</si>
  <si>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</si>
  <si>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</si>
  <si>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</si>
  <si>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</si>
  <si>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</si>
  <si>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</si>
  <si>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</si>
  <si>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</si>
  <si>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</si>
  <si>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</si>
  <si>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</si>
  <si>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</si>
  <si>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</si>
  <si>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</si>
  <si>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6813USS</t>
  </si>
  <si>
    <t>Open</t>
  </si>
  <si>
    <t>Trapeze</t>
  </si>
  <si>
    <t>17.30 - 17.30</t>
  </si>
  <si>
    <t>0.80 - 2.40</t>
  </si>
  <si>
    <t>Normal</t>
  </si>
  <si>
    <t>27 x 6</t>
  </si>
  <si>
    <t>17 x 6</t>
  </si>
  <si>
    <t>1 ~ 18</t>
  </si>
  <si>
    <t>(.072"x.258")x2</t>
  </si>
  <si>
    <t>Delta</t>
  </si>
  <si>
    <t>(105°C)</t>
  </si>
  <si>
    <t>CU</t>
  </si>
  <si>
    <t>ERD1: 328.0</t>
  </si>
  <si>
    <t>EBL: 62.5</t>
  </si>
  <si>
    <t>ERT: 65.54</t>
  </si>
  <si>
    <t>ERH: 57.50</t>
  </si>
  <si>
    <t>LB:  -</t>
  </si>
  <si>
    <t>LER:  -</t>
  </si>
  <si>
    <t>Single Cage Data</t>
  </si>
  <si>
    <t>UB: 322.1</t>
  </si>
  <si>
    <t>UER: 3768.4</t>
  </si>
  <si>
    <t>(Coeff.: 0.0624)</t>
  </si>
  <si>
    <t>Skew R.: 0.00</t>
  </si>
  <si>
    <t>Z:\Motor R&amp;D\Active Projects\6810 Development\Electrical Design\TEAAC\2P\Series\BS2M45U.rat</t>
  </si>
  <si>
    <t>2-2-2-0-1-2</t>
  </si>
  <si>
    <t>B.L.-1  P.F.-1</t>
  </si>
  <si>
    <t>11679.9 / 11796.9</t>
  </si>
  <si>
    <t>9370.1 / 8890.2</t>
  </si>
  <si>
    <t>33255.9 / 49408.8</t>
  </si>
  <si>
    <t>9407.5 / 29927.4</t>
  </si>
  <si>
    <t>23603.9 / 9613.7</t>
  </si>
  <si>
    <t>5842.2 / 2379.5</t>
  </si>
  <si>
    <t>17761.7 / 7234.2</t>
  </si>
  <si>
    <t>1.75 / 0.71</t>
  </si>
  <si>
    <t>76 / 75</t>
  </si>
  <si>
    <t>Temp. Rise @ 100%:</t>
  </si>
  <si>
    <t>Stray Loss</t>
  </si>
  <si>
    <t>0.923 / 0.909</t>
  </si>
  <si>
    <t>0.956 / 0.941</t>
  </si>
  <si>
    <t>0.966 / 0.951</t>
  </si>
  <si>
    <t>0.969 / 0.954</t>
  </si>
  <si>
    <t>0.970 / 0.955</t>
  </si>
  <si>
    <t>0.804 / 0.791</t>
  </si>
  <si>
    <t>0.919 / 0.904</t>
  </si>
  <si>
    <t>0.945 / 0.930</t>
  </si>
  <si>
    <t>0.951 / 0.936</t>
  </si>
  <si>
    <t>0.951 / 0.935</t>
  </si>
  <si>
    <t>81.62 / 84.25</t>
  </si>
  <si>
    <t>137.83 / 142.28</t>
  </si>
  <si>
    <t>199.10 / 205.53</t>
  </si>
  <si>
    <t>262.76 / 271.25</t>
  </si>
  <si>
    <t>328.43 / 339.04</t>
  </si>
  <si>
    <t>3.25 / 3.35</t>
  </si>
  <si>
    <t>UB: 4.60 / 4.74</t>
  </si>
  <si>
    <t>UER: 2.88 / 2.97</t>
  </si>
  <si>
    <t>3595.1 / 3595.4</t>
  </si>
  <si>
    <t>3590.3 / 3590.6</t>
  </si>
  <si>
    <t>3585.4 / 3585.7</t>
  </si>
  <si>
    <t>3580.4 / 3580.7</t>
  </si>
  <si>
    <t>3575.5 / 3575.8</t>
  </si>
  <si>
    <t>0.0014 / 0.0013</t>
  </si>
  <si>
    <t>0.0027 / 0.0026</t>
  </si>
  <si>
    <t>0.0040 / 0.0040</t>
  </si>
  <si>
    <t>0.0054 / 0.0054</t>
  </si>
  <si>
    <t>0.0068 / 0.0067</t>
  </si>
  <si>
    <t>25.349 / 25.388</t>
  </si>
  <si>
    <t>1.965 / 1.968</t>
  </si>
  <si>
    <t>44.04 / 44.10</t>
  </si>
  <si>
    <t>1789.4 / 1737.5</t>
  </si>
  <si>
    <t>681.0 / 661.3</t>
  </si>
  <si>
    <t>575.2 / 469.8</t>
  </si>
  <si>
    <t>126.0 / 102.9</t>
  </si>
  <si>
    <t>332.2 / 251.5</t>
  </si>
  <si>
    <t>Correlated to: P148450_TEAAC_CStubes_Lab1317.dat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</si>
  <si>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</si>
  <si>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</si>
  <si>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</si>
  <si>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</si>
  <si>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</si>
  <si>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</si>
  <si>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</si>
  <si>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</si>
  <si>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</si>
  <si>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</si>
  <si>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</si>
  <si>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</si>
  <si>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</si>
  <si>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</si>
  <si>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</si>
  <si>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</si>
  <si>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</si>
  <si>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</si>
  <si>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</si>
  <si>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</si>
  <si>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</si>
  <si>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</si>
  <si>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</si>
  <si>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</si>
  <si>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</si>
  <si>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</si>
  <si>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</si>
  <si>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</si>
  <si>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</si>
  <si>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</si>
  <si>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</si>
  <si>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</si>
  <si>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</si>
  <si>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</si>
  <si>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</si>
  <si>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</si>
  <si>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</si>
  <si>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</si>
  <si>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</si>
  <si>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</si>
  <si>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</si>
  <si>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</si>
  <si>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</si>
  <si>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</si>
  <si>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</si>
  <si>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</si>
  <si>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</si>
  <si>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</si>
  <si>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</si>
  <si>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</si>
  <si>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</si>
  <si>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</si>
  <si>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</si>
  <si>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</si>
  <si>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</si>
  <si>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</si>
  <si>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</si>
  <si>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</si>
  <si>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</si>
  <si>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</si>
  <si>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</si>
  <si>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</si>
  <si>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</si>
  <si>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</si>
  <si>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</si>
  <si>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</si>
  <si>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</si>
  <si>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</si>
  <si>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</si>
  <si>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</si>
  <si>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</si>
  <si>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</si>
  <si>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</si>
  <si>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</si>
  <si>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</si>
  <si>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</si>
  <si>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</si>
  <si>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</si>
  <si>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</si>
  <si>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</si>
  <si>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</si>
  <si>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</si>
  <si>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</si>
  <si>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</si>
  <si>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</si>
  <si>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</si>
  <si>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</si>
  <si>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</si>
  <si>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</si>
  <si>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</si>
  <si>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</si>
  <si>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</si>
  <si>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</si>
  <si>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</si>
  <si>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</si>
  <si>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</si>
  <si>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</si>
  <si>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</si>
  <si>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</si>
  <si>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</si>
  <si>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</si>
  <si>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</si>
  <si>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</si>
  <si>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</si>
  <si>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</si>
  <si>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</si>
  <si>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</si>
  <si>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</si>
  <si>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</si>
  <si>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</si>
  <si>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</si>
  <si>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</si>
  <si>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BS2M45U</t>
  </si>
  <si>
    <t>Type: TIKE - Form: FCW4 - 2 Pole - 2250 HP - 4000 V - 60 Hz - 6813USS - Class F</t>
  </si>
  <si>
    <t>22 x 2</t>
  </si>
  <si>
    <t>2 x Delta</t>
  </si>
  <si>
    <t xml:space="preserve"> - </t>
  </si>
  <si>
    <t>335 / 2148</t>
  </si>
  <si>
    <t>474 / 297</t>
  </si>
  <si>
    <t>75 / 100</t>
  </si>
  <si>
    <t>M453TCQL11F-C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</si>
  <si>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</si>
  <si>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</si>
  <si>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</si>
  <si>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</si>
  <si>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</si>
  <si>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</si>
  <si>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</si>
  <si>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</si>
  <si>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</si>
  <si>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</si>
  <si>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</si>
  <si>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</si>
  <si>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1717.0</t>
  </si>
  <si>
    <t xml:space="preserve">11T: </t>
  </si>
  <si>
    <t/>
  </si>
  <si>
    <t>0.0290 ~ 0.0279</t>
  </si>
  <si>
    <t>11T: 22.32</t>
  </si>
  <si>
    <t>11T: 13.51</t>
  </si>
  <si>
    <t>17.40 ~ 17.00</t>
  </si>
  <si>
    <t>15.22</t>
  </si>
  <si>
    <t>3.79</t>
  </si>
  <si>
    <t xml:space="preserve"> (.072"x.258")x 2: </t>
  </si>
  <si>
    <t>958 lbs.</t>
  </si>
  <si>
    <t xml:space="preserve">1-2, 2-3, 3-1: 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</si>
  <si>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</si>
  <si>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</si>
  <si>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</si>
  <si>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</si>
  <si>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</si>
  <si>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</si>
  <si>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</si>
  <si>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</si>
  <si>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</si>
  <si>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</si>
  <si>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</si>
  <si>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</si>
  <si>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</si>
  <si>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</si>
  <si>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</si>
  <si>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</si>
  <si>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</si>
  <si>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</si>
  <si>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</si>
  <si>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</si>
  <si>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</si>
  <si>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</si>
  <si>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</si>
  <si>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</si>
  <si>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</si>
  <si>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</si>
  <si>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</si>
  <si>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</si>
  <si>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</si>
  <si>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</si>
  <si>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683.6 lb-ft²</t>
  </si>
  <si>
    <t>1738 A</t>
  </si>
  <si>
    <t>Load</t>
  </si>
  <si>
    <t>Fan / Pump</t>
  </si>
  <si>
    <t>Acceleration Data (FV V)</t>
  </si>
  <si>
    <t>456.6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</si>
  <si>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</si>
  <si>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</si>
  <si>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</si>
  <si>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</si>
  <si>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</si>
  <si>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</si>
  <si>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</si>
  <si>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</si>
  <si>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</si>
  <si>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</si>
  <si>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</si>
  <si>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</si>
  <si>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</si>
  <si>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</si>
  <si>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</si>
  <si>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</si>
  <si>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</si>
  <si>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</si>
  <si>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</si>
  <si>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</si>
  <si>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</si>
  <si>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</si>
  <si>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</si>
  <si>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</si>
  <si>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</si>
  <si>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</si>
  <si>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</si>
  <si>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</si>
  <si>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</si>
  <si>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</si>
  <si>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</si>
  <si>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</si>
  <si>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</si>
  <si>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</si>
  <si>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</si>
  <si>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</si>
  <si>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</si>
  <si>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</si>
  <si>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</si>
  <si>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- 2250.0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</si>
  <si>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</si>
  <si>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</si>
  <si>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</si>
  <si>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</si>
  <si>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</si>
  <si>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</si>
  <si>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</si>
  <si>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</si>
  <si>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</si>
  <si>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</si>
  <si>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</si>
  <si>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3564~3593</t>
  </si>
  <si>
    <t>3593~3600</t>
  </si>
  <si>
    <t>100.1</t>
  </si>
  <si>
    <t>100.3</t>
  </si>
  <si>
    <t>100.6</t>
  </si>
  <si>
    <t>101.2</t>
  </si>
  <si>
    <t>102.2</t>
  </si>
  <si>
    <t>103.8</t>
  </si>
  <si>
    <t>106.5</t>
  </si>
  <si>
    <t>111.5</t>
  </si>
  <si>
    <t>120.6</t>
  </si>
  <si>
    <t>139.5</t>
  </si>
  <si>
    <t>201.4</t>
  </si>
  <si>
    <t>189.1</t>
  </si>
  <si>
    <t>114.1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</si>
  <si>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</si>
  <si>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</si>
  <si>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</si>
  <si>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</si>
  <si>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</si>
  <si>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</si>
  <si>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</si>
  <si>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</si>
  <si>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</si>
  <si>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</si>
  <si>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</si>
  <si>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</si>
  <si>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</si>
  <si>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1734.4</t>
  </si>
  <si>
    <t>1726.8</t>
  </si>
  <si>
    <t>1717.8</t>
  </si>
  <si>
    <t>1707.3</t>
  </si>
  <si>
    <t>1694.9</t>
  </si>
  <si>
    <t>1680.4</t>
  </si>
  <si>
    <t>1663.3</t>
  </si>
  <si>
    <t>1640.8</t>
  </si>
  <si>
    <t>1614.6</t>
  </si>
  <si>
    <t>1571.3</t>
  </si>
  <si>
    <t>1426.7</t>
  </si>
  <si>
    <t>872.7</t>
  </si>
  <si>
    <t>276.1</t>
  </si>
  <si>
    <t>3.7°C / s</t>
  </si>
  <si>
    <t>24.6°C / s</t>
  </si>
  <si>
    <t>9.1°C / s</t>
  </si>
  <si>
    <t>609.4 kW</t>
  </si>
  <si>
    <t>1382.3 kW</t>
  </si>
  <si>
    <t>296.2 kW</t>
  </si>
  <si>
    <t>42.8 s</t>
  </si>
  <si>
    <t>10.6 s</t>
  </si>
  <si>
    <t>19.8 s</t>
  </si>
  <si>
    <t>75°C    +</t>
  </si>
  <si>
    <t>101°C    +</t>
  </si>
  <si>
    <t>85°C    +</t>
  </si>
  <si>
    <t>159°C   +</t>
  </si>
  <si>
    <t>79°C   +</t>
  </si>
  <si>
    <t>22.7 s</t>
  </si>
  <si>
    <t>6.4 s</t>
  </si>
  <si>
    <t>8.6 s</t>
  </si>
  <si>
    <t>20.5 s</t>
  </si>
  <si>
    <t>9.0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</si>
  <si>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</si>
  <si>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</si>
  <si>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</si>
  <si>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</si>
  <si>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</si>
  <si>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</si>
  <si>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</si>
  <si>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</si>
  <si>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</si>
  <si>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</si>
  <si>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</si>
  <si>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</si>
  <si>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</si>
  <si>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</si>
  <si>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</si>
  <si>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</si>
  <si>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</si>
  <si>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</si>
  <si>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</si>
  <si>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</si>
  <si>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</si>
  <si>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</si>
  <si>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</si>
  <si>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</si>
  <si>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</si>
  <si>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</si>
  <si>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</si>
  <si>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</si>
  <si>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2865.0 Hz</t>
  </si>
  <si>
    <t>2640.0 Hz</t>
  </si>
  <si>
    <t>2625.0 Hz</t>
  </si>
  <si>
    <t>2760.0 Hz</t>
  </si>
  <si>
    <t>2745.0 Hz</t>
  </si>
  <si>
    <t>1483.0 Hz</t>
  </si>
  <si>
    <t>354.0 Hz</t>
  </si>
  <si>
    <t>1001.2 Hz</t>
  </si>
  <si>
    <t>1919.7 Hz</t>
  </si>
  <si>
    <t>3104.5 Hz</t>
  </si>
  <si>
    <t>4554.3 Hz</t>
  </si>
  <si>
    <t>6268.4 Hz</t>
  </si>
  <si>
    <t>8246.6 Hz</t>
  </si>
  <si>
    <t>10488.8 Hz</t>
  </si>
  <si>
    <t>12995.0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</si>
  <si>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</si>
  <si>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</si>
  <si>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</si>
  <si>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</si>
  <si>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</si>
  <si>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</si>
  <si>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</si>
  <si>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</si>
  <si>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</si>
  <si>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</si>
  <si>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</si>
  <si>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</si>
  <si>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</si>
  <si>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</si>
  <si>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</si>
  <si>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</si>
  <si>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</si>
  <si>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</si>
  <si>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</si>
  <si>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</si>
  <si>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</si>
  <si>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</si>
  <si>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</si>
  <si>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</si>
  <si>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</si>
  <si>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</si>
  <si>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</si>
  <si>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</si>
  <si>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</si>
  <si>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</si>
  <si>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</si>
  <si>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</si>
  <si>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</si>
  <si>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</si>
  <si>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</si>
  <si>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</si>
  <si>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</si>
  <si>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</si>
  <si>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</si>
  <si>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</si>
  <si>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</si>
  <si>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</si>
  <si>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</si>
  <si>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</si>
  <si>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</si>
  <si>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</si>
  <si>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</si>
  <si>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</si>
  <si>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</si>
  <si>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</si>
  <si>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</si>
  <si>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</si>
  <si>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</si>
  <si>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</si>
  <si>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</si>
  <si>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</si>
  <si>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</si>
  <si>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</si>
  <si>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</si>
  <si>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</si>
  <si>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</si>
  <si>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</si>
  <si>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</si>
  <si>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</si>
  <si>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</si>
  <si>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</si>
  <si>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</si>
  <si>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</si>
  <si>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</si>
  <si>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</si>
  <si>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</si>
  <si>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</si>
  <si>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</si>
  <si>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</si>
  <si>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</si>
  <si>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</si>
  <si>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</si>
  <si>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</si>
  <si>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</si>
  <si>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</si>
  <si>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</si>
  <si>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</si>
  <si>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</si>
  <si>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</si>
  <si>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</si>
  <si>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</si>
  <si>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</si>
  <si>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</si>
  <si>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</si>
  <si>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</si>
  <si>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</si>
  <si>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</si>
  <si>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</si>
  <si>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</si>
  <si>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</si>
  <si>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</si>
  <si>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</si>
  <si>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</si>
  <si>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</si>
  <si>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</si>
  <si>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</si>
  <si>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</si>
  <si>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</si>
  <si>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</si>
  <si>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</si>
  <si>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</si>
  <si>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</si>
  <si>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Outer Fan: DT360</t>
  </si>
  <si>
    <t>Rev 0: First Issue</t>
  </si>
  <si>
    <t>Limits: BS2M45U</t>
  </si>
  <si>
    <t>AWG. (1/0 x 2) x 3</t>
  </si>
  <si>
    <t>TEAAC</t>
  </si>
  <si>
    <t>3300 lb-ft</t>
  </si>
  <si>
    <t>0.090 ~ 0.085</t>
  </si>
  <si>
    <t>M9-90 INS</t>
  </si>
  <si>
    <t>99.5 kg.m²</t>
  </si>
  <si>
    <t>5.7 (s)</t>
  </si>
  <si>
    <t>Load Type: Fan / Pump - 590.0 lb-ft²</t>
  </si>
  <si>
    <t>0.605</t>
  </si>
  <si>
    <t>309.3</t>
  </si>
  <si>
    <t>1276.7</t>
  </si>
  <si>
    <t>0.529</t>
  </si>
  <si>
    <t>267.9</t>
  </si>
  <si>
    <t>999.8</t>
  </si>
  <si>
    <t>0.503</t>
  </si>
  <si>
    <t>252.3</t>
  </si>
  <si>
    <t>842.2</t>
  </si>
  <si>
    <t>249.4</t>
  </si>
  <si>
    <t>734.6</t>
  </si>
  <si>
    <t>0.523</t>
  </si>
  <si>
    <t>256.3</t>
  </si>
  <si>
    <t>653.8</t>
  </si>
  <si>
    <t>0.563</t>
  </si>
  <si>
    <t>271.3</t>
  </si>
  <si>
    <t>584.4</t>
  </si>
  <si>
    <t>0.626</t>
  </si>
  <si>
    <t>296.4</t>
  </si>
  <si>
    <t>518.8</t>
  </si>
  <si>
    <t>0.737</t>
  </si>
  <si>
    <t>341.2</t>
  </si>
  <si>
    <t>454.6</t>
  </si>
  <si>
    <t>0.415</t>
  </si>
  <si>
    <t>185.9</t>
  </si>
  <si>
    <t>334.3</t>
  </si>
  <si>
    <t>0.377</t>
  </si>
  <si>
    <t>163.6</t>
  </si>
  <si>
    <t>229.2</t>
  </si>
  <si>
    <t>0.213</t>
  </si>
  <si>
    <t>85.5</t>
  </si>
  <si>
    <t>85.2</t>
  </si>
  <si>
    <t>0.040</t>
  </si>
  <si>
    <t>11.7</t>
  </si>
  <si>
    <t>27.5</t>
  </si>
  <si>
    <t>0.063</t>
  </si>
  <si>
    <t>0.8</t>
  </si>
  <si>
    <t>48.4</t>
  </si>
  <si>
    <t>Acceleration Time:  5.7 s</t>
  </si>
  <si>
    <t>2692 kW / s</t>
  </si>
  <si>
    <t>17°C</t>
  </si>
  <si>
    <t>33°C</t>
  </si>
  <si>
    <t>5591 kW / s</t>
  </si>
  <si>
    <t>100°C</t>
  </si>
  <si>
    <t>199°C</t>
  </si>
  <si>
    <t>1198 kW / s</t>
  </si>
  <si>
    <t>37°C</t>
  </si>
  <si>
    <t>74°C</t>
  </si>
  <si>
    <t>590.0 lb-ft²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</si>
</sst>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8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2" fillId="0" borderId="0"/>
    <xf numFmtId="0" fontId="1" fillId="0" borderId="0"/>
    <xf numFmtId="0" fontId="1" fillId="0" borderId="0"/>
  </cellStyleXfs>
  <cellXfs count="741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0" fontId="31" fillId="2" borderId="108" xfId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41" fillId="0" borderId="0" xfId="1" quotePrefix="1" applyFont="1" applyFill="1" applyAlignment="1">
      <alignment horizontal="left"/>
    </xf>
    <xf numFmtId="0" fontId="26" fillId="0" borderId="0" xfId="2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166" fontId="31" fillId="2" borderId="69" xfId="1" applyNumberFormat="1" applyFont="1" applyFill="1" applyBorder="1" applyAlignment="1">
      <alignment horizontal="center"/>
    </xf>
    <xf numFmtId="1" fontId="26" fillId="0" borderId="0" xfId="1" applyNumberFormat="1" applyFont="1" applyFill="1"/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3" xfId="1" applyFont="1" applyFill="1" applyBorder="1"/>
    <xf numFmtId="0" fontId="29" fillId="2" borderId="116" xfId="1" applyFont="1" applyFill="1" applyBorder="1"/>
    <xf numFmtId="0" fontId="43" fillId="2" borderId="117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18" xfId="1" applyFont="1" applyFill="1" applyBorder="1"/>
    <xf numFmtId="0" fontId="29" fillId="2" borderId="23" xfId="1" applyFont="1" applyFill="1" applyBorder="1"/>
    <xf numFmtId="14" fontId="24" fillId="2" borderId="121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2" xfId="1" applyFont="1" applyFill="1" applyBorder="1" applyAlignment="1">
      <alignment horizontal="left"/>
    </xf>
    <xf numFmtId="0" fontId="22" fillId="2" borderId="123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6" fillId="0" borderId="124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4" xfId="3" applyBorder="1"/>
    <xf numFmtId="0" fontId="46" fillId="0" borderId="0" xfId="3" applyFont="1"/>
    <xf numFmtId="0" fontId="46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6" fillId="0" borderId="126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Border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 applyBorder="1"/>
    <xf numFmtId="0" fontId="52" fillId="0" borderId="107" xfId="0" applyFont="1" applyBorder="1"/>
    <xf numFmtId="0" fontId="50" fillId="0" borderId="1" xfId="0" applyFont="1" applyBorder="1" applyAlignment="1">
      <alignment horizontal="right"/>
    </xf>
    <xf numFmtId="0" fontId="52" fillId="0" borderId="1" xfId="0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0" fillId="0" borderId="0" xfId="0" applyFont="1" applyBorder="1" applyAlignment="1">
      <alignment horizontal="right"/>
    </xf>
    <xf numFmtId="0" fontId="52" fillId="0" borderId="0" xfId="0" applyFont="1" applyBorder="1" applyAlignment="1">
      <alignment horizontal="center"/>
    </xf>
    <xf numFmtId="9" fontId="52" fillId="0" borderId="0" xfId="0" applyNumberFormat="1" applyFont="1" applyBorder="1" applyAlignment="1">
      <alignment horizontal="center"/>
    </xf>
    <xf numFmtId="0" fontId="50" fillId="0" borderId="82" xfId="0" applyFont="1" applyBorder="1" applyAlignment="1">
      <alignment horizontal="right"/>
    </xf>
    <xf numFmtId="0" fontId="52" fillId="0" borderId="40" xfId="0" applyFont="1" applyBorder="1"/>
    <xf numFmtId="0" fontId="52" fillId="0" borderId="39" xfId="0" applyFont="1" applyBorder="1" applyAlignment="1">
      <alignment horizontal="center"/>
    </xf>
    <xf numFmtId="0" fontId="52" fillId="0" borderId="84" xfId="0" applyFont="1" applyBorder="1"/>
    <xf numFmtId="0" fontId="50" fillId="0" borderId="17" xfId="0" applyFont="1" applyBorder="1" applyAlignment="1">
      <alignment horizontal="right"/>
    </xf>
    <xf numFmtId="0" fontId="52" fillId="0" borderId="129" xfId="0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2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0" fontId="55" fillId="0" borderId="0" xfId="4"/>
    <xf numFmtId="0" fontId="49" fillId="0" borderId="0" xfId="4" applyFont="1"/>
    <xf numFmtId="0" fontId="49" fillId="0" borderId="1" xfId="4" applyFont="1" applyBorder="1" applyAlignment="1">
      <alignment horizontal="center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3" fillId="0" borderId="82" xfId="4" applyFont="1" applyBorder="1" applyAlignment="1">
      <alignment horizontal="centerContinuous"/>
    </xf>
    <xf numFmtId="0" fontId="52" fillId="0" borderId="0" xfId="4" applyFont="1" applyBorder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 applyBorder="1"/>
    <xf numFmtId="0" fontId="52" fillId="0" borderId="107" xfId="4" applyFont="1" applyBorder="1"/>
    <xf numFmtId="0" fontId="50" fillId="0" borderId="0" xfId="4" applyFont="1" applyBorder="1" applyAlignment="1">
      <alignment horizontal="right"/>
    </xf>
    <xf numFmtId="0" fontId="52" fillId="0" borderId="0" xfId="4" applyFont="1" applyBorder="1" applyAlignment="1">
      <alignment horizontal="center"/>
    </xf>
    <xf numFmtId="9" fontId="52" fillId="0" borderId="0" xfId="4" applyNumberFormat="1" applyFont="1" applyBorder="1" applyAlignment="1">
      <alignment horizontal="center"/>
    </xf>
    <xf numFmtId="0" fontId="58" fillId="0" borderId="0" xfId="4" applyFont="1"/>
    <xf numFmtId="0" fontId="55" fillId="0" borderId="0" xfId="4" applyBorder="1"/>
    <xf numFmtId="0" fontId="59" fillId="0" borderId="0" xfId="4" applyFont="1" applyFill="1" applyBorder="1"/>
    <xf numFmtId="0" fontId="55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0" fillId="0" borderId="0" xfId="4" applyFont="1" applyAlignment="1">
      <alignment horizontal="right"/>
    </xf>
    <xf numFmtId="0" fontId="6" fillId="0" borderId="0" xfId="4" applyFont="1"/>
    <xf numFmtId="0" fontId="50" fillId="0" borderId="0" xfId="4" applyFont="1"/>
    <xf numFmtId="0" fontId="52" fillId="0" borderId="0" xfId="4" applyFont="1"/>
    <xf numFmtId="0" fontId="23" fillId="0" borderId="17" xfId="4" applyFont="1" applyBorder="1" applyAlignment="1">
      <alignment horizontal="right"/>
    </xf>
    <xf numFmtId="0" fontId="23" fillId="0" borderId="129" xfId="4" applyFont="1" applyBorder="1" applyAlignment="1">
      <alignment horizontal="left"/>
    </xf>
    <xf numFmtId="0" fontId="23" fillId="0" borderId="129" xfId="4" quotePrefix="1" applyFont="1" applyBorder="1" applyAlignment="1">
      <alignment horizontal="left"/>
    </xf>
    <xf numFmtId="0" fontId="54" fillId="0" borderId="82" xfId="4" applyFont="1" applyBorder="1" applyAlignment="1">
      <alignment horizontal="centerContinuous"/>
    </xf>
    <xf numFmtId="0" fontId="61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7" fillId="0" borderId="134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5" xfId="4" applyNumberFormat="1" applyFont="1" applyBorder="1" applyAlignment="1">
      <alignment horizontal="center"/>
    </xf>
    <xf numFmtId="166" fontId="7" fillId="0" borderId="136" xfId="4" quotePrefix="1" applyNumberFormat="1" applyFont="1" applyBorder="1" applyAlignment="1">
      <alignment horizontal="center"/>
    </xf>
    <xf numFmtId="166" fontId="2" fillId="0" borderId="129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7" fillId="0" borderId="25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66" fontId="7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7" fillId="0" borderId="0" xfId="4" applyNumberFormat="1" applyFont="1" applyBorder="1" applyAlignment="1">
      <alignment horizontal="center"/>
    </xf>
    <xf numFmtId="171" fontId="63" fillId="0" borderId="6" xfId="5" applyFont="1" applyBorder="1" applyAlignment="1" applyProtection="1">
      <alignment horizontal="centerContinuous"/>
    </xf>
    <xf numFmtId="171" fontId="63" fillId="0" borderId="7" xfId="5" applyFont="1" applyBorder="1" applyAlignment="1">
      <alignment horizontal="centerContinuous"/>
    </xf>
    <xf numFmtId="171" fontId="64" fillId="0" borderId="12" xfId="5" applyFont="1" applyBorder="1" applyAlignment="1" applyProtection="1">
      <alignment horizontal="left"/>
    </xf>
    <xf numFmtId="171" fontId="65" fillId="0" borderId="54" xfId="5" applyFont="1" applyBorder="1"/>
    <xf numFmtId="171" fontId="64" fillId="0" borderId="13" xfId="5" applyFont="1" applyBorder="1" applyAlignment="1">
      <alignment horizontal="centerContinuous"/>
    </xf>
    <xf numFmtId="171" fontId="65" fillId="0" borderId="14" xfId="5" applyFont="1" applyBorder="1" applyAlignment="1">
      <alignment horizontal="centerContinuous"/>
    </xf>
    <xf numFmtId="171" fontId="66" fillId="0" borderId="0" xfId="5" applyFont="1"/>
    <xf numFmtId="171" fontId="62" fillId="0" borderId="0" xfId="5"/>
    <xf numFmtId="171" fontId="63" fillId="0" borderId="45" xfId="5" applyFont="1" applyBorder="1" applyAlignment="1" applyProtection="1">
      <alignment horizontal="centerContinuous"/>
    </xf>
    <xf numFmtId="171" fontId="63" fillId="0" borderId="0" xfId="5" applyFont="1" applyBorder="1" applyAlignment="1">
      <alignment horizontal="centerContinuous"/>
    </xf>
    <xf numFmtId="171" fontId="64" fillId="0" borderId="109" xfId="5" applyFont="1" applyBorder="1" applyAlignment="1" applyProtection="1">
      <alignment horizontal="left"/>
    </xf>
    <xf numFmtId="171" fontId="65" fillId="0" borderId="39" xfId="5" applyFont="1" applyBorder="1"/>
    <xf numFmtId="171" fontId="64" fillId="0" borderId="40" xfId="5" applyFont="1" applyBorder="1" applyAlignment="1" applyProtection="1">
      <alignment horizontal="centerContinuous"/>
    </xf>
    <xf numFmtId="171" fontId="65" fillId="0" borderId="29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0" xfId="5" applyFont="1" applyBorder="1" applyAlignment="1">
      <alignment horizontal="centerContinuous"/>
    </xf>
    <xf numFmtId="171" fontId="64" fillId="0" borderId="40" xfId="5" quotePrefix="1" applyFont="1" applyBorder="1" applyAlignment="1">
      <alignment horizontal="centerContinuous"/>
    </xf>
    <xf numFmtId="171" fontId="67" fillId="0" borderId="45" xfId="5" applyFont="1" applyBorder="1" applyAlignment="1" applyProtection="1">
      <alignment horizontal="centerContinuous"/>
    </xf>
    <xf numFmtId="171" fontId="64" fillId="0" borderId="40" xfId="5" quotePrefix="1" applyFont="1" applyBorder="1" applyAlignment="1" applyProtection="1">
      <alignment horizontal="centerContinuous"/>
    </xf>
    <xf numFmtId="171" fontId="66" fillId="0" borderId="45" xfId="5" applyFont="1" applyBorder="1" applyAlignment="1">
      <alignment horizontal="centerContinuous"/>
    </xf>
    <xf numFmtId="171" fontId="64" fillId="0" borderId="40" xfId="5" applyFont="1" applyBorder="1" applyAlignment="1">
      <alignment horizontal="centerContinuous"/>
    </xf>
    <xf numFmtId="171" fontId="66" fillId="0" borderId="46" xfId="5" applyFont="1" applyBorder="1" applyAlignment="1" applyProtection="1">
      <alignment horizontal="centerContinuous"/>
    </xf>
    <xf numFmtId="171" fontId="65" fillId="0" borderId="23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left"/>
    </xf>
    <xf numFmtId="171" fontId="65" fillId="0" borderId="48" xfId="5" applyFont="1" applyBorder="1"/>
    <xf numFmtId="171" fontId="68" fillId="0" borderId="23" xfId="5" applyFont="1" applyBorder="1" applyAlignment="1">
      <alignment horizontal="centerContinuous"/>
    </xf>
    <xf numFmtId="171" fontId="65" fillId="0" borderId="24" xfId="5" applyFont="1" applyBorder="1" applyAlignment="1">
      <alignment horizontal="centerContinuous"/>
    </xf>
    <xf numFmtId="171" fontId="66" fillId="0" borderId="0" xfId="5" applyFont="1" applyBorder="1" applyAlignment="1" applyProtection="1">
      <alignment horizontal="centerContinuous"/>
    </xf>
    <xf numFmtId="171" fontId="64" fillId="0" borderId="0" xfId="5" applyFont="1" applyBorder="1" applyAlignment="1" applyProtection="1">
      <alignment horizontal="left"/>
    </xf>
    <xf numFmtId="171" fontId="65" fillId="0" borderId="0" xfId="5" applyFont="1" applyBorder="1"/>
    <xf numFmtId="171" fontId="64" fillId="0" borderId="0" xfId="5" applyFont="1" applyBorder="1" applyAlignment="1">
      <alignment horizontal="centerContinuous"/>
    </xf>
    <xf numFmtId="171" fontId="69" fillId="0" borderId="0" xfId="5" applyFont="1"/>
    <xf numFmtId="171" fontId="69" fillId="0" borderId="0" xfId="5" applyFont="1" applyAlignment="1" applyProtection="1">
      <alignment horizontal="right"/>
    </xf>
    <xf numFmtId="171" fontId="69" fillId="0" borderId="0" xfId="5" applyFont="1" applyAlignment="1" applyProtection="1">
      <alignment horizontal="left"/>
      <protection locked="0"/>
    </xf>
    <xf numFmtId="171" fontId="69" fillId="0" borderId="0" xfId="5" applyFont="1" applyBorder="1" applyAlignment="1">
      <alignment horizontal="centerContinuous"/>
    </xf>
    <xf numFmtId="171" fontId="69" fillId="0" borderId="0" xfId="5" applyFont="1" applyBorder="1" applyAlignment="1" applyProtection="1">
      <alignment horizontal="left"/>
    </xf>
    <xf numFmtId="171" fontId="69" fillId="0" borderId="0" xfId="5" applyFont="1" applyBorder="1"/>
    <xf numFmtId="171" fontId="69" fillId="0" borderId="0" xfId="5" quotePrefix="1" applyFont="1" applyAlignment="1" applyProtection="1">
      <alignment horizontal="left"/>
      <protection locked="0"/>
    </xf>
    <xf numFmtId="171" fontId="65" fillId="0" borderId="0" xfId="5" applyFont="1"/>
    <xf numFmtId="171" fontId="70" fillId="0" borderId="137" xfId="5" applyFont="1" applyBorder="1" applyAlignment="1" applyProtection="1">
      <alignment horizontal="centerContinuous"/>
    </xf>
    <xf numFmtId="171" fontId="66" fillId="0" borderId="138" xfId="5" applyFont="1" applyBorder="1" applyAlignment="1">
      <alignment horizontal="centerContinuous"/>
    </xf>
    <xf numFmtId="171" fontId="66" fillId="0" borderId="139" xfId="5" applyFont="1" applyBorder="1" applyAlignment="1">
      <alignment horizontal="centerContinuous"/>
    </xf>
    <xf numFmtId="171" fontId="69" fillId="0" borderId="45" xfId="5" applyFont="1" applyBorder="1"/>
    <xf numFmtId="171" fontId="69" fillId="0" borderId="0" xfId="5" applyFont="1" applyBorder="1" applyAlignment="1" applyProtection="1">
      <alignment horizontal="right"/>
    </xf>
    <xf numFmtId="171" fontId="69" fillId="0" borderId="0" xfId="5" applyFont="1" applyBorder="1" applyAlignment="1" applyProtection="1">
      <alignment horizontal="center"/>
      <protection locked="0"/>
    </xf>
    <xf numFmtId="171" fontId="69" fillId="0" borderId="21" xfId="5" applyFont="1" applyBorder="1" applyAlignment="1" applyProtection="1">
      <alignment horizontal="center"/>
      <protection locked="0"/>
    </xf>
    <xf numFmtId="171" fontId="64" fillId="0" borderId="0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center"/>
      <protection locked="0"/>
    </xf>
    <xf numFmtId="171" fontId="69" fillId="0" borderId="0" xfId="5" applyFont="1" applyBorder="1" applyAlignment="1">
      <alignment horizontal="center"/>
    </xf>
    <xf numFmtId="171" fontId="69" fillId="0" borderId="21" xfId="5" applyFont="1" applyBorder="1"/>
    <xf numFmtId="171" fontId="69" fillId="0" borderId="46" xfId="5" applyFont="1" applyBorder="1"/>
    <xf numFmtId="171" fontId="69" fillId="0" borderId="23" xfId="5" applyFont="1" applyBorder="1" applyAlignment="1" applyProtection="1">
      <alignment horizontal="right"/>
    </xf>
    <xf numFmtId="166" fontId="69" fillId="0" borderId="23" xfId="5" quotePrefix="1" applyNumberFormat="1" applyFont="1" applyBorder="1" applyAlignment="1" applyProtection="1">
      <alignment horizontal="center"/>
      <protection locked="0"/>
    </xf>
    <xf numFmtId="171" fontId="69" fillId="0" borderId="23" xfId="5" applyFont="1" applyBorder="1"/>
    <xf numFmtId="171" fontId="69" fillId="0" borderId="23" xfId="5" applyFont="1" applyBorder="1" applyAlignment="1">
      <alignment horizontal="right"/>
    </xf>
    <xf numFmtId="166" fontId="69" fillId="0" borderId="23" xfId="5" applyNumberFormat="1" applyFont="1" applyBorder="1" applyProtection="1"/>
    <xf numFmtId="171" fontId="69" fillId="0" borderId="24" xfId="5" applyFont="1" applyBorder="1"/>
    <xf numFmtId="171" fontId="71" fillId="0" borderId="45" xfId="5" quotePrefix="1" applyFont="1" applyBorder="1" applyAlignment="1">
      <alignment horizontal="left"/>
    </xf>
    <xf numFmtId="171" fontId="65" fillId="0" borderId="0" xfId="5" quotePrefix="1" applyFont="1" applyBorder="1" applyAlignment="1" applyProtection="1">
      <alignment horizontal="right"/>
    </xf>
    <xf numFmtId="171" fontId="65" fillId="0" borderId="107" xfId="5" applyFont="1" applyBorder="1"/>
    <xf numFmtId="171" fontId="71" fillId="0" borderId="0" xfId="5" applyFont="1" applyBorder="1" applyAlignment="1" applyProtection="1">
      <alignment horizontal="left"/>
    </xf>
    <xf numFmtId="171" fontId="65" fillId="0" borderId="0" xfId="5" applyFont="1" applyBorder="1" applyAlignment="1" applyProtection="1">
      <alignment horizontal="right"/>
    </xf>
    <xf numFmtId="171" fontId="65" fillId="0" borderId="107" xfId="5" applyFont="1" applyBorder="1" applyAlignment="1" applyProtection="1">
      <alignment horizontal="right"/>
    </xf>
    <xf numFmtId="171" fontId="71" fillId="0" borderId="0" xfId="5" quotePrefix="1" applyFont="1" applyBorder="1" applyAlignment="1" applyProtection="1">
      <alignment horizontal="left"/>
    </xf>
    <xf numFmtId="171" fontId="65" fillId="0" borderId="0" xfId="5" applyFont="1" applyBorder="1" applyAlignment="1">
      <alignment horizontal="right"/>
    </xf>
    <xf numFmtId="171" fontId="65" fillId="0" borderId="21" xfId="5" applyFont="1" applyBorder="1"/>
    <xf numFmtId="171" fontId="62" fillId="0" borderId="45" xfId="5" applyBorder="1"/>
    <xf numFmtId="171" fontId="69" fillId="0" borderId="0" xfId="5" applyFont="1" applyBorder="1" applyAlignment="1">
      <alignment horizontal="right"/>
    </xf>
    <xf numFmtId="171" fontId="69" fillId="0" borderId="107" xfId="5" applyFont="1" applyBorder="1" applyAlignment="1" applyProtection="1">
      <alignment horizontal="center"/>
      <protection locked="0"/>
    </xf>
    <xf numFmtId="1" fontId="69" fillId="0" borderId="107" xfId="5" applyNumberFormat="1" applyFont="1" applyBorder="1" applyAlignment="1">
      <alignment horizontal="center"/>
    </xf>
    <xf numFmtId="171" fontId="69" fillId="0" borderId="0" xfId="5" applyFont="1" applyBorder="1" applyAlignment="1">
      <alignment horizontal="left"/>
    </xf>
    <xf numFmtId="171" fontId="69" fillId="0" borderId="107" xfId="5" applyFont="1" applyBorder="1"/>
    <xf numFmtId="171" fontId="69" fillId="0" borderId="48" xfId="5" applyFont="1" applyBorder="1"/>
    <xf numFmtId="171" fontId="69" fillId="0" borderId="48" xfId="5" applyFont="1" applyBorder="1" applyAlignment="1">
      <alignment horizontal="left"/>
    </xf>
    <xf numFmtId="171" fontId="66" fillId="0" borderId="0" xfId="5" applyFont="1" applyBorder="1" applyAlignment="1">
      <alignment horizontal="centerContinuous"/>
    </xf>
    <xf numFmtId="171" fontId="66" fillId="0" borderId="0" xfId="5" applyFont="1" applyBorder="1"/>
    <xf numFmtId="171" fontId="70" fillId="0" borderId="140" xfId="5" applyFont="1" applyBorder="1" applyAlignment="1" applyProtection="1">
      <alignment horizontal="centerContinuous"/>
    </xf>
    <xf numFmtId="171" fontId="66" fillId="0" borderId="141" xfId="5" applyFont="1" applyBorder="1" applyAlignment="1">
      <alignment horizontal="centerContinuous"/>
    </xf>
    <xf numFmtId="171" fontId="62" fillId="0" borderId="142" xfId="5" applyBorder="1"/>
    <xf numFmtId="171" fontId="66" fillId="0" borderId="143" xfId="5" applyFont="1" applyBorder="1" applyAlignment="1">
      <alignment horizontal="centerContinuous"/>
    </xf>
    <xf numFmtId="171" fontId="71" fillId="0" borderId="45" xfId="5" applyFont="1" applyBorder="1" applyAlignment="1">
      <alignment horizontal="left"/>
    </xf>
    <xf numFmtId="171" fontId="62" fillId="0" borderId="107" xfId="5" applyBorder="1"/>
    <xf numFmtId="166" fontId="69" fillId="0" borderId="0" xfId="5" applyNumberFormat="1" applyFont="1" applyBorder="1" applyAlignment="1" applyProtection="1">
      <alignment horizontal="center"/>
      <protection locked="0"/>
    </xf>
    <xf numFmtId="171" fontId="69" fillId="0" borderId="45" xfId="5" applyFont="1" applyBorder="1" applyAlignment="1">
      <alignment horizontal="left"/>
    </xf>
    <xf numFmtId="171" fontId="62" fillId="0" borderId="48" xfId="5" applyBorder="1"/>
    <xf numFmtId="171" fontId="66" fillId="0" borderId="0" xfId="5" applyFont="1" applyBorder="1" applyAlignment="1">
      <alignment horizontal="left"/>
    </xf>
    <xf numFmtId="171" fontId="66" fillId="0" borderId="0" xfId="5" applyFont="1" applyAlignment="1">
      <alignment horizontal="left"/>
    </xf>
    <xf numFmtId="171" fontId="66" fillId="0" borderId="140" xfId="5" applyFont="1" applyBorder="1"/>
    <xf numFmtId="171" fontId="65" fillId="0" borderId="141" xfId="5" applyFont="1" applyBorder="1" applyAlignment="1">
      <alignment horizontal="left"/>
    </xf>
    <xf numFmtId="171" fontId="65" fillId="0" borderId="143" xfId="5" applyFont="1" applyBorder="1" applyAlignment="1">
      <alignment horizontal="left"/>
    </xf>
    <xf numFmtId="171" fontId="69" fillId="0" borderId="45" xfId="5" quotePrefix="1" applyFont="1" applyBorder="1" applyAlignment="1">
      <alignment horizontal="left"/>
    </xf>
    <xf numFmtId="171" fontId="69" fillId="0" borderId="21" xfId="5" applyFont="1" applyBorder="1" applyAlignment="1">
      <alignment horizontal="left"/>
    </xf>
    <xf numFmtId="171" fontId="72" fillId="0" borderId="144" xfId="5" applyFont="1" applyBorder="1"/>
    <xf numFmtId="171" fontId="69" fillId="0" borderId="0" xfId="5" quotePrefix="1" applyFont="1" applyBorder="1" applyAlignment="1" applyProtection="1">
      <alignment horizontal="left"/>
    </xf>
    <xf numFmtId="171" fontId="69" fillId="0" borderId="145" xfId="5" quotePrefix="1" applyFont="1" applyBorder="1" applyAlignment="1" applyProtection="1">
      <alignment horizontal="left"/>
    </xf>
    <xf numFmtId="171" fontId="69" fillId="0" borderId="146" xfId="5" quotePrefix="1" applyFont="1" applyBorder="1" applyAlignment="1">
      <alignment horizontal="left"/>
    </xf>
    <xf numFmtId="171" fontId="69" fillId="0" borderId="46" xfId="5" applyFont="1" applyBorder="1" applyAlignment="1">
      <alignment horizontal="left"/>
    </xf>
    <xf numFmtId="171" fontId="69" fillId="0" borderId="23" xfId="5" applyFont="1" applyBorder="1" applyAlignment="1">
      <alignment horizontal="left"/>
    </xf>
    <xf numFmtId="171" fontId="69" fillId="0" borderId="24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73" fillId="0" borderId="0" xfId="5" applyFont="1" applyAlignment="1" applyProtection="1">
      <alignment horizontal="right"/>
    </xf>
    <xf numFmtId="171" fontId="62" fillId="0" borderId="0" xfId="5" applyAlignment="1">
      <alignment horizontal="right"/>
    </xf>
    <xf numFmtId="0" fontId="22" fillId="2" borderId="67" xfId="1" applyFont="1" applyFill="1" applyBorder="1" applyAlignment="1">
      <alignment horizontal="left"/>
    </xf>
    <xf numFmtId="0" fontId="22" fillId="2" borderId="122" xfId="1" applyFont="1" applyFill="1" applyBorder="1" applyAlignment="1">
      <alignment horizontal="left"/>
    </xf>
    <xf numFmtId="171" fontId="69" fillId="0" borderId="0" xfId="5" applyFont="1" applyBorder="1" applyAlignment="1" applyProtection="1">
      <alignment horizontal="left"/>
      <protection locked="0"/>
    </xf>
    <xf numFmtId="0" fontId="0" fillId="0" borderId="0" xfId="0"/>
    <xf numFmtId="0" fontId="0" fillId="0" borderId="0" xfId="0" applyBorder="1"/>
    <xf numFmtId="0" fontId="26" fillId="0" borderId="0" xfId="1" applyFont="1" applyFill="1" applyBorder="1"/>
    <xf numFmtId="0" fontId="31" fillId="0" borderId="0" xfId="1" applyNumberFormat="1" applyFont="1" applyFill="1" applyBorder="1" applyAlignment="1">
      <alignment horizontal="center"/>
    </xf>
    <xf numFmtId="0" fontId="31" fillId="0" borderId="0" xfId="1" applyFont="1" applyFill="1" applyBorder="1" applyAlignment="1">
      <alignment horizontal="center"/>
    </xf>
    <xf numFmtId="166" fontId="31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29" fillId="0" borderId="0" xfId="1" quotePrefix="1" applyFont="1" applyFill="1" applyBorder="1" applyAlignment="1">
      <alignment horizontal="left"/>
    </xf>
    <xf numFmtId="0" fontId="29" fillId="0" borderId="0" xfId="1" applyFont="1" applyFill="1" applyBorder="1"/>
    <xf numFmtId="0" fontId="32" fillId="0" borderId="0" xfId="1" applyFont="1" applyFill="1" applyBorder="1"/>
    <xf numFmtId="0" fontId="36" fillId="0" borderId="0" xfId="1" applyFont="1" applyFill="1" applyBorder="1" applyAlignment="1">
      <alignment horizontal="right"/>
    </xf>
    <xf numFmtId="49" fontId="31" fillId="0" borderId="0" xfId="1" applyNumberFormat="1" applyFont="1" applyFill="1" applyBorder="1" applyAlignment="1">
      <alignment horizontal="center"/>
    </xf>
    <xf numFmtId="1" fontId="31" fillId="0" borderId="0" xfId="1" applyNumberFormat="1" applyFont="1" applyFill="1" applyBorder="1" applyAlignment="1">
      <alignment horizontal="center"/>
    </xf>
    <xf numFmtId="0" fontId="36" fillId="0" borderId="0" xfId="1" applyFont="1" applyFill="1" applyBorder="1" applyAlignment="1">
      <alignment horizontal="right" shrinkToFit="1"/>
    </xf>
    <xf numFmtId="2" fontId="31" fillId="0" borderId="0" xfId="1" applyNumberFormat="1" applyFont="1" applyFill="1" applyBorder="1" applyAlignment="1">
      <alignment horizontal="center"/>
    </xf>
    <xf numFmtId="0" fontId="36" fillId="0" borderId="0" xfId="1" applyFont="1" applyFill="1" applyBorder="1"/>
    <xf numFmtId="0" fontId="20" fillId="0" borderId="0" xfId="1" applyFont="1" applyFill="1" applyBorder="1" applyAlignment="1"/>
    <xf numFmtId="0" fontId="29" fillId="0" borderId="0" xfId="1" applyFont="1" applyFill="1" applyBorder="1" applyAlignment="1"/>
    <xf numFmtId="0" fontId="26" fillId="0" borderId="0" xfId="1" applyFont="1" applyFill="1" applyBorder="1" applyAlignment="1"/>
    <xf numFmtId="2" fontId="3" fillId="0" borderId="0" xfId="6" applyNumberFormat="1" applyFont="1" applyFill="1" applyBorder="1" applyAlignment="1">
      <alignment horizontal="right"/>
    </xf>
    <xf numFmtId="2" fontId="3" fillId="0" borderId="23" xfId="6" applyNumberFormat="1" applyFont="1" applyFill="1" applyBorder="1" applyAlignment="1">
      <alignment horizontal="right"/>
    </xf>
    <xf numFmtId="166" fontId="2" fillId="0" borderId="0" xfId="6" applyNumberFormat="1" applyFont="1" applyFill="1" applyBorder="1" applyAlignment="1">
      <alignment horizontal="centerContinuous"/>
    </xf>
    <xf numFmtId="166" fontId="2" fillId="0" borderId="0" xfId="6" applyNumberFormat="1" applyFont="1" applyBorder="1" applyAlignment="1">
      <alignment horizontal="centerContinuous"/>
    </xf>
    <xf numFmtId="166" fontId="2" fillId="0" borderId="23" xfId="6" applyNumberFormat="1" applyFont="1" applyFill="1" applyBorder="1" applyAlignment="1">
      <alignment horizontal="centerContinuous"/>
    </xf>
    <xf numFmtId="0" fontId="1" fillId="0" borderId="0" xfId="7"/>
    <xf numFmtId="0" fontId="6" fillId="0" borderId="0" xfId="7" applyFont="1" applyAlignment="1">
      <alignment horizontal="right"/>
    </xf>
    <xf numFmtId="0" fontId="16" fillId="0" borderId="0" xfId="7" applyFont="1"/>
    <xf numFmtId="0" fontId="49" fillId="0" borderId="0" xfId="7" applyFont="1"/>
    <xf numFmtId="0" fontId="56" fillId="0" borderId="26" xfId="7" applyFont="1" applyBorder="1" applyAlignment="1">
      <alignment horizontal="center"/>
    </xf>
    <xf numFmtId="0" fontId="56" fillId="0" borderId="28" xfId="7" applyFont="1" applyBorder="1" applyAlignment="1">
      <alignment horizontal="center"/>
    </xf>
    <xf numFmtId="0" fontId="49" fillId="0" borderId="1" xfId="7" applyFont="1" applyBorder="1" applyAlignment="1">
      <alignment horizontal="center"/>
    </xf>
    <xf numFmtId="0" fontId="56" fillId="0" borderId="1" xfId="7" applyFont="1" applyBorder="1" applyAlignment="1">
      <alignment horizontal="center"/>
    </xf>
    <xf numFmtId="0" fontId="56" fillId="0" borderId="1" xfId="7" applyFont="1" applyBorder="1" applyAlignment="1">
      <alignment horizontal="right"/>
    </xf>
    <xf numFmtId="0" fontId="49" fillId="0" borderId="128" xfId="7" applyFont="1" applyBorder="1" applyAlignment="1">
      <alignment horizontal="center"/>
    </xf>
    <xf numFmtId="0" fontId="49" fillId="0" borderId="129" xfId="7" quotePrefix="1" applyFont="1" applyBorder="1" applyAlignment="1">
      <alignment horizontal="center"/>
    </xf>
    <xf numFmtId="0" fontId="49" fillId="0" borderId="129" xfId="7" applyFont="1" applyBorder="1" applyAlignment="1">
      <alignment horizontal="center"/>
    </xf>
    <xf numFmtId="0" fontId="56" fillId="0" borderId="0" xfId="7" applyFont="1" applyAlignment="1">
      <alignment horizontal="right"/>
    </xf>
    <xf numFmtId="0" fontId="52" fillId="0" borderId="1" xfId="7" applyFont="1" applyBorder="1" applyAlignment="1">
      <alignment horizontal="center"/>
    </xf>
    <xf numFmtId="2" fontId="2" fillId="2" borderId="1" xfId="7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31" fillId="0" borderId="64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14" fontId="24" fillId="2" borderId="119" xfId="1" applyNumberFormat="1" applyFont="1" applyFill="1" applyBorder="1" applyAlignment="1">
      <alignment horizontal="center"/>
    </xf>
    <xf numFmtId="14" fontId="24" fillId="2" borderId="120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9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38" xfId="1" applyFont="1" applyFill="1" applyBorder="1" applyAlignment="1">
      <alignment horizontal="left"/>
    </xf>
    <xf numFmtId="0" fontId="26" fillId="0" borderId="46" xfId="1" applyFont="1" applyFill="1" applyBorder="1" applyAlignment="1">
      <alignment horizontal="center"/>
    </xf>
    <xf numFmtId="0" fontId="26" fillId="0" borderId="23" xfId="1" applyFont="1" applyFill="1" applyBorder="1" applyAlignment="1">
      <alignment horizontal="center"/>
    </xf>
    <xf numFmtId="0" fontId="26" fillId="0" borderId="48" xfId="1" applyFont="1" applyFill="1" applyBorder="1" applyAlignment="1">
      <alignment horizontal="center"/>
    </xf>
    <xf numFmtId="0" fontId="43" fillId="2" borderId="114" xfId="1" applyFont="1" applyFill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23" fillId="0" borderId="6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8" fillId="0" borderId="133" xfId="0" applyFont="1" applyBorder="1" applyAlignment="1">
      <alignment horizontal="right"/>
    </xf>
    <xf numFmtId="0" fontId="8" fillId="0" borderId="130" xfId="0" applyFont="1" applyBorder="1" applyAlignment="1">
      <alignment horizontal="right"/>
    </xf>
    <xf numFmtId="0" fontId="23" fillId="0" borderId="130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2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52" fillId="0" borderId="17" xfId="0" applyFont="1" applyBorder="1" applyAlignment="1">
      <alignment horizontal="center"/>
    </xf>
    <xf numFmtId="0" fontId="52" fillId="0" borderId="128" xfId="0" applyFont="1" applyBorder="1" applyAlignment="1">
      <alignment horizontal="center"/>
    </xf>
    <xf numFmtId="0" fontId="52" fillId="0" borderId="129" xfId="0" applyFont="1" applyBorder="1" applyAlignment="1">
      <alignment horizontal="center"/>
    </xf>
    <xf numFmtId="0" fontId="49" fillId="0" borderId="1" xfId="7" applyFont="1" applyBorder="1" applyAlignment="1">
      <alignment horizontal="center"/>
    </xf>
    <xf numFmtId="0" fontId="6" fillId="0" borderId="0" xfId="7" applyFont="1" applyAlignment="1">
      <alignment horizontal="center"/>
    </xf>
    <xf numFmtId="0" fontId="51" fillId="0" borderId="17" xfId="7" applyFont="1" applyBorder="1" applyAlignment="1">
      <alignment horizontal="center"/>
    </xf>
    <xf numFmtId="0" fontId="23" fillId="0" borderId="128" xfId="7" applyFont="1" applyBorder="1" applyAlignment="1">
      <alignment horizontal="center"/>
    </xf>
    <xf numFmtId="0" fontId="23" fillId="0" borderId="129" xfId="7" applyFont="1" applyBorder="1" applyAlignment="1">
      <alignment horizontal="center"/>
    </xf>
    <xf numFmtId="0" fontId="56" fillId="0" borderId="1" xfId="7" applyFont="1" applyBorder="1" applyAlignment="1">
      <alignment horizontal="center"/>
    </xf>
    <xf numFmtId="0" fontId="23" fillId="0" borderId="17" xfId="7" applyFont="1" applyBorder="1" applyAlignment="1">
      <alignment horizontal="center"/>
    </xf>
    <xf numFmtId="0" fontId="49" fillId="0" borderId="17" xfId="7" applyFont="1" applyBorder="1" applyAlignment="1">
      <alignment horizontal="right"/>
    </xf>
    <xf numFmtId="0" fontId="49" fillId="0" borderId="128" xfId="7" applyFont="1" applyBorder="1" applyAlignment="1">
      <alignment horizontal="right"/>
    </xf>
    <xf numFmtId="0" fontId="23" fillId="0" borderId="0" xfId="7" applyFont="1" applyAlignment="1">
      <alignment horizontal="center"/>
    </xf>
    <xf numFmtId="0" fontId="56" fillId="0" borderId="0" xfId="7" applyFont="1" applyAlignment="1">
      <alignment horizontal="right"/>
    </xf>
    <xf numFmtId="0" fontId="54" fillId="0" borderId="82" xfId="4" applyFont="1" applyBorder="1" applyAlignment="1">
      <alignment horizontal="center"/>
    </xf>
    <xf numFmtId="0" fontId="54" fillId="0" borderId="0" xfId="4" applyFont="1" applyBorder="1" applyAlignment="1">
      <alignment horizontal="center"/>
    </xf>
    <xf numFmtId="0" fontId="54" fillId="0" borderId="107" xfId="4" applyFont="1" applyBorder="1" applyAlignment="1">
      <alignment horizontal="center"/>
    </xf>
    <xf numFmtId="0" fontId="57" fillId="0" borderId="82" xfId="4" applyFont="1" applyBorder="1" applyAlignment="1">
      <alignment horizontal="center"/>
    </xf>
    <xf numFmtId="0" fontId="57" fillId="0" borderId="0" xfId="4" applyFont="1" applyBorder="1" applyAlignment="1">
      <alignment horizontal="center"/>
    </xf>
    <xf numFmtId="0" fontId="57" fillId="0" borderId="107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49" fillId="0" borderId="1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7" xfId="4" applyFont="1" applyBorder="1" applyAlignment="1">
      <alignment horizontal="right"/>
    </xf>
    <xf numFmtId="0" fontId="49" fillId="0" borderId="129" xfId="4" applyFont="1" applyBorder="1" applyAlignment="1">
      <alignment horizontal="center"/>
    </xf>
    <xf numFmtId="171" fontId="69" fillId="0" borderId="0" xfId="5" applyFont="1" applyBorder="1" applyAlignment="1">
      <alignment horizontal="center"/>
    </xf>
    <xf numFmtId="171" fontId="69" fillId="0" borderId="21" xfId="5" applyFont="1" applyBorder="1" applyAlignment="1">
      <alignment horizontal="center"/>
    </xf>
    <xf numFmtId="171" fontId="74" fillId="0" borderId="147" xfId="5" applyFont="1" applyBorder="1" applyAlignment="1" applyProtection="1">
      <alignment horizontal="center"/>
      <protection locked="0"/>
    </xf>
    <xf numFmtId="14" fontId="15" fillId="0" borderId="147" xfId="5" quotePrefix="1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2" xfId="1"/>
    <cellStyle name="Normal 3" xfId="4"/>
    <cellStyle name="Normal 3 2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128.25993265385728</c:v>
                </c:pt>
                <c:pt idx="2">
                  <c:v>250</c:v>
                </c:pt>
                <c:pt idx="3">
                  <c:v>152.75647871727961</c:v>
                </c:pt>
                <c:pt idx="4">
                  <c:v>126.22189233405618</c:v>
                </c:pt>
                <c:pt idx="5">
                  <c:v>114.88709958454399</c:v>
                </c:pt>
                <c:pt idx="6">
                  <c:v>108.07968629546298</c:v>
                </c:pt>
                <c:pt idx="7">
                  <c:v>104.82061857721834</c:v>
                </c:pt>
                <c:pt idx="8">
                  <c:v>102.83988335966944</c:v>
                </c:pt>
                <c:pt idx="9">
                  <c:v>101.5985085725124</c:v>
                </c:pt>
                <c:pt idx="10">
                  <c:v>100.83929572265109</c:v>
                </c:pt>
                <c:pt idx="11">
                  <c:v>100.39087971675043</c:v>
                </c:pt>
                <c:pt idx="12">
                  <c:v>100.13658530851119</c:v>
                </c:pt>
                <c:pt idx="13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95200"/>
        <c:axId val="17871564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0.16249312460422516</c:v>
                </c:pt>
                <c:pt idx="1">
                  <c:v>159.75900268554687</c:v>
                </c:pt>
                <c:pt idx="2">
                  <c:v>484.3135986328125</c:v>
                </c:pt>
                <c:pt idx="3">
                  <c:v>568.60791015625</c:v>
                </c:pt>
                <c:pt idx="4">
                  <c:v>591.035400390625</c:v>
                </c:pt>
                <c:pt idx="5">
                  <c:v>600.5501708984375</c:v>
                </c:pt>
                <c:pt idx="6">
                  <c:v>610.35906982421875</c:v>
                </c:pt>
                <c:pt idx="7">
                  <c:v>617.17578125</c:v>
                </c:pt>
                <c:pt idx="8">
                  <c:v>622.95184326171875</c:v>
                </c:pt>
                <c:pt idx="9">
                  <c:v>627.9010009765625</c:v>
                </c:pt>
                <c:pt idx="10">
                  <c:v>632.1025390625</c:v>
                </c:pt>
                <c:pt idx="11">
                  <c:v>635.6649169921875</c:v>
                </c:pt>
                <c:pt idx="12">
                  <c:v>638.705322265625</c:v>
                </c:pt>
                <c:pt idx="13">
                  <c:v>641.32843017578125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24576"/>
        <c:axId val="181226112"/>
      </c:scatterChart>
      <c:valAx>
        <c:axId val="16299520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715648"/>
        <c:crossesAt val="0"/>
        <c:crossBetween val="midCat"/>
        <c:majorUnit val="0.2"/>
        <c:minorUnit val="0.2"/>
      </c:valAx>
      <c:valAx>
        <c:axId val="17871564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995200"/>
        <c:crosses val="max"/>
        <c:crossBetween val="midCat"/>
        <c:majorUnit val="50"/>
        <c:minorUnit val="50"/>
      </c:valAx>
      <c:valAx>
        <c:axId val="18122457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81226112"/>
        <c:crosses val="autoZero"/>
        <c:crossBetween val="midCat"/>
      </c:valAx>
      <c:valAx>
        <c:axId val="18122611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122457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128.25993265385728</c:v>
                </c:pt>
                <c:pt idx="2">
                  <c:v>250</c:v>
                </c:pt>
                <c:pt idx="3">
                  <c:v>152.75647871727961</c:v>
                </c:pt>
                <c:pt idx="4">
                  <c:v>126.22189233405618</c:v>
                </c:pt>
                <c:pt idx="5">
                  <c:v>114.88709958454399</c:v>
                </c:pt>
                <c:pt idx="6">
                  <c:v>108.07968629546298</c:v>
                </c:pt>
                <c:pt idx="7">
                  <c:v>104.82061857721834</c:v>
                </c:pt>
                <c:pt idx="8">
                  <c:v>102.83988335966944</c:v>
                </c:pt>
                <c:pt idx="9">
                  <c:v>101.5985085725124</c:v>
                </c:pt>
                <c:pt idx="10">
                  <c:v>100.83929572265109</c:v>
                </c:pt>
                <c:pt idx="11">
                  <c:v>100.39087971675043</c:v>
                </c:pt>
                <c:pt idx="12">
                  <c:v>100.13658530851119</c:v>
                </c:pt>
                <c:pt idx="13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88864"/>
        <c:axId val="18279078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0.16249312460422516</c:v>
                </c:pt>
                <c:pt idx="1">
                  <c:v>159.75900268554687</c:v>
                </c:pt>
                <c:pt idx="2">
                  <c:v>484.3135986328125</c:v>
                </c:pt>
                <c:pt idx="3">
                  <c:v>568.60791015625</c:v>
                </c:pt>
                <c:pt idx="4">
                  <c:v>591.035400390625</c:v>
                </c:pt>
                <c:pt idx="5">
                  <c:v>600.5501708984375</c:v>
                </c:pt>
                <c:pt idx="6">
                  <c:v>610.35906982421875</c:v>
                </c:pt>
                <c:pt idx="7">
                  <c:v>617.17578125</c:v>
                </c:pt>
                <c:pt idx="8">
                  <c:v>622.95184326171875</c:v>
                </c:pt>
                <c:pt idx="9">
                  <c:v>627.9010009765625</c:v>
                </c:pt>
                <c:pt idx="10">
                  <c:v>632.1025390625</c:v>
                </c:pt>
                <c:pt idx="11">
                  <c:v>635.6649169921875</c:v>
                </c:pt>
                <c:pt idx="12">
                  <c:v>638.705322265625</c:v>
                </c:pt>
                <c:pt idx="13">
                  <c:v>641.32843017578125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01152"/>
        <c:axId val="182802688"/>
      </c:scatterChart>
      <c:valAx>
        <c:axId val="18278886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2790784"/>
        <c:crosses val="autoZero"/>
        <c:crossBetween val="midCat"/>
        <c:majorUnit val="20"/>
        <c:minorUnit val="20"/>
      </c:valAx>
      <c:valAx>
        <c:axId val="182790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2788864"/>
        <c:crosses val="autoZero"/>
        <c:crossBetween val="midCat"/>
      </c:valAx>
      <c:valAx>
        <c:axId val="18280115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82802688"/>
        <c:crosses val="autoZero"/>
        <c:crossBetween val="midCat"/>
      </c:valAx>
      <c:valAx>
        <c:axId val="182802688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2801152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641.32841328413281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29.35260227748326</c:v>
                </c:pt>
                <c:pt idx="1">
                  <c:v>33.535522072088909</c:v>
                </c:pt>
                <c:pt idx="2">
                  <c:v>48.291151783808033</c:v>
                </c:pt>
                <c:pt idx="3">
                  <c:v>75.454924662200042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641.32841328413281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12.806543622698104</c:v>
                </c:pt>
                <c:pt idx="1">
                  <c:v>14.631551992090889</c:v>
                </c:pt>
                <c:pt idx="2">
                  <c:v>21.06943486861088</c:v>
                </c:pt>
                <c:pt idx="3">
                  <c:v>32.920991982204498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250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84.277739474443521</c:v>
                </c:pt>
                <c:pt idx="3">
                  <c:v>162.57279991212098</c:v>
                </c:pt>
                <c:pt idx="4">
                  <c:v>250.5283575340176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641.32841328413281</c:v>
                </c:pt>
                <c:pt idx="1">
                  <c:v>640</c:v>
                </c:pt>
                <c:pt idx="2">
                  <c:v>637.19557195571952</c:v>
                </c:pt>
                <c:pt idx="3">
                  <c:v>633.87453874538744</c:v>
                </c:pt>
                <c:pt idx="4">
                  <c:v>630</c:v>
                </c:pt>
                <c:pt idx="5">
                  <c:v>625.42435424354244</c:v>
                </c:pt>
                <c:pt idx="6">
                  <c:v>620.07380073800744</c:v>
                </c:pt>
                <c:pt idx="7">
                  <c:v>613.76383763837634</c:v>
                </c:pt>
                <c:pt idx="8">
                  <c:v>605.4612546125461</c:v>
                </c:pt>
                <c:pt idx="9">
                  <c:v>595.79335793357939</c:v>
                </c:pt>
                <c:pt idx="10">
                  <c:v>579.81549815498158</c:v>
                </c:pt>
                <c:pt idx="11">
                  <c:v>526.45756457564573</c:v>
                </c:pt>
                <c:pt idx="12">
                  <c:v>322.02952029520293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0.60500001907348633</c:v>
                </c:pt>
                <c:pt idx="2">
                  <c:v>1.1340000629425049</c:v>
                </c:pt>
                <c:pt idx="3">
                  <c:v>1.6370000839233398</c:v>
                </c:pt>
                <c:pt idx="4">
                  <c:v>2.1400001049041748</c:v>
                </c:pt>
                <c:pt idx="5">
                  <c:v>2.6630001068115234</c:v>
                </c:pt>
                <c:pt idx="6">
                  <c:v>3.2260000705718994</c:v>
                </c:pt>
                <c:pt idx="7">
                  <c:v>3.8519999980926514</c:v>
                </c:pt>
                <c:pt idx="8">
                  <c:v>4.5890002250671387</c:v>
                </c:pt>
                <c:pt idx="9">
                  <c:v>5.004000186920166</c:v>
                </c:pt>
                <c:pt idx="10">
                  <c:v>5.3810000419616699</c:v>
                </c:pt>
                <c:pt idx="11">
                  <c:v>5.5939998626708984</c:v>
                </c:pt>
                <c:pt idx="12">
                  <c:v>5.6339998245239258</c:v>
                </c:pt>
                <c:pt idx="13">
                  <c:v>5.6970000267028809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58336"/>
        <c:axId val="182972800"/>
      </c:scatterChart>
      <c:valAx>
        <c:axId val="18295833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972800"/>
        <c:crossesAt val="0.1"/>
        <c:crossBetween val="midCat"/>
        <c:majorUnit val="100"/>
      </c:valAx>
      <c:valAx>
        <c:axId val="18297280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95833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90.914688110351563</c:v>
                </c:pt>
                <c:pt idx="2">
                  <c:v>94.127708435058594</c:v>
                </c:pt>
                <c:pt idx="3">
                  <c:v>95.070632934570313</c:v>
                </c:pt>
                <c:pt idx="4">
                  <c:v>95.403205871582031</c:v>
                </c:pt>
                <c:pt idx="5">
                  <c:v>95.481887817382812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79.092697143554687</c:v>
                </c:pt>
                <c:pt idx="1">
                  <c:v>90.472007751464844</c:v>
                </c:pt>
                <c:pt idx="2">
                  <c:v>93.013877868652344</c:v>
                </c:pt>
                <c:pt idx="3">
                  <c:v>93.645011901855469</c:v>
                </c:pt>
                <c:pt idx="4">
                  <c:v>93.573760986328125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84.65518592220586</c:v>
                </c:pt>
                <c:pt idx="2">
                  <c:v>68.671508774615162</c:v>
                </c:pt>
                <c:pt idx="3">
                  <c:v>52.427667682222534</c:v>
                </c:pt>
                <c:pt idx="4">
                  <c:v>35.766646662252732</c:v>
                </c:pt>
                <c:pt idx="5">
                  <c:v>19.411747222339759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0.66320000000000001</c:v>
                </c:pt>
                <c:pt idx="1">
                  <c:v>7.6944254495429956</c:v>
                </c:pt>
                <c:pt idx="2">
                  <c:v>14.863556183223082</c:v>
                </c:pt>
                <c:pt idx="3">
                  <c:v>22.074208581316839</c:v>
                </c:pt>
                <c:pt idx="4">
                  <c:v>29.329674857790781</c:v>
                </c:pt>
                <c:pt idx="5">
                  <c:v>36.631881886704946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59328"/>
        <c:axId val="184665600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45.458427400396324</c:v>
                </c:pt>
                <c:pt idx="1">
                  <c:v>84.252578735351563</c:v>
                </c:pt>
                <c:pt idx="2">
                  <c:v>142.28262329101562</c:v>
                </c:pt>
                <c:pt idx="3">
                  <c:v>205.53262329101562</c:v>
                </c:pt>
                <c:pt idx="4">
                  <c:v>271.24765014648437</c:v>
                </c:pt>
                <c:pt idx="5">
                  <c:v>339.03811645507812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67520"/>
        <c:axId val="183243904"/>
      </c:scatterChart>
      <c:valAx>
        <c:axId val="18465932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665600"/>
        <c:crossesAt val="0"/>
        <c:crossBetween val="midCat"/>
        <c:majorUnit val="25"/>
        <c:minorUnit val="12.5"/>
      </c:valAx>
      <c:valAx>
        <c:axId val="18466560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214471911941239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659328"/>
        <c:crosses val="autoZero"/>
        <c:crossBetween val="midCat"/>
        <c:majorUnit val="10"/>
        <c:minorUnit val="5"/>
      </c:valAx>
      <c:valAx>
        <c:axId val="18466752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83243904"/>
        <c:crosses val="autoZero"/>
        <c:crossBetween val="midCat"/>
      </c:valAx>
      <c:valAx>
        <c:axId val="183243904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667520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/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/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/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/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/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/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73.0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/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13.15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/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/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737235</xdr:colOff>
      <xdr:row>39</xdr:row>
      <xdr:rowOff>190500</xdr:rowOff>
    </xdr:from>
    <xdr:to>
      <xdr:col>4</xdr:col>
      <xdr:colOff>746760</xdr:colOff>
      <xdr:row>40</xdr:row>
      <xdr:rowOff>116465</xdr:rowOff>
    </xdr:to>
    <xdr:sp macro="" textlink="">
      <xdr:nvSpPr>
        <xdr:cNvPr id="103" name="Text 219"/>
        <xdr:cNvSpPr txBox="1">
          <a:spLocks noChangeArrowheads="1"/>
        </xdr:cNvSpPr>
      </xdr:nvSpPr>
      <xdr:spPr bwMode="auto">
        <a:xfrm>
          <a:off x="2432685" y="9172575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733425</xdr:colOff>
      <xdr:row>33</xdr:row>
      <xdr:rowOff>161925</xdr:rowOff>
    </xdr:from>
    <xdr:to>
      <xdr:col>4</xdr:col>
      <xdr:colOff>704850</xdr:colOff>
      <xdr:row>34</xdr:row>
      <xdr:rowOff>87890</xdr:rowOff>
    </xdr:to>
    <xdr:sp macro="" textlink="">
      <xdr:nvSpPr>
        <xdr:cNvPr id="104" name="Text 219"/>
        <xdr:cNvSpPr txBox="1">
          <a:spLocks noChangeArrowheads="1"/>
        </xdr:cNvSpPr>
      </xdr:nvSpPr>
      <xdr:spPr bwMode="auto">
        <a:xfrm>
          <a:off x="2428875" y="7772400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411-TA13</a:t>
          </a:r>
        </a:p>
      </xdr:txBody>
    </xdr:sp>
    <xdr:clientData/>
  </xdr:twoCellAnchor>
  <xdr:twoCellAnchor>
    <xdr:from>
      <xdr:col>3</xdr:col>
      <xdr:colOff>704850</xdr:colOff>
      <xdr:row>27</xdr:row>
      <xdr:rowOff>152400</xdr:rowOff>
    </xdr:from>
    <xdr:to>
      <xdr:col>4</xdr:col>
      <xdr:colOff>676275</xdr:colOff>
      <xdr:row>28</xdr:row>
      <xdr:rowOff>78365</xdr:rowOff>
    </xdr:to>
    <xdr:sp macro="" textlink="">
      <xdr:nvSpPr>
        <xdr:cNvPr id="105" name="Text 219"/>
        <xdr:cNvSpPr txBox="1">
          <a:spLocks noChangeArrowheads="1"/>
        </xdr:cNvSpPr>
      </xdr:nvSpPr>
      <xdr:spPr bwMode="auto">
        <a:xfrm>
          <a:off x="2400300" y="6391275"/>
          <a:ext cx="8096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311-TA13</a:t>
          </a:r>
        </a:p>
      </xdr:txBody>
    </xdr:sp>
    <xdr:clientData/>
  </xdr:twoCellAnchor>
  <xdr:twoCellAnchor>
    <xdr:from>
      <xdr:col>0</xdr:col>
      <xdr:colOff>695325</xdr:colOff>
      <xdr:row>39</xdr:row>
      <xdr:rowOff>66675</xdr:rowOff>
    </xdr:from>
    <xdr:to>
      <xdr:col>3</xdr:col>
      <xdr:colOff>577330</xdr:colOff>
      <xdr:row>43</xdr:row>
      <xdr:rowOff>95250</xdr:rowOff>
    </xdr:to>
    <xdr:grpSp>
      <xdr:nvGrpSpPr>
        <xdr:cNvPr id="137" name="Group 136"/>
        <xdr:cNvGrpSpPr/>
      </xdr:nvGrpSpPr>
      <xdr:grpSpPr>
        <a:xfrm>
          <a:off x="695325" y="9048750"/>
          <a:ext cx="1577455" cy="942975"/>
          <a:chOff x="800100" y="9067800"/>
          <a:chExt cx="1577455" cy="942975"/>
        </a:xfrm>
      </xdr:grpSpPr>
      <xdr:grpSp>
        <xdr:nvGrpSpPr>
          <xdr:cNvPr id="138" name="Group 137"/>
          <xdr:cNvGrpSpPr/>
        </xdr:nvGrpSpPr>
        <xdr:grpSpPr>
          <a:xfrm>
            <a:off x="1362075" y="9115425"/>
            <a:ext cx="752475" cy="571500"/>
            <a:chOff x="1295400" y="9115425"/>
            <a:chExt cx="752475" cy="571500"/>
          </a:xfrm>
        </xdr:grpSpPr>
        <xdr:sp macro="" textlink="">
          <xdr:nvSpPr>
            <xdr:cNvPr id="167" name="Line 138"/>
            <xdr:cNvSpPr>
              <a:spLocks noChangeShapeType="1"/>
            </xdr:cNvSpPr>
          </xdr:nvSpPr>
          <xdr:spPr bwMode="auto">
            <a:xfrm flipV="1">
              <a:off x="2047875" y="9286875"/>
              <a:ext cx="0" cy="952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8" name="Line 146"/>
            <xdr:cNvSpPr>
              <a:spLocks noChangeShapeType="1"/>
            </xdr:cNvSpPr>
          </xdr:nvSpPr>
          <xdr:spPr bwMode="auto">
            <a:xfrm>
              <a:off x="1771650" y="9382125"/>
              <a:ext cx="2190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9" name="Line 137"/>
            <xdr:cNvSpPr>
              <a:spLocks noChangeShapeType="1"/>
            </xdr:cNvSpPr>
          </xdr:nvSpPr>
          <xdr:spPr bwMode="auto">
            <a:xfrm flipH="1">
              <a:off x="1295400" y="9686925"/>
              <a:ext cx="4095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0" name="Line 148"/>
            <xdr:cNvSpPr>
              <a:spLocks noChangeShapeType="1"/>
            </xdr:cNvSpPr>
          </xdr:nvSpPr>
          <xdr:spPr bwMode="auto">
            <a:xfrm flipH="1">
              <a:off x="1724025" y="9115425"/>
              <a:ext cx="762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9" name="Group 138"/>
          <xdr:cNvGrpSpPr/>
        </xdr:nvGrpSpPr>
        <xdr:grpSpPr>
          <a:xfrm>
            <a:off x="1093470" y="9067800"/>
            <a:ext cx="1284085" cy="781050"/>
            <a:chOff x="1026795" y="9067800"/>
            <a:chExt cx="1284085" cy="781050"/>
          </a:xfrm>
        </xdr:grpSpPr>
        <xdr:sp macro="" textlink="">
          <xdr:nvSpPr>
            <xdr:cNvPr id="153" name="Radius"/>
            <xdr:cNvSpPr txBox="1">
              <a:spLocks noChangeArrowheads="1"/>
            </xdr:cNvSpPr>
          </xdr:nvSpPr>
          <xdr:spPr bwMode="auto">
            <a:xfrm>
              <a:off x="2036445" y="9686925"/>
              <a:ext cx="274435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328.0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54" name="Clear"/>
            <xdr:cNvSpPr txBox="1">
              <a:spLocks noChangeArrowheads="1"/>
            </xdr:cNvSpPr>
          </xdr:nvSpPr>
          <xdr:spPr bwMode="auto">
            <a:xfrm>
              <a:off x="1026795" y="9734550"/>
              <a:ext cx="266700" cy="11430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62.5</a:t>
              </a:r>
            </a:p>
          </xdr:txBody>
        </xdr:sp>
        <xdr:sp macro="" textlink="">
          <xdr:nvSpPr>
            <xdr:cNvPr id="155" name="Thickness"/>
            <xdr:cNvSpPr txBox="1">
              <a:spLocks noChangeArrowheads="1"/>
            </xdr:cNvSpPr>
          </xdr:nvSpPr>
          <xdr:spPr bwMode="auto">
            <a:xfrm>
              <a:off x="1322070" y="9744075"/>
              <a:ext cx="411562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85.0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56" name="Line 127"/>
            <xdr:cNvSpPr>
              <a:spLocks noChangeShapeType="1"/>
            </xdr:cNvSpPr>
          </xdr:nvSpPr>
          <xdr:spPr bwMode="auto">
            <a:xfrm flipV="1">
              <a:off x="1028700" y="9686925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7" name="Line 130"/>
            <xdr:cNvSpPr>
              <a:spLocks noChangeShapeType="1"/>
            </xdr:cNvSpPr>
          </xdr:nvSpPr>
          <xdr:spPr bwMode="auto">
            <a:xfrm flipV="1">
              <a:off x="1971675" y="9601200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8" name="Thickness"/>
            <xdr:cNvSpPr txBox="1">
              <a:spLocks noChangeArrowheads="1"/>
            </xdr:cNvSpPr>
          </xdr:nvSpPr>
          <xdr:spPr bwMode="auto">
            <a:xfrm>
              <a:off x="1912620" y="9382125"/>
              <a:ext cx="284006" cy="12382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57.5</a:t>
              </a:r>
            </a:p>
          </xdr:txBody>
        </xdr:sp>
        <xdr:sp macro="" textlink="">
          <xdr:nvSpPr>
            <xdr:cNvPr id="159" name="Line 143"/>
            <xdr:cNvSpPr>
              <a:spLocks noChangeShapeType="1"/>
            </xdr:cNvSpPr>
          </xdr:nvSpPr>
          <xdr:spPr bwMode="auto">
            <a:xfrm flipV="1">
              <a:off x="1828800" y="9420225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0" name="Line 144"/>
            <xdr:cNvSpPr>
              <a:spLocks noChangeShapeType="1"/>
            </xdr:cNvSpPr>
          </xdr:nvSpPr>
          <xdr:spPr bwMode="auto">
            <a:xfrm>
              <a:off x="1819275" y="9144000"/>
              <a:ext cx="0" cy="1238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1" name="Height"/>
            <xdr:cNvSpPr txBox="1">
              <a:spLocks noChangeArrowheads="1"/>
            </xdr:cNvSpPr>
          </xdr:nvSpPr>
          <xdr:spPr bwMode="auto">
            <a:xfrm>
              <a:off x="1474470" y="9067800"/>
              <a:ext cx="268681" cy="95250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55</a:t>
              </a:r>
            </a:p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.0</a:t>
              </a:r>
            </a:p>
          </xdr:txBody>
        </xdr:sp>
        <xdr:sp macro="" textlink="">
          <xdr:nvSpPr>
            <xdr:cNvPr id="162" name="Line 149"/>
            <xdr:cNvSpPr>
              <a:spLocks noChangeShapeType="1"/>
            </xdr:cNvSpPr>
          </xdr:nvSpPr>
          <xdr:spPr bwMode="auto">
            <a:xfrm>
              <a:off x="1390650" y="9115425"/>
              <a:ext cx="857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3" name="Line 150"/>
            <xdr:cNvSpPr>
              <a:spLocks noChangeShapeType="1"/>
            </xdr:cNvSpPr>
          </xdr:nvSpPr>
          <xdr:spPr bwMode="auto">
            <a:xfrm flipV="1">
              <a:off x="1495425" y="9086850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4" name="Thickness"/>
            <xdr:cNvSpPr txBox="1">
              <a:spLocks noChangeArrowheads="1"/>
            </xdr:cNvSpPr>
          </xdr:nvSpPr>
          <xdr:spPr bwMode="auto">
            <a:xfrm>
              <a:off x="1685925" y="9296400"/>
              <a:ext cx="320423" cy="10477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n-US" sz="600" b="1" i="0" u="none" strike="noStrike" baseline="0">
                  <a:solidFill>
                    <a:srgbClr val="000000"/>
                  </a:solidFill>
                  <a:latin typeface="Univers (W1)"/>
                </a:rPr>
                <a:t>18.50</a:t>
              </a: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  <a:p>
              <a:pPr algn="ctr" rtl="0">
                <a:defRPr sz="1000"/>
              </a:pPr>
              <a:endParaRPr lang="en-US" sz="600" b="1" i="0" u="none" strike="noStrike" baseline="0">
                <a:solidFill>
                  <a:srgbClr val="000000"/>
                </a:solidFill>
                <a:latin typeface="Univers (W1)"/>
              </a:endParaRPr>
            </a:p>
          </xdr:txBody>
        </xdr:sp>
        <xdr:sp macro="" textlink="">
          <xdr:nvSpPr>
            <xdr:cNvPr id="165" name="Line 136"/>
            <xdr:cNvSpPr>
              <a:spLocks noChangeShapeType="1"/>
            </xdr:cNvSpPr>
          </xdr:nvSpPr>
          <xdr:spPr bwMode="auto">
            <a:xfrm>
              <a:off x="1314450" y="9686925"/>
              <a:ext cx="4191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6" name="Line 139"/>
            <xdr:cNvSpPr>
              <a:spLocks noChangeShapeType="1"/>
            </xdr:cNvSpPr>
          </xdr:nvSpPr>
          <xdr:spPr bwMode="auto">
            <a:xfrm>
              <a:off x="2028825" y="9505950"/>
              <a:ext cx="0" cy="857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0" name="Group 139"/>
          <xdr:cNvGrpSpPr/>
        </xdr:nvGrpSpPr>
        <xdr:grpSpPr>
          <a:xfrm>
            <a:off x="800100" y="9096375"/>
            <a:ext cx="1419225" cy="914400"/>
            <a:chOff x="733425" y="9096375"/>
            <a:chExt cx="1419225" cy="914400"/>
          </a:xfrm>
        </xdr:grpSpPr>
        <xdr:sp macro="" textlink="">
          <xdr:nvSpPr>
            <xdr:cNvPr id="141" name="Line 125"/>
            <xdr:cNvSpPr>
              <a:spLocks noChangeShapeType="1"/>
            </xdr:cNvSpPr>
          </xdr:nvSpPr>
          <xdr:spPr bwMode="auto">
            <a:xfrm flipV="1">
              <a:off x="733425" y="9277350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2" name="Line 126"/>
            <xdr:cNvSpPr>
              <a:spLocks noChangeShapeType="1"/>
            </xdr:cNvSpPr>
          </xdr:nvSpPr>
          <xdr:spPr bwMode="auto">
            <a:xfrm>
              <a:off x="1000125" y="9277350"/>
              <a:ext cx="0" cy="7334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3" name="Line 128"/>
            <xdr:cNvSpPr>
              <a:spLocks noChangeShapeType="1"/>
            </xdr:cNvSpPr>
          </xdr:nvSpPr>
          <xdr:spPr bwMode="auto">
            <a:xfrm>
              <a:off x="1028700" y="9563100"/>
              <a:ext cx="2952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4" name="Line 129"/>
            <xdr:cNvSpPr>
              <a:spLocks noChangeShapeType="1"/>
            </xdr:cNvSpPr>
          </xdr:nvSpPr>
          <xdr:spPr bwMode="auto">
            <a:xfrm>
              <a:off x="1000125" y="9305925"/>
              <a:ext cx="3048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5" name="Rectangle 132"/>
            <xdr:cNvSpPr>
              <a:spLocks noChangeArrowheads="1"/>
            </xdr:cNvSpPr>
          </xdr:nvSpPr>
          <xdr:spPr bwMode="auto">
            <a:xfrm>
              <a:off x="1304925" y="9277350"/>
              <a:ext cx="419100" cy="3333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6" name="Rectangle 133"/>
            <xdr:cNvSpPr>
              <a:spLocks noChangeArrowheads="1"/>
            </xdr:cNvSpPr>
          </xdr:nvSpPr>
          <xdr:spPr bwMode="auto">
            <a:xfrm>
              <a:off x="1495425" y="9277350"/>
              <a:ext cx="228600" cy="1047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7" name="Line 140"/>
            <xdr:cNvSpPr>
              <a:spLocks noChangeShapeType="1"/>
            </xdr:cNvSpPr>
          </xdr:nvSpPr>
          <xdr:spPr bwMode="auto">
            <a:xfrm>
              <a:off x="1762125" y="9601200"/>
              <a:ext cx="3905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8" name="Line 134"/>
            <xdr:cNvSpPr>
              <a:spLocks noChangeShapeType="1"/>
            </xdr:cNvSpPr>
          </xdr:nvSpPr>
          <xdr:spPr bwMode="auto">
            <a:xfrm>
              <a:off x="1304925" y="9658350"/>
              <a:ext cx="0" cy="1905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9" name="Line 135"/>
            <xdr:cNvSpPr>
              <a:spLocks noChangeShapeType="1"/>
            </xdr:cNvSpPr>
          </xdr:nvSpPr>
          <xdr:spPr bwMode="auto">
            <a:xfrm>
              <a:off x="1724025" y="9648825"/>
              <a:ext cx="0" cy="1809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0" name="Line 151"/>
            <xdr:cNvSpPr>
              <a:spLocks noChangeShapeType="1"/>
            </xdr:cNvSpPr>
          </xdr:nvSpPr>
          <xdr:spPr bwMode="auto">
            <a:xfrm flipV="1">
              <a:off x="1724025" y="9096375"/>
              <a:ext cx="0" cy="1619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1" name="Line 142"/>
            <xdr:cNvSpPr>
              <a:spLocks noChangeShapeType="1"/>
            </xdr:cNvSpPr>
          </xdr:nvSpPr>
          <xdr:spPr bwMode="auto">
            <a:xfrm>
              <a:off x="1743075" y="92773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2" name="Line 142"/>
            <xdr:cNvSpPr>
              <a:spLocks noChangeShapeType="1"/>
            </xdr:cNvSpPr>
          </xdr:nvSpPr>
          <xdr:spPr bwMode="auto">
            <a:xfrm>
              <a:off x="1743075" y="9391650"/>
              <a:ext cx="20955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657225</xdr:colOff>
      <xdr:row>16</xdr:row>
      <xdr:rowOff>85724</xdr:rowOff>
    </xdr:from>
    <xdr:to>
      <xdr:col>1</xdr:col>
      <xdr:colOff>28575</xdr:colOff>
      <xdr:row>17</xdr:row>
      <xdr:rowOff>85724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57225" y="3981449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647700</xdr:colOff>
      <xdr:row>18</xdr:row>
      <xdr:rowOff>28574</xdr:rowOff>
    </xdr:from>
    <xdr:to>
      <xdr:col>1</xdr:col>
      <xdr:colOff>19050</xdr:colOff>
      <xdr:row>19</xdr:row>
      <xdr:rowOff>28574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47700" y="4400549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638175</xdr:colOff>
      <xdr:row>19</xdr:row>
      <xdr:rowOff>200024</xdr:rowOff>
    </xdr:from>
    <xdr:to>
      <xdr:col>1</xdr:col>
      <xdr:colOff>9525</xdr:colOff>
      <xdr:row>20</xdr:row>
      <xdr:rowOff>200024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38175" y="4810124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638175</xdr:colOff>
      <xdr:row>21</xdr:row>
      <xdr:rowOff>133349</xdr:rowOff>
    </xdr:from>
    <xdr:to>
      <xdr:col>1</xdr:col>
      <xdr:colOff>9525</xdr:colOff>
      <xdr:row>22</xdr:row>
      <xdr:rowOff>133349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38175" y="5219699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647700</xdr:colOff>
      <xdr:row>23</xdr:row>
      <xdr:rowOff>66674</xdr:rowOff>
    </xdr:from>
    <xdr:to>
      <xdr:col>1</xdr:col>
      <xdr:colOff>19050</xdr:colOff>
      <xdr:row>24</xdr:row>
      <xdr:rowOff>66674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47700" y="5629274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647700</xdr:colOff>
      <xdr:row>24</xdr:row>
      <xdr:rowOff>238124</xdr:rowOff>
    </xdr:from>
    <xdr:to>
      <xdr:col>1</xdr:col>
      <xdr:colOff>19050</xdr:colOff>
      <xdr:row>25</xdr:row>
      <xdr:rowOff>238124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47700" y="6038849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638175</xdr:colOff>
      <xdr:row>26</xdr:row>
      <xdr:rowOff>171449</xdr:rowOff>
    </xdr:from>
    <xdr:to>
      <xdr:col>1</xdr:col>
      <xdr:colOff>9525</xdr:colOff>
      <xdr:row>27</xdr:row>
      <xdr:rowOff>171449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38175" y="6448424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628650</xdr:colOff>
      <xdr:row>28</xdr:row>
      <xdr:rowOff>104774</xdr:rowOff>
    </xdr:from>
    <xdr:to>
      <xdr:col>1</xdr:col>
      <xdr:colOff>0</xdr:colOff>
      <xdr:row>29</xdr:row>
      <xdr:rowOff>104774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28650" y="6857999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628650</xdr:colOff>
      <xdr:row>30</xdr:row>
      <xdr:rowOff>47624</xdr:rowOff>
    </xdr:from>
    <xdr:to>
      <xdr:col>1</xdr:col>
      <xdr:colOff>0</xdr:colOff>
      <xdr:row>31</xdr:row>
      <xdr:rowOff>47624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28650" y="7277099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628650</xdr:colOff>
      <xdr:row>31</xdr:row>
      <xdr:rowOff>219074</xdr:rowOff>
    </xdr:from>
    <xdr:to>
      <xdr:col>1</xdr:col>
      <xdr:colOff>0</xdr:colOff>
      <xdr:row>32</xdr:row>
      <xdr:rowOff>219074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28650" y="7686674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638175</xdr:colOff>
      <xdr:row>33</xdr:row>
      <xdr:rowOff>152399</xdr:rowOff>
    </xdr:from>
    <xdr:to>
      <xdr:col>1</xdr:col>
      <xdr:colOff>9525</xdr:colOff>
      <xdr:row>34</xdr:row>
      <xdr:rowOff>152399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38175" y="8096249"/>
          <a:ext cx="4857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323851</xdr:colOff>
      <xdr:row>16</xdr:row>
      <xdr:rowOff>85724</xdr:rowOff>
    </xdr:from>
    <xdr:to>
      <xdr:col>5</xdr:col>
      <xdr:colOff>790575</xdr:colOff>
      <xdr:row>17</xdr:row>
      <xdr:rowOff>19050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6" y="3981449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6000</a:t>
          </a:r>
        </a:p>
      </xdr:txBody>
    </xdr:sp>
    <xdr:clientData/>
  </xdr:twoCellAnchor>
  <xdr:twoCellAnchor>
    <xdr:from>
      <xdr:col>5</xdr:col>
      <xdr:colOff>348762</xdr:colOff>
      <xdr:row>25</xdr:row>
      <xdr:rowOff>0</xdr:rowOff>
    </xdr:from>
    <xdr:to>
      <xdr:col>5</xdr:col>
      <xdr:colOff>875322</xdr:colOff>
      <xdr:row>25</xdr:row>
      <xdr:rowOff>180023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7" y="6038850"/>
          <a:ext cx="526560" cy="1800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3000</a:t>
          </a:r>
        </a:p>
      </xdr:txBody>
    </xdr:sp>
    <xdr:clientData/>
  </xdr:twoCellAnchor>
  <xdr:twoCellAnchor>
    <xdr:from>
      <xdr:col>5</xdr:col>
      <xdr:colOff>342901</xdr:colOff>
      <xdr:row>26</xdr:row>
      <xdr:rowOff>180974</xdr:rowOff>
    </xdr:from>
    <xdr:to>
      <xdr:col>5</xdr:col>
      <xdr:colOff>809625</xdr:colOff>
      <xdr:row>27</xdr:row>
      <xdr:rowOff>114300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6" y="6457949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352426</xdr:colOff>
      <xdr:row>28</xdr:row>
      <xdr:rowOff>114299</xdr:rowOff>
    </xdr:from>
    <xdr:to>
      <xdr:col>5</xdr:col>
      <xdr:colOff>819150</xdr:colOff>
      <xdr:row>29</xdr:row>
      <xdr:rowOff>47625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1" y="6867524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342901</xdr:colOff>
      <xdr:row>30</xdr:row>
      <xdr:rowOff>38099</xdr:rowOff>
    </xdr:from>
    <xdr:to>
      <xdr:col>5</xdr:col>
      <xdr:colOff>809625</xdr:colOff>
      <xdr:row>30</xdr:row>
      <xdr:rowOff>209550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6" y="7267574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342901</xdr:colOff>
      <xdr:row>31</xdr:row>
      <xdr:rowOff>219074</xdr:rowOff>
    </xdr:from>
    <xdr:to>
      <xdr:col>5</xdr:col>
      <xdr:colOff>809625</xdr:colOff>
      <xdr:row>32</xdr:row>
      <xdr:rowOff>152400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6" y="7686674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762000</xdr:colOff>
      <xdr:row>23</xdr:row>
      <xdr:rowOff>47625</xdr:rowOff>
    </xdr:from>
    <xdr:to>
      <xdr:col>5</xdr:col>
      <xdr:colOff>981075</xdr:colOff>
      <xdr:row>28</xdr:row>
      <xdr:rowOff>180975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34125" y="56102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342901</xdr:colOff>
      <xdr:row>23</xdr:row>
      <xdr:rowOff>66674</xdr:rowOff>
    </xdr:from>
    <xdr:to>
      <xdr:col>5</xdr:col>
      <xdr:colOff>809625</xdr:colOff>
      <xdr:row>24</xdr:row>
      <xdr:rowOff>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6" y="5629274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5</xdr:col>
      <xdr:colOff>342901</xdr:colOff>
      <xdr:row>21</xdr:row>
      <xdr:rowOff>133349</xdr:rowOff>
    </xdr:from>
    <xdr:to>
      <xdr:col>5</xdr:col>
      <xdr:colOff>809625</xdr:colOff>
      <xdr:row>22</xdr:row>
      <xdr:rowOff>66675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6" y="5219699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4200</a:t>
          </a:r>
        </a:p>
      </xdr:txBody>
    </xdr:sp>
    <xdr:clientData/>
  </xdr:twoCellAnchor>
  <xdr:twoCellAnchor>
    <xdr:from>
      <xdr:col>5</xdr:col>
      <xdr:colOff>333376</xdr:colOff>
      <xdr:row>19</xdr:row>
      <xdr:rowOff>200024</xdr:rowOff>
    </xdr:from>
    <xdr:to>
      <xdr:col>5</xdr:col>
      <xdr:colOff>800100</xdr:colOff>
      <xdr:row>20</xdr:row>
      <xdr:rowOff>133350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1" y="4810124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4800</a:t>
          </a:r>
        </a:p>
      </xdr:txBody>
    </xdr:sp>
    <xdr:clientData/>
  </xdr:twoCellAnchor>
  <xdr:twoCellAnchor>
    <xdr:from>
      <xdr:col>5</xdr:col>
      <xdr:colOff>333376</xdr:colOff>
      <xdr:row>18</xdr:row>
      <xdr:rowOff>28574</xdr:rowOff>
    </xdr:from>
    <xdr:to>
      <xdr:col>5</xdr:col>
      <xdr:colOff>800100</xdr:colOff>
      <xdr:row>18</xdr:row>
      <xdr:rowOff>200025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1" y="4400549"/>
          <a:ext cx="466724" cy="1714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5400</a:t>
          </a:r>
        </a:p>
      </xdr:txBody>
    </xdr:sp>
    <xdr:clientData/>
  </xdr:twoCellAnchor>
  <xdr:twoCellAnchor>
    <xdr:from>
      <xdr:col>2</xdr:col>
      <xdr:colOff>857250</xdr:colOff>
      <xdr:row>16</xdr:row>
      <xdr:rowOff>228600</xdr:rowOff>
    </xdr:from>
    <xdr:to>
      <xdr:col>3</xdr:col>
      <xdr:colOff>85725</xdr:colOff>
      <xdr:row>17</xdr:row>
      <xdr:rowOff>133350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243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857250</xdr:colOff>
      <xdr:row>18</xdr:row>
      <xdr:rowOff>161925</xdr:rowOff>
    </xdr:from>
    <xdr:to>
      <xdr:col>3</xdr:col>
      <xdr:colOff>76200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086100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3</xdr:col>
      <xdr:colOff>552450</xdr:colOff>
      <xdr:row>30</xdr:row>
      <xdr:rowOff>209550</xdr:rowOff>
    </xdr:from>
    <xdr:to>
      <xdr:col>3</xdr:col>
      <xdr:colOff>1057275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895725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142875</xdr:rowOff>
    </xdr:from>
    <xdr:to>
      <xdr:col>5</xdr:col>
      <xdr:colOff>822568</xdr:colOff>
      <xdr:row>34</xdr:row>
      <xdr:rowOff>84773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5" y="8086725"/>
          <a:ext cx="490658" cy="1800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34" zoomScale="95" zoomScaleNormal="95" workbookViewId="0">
      <selection activeCell="P62" sqref="P62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41934</v>
      </c>
      <c r="I3" s="51" t="s">
        <v>3</v>
      </c>
      <c r="J3" s="152">
        <v>0.56658564814814816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2</v>
      </c>
      <c r="B5" s="115">
        <v>2250</v>
      </c>
      <c r="C5" s="145">
        <v>3600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26.179916666666667</v>
      </c>
      <c r="J7" s="108" t="s">
        <v>19</v>
      </c>
    </row>
    <row r="8" spans="1:10" ht="15" customHeight="1">
      <c r="A8" s="7" t="s">
        <v>20</v>
      </c>
      <c r="B8" s="71">
        <v>3.5</v>
      </c>
      <c r="C8" s="54"/>
      <c r="D8" s="7"/>
      <c r="E8" s="53"/>
      <c r="F8" s="4"/>
      <c r="G8" s="17"/>
      <c r="H8" s="11" t="s">
        <v>21</v>
      </c>
      <c r="I8" s="70">
        <v>30.254877608695651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185</v>
      </c>
      <c r="F9" s="109" t="s">
        <v>25</v>
      </c>
      <c r="G9" s="31"/>
      <c r="H9" s="11" t="s">
        <v>26</v>
      </c>
      <c r="I9" s="71">
        <v>28.217397137681161</v>
      </c>
      <c r="J9" s="106">
        <v>195.78823187701227</v>
      </c>
    </row>
    <row r="10" spans="1:10" ht="15" customHeight="1">
      <c r="A10" s="7" t="s">
        <v>27</v>
      </c>
      <c r="B10" s="71">
        <v>850</v>
      </c>
      <c r="C10" s="75">
        <v>850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17.127578248316492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443</v>
      </c>
      <c r="D11" s="7" t="s">
        <v>31</v>
      </c>
      <c r="E11" s="70">
        <v>0.62956666666666661</v>
      </c>
      <c r="F11" s="120"/>
      <c r="G11" s="116"/>
      <c r="H11" s="11" t="s">
        <v>32</v>
      </c>
      <c r="I11" s="70">
        <v>29.859305480929297</v>
      </c>
      <c r="J11" s="106">
        <v>57430.841027535913</v>
      </c>
    </row>
    <row r="12" spans="1:10" ht="15" customHeight="1">
      <c r="A12" s="7" t="s">
        <v>33</v>
      </c>
      <c r="B12" s="71">
        <v>450</v>
      </c>
      <c r="C12" s="75">
        <v>170</v>
      </c>
      <c r="D12" s="7" t="s">
        <v>34</v>
      </c>
      <c r="E12" s="140" t="s">
        <v>174</v>
      </c>
      <c r="F12" s="126" t="s">
        <v>191</v>
      </c>
      <c r="G12" s="118" t="s">
        <v>190</v>
      </c>
      <c r="H12" s="11" t="s">
        <v>35</v>
      </c>
      <c r="I12" s="70">
        <v>1.5285241314976885</v>
      </c>
      <c r="J12" s="105" t="s">
        <v>36</v>
      </c>
    </row>
    <row r="13" spans="1:10" ht="15" customHeight="1" thickBot="1">
      <c r="A13" s="7" t="s">
        <v>37</v>
      </c>
      <c r="B13" s="71">
        <v>109.5</v>
      </c>
      <c r="C13" s="75">
        <v>98.090000152587891</v>
      </c>
      <c r="D13" s="7" t="s">
        <v>38</v>
      </c>
      <c r="E13" s="72">
        <v>22</v>
      </c>
      <c r="F13" s="126"/>
      <c r="G13" s="118" t="s">
        <v>192</v>
      </c>
      <c r="H13" s="11" t="s">
        <v>40</v>
      </c>
      <c r="I13" s="70">
        <v>1.0132478676712358</v>
      </c>
      <c r="J13" s="106">
        <v>262.7579345703125</v>
      </c>
    </row>
    <row r="14" spans="1:10" ht="15" customHeight="1" thickBot="1">
      <c r="A14" s="136" t="s">
        <v>41</v>
      </c>
      <c r="B14" s="137">
        <v>639.84002685546875</v>
      </c>
      <c r="C14" s="138">
        <v>695.6400146484375</v>
      </c>
      <c r="D14" s="7" t="s">
        <v>42</v>
      </c>
      <c r="E14" s="53" t="s">
        <v>186</v>
      </c>
      <c r="F14" s="53"/>
      <c r="G14" s="118" t="s">
        <v>193</v>
      </c>
      <c r="H14" s="51" t="s">
        <v>43</v>
      </c>
      <c r="I14" s="70">
        <v>1.5487738169240604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0.83543300071747506</v>
      </c>
      <c r="J15" s="106">
        <v>40.404040404040401</v>
      </c>
    </row>
    <row r="16" spans="1:10" ht="15" customHeight="1">
      <c r="A16" s="7" t="s">
        <v>48</v>
      </c>
      <c r="B16" s="53">
        <v>54</v>
      </c>
      <c r="C16" s="54">
        <v>46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0.95529270900034158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187</v>
      </c>
      <c r="F17" s="53"/>
      <c r="G17" s="118"/>
      <c r="H17" s="11" t="s">
        <v>54</v>
      </c>
      <c r="I17" s="70">
        <v>0.79808305444368111</v>
      </c>
      <c r="J17" s="106">
        <v>637.42979978825906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1717</v>
      </c>
      <c r="F18" s="72">
        <v>1040.5370025634766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73</v>
      </c>
      <c r="C19" s="75">
        <v>38.409999847412109</v>
      </c>
      <c r="D19" s="7" t="s">
        <v>59</v>
      </c>
      <c r="E19" s="72">
        <v>198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/>
      <c r="D20" s="7" t="s">
        <v>166</v>
      </c>
      <c r="E20" s="69">
        <v>0.12680883028363524</v>
      </c>
      <c r="F20" s="53"/>
      <c r="G20" s="54"/>
      <c r="H20" s="11" t="s">
        <v>63</v>
      </c>
      <c r="I20" s="70">
        <v>14.993256568908691</v>
      </c>
      <c r="J20" s="74">
        <v>14.993256568908691</v>
      </c>
    </row>
    <row r="21" spans="1:10" ht="15" customHeight="1">
      <c r="A21" s="7" t="s">
        <v>64</v>
      </c>
      <c r="B21" s="71">
        <v>17.299999237060547</v>
      </c>
      <c r="C21" s="75">
        <v>3</v>
      </c>
      <c r="D21" s="11" t="s">
        <v>188</v>
      </c>
      <c r="E21" s="69">
        <v>0.16916148479879828</v>
      </c>
      <c r="F21" s="69">
        <v>0.1246710792183876</v>
      </c>
      <c r="G21" s="73">
        <v>2.6711696206045292E-2</v>
      </c>
      <c r="H21" s="11" t="s">
        <v>65</v>
      </c>
      <c r="I21" s="70">
        <v>16.318153381347656</v>
      </c>
      <c r="J21" s="74">
        <v>13.79779052734375</v>
      </c>
    </row>
    <row r="22" spans="1:10" ht="15" customHeight="1">
      <c r="A22" s="7" t="s">
        <v>66</v>
      </c>
      <c r="B22" s="71">
        <v>13.149999618530273</v>
      </c>
      <c r="C22" s="75">
        <v>3</v>
      </c>
      <c r="D22" s="7" t="s">
        <v>67</v>
      </c>
      <c r="E22" s="53" t="s">
        <v>189</v>
      </c>
      <c r="F22" s="53" t="s">
        <v>189</v>
      </c>
      <c r="G22" s="54" t="s">
        <v>189</v>
      </c>
      <c r="H22" s="11" t="s">
        <v>68</v>
      </c>
      <c r="I22" s="70">
        <v>4.6907854080200195</v>
      </c>
      <c r="J22" s="74">
        <v>4.2866053581237793</v>
      </c>
    </row>
    <row r="23" spans="1:10" ht="15" customHeight="1">
      <c r="A23" s="7" t="s">
        <v>69</v>
      </c>
      <c r="B23" s="71">
        <v>8.8799171447753906</v>
      </c>
      <c r="C23" s="75">
        <v>10.888422012329102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21.292651182430095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6.7857612215462551</v>
      </c>
      <c r="J24" s="74">
        <v>6.2091002739496552</v>
      </c>
    </row>
    <row r="25" spans="1:10" ht="15" customHeight="1">
      <c r="A25" s="7" t="s">
        <v>75</v>
      </c>
      <c r="B25" s="53" t="s">
        <v>174</v>
      </c>
      <c r="C25" s="75">
        <v>5.7199997901916504</v>
      </c>
      <c r="D25" s="111" t="s">
        <v>76</v>
      </c>
      <c r="E25" s="55"/>
      <c r="F25" s="55"/>
      <c r="G25" s="62"/>
      <c r="H25" s="11" t="s">
        <v>77</v>
      </c>
      <c r="I25" s="70">
        <v>0.32054427266120911</v>
      </c>
      <c r="J25" s="74">
        <v>0.83177918195724487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423.44075312219235</v>
      </c>
      <c r="F26" s="71">
        <v>145.70970173685308</v>
      </c>
      <c r="G26" s="75">
        <v>84.531503356144583</v>
      </c>
      <c r="H26" s="11" t="s">
        <v>80</v>
      </c>
      <c r="I26" s="70">
        <v>4.0003924369812012</v>
      </c>
      <c r="J26" s="74">
        <v>3.7813198566436768</v>
      </c>
    </row>
    <row r="27" spans="1:10" ht="15" customHeight="1" thickBot="1">
      <c r="A27" s="7" t="s">
        <v>81</v>
      </c>
      <c r="B27" s="53" t="s">
        <v>183</v>
      </c>
      <c r="C27" s="54" t="s">
        <v>184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4.0132145881652832</v>
      </c>
      <c r="J27" s="83">
        <v>3.8717226982116699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35.359193128881586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35.395463326989393</v>
      </c>
      <c r="D30" s="11" t="s">
        <v>95</v>
      </c>
      <c r="E30" s="71">
        <v>64.009896249999997</v>
      </c>
      <c r="F30" s="71">
        <v>1401.2496588134766</v>
      </c>
      <c r="G30" s="71">
        <v>13.562100763438131</v>
      </c>
      <c r="H30" s="76">
        <v>384.14680670365078</v>
      </c>
      <c r="I30" s="72">
        <v>155285.90882391279</v>
      </c>
      <c r="J30" s="76">
        <v>9025.3836550998458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7.3000000000000007</v>
      </c>
      <c r="F31" s="71">
        <v>1534.0661345846042</v>
      </c>
      <c r="G31" s="71">
        <v>12.387920337415935</v>
      </c>
      <c r="H31" s="76">
        <v>32.368354953524964</v>
      </c>
      <c r="I31" s="72">
        <v>22397.365564935226</v>
      </c>
      <c r="J31" s="76">
        <v>1124.1345363281848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28.759685678968431</v>
      </c>
      <c r="F32" s="71">
        <v>1758.9025911610108</v>
      </c>
      <c r="G32" s="71">
        <v>10.804401086826328</v>
      </c>
      <c r="H32" s="76">
        <v>86.958709012758789</v>
      </c>
      <c r="I32" s="10" t="s">
        <v>100</v>
      </c>
      <c r="J32" s="76">
        <v>10149.518191428031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3.8409999847412113</v>
      </c>
      <c r="F33" s="71">
        <v>1742.1170710756467</v>
      </c>
      <c r="G33" s="71">
        <v>10.90850286876988</v>
      </c>
      <c r="H33" s="76">
        <v>11.946472780883097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19.003889067561669</v>
      </c>
      <c r="D34" s="12" t="s">
        <v>20</v>
      </c>
      <c r="E34" s="81">
        <v>0.35000000000000003</v>
      </c>
      <c r="F34" s="82">
        <v>3276.9398536706085</v>
      </c>
      <c r="G34" s="82">
        <v>5.7992791800175363</v>
      </c>
      <c r="H34" s="85">
        <v>1615.2232730927158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20410.0078125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9.0039892384530713</v>
      </c>
      <c r="C42" s="70">
        <v>9.0039892384530713</v>
      </c>
      <c r="D42" s="70">
        <v>9.0039892384530713</v>
      </c>
      <c r="E42" s="70">
        <v>9.0039892384530713</v>
      </c>
      <c r="F42" s="74">
        <v>9.0039892384530713</v>
      </c>
      <c r="G42" s="37" t="s">
        <v>124</v>
      </c>
      <c r="H42" s="93" t="s">
        <v>248</v>
      </c>
      <c r="I42" s="57"/>
      <c r="J42" s="99">
        <v>0.21484078466057482</v>
      </c>
    </row>
    <row r="43" spans="1:10" ht="15" customHeight="1" thickBot="1">
      <c r="A43" s="18" t="s">
        <v>125</v>
      </c>
      <c r="B43" s="81">
        <v>9.0039892384530713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5606.2075306942688</v>
      </c>
      <c r="I44" s="92">
        <v>3.7808190804042255E-2</v>
      </c>
      <c r="J44" s="99">
        <v>0.64965201367762571</v>
      </c>
    </row>
    <row r="45" spans="1:10" ht="15" customHeight="1">
      <c r="A45" s="7" t="s">
        <v>129</v>
      </c>
      <c r="B45" s="70">
        <v>0.17647458612918854</v>
      </c>
      <c r="C45" s="5" t="s">
        <v>130</v>
      </c>
      <c r="D45" s="74">
        <v>6.4090224914252758E-3</v>
      </c>
      <c r="E45" s="7" t="s">
        <v>131</v>
      </c>
      <c r="F45" s="76">
        <v>726.9212120099221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0.14365337789058685</v>
      </c>
      <c r="C46" s="5" t="s">
        <v>133</v>
      </c>
      <c r="D46" s="74">
        <v>5.4361280053853989E-3</v>
      </c>
      <c r="E46" s="7" t="s">
        <v>134</v>
      </c>
      <c r="F46" s="76">
        <v>1041.1859168057347</v>
      </c>
      <c r="G46" s="38" t="s">
        <v>135</v>
      </c>
      <c r="H46" s="96">
        <v>1198.4756533680236</v>
      </c>
      <c r="I46" s="59"/>
      <c r="J46" s="60"/>
    </row>
    <row r="47" spans="1:10" ht="15" customHeight="1">
      <c r="A47" s="7" t="s">
        <v>136</v>
      </c>
      <c r="B47" s="70">
        <v>0.32012796401977539</v>
      </c>
      <c r="C47" s="5" t="s">
        <v>137</v>
      </c>
      <c r="D47" s="74">
        <v>5.6047276593744755E-3</v>
      </c>
      <c r="E47" s="7" t="s">
        <v>138</v>
      </c>
      <c r="F47" s="76">
        <v>355.79390936422652</v>
      </c>
      <c r="G47" s="66" t="s">
        <v>139</v>
      </c>
      <c r="H47" s="95">
        <v>5398.4150339666658</v>
      </c>
      <c r="I47" s="92">
        <v>3.6349919569310753E-2</v>
      </c>
      <c r="J47" s="97">
        <v>0.66331311836562645</v>
      </c>
    </row>
    <row r="48" spans="1:10" ht="15" customHeight="1">
      <c r="A48" s="7" t="s">
        <v>140</v>
      </c>
      <c r="B48" s="70">
        <v>1.2966334819793701E-2</v>
      </c>
      <c r="C48" s="5" t="s">
        <v>100</v>
      </c>
      <c r="D48" s="74">
        <v>3.0416212975978851E-2</v>
      </c>
      <c r="E48" s="7" t="s">
        <v>141</v>
      </c>
      <c r="F48" s="76">
        <v>262.76078746451822</v>
      </c>
      <c r="G48" s="67" t="s">
        <v>122</v>
      </c>
      <c r="H48" s="88">
        <v>321.6213901678085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0.96958380937576294</v>
      </c>
      <c r="E49" s="18" t="s">
        <v>143</v>
      </c>
      <c r="F49" s="85">
        <v>670.3261876807137</v>
      </c>
      <c r="G49" s="68" t="s">
        <v>135</v>
      </c>
      <c r="H49" s="96">
        <v>1174.6997132893464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46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6.8136926478500059E-2</v>
      </c>
      <c r="I51" s="46" t="s">
        <v>149</v>
      </c>
      <c r="J51" s="40"/>
    </row>
    <row r="52" spans="1:10" ht="15" customHeight="1">
      <c r="A52" s="11" t="s">
        <v>58</v>
      </c>
      <c r="B52" s="71">
        <v>38.409999847412109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146794.25200000001</v>
      </c>
      <c r="I52" s="100" t="s">
        <v>230</v>
      </c>
      <c r="J52" s="64"/>
    </row>
    <row r="53" spans="1:10" ht="15" customHeight="1">
      <c r="A53" s="11" t="s">
        <v>64</v>
      </c>
      <c r="B53" s="71">
        <v>3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115.23290064299199</v>
      </c>
      <c r="I53" s="45" t="s">
        <v>154</v>
      </c>
      <c r="J53" s="40"/>
    </row>
    <row r="54" spans="1:10" ht="15" customHeight="1">
      <c r="A54" s="11" t="s">
        <v>66</v>
      </c>
      <c r="B54" s="71">
        <v>3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456986.8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14.119999885559082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0.69434999999999991</v>
      </c>
      <c r="I56" s="103" t="s">
        <v>232</v>
      </c>
      <c r="J56" s="63" t="s">
        <v>195</v>
      </c>
    </row>
    <row r="57" spans="1:10" ht="15" customHeight="1">
      <c r="A57" s="24" t="s">
        <v>397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398</v>
      </c>
      <c r="D58" s="4" t="s">
        <v>119</v>
      </c>
      <c r="E58" s="4" t="s">
        <v>165</v>
      </c>
      <c r="F58" s="17" t="s">
        <v>399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0.16249312460422516</v>
      </c>
      <c r="D59" s="130">
        <v>0.68736839294433594</v>
      </c>
      <c r="E59" s="88">
        <v>100.83929572265109</v>
      </c>
      <c r="F59" s="89">
        <v>632.1025390625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128.25993265385728</v>
      </c>
      <c r="C60" s="89">
        <v>159.75900268554687</v>
      </c>
      <c r="D60" s="130">
        <v>0.79157894849777222</v>
      </c>
      <c r="E60" s="88">
        <v>100.39087971675043</v>
      </c>
      <c r="F60" s="89">
        <v>635.6649169921875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250</v>
      </c>
      <c r="C61" s="89">
        <v>484.3135986328125</v>
      </c>
      <c r="D61" s="130">
        <v>0.89578944444656372</v>
      </c>
      <c r="E61" s="88">
        <v>100.13658530851119</v>
      </c>
      <c r="F61" s="89">
        <v>638.705322265625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152.75647871727961</v>
      </c>
      <c r="C62" s="89">
        <v>568.60791015625</v>
      </c>
      <c r="D62" s="131">
        <v>1</v>
      </c>
      <c r="E62" s="88">
        <v>100</v>
      </c>
      <c r="F62" s="89">
        <v>641.32843017578125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126.22189233405618</v>
      </c>
      <c r="C63" s="89">
        <v>591.035400390625</v>
      </c>
      <c r="D63" s="383"/>
      <c r="E63" s="384"/>
      <c r="F63" s="385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114.88709958454399</v>
      </c>
      <c r="C64" s="89">
        <v>600.5501708984375</v>
      </c>
      <c r="D64" s="386" t="s">
        <v>431</v>
      </c>
      <c r="E64" s="387"/>
      <c r="F64" s="387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108.07968629546298</v>
      </c>
      <c r="C65" s="89">
        <v>610.35906982421875</v>
      </c>
      <c r="D65" s="562" t="s">
        <v>416</v>
      </c>
      <c r="E65" s="564" t="s">
        <v>430</v>
      </c>
      <c r="F65" s="565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104.82061857721834</v>
      </c>
      <c r="C66" s="89">
        <v>617.17578125</v>
      </c>
      <c r="D66" s="562" t="s">
        <v>413</v>
      </c>
      <c r="E66" s="564" t="s">
        <v>702</v>
      </c>
      <c r="F66" s="565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102.83988335966944</v>
      </c>
      <c r="C67" s="89">
        <v>622.95184326171875</v>
      </c>
      <c r="D67" s="562" t="s">
        <v>420</v>
      </c>
      <c r="E67" s="564" t="s">
        <v>703</v>
      </c>
      <c r="F67" s="565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101.5985085725124</v>
      </c>
      <c r="C68" s="91">
        <v>627.9010009765625</v>
      </c>
      <c r="D68" s="563" t="s">
        <v>421</v>
      </c>
      <c r="E68" s="566" t="s">
        <v>432</v>
      </c>
      <c r="F68" s="566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2" t="s">
        <v>429</v>
      </c>
      <c r="B99" s="382"/>
      <c r="C99" s="382"/>
      <c r="D99" s="382"/>
      <c r="E99" s="382"/>
      <c r="F99" s="382"/>
      <c r="G99" s="382"/>
      <c r="H99" s="382"/>
      <c r="I99" s="382"/>
    </row>
    <row r="100" spans="1:9">
      <c r="A100" s="382">
        <v>100</v>
      </c>
      <c r="B100" s="382"/>
      <c r="C100" s="382"/>
      <c r="D100" s="382"/>
      <c r="E100" s="382"/>
      <c r="F100" s="382"/>
      <c r="G100" s="382"/>
      <c r="H100" s="382"/>
      <c r="I100" s="382"/>
    </row>
    <row r="101" spans="1:9">
      <c r="A101" s="382">
        <v>99.599998474121094</v>
      </c>
      <c r="B101" s="382"/>
      <c r="C101" s="382"/>
      <c r="D101" s="382"/>
      <c r="E101" s="382"/>
      <c r="F101" s="382"/>
      <c r="G101" s="382"/>
      <c r="H101" s="382"/>
      <c r="I101" s="382"/>
    </row>
    <row r="102" spans="1:9">
      <c r="A102" s="382">
        <v>98</v>
      </c>
      <c r="B102" s="382"/>
      <c r="C102" s="382"/>
      <c r="D102" s="382"/>
      <c r="E102" s="382"/>
      <c r="F102" s="382"/>
      <c r="G102" s="382"/>
      <c r="H102" s="382"/>
      <c r="I102" s="382"/>
    </row>
    <row r="103" spans="1:9">
      <c r="A103" s="382">
        <v>83.852630615234375</v>
      </c>
      <c r="B103" s="382"/>
      <c r="C103" s="382"/>
      <c r="D103" s="382"/>
      <c r="E103" s="382"/>
      <c r="F103" s="382"/>
      <c r="G103" s="382"/>
      <c r="H103" s="382"/>
      <c r="I103" s="382"/>
    </row>
    <row r="104" spans="1:9">
      <c r="A104" s="382">
        <v>70.305259704589844</v>
      </c>
      <c r="B104" s="382"/>
      <c r="C104" s="382"/>
      <c r="D104" s="382"/>
      <c r="E104" s="382"/>
      <c r="F104" s="382"/>
      <c r="G104" s="382"/>
      <c r="H104" s="382"/>
      <c r="I104" s="382"/>
    </row>
    <row r="105" spans="1:9">
      <c r="A105" s="382">
        <v>57.410526275634766</v>
      </c>
      <c r="B105" s="382"/>
      <c r="C105" s="382"/>
      <c r="D105" s="382"/>
      <c r="E105" s="382"/>
      <c r="F105" s="382"/>
      <c r="G105" s="382"/>
      <c r="H105" s="382"/>
      <c r="I105" s="382"/>
    </row>
    <row r="106" spans="1:9">
      <c r="A106" s="382">
        <v>38.010524749755859</v>
      </c>
      <c r="B106" s="382"/>
      <c r="C106" s="382"/>
      <c r="D106" s="382"/>
      <c r="E106" s="382"/>
      <c r="F106" s="382"/>
      <c r="G106" s="382"/>
      <c r="H106" s="382"/>
      <c r="I106" s="382"/>
    </row>
    <row r="107" spans="1:9">
      <c r="A107" s="382">
        <v>24.778947830200195</v>
      </c>
      <c r="B107" s="382"/>
      <c r="C107" s="382"/>
      <c r="D107" s="382"/>
      <c r="E107" s="382"/>
      <c r="F107" s="382"/>
      <c r="G107" s="382"/>
      <c r="H107" s="382"/>
      <c r="I107" s="382"/>
    </row>
    <row r="108" spans="1:9">
      <c r="A108" s="382">
        <v>15.684209823608398</v>
      </c>
      <c r="B108" s="382"/>
      <c r="C108" s="382"/>
      <c r="D108" s="382"/>
      <c r="E108" s="382"/>
      <c r="F108" s="382"/>
      <c r="G108" s="382"/>
      <c r="H108" s="382"/>
      <c r="I108" s="382"/>
    </row>
    <row r="109" spans="1:9">
      <c r="A109" s="382">
        <v>9.0105257034301758</v>
      </c>
      <c r="B109" s="382"/>
      <c r="C109" s="382"/>
      <c r="D109" s="382"/>
      <c r="E109" s="382"/>
      <c r="F109" s="382"/>
      <c r="G109" s="382"/>
      <c r="H109" s="382"/>
      <c r="I109" s="382"/>
    </row>
    <row r="110" spans="1:9">
      <c r="A110" s="382">
        <v>6.2526321411132813</v>
      </c>
      <c r="B110" s="382"/>
      <c r="C110" s="382"/>
      <c r="D110" s="382"/>
      <c r="E110" s="382"/>
      <c r="F110" s="382"/>
      <c r="G110" s="382"/>
      <c r="H110" s="382"/>
      <c r="I110" s="382"/>
    </row>
    <row r="111" spans="1:9">
      <c r="A111" s="382">
        <v>7.8315787315368652</v>
      </c>
      <c r="B111" s="382"/>
      <c r="C111" s="382"/>
      <c r="D111" s="382"/>
      <c r="E111" s="382"/>
      <c r="F111" s="382"/>
      <c r="G111" s="382"/>
      <c r="H111" s="382"/>
      <c r="I111" s="382"/>
    </row>
    <row r="112" spans="1:9">
      <c r="A112" s="382">
        <v>14.70526123046875</v>
      </c>
      <c r="B112" s="382"/>
      <c r="C112" s="382"/>
      <c r="D112" s="382"/>
      <c r="E112" s="382"/>
      <c r="F112" s="382"/>
      <c r="G112" s="382"/>
      <c r="H112" s="382"/>
      <c r="I112" s="382"/>
    </row>
    <row r="113" spans="1:9">
      <c r="A113" s="382">
        <v>30</v>
      </c>
      <c r="B113" s="382"/>
      <c r="C113" s="382"/>
      <c r="D113" s="382"/>
      <c r="E113" s="382"/>
      <c r="F113" s="382"/>
      <c r="G113" s="382"/>
      <c r="H113" s="382"/>
      <c r="I113" s="382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16" workbookViewId="0">
      <selection activeCell="A40" sqref="A40:E44"/>
    </sheetView>
  </sheetViews>
  <sheetFormatPr defaultRowHeight="15.75"/>
  <cols>
    <col min="1" max="1" width="11.85546875" style="300" customWidth="1"/>
    <col min="2" max="2" width="6.140625" style="300" customWidth="1"/>
    <col min="3" max="3" width="7.42578125" style="300" customWidth="1"/>
    <col min="4" max="5" width="12.5703125" style="300" customWidth="1"/>
    <col min="6" max="6" width="9.42578125" style="300" customWidth="1"/>
    <col min="7" max="7" width="5.7109375" style="300" customWidth="1"/>
    <col min="8" max="8" width="7.85546875" style="300" customWidth="1"/>
    <col min="9" max="9" width="6.5703125" style="300" customWidth="1"/>
    <col min="10" max="10" width="12" style="301" customWidth="1"/>
    <col min="11" max="11" width="12" style="300" customWidth="1"/>
    <col min="12" max="26" width="9.140625" style="153"/>
    <col min="27" max="16384" width="9.140625" style="154"/>
  </cols>
  <sheetData>
    <row r="1" spans="1:26" ht="20.25" customHeight="1">
      <c r="A1" s="582" t="s">
        <v>252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</row>
    <row r="2" spans="1:26" ht="20.25" customHeight="1">
      <c r="A2" s="583" t="s">
        <v>253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</row>
    <row r="3" spans="1:26" ht="18.75" customHeight="1" thickBot="1">
      <c r="A3" s="155" t="s">
        <v>1</v>
      </c>
      <c r="B3" s="156" t="s">
        <v>364</v>
      </c>
      <c r="C3" s="157"/>
      <c r="D3" s="157"/>
      <c r="E3" s="157"/>
      <c r="F3" s="158"/>
      <c r="G3" s="157"/>
      <c r="H3" s="157"/>
      <c r="I3" s="155" t="s">
        <v>254</v>
      </c>
      <c r="J3" s="584" t="s">
        <v>372</v>
      </c>
      <c r="K3" s="584"/>
    </row>
    <row r="4" spans="1:26" s="167" customFormat="1" ht="18.399999999999999" customHeight="1" thickBot="1">
      <c r="A4" s="159" t="s">
        <v>365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585" t="s">
        <v>257</v>
      </c>
      <c r="B5" s="586"/>
      <c r="C5" s="586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587" t="s">
        <v>67</v>
      </c>
      <c r="B6" s="588"/>
      <c r="C6" s="588"/>
      <c r="D6" s="589" t="s">
        <v>266</v>
      </c>
      <c r="E6" s="590"/>
      <c r="F6" s="591" t="s">
        <v>264</v>
      </c>
      <c r="G6" s="592"/>
      <c r="H6" s="592"/>
      <c r="I6" s="592"/>
      <c r="J6" s="592"/>
      <c r="K6" s="593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597" t="s">
        <v>20</v>
      </c>
      <c r="B7" s="598"/>
      <c r="C7" s="598"/>
      <c r="D7" s="599">
        <v>3.5</v>
      </c>
      <c r="E7" s="600"/>
      <c r="F7" s="178" t="s">
        <v>267</v>
      </c>
      <c r="G7" s="179"/>
      <c r="H7" s="180"/>
      <c r="I7" s="181"/>
      <c r="J7" s="182">
        <v>44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597" t="s">
        <v>269</v>
      </c>
      <c r="B8" s="598"/>
      <c r="C8" s="598"/>
      <c r="D8" s="601">
        <v>850</v>
      </c>
      <c r="E8" s="602"/>
      <c r="F8" s="184" t="s">
        <v>270</v>
      </c>
      <c r="G8" s="185"/>
      <c r="H8" s="186"/>
      <c r="I8" s="187"/>
      <c r="J8" s="188">
        <v>39795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03" t="s">
        <v>273</v>
      </c>
      <c r="B9" s="604"/>
      <c r="C9" s="605"/>
      <c r="D9" s="601">
        <v>11</v>
      </c>
      <c r="E9" s="602"/>
      <c r="F9" s="178" t="s">
        <v>274</v>
      </c>
      <c r="G9" s="179"/>
      <c r="H9" s="190">
        <v>3</v>
      </c>
      <c r="I9" s="191" t="s">
        <v>275</v>
      </c>
      <c r="J9" s="192">
        <v>431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03" t="s">
        <v>278</v>
      </c>
      <c r="B10" s="604"/>
      <c r="C10" s="605"/>
      <c r="D10" s="606" t="s">
        <v>186</v>
      </c>
      <c r="E10" s="607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03" t="s">
        <v>282</v>
      </c>
      <c r="B11" s="604"/>
      <c r="C11" s="605"/>
      <c r="D11" s="608" t="s">
        <v>174</v>
      </c>
      <c r="E11" s="609"/>
      <c r="F11" s="195" t="s">
        <v>283</v>
      </c>
      <c r="G11" s="196"/>
      <c r="H11" s="197">
        <v>3</v>
      </c>
      <c r="I11" s="191" t="s">
        <v>275</v>
      </c>
      <c r="J11" s="198">
        <v>130566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610" t="s">
        <v>174</v>
      </c>
      <c r="E12" s="611"/>
      <c r="F12" s="594" t="s">
        <v>286</v>
      </c>
      <c r="G12" s="595"/>
      <c r="H12" s="595"/>
      <c r="I12" s="595"/>
      <c r="J12" s="595"/>
      <c r="K12" s="596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03" t="s">
        <v>53</v>
      </c>
      <c r="B13" s="604"/>
      <c r="C13" s="605"/>
      <c r="D13" s="612" t="s">
        <v>367</v>
      </c>
      <c r="E13" s="613"/>
      <c r="F13" s="203"/>
      <c r="G13" s="204" t="s">
        <v>287</v>
      </c>
      <c r="H13" s="205"/>
      <c r="I13" s="206" t="s">
        <v>288</v>
      </c>
      <c r="J13" s="207" t="s">
        <v>371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03" t="s">
        <v>56</v>
      </c>
      <c r="B14" s="604"/>
      <c r="C14" s="605"/>
      <c r="D14" s="610">
        <v>1717</v>
      </c>
      <c r="E14" s="611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14" t="s">
        <v>289</v>
      </c>
      <c r="B15" s="615"/>
      <c r="C15" s="616"/>
      <c r="D15" s="617">
        <v>15.216400146484375</v>
      </c>
      <c r="E15" s="618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619" t="s">
        <v>291</v>
      </c>
      <c r="B16" s="620"/>
      <c r="C16" s="621"/>
      <c r="D16" s="617">
        <v>3.7935991287231445</v>
      </c>
      <c r="E16" s="618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608" t="s">
        <v>366</v>
      </c>
      <c r="E17" s="609"/>
      <c r="F17" s="594" t="s">
        <v>293</v>
      </c>
      <c r="G17" s="595"/>
      <c r="H17" s="595"/>
      <c r="I17" s="595"/>
      <c r="J17" s="595"/>
      <c r="K17" s="596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606" t="s">
        <v>174</v>
      </c>
      <c r="E18" s="607"/>
      <c r="F18" s="622"/>
      <c r="G18" s="623"/>
      <c r="H18" s="219" t="s">
        <v>295</v>
      </c>
      <c r="I18" s="220"/>
      <c r="J18" s="188">
        <v>271</v>
      </c>
      <c r="K18" s="189"/>
      <c r="L18" s="163"/>
      <c r="M18" s="163">
        <f>J18*6.5</f>
        <v>1761.5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28" t="s">
        <v>296</v>
      </c>
      <c r="B19" s="629"/>
      <c r="C19" s="630"/>
      <c r="D19" s="631" t="s">
        <v>174</v>
      </c>
      <c r="E19" s="609"/>
      <c r="F19" s="624"/>
      <c r="G19" s="625"/>
      <c r="H19" s="219" t="s">
        <v>5</v>
      </c>
      <c r="I19" s="181"/>
      <c r="J19" s="188">
        <v>3581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32" t="s">
        <v>185</v>
      </c>
      <c r="E20" s="602"/>
      <c r="F20" s="624"/>
      <c r="G20" s="625"/>
      <c r="H20" s="219" t="s">
        <v>298</v>
      </c>
      <c r="I20" s="181"/>
      <c r="J20" s="192" t="s">
        <v>347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14" t="s">
        <v>299</v>
      </c>
      <c r="B21" s="615"/>
      <c r="C21" s="616"/>
      <c r="D21" s="601" t="s">
        <v>174</v>
      </c>
      <c r="E21" s="602"/>
      <c r="F21" s="624"/>
      <c r="G21" s="625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33">
        <v>0.13125000000000001</v>
      </c>
      <c r="E22" s="634"/>
      <c r="F22" s="624"/>
      <c r="G22" s="625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612">
        <v>958</v>
      </c>
      <c r="E23" s="613"/>
      <c r="F23" s="624"/>
      <c r="G23" s="625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35" t="s">
        <v>174</v>
      </c>
      <c r="E24" s="636"/>
      <c r="F24" s="624"/>
      <c r="G24" s="625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624"/>
      <c r="G25" s="625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369</v>
      </c>
      <c r="E26" s="246" t="s">
        <v>370</v>
      </c>
      <c r="F26" s="626"/>
      <c r="G26" s="627"/>
      <c r="H26" s="637"/>
      <c r="I26" s="638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639" t="s">
        <v>316</v>
      </c>
      <c r="B27" s="640"/>
      <c r="C27" s="640"/>
      <c r="D27" s="640"/>
      <c r="E27" s="640"/>
      <c r="F27" s="591" t="s">
        <v>317</v>
      </c>
      <c r="G27" s="592"/>
      <c r="H27" s="592"/>
      <c r="I27" s="592"/>
      <c r="J27" s="592"/>
      <c r="K27" s="593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643"/>
      <c r="B28" s="644"/>
      <c r="C28" s="644"/>
      <c r="D28" s="644"/>
      <c r="E28" s="645"/>
      <c r="F28" s="249"/>
      <c r="G28" s="250"/>
      <c r="H28" s="209" t="s">
        <v>318</v>
      </c>
      <c r="I28" s="251" t="s">
        <v>368</v>
      </c>
      <c r="J28" s="188">
        <v>1738</v>
      </c>
      <c r="K28" s="252" t="s">
        <v>174</v>
      </c>
      <c r="M28" s="167">
        <f>(J28/J18)*100</f>
        <v>641.32841328413281</v>
      </c>
      <c r="N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643"/>
      <c r="B29" s="644"/>
      <c r="C29" s="644"/>
      <c r="D29" s="644"/>
      <c r="E29" s="645"/>
      <c r="F29" s="254"/>
      <c r="G29" s="255"/>
      <c r="H29" s="209" t="s">
        <v>319</v>
      </c>
      <c r="I29" s="256">
        <v>60</v>
      </c>
      <c r="J29" s="188">
        <v>102</v>
      </c>
      <c r="K29" s="183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643"/>
      <c r="B30" s="644"/>
      <c r="C30" s="644"/>
      <c r="D30" s="644"/>
      <c r="E30" s="645"/>
      <c r="F30" s="254"/>
      <c r="G30" s="255"/>
      <c r="H30" s="209" t="s">
        <v>320</v>
      </c>
      <c r="I30" s="256">
        <v>175</v>
      </c>
      <c r="J30" s="188">
        <v>251</v>
      </c>
      <c r="K30" s="183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643"/>
      <c r="B31" s="644"/>
      <c r="C31" s="644"/>
      <c r="D31" s="644"/>
      <c r="E31" s="645"/>
      <c r="F31" s="254"/>
      <c r="G31" s="255"/>
      <c r="H31" s="209" t="s">
        <v>321</v>
      </c>
      <c r="I31" s="210"/>
      <c r="J31" s="257">
        <v>0.54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646"/>
      <c r="B32" s="647"/>
      <c r="C32" s="647"/>
      <c r="D32" s="647"/>
      <c r="E32" s="648"/>
      <c r="F32" s="254"/>
      <c r="G32" s="258" t="s">
        <v>322</v>
      </c>
      <c r="H32" s="209" t="s">
        <v>323</v>
      </c>
      <c r="I32" s="259"/>
      <c r="J32" s="182">
        <v>95.4</v>
      </c>
      <c r="K32" s="183" t="s">
        <v>174</v>
      </c>
      <c r="L32" s="163"/>
      <c r="N32" s="260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639" t="s">
        <v>324</v>
      </c>
      <c r="B33" s="640"/>
      <c r="C33" s="640"/>
      <c r="D33" s="640"/>
      <c r="E33" s="649"/>
      <c r="F33" s="261"/>
      <c r="G33" s="262"/>
      <c r="H33" s="263" t="s">
        <v>325</v>
      </c>
      <c r="I33" s="264"/>
      <c r="J33" s="265">
        <v>93.6</v>
      </c>
      <c r="K33" s="252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643"/>
      <c r="B34" s="644"/>
      <c r="C34" s="644"/>
      <c r="D34" s="644"/>
      <c r="E34" s="645"/>
      <c r="F34" s="184" t="s">
        <v>326</v>
      </c>
      <c r="G34" s="266"/>
      <c r="H34" s="267" t="s">
        <v>14</v>
      </c>
      <c r="I34" s="268"/>
      <c r="J34" s="269">
        <v>11797</v>
      </c>
      <c r="K34" s="252" t="s">
        <v>174</v>
      </c>
      <c r="L34" s="270"/>
      <c r="M34" s="271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643"/>
      <c r="B35" s="644"/>
      <c r="C35" s="644"/>
      <c r="D35" s="644"/>
      <c r="E35" s="645"/>
      <c r="F35" s="203"/>
      <c r="G35" s="272"/>
      <c r="H35" s="273" t="s">
        <v>15</v>
      </c>
      <c r="I35" s="274"/>
      <c r="J35" s="188">
        <v>8890</v>
      </c>
      <c r="K35" s="252" t="s">
        <v>174</v>
      </c>
      <c r="M35" s="271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643"/>
      <c r="B36" s="644"/>
      <c r="C36" s="644"/>
      <c r="D36" s="644"/>
      <c r="E36" s="645"/>
      <c r="F36" s="203"/>
      <c r="G36" s="272"/>
      <c r="H36" s="273" t="s">
        <v>327</v>
      </c>
      <c r="I36" s="274"/>
      <c r="J36" s="188">
        <v>9614</v>
      </c>
      <c r="K36" s="252" t="s">
        <v>174</v>
      </c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643"/>
      <c r="B37" s="644"/>
      <c r="C37" s="644"/>
      <c r="D37" s="644"/>
      <c r="E37" s="645"/>
      <c r="F37" s="254"/>
      <c r="G37" s="272"/>
      <c r="H37" s="273" t="s">
        <v>328</v>
      </c>
      <c r="I37" s="274"/>
      <c r="J37" s="188">
        <v>29927</v>
      </c>
      <c r="K37" s="275" t="s">
        <v>174</v>
      </c>
      <c r="M37" s="276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646"/>
      <c r="B38" s="647"/>
      <c r="C38" s="647"/>
      <c r="D38" s="647"/>
      <c r="E38" s="648"/>
      <c r="F38" s="211"/>
      <c r="G38" s="277"/>
      <c r="H38" s="278" t="s">
        <v>329</v>
      </c>
      <c r="I38" s="279"/>
      <c r="J38" s="280">
        <v>20410</v>
      </c>
      <c r="K38" s="252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639" t="s">
        <v>330</v>
      </c>
      <c r="B39" s="640"/>
      <c r="C39" s="640"/>
      <c r="D39" s="640"/>
      <c r="E39" s="640"/>
      <c r="F39" s="281" t="s">
        <v>331</v>
      </c>
      <c r="G39" s="282"/>
      <c r="H39" s="282"/>
      <c r="I39" s="282"/>
      <c r="J39" s="282"/>
      <c r="K39" s="283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643"/>
      <c r="B40" s="644"/>
      <c r="C40" s="644"/>
      <c r="D40" s="644"/>
      <c r="E40" s="645"/>
      <c r="F40" s="284"/>
      <c r="G40" s="285"/>
      <c r="H40" s="285"/>
      <c r="I40" s="285"/>
      <c r="J40" s="285"/>
      <c r="K40" s="286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643"/>
      <c r="B41" s="644"/>
      <c r="C41" s="644"/>
      <c r="D41" s="644"/>
      <c r="E41" s="645"/>
      <c r="F41" s="284"/>
      <c r="G41" s="287"/>
      <c r="H41" s="287"/>
      <c r="I41" s="287"/>
      <c r="J41" s="287"/>
      <c r="K41" s="288"/>
      <c r="L41" s="289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643"/>
      <c r="B42" s="644"/>
      <c r="C42" s="644"/>
      <c r="D42" s="644"/>
      <c r="E42" s="645"/>
      <c r="F42" s="284"/>
      <c r="G42" s="287"/>
      <c r="H42" s="287"/>
      <c r="I42" s="287"/>
      <c r="J42" s="287"/>
      <c r="K42" s="288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643"/>
      <c r="B43" s="644"/>
      <c r="C43" s="644"/>
      <c r="D43" s="644"/>
      <c r="E43" s="645"/>
      <c r="F43" s="284"/>
      <c r="G43" s="540" t="s">
        <v>694</v>
      </c>
      <c r="H43" s="540"/>
      <c r="I43" s="540"/>
      <c r="J43" s="287"/>
      <c r="K43" s="288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50"/>
      <c r="B44" s="651"/>
      <c r="C44" s="651"/>
      <c r="D44" s="651"/>
      <c r="E44" s="652"/>
      <c r="F44" s="284"/>
      <c r="G44" s="540" t="s">
        <v>696</v>
      </c>
      <c r="H44" s="540"/>
      <c r="I44" s="540"/>
      <c r="J44" s="287"/>
      <c r="K44" s="288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0" t="s">
        <v>332</v>
      </c>
      <c r="B45" s="653"/>
      <c r="C45" s="654"/>
      <c r="D45" s="291" t="s">
        <v>333</v>
      </c>
      <c r="E45" s="292" t="s">
        <v>334</v>
      </c>
      <c r="F45" s="293"/>
      <c r="G45" s="540"/>
      <c r="H45" s="540"/>
      <c r="I45" s="540"/>
      <c r="J45" s="287"/>
      <c r="K45" s="288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4" t="s">
        <v>335</v>
      </c>
      <c r="B46" s="641"/>
      <c r="C46" s="642"/>
      <c r="D46" s="295" t="s">
        <v>335</v>
      </c>
      <c r="E46" s="296">
        <v>41934</v>
      </c>
      <c r="F46" s="297"/>
      <c r="G46" s="541" t="s">
        <v>695</v>
      </c>
      <c r="H46" s="541"/>
      <c r="I46" s="541"/>
      <c r="J46" s="298"/>
      <c r="K46" s="299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0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52"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336</v>
      </c>
      <c r="K1" s="306" t="s">
        <v>337</v>
      </c>
      <c r="L1" s="306" t="s">
        <v>338</v>
      </c>
      <c r="M1" s="306" t="s">
        <v>337</v>
      </c>
      <c r="N1" s="306"/>
    </row>
    <row r="2" spans="2:14" ht="12.75" customHeight="1">
      <c r="B2" s="663" t="s">
        <v>339</v>
      </c>
      <c r="C2" s="664"/>
      <c r="D2" s="664"/>
      <c r="E2" s="664"/>
      <c r="F2" s="664"/>
      <c r="G2" s="664"/>
      <c r="H2" s="308"/>
      <c r="I2" s="309"/>
      <c r="J2" s="310" t="s">
        <v>340</v>
      </c>
      <c r="K2" s="310" t="s">
        <v>341</v>
      </c>
      <c r="L2" s="310" t="s">
        <v>342</v>
      </c>
      <c r="M2" s="310" t="s">
        <v>343</v>
      </c>
      <c r="N2" s="310" t="s">
        <v>344</v>
      </c>
    </row>
    <row r="3" spans="2:14" ht="12.75" customHeight="1">
      <c r="B3" s="663"/>
      <c r="C3" s="664"/>
      <c r="D3" s="664"/>
      <c r="E3" s="664"/>
      <c r="F3" s="664"/>
      <c r="G3" s="664"/>
      <c r="H3" s="308"/>
      <c r="I3" s="309"/>
      <c r="J3" s="310" t="s">
        <v>345</v>
      </c>
      <c r="K3" s="310"/>
      <c r="L3" s="310" t="s">
        <v>346</v>
      </c>
      <c r="M3" s="310" t="s">
        <v>336</v>
      </c>
      <c r="N3" s="310"/>
    </row>
    <row r="4" spans="2:14" ht="12.75" customHeight="1">
      <c r="B4" s="663"/>
      <c r="C4" s="664"/>
      <c r="D4" s="664"/>
      <c r="E4" s="664"/>
      <c r="F4" s="664"/>
      <c r="G4" s="664"/>
      <c r="H4" s="308"/>
      <c r="I4" s="309"/>
      <c r="J4" s="310" t="s">
        <v>347</v>
      </c>
      <c r="K4" s="310"/>
      <c r="L4" s="310" t="s">
        <v>342</v>
      </c>
      <c r="M4" s="310" t="s">
        <v>340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348</v>
      </c>
      <c r="L5" s="310" t="s">
        <v>337</v>
      </c>
      <c r="M5" s="310"/>
      <c r="N5" s="310" t="s">
        <v>342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341</v>
      </c>
      <c r="K6" s="310" t="s">
        <v>349</v>
      </c>
      <c r="L6" s="310"/>
      <c r="M6" s="310" t="s">
        <v>337</v>
      </c>
      <c r="N6" s="310" t="s">
        <v>350</v>
      </c>
    </row>
    <row r="7" spans="2:14" ht="12.75" customHeight="1">
      <c r="B7" s="313"/>
      <c r="D7" s="316"/>
      <c r="H7" s="315"/>
      <c r="I7" s="309"/>
      <c r="J7" s="310" t="s">
        <v>351</v>
      </c>
      <c r="K7" s="310" t="s">
        <v>345</v>
      </c>
      <c r="L7" s="310" t="s">
        <v>345</v>
      </c>
      <c r="M7" s="310" t="s">
        <v>340</v>
      </c>
      <c r="N7" s="310" t="s">
        <v>352</v>
      </c>
    </row>
    <row r="8" spans="2:14" ht="12.75" customHeight="1">
      <c r="B8" s="313"/>
      <c r="G8" s="316"/>
      <c r="H8" s="317"/>
      <c r="I8" s="310" t="s">
        <v>352</v>
      </c>
      <c r="J8" s="310" t="s">
        <v>337</v>
      </c>
      <c r="K8" s="310" t="s">
        <v>353</v>
      </c>
      <c r="L8" s="310" t="s">
        <v>340</v>
      </c>
      <c r="M8" s="310" t="s">
        <v>352</v>
      </c>
      <c r="N8" s="310" t="s">
        <v>349</v>
      </c>
    </row>
    <row r="9" spans="2:14">
      <c r="B9" s="310" t="s">
        <v>354</v>
      </c>
      <c r="C9" s="317" t="s">
        <v>355</v>
      </c>
      <c r="D9" s="317" t="s">
        <v>356</v>
      </c>
      <c r="E9" s="317" t="s">
        <v>357</v>
      </c>
      <c r="F9" s="310" t="s">
        <v>358</v>
      </c>
      <c r="G9" s="310" t="s">
        <v>359</v>
      </c>
      <c r="H9" s="310" t="s">
        <v>360</v>
      </c>
      <c r="I9" s="310" t="s">
        <v>347</v>
      </c>
      <c r="J9" s="310" t="s">
        <v>351</v>
      </c>
      <c r="K9" s="310" t="s">
        <v>340</v>
      </c>
      <c r="L9" s="310" t="s">
        <v>353</v>
      </c>
      <c r="M9" s="310" t="s">
        <v>337</v>
      </c>
      <c r="N9" s="310" t="s">
        <v>338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65" t="s">
        <v>361</v>
      </c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</row>
    <row r="54" spans="2:14" ht="15" customHeight="1" thickBot="1">
      <c r="B54" s="332" t="s">
        <v>362</v>
      </c>
      <c r="C54" s="666" t="s">
        <v>359</v>
      </c>
      <c r="D54" s="667"/>
      <c r="E54" s="667"/>
      <c r="F54" s="667"/>
      <c r="G54" s="667"/>
      <c r="H54" s="333"/>
      <c r="I54" s="666" t="s">
        <v>354</v>
      </c>
      <c r="J54" s="667"/>
      <c r="K54" s="668"/>
      <c r="L54" s="666" t="s">
        <v>363</v>
      </c>
      <c r="M54" s="667"/>
      <c r="N54" s="669"/>
    </row>
    <row r="55" spans="2:14" ht="15" customHeight="1">
      <c r="B55" s="334"/>
      <c r="C55" s="655"/>
      <c r="D55" s="656"/>
      <c r="E55" s="656"/>
      <c r="F55" s="656"/>
      <c r="G55" s="656"/>
      <c r="H55" s="335"/>
      <c r="I55" s="657"/>
      <c r="J55" s="658"/>
      <c r="K55" s="659"/>
      <c r="L55" s="660"/>
      <c r="M55" s="661"/>
      <c r="N55" s="662"/>
    </row>
    <row r="56" spans="2:14" ht="15" customHeight="1">
      <c r="B56" s="336"/>
      <c r="C56" s="670"/>
      <c r="D56" s="671"/>
      <c r="E56" s="671"/>
      <c r="F56" s="671"/>
      <c r="G56" s="671"/>
      <c r="H56" s="337"/>
      <c r="I56" s="672"/>
      <c r="J56" s="673"/>
      <c r="K56" s="674"/>
      <c r="L56" s="675"/>
      <c r="M56" s="676"/>
      <c r="N56" s="677"/>
    </row>
    <row r="57" spans="2:14" ht="15" customHeight="1">
      <c r="B57" s="336"/>
      <c r="C57" s="670"/>
      <c r="D57" s="671"/>
      <c r="E57" s="671"/>
      <c r="F57" s="671"/>
      <c r="G57" s="671"/>
      <c r="H57" s="337"/>
      <c r="I57" s="672"/>
      <c r="J57" s="673"/>
      <c r="K57" s="674"/>
      <c r="L57" s="675"/>
      <c r="M57" s="676"/>
      <c r="N57" s="677"/>
    </row>
    <row r="58" spans="2:14" ht="15" customHeight="1">
      <c r="B58" s="336"/>
      <c r="C58" s="670"/>
      <c r="D58" s="671"/>
      <c r="E58" s="671"/>
      <c r="F58" s="671"/>
      <c r="G58" s="671"/>
      <c r="H58" s="337"/>
      <c r="I58" s="672"/>
      <c r="J58" s="673"/>
      <c r="K58" s="674"/>
      <c r="L58" s="675"/>
      <c r="M58" s="676"/>
      <c r="N58" s="677"/>
    </row>
    <row r="59" spans="2:14" ht="15" customHeight="1">
      <c r="B59" s="336"/>
      <c r="C59" s="670"/>
      <c r="D59" s="671"/>
      <c r="E59" s="671"/>
      <c r="F59" s="671"/>
      <c r="G59" s="671"/>
      <c r="H59" s="337"/>
      <c r="I59" s="672"/>
      <c r="J59" s="673"/>
      <c r="K59" s="674"/>
      <c r="L59" s="675"/>
      <c r="M59" s="676"/>
      <c r="N59" s="677"/>
    </row>
    <row r="60" spans="2:14" ht="15" customHeight="1">
      <c r="B60" s="336"/>
      <c r="C60" s="670"/>
      <c r="D60" s="671"/>
      <c r="E60" s="671"/>
      <c r="F60" s="671"/>
      <c r="G60" s="671"/>
      <c r="H60" s="337"/>
      <c r="I60" s="672"/>
      <c r="J60" s="673"/>
      <c r="K60" s="674"/>
      <c r="L60" s="675"/>
      <c r="M60" s="676"/>
      <c r="N60" s="677"/>
    </row>
    <row r="61" spans="2:14" ht="15" customHeight="1">
      <c r="B61" s="336"/>
      <c r="C61" s="670"/>
      <c r="D61" s="671"/>
      <c r="E61" s="671"/>
      <c r="F61" s="671"/>
      <c r="G61" s="671"/>
      <c r="H61" s="337"/>
      <c r="I61" s="672"/>
      <c r="J61" s="673"/>
      <c r="K61" s="674"/>
      <c r="L61" s="675"/>
      <c r="M61" s="676"/>
      <c r="N61" s="677"/>
    </row>
    <row r="62" spans="2:14" ht="15" customHeight="1">
      <c r="B62" s="336"/>
      <c r="C62" s="670"/>
      <c r="D62" s="671"/>
      <c r="E62" s="671"/>
      <c r="F62" s="671"/>
      <c r="G62" s="671"/>
      <c r="H62" s="337"/>
      <c r="I62" s="672"/>
      <c r="J62" s="673"/>
      <c r="K62" s="674"/>
      <c r="L62" s="675"/>
      <c r="M62" s="676"/>
      <c r="N62" s="677"/>
    </row>
    <row r="63" spans="2:14" ht="15" customHeight="1">
      <c r="B63" s="336"/>
      <c r="C63" s="670"/>
      <c r="D63" s="671"/>
      <c r="E63" s="671"/>
      <c r="F63" s="671"/>
      <c r="G63" s="671"/>
      <c r="H63" s="337"/>
      <c r="I63" s="672"/>
      <c r="J63" s="673"/>
      <c r="K63" s="674"/>
      <c r="L63" s="675"/>
      <c r="M63" s="676"/>
      <c r="N63" s="677"/>
    </row>
    <row r="64" spans="2:14" ht="15" customHeight="1">
      <c r="B64" s="336"/>
      <c r="C64" s="670"/>
      <c r="D64" s="671"/>
      <c r="E64" s="671"/>
      <c r="F64" s="671"/>
      <c r="G64" s="671"/>
      <c r="H64" s="337"/>
      <c r="I64" s="672"/>
      <c r="J64" s="673"/>
      <c r="K64" s="674"/>
      <c r="L64" s="675"/>
      <c r="M64" s="676"/>
      <c r="N64" s="677"/>
    </row>
    <row r="65" spans="2:14" ht="15" customHeight="1">
      <c r="B65" s="336"/>
      <c r="C65" s="670"/>
      <c r="D65" s="671"/>
      <c r="E65" s="671"/>
      <c r="F65" s="671"/>
      <c r="G65" s="671"/>
      <c r="H65" s="337"/>
      <c r="I65" s="672"/>
      <c r="J65" s="673"/>
      <c r="K65" s="674"/>
      <c r="L65" s="675"/>
      <c r="M65" s="676"/>
      <c r="N65" s="677"/>
    </row>
    <row r="66" spans="2:14" ht="15" customHeight="1">
      <c r="B66" s="336"/>
      <c r="C66" s="670"/>
      <c r="D66" s="671"/>
      <c r="E66" s="671"/>
      <c r="F66" s="671"/>
      <c r="G66" s="671"/>
      <c r="H66" s="337"/>
      <c r="I66" s="672"/>
      <c r="J66" s="673"/>
      <c r="K66" s="674"/>
      <c r="L66" s="675"/>
      <c r="M66" s="676"/>
      <c r="N66" s="677"/>
    </row>
    <row r="67" spans="2:14" ht="15" customHeight="1">
      <c r="B67" s="336"/>
      <c r="C67" s="670"/>
      <c r="D67" s="671"/>
      <c r="E67" s="671"/>
      <c r="F67" s="671"/>
      <c r="G67" s="671"/>
      <c r="H67" s="337"/>
      <c r="I67" s="672"/>
      <c r="J67" s="673"/>
      <c r="K67" s="674"/>
      <c r="L67" s="675"/>
      <c r="M67" s="676"/>
      <c r="N67" s="677"/>
    </row>
    <row r="68" spans="2:14" ht="15" customHeight="1">
      <c r="B68" s="336"/>
      <c r="C68" s="670"/>
      <c r="D68" s="671"/>
      <c r="E68" s="671"/>
      <c r="F68" s="671"/>
      <c r="G68" s="671"/>
      <c r="H68" s="337"/>
      <c r="I68" s="672"/>
      <c r="J68" s="673"/>
      <c r="K68" s="674"/>
      <c r="L68" s="675"/>
      <c r="M68" s="676"/>
      <c r="N68" s="677"/>
    </row>
    <row r="69" spans="2:14" ht="15" customHeight="1">
      <c r="B69" s="336"/>
      <c r="C69" s="670"/>
      <c r="D69" s="671"/>
      <c r="E69" s="671"/>
      <c r="F69" s="671"/>
      <c r="G69" s="671"/>
      <c r="H69" s="337"/>
      <c r="I69" s="672"/>
      <c r="J69" s="673"/>
      <c r="K69" s="674"/>
      <c r="L69" s="675"/>
      <c r="M69" s="676"/>
      <c r="N69" s="677"/>
    </row>
    <row r="70" spans="2:14" ht="15" customHeight="1">
      <c r="B70" s="336"/>
      <c r="C70" s="670"/>
      <c r="D70" s="671"/>
      <c r="E70" s="671"/>
      <c r="F70" s="671"/>
      <c r="G70" s="671"/>
      <c r="H70" s="337"/>
      <c r="I70" s="672"/>
      <c r="J70" s="673"/>
      <c r="K70" s="674"/>
      <c r="L70" s="675"/>
      <c r="M70" s="676"/>
      <c r="N70" s="677"/>
    </row>
    <row r="71" spans="2:14" ht="15" customHeight="1">
      <c r="B71" s="336"/>
      <c r="C71" s="670"/>
      <c r="D71" s="671"/>
      <c r="E71" s="671"/>
      <c r="F71" s="671"/>
      <c r="G71" s="671"/>
      <c r="H71" s="337"/>
      <c r="I71" s="672"/>
      <c r="J71" s="673"/>
      <c r="K71" s="674"/>
      <c r="L71" s="675"/>
      <c r="M71" s="676"/>
      <c r="N71" s="677"/>
    </row>
    <row r="72" spans="2:14">
      <c r="B72" s="336"/>
      <c r="C72" s="670"/>
      <c r="D72" s="671"/>
      <c r="E72" s="671"/>
      <c r="F72" s="671"/>
      <c r="G72" s="671"/>
      <c r="H72" s="337"/>
      <c r="I72" s="672"/>
      <c r="J72" s="673"/>
      <c r="K72" s="674"/>
      <c r="L72" s="675"/>
      <c r="M72" s="676"/>
      <c r="N72" s="677"/>
    </row>
    <row r="73" spans="2:14">
      <c r="B73" s="336"/>
      <c r="C73" s="670"/>
      <c r="D73" s="671"/>
      <c r="E73" s="671"/>
      <c r="F73" s="671"/>
      <c r="G73" s="671"/>
      <c r="H73" s="337"/>
      <c r="I73" s="672"/>
      <c r="J73" s="673"/>
      <c r="K73" s="674"/>
      <c r="L73" s="675"/>
      <c r="M73" s="676"/>
      <c r="N73" s="677"/>
    </row>
    <row r="74" spans="2:14">
      <c r="B74" s="336"/>
      <c r="C74" s="670"/>
      <c r="D74" s="671"/>
      <c r="E74" s="671"/>
      <c r="F74" s="671"/>
      <c r="G74" s="671"/>
      <c r="H74" s="337"/>
      <c r="I74" s="672"/>
      <c r="J74" s="673"/>
      <c r="K74" s="674"/>
      <c r="L74" s="675"/>
      <c r="M74" s="676"/>
      <c r="N74" s="677"/>
    </row>
    <row r="75" spans="2:14">
      <c r="B75" s="336"/>
      <c r="C75" s="670"/>
      <c r="D75" s="671"/>
      <c r="E75" s="671"/>
      <c r="F75" s="671"/>
      <c r="G75" s="671"/>
      <c r="H75" s="337"/>
      <c r="I75" s="672"/>
      <c r="J75" s="673"/>
      <c r="K75" s="674"/>
      <c r="L75" s="675"/>
      <c r="M75" s="676"/>
      <c r="N75" s="677"/>
    </row>
    <row r="76" spans="2:14">
      <c r="B76" s="336"/>
      <c r="C76" s="670"/>
      <c r="D76" s="671"/>
      <c r="E76" s="671"/>
      <c r="F76" s="671"/>
      <c r="G76" s="671"/>
      <c r="H76" s="337"/>
      <c r="I76" s="672"/>
      <c r="J76" s="673"/>
      <c r="K76" s="674"/>
      <c r="L76" s="675"/>
      <c r="M76" s="676"/>
      <c r="N76" s="677"/>
    </row>
    <row r="77" spans="2:14">
      <c r="B77" s="336"/>
      <c r="C77" s="670"/>
      <c r="D77" s="671"/>
      <c r="E77" s="671"/>
      <c r="F77" s="671"/>
      <c r="G77" s="671"/>
      <c r="H77" s="337"/>
      <c r="I77" s="672"/>
      <c r="J77" s="673"/>
      <c r="K77" s="674"/>
      <c r="L77" s="675"/>
      <c r="M77" s="676"/>
      <c r="N77" s="677"/>
    </row>
    <row r="78" spans="2:14">
      <c r="B78" s="336"/>
      <c r="C78" s="670"/>
      <c r="D78" s="671"/>
      <c r="E78" s="671"/>
      <c r="F78" s="671"/>
      <c r="G78" s="671"/>
      <c r="H78" s="337"/>
      <c r="I78" s="672"/>
      <c r="J78" s="673"/>
      <c r="K78" s="674"/>
      <c r="L78" s="675"/>
      <c r="M78" s="676"/>
      <c r="N78" s="677"/>
    </row>
    <row r="79" spans="2:14" ht="13.5" thickBot="1">
      <c r="B79" s="338"/>
      <c r="C79" s="678"/>
      <c r="D79" s="679"/>
      <c r="E79" s="679"/>
      <c r="F79" s="679"/>
      <c r="G79" s="679"/>
      <c r="H79" s="339"/>
      <c r="I79" s="680"/>
      <c r="J79" s="681"/>
      <c r="K79" s="682"/>
      <c r="L79" s="683"/>
      <c r="M79" s="684"/>
      <c r="N79" s="685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C14" sqref="C14"/>
    </sheetView>
  </sheetViews>
  <sheetFormatPr defaultRowHeight="12.75"/>
  <cols>
    <col min="1" max="6" width="14.7109375" customWidth="1"/>
  </cols>
  <sheetData>
    <row r="1" spans="1:7" ht="20.25">
      <c r="A1" s="686" t="s">
        <v>373</v>
      </c>
      <c r="B1" s="686"/>
      <c r="C1" s="686"/>
      <c r="D1" s="686"/>
      <c r="E1" s="686"/>
      <c r="F1" s="686"/>
    </row>
    <row r="2" spans="1:7" ht="19.5" thickBot="1">
      <c r="A2" s="340"/>
      <c r="B2" s="340"/>
      <c r="C2" s="687" t="s">
        <v>385</v>
      </c>
      <c r="D2" s="687"/>
      <c r="E2" s="340"/>
      <c r="F2" s="340"/>
      <c r="G2" s="340"/>
    </row>
    <row r="3" spans="1:7" ht="19.5">
      <c r="A3" s="688" t="s">
        <v>374</v>
      </c>
      <c r="B3" s="689"/>
      <c r="C3" s="690"/>
      <c r="D3" s="688" t="s">
        <v>375</v>
      </c>
      <c r="E3" s="689"/>
      <c r="F3" s="690"/>
      <c r="G3" s="340"/>
    </row>
    <row r="4" spans="1:7" ht="15.75">
      <c r="A4" s="341" t="s">
        <v>386</v>
      </c>
      <c r="B4" s="691" t="s">
        <v>388</v>
      </c>
      <c r="C4" s="692"/>
      <c r="D4" s="693" t="s">
        <v>697</v>
      </c>
      <c r="E4" s="694"/>
      <c r="F4" s="695"/>
      <c r="G4" s="340"/>
    </row>
    <row r="5" spans="1:7" ht="16.5" thickBot="1">
      <c r="A5" s="342" t="s">
        <v>387</v>
      </c>
      <c r="B5" s="699" t="s">
        <v>387</v>
      </c>
      <c r="C5" s="700"/>
      <c r="D5" s="701">
        <f>0.0014/2</f>
        <v>6.9999999999999999E-4</v>
      </c>
      <c r="E5" s="702"/>
      <c r="F5" s="703"/>
      <c r="G5" s="340"/>
    </row>
    <row r="6" spans="1:7" ht="19.5">
      <c r="A6" s="688" t="s">
        <v>376</v>
      </c>
      <c r="B6" s="689"/>
      <c r="C6" s="689"/>
      <c r="D6" s="689"/>
      <c r="E6" s="689"/>
      <c r="F6" s="690"/>
      <c r="G6" s="340"/>
    </row>
    <row r="7" spans="1:7" ht="15.75">
      <c r="A7" s="343" t="s">
        <v>377</v>
      </c>
      <c r="B7" s="344" t="s">
        <v>389</v>
      </c>
      <c r="C7" s="345" t="s">
        <v>378</v>
      </c>
      <c r="D7" s="346" t="s">
        <v>390</v>
      </c>
      <c r="E7" s="704" t="s">
        <v>379</v>
      </c>
      <c r="F7" s="705"/>
      <c r="G7" s="340"/>
    </row>
    <row r="8" spans="1:7" ht="16.5" thickBot="1">
      <c r="A8" s="347"/>
      <c r="B8" s="348" t="s">
        <v>387</v>
      </c>
      <c r="C8" s="349"/>
      <c r="D8" s="350" t="s">
        <v>387</v>
      </c>
      <c r="E8" s="706" t="s">
        <v>391</v>
      </c>
      <c r="F8" s="703"/>
      <c r="G8" s="340"/>
    </row>
    <row r="9" spans="1:7" ht="19.5">
      <c r="A9" s="688" t="s">
        <v>380</v>
      </c>
      <c r="B9" s="689"/>
      <c r="C9" s="690"/>
      <c r="D9" s="688" t="s">
        <v>381</v>
      </c>
      <c r="E9" s="689"/>
      <c r="F9" s="690"/>
      <c r="G9" s="340"/>
    </row>
    <row r="10" spans="1:7" ht="15.75">
      <c r="A10" s="351" t="s">
        <v>382</v>
      </c>
      <c r="B10" s="707" t="s">
        <v>392</v>
      </c>
      <c r="C10" s="692"/>
      <c r="D10" s="708" t="s">
        <v>394</v>
      </c>
      <c r="E10" s="709"/>
      <c r="F10" s="352" t="s">
        <v>395</v>
      </c>
      <c r="G10" s="340"/>
    </row>
    <row r="11" spans="1:7" ht="16.5" thickBot="1">
      <c r="A11" s="353" t="s">
        <v>383</v>
      </c>
      <c r="B11" s="702" t="s">
        <v>393</v>
      </c>
      <c r="C11" s="703"/>
      <c r="D11" s="710"/>
      <c r="E11" s="711"/>
      <c r="F11" s="354" t="s">
        <v>387</v>
      </c>
      <c r="G11" s="340"/>
    </row>
    <row r="12" spans="1:7" ht="19.5">
      <c r="A12" s="688" t="s">
        <v>384</v>
      </c>
      <c r="B12" s="689"/>
      <c r="C12" s="689"/>
      <c r="D12" s="689"/>
      <c r="E12" s="689"/>
      <c r="F12" s="690"/>
      <c r="G12" s="340"/>
    </row>
    <row r="13" spans="1:7" ht="16.5" thickBot="1">
      <c r="A13" s="696" t="s">
        <v>396</v>
      </c>
      <c r="B13" s="697"/>
      <c r="C13" s="698" t="s">
        <v>700</v>
      </c>
      <c r="D13" s="698"/>
      <c r="E13" s="698"/>
      <c r="F13" s="355"/>
      <c r="G13" s="340"/>
    </row>
    <row r="14" spans="1:7" ht="18.95" customHeight="1">
      <c r="A14" s="356"/>
      <c r="B14" s="356"/>
      <c r="C14" s="356"/>
      <c r="D14" s="356"/>
      <c r="E14" s="356"/>
      <c r="F14" s="356"/>
      <c r="G14" s="340"/>
    </row>
    <row r="15" spans="1:7" ht="15.75">
      <c r="G15" s="340"/>
    </row>
    <row r="16" spans="1:7" ht="15.75">
      <c r="G16" s="340"/>
    </row>
    <row r="17" spans="7:7" ht="15.75">
      <c r="G17" s="340"/>
    </row>
    <row r="18" spans="7:7" ht="15.75">
      <c r="G18" s="340"/>
    </row>
    <row r="19" spans="7:7" ht="15.75">
      <c r="G19" s="340"/>
    </row>
    <row r="20" spans="7:7" ht="15.75">
      <c r="G20" s="340"/>
    </row>
    <row r="21" spans="7:7" ht="15.75">
      <c r="G21" s="340"/>
    </row>
    <row r="22" spans="7:7" ht="15.75">
      <c r="G22" s="340"/>
    </row>
    <row r="23" spans="7:7" ht="15.75">
      <c r="G23" s="340"/>
    </row>
    <row r="24" spans="7:7" ht="15.75">
      <c r="G24" s="340"/>
    </row>
    <row r="25" spans="7:7" ht="15.75">
      <c r="G25" s="340"/>
    </row>
    <row r="26" spans="7:7" ht="15.75">
      <c r="G26" s="340"/>
    </row>
    <row r="27" spans="7:7" ht="18.95" customHeight="1">
      <c r="G27" s="340"/>
    </row>
    <row r="28" spans="7:7" ht="15.75">
      <c r="G28" s="340"/>
    </row>
    <row r="29" spans="7:7" ht="15.75">
      <c r="G29" s="340"/>
    </row>
    <row r="30" spans="7:7" ht="15.75">
      <c r="G30" s="340"/>
    </row>
    <row r="31" spans="7:7" ht="15.75">
      <c r="G31" s="340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7"/>
  <sheetViews>
    <sheetView topLeftCell="A4" workbookViewId="0">
      <selection activeCell="H27" sqref="H27"/>
    </sheetView>
  </sheetViews>
  <sheetFormatPr defaultRowHeight="12.75"/>
  <cols>
    <col min="1" max="6" width="16.7109375" customWidth="1"/>
  </cols>
  <sheetData>
    <row r="1" spans="1:13" ht="18.95" customHeight="1">
      <c r="A1" s="358"/>
      <c r="B1" s="359"/>
      <c r="C1" s="359"/>
      <c r="D1" s="359"/>
      <c r="E1" s="359"/>
      <c r="F1" s="360"/>
    </row>
    <row r="2" spans="1:13" ht="26.1" customHeight="1">
      <c r="A2" s="361" t="s">
        <v>252</v>
      </c>
      <c r="B2" s="362"/>
      <c r="C2" s="362"/>
      <c r="D2" s="362"/>
      <c r="E2" s="362"/>
      <c r="F2" s="363"/>
    </row>
    <row r="3" spans="1:13" ht="18.95" customHeight="1">
      <c r="A3" s="364" t="s">
        <v>400</v>
      </c>
      <c r="B3" s="362"/>
      <c r="C3" s="362"/>
      <c r="D3" s="362"/>
      <c r="E3" s="362"/>
      <c r="F3" s="363"/>
    </row>
    <row r="4" spans="1:13" ht="18.95" customHeight="1">
      <c r="A4" s="365"/>
      <c r="B4" s="366"/>
      <c r="C4" s="366"/>
      <c r="D4" s="366"/>
      <c r="E4" s="366"/>
      <c r="F4" s="367"/>
    </row>
    <row r="5" spans="1:13" ht="18.95" customHeight="1">
      <c r="A5" s="365"/>
      <c r="B5" s="366"/>
      <c r="C5" s="366"/>
      <c r="D5" s="366"/>
      <c r="E5" s="366"/>
      <c r="F5" s="367"/>
    </row>
    <row r="6" spans="1:13" ht="18.95" customHeight="1">
      <c r="A6" s="368" t="s">
        <v>401</v>
      </c>
      <c r="B6" s="712" t="str">
        <f>'Performance Data Sheet'!C17</f>
        <v>M453TCQL11F-C</v>
      </c>
      <c r="C6" s="713"/>
      <c r="D6" s="714"/>
      <c r="E6" s="368" t="s">
        <v>402</v>
      </c>
      <c r="F6" s="369">
        <v>271</v>
      </c>
    </row>
    <row r="7" spans="1:13" ht="18.95" customHeight="1">
      <c r="A7" s="368" t="s">
        <v>403</v>
      </c>
      <c r="B7" s="369" t="str">
        <f>'Performance Data Sheet'!F14</f>
        <v>TEAAC</v>
      </c>
      <c r="C7" s="368" t="s">
        <v>404</v>
      </c>
      <c r="D7" s="369" t="s">
        <v>426</v>
      </c>
      <c r="E7" s="368" t="s">
        <v>405</v>
      </c>
      <c r="F7" s="369" t="str">
        <f>'Performance Data Sheet'!C14</f>
        <v>6813USS</v>
      </c>
    </row>
    <row r="8" spans="1:13" ht="18.95" customHeight="1">
      <c r="A8" s="368" t="s">
        <v>406</v>
      </c>
      <c r="B8" s="369">
        <v>2</v>
      </c>
      <c r="C8" s="368" t="s">
        <v>407</v>
      </c>
      <c r="D8" s="369" t="s">
        <v>408</v>
      </c>
      <c r="E8" s="368" t="s">
        <v>409</v>
      </c>
      <c r="F8" s="369" t="str">
        <f>'Performance Data Sheet'!M15</f>
        <v>F</v>
      </c>
    </row>
    <row r="9" spans="1:13" ht="18.95" customHeight="1">
      <c r="A9" s="368" t="s">
        <v>410</v>
      </c>
      <c r="B9" s="369">
        <v>2250</v>
      </c>
      <c r="C9" s="368" t="s">
        <v>411</v>
      </c>
      <c r="D9" s="369" t="s">
        <v>427</v>
      </c>
      <c r="E9" s="368" t="s">
        <v>2</v>
      </c>
      <c r="F9" s="370">
        <f>'Performance Data Sheet'!K45</f>
        <v>41934</v>
      </c>
    </row>
    <row r="10" spans="1:13" ht="18.95" customHeight="1">
      <c r="A10" s="368" t="s">
        <v>412</v>
      </c>
      <c r="B10" s="369">
        <v>3581</v>
      </c>
      <c r="C10" s="368" t="s">
        <v>413</v>
      </c>
      <c r="D10" s="369" t="s">
        <v>414</v>
      </c>
      <c r="E10" s="368" t="s">
        <v>1</v>
      </c>
      <c r="F10" s="369" t="s">
        <v>364</v>
      </c>
    </row>
    <row r="11" spans="1:13" ht="18.95" customHeight="1">
      <c r="A11" s="365"/>
      <c r="B11" s="366"/>
      <c r="C11" s="366"/>
      <c r="D11" s="366"/>
      <c r="E11" s="366"/>
      <c r="F11" s="367"/>
    </row>
    <row r="12" spans="1:13" ht="18.95" customHeight="1">
      <c r="A12" s="365"/>
      <c r="B12" s="371" t="s">
        <v>415</v>
      </c>
      <c r="C12" s="372" t="s">
        <v>428</v>
      </c>
      <c r="D12" s="371" t="s">
        <v>416</v>
      </c>
      <c r="E12" s="372" t="s">
        <v>414</v>
      </c>
      <c r="F12" s="367"/>
    </row>
    <row r="13" spans="1:13" ht="18.95" customHeight="1">
      <c r="A13" s="365"/>
      <c r="B13" s="371" t="s">
        <v>417</v>
      </c>
      <c r="C13" s="373">
        <v>1</v>
      </c>
      <c r="D13" s="371" t="s">
        <v>418</v>
      </c>
      <c r="E13" s="372" t="s">
        <v>414</v>
      </c>
      <c r="F13" s="367"/>
    </row>
    <row r="14" spans="1:13" ht="18.95" customHeight="1">
      <c r="A14" s="365"/>
      <c r="B14" s="371" t="s">
        <v>419</v>
      </c>
      <c r="C14" s="373">
        <v>2.5</v>
      </c>
      <c r="D14" s="371" t="s">
        <v>420</v>
      </c>
      <c r="E14" s="372" t="s">
        <v>414</v>
      </c>
      <c r="F14" s="367"/>
    </row>
    <row r="15" spans="1:13" ht="18.95" customHeight="1">
      <c r="A15" s="365"/>
      <c r="B15" s="371" t="s">
        <v>421</v>
      </c>
      <c r="C15" s="372" t="s">
        <v>699</v>
      </c>
      <c r="D15" s="366"/>
      <c r="E15" s="366"/>
      <c r="F15" s="367"/>
      <c r="H15" s="543"/>
      <c r="I15" s="543"/>
      <c r="J15" s="543"/>
      <c r="K15" s="543"/>
      <c r="L15" s="543"/>
      <c r="M15" s="543"/>
    </row>
    <row r="16" spans="1:13" ht="18.95" customHeight="1">
      <c r="A16" s="365"/>
      <c r="B16" s="366"/>
      <c r="C16" s="366"/>
      <c r="D16" s="366"/>
      <c r="E16" s="366"/>
      <c r="F16" s="367"/>
      <c r="H16" s="543"/>
      <c r="I16" s="543"/>
      <c r="J16" s="543"/>
      <c r="K16" s="543"/>
      <c r="L16" s="543"/>
      <c r="M16" s="543"/>
    </row>
    <row r="17" spans="1:14" ht="18.95" customHeight="1">
      <c r="A17" s="365"/>
      <c r="B17" s="366"/>
      <c r="C17" s="366"/>
      <c r="D17" s="366"/>
      <c r="E17" s="366"/>
      <c r="F17" s="367"/>
      <c r="H17" s="549"/>
      <c r="I17" s="549"/>
      <c r="J17" s="549"/>
      <c r="K17" s="549"/>
      <c r="L17" s="549"/>
      <c r="M17" s="549"/>
    </row>
    <row r="18" spans="1:14" ht="18.95" customHeight="1">
      <c r="A18" s="365"/>
      <c r="B18" s="366"/>
      <c r="C18" s="366"/>
      <c r="D18" s="366"/>
      <c r="E18" s="366"/>
      <c r="F18" s="367"/>
      <c r="H18" s="550"/>
      <c r="I18" s="551"/>
      <c r="J18" s="552"/>
      <c r="K18" s="553"/>
      <c r="L18" s="554"/>
      <c r="M18" s="547"/>
      <c r="N18" s="544"/>
    </row>
    <row r="19" spans="1:14" ht="18.95" customHeight="1">
      <c r="A19" s="365"/>
      <c r="B19" s="366"/>
      <c r="C19" s="366"/>
      <c r="D19" s="366"/>
      <c r="E19" s="366"/>
      <c r="F19" s="367"/>
      <c r="H19" s="550"/>
      <c r="I19" s="551"/>
      <c r="J19" s="552"/>
      <c r="K19" s="552"/>
      <c r="L19" s="547"/>
      <c r="M19" s="547"/>
      <c r="N19" s="544"/>
    </row>
    <row r="20" spans="1:14" ht="18.95" customHeight="1">
      <c r="A20" s="365"/>
      <c r="B20" s="366"/>
      <c r="C20" s="366"/>
      <c r="D20" s="366"/>
      <c r="E20" s="366"/>
      <c r="F20" s="367"/>
      <c r="H20" s="550"/>
      <c r="I20" s="551"/>
      <c r="J20" s="552"/>
      <c r="K20" s="552"/>
      <c r="L20" s="547"/>
      <c r="M20" s="547"/>
      <c r="N20" s="544"/>
    </row>
    <row r="21" spans="1:14" ht="18.95" customHeight="1">
      <c r="A21" s="365"/>
      <c r="B21" s="366"/>
      <c r="C21" s="366"/>
      <c r="D21" s="366"/>
      <c r="E21" s="366"/>
      <c r="F21" s="367"/>
      <c r="H21" s="550"/>
      <c r="I21" s="551"/>
      <c r="J21" s="552"/>
      <c r="K21" s="552"/>
      <c r="L21" s="547"/>
      <c r="M21" s="547"/>
      <c r="N21" s="544"/>
    </row>
    <row r="22" spans="1:14" ht="18.95" customHeight="1">
      <c r="A22" s="365"/>
      <c r="B22" s="366"/>
      <c r="C22" s="366"/>
      <c r="D22" s="366"/>
      <c r="E22" s="366"/>
      <c r="F22" s="367"/>
      <c r="H22" s="559"/>
      <c r="I22" s="559"/>
      <c r="J22" s="559"/>
      <c r="K22" s="559"/>
      <c r="L22" s="559"/>
      <c r="M22" s="559"/>
      <c r="N22" s="544"/>
    </row>
    <row r="23" spans="1:14" ht="18.95" customHeight="1">
      <c r="A23" s="365"/>
      <c r="B23" s="366"/>
      <c r="C23" s="366"/>
      <c r="D23" s="366"/>
      <c r="E23" s="366"/>
      <c r="F23" s="367"/>
      <c r="H23" s="560"/>
      <c r="I23" s="560"/>
      <c r="J23" s="551"/>
      <c r="K23" s="553"/>
      <c r="L23" s="555"/>
      <c r="M23" s="547"/>
      <c r="N23" s="544"/>
    </row>
    <row r="24" spans="1:14" ht="18.95" customHeight="1">
      <c r="A24" s="365"/>
      <c r="B24" s="366"/>
      <c r="C24" s="366"/>
      <c r="D24" s="366"/>
      <c r="E24" s="366"/>
      <c r="F24" s="367"/>
      <c r="H24" s="560"/>
      <c r="I24" s="560"/>
      <c r="J24" s="551"/>
      <c r="K24" s="552"/>
      <c r="L24" s="555"/>
      <c r="M24" s="547"/>
      <c r="N24" s="544"/>
    </row>
    <row r="25" spans="1:14" ht="18.95" customHeight="1">
      <c r="A25" s="365"/>
      <c r="B25" s="366"/>
      <c r="C25" s="366"/>
      <c r="D25" s="366"/>
      <c r="E25" s="366"/>
      <c r="F25" s="367"/>
      <c r="H25" s="560"/>
      <c r="I25" s="560"/>
      <c r="J25" s="551"/>
      <c r="K25" s="552"/>
      <c r="L25" s="547"/>
      <c r="M25" s="547"/>
      <c r="N25" s="544"/>
    </row>
    <row r="26" spans="1:14" ht="18.95" customHeight="1">
      <c r="A26" s="365"/>
      <c r="B26" s="366"/>
      <c r="C26" s="366"/>
      <c r="D26" s="366"/>
      <c r="E26" s="366"/>
      <c r="F26" s="367"/>
      <c r="H26" s="560"/>
      <c r="I26" s="560"/>
      <c r="J26" s="550"/>
      <c r="K26" s="552"/>
      <c r="L26" s="547"/>
      <c r="M26" s="547"/>
      <c r="N26" s="544"/>
    </row>
    <row r="27" spans="1:14" ht="18.95" customHeight="1">
      <c r="A27" s="365"/>
      <c r="B27" s="366"/>
      <c r="C27" s="366"/>
      <c r="D27" s="366"/>
      <c r="E27" s="366"/>
      <c r="F27" s="367"/>
      <c r="H27" s="560"/>
      <c r="I27" s="560"/>
      <c r="J27" s="551"/>
      <c r="K27" s="552"/>
      <c r="L27" s="547"/>
      <c r="M27" s="547"/>
      <c r="N27" s="544"/>
    </row>
    <row r="28" spans="1:14" ht="18.95" customHeight="1">
      <c r="A28" s="365"/>
      <c r="B28" s="366"/>
      <c r="C28" s="366"/>
      <c r="D28" s="366"/>
      <c r="E28" s="366"/>
      <c r="F28" s="367"/>
      <c r="H28" s="560"/>
      <c r="I28" s="560"/>
      <c r="J28" s="551"/>
      <c r="K28" s="545"/>
      <c r="L28" s="546"/>
      <c r="M28" s="547"/>
      <c r="N28" s="544"/>
    </row>
    <row r="29" spans="1:14" ht="18.95" customHeight="1">
      <c r="A29" s="365"/>
      <c r="B29" s="366"/>
      <c r="C29" s="366"/>
      <c r="D29" s="366"/>
      <c r="E29" s="366"/>
      <c r="F29" s="367"/>
      <c r="H29" s="560"/>
      <c r="I29" s="560"/>
      <c r="J29" s="551"/>
      <c r="K29" s="545"/>
      <c r="L29" s="546"/>
      <c r="M29" s="547"/>
      <c r="N29" s="544"/>
    </row>
    <row r="30" spans="1:14" ht="18.95" customHeight="1">
      <c r="A30" s="365"/>
      <c r="B30" s="366"/>
      <c r="C30" s="366"/>
      <c r="D30" s="366"/>
      <c r="E30" s="366"/>
      <c r="F30" s="367"/>
      <c r="H30" s="560"/>
      <c r="I30" s="560"/>
      <c r="J30" s="551"/>
      <c r="K30" s="545"/>
      <c r="L30" s="548"/>
      <c r="M30" s="547"/>
      <c r="N30" s="544"/>
    </row>
    <row r="31" spans="1:14" ht="18.95" customHeight="1">
      <c r="A31" s="365"/>
      <c r="B31" s="366"/>
      <c r="C31" s="366"/>
      <c r="D31" s="366"/>
      <c r="E31" s="366"/>
      <c r="F31" s="367"/>
      <c r="H31" s="560"/>
      <c r="I31" s="560"/>
      <c r="J31" s="561"/>
      <c r="K31" s="561"/>
      <c r="L31" s="545"/>
      <c r="M31" s="545"/>
      <c r="N31" s="544"/>
    </row>
    <row r="32" spans="1:14" ht="18.95" customHeight="1">
      <c r="A32" s="365"/>
      <c r="B32" s="366"/>
      <c r="C32" s="366"/>
      <c r="D32" s="366"/>
      <c r="E32" s="366"/>
      <c r="F32" s="367"/>
      <c r="H32" s="559"/>
      <c r="I32" s="559"/>
      <c r="J32" s="559"/>
      <c r="K32" s="559"/>
      <c r="L32" s="559"/>
      <c r="M32" s="559"/>
      <c r="N32" s="544"/>
    </row>
    <row r="33" spans="1:14" ht="18.95" customHeight="1">
      <c r="A33" s="365"/>
      <c r="B33" s="366"/>
      <c r="C33" s="366"/>
      <c r="D33" s="366"/>
      <c r="E33" s="366"/>
      <c r="F33" s="367"/>
      <c r="H33" s="545"/>
      <c r="I33" s="551"/>
      <c r="J33" s="551"/>
      <c r="K33" s="556"/>
      <c r="L33" s="555"/>
      <c r="M33" s="547"/>
      <c r="N33" s="544"/>
    </row>
    <row r="34" spans="1:14" ht="18.95" customHeight="1">
      <c r="A34" s="365"/>
      <c r="B34" s="366"/>
      <c r="C34" s="366"/>
      <c r="D34" s="366"/>
      <c r="E34" s="366"/>
      <c r="F34" s="367"/>
      <c r="H34" s="551"/>
      <c r="I34" s="551"/>
      <c r="J34" s="551"/>
      <c r="K34" s="553"/>
      <c r="L34" s="555"/>
      <c r="M34" s="547"/>
      <c r="N34" s="544"/>
    </row>
    <row r="35" spans="1:14" ht="18.95" customHeight="1">
      <c r="A35" s="365"/>
      <c r="B35" s="366"/>
      <c r="C35" s="366"/>
      <c r="D35" s="366"/>
      <c r="E35" s="366"/>
      <c r="F35" s="367"/>
      <c r="H35" s="551"/>
      <c r="I35" s="551"/>
      <c r="J35" s="551"/>
      <c r="K35" s="553"/>
      <c r="L35" s="555"/>
      <c r="M35" s="547"/>
      <c r="N35" s="544"/>
    </row>
    <row r="36" spans="1:14" ht="18.95" customHeight="1">
      <c r="A36" s="365"/>
      <c r="B36" s="366"/>
      <c r="C36" s="366"/>
      <c r="D36" s="366"/>
      <c r="E36" s="366"/>
      <c r="F36" s="367"/>
      <c r="H36" s="551"/>
      <c r="I36" s="551"/>
      <c r="J36" s="551"/>
      <c r="K36" s="552"/>
      <c r="L36" s="557"/>
      <c r="M36" s="547"/>
      <c r="N36" s="544"/>
    </row>
    <row r="37" spans="1:14" ht="18.95" customHeight="1">
      <c r="A37" s="365"/>
      <c r="B37" s="366"/>
      <c r="C37" s="366"/>
      <c r="D37" s="366"/>
      <c r="E37" s="366"/>
      <c r="F37" s="367"/>
      <c r="H37" s="551"/>
      <c r="I37" s="553"/>
      <c r="J37" s="551"/>
      <c r="K37" s="558"/>
      <c r="L37" s="548"/>
      <c r="M37" s="547"/>
      <c r="N37" s="544"/>
    </row>
    <row r="38" spans="1:14" ht="18.95" customHeight="1">
      <c r="A38" s="365"/>
      <c r="B38" s="366"/>
      <c r="C38" s="366"/>
      <c r="D38" s="366"/>
      <c r="E38" s="366"/>
      <c r="F38" s="367"/>
      <c r="H38" s="551"/>
      <c r="I38" s="551"/>
      <c r="J38" s="551"/>
      <c r="K38" s="558"/>
      <c r="L38" s="548"/>
      <c r="M38" s="547"/>
      <c r="N38" s="544"/>
    </row>
    <row r="39" spans="1:14" ht="18.95" customHeight="1">
      <c r="A39" s="374" t="s">
        <v>422</v>
      </c>
      <c r="B39" s="375"/>
      <c r="C39" s="375"/>
      <c r="D39" s="366"/>
      <c r="E39" s="371" t="s">
        <v>423</v>
      </c>
      <c r="F39" s="376" t="s">
        <v>364</v>
      </c>
      <c r="H39" s="544"/>
      <c r="I39" s="544"/>
      <c r="J39" s="544"/>
      <c r="K39" s="544"/>
      <c r="L39" s="544"/>
      <c r="M39" s="544"/>
      <c r="N39" s="544"/>
    </row>
    <row r="40" spans="1:14" ht="18.95" customHeight="1">
      <c r="A40" s="365"/>
      <c r="B40" s="375"/>
      <c r="C40" s="375"/>
      <c r="D40" s="366"/>
      <c r="E40" s="366"/>
      <c r="F40" s="367"/>
    </row>
    <row r="41" spans="1:14" ht="18.95" customHeight="1">
      <c r="A41" s="365"/>
      <c r="B41" s="375"/>
      <c r="C41" s="375"/>
      <c r="D41" s="366"/>
      <c r="E41" s="366"/>
      <c r="F41" s="367"/>
    </row>
    <row r="42" spans="1:14" ht="18.95" customHeight="1">
      <c r="A42" s="365"/>
      <c r="B42" s="366"/>
      <c r="C42" s="366"/>
      <c r="D42" s="366"/>
      <c r="E42" s="366"/>
      <c r="F42" s="367"/>
    </row>
    <row r="43" spans="1:14" ht="18.95" customHeight="1">
      <c r="A43" s="377"/>
      <c r="B43" s="375"/>
      <c r="C43" s="378" t="s">
        <v>424</v>
      </c>
      <c r="D43" s="379" t="str">
        <f>'Performance Data Sheet'!K43</f>
        <v>Mario L</v>
      </c>
      <c r="E43" s="378" t="s">
        <v>425</v>
      </c>
      <c r="F43" s="379"/>
    </row>
    <row r="44" spans="1:14" ht="15" customHeight="1"/>
    <row r="45" spans="1:14" ht="15" customHeight="1"/>
    <row r="46" spans="1:14" ht="15" customHeight="1"/>
    <row r="47" spans="1:14" ht="15" customHeight="1"/>
    <row r="48" spans="1:14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0">
        <v>100</v>
      </c>
      <c r="B54" s="357">
        <v>0</v>
      </c>
      <c r="C54" s="357">
        <v>0.16249312460422516</v>
      </c>
    </row>
    <row r="55" spans="1:3" ht="15" customHeight="1">
      <c r="A55" s="380">
        <v>99.799999967217445</v>
      </c>
      <c r="B55" s="357">
        <v>128.25993265385728</v>
      </c>
      <c r="C55" s="357">
        <v>159.75900268554687</v>
      </c>
    </row>
    <row r="56" spans="1:3" ht="15" customHeight="1">
      <c r="A56" s="380">
        <v>98.999999836087227</v>
      </c>
      <c r="B56" s="357">
        <v>250</v>
      </c>
      <c r="C56" s="357">
        <v>484.3135986328125</v>
      </c>
    </row>
    <row r="57" spans="1:3">
      <c r="A57" s="380">
        <v>93.789473548531532</v>
      </c>
      <c r="B57" s="357">
        <v>152.75647871727961</v>
      </c>
      <c r="C57" s="357">
        <v>568.60791015625</v>
      </c>
    </row>
    <row r="58" spans="1:3">
      <c r="A58" s="380">
        <v>88.578946888446808</v>
      </c>
      <c r="B58" s="357">
        <v>126.22189233405618</v>
      </c>
      <c r="C58" s="357">
        <v>591.035400390625</v>
      </c>
    </row>
    <row r="59" spans="1:3">
      <c r="A59" s="380">
        <v>83.368420600891113</v>
      </c>
      <c r="B59" s="357">
        <v>114.88709958454399</v>
      </c>
      <c r="C59" s="357">
        <v>600.5501708984375</v>
      </c>
    </row>
    <row r="60" spans="1:3">
      <c r="A60" s="380">
        <v>72.947368025779724</v>
      </c>
      <c r="B60" s="357">
        <v>108.07968629546298</v>
      </c>
      <c r="C60" s="357">
        <v>610.35906982421875</v>
      </c>
    </row>
    <row r="61" spans="1:3">
      <c r="A61" s="380">
        <v>62.526315450668335</v>
      </c>
      <c r="B61" s="357">
        <v>104.82061857721834</v>
      </c>
      <c r="C61" s="357">
        <v>617.17578125</v>
      </c>
    </row>
    <row r="62" spans="1:3">
      <c r="A62" s="380">
        <v>52.105262875556946</v>
      </c>
      <c r="B62" s="357">
        <v>102.83988335966944</v>
      </c>
      <c r="C62" s="357">
        <v>622.95184326171875</v>
      </c>
    </row>
    <row r="63" spans="1:3">
      <c r="A63" s="380">
        <v>41.684210300445557</v>
      </c>
      <c r="B63" s="357">
        <v>101.5985085725124</v>
      </c>
      <c r="C63" s="357">
        <v>627.9010009765625</v>
      </c>
    </row>
    <row r="64" spans="1:3">
      <c r="A64" s="380">
        <v>31.263160705566406</v>
      </c>
      <c r="B64" s="357">
        <v>100.83929572265109</v>
      </c>
      <c r="C64" s="357">
        <v>632.1025390625</v>
      </c>
    </row>
    <row r="65" spans="1:3">
      <c r="A65" s="380">
        <v>20.842105150222778</v>
      </c>
      <c r="B65" s="357">
        <v>100.39087971675043</v>
      </c>
      <c r="C65" s="357">
        <v>635.6649169921875</v>
      </c>
    </row>
    <row r="66" spans="1:3">
      <c r="A66" s="380">
        <v>10.421055555343628</v>
      </c>
      <c r="B66" s="357">
        <v>100.13658530851119</v>
      </c>
      <c r="C66" s="357">
        <v>638.705322265625</v>
      </c>
    </row>
    <row r="67" spans="1:3">
      <c r="A67" s="381">
        <v>0</v>
      </c>
      <c r="B67" s="357">
        <v>100</v>
      </c>
      <c r="C67" s="357">
        <v>641.32843017578125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>
      <selection activeCell="J30" sqref="J30"/>
    </sheetView>
  </sheetViews>
  <sheetFormatPr defaultRowHeight="12.75"/>
  <cols>
    <col min="1" max="1" width="19.7109375" style="388" customWidth="1"/>
    <col min="2" max="7" width="10.7109375" style="388" customWidth="1"/>
    <col min="8" max="16384" width="9.140625" style="388"/>
  </cols>
  <sheetData>
    <row r="1" spans="1:12" ht="21" customHeight="1">
      <c r="A1" s="568" t="s">
        <v>433</v>
      </c>
      <c r="B1" s="716" t="s">
        <v>472</v>
      </c>
      <c r="C1" s="716"/>
      <c r="D1" s="716"/>
      <c r="E1" s="716"/>
      <c r="F1" s="716"/>
      <c r="G1" s="716"/>
    </row>
    <row r="2" spans="1:12" ht="15" customHeight="1">
      <c r="A2" s="567"/>
      <c r="B2" s="567"/>
      <c r="C2" s="567"/>
      <c r="D2" s="567"/>
      <c r="E2" s="567"/>
      <c r="F2" s="567"/>
      <c r="G2" s="567"/>
    </row>
    <row r="3" spans="1:12" ht="20.25">
      <c r="A3" s="569" t="s">
        <v>434</v>
      </c>
      <c r="B3" s="567"/>
      <c r="C3" s="567"/>
      <c r="D3" s="567"/>
      <c r="E3" s="567"/>
      <c r="F3" s="567"/>
      <c r="G3" s="567"/>
    </row>
    <row r="4" spans="1:12" ht="12" customHeight="1">
      <c r="A4" s="570"/>
      <c r="B4" s="570"/>
      <c r="C4" s="570"/>
      <c r="D4" s="570" t="s">
        <v>704</v>
      </c>
      <c r="E4" s="570"/>
      <c r="F4" s="570"/>
      <c r="G4" s="570"/>
      <c r="H4" s="389"/>
      <c r="I4" s="389"/>
      <c r="J4" s="389"/>
      <c r="K4" s="389"/>
      <c r="L4" s="389"/>
    </row>
    <row r="5" spans="1:12" ht="15.6" customHeight="1">
      <c r="A5" s="571" t="s">
        <v>5</v>
      </c>
      <c r="B5" s="571" t="s">
        <v>435</v>
      </c>
      <c r="C5" s="571" t="s">
        <v>436</v>
      </c>
      <c r="D5" s="571" t="s">
        <v>437</v>
      </c>
      <c r="E5" s="571" t="s">
        <v>438</v>
      </c>
      <c r="F5" s="571" t="s">
        <v>439</v>
      </c>
      <c r="G5" s="571" t="s">
        <v>440</v>
      </c>
      <c r="H5" s="389"/>
      <c r="I5" s="389"/>
      <c r="J5" s="389"/>
      <c r="K5" s="389"/>
      <c r="L5" s="389"/>
    </row>
    <row r="6" spans="1:12" ht="15.6" customHeight="1">
      <c r="A6" s="572" t="s">
        <v>441</v>
      </c>
      <c r="B6" s="572" t="s">
        <v>165</v>
      </c>
      <c r="C6" s="572" t="s">
        <v>165</v>
      </c>
      <c r="D6" s="572" t="s">
        <v>442</v>
      </c>
      <c r="E6" s="572" t="s">
        <v>135</v>
      </c>
      <c r="F6" s="572" t="s">
        <v>443</v>
      </c>
      <c r="G6" s="572" t="s">
        <v>443</v>
      </c>
      <c r="H6" s="389"/>
      <c r="I6" s="389"/>
      <c r="J6" s="389"/>
      <c r="K6" s="389"/>
      <c r="L6" s="389"/>
    </row>
    <row r="7" spans="1:12" ht="15.95" customHeight="1">
      <c r="A7" s="573" t="s">
        <v>473</v>
      </c>
      <c r="B7" s="573" t="s">
        <v>486</v>
      </c>
      <c r="C7" s="573" t="s">
        <v>499</v>
      </c>
      <c r="D7" s="573" t="s">
        <v>705</v>
      </c>
      <c r="E7" s="573" t="s">
        <v>512</v>
      </c>
      <c r="F7" s="573" t="s">
        <v>706</v>
      </c>
      <c r="G7" s="573" t="s">
        <v>707</v>
      </c>
      <c r="H7" s="389"/>
      <c r="I7" s="389"/>
      <c r="J7" s="389"/>
      <c r="K7" s="389"/>
      <c r="L7" s="389"/>
    </row>
    <row r="8" spans="1:12" ht="15.95" customHeight="1">
      <c r="A8" s="573" t="s">
        <v>474</v>
      </c>
      <c r="B8" s="573" t="s">
        <v>487</v>
      </c>
      <c r="C8" s="573" t="s">
        <v>500</v>
      </c>
      <c r="D8" s="573" t="s">
        <v>708</v>
      </c>
      <c r="E8" s="573" t="s">
        <v>513</v>
      </c>
      <c r="F8" s="573" t="s">
        <v>709</v>
      </c>
      <c r="G8" s="573" t="s">
        <v>710</v>
      </c>
      <c r="H8" s="389"/>
      <c r="I8" s="389"/>
      <c r="J8" s="389"/>
      <c r="K8" s="389"/>
      <c r="L8" s="389"/>
    </row>
    <row r="9" spans="1:12" ht="15.95" customHeight="1">
      <c r="A9" s="573" t="s">
        <v>475</v>
      </c>
      <c r="B9" s="573" t="s">
        <v>488</v>
      </c>
      <c r="C9" s="573" t="s">
        <v>501</v>
      </c>
      <c r="D9" s="573" t="s">
        <v>711</v>
      </c>
      <c r="E9" s="573" t="s">
        <v>514</v>
      </c>
      <c r="F9" s="573" t="s">
        <v>712</v>
      </c>
      <c r="G9" s="573" t="s">
        <v>713</v>
      </c>
      <c r="H9" s="389"/>
      <c r="I9" s="389"/>
      <c r="J9" s="389"/>
      <c r="K9" s="389"/>
      <c r="L9" s="389"/>
    </row>
    <row r="10" spans="1:12" ht="15.95" customHeight="1">
      <c r="A10" s="573" t="s">
        <v>476</v>
      </c>
      <c r="B10" s="573" t="s">
        <v>489</v>
      </c>
      <c r="C10" s="573" t="s">
        <v>502</v>
      </c>
      <c r="D10" s="573" t="s">
        <v>711</v>
      </c>
      <c r="E10" s="573" t="s">
        <v>515</v>
      </c>
      <c r="F10" s="573" t="s">
        <v>714</v>
      </c>
      <c r="G10" s="573" t="s">
        <v>715</v>
      </c>
      <c r="H10" s="389"/>
      <c r="I10" s="389"/>
      <c r="J10" s="389"/>
      <c r="K10" s="389"/>
      <c r="L10" s="389"/>
    </row>
    <row r="11" spans="1:12" ht="15.95" customHeight="1">
      <c r="A11" s="573" t="s">
        <v>477</v>
      </c>
      <c r="B11" s="573" t="s">
        <v>490</v>
      </c>
      <c r="C11" s="573" t="s">
        <v>503</v>
      </c>
      <c r="D11" s="573" t="s">
        <v>716</v>
      </c>
      <c r="E11" s="573" t="s">
        <v>516</v>
      </c>
      <c r="F11" s="573" t="s">
        <v>717</v>
      </c>
      <c r="G11" s="573" t="s">
        <v>718</v>
      </c>
      <c r="H11" s="389"/>
      <c r="I11" s="389"/>
      <c r="J11" s="389"/>
      <c r="K11" s="389"/>
      <c r="L11" s="389"/>
    </row>
    <row r="12" spans="1:12" ht="15.95" customHeight="1">
      <c r="A12" s="573" t="s">
        <v>478</v>
      </c>
      <c r="B12" s="573" t="s">
        <v>491</v>
      </c>
      <c r="C12" s="573" t="s">
        <v>504</v>
      </c>
      <c r="D12" s="573" t="s">
        <v>719</v>
      </c>
      <c r="E12" s="573" t="s">
        <v>517</v>
      </c>
      <c r="F12" s="573" t="s">
        <v>720</v>
      </c>
      <c r="G12" s="573" t="s">
        <v>721</v>
      </c>
      <c r="H12" s="389"/>
      <c r="I12" s="389"/>
      <c r="J12" s="389"/>
      <c r="K12" s="389"/>
      <c r="L12" s="389"/>
    </row>
    <row r="13" spans="1:12" ht="15.95" customHeight="1">
      <c r="A13" s="573" t="s">
        <v>479</v>
      </c>
      <c r="B13" s="573" t="s">
        <v>492</v>
      </c>
      <c r="C13" s="573" t="s">
        <v>505</v>
      </c>
      <c r="D13" s="573" t="s">
        <v>722</v>
      </c>
      <c r="E13" s="573" t="s">
        <v>518</v>
      </c>
      <c r="F13" s="573" t="s">
        <v>723</v>
      </c>
      <c r="G13" s="573" t="s">
        <v>724</v>
      </c>
      <c r="H13" s="389"/>
      <c r="I13" s="389"/>
      <c r="J13" s="389"/>
      <c r="K13" s="389"/>
      <c r="L13" s="389"/>
    </row>
    <row r="14" spans="1:12" ht="15.95" customHeight="1">
      <c r="A14" s="573" t="s">
        <v>480</v>
      </c>
      <c r="B14" s="573" t="s">
        <v>493</v>
      </c>
      <c r="C14" s="573" t="s">
        <v>506</v>
      </c>
      <c r="D14" s="573" t="s">
        <v>725</v>
      </c>
      <c r="E14" s="573" t="s">
        <v>519</v>
      </c>
      <c r="F14" s="573" t="s">
        <v>726</v>
      </c>
      <c r="G14" s="573" t="s">
        <v>727</v>
      </c>
      <c r="H14" s="389"/>
      <c r="I14" s="389"/>
      <c r="J14" s="389"/>
      <c r="K14" s="389"/>
      <c r="L14" s="389"/>
    </row>
    <row r="15" spans="1:12" ht="15.95" customHeight="1">
      <c r="A15" s="573" t="s">
        <v>481</v>
      </c>
      <c r="B15" s="573" t="s">
        <v>494</v>
      </c>
      <c r="C15" s="573" t="s">
        <v>507</v>
      </c>
      <c r="D15" s="573" t="s">
        <v>728</v>
      </c>
      <c r="E15" s="573" t="s">
        <v>520</v>
      </c>
      <c r="F15" s="573" t="s">
        <v>729</v>
      </c>
      <c r="G15" s="573" t="s">
        <v>730</v>
      </c>
      <c r="H15" s="389"/>
      <c r="I15" s="389"/>
      <c r="J15" s="389"/>
      <c r="K15" s="389"/>
      <c r="L15" s="389"/>
    </row>
    <row r="16" spans="1:12" ht="15.95" customHeight="1">
      <c r="A16" s="573" t="s">
        <v>482</v>
      </c>
      <c r="B16" s="573" t="s">
        <v>495</v>
      </c>
      <c r="C16" s="573" t="s">
        <v>508</v>
      </c>
      <c r="D16" s="573" t="s">
        <v>731</v>
      </c>
      <c r="E16" s="573" t="s">
        <v>521</v>
      </c>
      <c r="F16" s="573" t="s">
        <v>732</v>
      </c>
      <c r="G16" s="573" t="s">
        <v>733</v>
      </c>
      <c r="H16" s="389"/>
      <c r="I16" s="389"/>
      <c r="J16" s="389"/>
      <c r="K16" s="389"/>
      <c r="L16" s="389"/>
    </row>
    <row r="17" spans="1:12" ht="15.95" customHeight="1">
      <c r="A17" s="573" t="s">
        <v>483</v>
      </c>
      <c r="B17" s="573" t="s">
        <v>496</v>
      </c>
      <c r="C17" s="573" t="s">
        <v>509</v>
      </c>
      <c r="D17" s="573" t="s">
        <v>734</v>
      </c>
      <c r="E17" s="573" t="s">
        <v>522</v>
      </c>
      <c r="F17" s="573" t="s">
        <v>735</v>
      </c>
      <c r="G17" s="573" t="s">
        <v>736</v>
      </c>
      <c r="H17" s="389"/>
      <c r="I17" s="389"/>
      <c r="J17" s="389"/>
      <c r="K17" s="389"/>
      <c r="L17" s="389"/>
    </row>
    <row r="18" spans="1:12" ht="15.95" customHeight="1">
      <c r="A18" s="573" t="s">
        <v>484</v>
      </c>
      <c r="B18" s="573" t="s">
        <v>497</v>
      </c>
      <c r="C18" s="573" t="s">
        <v>510</v>
      </c>
      <c r="D18" s="573" t="s">
        <v>737</v>
      </c>
      <c r="E18" s="573" t="s">
        <v>523</v>
      </c>
      <c r="F18" s="573" t="s">
        <v>738</v>
      </c>
      <c r="G18" s="573" t="s">
        <v>739</v>
      </c>
      <c r="H18" s="389"/>
      <c r="I18" s="389"/>
      <c r="J18" s="389"/>
      <c r="K18" s="389"/>
      <c r="L18" s="389"/>
    </row>
    <row r="19" spans="1:12" ht="15.95" customHeight="1">
      <c r="A19" s="573" t="s">
        <v>485</v>
      </c>
      <c r="B19" s="573" t="s">
        <v>498</v>
      </c>
      <c r="C19" s="573" t="s">
        <v>511</v>
      </c>
      <c r="D19" s="573" t="s">
        <v>740</v>
      </c>
      <c r="E19" s="573" t="s">
        <v>524</v>
      </c>
      <c r="F19" s="573" t="s">
        <v>741</v>
      </c>
      <c r="G19" s="573" t="s">
        <v>742</v>
      </c>
      <c r="H19" s="389"/>
      <c r="I19" s="389"/>
      <c r="J19" s="389"/>
      <c r="K19" s="389"/>
      <c r="L19" s="389"/>
    </row>
    <row r="20" spans="1:12" ht="15.75">
      <c r="A20" s="570"/>
      <c r="B20" s="570"/>
      <c r="C20" s="570"/>
      <c r="D20" s="570"/>
      <c r="E20" s="570"/>
      <c r="F20" s="570"/>
      <c r="G20" s="570"/>
      <c r="H20" s="389"/>
      <c r="I20" s="389"/>
      <c r="J20" s="389"/>
      <c r="K20" s="389"/>
      <c r="L20" s="389"/>
    </row>
    <row r="21" spans="1:12" ht="15.75">
      <c r="A21" s="570"/>
      <c r="B21" s="570"/>
      <c r="C21" s="570"/>
      <c r="D21" s="717" t="s">
        <v>743</v>
      </c>
      <c r="E21" s="718"/>
      <c r="F21" s="718"/>
      <c r="G21" s="719"/>
      <c r="H21" s="389"/>
      <c r="I21" s="389"/>
      <c r="J21" s="389"/>
      <c r="K21" s="389"/>
      <c r="L21" s="389"/>
    </row>
    <row r="22" spans="1:12" ht="17.25" customHeight="1">
      <c r="A22" s="570"/>
      <c r="B22" s="720" t="s">
        <v>444</v>
      </c>
      <c r="C22" s="720"/>
      <c r="D22" s="720" t="s">
        <v>445</v>
      </c>
      <c r="E22" s="720"/>
      <c r="F22" s="720" t="s">
        <v>446</v>
      </c>
      <c r="G22" s="720"/>
      <c r="H22" s="389"/>
      <c r="I22" s="389"/>
      <c r="J22" s="389"/>
      <c r="K22" s="389"/>
      <c r="L22" s="389"/>
    </row>
    <row r="23" spans="1:12" ht="15.75">
      <c r="A23" s="575" t="s">
        <v>447</v>
      </c>
      <c r="B23" s="715" t="s">
        <v>744</v>
      </c>
      <c r="C23" s="715"/>
      <c r="D23" s="715" t="s">
        <v>745</v>
      </c>
      <c r="E23" s="715"/>
      <c r="F23" s="715" t="s">
        <v>746</v>
      </c>
      <c r="G23" s="715"/>
      <c r="H23" s="389"/>
      <c r="I23" s="389"/>
      <c r="J23" s="389"/>
      <c r="K23" s="389"/>
      <c r="L23" s="389"/>
    </row>
    <row r="24" spans="1:12" ht="18" customHeight="1">
      <c r="A24" s="575" t="s">
        <v>448</v>
      </c>
      <c r="B24" s="715" t="s">
        <v>747</v>
      </c>
      <c r="C24" s="715"/>
      <c r="D24" s="715" t="s">
        <v>748</v>
      </c>
      <c r="E24" s="715"/>
      <c r="F24" s="715" t="s">
        <v>749</v>
      </c>
      <c r="G24" s="715"/>
      <c r="H24" s="389"/>
      <c r="I24" s="389"/>
      <c r="J24" s="389"/>
      <c r="K24" s="389"/>
      <c r="L24" s="389"/>
    </row>
    <row r="25" spans="1:12" ht="15.75">
      <c r="A25" s="575" t="s">
        <v>449</v>
      </c>
      <c r="B25" s="715" t="s">
        <v>750</v>
      </c>
      <c r="C25" s="715"/>
      <c r="D25" s="715" t="s">
        <v>751</v>
      </c>
      <c r="E25" s="715"/>
      <c r="F25" s="715" t="s">
        <v>752</v>
      </c>
      <c r="G25" s="715"/>
      <c r="H25" s="389"/>
      <c r="I25" s="389"/>
      <c r="J25" s="389"/>
      <c r="K25" s="389"/>
      <c r="L25" s="389"/>
    </row>
    <row r="26" spans="1:12" ht="15.75">
      <c r="A26" s="570"/>
      <c r="B26" s="570"/>
      <c r="C26" s="570"/>
      <c r="D26" s="570"/>
      <c r="E26" s="570"/>
      <c r="F26" s="570"/>
      <c r="G26" s="570"/>
      <c r="H26" s="389"/>
      <c r="I26" s="389"/>
      <c r="J26" s="389"/>
      <c r="K26" s="389"/>
      <c r="L26" s="389"/>
    </row>
    <row r="27" spans="1:12" ht="20.25">
      <c r="A27" s="569" t="s">
        <v>450</v>
      </c>
      <c r="B27" s="570"/>
      <c r="C27" s="570"/>
      <c r="D27" s="570"/>
      <c r="E27" s="570"/>
      <c r="F27" s="570"/>
      <c r="G27" s="570"/>
      <c r="H27" s="389"/>
      <c r="I27" s="389"/>
      <c r="J27" s="389"/>
      <c r="K27" s="389"/>
      <c r="L27" s="389"/>
    </row>
    <row r="28" spans="1:12" ht="15.75">
      <c r="A28" s="570"/>
      <c r="B28" s="570"/>
      <c r="C28" s="570"/>
      <c r="D28" s="570"/>
      <c r="E28" s="721" t="s">
        <v>451</v>
      </c>
      <c r="F28" s="718"/>
      <c r="G28" s="719"/>
      <c r="H28" s="389"/>
      <c r="I28" s="389"/>
      <c r="J28" s="389"/>
      <c r="K28" s="389"/>
      <c r="L28" s="389"/>
    </row>
    <row r="29" spans="1:12" ht="15.75">
      <c r="A29" s="570"/>
      <c r="B29" s="720" t="s">
        <v>452</v>
      </c>
      <c r="C29" s="720"/>
      <c r="D29" s="574" t="s">
        <v>453</v>
      </c>
      <c r="E29" s="574" t="s">
        <v>454</v>
      </c>
      <c r="F29" s="720" t="s">
        <v>455</v>
      </c>
      <c r="G29" s="720"/>
      <c r="H29" s="389"/>
      <c r="I29" s="389"/>
      <c r="J29" s="389"/>
      <c r="K29" s="389"/>
      <c r="L29" s="389"/>
    </row>
    <row r="30" spans="1:12" ht="15.75">
      <c r="A30" s="575" t="s">
        <v>456</v>
      </c>
      <c r="B30" s="715" t="s">
        <v>525</v>
      </c>
      <c r="C30" s="715"/>
      <c r="D30" s="573" t="s">
        <v>528</v>
      </c>
      <c r="E30" s="573" t="s">
        <v>457</v>
      </c>
      <c r="F30" s="715" t="s">
        <v>531</v>
      </c>
      <c r="G30" s="715"/>
      <c r="H30" s="389"/>
      <c r="I30" s="389"/>
      <c r="J30" s="389"/>
      <c r="K30" s="389"/>
      <c r="L30" s="389"/>
    </row>
    <row r="31" spans="1:12" ht="15.75">
      <c r="A31" s="575" t="s">
        <v>458</v>
      </c>
      <c r="B31" s="715" t="s">
        <v>526</v>
      </c>
      <c r="C31" s="715"/>
      <c r="D31" s="573" t="s">
        <v>529</v>
      </c>
      <c r="E31" s="573" t="s">
        <v>459</v>
      </c>
      <c r="F31" s="715" t="s">
        <v>532</v>
      </c>
      <c r="G31" s="715"/>
      <c r="H31" s="389"/>
      <c r="I31" s="389"/>
      <c r="J31" s="389"/>
      <c r="K31" s="389"/>
      <c r="L31" s="389"/>
    </row>
    <row r="32" spans="1:12" ht="15.75">
      <c r="A32" s="575" t="s">
        <v>460</v>
      </c>
      <c r="B32" s="715" t="s">
        <v>527</v>
      </c>
      <c r="C32" s="715"/>
      <c r="D32" s="573" t="s">
        <v>530</v>
      </c>
      <c r="E32" s="573" t="s">
        <v>461</v>
      </c>
      <c r="F32" s="715" t="s">
        <v>533</v>
      </c>
      <c r="G32" s="715"/>
      <c r="H32" s="389"/>
      <c r="I32" s="389"/>
      <c r="J32" s="389"/>
      <c r="K32" s="389"/>
      <c r="L32" s="389"/>
    </row>
    <row r="33" spans="1:12" ht="15.75">
      <c r="A33" s="570"/>
      <c r="B33" s="570"/>
      <c r="C33" s="570"/>
      <c r="D33" s="570"/>
      <c r="E33" s="570"/>
      <c r="F33" s="570"/>
      <c r="G33" s="570"/>
      <c r="H33" s="389"/>
      <c r="I33" s="389"/>
      <c r="J33" s="389"/>
      <c r="K33" s="389"/>
      <c r="L33" s="389"/>
    </row>
    <row r="34" spans="1:12" ht="15.75">
      <c r="A34" s="570"/>
      <c r="B34" s="570"/>
      <c r="C34" s="570"/>
      <c r="D34" s="570"/>
      <c r="E34" s="721" t="s">
        <v>462</v>
      </c>
      <c r="F34" s="718"/>
      <c r="G34" s="719"/>
      <c r="H34" s="389"/>
      <c r="I34" s="389"/>
      <c r="J34" s="389"/>
      <c r="K34" s="389"/>
      <c r="L34" s="389"/>
    </row>
    <row r="35" spans="1:12" ht="15.75">
      <c r="A35" s="570"/>
      <c r="B35" s="720" t="s">
        <v>463</v>
      </c>
      <c r="C35" s="720"/>
      <c r="D35" s="574" t="s">
        <v>454</v>
      </c>
      <c r="E35" s="574" t="s">
        <v>464</v>
      </c>
      <c r="F35" s="574" t="s">
        <v>100</v>
      </c>
      <c r="G35" s="574" t="s">
        <v>465</v>
      </c>
      <c r="H35" s="389"/>
      <c r="I35" s="389"/>
      <c r="J35" s="389"/>
      <c r="K35" s="389"/>
      <c r="L35" s="389"/>
    </row>
    <row r="36" spans="1:12" ht="15.75">
      <c r="A36" s="575" t="s">
        <v>456</v>
      </c>
      <c r="B36" s="722" t="s">
        <v>534</v>
      </c>
      <c r="C36" s="723"/>
      <c r="D36" s="576" t="s">
        <v>536</v>
      </c>
      <c r="E36" s="576" t="s">
        <v>466</v>
      </c>
      <c r="F36" s="577" t="s">
        <v>467</v>
      </c>
      <c r="G36" s="573" t="s">
        <v>539</v>
      </c>
      <c r="H36" s="389"/>
      <c r="I36" s="389"/>
      <c r="J36" s="389"/>
      <c r="K36" s="389"/>
      <c r="L36" s="389"/>
    </row>
    <row r="37" spans="1:12" ht="15.75">
      <c r="A37" s="575" t="s">
        <v>458</v>
      </c>
      <c r="B37" s="722" t="s">
        <v>535</v>
      </c>
      <c r="C37" s="723"/>
      <c r="D37" s="576" t="s">
        <v>537</v>
      </c>
      <c r="E37" s="576" t="s">
        <v>466</v>
      </c>
      <c r="F37" s="577" t="s">
        <v>468</v>
      </c>
      <c r="G37" s="578" t="s">
        <v>540</v>
      </c>
      <c r="H37" s="389"/>
      <c r="I37" s="389"/>
      <c r="J37" s="389"/>
      <c r="K37" s="389"/>
      <c r="L37" s="389"/>
    </row>
    <row r="38" spans="1:12" ht="15.75">
      <c r="A38" s="575" t="s">
        <v>460</v>
      </c>
      <c r="B38" s="722" t="s">
        <v>535</v>
      </c>
      <c r="C38" s="723"/>
      <c r="D38" s="576" t="s">
        <v>538</v>
      </c>
      <c r="E38" s="576" t="s">
        <v>466</v>
      </c>
      <c r="F38" s="577" t="s">
        <v>469</v>
      </c>
      <c r="G38" s="573" t="s">
        <v>541</v>
      </c>
      <c r="H38" s="389"/>
      <c r="I38" s="389"/>
      <c r="J38" s="389"/>
      <c r="K38" s="389"/>
      <c r="L38" s="389"/>
    </row>
    <row r="39" spans="1:12" ht="15.75">
      <c r="A39" s="570"/>
      <c r="B39" s="570"/>
      <c r="C39" s="570"/>
      <c r="D39" s="570"/>
      <c r="E39" s="570"/>
      <c r="F39" s="570"/>
      <c r="G39" s="570"/>
      <c r="H39" s="389"/>
      <c r="I39" s="389"/>
      <c r="J39" s="389"/>
      <c r="K39" s="389"/>
      <c r="L39" s="389"/>
    </row>
    <row r="40" spans="1:12" ht="15.75">
      <c r="A40" s="579" t="s">
        <v>470</v>
      </c>
      <c r="B40" s="724" t="s">
        <v>542</v>
      </c>
      <c r="C40" s="724"/>
      <c r="D40" s="725" t="s">
        <v>471</v>
      </c>
      <c r="E40" s="725"/>
      <c r="F40" s="724" t="s">
        <v>543</v>
      </c>
      <c r="G40" s="724"/>
      <c r="H40" s="389"/>
      <c r="I40" s="389"/>
      <c r="J40" s="389"/>
      <c r="K40" s="389"/>
      <c r="L40" s="389"/>
    </row>
    <row r="41" spans="1:12" ht="15.7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5.75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</row>
    <row r="43" spans="1:12" ht="15.75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</row>
    <row r="44" spans="1:12" ht="15.75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</row>
    <row r="45" spans="1:12" ht="15.7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</row>
    <row r="46" spans="1:12" ht="15.75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</row>
    <row r="47" spans="1:12" ht="15.75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.75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2" ht="15.75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</row>
    <row r="50" spans="1:12" ht="15.75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</row>
    <row r="51" spans="1:12" ht="15.75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</row>
    <row r="52" spans="1:12" ht="15.75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</row>
    <row r="53" spans="1:12" ht="15.75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</row>
    <row r="54" spans="1:12" ht="15.75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</row>
    <row r="55" spans="1:12" ht="15.7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</row>
    <row r="56" spans="1:12" ht="15.75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</row>
    <row r="57" spans="1:12" ht="15.75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</row>
    <row r="60" spans="1:12" ht="15.75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</row>
    <row r="61" spans="1:12" ht="15.75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I8" sqref="I8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391"/>
      <c r="B1" s="392"/>
      <c r="C1" s="392"/>
      <c r="D1" s="392"/>
      <c r="E1" s="392"/>
      <c r="F1" s="393"/>
    </row>
    <row r="2" spans="1:6" ht="26.1" customHeight="1">
      <c r="A2" s="394" t="s">
        <v>252</v>
      </c>
      <c r="B2" s="395"/>
      <c r="C2" s="395"/>
      <c r="D2" s="395"/>
      <c r="E2" s="395"/>
      <c r="F2" s="396"/>
    </row>
    <row r="3" spans="1:6" ht="18.95" customHeight="1">
      <c r="A3" s="726" t="s">
        <v>544</v>
      </c>
      <c r="B3" s="727"/>
      <c r="C3" s="727"/>
      <c r="D3" s="727"/>
      <c r="E3" s="727"/>
      <c r="F3" s="728"/>
    </row>
    <row r="4" spans="1:6" ht="18.95" customHeight="1">
      <c r="A4" s="729" t="s">
        <v>545</v>
      </c>
      <c r="B4" s="730"/>
      <c r="C4" s="730"/>
      <c r="D4" s="730"/>
      <c r="E4" s="730"/>
      <c r="F4" s="731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368" t="s">
        <v>401</v>
      </c>
      <c r="B6" s="712" t="str">
        <f>'Performance Data Sheet'!C17</f>
        <v>M453TCQL11F-C</v>
      </c>
      <c r="C6" s="713"/>
      <c r="D6" s="714"/>
      <c r="E6" s="368" t="s">
        <v>402</v>
      </c>
      <c r="F6" s="369">
        <v>271</v>
      </c>
    </row>
    <row r="7" spans="1:6" ht="18.95" customHeight="1">
      <c r="A7" s="368" t="s">
        <v>403</v>
      </c>
      <c r="B7" s="369" t="str">
        <f>'Performance Data Sheet'!F14</f>
        <v>TEAAC</v>
      </c>
      <c r="C7" s="368" t="s">
        <v>404</v>
      </c>
      <c r="D7" s="369" t="s">
        <v>426</v>
      </c>
      <c r="E7" s="368" t="s">
        <v>405</v>
      </c>
      <c r="F7" s="369" t="str">
        <f>'Performance Data Sheet'!C14</f>
        <v>6813USS</v>
      </c>
    </row>
    <row r="8" spans="1:6" ht="18.95" customHeight="1">
      <c r="A8" s="368" t="s">
        <v>406</v>
      </c>
      <c r="B8" s="369">
        <v>2</v>
      </c>
      <c r="C8" s="368" t="s">
        <v>407</v>
      </c>
      <c r="D8" s="369" t="s">
        <v>408</v>
      </c>
      <c r="E8" s="368" t="s">
        <v>409</v>
      </c>
      <c r="F8" s="369" t="str">
        <f>'Performance Data Sheet'!M15</f>
        <v>F</v>
      </c>
    </row>
    <row r="9" spans="1:6" ht="18.95" customHeight="1">
      <c r="A9" s="368" t="s">
        <v>410</v>
      </c>
      <c r="B9" s="369">
        <v>2250</v>
      </c>
      <c r="C9" s="368" t="s">
        <v>411</v>
      </c>
      <c r="D9" s="369" t="s">
        <v>427</v>
      </c>
      <c r="E9" s="368" t="s">
        <v>2</v>
      </c>
      <c r="F9" s="370">
        <f>'Performance Data Sheet'!K45</f>
        <v>41934</v>
      </c>
    </row>
    <row r="10" spans="1:6" ht="18.95" customHeight="1">
      <c r="A10" s="368" t="s">
        <v>412</v>
      </c>
      <c r="B10" s="369">
        <v>3581</v>
      </c>
      <c r="C10" s="368" t="s">
        <v>413</v>
      </c>
      <c r="D10" s="580" t="s">
        <v>753</v>
      </c>
      <c r="E10" s="368" t="s">
        <v>1</v>
      </c>
      <c r="F10" s="369" t="s">
        <v>364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97"/>
      <c r="B12" s="400"/>
      <c r="C12" s="401"/>
      <c r="D12" s="400"/>
      <c r="E12" s="401"/>
      <c r="F12" s="399"/>
    </row>
    <row r="13" spans="1:6" ht="18.95" customHeight="1">
      <c r="A13" s="397"/>
      <c r="B13" s="400"/>
      <c r="C13" s="402"/>
      <c r="D13" s="400"/>
      <c r="E13" s="401"/>
      <c r="F13" s="399"/>
    </row>
    <row r="14" spans="1:6" ht="18.95" customHeight="1">
      <c r="A14" s="397"/>
      <c r="B14" s="400"/>
      <c r="C14" s="402"/>
      <c r="D14" s="400"/>
      <c r="E14" s="401"/>
      <c r="F14" s="399"/>
    </row>
    <row r="15" spans="1:6" ht="18.95" customHeight="1">
      <c r="A15" s="397"/>
      <c r="B15" s="400"/>
      <c r="C15" s="401"/>
      <c r="D15" s="398"/>
      <c r="E15" s="398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6" ht="18.95" customHeight="1">
      <c r="A17" s="397"/>
      <c r="B17" s="398"/>
      <c r="C17" s="398"/>
      <c r="D17" s="398"/>
      <c r="E17" s="398"/>
      <c r="F17" s="399"/>
    </row>
    <row r="18" spans="1:6" ht="18.95" customHeight="1">
      <c r="A18" s="397"/>
      <c r="B18" s="398"/>
      <c r="C18" s="398"/>
      <c r="D18" s="398"/>
      <c r="E18" s="398"/>
      <c r="F18" s="399"/>
    </row>
    <row r="19" spans="1:6" ht="18.95" customHeight="1">
      <c r="A19" s="397"/>
      <c r="B19" s="398"/>
      <c r="C19" s="398"/>
      <c r="D19" s="398"/>
      <c r="E19" s="398"/>
      <c r="F19" s="399"/>
    </row>
    <row r="20" spans="1:6" ht="18.95" customHeight="1">
      <c r="A20" s="397"/>
      <c r="B20" s="398"/>
      <c r="C20" s="398"/>
      <c r="D20" s="398"/>
      <c r="E20" s="398"/>
      <c r="F20" s="399"/>
    </row>
    <row r="21" spans="1:6" ht="18.95" customHeight="1">
      <c r="A21" s="397"/>
      <c r="B21" s="398"/>
      <c r="C21" s="398"/>
      <c r="D21" s="398"/>
      <c r="E21" s="398"/>
      <c r="F21" s="399"/>
    </row>
    <row r="22" spans="1:6" ht="18.95" customHeight="1">
      <c r="A22" s="397"/>
      <c r="B22" s="398"/>
      <c r="C22" s="398"/>
      <c r="D22" s="398"/>
      <c r="E22" s="398"/>
      <c r="F22" s="399"/>
    </row>
    <row r="23" spans="1:6" ht="18.95" customHeight="1">
      <c r="A23" s="397"/>
      <c r="B23" s="398"/>
      <c r="C23" s="398"/>
      <c r="D23" s="398"/>
      <c r="E23" s="398"/>
      <c r="F23" s="399"/>
    </row>
    <row r="24" spans="1:6" ht="18.95" customHeight="1">
      <c r="A24" s="397"/>
      <c r="B24" s="398"/>
      <c r="C24" s="398"/>
      <c r="D24" s="398"/>
      <c r="E24" s="398"/>
      <c r="F24" s="399"/>
    </row>
    <row r="25" spans="1:6" ht="18.95" customHeight="1">
      <c r="A25" s="397"/>
      <c r="B25" s="398"/>
      <c r="C25" s="398"/>
      <c r="D25" s="398"/>
      <c r="E25" s="398"/>
      <c r="F25" s="399"/>
    </row>
    <row r="26" spans="1:6" ht="18.95" customHeight="1">
      <c r="A26" s="397"/>
      <c r="B26" s="398"/>
      <c r="C26" s="398"/>
      <c r="D26" s="398"/>
      <c r="E26" s="398"/>
      <c r="F26" s="399"/>
    </row>
    <row r="27" spans="1:6" ht="18.95" customHeight="1">
      <c r="A27" s="397"/>
      <c r="B27" s="398"/>
      <c r="C27" s="398"/>
      <c r="D27" s="398"/>
      <c r="E27" s="398"/>
      <c r="F27" s="399"/>
    </row>
    <row r="28" spans="1:6" ht="18.95" customHeight="1">
      <c r="A28" s="397"/>
      <c r="B28" s="398"/>
      <c r="C28" s="398"/>
      <c r="D28" s="398"/>
      <c r="E28" s="398"/>
      <c r="F28" s="399"/>
    </row>
    <row r="29" spans="1:6" ht="18.95" customHeight="1">
      <c r="A29" s="397"/>
      <c r="B29" s="398"/>
      <c r="C29" s="398"/>
      <c r="D29" s="398"/>
      <c r="E29" s="398"/>
      <c r="F29" s="399"/>
    </row>
    <row r="30" spans="1:6" ht="18.95" customHeight="1">
      <c r="A30" s="397"/>
      <c r="B30" s="398"/>
      <c r="C30" s="398"/>
      <c r="D30" s="398"/>
      <c r="E30" s="398"/>
      <c r="F30" s="399"/>
    </row>
    <row r="31" spans="1:6" ht="18.95" customHeight="1">
      <c r="A31" s="397"/>
      <c r="B31" s="398"/>
      <c r="C31" s="398"/>
      <c r="D31" s="398"/>
      <c r="E31" s="398"/>
      <c r="F31" s="399"/>
    </row>
    <row r="32" spans="1:6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374" t="s">
        <v>422</v>
      </c>
      <c r="B39" s="375"/>
      <c r="C39" s="375"/>
      <c r="D39" s="366"/>
      <c r="E39" s="371" t="s">
        <v>423</v>
      </c>
      <c r="F39" s="376" t="s">
        <v>364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424</v>
      </c>
      <c r="D43" s="379" t="str">
        <f>'Performance Data Sheet'!K43</f>
        <v>Mario L</v>
      </c>
      <c r="E43" s="378" t="s">
        <v>425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3" t="e">
        <f>5252.1*B50/D53</f>
        <v>#DIV/0!</v>
      </c>
      <c r="G50" s="403"/>
    </row>
    <row r="51" spans="6:9" ht="15" customHeight="1">
      <c r="G51" s="404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5"/>
    </row>
    <row r="63" spans="6:9">
      <c r="I63" s="406" t="s">
        <v>39</v>
      </c>
    </row>
    <row r="64" spans="6:9">
      <c r="I64" s="406"/>
    </row>
    <row r="65" spans="1:9">
      <c r="I65" s="406"/>
    </row>
    <row r="66" spans="1:9">
      <c r="D66" s="403" t="e">
        <f>D65/D64</f>
        <v>#DIV/0!</v>
      </c>
    </row>
    <row r="67" spans="1:9">
      <c r="A67" s="407" t="s">
        <v>398</v>
      </c>
      <c r="B67" s="407" t="s">
        <v>546</v>
      </c>
      <c r="C67" s="407" t="s">
        <v>547</v>
      </c>
      <c r="E67" s="407" t="s">
        <v>548</v>
      </c>
      <c r="F67" s="407" t="s">
        <v>549</v>
      </c>
    </row>
    <row r="68" spans="1:9">
      <c r="A68" s="408">
        <v>641.32841328413281</v>
      </c>
      <c r="B68" s="409">
        <v>29.35260227748326</v>
      </c>
      <c r="C68" s="409">
        <v>12.806543622698104</v>
      </c>
      <c r="E68" s="408">
        <f>A68</f>
        <v>641.32841328413281</v>
      </c>
      <c r="F68" s="581">
        <v>1E-4</v>
      </c>
    </row>
    <row r="69" spans="1:9">
      <c r="A69" s="408">
        <f>FLOOR(A68,100)</f>
        <v>600</v>
      </c>
      <c r="B69" s="409">
        <f>((A68/A69)^2)*B68</f>
        <v>33.535522072088909</v>
      </c>
      <c r="C69" s="409">
        <f>((A68/A69)^2)*C68</f>
        <v>14.631551992090889</v>
      </c>
      <c r="E69" s="408">
        <v>640</v>
      </c>
      <c r="F69" s="581">
        <v>0.60500001907348633</v>
      </c>
    </row>
    <row r="70" spans="1:9">
      <c r="A70" s="408">
        <f>A69-100</f>
        <v>500</v>
      </c>
      <c r="B70" s="409">
        <f>((A68/A70)^2)*B68</f>
        <v>48.291151783808033</v>
      </c>
      <c r="C70" s="409">
        <f>((A68/A70)^2)*C68</f>
        <v>21.06943486861088</v>
      </c>
      <c r="E70" s="408">
        <v>637.19557195571952</v>
      </c>
      <c r="F70" s="581">
        <v>1.1340000629425049</v>
      </c>
    </row>
    <row r="71" spans="1:9">
      <c r="A71" s="408">
        <f>A70-100</f>
        <v>400</v>
      </c>
      <c r="B71" s="409">
        <f>((A68/A71)^2)*B68</f>
        <v>75.454924662200042</v>
      </c>
      <c r="C71" s="409">
        <f>((A68/A71)^2)*C68</f>
        <v>32.920991982204498</v>
      </c>
      <c r="E71" s="408">
        <v>633.87453874538744</v>
      </c>
      <c r="F71" s="581">
        <v>1.6370000839233398</v>
      </c>
    </row>
    <row r="72" spans="1:9">
      <c r="A72" s="408">
        <f>A71-100</f>
        <v>300</v>
      </c>
      <c r="B72" s="409">
        <f>((A68/A72)^2)*B68</f>
        <v>134.14208828835564</v>
      </c>
      <c r="C72" s="409"/>
      <c r="E72" s="408">
        <v>630</v>
      </c>
      <c r="F72" s="581">
        <v>2.1400001049041748</v>
      </c>
    </row>
    <row r="73" spans="1:9">
      <c r="A73" s="408">
        <f>A72-100</f>
        <v>200</v>
      </c>
      <c r="B73" s="409">
        <f>((A68/A73)^2)*B68</f>
        <v>301.81969864880017</v>
      </c>
      <c r="C73" s="409"/>
      <c r="E73" s="408">
        <v>625.42435424354244</v>
      </c>
      <c r="F73" s="581">
        <v>2.6630001068115234</v>
      </c>
    </row>
    <row r="74" spans="1:9">
      <c r="A74" s="408">
        <v>250</v>
      </c>
      <c r="B74" s="409">
        <f>((A68/A74)^2)*B68</f>
        <v>193.16460713523213</v>
      </c>
      <c r="C74" s="409">
        <f>((A68/A74)^2)*C68</f>
        <v>84.277739474443521</v>
      </c>
      <c r="E74" s="408">
        <v>620.07380073800744</v>
      </c>
      <c r="F74" s="581">
        <v>3.2260000705718994</v>
      </c>
    </row>
    <row r="75" spans="1:9">
      <c r="A75" s="410">
        <v>180</v>
      </c>
      <c r="B75" s="409">
        <f>((A68/A75)^2)*B69</f>
        <v>425.71703032434584</v>
      </c>
      <c r="C75" s="409">
        <f>((A68/A75)^2)*C68</f>
        <v>162.57279991212098</v>
      </c>
      <c r="E75" s="408">
        <v>613.76383763837634</v>
      </c>
      <c r="F75" s="581">
        <v>3.8519999980926514</v>
      </c>
    </row>
    <row r="76" spans="1:9">
      <c r="A76" s="410">
        <v>145</v>
      </c>
      <c r="B76" s="409">
        <f>((A68/A76)^2)*B68</f>
        <v>574.21107947453072</v>
      </c>
      <c r="C76" s="409">
        <f>((A68/A76)^2)*C68</f>
        <v>250.5283575340176</v>
      </c>
      <c r="E76" s="408">
        <v>605.4612546125461</v>
      </c>
      <c r="F76" s="581">
        <v>4.5890002250671387</v>
      </c>
    </row>
    <row r="77" spans="1:9">
      <c r="A77" s="410">
        <v>125</v>
      </c>
      <c r="B77" s="409"/>
      <c r="C77" s="408">
        <f>CEILING(C76*2,100)</f>
        <v>600</v>
      </c>
      <c r="E77" s="408">
        <v>595.79335793357939</v>
      </c>
      <c r="F77" s="581">
        <v>5.004000186920166</v>
      </c>
    </row>
    <row r="78" spans="1:9">
      <c r="A78" s="410">
        <v>125</v>
      </c>
      <c r="B78" s="409"/>
      <c r="C78" s="408">
        <f>2*C77</f>
        <v>1200</v>
      </c>
      <c r="E78" s="408">
        <v>579.81549815498158</v>
      </c>
      <c r="F78" s="581">
        <v>5.3810000419616699</v>
      </c>
    </row>
    <row r="79" spans="1:9">
      <c r="A79" s="410">
        <v>125</v>
      </c>
      <c r="B79" s="410"/>
      <c r="C79" s="410">
        <v>10000</v>
      </c>
      <c r="E79" s="408">
        <v>526.45756457564573</v>
      </c>
      <c r="F79" s="581">
        <v>5.5939998626708984</v>
      </c>
    </row>
    <row r="80" spans="1:9">
      <c r="E80" s="408">
        <v>322.02952029520293</v>
      </c>
      <c r="F80" s="581">
        <v>5.6339998245239258</v>
      </c>
    </row>
    <row r="81" spans="5:6">
      <c r="E81" s="408">
        <v>0</v>
      </c>
      <c r="F81" s="581">
        <v>5.6970000267028809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88" customWidth="1"/>
    <col min="2" max="11" width="7.7109375" style="388" customWidth="1"/>
    <col min="12" max="16384" width="9.140625" style="388"/>
  </cols>
  <sheetData>
    <row r="1" spans="1:12" ht="20.25">
      <c r="A1" s="732" t="s">
        <v>550</v>
      </c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389"/>
    </row>
    <row r="2" spans="1:12" ht="30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2" ht="19.5">
      <c r="A3" s="411" t="s">
        <v>433</v>
      </c>
      <c r="B3" s="412" t="s">
        <v>472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</row>
    <row r="4" spans="1:12" ht="12" customHeigh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</row>
    <row r="5" spans="1:12" ht="19.5">
      <c r="A5" s="413" t="s">
        <v>551</v>
      </c>
      <c r="B5" s="414"/>
      <c r="C5" s="414"/>
      <c r="D5" s="414"/>
      <c r="E5" s="414"/>
      <c r="F5" s="389"/>
      <c r="G5" s="389"/>
      <c r="H5" s="389"/>
      <c r="I5" s="389"/>
      <c r="J5" s="389"/>
      <c r="K5" s="389"/>
      <c r="L5" s="389"/>
    </row>
    <row r="6" spans="1:12" ht="17.25" customHeight="1">
      <c r="A6" s="389"/>
      <c r="B6" s="389"/>
      <c r="C6" s="389"/>
      <c r="D6" s="389"/>
      <c r="E6" s="389"/>
      <c r="F6" s="389"/>
      <c r="G6" s="389"/>
      <c r="H6" s="389"/>
      <c r="I6" s="389"/>
      <c r="J6" s="389"/>
      <c r="K6" s="389"/>
      <c r="L6" s="389"/>
    </row>
    <row r="7" spans="1:12" ht="15.75">
      <c r="A7" s="389"/>
      <c r="B7" s="415" t="s">
        <v>552</v>
      </c>
      <c r="C7" s="416">
        <v>0</v>
      </c>
      <c r="D7" s="415" t="s">
        <v>552</v>
      </c>
      <c r="E7" s="417" t="s">
        <v>553</v>
      </c>
      <c r="F7" s="415" t="s">
        <v>552</v>
      </c>
      <c r="G7" s="417" t="s">
        <v>554</v>
      </c>
      <c r="H7" s="415" t="s">
        <v>555</v>
      </c>
      <c r="I7" s="417">
        <v>0</v>
      </c>
      <c r="J7" s="415" t="s">
        <v>555</v>
      </c>
      <c r="K7" s="417">
        <v>5.0000000000000001E-3</v>
      </c>
      <c r="L7" s="389"/>
    </row>
    <row r="8" spans="1:12" ht="15.75">
      <c r="A8" s="390" t="s">
        <v>556</v>
      </c>
      <c r="B8" s="733">
        <v>6</v>
      </c>
      <c r="C8" s="733"/>
      <c r="D8" s="733">
        <v>12</v>
      </c>
      <c r="E8" s="733"/>
      <c r="F8" s="733">
        <v>0</v>
      </c>
      <c r="G8" s="733"/>
      <c r="H8" s="733" t="s">
        <v>571</v>
      </c>
      <c r="I8" s="733"/>
      <c r="J8" s="733" t="s">
        <v>572</v>
      </c>
      <c r="K8" s="733"/>
      <c r="L8" s="389"/>
    </row>
    <row r="9" spans="1:12" ht="15.75">
      <c r="A9" s="390" t="s">
        <v>557</v>
      </c>
      <c r="B9" s="733">
        <v>10</v>
      </c>
      <c r="C9" s="733"/>
      <c r="D9" s="733">
        <v>16</v>
      </c>
      <c r="E9" s="733"/>
      <c r="F9" s="733">
        <v>4</v>
      </c>
      <c r="G9" s="733"/>
      <c r="H9" s="733" t="s">
        <v>573</v>
      </c>
      <c r="I9" s="733"/>
      <c r="J9" s="733" t="s">
        <v>574</v>
      </c>
      <c r="K9" s="733"/>
      <c r="L9" s="389"/>
    </row>
    <row r="10" spans="1:12" ht="15.75">
      <c r="A10" s="390" t="s">
        <v>558</v>
      </c>
      <c r="B10" s="733">
        <v>8</v>
      </c>
      <c r="C10" s="733"/>
      <c r="D10" s="733">
        <v>14</v>
      </c>
      <c r="E10" s="733"/>
      <c r="F10" s="733">
        <v>2</v>
      </c>
      <c r="G10" s="733"/>
      <c r="H10" s="733" t="s">
        <v>575</v>
      </c>
      <c r="I10" s="733"/>
      <c r="J10" s="733" t="s">
        <v>576</v>
      </c>
      <c r="K10" s="733"/>
      <c r="L10" s="389"/>
    </row>
    <row r="11" spans="1:12" ht="26.25" customHeight="1">
      <c r="A11" s="389"/>
      <c r="B11" s="389"/>
      <c r="C11" s="389"/>
      <c r="D11" s="389"/>
      <c r="E11" s="389"/>
      <c r="F11" s="389"/>
      <c r="G11" s="389"/>
      <c r="H11" s="389"/>
      <c r="I11" s="389"/>
      <c r="J11" s="389"/>
      <c r="K11" s="389"/>
      <c r="L11" s="389"/>
    </row>
    <row r="12" spans="1:12" ht="19.5">
      <c r="A12" s="413" t="s">
        <v>559</v>
      </c>
      <c r="B12" s="389"/>
      <c r="C12" s="389"/>
      <c r="D12" s="389"/>
      <c r="E12" s="389"/>
      <c r="F12" s="389"/>
      <c r="G12" s="389"/>
      <c r="H12" s="389"/>
      <c r="I12" s="389"/>
      <c r="J12" s="389"/>
      <c r="K12" s="389"/>
      <c r="L12" s="389"/>
    </row>
    <row r="13" spans="1:12" ht="15.75">
      <c r="A13" s="389"/>
      <c r="B13" s="389"/>
      <c r="C13" s="389"/>
      <c r="D13" s="389"/>
      <c r="E13" s="389"/>
      <c r="F13" s="389"/>
      <c r="G13" s="389"/>
      <c r="H13" s="389"/>
      <c r="I13" s="389"/>
      <c r="J13" s="389"/>
      <c r="K13" s="389"/>
      <c r="L13" s="389"/>
    </row>
    <row r="14" spans="1:12" ht="15.75">
      <c r="A14" s="389"/>
      <c r="B14" s="734" t="s">
        <v>560</v>
      </c>
      <c r="C14" s="735"/>
      <c r="D14" s="736" t="s">
        <v>577</v>
      </c>
      <c r="E14" s="733"/>
      <c r="F14" s="734" t="s">
        <v>561</v>
      </c>
      <c r="G14" s="735"/>
      <c r="H14" s="736" t="s">
        <v>582</v>
      </c>
      <c r="I14" s="733"/>
      <c r="J14" s="389"/>
      <c r="K14" s="389"/>
      <c r="L14" s="389"/>
    </row>
    <row r="15" spans="1:12" ht="15.75">
      <c r="A15" s="389"/>
      <c r="B15" s="734" t="s">
        <v>562</v>
      </c>
      <c r="C15" s="735"/>
      <c r="D15" s="736" t="s">
        <v>578</v>
      </c>
      <c r="E15" s="733"/>
      <c r="F15" s="734" t="s">
        <v>563</v>
      </c>
      <c r="G15" s="735"/>
      <c r="H15" s="736" t="s">
        <v>583</v>
      </c>
      <c r="I15" s="733"/>
      <c r="J15" s="389"/>
      <c r="K15" s="389"/>
      <c r="L15" s="389"/>
    </row>
    <row r="16" spans="1:12" ht="15.75">
      <c r="A16" s="389"/>
      <c r="B16" s="734" t="s">
        <v>564</v>
      </c>
      <c r="C16" s="735"/>
      <c r="D16" s="736" t="s">
        <v>579</v>
      </c>
      <c r="E16" s="733"/>
      <c r="F16" s="734" t="s">
        <v>565</v>
      </c>
      <c r="G16" s="735"/>
      <c r="H16" s="736" t="s">
        <v>584</v>
      </c>
      <c r="I16" s="733"/>
      <c r="J16" s="389"/>
      <c r="K16" s="389"/>
      <c r="L16" s="389"/>
    </row>
    <row r="17" spans="1:12" ht="15.75">
      <c r="A17" s="389"/>
      <c r="B17" s="734" t="s">
        <v>566</v>
      </c>
      <c r="C17" s="735"/>
      <c r="D17" s="736" t="s">
        <v>580</v>
      </c>
      <c r="E17" s="733"/>
      <c r="F17" s="734" t="s">
        <v>567</v>
      </c>
      <c r="G17" s="735"/>
      <c r="H17" s="736" t="s">
        <v>585</v>
      </c>
      <c r="I17" s="733"/>
      <c r="J17" s="389"/>
      <c r="K17" s="389"/>
      <c r="L17" s="389"/>
    </row>
    <row r="18" spans="1:12" ht="15.75">
      <c r="A18" s="389"/>
      <c r="B18" s="734" t="s">
        <v>568</v>
      </c>
      <c r="C18" s="735"/>
      <c r="D18" s="736" t="s">
        <v>581</v>
      </c>
      <c r="E18" s="733"/>
      <c r="F18" s="734" t="s">
        <v>569</v>
      </c>
      <c r="G18" s="735"/>
      <c r="H18" s="736" t="s">
        <v>586</v>
      </c>
      <c r="I18" s="733"/>
      <c r="J18" s="389"/>
      <c r="K18" s="389"/>
      <c r="L18" s="389"/>
    </row>
    <row r="19" spans="1:12" ht="27" customHeight="1">
      <c r="A19" s="389"/>
      <c r="B19" s="389"/>
      <c r="C19" s="389"/>
      <c r="D19" s="389"/>
      <c r="E19" s="389"/>
      <c r="F19" s="389"/>
      <c r="G19" s="389"/>
      <c r="H19" s="389"/>
      <c r="I19" s="389"/>
      <c r="J19" s="389"/>
      <c r="K19" s="389"/>
      <c r="L19" s="389"/>
    </row>
    <row r="20" spans="1:12" ht="19.5">
      <c r="A20" s="413" t="s">
        <v>570</v>
      </c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</row>
    <row r="22" spans="1:12" ht="19.5">
      <c r="A22" s="389"/>
      <c r="B22" s="413" t="s">
        <v>587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89"/>
    </row>
    <row r="23" spans="1:12" ht="15.75">
      <c r="A23" s="389"/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</row>
    <row r="24" spans="1:12" ht="15.75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</row>
    <row r="25" spans="1:12" ht="15.75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15.75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</row>
    <row r="29" spans="1:12" ht="15.75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2" ht="15.75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2" ht="15.75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</row>
    <row r="32" spans="1:12" ht="15.75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7" workbookViewId="0">
      <selection activeCell="J26" sqref="J26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391"/>
      <c r="B1" s="392"/>
      <c r="C1" s="392"/>
      <c r="D1" s="392"/>
      <c r="E1" s="392"/>
      <c r="F1" s="393"/>
    </row>
    <row r="2" spans="1:6" ht="26.1" customHeight="1">
      <c r="A2" s="394" t="s">
        <v>252</v>
      </c>
      <c r="B2" s="395"/>
      <c r="C2" s="395"/>
      <c r="D2" s="395"/>
      <c r="E2" s="395"/>
      <c r="F2" s="396"/>
    </row>
    <row r="3" spans="1:6" ht="18.95" customHeight="1">
      <c r="A3" s="418" t="s">
        <v>588</v>
      </c>
      <c r="B3" s="395"/>
      <c r="C3" s="395"/>
      <c r="D3" s="395"/>
      <c r="E3" s="395"/>
      <c r="F3" s="396"/>
    </row>
    <row r="4" spans="1:6" ht="18.95" customHeight="1">
      <c r="A4" s="729" t="s">
        <v>545</v>
      </c>
      <c r="B4" s="730"/>
      <c r="C4" s="730"/>
      <c r="D4" s="730"/>
      <c r="E4" s="730"/>
      <c r="F4" s="731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368" t="s">
        <v>401</v>
      </c>
      <c r="B6" s="712" t="str">
        <f>'Performance Data Sheet'!C17</f>
        <v>M453TCQL11F-C</v>
      </c>
      <c r="C6" s="713"/>
      <c r="D6" s="714"/>
      <c r="E6" s="368" t="s">
        <v>402</v>
      </c>
      <c r="F6" s="369">
        <v>271</v>
      </c>
    </row>
    <row r="7" spans="1:6" ht="18.95" customHeight="1">
      <c r="A7" s="368" t="s">
        <v>403</v>
      </c>
      <c r="B7" s="369" t="str">
        <f>'Performance Data Sheet'!F14</f>
        <v>TEAAC</v>
      </c>
      <c r="C7" s="368" t="s">
        <v>404</v>
      </c>
      <c r="D7" s="369" t="s">
        <v>426</v>
      </c>
      <c r="E7" s="368" t="s">
        <v>405</v>
      </c>
      <c r="F7" s="369" t="str">
        <f>'Performance Data Sheet'!C14</f>
        <v>6813USS</v>
      </c>
    </row>
    <row r="8" spans="1:6" ht="18.95" customHeight="1">
      <c r="A8" s="368" t="s">
        <v>406</v>
      </c>
      <c r="B8" s="369">
        <v>2</v>
      </c>
      <c r="C8" s="368" t="s">
        <v>407</v>
      </c>
      <c r="D8" s="369" t="s">
        <v>408</v>
      </c>
      <c r="E8" s="368" t="s">
        <v>409</v>
      </c>
      <c r="F8" s="369" t="str">
        <f>'Performance Data Sheet'!M15</f>
        <v>F</v>
      </c>
    </row>
    <row r="9" spans="1:6" ht="18.95" customHeight="1">
      <c r="A9" s="368" t="s">
        <v>410</v>
      </c>
      <c r="B9" s="369">
        <v>2250</v>
      </c>
      <c r="C9" s="368" t="s">
        <v>411</v>
      </c>
      <c r="D9" s="369" t="s">
        <v>427</v>
      </c>
      <c r="E9" s="368" t="s">
        <v>2</v>
      </c>
      <c r="F9" s="370">
        <f>'Performance Data Sheet'!K45</f>
        <v>41934</v>
      </c>
    </row>
    <row r="10" spans="1:6" ht="18.95" customHeight="1">
      <c r="A10" s="368" t="s">
        <v>412</v>
      </c>
      <c r="B10" s="369">
        <v>3581</v>
      </c>
      <c r="C10" s="368" t="s">
        <v>413</v>
      </c>
      <c r="D10" s="369" t="s">
        <v>414</v>
      </c>
      <c r="E10" s="368" t="s">
        <v>1</v>
      </c>
      <c r="F10" s="369" t="s">
        <v>364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65"/>
      <c r="B12" s="371" t="s">
        <v>415</v>
      </c>
      <c r="C12" s="372" t="s">
        <v>428</v>
      </c>
      <c r="D12" s="371" t="s">
        <v>416</v>
      </c>
      <c r="E12" s="372" t="s">
        <v>414</v>
      </c>
      <c r="F12" s="399"/>
    </row>
    <row r="13" spans="1:6" ht="18.95" customHeight="1">
      <c r="A13" s="365"/>
      <c r="B13" s="371" t="s">
        <v>417</v>
      </c>
      <c r="C13" s="373">
        <v>1</v>
      </c>
      <c r="D13" s="371" t="s">
        <v>418</v>
      </c>
      <c r="E13" s="372" t="s">
        <v>414</v>
      </c>
      <c r="F13" s="399"/>
    </row>
    <row r="14" spans="1:6" ht="18.95" customHeight="1">
      <c r="A14" s="365"/>
      <c r="B14" s="371" t="s">
        <v>419</v>
      </c>
      <c r="C14" s="373">
        <v>2.5</v>
      </c>
      <c r="D14" s="371" t="s">
        <v>420</v>
      </c>
      <c r="E14" s="372" t="s">
        <v>414</v>
      </c>
      <c r="F14" s="399"/>
    </row>
    <row r="15" spans="1:6" ht="18.95" customHeight="1">
      <c r="A15" s="365"/>
      <c r="B15" s="371" t="s">
        <v>421</v>
      </c>
      <c r="C15" s="372" t="s">
        <v>699</v>
      </c>
      <c r="D15" s="366"/>
      <c r="E15" s="366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8" ht="18.95" customHeight="1">
      <c r="A17" s="397"/>
      <c r="B17" s="398"/>
      <c r="C17" s="398"/>
      <c r="D17" s="398"/>
      <c r="E17" s="398"/>
      <c r="F17" s="399"/>
    </row>
    <row r="18" spans="1:8" ht="18.95" customHeight="1">
      <c r="A18" s="397"/>
      <c r="B18" s="398"/>
      <c r="C18" s="398"/>
      <c r="D18" s="398"/>
      <c r="E18" s="398"/>
      <c r="F18" s="399"/>
    </row>
    <row r="19" spans="1:8" ht="18.95" customHeight="1">
      <c r="A19" s="397"/>
      <c r="B19" s="398"/>
      <c r="C19" s="398"/>
      <c r="D19" s="398"/>
      <c r="E19" s="398"/>
      <c r="F19" s="399"/>
    </row>
    <row r="20" spans="1:8" ht="18.95" customHeight="1">
      <c r="A20" s="397"/>
      <c r="B20" s="398"/>
      <c r="C20" s="398"/>
      <c r="D20" s="398"/>
      <c r="E20" s="398"/>
      <c r="F20" s="399"/>
    </row>
    <row r="21" spans="1:8" ht="18.95" customHeight="1">
      <c r="A21" s="397"/>
      <c r="B21" s="398"/>
      <c r="C21" s="398"/>
      <c r="D21" s="398"/>
      <c r="E21" s="398"/>
      <c r="F21" s="399"/>
    </row>
    <row r="22" spans="1:8" ht="18.95" customHeight="1">
      <c r="A22" s="397"/>
      <c r="B22" s="398"/>
      <c r="C22" s="398"/>
      <c r="D22" s="398"/>
      <c r="E22" s="398"/>
      <c r="F22" s="399"/>
    </row>
    <row r="23" spans="1:8" ht="18.95" customHeight="1">
      <c r="A23" s="397"/>
      <c r="B23" s="398"/>
      <c r="C23" s="398"/>
      <c r="D23" s="398"/>
      <c r="E23" s="398"/>
      <c r="F23" s="399"/>
    </row>
    <row r="24" spans="1:8" ht="18.95" customHeight="1">
      <c r="A24" s="397"/>
      <c r="B24" s="398"/>
      <c r="C24" s="398"/>
      <c r="D24" s="398"/>
      <c r="E24" s="398"/>
      <c r="F24" s="399"/>
      <c r="H24" s="419"/>
    </row>
    <row r="25" spans="1:8" ht="18.95" customHeight="1">
      <c r="A25" s="397"/>
      <c r="B25" s="398"/>
      <c r="C25" s="398"/>
      <c r="D25" s="398"/>
      <c r="E25" s="398"/>
      <c r="F25" s="399"/>
    </row>
    <row r="26" spans="1:8" ht="18.95" customHeight="1">
      <c r="A26" s="397"/>
      <c r="B26" s="398"/>
      <c r="C26" s="398"/>
      <c r="D26" s="398"/>
      <c r="E26" s="398"/>
      <c r="F26" s="399"/>
    </row>
    <row r="27" spans="1:8" ht="18.95" customHeight="1">
      <c r="A27" s="397"/>
      <c r="B27" s="398"/>
      <c r="C27" s="398"/>
      <c r="D27" s="398"/>
      <c r="E27" s="398"/>
      <c r="F27" s="399"/>
    </row>
    <row r="28" spans="1:8" ht="18.95" customHeight="1">
      <c r="A28" s="397"/>
      <c r="B28" s="398"/>
      <c r="C28" s="398"/>
      <c r="D28" s="398"/>
      <c r="E28" s="398"/>
      <c r="F28" s="399"/>
    </row>
    <row r="29" spans="1:8" ht="18.95" customHeight="1">
      <c r="A29" s="397"/>
      <c r="B29" s="398"/>
      <c r="C29" s="398"/>
      <c r="D29" s="398"/>
      <c r="E29" s="398"/>
      <c r="F29" s="399"/>
    </row>
    <row r="30" spans="1:8" ht="18.95" customHeight="1">
      <c r="A30" s="397"/>
      <c r="B30" s="398"/>
      <c r="C30" s="398"/>
      <c r="D30" s="398"/>
      <c r="E30" s="398"/>
      <c r="F30" s="399"/>
    </row>
    <row r="31" spans="1:8" ht="18.95" customHeight="1">
      <c r="A31" s="397"/>
      <c r="B31" s="398"/>
      <c r="C31" s="398"/>
      <c r="D31" s="398"/>
      <c r="E31" s="398"/>
      <c r="F31" s="399"/>
    </row>
    <row r="32" spans="1:8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374" t="s">
        <v>422</v>
      </c>
      <c r="B39" s="375"/>
      <c r="C39" s="375"/>
      <c r="D39" s="366"/>
      <c r="E39" s="371" t="s">
        <v>423</v>
      </c>
      <c r="F39" s="376" t="s">
        <v>364</v>
      </c>
    </row>
    <row r="40" spans="1:6" ht="18.95" customHeight="1">
      <c r="A40" s="365"/>
      <c r="B40" s="375"/>
      <c r="C40" s="375"/>
      <c r="D40" s="366"/>
      <c r="E40" s="366"/>
      <c r="F40" s="367"/>
    </row>
    <row r="41" spans="1:6" ht="18.95" customHeight="1">
      <c r="A41" s="365"/>
      <c r="B41" s="375"/>
      <c r="C41" s="375"/>
      <c r="D41" s="366"/>
      <c r="E41" s="366"/>
      <c r="F41" s="367"/>
    </row>
    <row r="42" spans="1:6" ht="18.95" customHeight="1">
      <c r="A42" s="365"/>
      <c r="B42" s="366"/>
      <c r="C42" s="366"/>
      <c r="D42" s="366"/>
      <c r="E42" s="366"/>
      <c r="F42" s="367"/>
    </row>
    <row r="43" spans="1:6" ht="18.95" customHeight="1">
      <c r="A43" s="377"/>
      <c r="B43" s="375"/>
      <c r="C43" s="378" t="s">
        <v>424</v>
      </c>
      <c r="D43" s="379" t="str">
        <f>'Performance Data Sheet'!K43</f>
        <v>Mario L</v>
      </c>
      <c r="E43" s="378" t="s">
        <v>425</v>
      </c>
      <c r="F43" s="37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0" t="s">
        <v>429</v>
      </c>
      <c r="B53" s="420" t="s">
        <v>142</v>
      </c>
      <c r="C53" s="420" t="s">
        <v>120</v>
      </c>
      <c r="D53" s="420" t="s">
        <v>135</v>
      </c>
      <c r="E53" s="420" t="s">
        <v>5</v>
      </c>
      <c r="F53" s="421" t="s">
        <v>589</v>
      </c>
    </row>
    <row r="54" spans="1:6" ht="15" customHeight="1">
      <c r="A54" s="422">
        <v>0</v>
      </c>
      <c r="B54" s="423"/>
      <c r="C54" s="424"/>
      <c r="D54" s="424">
        <v>45.458427400396324</v>
      </c>
      <c r="E54" s="424">
        <v>100</v>
      </c>
      <c r="F54" s="425">
        <v>0.66320000000000001</v>
      </c>
    </row>
    <row r="55" spans="1:6" ht="15" customHeight="1">
      <c r="A55" s="426">
        <v>25</v>
      </c>
      <c r="B55" s="427">
        <v>90.914688110351563</v>
      </c>
      <c r="C55" s="428">
        <v>79.092697143554687</v>
      </c>
      <c r="D55" s="428">
        <v>84.252578735351563</v>
      </c>
      <c r="E55" s="428">
        <v>84.65518592220586</v>
      </c>
      <c r="F55" s="429">
        <v>7.6944254495429956</v>
      </c>
    </row>
    <row r="56" spans="1:6" ht="15" customHeight="1">
      <c r="A56" s="426">
        <v>50</v>
      </c>
      <c r="B56" s="427">
        <v>94.127708435058594</v>
      </c>
      <c r="C56" s="428">
        <v>90.472007751464844</v>
      </c>
      <c r="D56" s="428">
        <v>142.28262329101562</v>
      </c>
      <c r="E56" s="428">
        <v>68.671508774615162</v>
      </c>
      <c r="F56" s="429">
        <v>14.863556183223082</v>
      </c>
    </row>
    <row r="57" spans="1:6">
      <c r="A57" s="426">
        <v>75</v>
      </c>
      <c r="B57" s="427">
        <v>95.070632934570313</v>
      </c>
      <c r="C57" s="428">
        <v>93.013877868652344</v>
      </c>
      <c r="D57" s="428">
        <v>205.53262329101562</v>
      </c>
      <c r="E57" s="428">
        <v>52.427667682222534</v>
      </c>
      <c r="F57" s="429">
        <v>22.074208581316839</v>
      </c>
    </row>
    <row r="58" spans="1:6">
      <c r="A58" s="426">
        <v>100</v>
      </c>
      <c r="B58" s="427">
        <v>95.403205871582031</v>
      </c>
      <c r="C58" s="428">
        <v>93.645011901855469</v>
      </c>
      <c r="D58" s="428">
        <v>271.24765014648437</v>
      </c>
      <c r="E58" s="428">
        <v>35.766646662252732</v>
      </c>
      <c r="F58" s="429">
        <v>29.329674857790781</v>
      </c>
    </row>
    <row r="59" spans="1:6" ht="13.5" thickBot="1">
      <c r="A59" s="430">
        <v>125</v>
      </c>
      <c r="B59" s="431">
        <v>95.481887817382812</v>
      </c>
      <c r="C59" s="432">
        <v>93.573760986328125</v>
      </c>
      <c r="D59" s="432">
        <v>339.03811645507812</v>
      </c>
      <c r="E59" s="432">
        <v>19.411747222339759</v>
      </c>
      <c r="F59" s="433">
        <v>36.631881886704946</v>
      </c>
    </row>
    <row r="60" spans="1:6">
      <c r="A60" s="434"/>
      <c r="B60" s="435"/>
      <c r="C60" s="435"/>
    </row>
    <row r="61" spans="1:6">
      <c r="A61" s="434"/>
      <c r="B61" s="435"/>
      <c r="C61" s="435"/>
    </row>
    <row r="62" spans="1:6">
      <c r="A62" s="434"/>
      <c r="B62" s="435"/>
      <c r="C62" s="435"/>
    </row>
    <row r="63" spans="1:6">
      <c r="A63" s="434"/>
      <c r="B63" s="435"/>
      <c r="C63" s="435"/>
    </row>
    <row r="64" spans="1:6">
      <c r="A64" s="434"/>
      <c r="B64" s="435"/>
      <c r="C64" s="435"/>
    </row>
    <row r="65" spans="1:3">
      <c r="A65" s="434"/>
      <c r="B65" s="435"/>
      <c r="C65" s="435"/>
    </row>
    <row r="66" spans="1:3">
      <c r="A66" s="434"/>
      <c r="B66" s="435"/>
      <c r="C66" s="435"/>
    </row>
    <row r="67" spans="1:3">
      <c r="A67" s="436"/>
      <c r="B67" s="435"/>
      <c r="C67" s="435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/>
  <dimension ref="A1:N121"/>
  <sheetViews>
    <sheetView showGridLines="0" topLeftCell="A4" zoomScale="90" workbookViewId="0">
      <selection activeCell="Q31" sqref="Q31"/>
    </sheetView>
  </sheetViews>
  <sheetFormatPr defaultColWidth="12.5703125" defaultRowHeight="15.75"/>
  <cols>
    <col min="1" max="13" width="7" style="444" customWidth="1"/>
    <col min="14" max="14" width="7.140625" style="444" customWidth="1"/>
    <col min="15" max="16384" width="12.5703125" style="444"/>
  </cols>
  <sheetData>
    <row r="1" spans="1:14" ht="17.100000000000001" customHeight="1">
      <c r="A1" s="437" t="s">
        <v>252</v>
      </c>
      <c r="B1" s="438"/>
      <c r="C1" s="438"/>
      <c r="D1" s="438"/>
      <c r="E1" s="438"/>
      <c r="F1" s="438"/>
      <c r="G1" s="438"/>
      <c r="H1" s="438"/>
      <c r="I1" s="438"/>
      <c r="J1" s="439" t="s">
        <v>590</v>
      </c>
      <c r="K1" s="440"/>
      <c r="L1" s="441" t="s">
        <v>591</v>
      </c>
      <c r="M1" s="442"/>
      <c r="N1" s="443"/>
    </row>
    <row r="2" spans="1:14" ht="17.100000000000001" customHeight="1">
      <c r="A2" s="445" t="s">
        <v>592</v>
      </c>
      <c r="B2" s="446"/>
      <c r="C2" s="446"/>
      <c r="D2" s="446"/>
      <c r="E2" s="446"/>
      <c r="F2" s="446"/>
      <c r="G2" s="446"/>
      <c r="H2" s="446"/>
      <c r="I2" s="446"/>
      <c r="J2" s="447" t="s">
        <v>593</v>
      </c>
      <c r="K2" s="448"/>
      <c r="L2" s="449" t="s">
        <v>594</v>
      </c>
      <c r="M2" s="450"/>
      <c r="N2" s="443"/>
    </row>
    <row r="3" spans="1:14" ht="15.95" customHeight="1">
      <c r="A3" s="451"/>
      <c r="B3" s="452"/>
      <c r="C3" s="452"/>
      <c r="D3" s="452"/>
      <c r="E3" s="452"/>
      <c r="F3" s="452"/>
      <c r="G3" s="452"/>
      <c r="H3" s="452"/>
      <c r="I3" s="452"/>
      <c r="J3" s="447" t="s">
        <v>595</v>
      </c>
      <c r="K3" s="448"/>
      <c r="L3" s="453" t="s">
        <v>596</v>
      </c>
      <c r="M3" s="450"/>
      <c r="N3" s="443"/>
    </row>
    <row r="4" spans="1:14" ht="15.95" customHeight="1">
      <c r="A4" s="454"/>
      <c r="B4" s="452"/>
      <c r="C4" s="452"/>
      <c r="D4" s="452"/>
      <c r="E4" s="452"/>
      <c r="F4" s="452"/>
      <c r="G4" s="452"/>
      <c r="H4" s="452"/>
      <c r="I4" s="452"/>
      <c r="J4" s="447" t="s">
        <v>597</v>
      </c>
      <c r="K4" s="448"/>
      <c r="L4" s="455" t="s">
        <v>598</v>
      </c>
      <c r="M4" s="450"/>
      <c r="N4" s="443"/>
    </row>
    <row r="5" spans="1:14" ht="15.95" customHeight="1">
      <c r="A5" s="451"/>
      <c r="B5" s="452"/>
      <c r="C5" s="452"/>
      <c r="D5" s="452"/>
      <c r="E5" s="452"/>
      <c r="F5" s="452"/>
      <c r="G5" s="452"/>
      <c r="H5" s="452"/>
      <c r="I5" s="452"/>
      <c r="J5" s="447" t="s">
        <v>599</v>
      </c>
      <c r="K5" s="448"/>
      <c r="L5" s="449">
        <v>1</v>
      </c>
      <c r="M5" s="450"/>
      <c r="N5" s="443"/>
    </row>
    <row r="6" spans="1:14" ht="15.95" customHeight="1">
      <c r="A6" s="456" t="s">
        <v>600</v>
      </c>
      <c r="B6" s="452"/>
      <c r="C6" s="452"/>
      <c r="D6" s="452"/>
      <c r="E6" s="452"/>
      <c r="F6" s="452"/>
      <c r="G6" s="452"/>
      <c r="H6" s="452"/>
      <c r="I6" s="452"/>
      <c r="J6" s="447" t="s">
        <v>601</v>
      </c>
      <c r="K6" s="448"/>
      <c r="L6" s="457" t="s">
        <v>602</v>
      </c>
      <c r="M6" s="450"/>
      <c r="N6" s="443"/>
    </row>
    <row r="7" spans="1:14" ht="15.95" customHeight="1" thickBot="1">
      <c r="A7" s="458" t="s">
        <v>603</v>
      </c>
      <c r="B7" s="459"/>
      <c r="C7" s="459"/>
      <c r="D7" s="459"/>
      <c r="E7" s="459"/>
      <c r="F7" s="459"/>
      <c r="G7" s="459"/>
      <c r="H7" s="459"/>
      <c r="I7" s="459"/>
      <c r="J7" s="460" t="s">
        <v>604</v>
      </c>
      <c r="K7" s="461"/>
      <c r="L7" s="462" t="s">
        <v>605</v>
      </c>
      <c r="M7" s="463"/>
      <c r="N7" s="443"/>
    </row>
    <row r="8" spans="1:14" ht="15.95" customHeight="1">
      <c r="A8" s="464"/>
      <c r="B8" s="452"/>
      <c r="C8" s="452"/>
      <c r="D8" s="452"/>
      <c r="E8" s="452"/>
      <c r="F8" s="452"/>
      <c r="G8" s="452"/>
      <c r="H8" s="452"/>
      <c r="I8" s="452"/>
      <c r="J8" s="452"/>
      <c r="K8" s="465"/>
      <c r="L8" s="466"/>
      <c r="M8" s="467"/>
      <c r="N8" s="452"/>
    </row>
    <row r="9" spans="1:14" ht="12" customHeight="1">
      <c r="A9" s="468"/>
      <c r="B9" s="469" t="s">
        <v>606</v>
      </c>
      <c r="C9" s="470"/>
      <c r="D9" s="471"/>
      <c r="E9" s="471"/>
      <c r="F9" s="471"/>
      <c r="G9" s="471"/>
      <c r="H9" s="471"/>
      <c r="I9" s="471"/>
      <c r="J9" s="471"/>
      <c r="K9" s="472"/>
      <c r="L9" s="473"/>
      <c r="M9" s="471"/>
      <c r="N9" s="452"/>
    </row>
    <row r="10" spans="1:14" ht="12" customHeight="1">
      <c r="A10" s="468"/>
      <c r="B10" s="469" t="s">
        <v>607</v>
      </c>
      <c r="C10" s="474"/>
      <c r="D10" s="473"/>
      <c r="E10" s="473"/>
      <c r="F10" s="473"/>
      <c r="G10" s="473"/>
      <c r="H10" s="473"/>
      <c r="I10" s="473"/>
      <c r="J10" s="473"/>
      <c r="K10" s="473"/>
      <c r="L10" s="473"/>
      <c r="M10" s="473"/>
      <c r="N10" s="466"/>
    </row>
    <row r="11" spans="1:14" ht="16.5" thickBot="1">
      <c r="A11" s="475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</row>
    <row r="12" spans="1:14" ht="20.100000000000001" customHeight="1" thickBot="1">
      <c r="A12" s="476" t="s">
        <v>608</v>
      </c>
      <c r="B12" s="477"/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43"/>
    </row>
    <row r="13" spans="1:14" ht="12.95" customHeight="1" thickTop="1">
      <c r="A13" s="479"/>
      <c r="B13" s="480" t="s">
        <v>609</v>
      </c>
      <c r="C13" s="481">
        <v>2250</v>
      </c>
      <c r="D13" s="473"/>
      <c r="E13" s="480" t="s">
        <v>610</v>
      </c>
      <c r="F13" s="481">
        <v>4000</v>
      </c>
      <c r="G13" s="473"/>
      <c r="H13" s="480" t="s">
        <v>611</v>
      </c>
      <c r="I13" s="481" t="s">
        <v>693</v>
      </c>
      <c r="J13" s="473"/>
      <c r="K13" s="473"/>
      <c r="L13" s="480" t="s">
        <v>612</v>
      </c>
      <c r="M13" s="482">
        <v>3600</v>
      </c>
      <c r="N13" s="443"/>
    </row>
    <row r="14" spans="1:14" ht="12.95" customHeight="1">
      <c r="A14" s="479"/>
      <c r="B14" s="480" t="s">
        <v>613</v>
      </c>
      <c r="C14" s="481" t="s">
        <v>177</v>
      </c>
      <c r="D14" s="473"/>
      <c r="E14" s="480" t="s">
        <v>614</v>
      </c>
      <c r="F14" s="481" t="s">
        <v>698</v>
      </c>
      <c r="G14" s="473"/>
      <c r="H14" s="480" t="s">
        <v>615</v>
      </c>
      <c r="I14" s="481">
        <v>271</v>
      </c>
      <c r="J14" s="473"/>
      <c r="K14" s="473"/>
      <c r="L14" s="480" t="s">
        <v>412</v>
      </c>
      <c r="M14" s="482">
        <v>3581</v>
      </c>
      <c r="N14" s="443"/>
    </row>
    <row r="15" spans="1:14" ht="12.95" customHeight="1">
      <c r="A15" s="479"/>
      <c r="B15" s="480" t="s">
        <v>616</v>
      </c>
      <c r="C15" s="481" t="s">
        <v>176</v>
      </c>
      <c r="D15" s="473"/>
      <c r="E15" s="480" t="s">
        <v>617</v>
      </c>
      <c r="F15" s="481">
        <v>1.1499999999999999</v>
      </c>
      <c r="G15" s="473"/>
      <c r="H15" s="483" t="s">
        <v>618</v>
      </c>
      <c r="I15" s="481" t="s">
        <v>174</v>
      </c>
      <c r="J15" s="473"/>
      <c r="K15" s="473"/>
      <c r="L15" s="480" t="s">
        <v>619</v>
      </c>
      <c r="M15" s="482" t="s">
        <v>347</v>
      </c>
      <c r="N15" s="443"/>
    </row>
    <row r="16" spans="1:14" ht="12.95" customHeight="1">
      <c r="A16" s="479"/>
      <c r="B16" s="480" t="s">
        <v>620</v>
      </c>
      <c r="C16" s="481" t="s">
        <v>692</v>
      </c>
      <c r="D16" s="473"/>
      <c r="E16" s="480" t="s">
        <v>621</v>
      </c>
      <c r="F16" s="481" t="s">
        <v>466</v>
      </c>
      <c r="G16" s="473"/>
      <c r="H16" s="484" t="s">
        <v>622</v>
      </c>
      <c r="I16" s="485" t="s">
        <v>347</v>
      </c>
      <c r="J16" s="473"/>
      <c r="K16" s="473"/>
      <c r="L16" s="480" t="s">
        <v>623</v>
      </c>
      <c r="M16" s="482" t="s">
        <v>624</v>
      </c>
      <c r="N16" s="443"/>
    </row>
    <row r="17" spans="1:14" ht="12.95" customHeight="1">
      <c r="A17" s="479"/>
      <c r="B17" s="480" t="s">
        <v>625</v>
      </c>
      <c r="C17" s="542" t="s">
        <v>372</v>
      </c>
      <c r="D17" s="473"/>
      <c r="E17" s="480"/>
      <c r="F17" s="486"/>
      <c r="G17" s="473"/>
      <c r="H17" s="480" t="s">
        <v>626</v>
      </c>
      <c r="I17" s="485"/>
      <c r="J17" s="473"/>
      <c r="K17" s="473"/>
      <c r="L17" s="480"/>
      <c r="M17" s="487"/>
      <c r="N17" s="443"/>
    </row>
    <row r="18" spans="1:14" ht="12.95" customHeight="1" thickBot="1">
      <c r="A18" s="488"/>
      <c r="B18" s="489" t="s">
        <v>627</v>
      </c>
      <c r="C18" s="490" t="s">
        <v>174</v>
      </c>
      <c r="D18" s="491"/>
      <c r="E18" s="492" t="s">
        <v>628</v>
      </c>
      <c r="F18" s="490" t="s">
        <v>174</v>
      </c>
      <c r="G18" s="493"/>
      <c r="H18" s="492" t="s">
        <v>629</v>
      </c>
      <c r="I18" s="490" t="s">
        <v>174</v>
      </c>
      <c r="J18" s="491"/>
      <c r="K18" s="491"/>
      <c r="L18" s="491"/>
      <c r="M18" s="494"/>
      <c r="N18" s="443"/>
    </row>
    <row r="19" spans="1:14" ht="16.5" thickBot="1">
      <c r="A19" s="443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  <c r="M19" s="443"/>
      <c r="N19" s="443"/>
    </row>
    <row r="20" spans="1:14" ht="20.100000000000001" customHeight="1" thickBot="1">
      <c r="A20" s="476"/>
      <c r="B20" s="477"/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8"/>
    </row>
    <row r="21" spans="1:14" ht="15.95" customHeight="1" thickTop="1">
      <c r="A21" s="495" t="s">
        <v>630</v>
      </c>
      <c r="B21" s="496"/>
      <c r="C21" s="466"/>
      <c r="D21" s="497"/>
      <c r="E21" s="498" t="s">
        <v>631</v>
      </c>
      <c r="F21" s="499"/>
      <c r="G21" s="499"/>
      <c r="H21" s="500"/>
      <c r="I21" s="501" t="s">
        <v>632</v>
      </c>
      <c r="J21" s="502"/>
      <c r="K21" s="502"/>
      <c r="L21" s="466"/>
      <c r="M21" s="503"/>
    </row>
    <row r="22" spans="1:14" ht="15.95" customHeight="1">
      <c r="A22" s="504"/>
      <c r="B22" s="473"/>
      <c r="C22" s="505" t="s">
        <v>633</v>
      </c>
      <c r="D22" s="506">
        <v>1738</v>
      </c>
      <c r="E22" s="480"/>
      <c r="G22" s="484" t="s">
        <v>634</v>
      </c>
      <c r="H22" s="507">
        <v>3300</v>
      </c>
      <c r="I22" s="505"/>
      <c r="J22" s="473"/>
      <c r="K22" s="505" t="s">
        <v>635</v>
      </c>
      <c r="L22" s="737" t="s">
        <v>701</v>
      </c>
      <c r="M22" s="738"/>
    </row>
    <row r="23" spans="1:14" ht="15.95" customHeight="1">
      <c r="A23" s="504"/>
      <c r="B23" s="505"/>
      <c r="C23" s="508"/>
      <c r="D23" s="509"/>
      <c r="E23" s="480"/>
      <c r="G23" s="480" t="s">
        <v>636</v>
      </c>
      <c r="H23" s="506">
        <v>100</v>
      </c>
      <c r="I23" s="473"/>
      <c r="J23" s="473"/>
      <c r="K23" s="480" t="s">
        <v>637</v>
      </c>
      <c r="L23" s="737" t="s">
        <v>701</v>
      </c>
      <c r="M23" s="738"/>
    </row>
    <row r="24" spans="1:14" ht="15.95" customHeight="1">
      <c r="A24" s="479"/>
      <c r="B24" s="480"/>
      <c r="C24" s="473"/>
      <c r="D24" s="509"/>
      <c r="E24" s="480"/>
      <c r="G24" s="484" t="s">
        <v>638</v>
      </c>
      <c r="H24" s="506">
        <v>250</v>
      </c>
      <c r="I24" s="473"/>
      <c r="J24" s="480"/>
      <c r="K24" s="473"/>
      <c r="L24" s="473"/>
      <c r="M24" s="487"/>
    </row>
    <row r="25" spans="1:14" ht="15.95" customHeight="1" thickBot="1">
      <c r="A25" s="488"/>
      <c r="B25" s="489"/>
      <c r="C25" s="491"/>
      <c r="D25" s="510"/>
      <c r="E25" s="492"/>
      <c r="F25" s="492"/>
      <c r="G25" s="492"/>
      <c r="H25" s="511"/>
      <c r="I25" s="491"/>
      <c r="J25" s="492"/>
      <c r="K25" s="491"/>
      <c r="L25" s="491"/>
      <c r="M25" s="494"/>
    </row>
    <row r="26" spans="1:14" ht="18.95" customHeight="1" thickBot="1">
      <c r="A26" s="512"/>
      <c r="B26" s="512"/>
      <c r="C26" s="512"/>
      <c r="D26" s="513"/>
      <c r="E26" s="513"/>
      <c r="F26" s="513"/>
      <c r="G26" s="513"/>
      <c r="H26" s="513"/>
      <c r="I26" s="513"/>
      <c r="J26" s="513"/>
      <c r="K26" s="513"/>
      <c r="L26" s="513"/>
      <c r="M26" s="443"/>
      <c r="N26" s="443"/>
    </row>
    <row r="27" spans="1:14" ht="20.100000000000001" customHeight="1" thickBot="1">
      <c r="A27" s="514"/>
      <c r="B27" s="515"/>
      <c r="C27" s="515"/>
      <c r="D27" s="515"/>
      <c r="E27" s="515"/>
      <c r="F27" s="515"/>
      <c r="G27" s="516"/>
      <c r="H27" s="515"/>
      <c r="I27" s="515"/>
      <c r="J27" s="515"/>
      <c r="K27" s="515"/>
      <c r="L27" s="515"/>
      <c r="M27" s="517"/>
    </row>
    <row r="28" spans="1:14" ht="15.95" customHeight="1" thickTop="1">
      <c r="A28" s="518" t="s">
        <v>639</v>
      </c>
      <c r="B28" s="496"/>
      <c r="C28" s="466"/>
      <c r="D28" s="466"/>
      <c r="E28" s="499"/>
      <c r="F28" s="499"/>
      <c r="G28" s="519"/>
      <c r="H28" s="498" t="s">
        <v>640</v>
      </c>
      <c r="I28" s="499"/>
      <c r="J28" s="502"/>
      <c r="K28" s="498"/>
      <c r="L28" s="502"/>
      <c r="M28" s="503"/>
    </row>
    <row r="29" spans="1:14" ht="15.95" customHeight="1">
      <c r="A29" s="479"/>
      <c r="B29" s="505"/>
      <c r="C29" s="505" t="s">
        <v>641</v>
      </c>
      <c r="D29" s="520">
        <v>95.4</v>
      </c>
      <c r="E29" s="480"/>
      <c r="F29" s="480"/>
      <c r="G29" s="519"/>
      <c r="H29" s="484"/>
      <c r="I29" s="505"/>
      <c r="J29" s="505" t="s">
        <v>641</v>
      </c>
      <c r="K29" s="520">
        <v>93.6</v>
      </c>
      <c r="L29" s="473"/>
      <c r="M29" s="487"/>
    </row>
    <row r="30" spans="1:14" ht="15.95" customHeight="1">
      <c r="A30" s="521"/>
      <c r="B30" s="473"/>
      <c r="C30" s="505" t="s">
        <v>642</v>
      </c>
      <c r="D30" s="520">
        <v>95.1</v>
      </c>
      <c r="E30" s="480"/>
      <c r="F30" s="480"/>
      <c r="G30" s="519"/>
      <c r="H30" s="480"/>
      <c r="I30" s="473"/>
      <c r="J30" s="505" t="s">
        <v>642</v>
      </c>
      <c r="K30" s="520">
        <v>93</v>
      </c>
      <c r="L30" s="473"/>
      <c r="M30" s="487"/>
    </row>
    <row r="31" spans="1:14" ht="15.95" customHeight="1">
      <c r="A31" s="479"/>
      <c r="B31" s="480"/>
      <c r="C31" s="505" t="s">
        <v>643</v>
      </c>
      <c r="D31" s="520">
        <v>94.1</v>
      </c>
      <c r="E31" s="480"/>
      <c r="F31" s="480"/>
      <c r="G31" s="519"/>
      <c r="H31" s="480"/>
      <c r="I31" s="473"/>
      <c r="J31" s="505" t="s">
        <v>643</v>
      </c>
      <c r="K31" s="520">
        <v>90.5</v>
      </c>
      <c r="L31" s="480"/>
      <c r="M31" s="487"/>
    </row>
    <row r="32" spans="1:14" ht="15.95" customHeight="1" thickBot="1">
      <c r="A32" s="488"/>
      <c r="B32" s="489"/>
      <c r="C32" s="491"/>
      <c r="D32" s="491"/>
      <c r="E32" s="492"/>
      <c r="F32" s="492"/>
      <c r="G32" s="522"/>
      <c r="H32" s="492"/>
      <c r="I32" s="491"/>
      <c r="J32" s="492"/>
      <c r="K32" s="491"/>
      <c r="L32" s="492"/>
      <c r="M32" s="494"/>
    </row>
    <row r="33" spans="1:14" ht="20.100000000000001" customHeight="1" thickBot="1">
      <c r="A33" s="523"/>
      <c r="B33" s="523"/>
      <c r="C33" s="523"/>
      <c r="D33" s="523"/>
      <c r="E33" s="523"/>
      <c r="F33" s="523"/>
      <c r="G33" s="523"/>
      <c r="H33" s="523"/>
      <c r="I33" s="523"/>
      <c r="J33" s="523"/>
      <c r="K33" s="523"/>
      <c r="L33" s="523"/>
      <c r="M33" s="524"/>
      <c r="N33" s="524"/>
    </row>
    <row r="34" spans="1:14" ht="20.100000000000001" customHeight="1" thickBot="1">
      <c r="A34" s="525"/>
      <c r="B34" s="526"/>
      <c r="C34" s="526"/>
      <c r="D34" s="526"/>
      <c r="E34" s="526"/>
      <c r="F34" s="526"/>
      <c r="G34" s="526"/>
      <c r="H34" s="526"/>
      <c r="I34" s="526"/>
      <c r="J34" s="526"/>
      <c r="K34" s="526"/>
      <c r="L34" s="526"/>
      <c r="M34" s="527"/>
    </row>
    <row r="35" spans="1:14" ht="15.95" customHeight="1" thickTop="1">
      <c r="A35" s="528" t="s">
        <v>644</v>
      </c>
      <c r="B35" s="508"/>
      <c r="C35" s="508"/>
      <c r="D35" s="508"/>
      <c r="E35" s="508"/>
      <c r="F35" s="508"/>
      <c r="G35" s="508"/>
      <c r="H35" s="508"/>
      <c r="I35" s="508"/>
      <c r="J35" s="508"/>
      <c r="K35" s="508"/>
      <c r="L35" s="508"/>
      <c r="M35" s="529"/>
    </row>
    <row r="36" spans="1:14" ht="15.95" customHeight="1">
      <c r="A36" s="521" t="s">
        <v>645</v>
      </c>
      <c r="B36" s="508"/>
      <c r="C36" s="508"/>
      <c r="D36" s="508"/>
      <c r="E36" s="508"/>
      <c r="F36" s="508"/>
      <c r="G36" s="508"/>
      <c r="H36" s="508"/>
      <c r="I36" s="508"/>
      <c r="J36" s="508"/>
      <c r="K36" s="508"/>
      <c r="L36" s="508"/>
      <c r="M36" s="529"/>
    </row>
    <row r="37" spans="1:14" ht="15.95" customHeight="1">
      <c r="A37" s="530" t="s">
        <v>646</v>
      </c>
      <c r="B37" s="508"/>
      <c r="C37" s="508"/>
      <c r="D37" s="508"/>
      <c r="E37" s="531"/>
      <c r="F37" s="508"/>
      <c r="G37" s="508"/>
      <c r="H37" s="508"/>
      <c r="I37" s="508"/>
      <c r="J37" s="508"/>
      <c r="K37" s="508"/>
      <c r="L37" s="508"/>
      <c r="M37" s="529"/>
    </row>
    <row r="38" spans="1:14" ht="15.95" customHeight="1">
      <c r="A38" s="532" t="s">
        <v>647</v>
      </c>
      <c r="B38" s="508"/>
      <c r="C38" s="508"/>
      <c r="D38" s="508"/>
      <c r="E38" s="508"/>
      <c r="F38" s="508"/>
      <c r="G38" s="508"/>
      <c r="H38" s="508"/>
      <c r="I38" s="508"/>
      <c r="J38" s="508"/>
      <c r="K38" s="508"/>
      <c r="L38" s="508"/>
      <c r="M38" s="529"/>
    </row>
    <row r="39" spans="1:14" ht="15.95" customHeight="1">
      <c r="A39" s="533" t="s">
        <v>648</v>
      </c>
      <c r="B39" s="508"/>
      <c r="C39" s="508"/>
      <c r="D39" s="508"/>
      <c r="E39" s="508"/>
      <c r="F39" s="508"/>
      <c r="G39" s="508"/>
      <c r="H39" s="508"/>
      <c r="I39" s="508"/>
      <c r="J39" s="508"/>
      <c r="K39" s="508"/>
      <c r="L39" s="508"/>
      <c r="M39" s="529"/>
    </row>
    <row r="40" spans="1:14" ht="15.95" customHeight="1" thickBot="1">
      <c r="A40" s="534" t="s">
        <v>649</v>
      </c>
      <c r="B40" s="535"/>
      <c r="C40" s="535"/>
      <c r="D40" s="535"/>
      <c r="E40" s="535"/>
      <c r="F40" s="535"/>
      <c r="G40" s="535"/>
      <c r="H40" s="535"/>
      <c r="I40" s="535"/>
      <c r="J40" s="535"/>
      <c r="K40" s="535"/>
      <c r="L40" s="535"/>
      <c r="M40" s="536"/>
    </row>
    <row r="41" spans="1:14" ht="15.95" customHeight="1">
      <c r="A41" s="508"/>
      <c r="B41" s="508"/>
      <c r="C41" s="508"/>
      <c r="D41" s="508"/>
      <c r="E41" s="508"/>
      <c r="F41" s="508"/>
      <c r="G41" s="508"/>
      <c r="H41" s="508"/>
      <c r="I41" s="508"/>
      <c r="J41" s="508"/>
      <c r="K41" s="508"/>
      <c r="L41" s="508"/>
      <c r="M41" s="508"/>
    </row>
    <row r="42" spans="1:14" ht="15.95" customHeight="1"/>
    <row r="43" spans="1:14" ht="18">
      <c r="A43" s="537"/>
      <c r="B43" s="537"/>
      <c r="C43" s="537"/>
      <c r="D43" s="537"/>
      <c r="E43" s="537"/>
      <c r="F43" s="537"/>
      <c r="G43" s="537"/>
      <c r="H43" s="443"/>
      <c r="I43" s="443"/>
      <c r="J43" s="538" t="s">
        <v>650</v>
      </c>
      <c r="K43" s="739" t="s">
        <v>334</v>
      </c>
      <c r="L43" s="739"/>
      <c r="M43" s="739"/>
      <c r="N43" s="537"/>
    </row>
    <row r="44" spans="1:14" ht="7.5" customHeight="1">
      <c r="H44" s="443"/>
      <c r="I44" s="443"/>
      <c r="J44" s="443"/>
      <c r="K44" s="443"/>
      <c r="L44" s="443"/>
      <c r="M44" s="443"/>
    </row>
    <row r="45" spans="1:14" ht="16.5">
      <c r="H45" s="443"/>
      <c r="I45" s="443"/>
      <c r="J45" s="538" t="s">
        <v>651</v>
      </c>
      <c r="K45" s="740">
        <v>41934</v>
      </c>
      <c r="L45" s="740"/>
      <c r="M45" s="740"/>
    </row>
    <row r="60" spans="1:5">
      <c r="A60" s="444" t="s">
        <v>174</v>
      </c>
      <c r="B60" s="444" t="s">
        <v>701</v>
      </c>
      <c r="D60" s="444">
        <v>1</v>
      </c>
      <c r="E60" s="539" t="s">
        <v>174</v>
      </c>
    </row>
    <row r="61" spans="1:5">
      <c r="A61" s="444" t="s">
        <v>652</v>
      </c>
      <c r="B61" s="444" t="s">
        <v>653</v>
      </c>
      <c r="D61" s="444">
        <v>1.1499999999999999</v>
      </c>
      <c r="E61" s="539" t="s">
        <v>351</v>
      </c>
    </row>
    <row r="62" spans="1:5">
      <c r="A62" s="444" t="s">
        <v>654</v>
      </c>
      <c r="B62" s="444" t="s">
        <v>655</v>
      </c>
      <c r="E62" s="539" t="s">
        <v>303</v>
      </c>
    </row>
    <row r="63" spans="1:5">
      <c r="B63" s="444" t="s">
        <v>656</v>
      </c>
    </row>
    <row r="64" spans="1:5">
      <c r="B64" s="444" t="s">
        <v>657</v>
      </c>
    </row>
    <row r="65" spans="2:2">
      <c r="B65" s="444" t="s">
        <v>658</v>
      </c>
    </row>
    <row r="66" spans="2:2">
      <c r="B66" s="444" t="s">
        <v>659</v>
      </c>
    </row>
    <row r="67" spans="2:2">
      <c r="B67" s="444" t="s">
        <v>660</v>
      </c>
    </row>
    <row r="68" spans="2:2">
      <c r="B68" s="444" t="s">
        <v>661</v>
      </c>
    </row>
    <row r="69" spans="2:2">
      <c r="B69" s="444" t="s">
        <v>662</v>
      </c>
    </row>
    <row r="70" spans="2:2">
      <c r="B70" s="444" t="s">
        <v>663</v>
      </c>
    </row>
    <row r="71" spans="2:2">
      <c r="B71" s="444" t="s">
        <v>664</v>
      </c>
    </row>
    <row r="72" spans="2:2">
      <c r="B72" s="444" t="s">
        <v>665</v>
      </c>
    </row>
    <row r="73" spans="2:2">
      <c r="B73" s="444" t="s">
        <v>666</v>
      </c>
    </row>
    <row r="74" spans="2:2">
      <c r="B74" s="444" t="s">
        <v>667</v>
      </c>
    </row>
    <row r="75" spans="2:2">
      <c r="B75" s="444" t="s">
        <v>668</v>
      </c>
    </row>
    <row r="76" spans="2:2">
      <c r="B76" s="444" t="s">
        <v>669</v>
      </c>
    </row>
    <row r="77" spans="2:2">
      <c r="B77" s="444" t="s">
        <v>670</v>
      </c>
    </row>
    <row r="78" spans="2:2">
      <c r="B78" s="444" t="s">
        <v>671</v>
      </c>
    </row>
    <row r="79" spans="2:2">
      <c r="B79" s="444" t="s">
        <v>672</v>
      </c>
    </row>
    <row r="80" spans="2:2">
      <c r="B80" s="444" t="s">
        <v>673</v>
      </c>
    </row>
    <row r="81" spans="2:2">
      <c r="B81" s="444">
        <v>6312</v>
      </c>
    </row>
    <row r="82" spans="2:2">
      <c r="B82" s="444" t="s">
        <v>674</v>
      </c>
    </row>
    <row r="83" spans="2:2">
      <c r="B83" s="444" t="s">
        <v>675</v>
      </c>
    </row>
    <row r="84" spans="2:2">
      <c r="B84" s="444" t="s">
        <v>676</v>
      </c>
    </row>
    <row r="85" spans="2:2">
      <c r="B85" s="444" t="s">
        <v>677</v>
      </c>
    </row>
    <row r="86" spans="2:2">
      <c r="B86" s="444">
        <v>6313</v>
      </c>
    </row>
    <row r="87" spans="2:2">
      <c r="B87" s="444" t="s">
        <v>678</v>
      </c>
    </row>
    <row r="88" spans="2:2">
      <c r="B88" s="444" t="s">
        <v>679</v>
      </c>
    </row>
    <row r="89" spans="2:2">
      <c r="B89" s="444" t="s">
        <v>680</v>
      </c>
    </row>
    <row r="90" spans="2:2">
      <c r="B90" s="444">
        <v>6314</v>
      </c>
    </row>
    <row r="91" spans="2:2">
      <c r="B91" s="444" t="s">
        <v>681</v>
      </c>
    </row>
    <row r="92" spans="2:2">
      <c r="B92" s="444">
        <v>6317</v>
      </c>
    </row>
    <row r="93" spans="2:2">
      <c r="B93" s="444" t="s">
        <v>682</v>
      </c>
    </row>
    <row r="94" spans="2:2">
      <c r="B94" s="444">
        <v>6318</v>
      </c>
    </row>
    <row r="95" spans="2:2">
      <c r="B95" s="444" t="s">
        <v>683</v>
      </c>
    </row>
    <row r="96" spans="2:2">
      <c r="B96" s="444" t="s">
        <v>684</v>
      </c>
    </row>
    <row r="97" spans="2:2">
      <c r="B97" s="444" t="s">
        <v>685</v>
      </c>
    </row>
    <row r="98" spans="2:2">
      <c r="B98" s="444">
        <v>6320</v>
      </c>
    </row>
    <row r="99" spans="2:2">
      <c r="B99" s="444" t="s">
        <v>686</v>
      </c>
    </row>
    <row r="100" spans="2:2">
      <c r="B100" s="444" t="s">
        <v>687</v>
      </c>
    </row>
    <row r="101" spans="2:2">
      <c r="B101" s="444" t="s">
        <v>688</v>
      </c>
    </row>
    <row r="102" spans="2:2">
      <c r="B102" s="444" t="s">
        <v>689</v>
      </c>
    </row>
    <row r="103" spans="2:2">
      <c r="B103" s="444" t="s">
        <v>689</v>
      </c>
    </row>
    <row r="119" spans="2:2">
      <c r="B119" s="444" t="s">
        <v>690</v>
      </c>
    </row>
    <row r="121" spans="2:2">
      <c r="B121" s="444" t="s">
        <v>691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Lemus, Mario</cp:lastModifiedBy>
  <cp:lastPrinted>2014-10-27T20:43:10Z</cp:lastPrinted>
  <dcterms:created xsi:type="dcterms:W3CDTF">1997-10-03T20:37:30Z</dcterms:created>
  <dcterms:modified xsi:type="dcterms:W3CDTF">2014-12-15T16:57:50Z</dcterms:modified>
</cp:coreProperties>
</file>