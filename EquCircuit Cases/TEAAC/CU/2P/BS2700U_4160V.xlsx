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EAAC\"/>
    </mc:Choice>
  </mc:AlternateContent>
  <xr:revisionPtr revIDLastSave="0" documentId="13_ncr:1_{95EC651C-5BD2-4F32-9C0D-6660E1F7C86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8" r:id="rId4"/>
    <sheet name="Performance Data Sheet" sheetId="11" r:id="rId5"/>
    <sheet name="STCurve" sheetId="6" r:id="rId6"/>
    <sheet name="Thermdam" sheetId="12" r:id="rId7"/>
    <sheet name="Performance" sheetId="10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0" l="1"/>
  <c r="E81" i="12"/>
  <c r="E80" i="12"/>
  <c r="C39" i="6"/>
  <c r="C39" i="12"/>
  <c r="C39" i="10"/>
  <c r="D43" i="10"/>
  <c r="D43" i="12"/>
  <c r="D43" i="6"/>
  <c r="C15" i="10"/>
  <c r="C15" i="12"/>
  <c r="C15" i="6"/>
  <c r="C13" i="10"/>
  <c r="C13" i="12"/>
  <c r="C13" i="6"/>
  <c r="C12" i="10"/>
  <c r="C12" i="12"/>
  <c r="C12" i="6"/>
  <c r="F39" i="10"/>
  <c r="F39" i="12"/>
  <c r="F39" i="6"/>
  <c r="F9" i="10"/>
  <c r="F9" i="12"/>
  <c r="F9" i="6"/>
  <c r="F8" i="10"/>
  <c r="F8" i="12"/>
  <c r="F8" i="6"/>
  <c r="F7" i="10"/>
  <c r="F7" i="12"/>
  <c r="F7" i="6"/>
  <c r="F6" i="10"/>
  <c r="F6" i="12"/>
  <c r="F6" i="6"/>
  <c r="D7" i="10"/>
  <c r="D7" i="12"/>
  <c r="D7" i="6"/>
  <c r="B10" i="10"/>
  <c r="B10" i="12"/>
  <c r="B10" i="6"/>
  <c r="B9" i="10"/>
  <c r="B9" i="12"/>
  <c r="B9" i="6"/>
  <c r="B7" i="10"/>
  <c r="B7" i="12"/>
  <c r="B7" i="6"/>
  <c r="B6" i="10"/>
  <c r="B6" i="12"/>
  <c r="B6" i="6"/>
  <c r="C76" i="12"/>
  <c r="C77" i="12" s="1"/>
  <c r="C78" i="12" s="1"/>
  <c r="B76" i="12"/>
  <c r="C75" i="12"/>
  <c r="C74" i="12"/>
  <c r="B74" i="12"/>
  <c r="C69" i="12"/>
  <c r="E68" i="12"/>
  <c r="D66" i="12"/>
  <c r="F50" i="12"/>
  <c r="M28" i="3"/>
  <c r="M18" i="3"/>
  <c r="M52" i="2"/>
  <c r="L41" i="2"/>
  <c r="N41" i="2" s="1"/>
  <c r="M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N38" i="2" l="1"/>
  <c r="N40" i="2"/>
  <c r="N39" i="2"/>
  <c r="A72" i="12"/>
  <c r="C71" i="12"/>
  <c r="B71" i="12"/>
  <c r="B70" i="12"/>
  <c r="B69" i="12"/>
  <c r="B75" i="12" s="1"/>
  <c r="C70" i="12"/>
  <c r="M53" i="2"/>
  <c r="B72" i="12" l="1"/>
  <c r="A73" i="12"/>
  <c r="B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<sst xmlns="http://schemas.openxmlformats.org/spreadsheetml/2006/main" count="941" uniqueCount="717">
  <si>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</si>
  <si>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</si>
  <si>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</si>
  <si>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</si>
  <si>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</si>
  <si>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</si>
  <si>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</si>
  <si>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</si>
  <si>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</si>
  <si>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</si>
  <si>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</si>
  <si>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</si>
  <si>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</si>
  <si>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</si>
  <si>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</si>
  <si>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</si>
  <si>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</si>
  <si>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</si>
  <si>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</si>
  <si>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</si>
  <si>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</si>
  <si>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</si>
  <si>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</si>
  <si>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</si>
  <si>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</si>
  <si>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</si>
  <si>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</si>
  <si>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</si>
  <si>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</si>
  <si>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</si>
  <si>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</si>
  <si>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</si>
  <si>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</si>
  <si>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</si>
  <si>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</si>
  <si>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</si>
  <si>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</si>
  <si>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</si>
  <si>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</si>
  <si>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</si>
  <si>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</si>
  <si>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</si>
  <si>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</si>
  <si>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</si>
  <si>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</si>
  <si>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</si>
  <si>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</si>
  <si>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</si>
  <si>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</si>
  <si>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</si>
  <si>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</si>
  <si>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</si>
  <si>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</si>
  <si>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</si>
  <si>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</si>
  <si>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</si>
  <si>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</si>
  <si>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</si>
  <si>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</si>
  <si>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</si>
  <si>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</si>
  <si>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</si>
  <si>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</si>
  <si>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</si>
  <si>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</si>
  <si>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</si>
  <si>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</si>
  <si>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</si>
  <si>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</si>
  <si>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</si>
  <si>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</si>
  <si>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</si>
  <si>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</si>
  <si>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</si>
  <si>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</si>
  <si>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</si>
  <si>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</si>
  <si>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</si>
  <si>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</si>
  <si>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</si>
  <si>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</si>
  <si>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</si>
  <si>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</si>
  <si>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</si>
  <si>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</si>
  <si>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</si>
  <si>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</si>
  <si>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</si>
  <si>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</si>
  <si>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</si>
  <si>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</si>
  <si>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</si>
  <si>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</si>
  <si>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</si>
  <si>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</si>
  <si>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</si>
  <si>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</si>
  <si>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</si>
  <si>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</si>
  <si>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</si>
  <si>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</si>
  <si>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</si>
  <si>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</si>
  <si>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</si>
  <si>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</si>
  <si>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</si>
  <si>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</si>
  <si>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</si>
  <si>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</si>
  <si>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</si>
  <si>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</si>
  <si>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</si>
  <si>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</si>
  <si>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</si>
  <si>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</si>
  <si>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</si>
  <si>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</si>
  <si>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</si>
  <si>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</si>
  <si>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</si>
  <si>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</si>
  <si>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</si>
  <si>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</si>
  <si>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</si>
  <si>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</si>
  <si>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</si>
  <si>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</si>
  <si>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</si>
  <si>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</si>
  <si>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</si>
  <si>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</si>
  <si>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</si>
  <si>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</si>
  <si>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</si>
  <si>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</si>
  <si>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</si>
  <si>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</si>
  <si>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</si>
  <si>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</si>
  <si>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</si>
  <si>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</si>
  <si>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</si>
  <si>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</si>
  <si>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</si>
  <si>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</si>
  <si>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</si>
  <si>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</si>
  <si>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</si>
  <si>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</si>
  <si>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</si>
  <si>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</si>
  <si>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</si>
  <si>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</si>
  <si>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</si>
  <si>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</si>
  <si>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</si>
  <si>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</si>
  <si>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</si>
  <si>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</si>
  <si>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</si>
  <si>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</si>
  <si>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</si>
  <si>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</si>
  <si>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</si>
  <si>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</si>
  <si>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</si>
  <si>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</si>
  <si>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</si>
  <si>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</si>
  <si>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</si>
  <si>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</si>
  <si>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</si>
  <si>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</si>
  <si>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</si>
  <si>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</si>
  <si>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</si>
  <si>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</si>
  <si>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</si>
  <si>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</si>
  <si>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</si>
  <si>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</si>
  <si>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</si>
  <si>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</si>
  <si>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</si>
  <si>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</si>
  <si>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</si>
  <si>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</si>
  <si>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</si>
  <si>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</si>
  <si>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</si>
  <si>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</si>
  <si>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</si>
  <si>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FCKNW</t>
  </si>
  <si>
    <t>5811/12UDZ</t>
  </si>
  <si>
    <t>Open</t>
  </si>
  <si>
    <t>Trapeze</t>
  </si>
  <si>
    <t>10.20 - 10.20</t>
  </si>
  <si>
    <t>2.83 - 2.00</t>
  </si>
  <si>
    <t>Magnetic</t>
  </si>
  <si>
    <t>4 x 10</t>
  </si>
  <si>
    <t>1 ~ 16</t>
  </si>
  <si>
    <t>(.114"x.204")x2</t>
  </si>
  <si>
    <t>Wye</t>
  </si>
  <si>
    <t>(105°C)</t>
  </si>
  <si>
    <t>CU</t>
  </si>
  <si>
    <t>ERD1: 281.0</t>
  </si>
  <si>
    <t>EBL: 50.0</t>
  </si>
  <si>
    <t>ERT: 70.00</t>
  </si>
  <si>
    <t>ERH: 25.00</t>
  </si>
  <si>
    <t>LB:  -</t>
  </si>
  <si>
    <t>LER:  -</t>
  </si>
  <si>
    <t>Single Cage Data</t>
  </si>
  <si>
    <t>UB: 304.0</t>
  </si>
  <si>
    <t>UER: 1750.0</t>
  </si>
  <si>
    <t>(Coeff.: 0.0566)</t>
  </si>
  <si>
    <t>Skew R.: 0.00</t>
  </si>
  <si>
    <t>G:\DESPRO\RATFILE\BS2700U.rat</t>
  </si>
  <si>
    <t>2-2-2-0-1-2</t>
  </si>
  <si>
    <t>B.L.-1  P.F.-1</t>
  </si>
  <si>
    <t>4665.1 / 5041.2</t>
  </si>
  <si>
    <t>2757.4 / 3406.3</t>
  </si>
  <si>
    <t>22372.5 / 14575.8</t>
  </si>
  <si>
    <t>13500.0 / 11229.4</t>
  </si>
  <si>
    <t>8599.2 / 3252.1</t>
  </si>
  <si>
    <t>873.1 / 330.2</t>
  </si>
  <si>
    <t>7726.2 / 2921.9</t>
  </si>
  <si>
    <t>1.75 / 0.66</t>
  </si>
  <si>
    <t>62 / 64</t>
  </si>
  <si>
    <t>Temp. Rise @ 100%:</t>
  </si>
  <si>
    <t>Stray Loss</t>
  </si>
  <si>
    <t>0.850 / 0.847</t>
  </si>
  <si>
    <t>0.915 / 0.911</t>
  </si>
  <si>
    <t>0.937 / 0.933</t>
  </si>
  <si>
    <t>0.947 / 0.943</t>
  </si>
  <si>
    <t>0.952 / 0.948</t>
  </si>
  <si>
    <t>0.641 / 0.628</t>
  </si>
  <si>
    <t>0.826 / 0.809</t>
  </si>
  <si>
    <t>0.887 / 0.870</t>
  </si>
  <si>
    <t>0.911 / 0.893</t>
  </si>
  <si>
    <t>0.919 / 0.901</t>
  </si>
  <si>
    <t>33.27 / 34.08</t>
  </si>
  <si>
    <t>47.96 / 49.12</t>
  </si>
  <si>
    <t>65.38 / 66.97</t>
  </si>
  <si>
    <t>84.04 / 86.08</t>
  </si>
  <si>
    <t>103.55 / 106.07</t>
  </si>
  <si>
    <t>2.91 / 2.98</t>
  </si>
  <si>
    <t>UB: 4.00 / 4.10</t>
  </si>
  <si>
    <t>UER: 4.21 / 4.31</t>
  </si>
  <si>
    <t>3595.1 / 3590.7</t>
  </si>
  <si>
    <t>3590.8 / 3586.3</t>
  </si>
  <si>
    <t>3586.3 / 3581.8</t>
  </si>
  <si>
    <t>3581.8 / 3577.3</t>
  </si>
  <si>
    <t>3577.3 / 3572.8</t>
  </si>
  <si>
    <t>0.0013 / 0.0026</t>
  </si>
  <si>
    <t>0.0026 / 0.0038</t>
  </si>
  <si>
    <t>0.0038 / 0.0050</t>
  </si>
  <si>
    <t>0.0051 / 0.0063</t>
  </si>
  <si>
    <t>0.0063 / 0.0076</t>
  </si>
  <si>
    <t>23.493 / 19.019</t>
  </si>
  <si>
    <t>1.192 / 0.965</t>
  </si>
  <si>
    <t>23.52 / 19.04</t>
  </si>
  <si>
    <t>550.9 / 522.9</t>
  </si>
  <si>
    <t>655.6 / 622.3</t>
  </si>
  <si>
    <t>182.0 / 112.0</t>
  </si>
  <si>
    <t>128.2 / 78.9</t>
  </si>
  <si>
    <t>341.2 / 270.2</t>
  </si>
  <si>
    <t>Correlated to: LAB 8292.dat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</si>
  <si>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</si>
  <si>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</si>
  <si>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</si>
  <si>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</si>
  <si>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</si>
  <si>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</si>
  <si>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</si>
  <si>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</si>
  <si>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</si>
  <si>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</si>
  <si>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</si>
  <si>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</si>
  <si>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</si>
  <si>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</si>
  <si>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</si>
  <si>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</si>
  <si>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</si>
  <si>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</si>
  <si>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</si>
  <si>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</si>
  <si>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</si>
  <si>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</si>
  <si>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</si>
  <si>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</si>
  <si>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</si>
  <si>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</si>
  <si>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</si>
  <si>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</si>
  <si>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</si>
  <si>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</si>
  <si>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</si>
  <si>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</si>
  <si>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</si>
  <si>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</si>
  <si>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</si>
  <si>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</si>
  <si>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</si>
  <si>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</si>
  <si>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</si>
  <si>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</si>
  <si>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</si>
  <si>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</si>
  <si>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</si>
  <si>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</si>
  <si>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</si>
  <si>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</si>
  <si>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</si>
  <si>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</si>
  <si>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</si>
  <si>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</si>
  <si>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</si>
  <si>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</si>
  <si>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</si>
  <si>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</si>
  <si>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</si>
  <si>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</si>
  <si>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</si>
  <si>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</si>
  <si>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</si>
  <si>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</si>
  <si>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</si>
  <si>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</si>
  <si>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</si>
  <si>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</si>
  <si>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</si>
  <si>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</si>
  <si>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</si>
  <si>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</si>
  <si>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</si>
  <si>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</si>
  <si>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</si>
  <si>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</si>
  <si>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</si>
  <si>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</si>
  <si>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</si>
  <si>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</si>
  <si>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</si>
  <si>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</si>
  <si>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</si>
  <si>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</si>
  <si>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</si>
  <si>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</si>
  <si>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</si>
  <si>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Z. XIE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</si>
  <si>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</si>
  <si>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</si>
  <si>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</si>
  <si>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</si>
  <si>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</si>
  <si>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</si>
  <si>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</si>
  <si>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</si>
  <si>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</si>
  <si>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</si>
  <si>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</si>
  <si>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</si>
  <si>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</si>
  <si>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</si>
  <si>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</si>
  <si>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</si>
  <si>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</si>
  <si>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</si>
  <si>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</si>
  <si>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</si>
  <si>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</si>
  <si>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</si>
  <si>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</si>
  <si>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</si>
  <si>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</si>
  <si>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</si>
  <si>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</si>
  <si>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</si>
  <si>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BS2700U</t>
  </si>
  <si>
    <t>Type: TIKE - Form: FCKNW - 2 Pole - 700 HP - 4160 V - 60 Hz - 5811/12UDZ - Class F</t>
  </si>
  <si>
    <t>16 x 2</t>
  </si>
  <si>
    <t>1 x Wye</t>
  </si>
  <si>
    <t xml:space="preserve"> - </t>
  </si>
  <si>
    <t>62 / 82</t>
  </si>
  <si>
    <t>298 / 1812</t>
  </si>
  <si>
    <t>410 / 431</t>
  </si>
  <si>
    <t>BASE BS2M70U</t>
  </si>
  <si>
    <t xml:space="preserve">LINK: </t>
  </si>
  <si>
    <t>BS2800U.RAT &amp; LAB 8292.DAT</t>
  </si>
  <si>
    <r>
      <t>Wire 1 (</t>
    </r>
    <r>
      <rPr>
        <b/>
        <i/>
        <sz val="11"/>
        <color indexed="10"/>
        <rFont val="Times New Roman"/>
        <family val="1"/>
      </rPr>
      <t>061-0023-06</t>
    </r>
    <r>
      <rPr>
        <i/>
        <sz val="10"/>
        <color indexed="8"/>
        <rFont val="Times New Roman"/>
        <family val="1"/>
      </rPr>
      <t>)</t>
    </r>
  </si>
  <si>
    <t>REV.0 FIRST ISSUE</t>
  </si>
  <si>
    <t>WIPS 350-N129-01 (SAME AS 1M2700)</t>
  </si>
  <si>
    <t>Current (%)</t>
  </si>
  <si>
    <t>Current(%)</t>
  </si>
  <si>
    <t>S-T Curve Data (Custom Values)</t>
  </si>
  <si>
    <t>Load</t>
  </si>
  <si>
    <t>Torque 90%</t>
  </si>
  <si>
    <t>LRA 90%</t>
  </si>
  <si>
    <t>Load Type:</t>
  </si>
  <si>
    <t>Load Inertia:</t>
  </si>
  <si>
    <t>Accel. Time:</t>
  </si>
  <si>
    <t>Rated Torque:</t>
  </si>
  <si>
    <t>Compressor</t>
  </si>
  <si>
    <t>84.8 kg.m²</t>
  </si>
  <si>
    <t>Acceleration Data (FV / 0.90 V)</t>
  </si>
  <si>
    <t>13.7 / 20.2 (s)</t>
  </si>
  <si>
    <t>142.0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</si>
  <si>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</si>
  <si>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</si>
  <si>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</si>
  <si>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</si>
  <si>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</si>
  <si>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</si>
  <si>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</si>
  <si>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</si>
  <si>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</si>
  <si>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</si>
  <si>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</si>
  <si>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</si>
  <si>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</si>
  <si>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</si>
  <si>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</si>
  <si>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</si>
  <si>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</si>
  <si>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</si>
  <si>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</si>
  <si>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</si>
  <si>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</si>
  <si>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</si>
  <si>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</si>
  <si>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</si>
  <si>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</si>
  <si>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</si>
  <si>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</si>
  <si>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</si>
  <si>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</si>
  <si>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</si>
  <si>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</si>
  <si>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</si>
  <si>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</si>
  <si>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</si>
  <si>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</si>
  <si>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</si>
  <si>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</si>
  <si>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</si>
  <si>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</si>
  <si>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- 700.0 HP - 3600 RPM - 4160 V - 60 Hz</t>
  </si>
  <si>
    <t>0~365</t>
  </si>
  <si>
    <t>365~731</t>
  </si>
  <si>
    <t>731~1096</t>
  </si>
  <si>
    <t>1096~1461</t>
  </si>
  <si>
    <t>1461~1827</t>
  </si>
  <si>
    <t>1827~2192</t>
  </si>
  <si>
    <t>2192~2557</t>
  </si>
  <si>
    <t>2557~2922</t>
  </si>
  <si>
    <t>2922~3105</t>
  </si>
  <si>
    <t>3105~3288</t>
  </si>
  <si>
    <t>3288~3470</t>
  </si>
  <si>
    <t>3470~3574</t>
  </si>
  <si>
    <t>3574~3582</t>
  </si>
  <si>
    <t>Load Type: Compressor - 503.0 lb-ft²</t>
  </si>
  <si>
    <t>60.9</t>
  </si>
  <si>
    <t>61.2</t>
  </si>
  <si>
    <t>61.8</t>
  </si>
  <si>
    <t>62.8</t>
  </si>
  <si>
    <t>64.4</t>
  </si>
  <si>
    <t>66.9</t>
  </si>
  <si>
    <t>70.9</t>
  </si>
  <si>
    <t>78.4</t>
  </si>
  <si>
    <t>91.3</t>
  </si>
  <si>
    <t>117.0</t>
  </si>
  <si>
    <t>176.7</t>
  </si>
  <si>
    <t>168.6</t>
  </si>
  <si>
    <t>109.3</t>
  </si>
  <si>
    <t>37.5</t>
  </si>
  <si>
    <t>34.0</t>
  </si>
  <si>
    <t>31.9</t>
  </si>
  <si>
    <t>30.5</t>
  </si>
  <si>
    <t>30.0</t>
  </si>
  <si>
    <t>30.6</t>
  </si>
  <si>
    <t>31.6</t>
  </si>
  <si>
    <t>32.7</t>
  </si>
  <si>
    <t>33.7</t>
  </si>
  <si>
    <t>34.8</t>
  </si>
  <si>
    <t>35.8</t>
  </si>
  <si>
    <t>37.0</t>
  </si>
  <si>
    <t>38.3</t>
  </si>
  <si>
    <t>3.209</t>
  </si>
  <si>
    <t>2.751</t>
  </si>
  <si>
    <t>2.512</t>
  </si>
  <si>
    <t>2.325</t>
  </si>
  <si>
    <t>2.189</t>
  </si>
  <si>
    <t>2.069</t>
  </si>
  <si>
    <t>1.911</t>
  </si>
  <si>
    <t>1.643</t>
  </si>
  <si>
    <t>0.652</t>
  </si>
  <si>
    <t>0.456</t>
  </si>
  <si>
    <t>0.266</t>
  </si>
  <si>
    <t>0.162</t>
  </si>
  <si>
    <t>0.022</t>
  </si>
  <si>
    <t>469.9</t>
  </si>
  <si>
    <t>468.2</t>
  </si>
  <si>
    <t>466.3</t>
  </si>
  <si>
    <t>464.1</t>
  </si>
  <si>
    <t>461.7</t>
  </si>
  <si>
    <t>458.9</t>
  </si>
  <si>
    <t>455.7</t>
  </si>
  <si>
    <t>451.3</t>
  </si>
  <si>
    <t>445.4</t>
  </si>
  <si>
    <t>434.6</t>
  </si>
  <si>
    <t>396.9</t>
  </si>
  <si>
    <t>245.9</t>
  </si>
  <si>
    <t>71.6</t>
  </si>
  <si>
    <t>469.7</t>
  </si>
  <si>
    <t>399.9</t>
  </si>
  <si>
    <t>362.4</t>
  </si>
  <si>
    <t>332.5</t>
  </si>
  <si>
    <t>310.0</t>
  </si>
  <si>
    <t>289.6</t>
  </si>
  <si>
    <t>264.1</t>
  </si>
  <si>
    <t>223.8</t>
  </si>
  <si>
    <t>86.6</t>
  </si>
  <si>
    <t>59.0</t>
  </si>
  <si>
    <t>32.1</t>
  </si>
  <si>
    <t>14.4</t>
  </si>
  <si>
    <t>0.1</t>
  </si>
  <si>
    <t>1047.2</t>
  </si>
  <si>
    <t>809.7</t>
  </si>
  <si>
    <t>660.5</t>
  </si>
  <si>
    <t>540.1</t>
  </si>
  <si>
    <t>443.0</t>
  </si>
  <si>
    <t>357.8</t>
  </si>
  <si>
    <t>274.7</t>
  </si>
  <si>
    <t>187.6</t>
  </si>
  <si>
    <t>109.8</t>
  </si>
  <si>
    <t>33.5</t>
  </si>
  <si>
    <t>24.1</t>
  </si>
  <si>
    <t>3.4</t>
  </si>
  <si>
    <t>2844 kW / s</t>
  </si>
  <si>
    <t>3943 kW / s</t>
  </si>
  <si>
    <t>615 kW / s</t>
  </si>
  <si>
    <t>35°C</t>
  </si>
  <si>
    <t>162°C</t>
  </si>
  <si>
    <t>60°C</t>
  </si>
  <si>
    <t>70°C</t>
  </si>
  <si>
    <t>324°C</t>
  </si>
  <si>
    <t>121°C</t>
  </si>
  <si>
    <t>Acceleration Time:  20.2 s</t>
  </si>
  <si>
    <t>13.9°C / s</t>
  </si>
  <si>
    <t>5.2°C / s</t>
  </si>
  <si>
    <t>338.8 kW</t>
  </si>
  <si>
    <t>52.8 kW</t>
  </si>
  <si>
    <t>18.7 s</t>
  </si>
  <si>
    <t>34.7 s</t>
  </si>
  <si>
    <t>82°C    +</t>
  </si>
  <si>
    <t>25.9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</si>
  <si>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</si>
  <si>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</si>
  <si>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</si>
  <si>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</si>
  <si>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</si>
  <si>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</si>
  <si>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</si>
  <si>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</si>
  <si>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</si>
  <si>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</si>
  <si>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</si>
  <si>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</si>
  <si>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</si>
  <si>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</si>
  <si>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</si>
  <si>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</si>
  <si>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</si>
  <si>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</si>
  <si>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</si>
  <si>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</si>
  <si>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</si>
  <si>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146.4 lb-ft²</t>
  </si>
  <si>
    <t>503.0 lb-ft²</t>
  </si>
  <si>
    <t>FV / 0.90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</si>
  <si>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</si>
  <si>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</si>
  <si>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</si>
  <si>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</si>
  <si>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</si>
  <si>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</si>
  <si>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2.5°C / s</t>
  </si>
  <si>
    <t>206.4 kW</t>
  </si>
  <si>
    <t>63.0 s</t>
  </si>
  <si>
    <t>62°C    +</t>
  </si>
  <si>
    <t>98°C    +</t>
  </si>
  <si>
    <t>178°C   +</t>
  </si>
  <si>
    <t>98°C   +</t>
  </si>
  <si>
    <t>38.6 s</t>
  </si>
  <si>
    <t>12.8 s</t>
  </si>
  <si>
    <t>19.0 s</t>
  </si>
  <si>
    <t>14.2 s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</si>
  <si>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</si>
  <si>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</si>
  <si>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</si>
  <si>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</si>
  <si>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</si>
  <si>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</si>
  <si>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</si>
  <si>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</si>
  <si>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</si>
  <si>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</si>
  <si>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</si>
  <si>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</si>
  <si>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</si>
  <si>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</si>
  <si>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</si>
  <si>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</si>
  <si>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</si>
  <si>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</si>
  <si>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</si>
  <si>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</si>
  <si>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</si>
  <si>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</si>
  <si>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</si>
  <si>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</si>
  <si>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</si>
  <si>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</si>
  <si>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</si>
  <si>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</si>
  <si>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</si>
  <si>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</si>
  <si>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</si>
  <si>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</si>
  <si>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</si>
  <si>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</si>
  <si>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</si>
  <si>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</si>
  <si>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</si>
  <si>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</si>
  <si>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</si>
  <si>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</si>
  <si>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</si>
  <si>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</si>
  <si>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</si>
  <si>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</si>
  <si>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</si>
  <si>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</si>
  <si>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</si>
  <si>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</si>
  <si>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</si>
  <si>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</si>
  <si>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</si>
  <si>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</si>
  <si>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</si>
  <si>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</si>
  <si>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</si>
  <si>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</si>
  <si>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</si>
  <si>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</si>
  <si>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</si>
  <si>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</si>
  <si>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</si>
  <si>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</si>
  <si>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</si>
  <si>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</si>
  <si>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</si>
  <si>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</si>
  <si>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</si>
  <si>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</si>
  <si>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</si>
  <si>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</si>
  <si>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</si>
  <si>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</si>
  <si>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</si>
  <si>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</si>
  <si>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</si>
  <si>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</si>
  <si>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</si>
  <si>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</si>
  <si>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</si>
  <si>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</si>
  <si>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</si>
  <si>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</si>
  <si>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</si>
  <si>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</si>
  <si>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</si>
  <si>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</si>
  <si>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</si>
  <si>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</si>
  <si>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</si>
  <si>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</si>
  <si>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</si>
  <si>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</si>
  <si>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</si>
  <si>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</si>
  <si>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</si>
  <si>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</si>
  <si>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</si>
  <si>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</si>
  <si>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</si>
  <si>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</si>
  <si>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</si>
  <si>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</si>
  <si>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</si>
  <si>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</si>
  <si>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</si>
  <si>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</si>
  <si>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</si>
  <si>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</si>
  <si>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</si>
  <si>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FS ELLIOTT CO LLC</t>
  </si>
  <si>
    <t>2079542.1</t>
  </si>
  <si>
    <t>5812USS</t>
  </si>
  <si>
    <t>TEAAC</t>
  </si>
  <si>
    <t>TW-10009426</t>
  </si>
  <si>
    <t>BS2700U_4160V</t>
  </si>
  <si>
    <t>Q.C. 180400659</t>
  </si>
  <si>
    <t>RSO2: 400-N158-06</t>
  </si>
  <si>
    <t>TOP HAT 135-N213-112316 FOR 85dBA</t>
  </si>
  <si>
    <t>TOP HAT: 135-N201-121USS GREATER THAN 85dBA BUT LESS THAN 90dBA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</si>
</sst>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2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1"/>
      <color indexed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3" fillId="0" borderId="0"/>
    <xf numFmtId="0" fontId="23" fillId="0" borderId="0"/>
    <xf numFmtId="0" fontId="53" fillId="0" borderId="0"/>
    <xf numFmtId="0" fontId="1" fillId="0" borderId="0"/>
    <xf numFmtId="172" fontId="68" fillId="0" borderId="0"/>
  </cellStyleXfs>
  <cellXfs count="66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2" fontId="33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/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43" fillId="5" borderId="113" xfId="1" applyFont="1" applyFill="1" applyBorder="1"/>
    <xf numFmtId="167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8" fillId="0" borderId="0" xfId="1" quotePrefix="1" applyFont="1" applyAlignment="1">
      <alignment horizontal="left"/>
    </xf>
    <xf numFmtId="0" fontId="33" fillId="0" borderId="0" xfId="2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67" fontId="38" fillId="5" borderId="70" xfId="1" applyNumberFormat="1" applyFont="1" applyFill="1" applyBorder="1" applyAlignment="1">
      <alignment horizontal="center"/>
    </xf>
    <xf numFmtId="1" fontId="33" fillId="0" borderId="0" xfId="1" applyNumberFormat="1" applyFont="1"/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/>
    <xf numFmtId="0" fontId="36" fillId="0" borderId="114" xfId="1" applyFont="1" applyBorder="1"/>
    <xf numFmtId="0" fontId="36" fillId="5" borderId="117" xfId="1" applyFont="1" applyFill="1" applyBorder="1"/>
    <xf numFmtId="0" fontId="50" fillId="5" borderId="118" xfId="1" applyFont="1" applyFill="1" applyBorder="1" applyAlignment="1">
      <alignment horizontal="center" shrinkToFit="1"/>
    </xf>
    <xf numFmtId="0" fontId="30" fillId="5" borderId="45" xfId="1" applyFont="1" applyFill="1" applyBorder="1"/>
    <xf numFmtId="0" fontId="36" fillId="5" borderId="119" xfId="1" applyFont="1" applyFill="1" applyBorder="1"/>
    <xf numFmtId="0" fontId="36" fillId="5" borderId="23" xfId="1" applyFont="1" applyFill="1" applyBorder="1"/>
    <xf numFmtId="14" fontId="19" fillId="5" borderId="122" xfId="1" applyNumberFormat="1" applyFont="1" applyFill="1" applyBorder="1" applyAlignment="1">
      <alignment horizontal="center"/>
    </xf>
    <xf numFmtId="0" fontId="30" fillId="0" borderId="23" xfId="1" applyFont="1" applyBorder="1"/>
    <xf numFmtId="0" fontId="30" fillId="5" borderId="123" xfId="1" applyFont="1" applyFill="1" applyBorder="1" applyAlignment="1">
      <alignment horizontal="left"/>
    </xf>
    <xf numFmtId="0" fontId="30" fillId="5" borderId="124" xfId="1" applyFont="1" applyFill="1" applyBorder="1" applyAlignment="1">
      <alignment horizontal="left"/>
    </xf>
    <xf numFmtId="0" fontId="30" fillId="0" borderId="0" xfId="1" applyFont="1"/>
    <xf numFmtId="0" fontId="53" fillId="0" borderId="6" xfId="3" applyBorder="1"/>
    <xf numFmtId="0" fontId="53" fillId="0" borderId="7" xfId="3" applyBorder="1"/>
    <xf numFmtId="0" fontId="53" fillId="0" borderId="41" xfId="3" applyBorder="1"/>
    <xf numFmtId="0" fontId="53" fillId="0" borderId="41" xfId="3" applyBorder="1" applyAlignment="1">
      <alignment horizontal="center"/>
    </xf>
    <xf numFmtId="0" fontId="54" fillId="0" borderId="41" xfId="3" applyFont="1" applyBorder="1" applyAlignment="1">
      <alignment horizontal="center"/>
    </xf>
    <xf numFmtId="0" fontId="53" fillId="0" borderId="0" xfId="3"/>
    <xf numFmtId="0" fontId="55" fillId="0" borderId="125" xfId="3" applyFont="1" applyBorder="1" applyAlignment="1">
      <alignment horizontal="center"/>
    </xf>
    <xf numFmtId="0" fontId="53" fillId="0" borderId="125" xfId="3" applyBorder="1" applyAlignment="1">
      <alignment horizontal="center"/>
    </xf>
    <xf numFmtId="0" fontId="54" fillId="0" borderId="125" xfId="3" applyFon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3" fillId="0" borderId="45" xfId="3" applyBorder="1"/>
    <xf numFmtId="0" fontId="56" fillId="0" borderId="0" xfId="3" applyFont="1"/>
    <xf numFmtId="0" fontId="53" fillId="0" borderId="125" xfId="3" applyBorder="1"/>
    <xf numFmtId="0" fontId="54" fillId="0" borderId="0" xfId="3" applyFont="1"/>
    <xf numFmtId="0" fontId="54" fillId="0" borderId="125" xfId="3" applyFont="1" applyBorder="1"/>
    <xf numFmtId="170" fontId="53" fillId="0" borderId="3" xfId="3" applyNumberFormat="1" applyBorder="1"/>
    <xf numFmtId="49" fontId="53" fillId="0" borderId="1" xfId="3" applyNumberFormat="1" applyBorder="1" applyAlignment="1">
      <alignment horizontal="center"/>
    </xf>
    <xf numFmtId="49" fontId="53" fillId="0" borderId="1" xfId="3" applyNumberFormat="1" applyBorder="1"/>
    <xf numFmtId="49" fontId="54" fillId="0" borderId="1" xfId="3" applyNumberFormat="1" applyFont="1" applyBorder="1"/>
    <xf numFmtId="171" fontId="54" fillId="0" borderId="1" xfId="3" applyNumberFormat="1" applyFont="1" applyBorder="1"/>
    <xf numFmtId="0" fontId="53" fillId="0" borderId="1" xfId="3" applyBorder="1"/>
    <xf numFmtId="0" fontId="53" fillId="0" borderId="9" xfId="3" applyBorder="1"/>
    <xf numFmtId="171" fontId="53" fillId="0" borderId="1" xfId="3" applyNumberFormat="1" applyBorder="1"/>
    <xf numFmtId="0" fontId="53" fillId="0" borderId="1" xfId="3" applyBorder="1" applyAlignment="1">
      <alignment horizontal="center"/>
    </xf>
    <xf numFmtId="170" fontId="53" fillId="0" borderId="18" xfId="3" applyNumberFormat="1" applyBorder="1"/>
    <xf numFmtId="49" fontId="53" fillId="0" borderId="26" xfId="3" applyNumberFormat="1" applyBorder="1"/>
    <xf numFmtId="171" fontId="53" fillId="0" borderId="26" xfId="3" applyNumberFormat="1" applyBorder="1"/>
    <xf numFmtId="0" fontId="53" fillId="0" borderId="26" xfId="3" applyBorder="1"/>
    <xf numFmtId="0" fontId="53" fillId="0" borderId="126" xfId="3" applyBorder="1"/>
    <xf numFmtId="0" fontId="54" fillId="0" borderId="12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49" fontId="54" fillId="0" borderId="2" xfId="3" applyNumberFormat="1" applyFont="1" applyBorder="1" applyAlignment="1">
      <alignment horizontal="center"/>
    </xf>
    <xf numFmtId="0" fontId="53" fillId="0" borderId="55" xfId="3" applyBorder="1" applyAlignment="1">
      <alignment horizontal="left"/>
    </xf>
    <xf numFmtId="49" fontId="53" fillId="0" borderId="3" xfId="3" applyNumberFormat="1" applyBorder="1"/>
    <xf numFmtId="0" fontId="53" fillId="0" borderId="130" xfId="3" applyBorder="1" applyAlignment="1">
      <alignment horizontal="left"/>
    </xf>
    <xf numFmtId="49" fontId="53" fillId="0" borderId="4" xfId="3" applyNumberFormat="1" applyBorder="1"/>
    <xf numFmtId="0" fontId="53" fillId="0" borderId="131" xfId="3" applyBorder="1" applyAlignment="1">
      <alignment horizontal="left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8" fillId="0" borderId="0" xfId="4" applyFont="1"/>
    <xf numFmtId="0" fontId="59" fillId="0" borderId="26" xfId="4" applyFont="1" applyBorder="1" applyAlignment="1">
      <alignment horizontal="center"/>
    </xf>
    <xf numFmtId="0" fontId="59" fillId="0" borderId="28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9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0" fontId="58" fillId="0" borderId="129" xfId="4" applyFont="1" applyBorder="1" applyAlignment="1">
      <alignment horizontal="center"/>
    </xf>
    <xf numFmtId="0" fontId="58" fillId="0" borderId="130" xfId="4" quotePrefix="1" applyFont="1" applyBorder="1" applyAlignment="1">
      <alignment horizontal="center"/>
    </xf>
    <xf numFmtId="0" fontId="58" fillId="0" borderId="130" xfId="4" applyFont="1" applyBorder="1" applyAlignment="1">
      <alignment horizontal="center"/>
    </xf>
    <xf numFmtId="0" fontId="59" fillId="0" borderId="0" xfId="4" applyFont="1" applyAlignment="1">
      <alignment horizontal="right"/>
    </xf>
    <xf numFmtId="0" fontId="61" fillId="0" borderId="61" xfId="4" applyFont="1" applyBorder="1"/>
    <xf numFmtId="0" fontId="61" fillId="0" borderId="62" xfId="4" applyFont="1" applyBorder="1"/>
    <xf numFmtId="0" fontId="61" fillId="0" borderId="38" xfId="4" applyFont="1" applyBorder="1"/>
    <xf numFmtId="0" fontId="62" fillId="0" borderId="83" xfId="4" applyFont="1" applyBorder="1" applyAlignment="1">
      <alignment horizontal="centerContinuous"/>
    </xf>
    <xf numFmtId="0" fontId="61" fillId="0" borderId="0" xfId="4" applyFont="1" applyAlignment="1">
      <alignment horizontal="centerContinuous"/>
    </xf>
    <xf numFmtId="0" fontId="61" fillId="0" borderId="108" xfId="4" applyFont="1" applyBorder="1" applyAlignment="1">
      <alignment horizontal="centerContinuous"/>
    </xf>
    <xf numFmtId="0" fontId="63" fillId="0" borderId="83" xfId="4" applyFont="1" applyBorder="1" applyAlignment="1">
      <alignment horizontal="centerContinuous"/>
    </xf>
    <xf numFmtId="0" fontId="61" fillId="0" borderId="83" xfId="4" applyFont="1" applyBorder="1"/>
    <xf numFmtId="0" fontId="61" fillId="0" borderId="0" xfId="4" applyFont="1"/>
    <xf numFmtId="0" fontId="61" fillId="0" borderId="108" xfId="4" applyFont="1" applyBorder="1"/>
    <xf numFmtId="0" fontId="64" fillId="0" borderId="1" xfId="4" applyFont="1" applyBorder="1" applyAlignment="1">
      <alignment horizontal="right"/>
    </xf>
    <xf numFmtId="0" fontId="61" fillId="0" borderId="1" xfId="4" applyFont="1" applyBorder="1" applyAlignment="1">
      <alignment horizontal="center"/>
    </xf>
    <xf numFmtId="14" fontId="61" fillId="0" borderId="1" xfId="4" applyNumberFormat="1" applyFont="1" applyBorder="1" applyAlignment="1">
      <alignment horizontal="center"/>
    </xf>
    <xf numFmtId="0" fontId="64" fillId="0" borderId="0" xfId="4" applyFont="1" applyAlignment="1">
      <alignment horizontal="right"/>
    </xf>
    <xf numFmtId="0" fontId="61" fillId="0" borderId="0" xfId="4" applyFont="1" applyAlignment="1">
      <alignment horizontal="center"/>
    </xf>
    <xf numFmtId="9" fontId="61" fillId="0" borderId="0" xfId="4" applyNumberFormat="1" applyFont="1" applyAlignment="1">
      <alignment horizontal="center"/>
    </xf>
    <xf numFmtId="0" fontId="64" fillId="0" borderId="83" xfId="4" applyFont="1" applyBorder="1" applyAlignment="1">
      <alignment horizontal="right"/>
    </xf>
    <xf numFmtId="0" fontId="61" fillId="0" borderId="40" xfId="4" applyFont="1" applyBorder="1"/>
    <xf numFmtId="0" fontId="61" fillId="0" borderId="85" xfId="4" applyFont="1" applyBorder="1"/>
    <xf numFmtId="0" fontId="64" fillId="0" borderId="17" xfId="4" applyFont="1" applyBorder="1" applyAlignment="1">
      <alignment horizontal="right"/>
    </xf>
    <xf numFmtId="0" fontId="61" fillId="0" borderId="130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6" fillId="0" borderId="0" xfId="4" applyFont="1"/>
    <xf numFmtId="0" fontId="67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9" fillId="0" borderId="6" xfId="5" applyFont="1" applyBorder="1" applyAlignment="1">
      <alignment horizontal="centerContinuous"/>
    </xf>
    <xf numFmtId="172" fontId="69" fillId="0" borderId="7" xfId="5" applyFont="1" applyBorder="1" applyAlignment="1">
      <alignment horizontal="centerContinuous"/>
    </xf>
    <xf numFmtId="172" fontId="70" fillId="0" borderId="12" xfId="5" applyFont="1" applyBorder="1" applyAlignment="1">
      <alignment horizontal="left"/>
    </xf>
    <xf numFmtId="172" fontId="71" fillId="0" borderId="55" xfId="5" applyFont="1" applyBorder="1"/>
    <xf numFmtId="172" fontId="70" fillId="0" borderId="13" xfId="5" applyFont="1" applyBorder="1" applyAlignment="1">
      <alignment horizontal="centerContinuous"/>
    </xf>
    <xf numFmtId="172" fontId="71" fillId="0" borderId="14" xfId="5" applyFont="1" applyBorder="1" applyAlignment="1">
      <alignment horizontal="centerContinuous"/>
    </xf>
    <xf numFmtId="172" fontId="72" fillId="0" borderId="0" xfId="5" applyFont="1"/>
    <xf numFmtId="172" fontId="68" fillId="0" borderId="0" xfId="5"/>
    <xf numFmtId="172" fontId="69" fillId="0" borderId="45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70" fillId="0" borderId="110" xfId="5" applyFont="1" applyBorder="1" applyAlignment="1">
      <alignment horizontal="left"/>
    </xf>
    <xf numFmtId="172" fontId="71" fillId="0" borderId="39" xfId="5" applyFont="1" applyBorder="1"/>
    <xf numFmtId="172" fontId="70" fillId="0" borderId="40" xfId="5" applyFont="1" applyBorder="1" applyAlignment="1">
      <alignment horizontal="centerContinuous"/>
    </xf>
    <xf numFmtId="172" fontId="71" fillId="0" borderId="29" xfId="5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1" fillId="0" borderId="0" xfId="5" applyFont="1" applyAlignment="1">
      <alignment horizontal="centerContinuous"/>
    </xf>
    <xf numFmtId="172" fontId="70" fillId="0" borderId="40" xfId="5" quotePrefix="1" applyFont="1" applyBorder="1" applyAlignment="1">
      <alignment horizontal="centerContinuous"/>
    </xf>
    <xf numFmtId="172" fontId="73" fillId="0" borderId="45" xfId="5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2" fillId="0" borderId="46" xfId="5" applyFont="1" applyBorder="1" applyAlignment="1">
      <alignment horizontal="centerContinuous"/>
    </xf>
    <xf numFmtId="172" fontId="71" fillId="0" borderId="23" xfId="5" applyFont="1" applyBorder="1" applyAlignment="1">
      <alignment horizontal="centerContinuous"/>
    </xf>
    <xf numFmtId="172" fontId="70" fillId="0" borderId="46" xfId="5" applyFont="1" applyBorder="1" applyAlignment="1">
      <alignment horizontal="left"/>
    </xf>
    <xf numFmtId="172" fontId="71" fillId="0" borderId="48" xfId="5" applyFont="1" applyBorder="1"/>
    <xf numFmtId="172" fontId="74" fillId="0" borderId="23" xfId="5" applyFont="1" applyBorder="1" applyAlignment="1">
      <alignment horizontal="centerContinuous"/>
    </xf>
    <xf numFmtId="172" fontId="71" fillId="0" borderId="24" xfId="5" applyFont="1" applyBorder="1" applyAlignment="1">
      <alignment horizontal="centerContinuous"/>
    </xf>
    <xf numFmtId="172" fontId="72" fillId="0" borderId="0" xfId="5" applyFont="1" applyAlignment="1">
      <alignment horizontal="centerContinuous"/>
    </xf>
    <xf numFmtId="172" fontId="70" fillId="0" borderId="0" xfId="5" applyFont="1" applyAlignment="1">
      <alignment horizontal="left"/>
    </xf>
    <xf numFmtId="172" fontId="71" fillId="0" borderId="0" xfId="5" applyFont="1"/>
    <xf numFmtId="172" fontId="70" fillId="0" borderId="0" xfId="5" applyFont="1" applyAlignment="1">
      <alignment horizontal="centerContinuous"/>
    </xf>
    <xf numFmtId="172" fontId="75" fillId="0" borderId="0" xfId="5" applyFont="1"/>
    <xf numFmtId="172" fontId="75" fillId="0" borderId="0" xfId="5" applyFont="1" applyAlignment="1">
      <alignment horizontal="right"/>
    </xf>
    <xf numFmtId="172" fontId="75" fillId="0" borderId="0" xfId="5" applyFont="1" applyAlignment="1" applyProtection="1">
      <alignment horizontal="left"/>
      <protection locked="0"/>
    </xf>
    <xf numFmtId="172" fontId="75" fillId="0" borderId="0" xfId="5" applyFont="1" applyAlignment="1">
      <alignment horizontal="centerContinuous"/>
    </xf>
    <xf numFmtId="172" fontId="75" fillId="0" borderId="0" xfId="5" applyFont="1" applyAlignment="1">
      <alignment horizontal="left"/>
    </xf>
    <xf numFmtId="49" fontId="75" fillId="0" borderId="0" xfId="5" quotePrefix="1" applyNumberFormat="1" applyFont="1" applyAlignment="1" applyProtection="1">
      <alignment horizontal="left"/>
      <protection locked="0"/>
    </xf>
    <xf numFmtId="172" fontId="76" fillId="0" borderId="136" xfId="5" applyFont="1" applyBorder="1" applyAlignment="1">
      <alignment horizontal="centerContinuous"/>
    </xf>
    <xf numFmtId="172" fontId="72" fillId="0" borderId="137" xfId="5" applyFont="1" applyBorder="1" applyAlignment="1">
      <alignment horizontal="centerContinuous"/>
    </xf>
    <xf numFmtId="172" fontId="72" fillId="0" borderId="138" xfId="5" applyFont="1" applyBorder="1" applyAlignment="1">
      <alignment horizontal="centerContinuous"/>
    </xf>
    <xf numFmtId="172" fontId="75" fillId="0" borderId="45" xfId="5" applyFont="1" applyBorder="1"/>
    <xf numFmtId="172" fontId="75" fillId="0" borderId="0" xfId="5" applyFont="1" applyAlignment="1" applyProtection="1">
      <alignment horizontal="center"/>
      <protection locked="0"/>
    </xf>
    <xf numFmtId="172" fontId="75" fillId="0" borderId="21" xfId="5" applyFont="1" applyBorder="1" applyAlignment="1" applyProtection="1">
      <alignment horizontal="center"/>
      <protection locked="0"/>
    </xf>
    <xf numFmtId="172" fontId="75" fillId="0" borderId="0" xfId="5" applyFont="1" applyAlignment="1">
      <alignment horizontal="center"/>
    </xf>
    <xf numFmtId="172" fontId="75" fillId="0" borderId="0" xfId="5" quotePrefix="1" applyFont="1" applyAlignment="1">
      <alignment horizontal="right"/>
    </xf>
    <xf numFmtId="172" fontId="75" fillId="0" borderId="0" xfId="5" quotePrefix="1" applyFont="1" applyAlignment="1" applyProtection="1">
      <alignment horizontal="center"/>
      <protection locked="0"/>
    </xf>
    <xf numFmtId="172" fontId="75" fillId="0" borderId="21" xfId="5" applyFont="1" applyBorder="1"/>
    <xf numFmtId="172" fontId="75" fillId="0" borderId="46" xfId="5" applyFont="1" applyBorder="1"/>
    <xf numFmtId="172" fontId="75" fillId="0" borderId="23" xfId="5" applyFont="1" applyBorder="1" applyAlignment="1">
      <alignment horizontal="right"/>
    </xf>
    <xf numFmtId="167" fontId="75" fillId="0" borderId="23" xfId="5" quotePrefix="1" applyNumberFormat="1" applyFont="1" applyBorder="1" applyAlignment="1" applyProtection="1">
      <alignment horizontal="center"/>
      <protection locked="0"/>
    </xf>
    <xf numFmtId="172" fontId="75" fillId="0" borderId="23" xfId="5" applyFont="1" applyBorder="1"/>
    <xf numFmtId="167" fontId="75" fillId="0" borderId="23" xfId="5" applyNumberFormat="1" applyFont="1" applyBorder="1"/>
    <xf numFmtId="172" fontId="75" fillId="0" borderId="24" xfId="5" applyFont="1" applyBorder="1"/>
    <xf numFmtId="172" fontId="77" fillId="0" borderId="45" xfId="5" quotePrefix="1" applyFont="1" applyBorder="1" applyAlignment="1">
      <alignment horizontal="left"/>
    </xf>
    <xf numFmtId="172" fontId="71" fillId="0" borderId="0" xfId="5" quotePrefix="1" applyFont="1" applyAlignment="1">
      <alignment horizontal="right"/>
    </xf>
    <xf numFmtId="172" fontId="71" fillId="0" borderId="108" xfId="5" applyFont="1" applyBorder="1"/>
    <xf numFmtId="172" fontId="77" fillId="0" borderId="0" xfId="5" applyFont="1" applyAlignment="1">
      <alignment horizontal="left"/>
    </xf>
    <xf numFmtId="172" fontId="71" fillId="0" borderId="0" xfId="5" applyFont="1" applyAlignment="1">
      <alignment horizontal="right"/>
    </xf>
    <xf numFmtId="172" fontId="71" fillId="0" borderId="108" xfId="5" applyFont="1" applyBorder="1" applyAlignment="1">
      <alignment horizontal="right"/>
    </xf>
    <xf numFmtId="172" fontId="77" fillId="0" borderId="0" xfId="5" quotePrefix="1" applyFont="1" applyAlignment="1">
      <alignment horizontal="left"/>
    </xf>
    <xf numFmtId="172" fontId="71" fillId="0" borderId="21" xfId="5" applyFont="1" applyBorder="1"/>
    <xf numFmtId="172" fontId="68" fillId="0" borderId="45" xfId="5" applyBorder="1"/>
    <xf numFmtId="172" fontId="75" fillId="0" borderId="108" xfId="5" applyFont="1" applyBorder="1" applyAlignment="1" applyProtection="1">
      <alignment horizontal="center"/>
      <protection locked="0"/>
    </xf>
    <xf numFmtId="1" fontId="75" fillId="0" borderId="108" xfId="5" applyNumberFormat="1" applyFont="1" applyBorder="1" applyAlignment="1">
      <alignment horizontal="center"/>
    </xf>
    <xf numFmtId="172" fontId="75" fillId="0" borderId="108" xfId="5" applyFont="1" applyBorder="1"/>
    <xf numFmtId="172" fontId="75" fillId="0" borderId="48" xfId="5" applyFont="1" applyBorder="1"/>
    <xf numFmtId="172" fontId="75" fillId="0" borderId="48" xfId="5" applyFont="1" applyBorder="1" applyAlignment="1">
      <alignment horizontal="left"/>
    </xf>
    <xf numFmtId="172" fontId="76" fillId="0" borderId="139" xfId="5" applyFont="1" applyBorder="1" applyAlignment="1">
      <alignment horizontal="centerContinuous"/>
    </xf>
    <xf numFmtId="172" fontId="72" fillId="0" borderId="140" xfId="5" applyFont="1" applyBorder="1" applyAlignment="1">
      <alignment horizontal="centerContinuous"/>
    </xf>
    <xf numFmtId="172" fontId="68" fillId="0" borderId="141" xfId="5" applyBorder="1"/>
    <xf numFmtId="172" fontId="72" fillId="0" borderId="142" xfId="5" applyFont="1" applyBorder="1" applyAlignment="1">
      <alignment horizontal="centerContinuous"/>
    </xf>
    <xf numFmtId="172" fontId="77" fillId="0" borderId="45" xfId="5" applyFont="1" applyBorder="1" applyAlignment="1">
      <alignment horizontal="left"/>
    </xf>
    <xf numFmtId="172" fontId="68" fillId="0" borderId="108" xfId="5" applyBorder="1"/>
    <xf numFmtId="167" fontId="75" fillId="0" borderId="0" xfId="5" applyNumberFormat="1" applyFont="1" applyAlignment="1" applyProtection="1">
      <alignment horizontal="center"/>
      <protection locked="0"/>
    </xf>
    <xf numFmtId="172" fontId="75" fillId="0" borderId="45" xfId="5" applyFont="1" applyBorder="1" applyAlignment="1">
      <alignment horizontal="left"/>
    </xf>
    <xf numFmtId="172" fontId="68" fillId="0" borderId="48" xfId="5" applyBorder="1"/>
    <xf numFmtId="172" fontId="72" fillId="0" borderId="0" xfId="5" applyFont="1" applyAlignment="1">
      <alignment horizontal="left"/>
    </xf>
    <xf numFmtId="172" fontId="72" fillId="0" borderId="139" xfId="5" applyFont="1" applyBorder="1"/>
    <xf numFmtId="172" fontId="71" fillId="0" borderId="140" xfId="5" applyFont="1" applyBorder="1" applyAlignment="1">
      <alignment horizontal="left"/>
    </xf>
    <xf numFmtId="172" fontId="71" fillId="0" borderId="142" xfId="5" applyFont="1" applyBorder="1" applyAlignment="1">
      <alignment horizontal="left"/>
    </xf>
    <xf numFmtId="172" fontId="75" fillId="0" borderId="45" xfId="5" quotePrefix="1" applyFont="1" applyBorder="1" applyAlignment="1">
      <alignment horizontal="left"/>
    </xf>
    <xf numFmtId="172" fontId="75" fillId="0" borderId="21" xfId="5" applyFont="1" applyBorder="1" applyAlignment="1">
      <alignment horizontal="left"/>
    </xf>
    <xf numFmtId="172" fontId="78" fillId="0" borderId="143" xfId="5" applyFont="1" applyBorder="1"/>
    <xf numFmtId="172" fontId="75" fillId="0" borderId="0" xfId="5" quotePrefix="1" applyFont="1" applyAlignment="1">
      <alignment horizontal="left"/>
    </xf>
    <xf numFmtId="172" fontId="75" fillId="0" borderId="144" xfId="5" quotePrefix="1" applyFont="1" applyBorder="1" applyAlignment="1">
      <alignment horizontal="left"/>
    </xf>
    <xf numFmtId="172" fontId="75" fillId="0" borderId="145" xfId="5" quotePrefix="1" applyFont="1" applyBorder="1" applyAlignment="1">
      <alignment horizontal="left"/>
    </xf>
    <xf numFmtId="172" fontId="75" fillId="0" borderId="46" xfId="5" applyFont="1" applyBorder="1" applyAlignment="1">
      <alignment horizontal="left"/>
    </xf>
    <xf numFmtId="172" fontId="75" fillId="0" borderId="23" xfId="5" applyFont="1" applyBorder="1" applyAlignment="1">
      <alignment horizontal="left"/>
    </xf>
    <xf numFmtId="172" fontId="75" fillId="0" borderId="24" xfId="5" applyFont="1" applyBorder="1" applyAlignment="1">
      <alignment horizontal="left"/>
    </xf>
    <xf numFmtId="172" fontId="71" fillId="0" borderId="0" xfId="5" applyFont="1" applyAlignment="1">
      <alignment horizontal="left"/>
    </xf>
    <xf numFmtId="172" fontId="79" fillId="0" borderId="0" xfId="5" applyFont="1" applyAlignment="1">
      <alignment horizontal="right"/>
    </xf>
    <xf numFmtId="172" fontId="68" fillId="0" borderId="0" xfId="5" applyAlignment="1">
      <alignment horizontal="right"/>
    </xf>
    <xf numFmtId="49" fontId="61" fillId="0" borderId="40" xfId="4" applyNumberFormat="1" applyFont="1" applyBorder="1"/>
    <xf numFmtId="0" fontId="61" fillId="0" borderId="1" xfId="4" applyFont="1" applyBorder="1" applyAlignment="1">
      <alignment horizontal="center" shrinkToFit="1"/>
    </xf>
    <xf numFmtId="0" fontId="61" fillId="0" borderId="39" xfId="4" applyFont="1" applyBorder="1" applyAlignment="1">
      <alignment horizontal="center" shrinkToFit="1"/>
    </xf>
    <xf numFmtId="0" fontId="28" fillId="5" borderId="80" xfId="1" applyFont="1" applyFill="1" applyBorder="1"/>
    <xf numFmtId="0" fontId="28" fillId="5" borderId="81" xfId="1" applyFont="1" applyFill="1" applyBorder="1"/>
    <xf numFmtId="0" fontId="28" fillId="5" borderId="82" xfId="1" applyFont="1" applyFill="1" applyBorder="1" applyAlignment="1">
      <alignment horizontal="right"/>
    </xf>
    <xf numFmtId="0" fontId="30" fillId="5" borderId="68" xfId="2" applyFont="1" applyFill="1" applyBorder="1" applyAlignment="1">
      <alignment horizontal="left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10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50" fillId="5" borderId="115" xfId="1" applyFont="1" applyFill="1" applyBorder="1" applyAlignment="1">
      <alignment horizontal="center"/>
    </xf>
    <xf numFmtId="0" fontId="50" fillId="5" borderId="11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2" applyNumberFormat="1" applyFont="1" applyFill="1" applyBorder="1" applyAlignment="1">
      <alignment horizontal="center"/>
    </xf>
    <xf numFmtId="169" fontId="38" fillId="5" borderId="66" xfId="2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6" fillId="0" borderId="75" xfId="2" applyFont="1" applyBorder="1" applyAlignment="1">
      <alignment horizontal="left"/>
    </xf>
    <xf numFmtId="0" fontId="36" fillId="0" borderId="68" xfId="2" applyFont="1" applyBorder="1" applyAlignment="1">
      <alignment horizontal="left"/>
    </xf>
    <xf numFmtId="0" fontId="36" fillId="0" borderId="69" xfId="2" applyFont="1" applyBorder="1" applyAlignment="1">
      <alignment horizontal="left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53" fillId="0" borderId="17" xfId="3" applyBorder="1" applyAlignment="1">
      <alignment horizontal="left"/>
    </xf>
    <xf numFmtId="0" fontId="53" fillId="0" borderId="129" xfId="3" applyBorder="1" applyAlignment="1">
      <alignment horizontal="left"/>
    </xf>
    <xf numFmtId="170" fontId="53" fillId="0" borderId="17" xfId="3" applyNumberFormat="1" applyBorder="1" applyAlignment="1">
      <alignment horizontal="center"/>
    </xf>
    <xf numFmtId="170" fontId="53" fillId="0" borderId="129" xfId="3" applyNumberFormat="1" applyBorder="1" applyAlignment="1">
      <alignment horizontal="center"/>
    </xf>
    <xf numFmtId="170" fontId="53" fillId="0" borderId="130" xfId="3" applyNumberFormat="1" applyBorder="1" applyAlignment="1">
      <alignment horizontal="center"/>
    </xf>
    <xf numFmtId="49" fontId="53" fillId="0" borderId="17" xfId="3" applyNumberFormat="1" applyBorder="1" applyAlignment="1">
      <alignment horizontal="center"/>
    </xf>
    <xf numFmtId="49" fontId="53" fillId="0" borderId="129" xfId="3" applyNumberFormat="1" applyBorder="1" applyAlignment="1">
      <alignment horizontal="center"/>
    </xf>
    <xf numFmtId="49" fontId="53" fillId="0" borderId="16" xfId="3" applyNumberFormat="1" applyBorder="1" applyAlignment="1">
      <alignment horizontal="center"/>
    </xf>
    <xf numFmtId="0" fontId="53" fillId="0" borderId="31" xfId="3" applyBorder="1" applyAlignment="1">
      <alignment horizontal="left"/>
    </xf>
    <xf numFmtId="0" fontId="53" fillId="0" borderId="51" xfId="3" applyBorder="1" applyAlignment="1">
      <alignment horizontal="left"/>
    </xf>
    <xf numFmtId="170" fontId="53" fillId="0" borderId="31" xfId="3" applyNumberFormat="1" applyBorder="1" applyAlignment="1">
      <alignment horizontal="center"/>
    </xf>
    <xf numFmtId="170" fontId="53" fillId="0" borderId="51" xfId="3" applyNumberFormat="1" applyBorder="1" applyAlignment="1">
      <alignment horizontal="center"/>
    </xf>
    <xf numFmtId="170" fontId="53" fillId="0" borderId="131" xfId="3" applyNumberFormat="1" applyBorder="1" applyAlignment="1">
      <alignment horizontal="center"/>
    </xf>
    <xf numFmtId="49" fontId="53" fillId="0" borderId="31" xfId="3" applyNumberFormat="1" applyBorder="1" applyAlignment="1">
      <alignment horizontal="center"/>
    </xf>
    <xf numFmtId="49" fontId="53" fillId="0" borderId="51" xfId="3" applyNumberFormat="1" applyBorder="1" applyAlignment="1">
      <alignment horizontal="center"/>
    </xf>
    <xf numFmtId="49" fontId="53" fillId="0" borderId="32" xfId="3" applyNumberFormat="1" applyBorder="1" applyAlignment="1">
      <alignment horizontal="center"/>
    </xf>
    <xf numFmtId="0" fontId="53" fillId="0" borderId="50" xfId="3" applyBorder="1" applyAlignment="1">
      <alignment horizontal="left"/>
    </xf>
    <xf numFmtId="0" fontId="53" fillId="0" borderId="13" xfId="3" applyBorder="1" applyAlignment="1">
      <alignment horizontal="left"/>
    </xf>
    <xf numFmtId="170" fontId="53" fillId="0" borderId="50" xfId="3" applyNumberFormat="1" applyBorder="1" applyAlignment="1">
      <alignment horizontal="center"/>
    </xf>
    <xf numFmtId="170" fontId="53" fillId="0" borderId="13" xfId="3" applyNumberFormat="1" applyBorder="1" applyAlignment="1">
      <alignment horizontal="center"/>
    </xf>
    <xf numFmtId="170" fontId="53" fillId="0" borderId="55" xfId="3" applyNumberFormat="1" applyBorder="1" applyAlignment="1">
      <alignment horizontal="center"/>
    </xf>
    <xf numFmtId="49" fontId="53" fillId="0" borderId="50" xfId="3" applyNumberFormat="1" applyBorder="1" applyAlignment="1">
      <alignment horizontal="center"/>
    </xf>
    <xf numFmtId="49" fontId="53" fillId="0" borderId="13" xfId="3" applyNumberFormat="1" applyBorder="1" applyAlignment="1">
      <alignment horizontal="center"/>
    </xf>
    <xf numFmtId="49" fontId="53" fillId="0" borderId="14" xfId="3" applyNumberForma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5" fillId="0" borderId="53" xfId="3" applyFont="1" applyBorder="1" applyAlignment="1">
      <alignment horizontal="center"/>
    </xf>
    <xf numFmtId="0" fontId="54" fillId="0" borderId="15" xfId="3" applyFont="1" applyBorder="1" applyAlignment="1">
      <alignment horizontal="center"/>
    </xf>
    <xf numFmtId="0" fontId="54" fillId="0" borderId="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0" fontId="54" fillId="0" borderId="8" xfId="3" applyFont="1" applyBorder="1" applyAlignment="1">
      <alignment horizontal="center"/>
    </xf>
    <xf numFmtId="0" fontId="58" fillId="0" borderId="17" xfId="4" applyFont="1" applyBorder="1" applyAlignment="1">
      <alignment horizontal="right"/>
    </xf>
    <xf numFmtId="0" fontId="58" fillId="0" borderId="129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59" fillId="0" borderId="0" xfId="4" applyFont="1" applyAlignment="1">
      <alignment horizontal="right"/>
    </xf>
    <xf numFmtId="0" fontId="58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31" fillId="0" borderId="129" xfId="4" applyFont="1" applyBorder="1" applyAlignment="1">
      <alignment horizontal="center"/>
    </xf>
    <xf numFmtId="0" fontId="31" fillId="0" borderId="130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0" fillId="0" borderId="17" xfId="4" applyFont="1" applyBorder="1" applyAlignment="1">
      <alignment horizontal="center"/>
    </xf>
    <xf numFmtId="172" fontId="80" fillId="0" borderId="146" xfId="5" applyFont="1" applyBorder="1" applyAlignment="1" applyProtection="1">
      <alignment horizontal="center"/>
      <protection locked="0"/>
    </xf>
    <xf numFmtId="14" fontId="23" fillId="0" borderId="146" xfId="5" quotePrefix="1" applyNumberFormat="1" applyFont="1" applyBorder="1" applyAlignment="1" applyProtection="1">
      <alignment horizontal="center"/>
      <protection locked="0"/>
    </xf>
    <xf numFmtId="0" fontId="61" fillId="0" borderId="17" xfId="4" applyFont="1" applyBorder="1" applyAlignment="1">
      <alignment horizontal="center"/>
    </xf>
    <xf numFmtId="0" fontId="61" fillId="0" borderId="129" xfId="4" applyFont="1" applyBorder="1" applyAlignment="1">
      <alignment horizontal="center"/>
    </xf>
    <xf numFmtId="0" fontId="61" fillId="0" borderId="130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  <xf numFmtId="0" fontId="65" fillId="0" borderId="83" xfId="4" applyFont="1" applyBorder="1" applyAlignment="1">
      <alignment horizontal="center"/>
    </xf>
    <xf numFmtId="0" fontId="65" fillId="0" borderId="0" xfId="4" applyFont="1" applyAlignment="1">
      <alignment horizontal="center"/>
    </xf>
    <xf numFmtId="0" fontId="65" fillId="0" borderId="108" xfId="4" applyFont="1" applyBorder="1" applyAlignment="1">
      <alignment horizontal="center"/>
    </xf>
    <xf numFmtId="0" fontId="81" fillId="5" borderId="68" xfId="2" applyFont="1" applyFill="1" applyBorder="1" applyAlignment="1">
      <alignment horizontal="left"/>
    </xf>
    <xf numFmtId="0" fontId="81" fillId="5" borderId="68" xfId="1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7.1999994106590748E-3</c:v>
                </c:pt>
                <c:pt idx="2">
                  <c:v>3.5999998450279236E-2</c:v>
                </c:pt>
                <c:pt idx="3" formatCode="0.00">
                  <c:v>8.673684298992157E-2</c:v>
                </c:pt>
                <c:pt idx="4" formatCode="0.00">
                  <c:v>0.1374736875295639</c:v>
                </c:pt>
                <c:pt idx="5" formatCode="0.00">
                  <c:v>0.18821053206920624</c:v>
                </c:pt>
                <c:pt idx="6" formatCode="0.00">
                  <c:v>0.28968420624732971</c:v>
                </c:pt>
                <c:pt idx="7" formatCode="0.00">
                  <c:v>0.39115789532661438</c:v>
                </c:pt>
                <c:pt idx="8" formatCode="0.00">
                  <c:v>0.49263158440589905</c:v>
                </c:pt>
                <c:pt idx="9" formatCode="0.00">
                  <c:v>0.5941053032875061</c:v>
                </c:pt>
                <c:pt idx="10" formatCode="0.00">
                  <c:v>0.695578932762146</c:v>
                </c:pt>
                <c:pt idx="11" formatCode="0.00">
                  <c:v>0.79705262184143066</c:v>
                </c:pt>
                <c:pt idx="12" formatCode="0.00">
                  <c:v>0.89852631092071533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146.34402125372978</c:v>
                </c:pt>
                <c:pt idx="2">
                  <c:v>270</c:v>
                </c:pt>
                <c:pt idx="3">
                  <c:v>166.4063110281443</c:v>
                </c:pt>
                <c:pt idx="4">
                  <c:v>122.55451110337785</c:v>
                </c:pt>
                <c:pt idx="5">
                  <c:v>102.89033109816444</c:v>
                </c:pt>
                <c:pt idx="6">
                  <c:v>90.597308532431668</c:v>
                </c:pt>
                <c:pt idx="7">
                  <c:v>84.471646205199505</c:v>
                </c:pt>
                <c:pt idx="8">
                  <c:v>80.691836505367689</c:v>
                </c:pt>
                <c:pt idx="9">
                  <c:v>78.276656603210768</c:v>
                </c:pt>
                <c:pt idx="10">
                  <c:v>76.761589788100508</c:v>
                </c:pt>
                <c:pt idx="11">
                  <c:v>75.84014546440406</c:v>
                </c:pt>
                <c:pt idx="12">
                  <c:v>75.300480258299501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7-4B3D-AC03-351B16E95036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7.1999994106590748E-3</c:v>
                </c:pt>
                <c:pt idx="2">
                  <c:v>3.5999998450279236E-2</c:v>
                </c:pt>
                <c:pt idx="3" formatCode="0.00">
                  <c:v>8.673684298992157E-2</c:v>
                </c:pt>
                <c:pt idx="4" formatCode="0.00">
                  <c:v>0.1374736875295639</c:v>
                </c:pt>
                <c:pt idx="5" formatCode="0.00">
                  <c:v>0.18821053206920624</c:v>
                </c:pt>
                <c:pt idx="6" formatCode="0.00">
                  <c:v>0.28968420624732971</c:v>
                </c:pt>
                <c:pt idx="7" formatCode="0.00">
                  <c:v>0.39115789532661438</c:v>
                </c:pt>
                <c:pt idx="8" formatCode="0.00">
                  <c:v>0.49263158440589905</c:v>
                </c:pt>
                <c:pt idx="9" formatCode="0.00">
                  <c:v>0.5941053032875061</c:v>
                </c:pt>
                <c:pt idx="10" formatCode="0.00">
                  <c:v>0.695578932762146</c:v>
                </c:pt>
                <c:pt idx="11" formatCode="0.00">
                  <c:v>0.79705262184143066</c:v>
                </c:pt>
                <c:pt idx="12" formatCode="0.00">
                  <c:v>0.89852631092071533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39</c:v>
                </c:pt>
                <c:pt idx="1">
                  <c:v>37.560001373291016</c:v>
                </c:pt>
                <c:pt idx="2">
                  <c:v>36.349998474121094</c:v>
                </c:pt>
                <c:pt idx="3">
                  <c:v>35.265262603759766</c:v>
                </c:pt>
                <c:pt idx="4">
                  <c:v>34.250526428222656</c:v>
                </c:pt>
                <c:pt idx="5">
                  <c:v>33.235790252685547</c:v>
                </c:pt>
                <c:pt idx="6">
                  <c:v>32.103157043457031</c:v>
                </c:pt>
                <c:pt idx="7">
                  <c:v>31.088420867919922</c:v>
                </c:pt>
                <c:pt idx="8">
                  <c:v>30.073684692382813</c:v>
                </c:pt>
                <c:pt idx="9">
                  <c:v>30</c:v>
                </c:pt>
                <c:pt idx="10">
                  <c:v>30.955789566040039</c:v>
                </c:pt>
                <c:pt idx="11">
                  <c:v>32.941051483154297</c:v>
                </c:pt>
                <c:pt idx="12">
                  <c:v>34.970527648925781</c:v>
                </c:pt>
                <c:pt idx="13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D7-4B3D-AC03-351B16E95036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7.1999994106590748E-3</c:v>
                </c:pt>
                <c:pt idx="2">
                  <c:v>3.5999998450279236E-2</c:v>
                </c:pt>
                <c:pt idx="3" formatCode="0.00">
                  <c:v>8.673684298992157E-2</c:v>
                </c:pt>
                <c:pt idx="4" formatCode="0.00">
                  <c:v>0.1374736875295639</c:v>
                </c:pt>
                <c:pt idx="5" formatCode="0.00">
                  <c:v>0.18821053206920624</c:v>
                </c:pt>
                <c:pt idx="6" formatCode="0.00">
                  <c:v>0.28968420624732971</c:v>
                </c:pt>
                <c:pt idx="7" formatCode="0.00">
                  <c:v>0.39115789532661438</c:v>
                </c:pt>
                <c:pt idx="8" formatCode="0.00">
                  <c:v>0.49263158440589905</c:v>
                </c:pt>
                <c:pt idx="9" formatCode="0.00">
                  <c:v>0.5941053032875061</c:v>
                </c:pt>
                <c:pt idx="10" formatCode="0.00">
                  <c:v>0.695578932762146</c:v>
                </c:pt>
                <c:pt idx="11" formatCode="0.00">
                  <c:v>0.79705262184143066</c:v>
                </c:pt>
                <c:pt idx="12" formatCode="0.00">
                  <c:v>0.89852631092071533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DesignSheet!$B$100:$B$113</c:f>
              <c:numCache>
                <c:formatCode>0.0</c:formatCode>
                <c:ptCount val="14"/>
                <c:pt idx="0">
                  <c:v>0</c:v>
                </c:pt>
                <c:pt idx="1">
                  <c:v>118.53865369274043</c:v>
                </c:pt>
                <c:pt idx="2">
                  <c:v>218.69998841285721</c:v>
                </c:pt>
                <c:pt idx="3">
                  <c:v>134.78910479709253</c:v>
                </c:pt>
                <c:pt idx="4">
                  <c:v>99.26914947991088</c:v>
                </c:pt>
                <c:pt idx="5">
                  <c:v>83.341160821852995</c:v>
                </c:pt>
                <c:pt idx="6">
                  <c:v>73.38381340324527</c:v>
                </c:pt>
                <c:pt idx="7">
                  <c:v>68.42203220250687</c:v>
                </c:pt>
                <c:pt idx="8">
                  <c:v>65.360381668918166</c:v>
                </c:pt>
                <c:pt idx="9">
                  <c:v>63.404088895369028</c:v>
                </c:pt>
                <c:pt idx="10">
                  <c:v>62.176883836487328</c:v>
                </c:pt>
                <c:pt idx="11">
                  <c:v>61.430517375176755</c:v>
                </c:pt>
                <c:pt idx="12">
                  <c:v>60.993388568380624</c:v>
                </c:pt>
                <c:pt idx="13">
                  <c:v>60.749996781349225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D7-4B3D-AC03-351B16E9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690496"/>
        <c:axId val="21769241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7.1999994106590748E-3</c:v>
                </c:pt>
                <c:pt idx="2">
                  <c:v>3.5999998450279236E-2</c:v>
                </c:pt>
                <c:pt idx="3" formatCode="0.00">
                  <c:v>8.673684298992157E-2</c:v>
                </c:pt>
                <c:pt idx="4" formatCode="0.00">
                  <c:v>0.1374736875295639</c:v>
                </c:pt>
                <c:pt idx="5" formatCode="0.00">
                  <c:v>0.18821053206920624</c:v>
                </c:pt>
                <c:pt idx="6" formatCode="0.00">
                  <c:v>0.28968420624732971</c:v>
                </c:pt>
                <c:pt idx="7" formatCode="0.00">
                  <c:v>0.39115789532661438</c:v>
                </c:pt>
                <c:pt idx="8" formatCode="0.00">
                  <c:v>0.49263158440589905</c:v>
                </c:pt>
                <c:pt idx="9" formatCode="0.00">
                  <c:v>0.5941053032875061</c:v>
                </c:pt>
                <c:pt idx="10" formatCode="0.00">
                  <c:v>0.695578932762146</c:v>
                </c:pt>
                <c:pt idx="11" formatCode="0.00">
                  <c:v>0.79705262184143066</c:v>
                </c:pt>
                <c:pt idx="12" formatCode="0.00">
                  <c:v>0.89852631092071533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0.27352383732795715</c:v>
                </c:pt>
                <c:pt idx="1">
                  <c:v>161.47523498535156</c:v>
                </c:pt>
                <c:pt idx="2">
                  <c:v>474.05218505859375</c:v>
                </c:pt>
                <c:pt idx="3">
                  <c:v>551.46063232421875</c:v>
                </c:pt>
                <c:pt idx="4">
                  <c:v>571.48907470703125</c:v>
                </c:pt>
                <c:pt idx="5">
                  <c:v>579.48150634765625</c:v>
                </c:pt>
                <c:pt idx="6">
                  <c:v>586.6202392578125</c:v>
                </c:pt>
                <c:pt idx="7">
                  <c:v>590.99688720703125</c:v>
                </c:pt>
                <c:pt idx="8">
                  <c:v>594.75958251953125</c:v>
                </c:pt>
                <c:pt idx="9">
                  <c:v>598.152587890625</c:v>
                </c:pt>
                <c:pt idx="10">
                  <c:v>601.1685791015625</c:v>
                </c:pt>
                <c:pt idx="11">
                  <c:v>603.8128662109375</c:v>
                </c:pt>
                <c:pt idx="12">
                  <c:v>606.12066650390625</c:v>
                </c:pt>
                <c:pt idx="13">
                  <c:v>608.1395263671875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D7-4B3D-AC03-351B16E95036}"/>
            </c:ext>
          </c:extLst>
        </c:ser>
        <c:ser>
          <c:idx val="4"/>
          <c:order val="4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7.1999994106590748E-3</c:v>
                </c:pt>
                <c:pt idx="2">
                  <c:v>3.5999998450279236E-2</c:v>
                </c:pt>
                <c:pt idx="3" formatCode="0.00">
                  <c:v>8.673684298992157E-2</c:v>
                </c:pt>
                <c:pt idx="4" formatCode="0.00">
                  <c:v>0.1374736875295639</c:v>
                </c:pt>
                <c:pt idx="5" formatCode="0.00">
                  <c:v>0.18821053206920624</c:v>
                </c:pt>
                <c:pt idx="6" formatCode="0.00">
                  <c:v>0.28968420624732971</c:v>
                </c:pt>
                <c:pt idx="7" formatCode="0.00">
                  <c:v>0.39115789532661438</c:v>
                </c:pt>
                <c:pt idx="8" formatCode="0.00">
                  <c:v>0.49263158440589905</c:v>
                </c:pt>
                <c:pt idx="9" formatCode="0.00">
                  <c:v>0.5941053032875061</c:v>
                </c:pt>
                <c:pt idx="10" formatCode="0.00">
                  <c:v>0.695578932762146</c:v>
                </c:pt>
                <c:pt idx="11" formatCode="0.00">
                  <c:v>0.79705262184143066</c:v>
                </c:pt>
                <c:pt idx="12" formatCode="0.00">
                  <c:v>0.89852631092071533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DesignSheet!$C$100:$C$113</c:f>
              <c:numCache>
                <c:formatCode>0.0</c:formatCode>
                <c:ptCount val="14"/>
                <c:pt idx="0">
                  <c:v>21.170743942260742</c:v>
                </c:pt>
                <c:pt idx="1">
                  <c:v>145.32771301269531</c:v>
                </c:pt>
                <c:pt idx="2">
                  <c:v>426.64694213867188</c:v>
                </c:pt>
                <c:pt idx="3">
                  <c:v>496.31454467773438</c:v>
                </c:pt>
                <c:pt idx="4">
                  <c:v>514.34014892578125</c:v>
                </c:pt>
                <c:pt idx="5">
                  <c:v>521.5333251953125</c:v>
                </c:pt>
                <c:pt idx="6">
                  <c:v>527.95819091796875</c:v>
                </c:pt>
                <c:pt idx="7">
                  <c:v>531.89715576171875</c:v>
                </c:pt>
                <c:pt idx="8">
                  <c:v>535.28363037109375</c:v>
                </c:pt>
                <c:pt idx="9">
                  <c:v>538.33734130859375</c:v>
                </c:pt>
                <c:pt idx="10">
                  <c:v>541.05169677734375</c:v>
                </c:pt>
                <c:pt idx="11">
                  <c:v>543.43157958984375</c:v>
                </c:pt>
                <c:pt idx="12">
                  <c:v>545.50860595703125</c:v>
                </c:pt>
                <c:pt idx="13">
                  <c:v>547.3255615234375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D7-4B3D-AC03-351B16E9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706880"/>
        <c:axId val="217708416"/>
      </c:scatterChart>
      <c:valAx>
        <c:axId val="21769049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7692416"/>
        <c:crossesAt val="0"/>
        <c:crossBetween val="midCat"/>
        <c:majorUnit val="0.2"/>
        <c:minorUnit val="0.2"/>
      </c:valAx>
      <c:valAx>
        <c:axId val="21769241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7690496"/>
        <c:crosses val="max"/>
        <c:crossBetween val="midCat"/>
        <c:majorUnit val="50"/>
        <c:minorUnit val="50"/>
      </c:valAx>
      <c:valAx>
        <c:axId val="21770688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17708416"/>
        <c:crosses val="autoZero"/>
        <c:crossBetween val="midCat"/>
      </c:valAx>
      <c:valAx>
        <c:axId val="2177084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770688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0.90)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99.280000058934093</c:v>
                </c:pt>
                <c:pt idx="2">
                  <c:v>96.400000154972076</c:v>
                </c:pt>
                <c:pt idx="3">
                  <c:v>91.326315701007843</c:v>
                </c:pt>
                <c:pt idx="4">
                  <c:v>86.25263124704361</c:v>
                </c:pt>
                <c:pt idx="5">
                  <c:v>81.178946793079376</c:v>
                </c:pt>
                <c:pt idx="6">
                  <c:v>71.031579375267029</c:v>
                </c:pt>
                <c:pt idx="7">
                  <c:v>60.884210467338562</c:v>
                </c:pt>
                <c:pt idx="8">
                  <c:v>50.736841559410095</c:v>
                </c:pt>
                <c:pt idx="9">
                  <c:v>40.58946967124939</c:v>
                </c:pt>
                <c:pt idx="10">
                  <c:v>30.4421067237854</c:v>
                </c:pt>
                <c:pt idx="11">
                  <c:v>20.294737815856934</c:v>
                </c:pt>
                <c:pt idx="12">
                  <c:v>10.147368907928467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146.34402125372978</c:v>
                </c:pt>
                <c:pt idx="2">
                  <c:v>270</c:v>
                </c:pt>
                <c:pt idx="3">
                  <c:v>166.4063110281443</c:v>
                </c:pt>
                <c:pt idx="4">
                  <c:v>122.55451110337785</c:v>
                </c:pt>
                <c:pt idx="5">
                  <c:v>102.89033109816444</c:v>
                </c:pt>
                <c:pt idx="6">
                  <c:v>90.597308532431668</c:v>
                </c:pt>
                <c:pt idx="7">
                  <c:v>84.471646205199505</c:v>
                </c:pt>
                <c:pt idx="8">
                  <c:v>80.691836505367689</c:v>
                </c:pt>
                <c:pt idx="9">
                  <c:v>78.276656603210768</c:v>
                </c:pt>
                <c:pt idx="10">
                  <c:v>76.761589788100508</c:v>
                </c:pt>
                <c:pt idx="11">
                  <c:v>75.84014546440406</c:v>
                </c:pt>
                <c:pt idx="12">
                  <c:v>75.300480258299501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35-4636-9780-F6AB9CB0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49504"/>
        <c:axId val="228168064"/>
      </c:scatterChart>
      <c:scatterChart>
        <c:scatterStyle val="lineMarker"/>
        <c:varyColors val="0"/>
        <c:ser>
          <c:idx val="2"/>
          <c:order val="2"/>
          <c:tx>
            <c:v>Load (Compressor)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99.280000058934093</c:v>
                </c:pt>
                <c:pt idx="2">
                  <c:v>96.400000154972076</c:v>
                </c:pt>
                <c:pt idx="3">
                  <c:v>91.326315701007843</c:v>
                </c:pt>
                <c:pt idx="4">
                  <c:v>86.25263124704361</c:v>
                </c:pt>
                <c:pt idx="5">
                  <c:v>81.178946793079376</c:v>
                </c:pt>
                <c:pt idx="6">
                  <c:v>71.031579375267029</c:v>
                </c:pt>
                <c:pt idx="7">
                  <c:v>60.884210467338562</c:v>
                </c:pt>
                <c:pt idx="8">
                  <c:v>50.736841559410095</c:v>
                </c:pt>
                <c:pt idx="9">
                  <c:v>40.58946967124939</c:v>
                </c:pt>
                <c:pt idx="10">
                  <c:v>30.4421067237854</c:v>
                </c:pt>
                <c:pt idx="11">
                  <c:v>20.294737815856934</c:v>
                </c:pt>
                <c:pt idx="12">
                  <c:v>10.147368907928467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39</c:v>
                </c:pt>
                <c:pt idx="1">
                  <c:v>37.560001373291016</c:v>
                </c:pt>
                <c:pt idx="2">
                  <c:v>36.349998474121094</c:v>
                </c:pt>
                <c:pt idx="3">
                  <c:v>35.265262603759766</c:v>
                </c:pt>
                <c:pt idx="4">
                  <c:v>34.250526428222656</c:v>
                </c:pt>
                <c:pt idx="5">
                  <c:v>33.235790252685547</c:v>
                </c:pt>
                <c:pt idx="6">
                  <c:v>32.103157043457031</c:v>
                </c:pt>
                <c:pt idx="7">
                  <c:v>31.088420867919922</c:v>
                </c:pt>
                <c:pt idx="8">
                  <c:v>30.073684692382813</c:v>
                </c:pt>
                <c:pt idx="9">
                  <c:v>30</c:v>
                </c:pt>
                <c:pt idx="10">
                  <c:v>30.955789566040039</c:v>
                </c:pt>
                <c:pt idx="11">
                  <c:v>32.941051483154297</c:v>
                </c:pt>
                <c:pt idx="12">
                  <c:v>34.970527648925781</c:v>
                </c:pt>
                <c:pt idx="13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5-4636-9780-F6AB9CB08DAE}"/>
            </c:ext>
          </c:extLst>
        </c:ser>
        <c:ser>
          <c:idx val="3"/>
          <c:order val="3"/>
          <c:tx>
            <c:v>Torque (FV / 0.90)</c:v>
          </c:tx>
          <c:spPr>
            <a:ln w="254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99.280000058934093</c:v>
                </c:pt>
                <c:pt idx="2">
                  <c:v>96.400000154972076</c:v>
                </c:pt>
                <c:pt idx="3">
                  <c:v>91.326315701007843</c:v>
                </c:pt>
                <c:pt idx="4">
                  <c:v>86.25263124704361</c:v>
                </c:pt>
                <c:pt idx="5">
                  <c:v>81.178946793079376</c:v>
                </c:pt>
                <c:pt idx="6">
                  <c:v>71.031579375267029</c:v>
                </c:pt>
                <c:pt idx="7">
                  <c:v>60.884210467338562</c:v>
                </c:pt>
                <c:pt idx="8">
                  <c:v>50.736841559410095</c:v>
                </c:pt>
                <c:pt idx="9">
                  <c:v>40.58946967124939</c:v>
                </c:pt>
                <c:pt idx="10">
                  <c:v>30.4421067237854</c:v>
                </c:pt>
                <c:pt idx="11">
                  <c:v>20.294737815856934</c:v>
                </c:pt>
                <c:pt idx="12">
                  <c:v>10.147368907928467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118.53865369274043</c:v>
                </c:pt>
                <c:pt idx="2">
                  <c:v>218.69998841285721</c:v>
                </c:pt>
                <c:pt idx="3">
                  <c:v>134.78910479709253</c:v>
                </c:pt>
                <c:pt idx="4">
                  <c:v>99.26914947991088</c:v>
                </c:pt>
                <c:pt idx="5">
                  <c:v>83.341160821852995</c:v>
                </c:pt>
                <c:pt idx="6">
                  <c:v>73.38381340324527</c:v>
                </c:pt>
                <c:pt idx="7">
                  <c:v>68.42203220250687</c:v>
                </c:pt>
                <c:pt idx="8">
                  <c:v>65.360381668918166</c:v>
                </c:pt>
                <c:pt idx="9">
                  <c:v>63.404088895369028</c:v>
                </c:pt>
                <c:pt idx="10">
                  <c:v>62.176883836487328</c:v>
                </c:pt>
                <c:pt idx="11">
                  <c:v>61.430517375176755</c:v>
                </c:pt>
                <c:pt idx="12">
                  <c:v>60.993388568380624</c:v>
                </c:pt>
                <c:pt idx="13">
                  <c:v>60.749996781349225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35-4636-9780-F6AB9CB0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49504"/>
        <c:axId val="228168064"/>
      </c:scatterChart>
      <c:scatterChart>
        <c:scatterStyle val="lineMarker"/>
        <c:varyColors val="0"/>
        <c:ser>
          <c:idx val="1"/>
          <c:order val="1"/>
          <c:tx>
            <c:v>Current (FV / 0.90)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99.280000058934093</c:v>
                </c:pt>
                <c:pt idx="2">
                  <c:v>96.400000154972076</c:v>
                </c:pt>
                <c:pt idx="3">
                  <c:v>91.326315701007843</c:v>
                </c:pt>
                <c:pt idx="4">
                  <c:v>86.25263124704361</c:v>
                </c:pt>
                <c:pt idx="5">
                  <c:v>81.178946793079376</c:v>
                </c:pt>
                <c:pt idx="6">
                  <c:v>71.031579375267029</c:v>
                </c:pt>
                <c:pt idx="7">
                  <c:v>60.884210467338562</c:v>
                </c:pt>
                <c:pt idx="8">
                  <c:v>50.736841559410095</c:v>
                </c:pt>
                <c:pt idx="9">
                  <c:v>40.58946967124939</c:v>
                </c:pt>
                <c:pt idx="10">
                  <c:v>30.4421067237854</c:v>
                </c:pt>
                <c:pt idx="11">
                  <c:v>20.294737815856934</c:v>
                </c:pt>
                <c:pt idx="12">
                  <c:v>10.147368907928467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0.27352383732795715</c:v>
                </c:pt>
                <c:pt idx="1">
                  <c:v>161.47523498535156</c:v>
                </c:pt>
                <c:pt idx="2">
                  <c:v>474.05218505859375</c:v>
                </c:pt>
                <c:pt idx="3">
                  <c:v>551.46063232421875</c:v>
                </c:pt>
                <c:pt idx="4">
                  <c:v>571.48907470703125</c:v>
                </c:pt>
                <c:pt idx="5">
                  <c:v>579.48150634765625</c:v>
                </c:pt>
                <c:pt idx="6">
                  <c:v>586.6202392578125</c:v>
                </c:pt>
                <c:pt idx="7">
                  <c:v>590.99688720703125</c:v>
                </c:pt>
                <c:pt idx="8">
                  <c:v>594.75958251953125</c:v>
                </c:pt>
                <c:pt idx="9">
                  <c:v>598.152587890625</c:v>
                </c:pt>
                <c:pt idx="10">
                  <c:v>601.1685791015625</c:v>
                </c:pt>
                <c:pt idx="11">
                  <c:v>603.8128662109375</c:v>
                </c:pt>
                <c:pt idx="12">
                  <c:v>606.12066650390625</c:v>
                </c:pt>
                <c:pt idx="13">
                  <c:v>608.1395263671875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35-4636-9780-F6AB9CB08DAE}"/>
            </c:ext>
          </c:extLst>
        </c:ser>
        <c:ser>
          <c:idx val="4"/>
          <c:order val="4"/>
          <c:tx>
            <c:v>Current (FV / 0.90)</c:v>
          </c:tx>
          <c:spPr>
            <a:ln w="2540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99.280000058934093</c:v>
                </c:pt>
                <c:pt idx="2">
                  <c:v>96.400000154972076</c:v>
                </c:pt>
                <c:pt idx="3">
                  <c:v>91.326315701007843</c:v>
                </c:pt>
                <c:pt idx="4">
                  <c:v>86.25263124704361</c:v>
                </c:pt>
                <c:pt idx="5">
                  <c:v>81.178946793079376</c:v>
                </c:pt>
                <c:pt idx="6">
                  <c:v>71.031579375267029</c:v>
                </c:pt>
                <c:pt idx="7">
                  <c:v>60.884210467338562</c:v>
                </c:pt>
                <c:pt idx="8">
                  <c:v>50.736841559410095</c:v>
                </c:pt>
                <c:pt idx="9">
                  <c:v>40.58946967124939</c:v>
                </c:pt>
                <c:pt idx="10">
                  <c:v>30.4421067237854</c:v>
                </c:pt>
                <c:pt idx="11">
                  <c:v>20.294737815856934</c:v>
                </c:pt>
                <c:pt idx="12">
                  <c:v>10.147368907928467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21.170743942260742</c:v>
                </c:pt>
                <c:pt idx="1">
                  <c:v>145.32771301269531</c:v>
                </c:pt>
                <c:pt idx="2">
                  <c:v>426.64694213867188</c:v>
                </c:pt>
                <c:pt idx="3">
                  <c:v>496.31454467773438</c:v>
                </c:pt>
                <c:pt idx="4">
                  <c:v>514.34014892578125</c:v>
                </c:pt>
                <c:pt idx="5">
                  <c:v>521.5333251953125</c:v>
                </c:pt>
                <c:pt idx="6">
                  <c:v>527.95819091796875</c:v>
                </c:pt>
                <c:pt idx="7">
                  <c:v>531.89715576171875</c:v>
                </c:pt>
                <c:pt idx="8">
                  <c:v>535.28363037109375</c:v>
                </c:pt>
                <c:pt idx="9">
                  <c:v>538.33734130859375</c:v>
                </c:pt>
                <c:pt idx="10">
                  <c:v>541.05169677734375</c:v>
                </c:pt>
                <c:pt idx="11">
                  <c:v>543.43157958984375</c:v>
                </c:pt>
                <c:pt idx="12">
                  <c:v>545.50860595703125</c:v>
                </c:pt>
                <c:pt idx="13">
                  <c:v>547.3255615234375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35-4636-9780-F6AB9CB0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69984"/>
        <c:axId val="228175872"/>
      </c:scatterChart>
      <c:valAx>
        <c:axId val="22814950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8168064"/>
        <c:crosses val="autoZero"/>
        <c:crossBetween val="midCat"/>
        <c:majorUnit val="20"/>
        <c:minorUnit val="20"/>
      </c:valAx>
      <c:valAx>
        <c:axId val="228168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8149504"/>
        <c:crosses val="autoZero"/>
        <c:crossBetween val="midCat"/>
      </c:valAx>
      <c:valAx>
        <c:axId val="22816998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8175872"/>
        <c:crosses val="autoZero"/>
        <c:crossBetween val="midCat"/>
      </c:valAx>
      <c:valAx>
        <c:axId val="228175872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816998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4210584927674287"/>
          <c:y val="0.89797291498258536"/>
          <c:w val="0.25567325136989455"/>
          <c:h val="0.102027085017414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608.1395348837209</c:v>
                </c:pt>
                <c:pt idx="1">
                  <c:v>543.43282790697674</c:v>
                </c:pt>
                <c:pt idx="2">
                  <c:v>478.70670697674416</c:v>
                </c:pt>
                <c:pt idx="3">
                  <c:v>414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43.831141357980954</c:v>
                </c:pt>
                <c:pt idx="2">
                  <c:v>56.485307204707098</c:v>
                </c:pt>
                <c:pt idx="3">
                  <c:v>75.522061693975331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C-493D-897B-88CDA9E1A20E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608.1395348837209</c:v>
                </c:pt>
                <c:pt idx="1">
                  <c:v>543.43282790697674</c:v>
                </c:pt>
                <c:pt idx="2">
                  <c:v>478.70670697674416</c:v>
                </c:pt>
                <c:pt idx="3">
                  <c:v>414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18.784774867706123</c:v>
                </c:pt>
                <c:pt idx="2">
                  <c:v>24.207988802017326</c:v>
                </c:pt>
                <c:pt idx="3">
                  <c:v>32.366597868846569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0C-493D-897B-88CDA9E1A20E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314</c:v>
                </c:pt>
                <c:pt idx="1">
                  <c:v>214</c:v>
                </c:pt>
                <c:pt idx="2">
                  <c:v>270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76.097467878310354</c:v>
                </c:pt>
                <c:pt idx="3">
                  <c:v>171.21930272619829</c:v>
                </c:pt>
                <c:pt idx="4">
                  <c:v>263.85281371361839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0C-493D-897B-88CDA9E1A20E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608.1395348837209</c:v>
                </c:pt>
                <c:pt idx="1">
                  <c:v>607.09302325581393</c:v>
                </c:pt>
                <c:pt idx="2">
                  <c:v>604.99999999999989</c:v>
                </c:pt>
                <c:pt idx="3">
                  <c:v>602.44186046511629</c:v>
                </c:pt>
                <c:pt idx="4">
                  <c:v>599.65116279069775</c:v>
                </c:pt>
                <c:pt idx="5">
                  <c:v>596.51162790697674</c:v>
                </c:pt>
                <c:pt idx="6">
                  <c:v>592.90697674418607</c:v>
                </c:pt>
                <c:pt idx="7">
                  <c:v>588.83720930232562</c:v>
                </c:pt>
                <c:pt idx="8">
                  <c:v>583.02325581395348</c:v>
                </c:pt>
                <c:pt idx="9">
                  <c:v>575.46511627906978</c:v>
                </c:pt>
                <c:pt idx="10">
                  <c:v>561.51162790697674</c:v>
                </c:pt>
                <c:pt idx="11">
                  <c:v>512.79069767441865</c:v>
                </c:pt>
                <c:pt idx="12">
                  <c:v>270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1.9919999837875366</c:v>
                </c:pt>
                <c:pt idx="2">
                  <c:v>3.7969999313354492</c:v>
                </c:pt>
                <c:pt idx="3">
                  <c:v>5.4879999160766602</c:v>
                </c:pt>
                <c:pt idx="4">
                  <c:v>7.0859999656677246</c:v>
                </c:pt>
                <c:pt idx="5">
                  <c:v>8.6059999465942383</c:v>
                </c:pt>
                <c:pt idx="6">
                  <c:v>10.050000190734863</c:v>
                </c:pt>
                <c:pt idx="7">
                  <c:v>11.393000602722168</c:v>
                </c:pt>
                <c:pt idx="8">
                  <c:v>12.565000534057617</c:v>
                </c:pt>
                <c:pt idx="9">
                  <c:v>13.040000915527344</c:v>
                </c:pt>
                <c:pt idx="10">
                  <c:v>13.382000923156738</c:v>
                </c:pt>
                <c:pt idx="11">
                  <c:v>13.588001251220703</c:v>
                </c:pt>
                <c:pt idx="12">
                  <c:v>13.712000846862793</c:v>
                </c:pt>
                <c:pt idx="13">
                  <c:v>13.731000900268555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0C-493D-897B-88CDA9E1A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225408"/>
        <c:axId val="228227328"/>
      </c:scatterChart>
      <c:valAx>
        <c:axId val="22822540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227328"/>
        <c:crossesAt val="0.1"/>
        <c:crossBetween val="midCat"/>
        <c:majorUnit val="100"/>
      </c:valAx>
      <c:valAx>
        <c:axId val="22822732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22540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84.652671813964844</c:v>
                </c:pt>
                <c:pt idx="2">
                  <c:v>91.107566833496094</c:v>
                </c:pt>
                <c:pt idx="3">
                  <c:v>93.297630310058594</c:v>
                </c:pt>
                <c:pt idx="4">
                  <c:v>94.285621643066406</c:v>
                </c:pt>
                <c:pt idx="5">
                  <c:v>94.764930725097656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04-48E8-8BB3-79628E0BABB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62.795696258544922</c:v>
                </c:pt>
                <c:pt idx="1">
                  <c:v>80.948448181152344</c:v>
                </c:pt>
                <c:pt idx="2">
                  <c:v>86.982154846191406</c:v>
                </c:pt>
                <c:pt idx="3">
                  <c:v>89.275779724121094</c:v>
                </c:pt>
                <c:pt idx="4">
                  <c:v>90.111335754394531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04-48E8-8BB3-79628E0BABB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70.776667042028677</c:v>
                </c:pt>
                <c:pt idx="2">
                  <c:v>59.857566919445794</c:v>
                </c:pt>
                <c:pt idx="3">
                  <c:v>48.769465687186745</c:v>
                </c:pt>
                <c:pt idx="4">
                  <c:v>37.525159107701398</c:v>
                </c:pt>
                <c:pt idx="5">
                  <c:v>26.146873491475979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04-48E8-8BB3-79628E0BABB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1.0411428571428571</c:v>
                </c:pt>
                <c:pt idx="1">
                  <c:v>11.012664775303261</c:v>
                </c:pt>
                <c:pt idx="2">
                  <c:v>20.464851897867806</c:v>
                </c:pt>
                <c:pt idx="3">
                  <c:v>29.976687107336563</c:v>
                </c:pt>
                <c:pt idx="4">
                  <c:v>39.550092207388843</c:v>
                </c:pt>
                <c:pt idx="5">
                  <c:v>49.18756566035141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04-48E8-8BB3-79628E0B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05152"/>
        <c:axId val="22990707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24.094658632027748</c:v>
                </c:pt>
                <c:pt idx="1">
                  <c:v>34.076057434082031</c:v>
                </c:pt>
                <c:pt idx="2">
                  <c:v>49.12322998046875</c:v>
                </c:pt>
                <c:pt idx="3">
                  <c:v>66.963829040527344</c:v>
                </c:pt>
                <c:pt idx="4">
                  <c:v>86.079689025878906</c:v>
                </c:pt>
                <c:pt idx="5">
                  <c:v>106.06271362304688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04-48E8-8BB3-79628E0B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13344"/>
        <c:axId val="229914880"/>
      </c:scatterChart>
      <c:valAx>
        <c:axId val="22990515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07072"/>
        <c:crossesAt val="0"/>
        <c:crossBetween val="midCat"/>
        <c:majorUnit val="25"/>
        <c:minorUnit val="12.5"/>
      </c:valAx>
      <c:valAx>
        <c:axId val="22990707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05152"/>
        <c:crosses val="autoZero"/>
        <c:crossBetween val="midCat"/>
        <c:majorUnit val="10"/>
        <c:minorUnit val="5"/>
      </c:valAx>
      <c:valAx>
        <c:axId val="22991334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29914880"/>
        <c:crosses val="autoZero"/>
        <c:crossBetween val="midCat"/>
      </c:valAx>
      <c:valAx>
        <c:axId val="229914880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3344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331.0</a:t>
          </a: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371475</xdr:colOff>
      <xdr:row>43</xdr:row>
      <xdr:rowOff>19050</xdr:rowOff>
    </xdr:to>
    <xdr:grpSp>
      <xdr:nvGrpSpPr>
        <xdr:cNvPr id="11" name="Group 19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923925" y="9163050"/>
          <a:ext cx="1143000" cy="752475"/>
          <a:chOff x="93" y="938"/>
          <a:chExt cx="120" cy="79"/>
        </a:xfrm>
      </xdr:grpSpPr>
      <xdr:sp macro="" textlink="">
        <xdr:nvSpPr>
          <xdr:cNvPr id="12" name="Line 10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0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0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0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0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Text 583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19" name="Group 11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21" name="Group 113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23" name="Line 114">
                <a:extLst>
                  <a:ext uri="{FF2B5EF4-FFF2-40B4-BE49-F238E27FC236}">
                    <a16:creationId xmlns:a16="http://schemas.microsoft.com/office/drawing/2014/main" id="{00000000-0008-0000-0100-00001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4" name="Line 115">
                <a:extLst>
                  <a:ext uri="{FF2B5EF4-FFF2-40B4-BE49-F238E27FC236}">
                    <a16:creationId xmlns:a16="http://schemas.microsoft.com/office/drawing/2014/main" id="{00000000-0008-0000-0100-00001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5" name="Line 116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6" name="Line 117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7" name="Line 118">
                <a:extLst>
                  <a:ext uri="{FF2B5EF4-FFF2-40B4-BE49-F238E27FC236}">
                    <a16:creationId xmlns:a16="http://schemas.microsoft.com/office/drawing/2014/main" id="{00000000-0008-0000-0100-00001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8" name="Line 119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" name="Line 120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0" name="Line 12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0.65835</cdr:x>
      <cdr:y>0.61549</cdr:y>
    </cdr:from>
    <cdr:to>
      <cdr:x>0.8942</cdr:x>
      <cdr:y>0.63618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0234" y="39630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0.65672</cdr:x>
      <cdr:y>0.54384</cdr:y>
    </cdr:from>
    <cdr:to>
      <cdr:x>0.93954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40709" y="35017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COMPRESSOR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494324</xdr:colOff>
      <xdr:row>16</xdr:row>
      <xdr:rowOff>45720</xdr:rowOff>
    </xdr:from>
    <xdr:to>
      <xdr:col>0</xdr:col>
      <xdr:colOff>1104901</xdr:colOff>
      <xdr:row>16</xdr:row>
      <xdr:rowOff>200025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94324" y="394144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484799</xdr:colOff>
      <xdr:row>17</xdr:row>
      <xdr:rowOff>226695</xdr:rowOff>
    </xdr:from>
    <xdr:to>
      <xdr:col>0</xdr:col>
      <xdr:colOff>1095376</xdr:colOff>
      <xdr:row>18</xdr:row>
      <xdr:rowOff>142875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484799" y="436054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475274</xdr:colOff>
      <xdr:row>19</xdr:row>
      <xdr:rowOff>160020</xdr:rowOff>
    </xdr:from>
    <xdr:to>
      <xdr:col>0</xdr:col>
      <xdr:colOff>1085851</xdr:colOff>
      <xdr:row>20</xdr:row>
      <xdr:rowOff>76200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475274" y="4770120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475274</xdr:colOff>
      <xdr:row>21</xdr:row>
      <xdr:rowOff>93345</xdr:rowOff>
    </xdr:from>
    <xdr:to>
      <xdr:col>0</xdr:col>
      <xdr:colOff>1085851</xdr:colOff>
      <xdr:row>22</xdr:row>
      <xdr:rowOff>9525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475274" y="517969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484799</xdr:colOff>
      <xdr:row>23</xdr:row>
      <xdr:rowOff>26670</xdr:rowOff>
    </xdr:from>
    <xdr:to>
      <xdr:col>0</xdr:col>
      <xdr:colOff>1095376</xdr:colOff>
      <xdr:row>23</xdr:row>
      <xdr:rowOff>180975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484799" y="5589270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484799</xdr:colOff>
      <xdr:row>24</xdr:row>
      <xdr:rowOff>198120</xdr:rowOff>
    </xdr:from>
    <xdr:to>
      <xdr:col>0</xdr:col>
      <xdr:colOff>1095376</xdr:colOff>
      <xdr:row>25</xdr:row>
      <xdr:rowOff>114300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484799" y="599884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475274</xdr:colOff>
      <xdr:row>26</xdr:row>
      <xdr:rowOff>131445</xdr:rowOff>
    </xdr:from>
    <xdr:to>
      <xdr:col>0</xdr:col>
      <xdr:colOff>1085851</xdr:colOff>
      <xdr:row>27</xdr:row>
      <xdr:rowOff>47625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475274" y="6408420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465749</xdr:colOff>
      <xdr:row>28</xdr:row>
      <xdr:rowOff>64770</xdr:rowOff>
    </xdr:from>
    <xdr:to>
      <xdr:col>0</xdr:col>
      <xdr:colOff>1076326</xdr:colOff>
      <xdr:row>28</xdr:row>
      <xdr:rowOff>219075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465749" y="681799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465749</xdr:colOff>
      <xdr:row>30</xdr:row>
      <xdr:rowOff>7620</xdr:rowOff>
    </xdr:from>
    <xdr:to>
      <xdr:col>0</xdr:col>
      <xdr:colOff>1076326</xdr:colOff>
      <xdr:row>30</xdr:row>
      <xdr:rowOff>161925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65749" y="723709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465749</xdr:colOff>
      <xdr:row>31</xdr:row>
      <xdr:rowOff>179070</xdr:rowOff>
    </xdr:from>
    <xdr:to>
      <xdr:col>0</xdr:col>
      <xdr:colOff>1076326</xdr:colOff>
      <xdr:row>32</xdr:row>
      <xdr:rowOff>95250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465749" y="7646670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475274</xdr:colOff>
      <xdr:row>33</xdr:row>
      <xdr:rowOff>112395</xdr:rowOff>
    </xdr:from>
    <xdr:to>
      <xdr:col>0</xdr:col>
      <xdr:colOff>1085851</xdr:colOff>
      <xdr:row>34</xdr:row>
      <xdr:rowOff>28575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475274" y="8056245"/>
          <a:ext cx="610577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285750</xdr:colOff>
      <xdr:row>24</xdr:row>
      <xdr:rowOff>95250</xdr:rowOff>
    </xdr:from>
    <xdr:to>
      <xdr:col>0</xdr:col>
      <xdr:colOff>495300</xdr:colOff>
      <xdr:row>26</xdr:row>
      <xdr:rowOff>200025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285750" y="58959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85725</xdr:rowOff>
    </xdr:from>
    <xdr:to>
      <xdr:col>5</xdr:col>
      <xdr:colOff>820025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48" y="3981450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380999</xdr:colOff>
      <xdr:row>25</xdr:row>
      <xdr:rowOff>0</xdr:rowOff>
    </xdr:from>
    <xdr:to>
      <xdr:col>5</xdr:col>
      <xdr:colOff>908549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4" y="6038850"/>
          <a:ext cx="5275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371473</xdr:colOff>
      <xdr:row>26</xdr:row>
      <xdr:rowOff>180975</xdr:rowOff>
    </xdr:from>
    <xdr:to>
      <xdr:col>5</xdr:col>
      <xdr:colOff>839075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598" y="6457950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380998</xdr:colOff>
      <xdr:row>28</xdr:row>
      <xdr:rowOff>114300</xdr:rowOff>
    </xdr:from>
    <xdr:to>
      <xdr:col>5</xdr:col>
      <xdr:colOff>848600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3" y="6867525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</a:t>
          </a:r>
        </a:p>
      </xdr:txBody>
    </xdr:sp>
    <xdr:clientData/>
  </xdr:twoCellAnchor>
  <xdr:twoCellAnchor>
    <xdr:from>
      <xdr:col>5</xdr:col>
      <xdr:colOff>371473</xdr:colOff>
      <xdr:row>30</xdr:row>
      <xdr:rowOff>38100</xdr:rowOff>
    </xdr:from>
    <xdr:to>
      <xdr:col>5</xdr:col>
      <xdr:colOff>839075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598" y="7267575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</a:t>
          </a:r>
        </a:p>
      </xdr:txBody>
    </xdr:sp>
    <xdr:clientData/>
  </xdr:twoCellAnchor>
  <xdr:twoCellAnchor>
    <xdr:from>
      <xdr:col>5</xdr:col>
      <xdr:colOff>371473</xdr:colOff>
      <xdr:row>31</xdr:row>
      <xdr:rowOff>219075</xdr:rowOff>
    </xdr:from>
    <xdr:to>
      <xdr:col>5</xdr:col>
      <xdr:colOff>839075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598" y="7686675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</a:t>
          </a:r>
        </a:p>
      </xdr:txBody>
    </xdr:sp>
    <xdr:clientData/>
  </xdr:twoCellAnchor>
  <xdr:twoCellAnchor>
    <xdr:from>
      <xdr:col>5</xdr:col>
      <xdr:colOff>809625</xdr:colOff>
      <xdr:row>23</xdr:row>
      <xdr:rowOff>9525</xdr:rowOff>
    </xdr:from>
    <xdr:to>
      <xdr:col>5</xdr:col>
      <xdr:colOff>1028700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817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371473</xdr:colOff>
      <xdr:row>23</xdr:row>
      <xdr:rowOff>66675</xdr:rowOff>
    </xdr:from>
    <xdr:to>
      <xdr:col>5</xdr:col>
      <xdr:colOff>839075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598" y="5629275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371473</xdr:colOff>
      <xdr:row>21</xdr:row>
      <xdr:rowOff>133350</xdr:rowOff>
    </xdr:from>
    <xdr:to>
      <xdr:col>5</xdr:col>
      <xdr:colOff>839075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598" y="5219700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980</a:t>
          </a:r>
        </a:p>
      </xdr:txBody>
    </xdr:sp>
    <xdr:clientData/>
  </xdr:twoCellAnchor>
  <xdr:twoCellAnchor>
    <xdr:from>
      <xdr:col>5</xdr:col>
      <xdr:colOff>361948</xdr:colOff>
      <xdr:row>19</xdr:row>
      <xdr:rowOff>200025</xdr:rowOff>
    </xdr:from>
    <xdr:to>
      <xdr:col>5</xdr:col>
      <xdr:colOff>829550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3" y="4810125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361948</xdr:colOff>
      <xdr:row>18</xdr:row>
      <xdr:rowOff>28575</xdr:rowOff>
    </xdr:from>
    <xdr:to>
      <xdr:col>5</xdr:col>
      <xdr:colOff>829550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3" y="4400550"/>
          <a:ext cx="4676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152400</xdr:colOff>
      <xdr:row>23</xdr:row>
      <xdr:rowOff>219075</xdr:rowOff>
    </xdr:from>
    <xdr:to>
      <xdr:col>3</xdr:col>
      <xdr:colOff>495300</xdr:colOff>
      <xdr:row>24</xdr:row>
      <xdr:rowOff>123825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495675" y="57816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1057275</xdr:colOff>
      <xdr:row>29</xdr:row>
      <xdr:rowOff>219075</xdr:rowOff>
    </xdr:from>
    <xdr:to>
      <xdr:col>2</xdr:col>
      <xdr:colOff>381000</xdr:colOff>
      <xdr:row>30</xdr:row>
      <xdr:rowOff>133350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171700" y="72104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866775</xdr:colOff>
      <xdr:row>30</xdr:row>
      <xdr:rowOff>219075</xdr:rowOff>
    </xdr:from>
    <xdr:to>
      <xdr:col>3</xdr:col>
      <xdr:colOff>257175</xdr:colOff>
      <xdr:row>31</xdr:row>
      <xdr:rowOff>133350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3095625" y="74485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853530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91581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topLeftCell="A34" zoomScale="95" zoomScaleNormal="95" workbookViewId="0">
      <selection activeCell="G78" sqref="G78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217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218</v>
      </c>
    </row>
    <row r="3" spans="1:10" ht="15" customHeight="1" thickBot="1">
      <c r="A3" s="47" t="s">
        <v>1</v>
      </c>
      <c r="B3" s="94" t="s">
        <v>216</v>
      </c>
      <c r="C3" s="1"/>
      <c r="D3" s="47"/>
      <c r="E3" s="1"/>
      <c r="F3" s="1"/>
      <c r="G3" s="47" t="s">
        <v>2</v>
      </c>
      <c r="H3" s="169">
        <v>43186</v>
      </c>
      <c r="I3" s="47" t="s">
        <v>3</v>
      </c>
      <c r="J3" s="170">
        <v>0.34641203703703699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700</v>
      </c>
      <c r="C5" s="138">
        <v>3600</v>
      </c>
      <c r="D5" s="48" t="s">
        <v>192</v>
      </c>
      <c r="E5" s="156">
        <v>4160</v>
      </c>
      <c r="F5" s="138">
        <v>60</v>
      </c>
      <c r="G5" s="48">
        <v>105</v>
      </c>
      <c r="H5" s="76" t="s">
        <v>251</v>
      </c>
      <c r="I5" s="75" t="s">
        <v>256</v>
      </c>
      <c r="J5" s="48" t="s">
        <v>193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267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200</v>
      </c>
      <c r="F9" s="105" t="s">
        <v>25</v>
      </c>
      <c r="G9" s="29"/>
      <c r="H9" s="9" t="s">
        <v>26</v>
      </c>
      <c r="I9" s="67">
        <v>27.500280099336912</v>
      </c>
      <c r="J9" s="102">
        <v>634.54745452829593</v>
      </c>
    </row>
    <row r="10" spans="1:10" ht="15" customHeight="1">
      <c r="A10" s="9" t="s">
        <v>27</v>
      </c>
      <c r="B10" s="67">
        <v>375</v>
      </c>
      <c r="C10" s="71">
        <v>375</v>
      </c>
      <c r="D10" s="5"/>
      <c r="E10" s="49"/>
      <c r="F10" s="114" t="s">
        <v>212</v>
      </c>
      <c r="G10" s="112" t="s">
        <v>213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0.62493749999999992</v>
      </c>
      <c r="F11" s="115"/>
      <c r="G11" s="111"/>
      <c r="H11" s="9" t="s">
        <v>32</v>
      </c>
      <c r="I11" s="66">
        <v>30.038756689833033</v>
      </c>
      <c r="J11" s="102">
        <v>20288.546072600151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174</v>
      </c>
      <c r="F12" s="121" t="s">
        <v>206</v>
      </c>
      <c r="G12" s="113" t="s">
        <v>205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55.290000200271606</v>
      </c>
      <c r="D13" s="9" t="s">
        <v>38</v>
      </c>
      <c r="E13" s="68">
        <v>16</v>
      </c>
      <c r="F13" s="121"/>
      <c r="G13" s="113" t="s">
        <v>207</v>
      </c>
      <c r="H13" s="9" t="s">
        <v>40</v>
      </c>
      <c r="I13" s="66">
        <v>1.0139197383619514</v>
      </c>
      <c r="J13" s="102">
        <v>84.037574768066406</v>
      </c>
    </row>
    <row r="14" spans="1:10" ht="15" customHeight="1" thickBot="1">
      <c r="A14" s="160" t="s">
        <v>41</v>
      </c>
      <c r="B14" s="131">
        <v>311.54998779296875</v>
      </c>
      <c r="C14" s="132">
        <v>311.54998779296875</v>
      </c>
      <c r="D14" s="9" t="s">
        <v>42</v>
      </c>
      <c r="E14" s="49" t="s">
        <v>201</v>
      </c>
      <c r="F14" s="49"/>
      <c r="G14" s="113" t="s">
        <v>208</v>
      </c>
      <c r="H14" s="47" t="s">
        <v>43</v>
      </c>
      <c r="I14" s="66">
        <v>1.1953265509204378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174</v>
      </c>
      <c r="F15" s="49"/>
      <c r="G15" s="113"/>
      <c r="H15" s="9" t="s">
        <v>47</v>
      </c>
      <c r="I15" s="66">
        <v>0.83141460458883965</v>
      </c>
      <c r="J15" s="102">
        <v>18.764434814453125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202</v>
      </c>
      <c r="F17" s="49"/>
      <c r="G17" s="113"/>
      <c r="H17" s="9" t="s">
        <v>54</v>
      </c>
      <c r="I17" s="66">
        <v>0.79436383606222771</v>
      </c>
      <c r="J17" s="102">
        <v>547.8402755451857</v>
      </c>
    </row>
    <row r="18" spans="1:14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1070</v>
      </c>
      <c r="F18" s="68">
        <v>545</v>
      </c>
      <c r="G18" s="72"/>
      <c r="H18" s="12" t="s">
        <v>57</v>
      </c>
      <c r="I18" s="129" t="s">
        <v>214</v>
      </c>
      <c r="J18" s="130"/>
    </row>
    <row r="19" spans="1:14" ht="15" customHeight="1">
      <c r="A19" s="9" t="s">
        <v>58</v>
      </c>
      <c r="B19" s="67">
        <v>62.5</v>
      </c>
      <c r="C19" s="71">
        <v>36.409999847412109</v>
      </c>
      <c r="D19" s="9" t="s">
        <v>59</v>
      </c>
      <c r="E19" s="68">
        <v>256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166</v>
      </c>
      <c r="E20" s="159">
        <v>0.16505931764253121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4" ht="15" customHeight="1">
      <c r="A21" s="9" t="s">
        <v>64</v>
      </c>
      <c r="B21" s="67">
        <v>14.5</v>
      </c>
      <c r="C21" s="71">
        <v>3</v>
      </c>
      <c r="D21" s="9" t="s">
        <v>203</v>
      </c>
      <c r="E21" s="65">
        <v>0.22018718404573415</v>
      </c>
      <c r="F21" s="65">
        <v>0.13853552937507629</v>
      </c>
      <c r="G21" s="69">
        <v>2.1606589755119768E-2</v>
      </c>
      <c r="H21" s="9" t="s">
        <v>65</v>
      </c>
      <c r="I21" s="66">
        <v>16.804136276245117</v>
      </c>
      <c r="J21" s="70">
        <v>14.80540657043457</v>
      </c>
    </row>
    <row r="22" spans="1:14" ht="15" customHeight="1">
      <c r="A22" s="9" t="s">
        <v>66</v>
      </c>
      <c r="B22" s="67">
        <v>2.8299999237060547</v>
      </c>
      <c r="C22" s="71">
        <v>3</v>
      </c>
      <c r="D22" s="9" t="s">
        <v>67</v>
      </c>
      <c r="E22" s="49" t="s">
        <v>204</v>
      </c>
      <c r="F22" s="49" t="s">
        <v>204</v>
      </c>
      <c r="G22" s="50" t="s">
        <v>204</v>
      </c>
      <c r="H22" s="9" t="s">
        <v>68</v>
      </c>
      <c r="I22" s="66">
        <v>4.1274876594543457</v>
      </c>
      <c r="J22" s="70">
        <v>3.9029219150543213</v>
      </c>
    </row>
    <row r="23" spans="1:14" ht="15" customHeight="1">
      <c r="A23" s="9" t="s">
        <v>69</v>
      </c>
      <c r="B23" s="67">
        <v>10.043671607971191</v>
      </c>
      <c r="C23" s="71">
        <v>10.316610336303711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31.108683420096963</v>
      </c>
      <c r="J23" s="15" t="s">
        <v>215</v>
      </c>
    </row>
    <row r="24" spans="1:14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7.1922226603197199</v>
      </c>
      <c r="J24" s="70">
        <v>6.8009131224056558</v>
      </c>
    </row>
    <row r="25" spans="1:14" ht="15" customHeight="1">
      <c r="A25" s="9" t="s">
        <v>75</v>
      </c>
      <c r="B25" s="49" t="s">
        <v>174</v>
      </c>
      <c r="C25" s="71">
        <v>4.7199997901916504</v>
      </c>
      <c r="D25" s="107" t="s">
        <v>76</v>
      </c>
      <c r="E25" s="51"/>
      <c r="F25" s="51"/>
      <c r="G25" s="58"/>
      <c r="H25" s="9" t="s">
        <v>77</v>
      </c>
      <c r="I25" s="66">
        <v>0.38032931089401245</v>
      </c>
      <c r="J25" s="70">
        <v>0.95759671926498413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211.19256248293408</v>
      </c>
      <c r="F26" s="67">
        <v>63.158829639129635</v>
      </c>
      <c r="G26" s="71">
        <v>26.449351062353312</v>
      </c>
      <c r="H26" s="9" t="s">
        <v>80</v>
      </c>
      <c r="I26" s="66">
        <v>4.4010610580444336</v>
      </c>
      <c r="J26" s="70">
        <v>4.2530903816223145</v>
      </c>
    </row>
    <row r="27" spans="1:14" ht="15" customHeight="1" thickBot="1">
      <c r="A27" s="9" t="s">
        <v>81</v>
      </c>
      <c r="B27" s="49" t="s">
        <v>199</v>
      </c>
      <c r="C27" s="50" t="s">
        <v>199</v>
      </c>
      <c r="D27" s="10" t="s">
        <v>82</v>
      </c>
      <c r="E27" s="78" t="s">
        <v>174</v>
      </c>
      <c r="F27" s="78" t="s">
        <v>174</v>
      </c>
      <c r="G27" s="80" t="s">
        <v>174</v>
      </c>
      <c r="H27" s="10" t="s">
        <v>83</v>
      </c>
      <c r="I27" s="77">
        <v>4.4174637794494629</v>
      </c>
      <c r="J27" s="79">
        <v>4.359560489654541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33.371993281235319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3572.8</v>
      </c>
      <c r="N29" t="s">
        <v>186</v>
      </c>
    </row>
    <row r="30" spans="1:14" ht="15" customHeight="1" thickBot="1">
      <c r="A30" s="7"/>
      <c r="B30" s="61" t="s">
        <v>94</v>
      </c>
      <c r="C30" s="74">
        <v>33.399128783152655</v>
      </c>
      <c r="D30" s="9" t="s">
        <v>95</v>
      </c>
      <c r="E30" s="163">
        <v>52.621632500000004</v>
      </c>
      <c r="F30" s="163">
        <v>529.63497924804688</v>
      </c>
      <c r="G30" s="163">
        <v>16.741915404053078</v>
      </c>
      <c r="H30" s="164">
        <v>760.1232404750923</v>
      </c>
      <c r="I30" s="68">
        <v>48668.956667834245</v>
      </c>
      <c r="J30" s="72">
        <v>3979.0583330690656</v>
      </c>
      <c r="M30" s="150" t="str">
        <f>RIGHT(E$41,SEARCH("/",E$41,1)-1)</f>
        <v xml:space="preserve"> 3577.3</v>
      </c>
      <c r="N30" t="s">
        <v>187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6.25</v>
      </c>
      <c r="F31" s="163">
        <v>750.98538404640283</v>
      </c>
      <c r="G31" s="163">
        <v>11.807292400047983</v>
      </c>
      <c r="H31" s="164">
        <v>24.465194398370233</v>
      </c>
      <c r="I31" s="68">
        <v>9387.3173005800345</v>
      </c>
      <c r="J31" s="72">
        <v>435.90209003672555</v>
      </c>
      <c r="M31" s="150" t="str">
        <f>RIGHT(D$41,SEARCH("/",D$41,1)-1)</f>
        <v xml:space="preserve"> 3581.8</v>
      </c>
      <c r="N31" t="s">
        <v>188</v>
      </c>
    </row>
    <row r="32" spans="1:14" ht="15" customHeight="1">
      <c r="A32" s="5" t="s">
        <v>98</v>
      </c>
      <c r="B32" s="66" t="s">
        <v>258</v>
      </c>
      <c r="C32" s="108"/>
      <c r="D32" s="9" t="s">
        <v>99</v>
      </c>
      <c r="E32" s="163">
        <v>23.214779336458562</v>
      </c>
      <c r="F32" s="163">
        <v>536.63447022168793</v>
      </c>
      <c r="G32" s="163">
        <v>16.523545373324858</v>
      </c>
      <c r="H32" s="164">
        <v>317.32441084156324</v>
      </c>
      <c r="I32" s="8" t="s">
        <v>100</v>
      </c>
      <c r="J32" s="72">
        <v>4414.9604231057911</v>
      </c>
      <c r="M32" s="150" t="str">
        <f>RIGHT(C$41,SEARCH("/",C$41,1)-1)</f>
        <v xml:space="preserve"> 3586.3</v>
      </c>
      <c r="N32" t="s">
        <v>189</v>
      </c>
    </row>
    <row r="33" spans="1:15" ht="15" customHeight="1">
      <c r="A33" s="5" t="s">
        <v>101</v>
      </c>
      <c r="B33" s="66" t="s">
        <v>259</v>
      </c>
      <c r="C33" s="109" t="s">
        <v>102</v>
      </c>
      <c r="D33" s="9" t="s">
        <v>97</v>
      </c>
      <c r="E33" s="163">
        <v>3.6409999847412111</v>
      </c>
      <c r="F33" s="163">
        <v>610.68656662464491</v>
      </c>
      <c r="G33" s="163">
        <v>14.519893677386758</v>
      </c>
      <c r="H33" s="164">
        <v>28.760997110601302</v>
      </c>
      <c r="I33" s="8" t="s">
        <v>103</v>
      </c>
      <c r="J33" s="71" t="s">
        <v>226</v>
      </c>
      <c r="M33" s="150" t="str">
        <f>RIGHT(B$41,SEARCH("/",B$41,1)-1)</f>
        <v xml:space="preserve"> 3590.7</v>
      </c>
      <c r="N33" t="s">
        <v>190</v>
      </c>
    </row>
    <row r="34" spans="1:15" ht="15" customHeight="1" thickBot="1">
      <c r="A34" s="16" t="s">
        <v>104</v>
      </c>
      <c r="B34" s="77" t="s">
        <v>260</v>
      </c>
      <c r="C34" s="158">
        <v>8.8671040175982068</v>
      </c>
      <c r="D34" s="10" t="s">
        <v>20</v>
      </c>
      <c r="E34" s="165">
        <v>0.32999999523162843</v>
      </c>
      <c r="F34" s="166">
        <v>1650.8553392631413</v>
      </c>
      <c r="G34" s="166">
        <v>5.37121806296852</v>
      </c>
      <c r="H34" s="167">
        <v>1410.5134145191194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228</v>
      </c>
      <c r="E35" s="143" t="s">
        <v>227</v>
      </c>
      <c r="F35" s="14"/>
      <c r="G35" s="25" t="s">
        <v>107</v>
      </c>
      <c r="H35" s="83" t="s">
        <v>221</v>
      </c>
      <c r="I35" s="9" t="s">
        <v>108</v>
      </c>
      <c r="J35" s="72" t="s">
        <v>225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219</v>
      </c>
      <c r="I36" s="9" t="s">
        <v>111</v>
      </c>
      <c r="J36" s="72" t="s">
        <v>224</v>
      </c>
    </row>
    <row r="37" spans="1:15" ht="15" customHeight="1" thickBot="1">
      <c r="A37" s="9" t="s">
        <v>112</v>
      </c>
      <c r="B37" s="171" t="s">
        <v>240</v>
      </c>
      <c r="C37" s="171" t="s">
        <v>241</v>
      </c>
      <c r="D37" s="171" t="s">
        <v>242</v>
      </c>
      <c r="E37" s="171" t="s">
        <v>243</v>
      </c>
      <c r="F37" s="172" t="s">
        <v>244</v>
      </c>
      <c r="G37" s="9" t="s">
        <v>113</v>
      </c>
      <c r="H37" s="72" t="s">
        <v>220</v>
      </c>
      <c r="I37" s="10" t="s">
        <v>114</v>
      </c>
      <c r="J37" s="81" t="s">
        <v>223</v>
      </c>
      <c r="O37" s="148"/>
    </row>
    <row r="38" spans="1:15" ht="15" customHeight="1" thickBot="1">
      <c r="A38" s="9" t="s">
        <v>115</v>
      </c>
      <c r="B38" s="173" t="s">
        <v>230</v>
      </c>
      <c r="C38" s="173" t="s">
        <v>231</v>
      </c>
      <c r="D38" s="173" t="s">
        <v>232</v>
      </c>
      <c r="E38" s="173" t="s">
        <v>233</v>
      </c>
      <c r="F38" s="174" t="s">
        <v>234</v>
      </c>
      <c r="G38" s="16" t="s">
        <v>116</v>
      </c>
      <c r="H38" s="81" t="s">
        <v>222</v>
      </c>
      <c r="I38" s="134" t="s">
        <v>229</v>
      </c>
      <c r="J38" s="82">
        <v>8622.935546875</v>
      </c>
      <c r="L38" t="str">
        <f>LEFT(E38,SEARCH("/",E38,1)-1)</f>
        <v xml:space="preserve">0.947 </v>
      </c>
      <c r="M38" t="str">
        <f>RIGHT(E38,SEARCH("/",E38,1)-1)</f>
        <v xml:space="preserve"> 0.943</v>
      </c>
      <c r="N38" s="149">
        <f>M38/L38</f>
        <v>0.9957761351636748</v>
      </c>
      <c r="O38" s="148" t="s">
        <v>177</v>
      </c>
    </row>
    <row r="39" spans="1:15" ht="15" customHeight="1">
      <c r="A39" s="9" t="s">
        <v>117</v>
      </c>
      <c r="B39" s="173" t="s">
        <v>235</v>
      </c>
      <c r="C39" s="173" t="s">
        <v>236</v>
      </c>
      <c r="D39" s="173" t="s">
        <v>237</v>
      </c>
      <c r="E39" s="173" t="s">
        <v>238</v>
      </c>
      <c r="F39" s="174" t="s">
        <v>239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0.911 </v>
      </c>
      <c r="M39" t="str">
        <f>RIGHT(E39,SEARCH("/",E39,1)-1)</f>
        <v xml:space="preserve"> 0.893</v>
      </c>
      <c r="N39" s="149">
        <f>M39/L39</f>
        <v>0.98024149286498352</v>
      </c>
      <c r="O39" s="148" t="s">
        <v>178</v>
      </c>
    </row>
    <row r="40" spans="1:15" ht="15" customHeight="1">
      <c r="A40" s="9" t="s">
        <v>119</v>
      </c>
      <c r="B40" s="175" t="s">
        <v>253</v>
      </c>
      <c r="C40" s="175" t="s">
        <v>254</v>
      </c>
      <c r="D40" s="175" t="s">
        <v>255</v>
      </c>
      <c r="E40" s="175" t="s">
        <v>256</v>
      </c>
      <c r="F40" s="176" t="s">
        <v>257</v>
      </c>
      <c r="G40" s="34" t="s">
        <v>121</v>
      </c>
      <c r="H40" s="89" t="s">
        <v>261</v>
      </c>
      <c r="I40" s="53"/>
      <c r="J40" s="54"/>
      <c r="L40" t="str">
        <f>LEFT(E37,SEARCH("/",E37,1)-1)</f>
        <v xml:space="preserve">84.04 </v>
      </c>
      <c r="M40" t="str">
        <f>RIGHT(E37,SEARCH("/",E37,1)-1)</f>
        <v xml:space="preserve"> 86.08</v>
      </c>
      <c r="N40" s="149">
        <f>M40/L40</f>
        <v>1.0242741551642074</v>
      </c>
      <c r="O40" s="148" t="s">
        <v>176</v>
      </c>
    </row>
    <row r="41" spans="1:15" ht="15" customHeight="1">
      <c r="A41" s="9" t="s">
        <v>5</v>
      </c>
      <c r="B41" s="177" t="s">
        <v>248</v>
      </c>
      <c r="C41" s="177" t="s">
        <v>249</v>
      </c>
      <c r="D41" s="177" t="s">
        <v>250</v>
      </c>
      <c r="E41" s="177" t="s">
        <v>251</v>
      </c>
      <c r="F41" s="178" t="s">
        <v>252</v>
      </c>
      <c r="G41" s="35" t="s">
        <v>122</v>
      </c>
      <c r="H41" s="90" t="s">
        <v>262</v>
      </c>
      <c r="I41" s="55"/>
      <c r="J41" s="56"/>
      <c r="L41" t="str">
        <f>LEFT(E41,SEARCH("/",E41,1)-1)</f>
        <v xml:space="preserve">3581.8 </v>
      </c>
      <c r="M41">
        <v>3575</v>
      </c>
      <c r="N41" s="149">
        <f>M41/L41</f>
        <v>0.99810151320565077</v>
      </c>
      <c r="O41" s="148" t="s">
        <v>5</v>
      </c>
    </row>
    <row r="42" spans="1:15" ht="15" customHeight="1">
      <c r="A42" s="9" t="s">
        <v>123</v>
      </c>
      <c r="B42" s="173">
        <v>10.216189348688721</v>
      </c>
      <c r="C42" s="173">
        <v>10.216189348688721</v>
      </c>
      <c r="D42" s="173">
        <v>10.216189348688721</v>
      </c>
      <c r="E42" s="173">
        <v>10.216189348688721</v>
      </c>
      <c r="F42" s="174">
        <v>10.216189348688721</v>
      </c>
      <c r="G42" s="34" t="s">
        <v>124</v>
      </c>
      <c r="H42" s="89" t="s">
        <v>263</v>
      </c>
      <c r="I42" s="53"/>
      <c r="J42" s="95">
        <v>0.21966096324850204</v>
      </c>
    </row>
    <row r="43" spans="1:15" ht="15" customHeight="1" thickBot="1">
      <c r="A43" s="10" t="s">
        <v>125</v>
      </c>
      <c r="B43" s="179">
        <v>10.216189348688721</v>
      </c>
      <c r="C43" s="180"/>
      <c r="D43" s="181" t="s">
        <v>266</v>
      </c>
      <c r="E43" s="181"/>
      <c r="F43" s="182"/>
      <c r="G43" s="35" t="s">
        <v>122</v>
      </c>
      <c r="H43" s="90" t="s">
        <v>264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1790.632704158689</v>
      </c>
      <c r="I44" s="88">
        <v>3.6341709769379907E-2</v>
      </c>
      <c r="J44" s="95">
        <v>0.6366792119013186</v>
      </c>
    </row>
    <row r="45" spans="1:15" ht="15" customHeight="1">
      <c r="A45" s="9" t="s">
        <v>129</v>
      </c>
      <c r="B45" s="66">
        <v>0.31009742617607117</v>
      </c>
      <c r="C45" s="161" t="s">
        <v>130</v>
      </c>
      <c r="D45" s="70">
        <v>7.6467976905405521E-3</v>
      </c>
      <c r="E45" s="9" t="s">
        <v>131</v>
      </c>
      <c r="F45" s="72">
        <v>253.02300006005635</v>
      </c>
      <c r="G45" s="36" t="s">
        <v>122</v>
      </c>
      <c r="H45" s="84" t="s">
        <v>265</v>
      </c>
      <c r="I45" s="57"/>
      <c r="J45" s="58"/>
    </row>
    <row r="46" spans="1:15" ht="15" customHeight="1">
      <c r="A46" s="9" t="s">
        <v>132</v>
      </c>
      <c r="B46" s="66">
        <v>0.13881897926330566</v>
      </c>
      <c r="C46" s="161" t="s">
        <v>133</v>
      </c>
      <c r="D46" s="70">
        <v>5.0512291491031647E-3</v>
      </c>
      <c r="E46" s="9" t="s">
        <v>134</v>
      </c>
      <c r="F46" s="72">
        <v>469.5721979478439</v>
      </c>
      <c r="G46" s="35" t="s">
        <v>135</v>
      </c>
      <c r="H46" s="92">
        <v>376.13365291377931</v>
      </c>
      <c r="I46" s="55"/>
      <c r="J46" s="56"/>
      <c r="L46" s="144" t="s">
        <v>179</v>
      </c>
      <c r="M46" s="146">
        <f>B5^0.95</f>
        <v>504.47905283690608</v>
      </c>
    </row>
    <row r="47" spans="1:15" ht="15" customHeight="1">
      <c r="A47" s="9" t="s">
        <v>136</v>
      </c>
      <c r="B47" s="66">
        <v>0.44891640543937683</v>
      </c>
      <c r="C47" s="161" t="s">
        <v>137</v>
      </c>
      <c r="D47" s="70">
        <v>2.5852162390947342E-2</v>
      </c>
      <c r="E47" s="9" t="s">
        <v>138</v>
      </c>
      <c r="F47" s="72">
        <v>199.22233480411637</v>
      </c>
      <c r="G47" s="62" t="s">
        <v>139</v>
      </c>
      <c r="H47" s="91">
        <v>1726.7969405701933</v>
      </c>
      <c r="I47" s="88">
        <v>3.4983815314990209E-2</v>
      </c>
      <c r="J47" s="93">
        <v>0.64960801953221703</v>
      </c>
      <c r="L47" s="144" t="s">
        <v>180</v>
      </c>
      <c r="M47" s="146">
        <f>B5^1.5</f>
        <v>18520.259177452117</v>
      </c>
    </row>
    <row r="48" spans="1:15" ht="15" customHeight="1">
      <c r="A48" s="9" t="s">
        <v>140</v>
      </c>
      <c r="B48" s="66">
        <v>1.4293074607849121E-2</v>
      </c>
      <c r="C48" s="161" t="s">
        <v>100</v>
      </c>
      <c r="D48" s="70">
        <v>5.2843265235424042E-2</v>
      </c>
      <c r="E48" s="9" t="s">
        <v>141</v>
      </c>
      <c r="F48" s="72">
        <v>43.336145995237651</v>
      </c>
      <c r="G48" s="63" t="s">
        <v>122</v>
      </c>
      <c r="H48" s="84">
        <v>330.67730758412699</v>
      </c>
      <c r="I48" s="57"/>
      <c r="J48" s="58"/>
      <c r="L48" s="144" t="s">
        <v>181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0.94715672731399536</v>
      </c>
      <c r="E49" s="10" t="s">
        <v>143</v>
      </c>
      <c r="F49" s="81">
        <v>109.11212270730977</v>
      </c>
      <c r="G49" s="64" t="s">
        <v>135</v>
      </c>
      <c r="H49" s="92">
        <v>368.91233829190878</v>
      </c>
      <c r="I49" s="55"/>
      <c r="J49" s="59"/>
      <c r="L49" s="144" t="s">
        <v>182</v>
      </c>
      <c r="M49" s="145">
        <f>IF(A5="",0,(7200/(1000*A5))^1.8)</f>
        <v>10.031006258647469</v>
      </c>
    </row>
    <row r="50" spans="1:13" ht="15" customHeight="1">
      <c r="A50" s="12" t="s">
        <v>211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27</v>
      </c>
    </row>
    <row r="51" spans="1:13" ht="15" customHeight="1">
      <c r="A51" s="9" t="s">
        <v>145</v>
      </c>
      <c r="B51" s="49">
        <v>38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5.7615627484303801E-2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36.409999847412109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45465.717623539349</v>
      </c>
      <c r="I52" s="96" t="s">
        <v>245</v>
      </c>
      <c r="J52" s="60"/>
      <c r="L52" s="144" t="s">
        <v>191</v>
      </c>
      <c r="M52" s="168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24.68216691371244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503.15182398075945</v>
      </c>
    </row>
    <row r="54" spans="1:13" ht="15" customHeight="1">
      <c r="A54" s="9" t="s">
        <v>66</v>
      </c>
      <c r="B54" s="67">
        <v>3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150381.5</v>
      </c>
      <c r="I54" s="97" t="s">
        <v>246</v>
      </c>
      <c r="J54" s="98" t="s">
        <v>209</v>
      </c>
    </row>
    <row r="55" spans="1:13" ht="15" customHeight="1">
      <c r="A55" s="9" t="s">
        <v>156</v>
      </c>
      <c r="B55" s="67">
        <v>14.119999885559082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0.68740624999999989</v>
      </c>
      <c r="I56" s="99" t="s">
        <v>247</v>
      </c>
      <c r="J56" s="59" t="s">
        <v>210</v>
      </c>
    </row>
    <row r="57" spans="1:13" ht="15" customHeight="1">
      <c r="A57" s="22" t="s">
        <v>395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393</v>
      </c>
      <c r="D58" s="3" t="s">
        <v>119</v>
      </c>
      <c r="E58" s="3" t="s">
        <v>165</v>
      </c>
      <c r="F58" s="15" t="s">
        <v>394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0.27352383732795715</v>
      </c>
      <c r="D59" s="125">
        <v>0.695578932762146</v>
      </c>
      <c r="E59" s="84">
        <v>76.761589788100508</v>
      </c>
      <c r="F59" s="85">
        <v>601.1685791015625</v>
      </c>
      <c r="G59" s="119"/>
      <c r="H59" s="31"/>
      <c r="I59" s="31"/>
      <c r="J59" s="44"/>
    </row>
    <row r="60" spans="1:13" ht="15" customHeight="1">
      <c r="A60" s="127">
        <v>7.1999994106590748E-3</v>
      </c>
      <c r="B60" s="84">
        <v>146.34402125372978</v>
      </c>
      <c r="C60" s="85">
        <v>161.47523498535156</v>
      </c>
      <c r="D60" s="125">
        <v>0.79705262184143066</v>
      </c>
      <c r="E60" s="84">
        <v>75.84014546440406</v>
      </c>
      <c r="F60" s="85">
        <v>603.8128662109375</v>
      </c>
      <c r="G60" s="119"/>
      <c r="H60" s="31"/>
      <c r="I60" s="31"/>
      <c r="J60" s="44"/>
    </row>
    <row r="61" spans="1:13" ht="15" customHeight="1">
      <c r="A61" s="127">
        <v>3.5999998450279236E-2</v>
      </c>
      <c r="B61" s="84">
        <v>270</v>
      </c>
      <c r="C61" s="85">
        <v>474.05218505859375</v>
      </c>
      <c r="D61" s="125">
        <v>0.89852631092071533</v>
      </c>
      <c r="E61" s="84">
        <v>75.300480258299501</v>
      </c>
      <c r="F61" s="85">
        <v>606.12066650390625</v>
      </c>
      <c r="G61" s="119"/>
      <c r="H61" s="31"/>
      <c r="I61" s="31"/>
      <c r="J61" s="44"/>
    </row>
    <row r="62" spans="1:13" ht="15" customHeight="1">
      <c r="A62" s="123">
        <v>8.673684298992157E-2</v>
      </c>
      <c r="B62" s="84">
        <v>166.4063110281443</v>
      </c>
      <c r="C62" s="85">
        <v>551.46063232421875</v>
      </c>
      <c r="D62" s="126">
        <v>1</v>
      </c>
      <c r="E62" s="84">
        <v>75</v>
      </c>
      <c r="F62" s="85">
        <v>608.1395263671875</v>
      </c>
      <c r="G62" s="119"/>
      <c r="H62" s="31"/>
      <c r="I62" s="31"/>
      <c r="J62" s="44"/>
    </row>
    <row r="63" spans="1:13" ht="15" customHeight="1" thickBot="1">
      <c r="A63" s="123">
        <v>0.1374736875295639</v>
      </c>
      <c r="B63" s="84">
        <v>122.55451110337785</v>
      </c>
      <c r="C63" s="85">
        <v>571.48907470703125</v>
      </c>
      <c r="D63" s="369"/>
      <c r="E63" s="86"/>
      <c r="F63" s="370"/>
      <c r="G63" s="119"/>
      <c r="H63" s="31"/>
      <c r="I63" s="31"/>
      <c r="J63" s="44"/>
    </row>
    <row r="64" spans="1:13" ht="15" customHeight="1">
      <c r="A64" s="123">
        <v>0.18821053206920624</v>
      </c>
      <c r="B64" s="84">
        <v>102.89033109816444</v>
      </c>
      <c r="C64" s="85">
        <v>579.48150634765625</v>
      </c>
      <c r="D64" s="371" t="s">
        <v>405</v>
      </c>
      <c r="E64" s="372"/>
      <c r="F64" s="372"/>
      <c r="G64" s="119"/>
      <c r="H64" s="31"/>
      <c r="I64" s="31"/>
      <c r="J64" s="44"/>
    </row>
    <row r="65" spans="1:10" ht="15" customHeight="1">
      <c r="A65" s="123">
        <v>0.28968420624732971</v>
      </c>
      <c r="B65" s="84">
        <v>90.597308532431668</v>
      </c>
      <c r="C65" s="85">
        <v>586.6202392578125</v>
      </c>
      <c r="D65" s="373" t="s">
        <v>399</v>
      </c>
      <c r="E65" s="375" t="s">
        <v>403</v>
      </c>
      <c r="F65" s="375"/>
      <c r="G65" s="119"/>
      <c r="H65" s="31"/>
      <c r="I65" s="31"/>
      <c r="J65" s="44"/>
    </row>
    <row r="66" spans="1:10" ht="15" customHeight="1">
      <c r="A66" s="123">
        <v>0.39115789532661438</v>
      </c>
      <c r="B66" s="84">
        <v>84.471646205199505</v>
      </c>
      <c r="C66" s="85">
        <v>590.99688720703125</v>
      </c>
      <c r="D66" s="373" t="s">
        <v>400</v>
      </c>
      <c r="E66" s="375" t="s">
        <v>404</v>
      </c>
      <c r="F66" s="375"/>
      <c r="G66" s="119"/>
      <c r="H66" s="31"/>
      <c r="I66" s="31"/>
      <c r="J66" s="44"/>
    </row>
    <row r="67" spans="1:10" ht="15" customHeight="1">
      <c r="A67" s="123">
        <v>0.49263158440589905</v>
      </c>
      <c r="B67" s="84">
        <v>80.691836505367689</v>
      </c>
      <c r="C67" s="85">
        <v>594.75958251953125</v>
      </c>
      <c r="D67" s="373" t="s">
        <v>401</v>
      </c>
      <c r="E67" s="375" t="s">
        <v>406</v>
      </c>
      <c r="F67" s="375"/>
      <c r="G67" s="119"/>
      <c r="H67" s="31"/>
      <c r="I67" s="31"/>
      <c r="J67" s="44"/>
    </row>
    <row r="68" spans="1:10" ht="15" customHeight="1" thickBot="1">
      <c r="A68" s="124">
        <v>0.5941053032875061</v>
      </c>
      <c r="B68" s="86">
        <v>78.276656603210768</v>
      </c>
      <c r="C68" s="87">
        <v>598.152587890625</v>
      </c>
      <c r="D68" s="374" t="s">
        <v>402</v>
      </c>
      <c r="E68" s="376" t="s">
        <v>407</v>
      </c>
      <c r="F68" s="376"/>
      <c r="G68" s="120"/>
      <c r="H68" s="45"/>
      <c r="I68" s="45"/>
      <c r="J68" s="46"/>
    </row>
    <row r="69" spans="1:10" ht="15" customHeight="1">
      <c r="A69" s="153" t="s">
        <v>268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8" t="s">
        <v>396</v>
      </c>
      <c r="B99" s="368" t="s">
        <v>397</v>
      </c>
      <c r="C99" s="368" t="s">
        <v>398</v>
      </c>
      <c r="D99" s="368"/>
      <c r="E99" s="368"/>
      <c r="F99" s="368"/>
      <c r="G99" s="368"/>
      <c r="H99" s="368"/>
      <c r="I99" s="368"/>
    </row>
    <row r="100" spans="1:9">
      <c r="A100" s="368">
        <v>39</v>
      </c>
      <c r="B100" s="368">
        <v>0</v>
      </c>
      <c r="C100" s="368">
        <v>21.170743942260742</v>
      </c>
      <c r="D100" s="368"/>
      <c r="E100" s="368"/>
      <c r="F100" s="368"/>
      <c r="G100" s="368"/>
      <c r="H100" s="368"/>
      <c r="I100" s="368"/>
    </row>
    <row r="101" spans="1:9">
      <c r="A101" s="368">
        <v>37.560001373291016</v>
      </c>
      <c r="B101" s="368">
        <v>118.53865369274043</v>
      </c>
      <c r="C101" s="368">
        <v>145.32771301269531</v>
      </c>
      <c r="D101" s="368"/>
      <c r="E101" s="368"/>
      <c r="F101" s="368"/>
      <c r="G101" s="368"/>
      <c r="H101" s="368"/>
      <c r="I101" s="368"/>
    </row>
    <row r="102" spans="1:9">
      <c r="A102" s="368">
        <v>36.349998474121094</v>
      </c>
      <c r="B102" s="368">
        <v>218.69998841285721</v>
      </c>
      <c r="C102" s="368">
        <v>426.64694213867188</v>
      </c>
      <c r="D102" s="368"/>
      <c r="E102" s="368"/>
      <c r="F102" s="368"/>
      <c r="G102" s="368"/>
      <c r="H102" s="368"/>
      <c r="I102" s="368"/>
    </row>
    <row r="103" spans="1:9">
      <c r="A103" s="368">
        <v>35.265262603759766</v>
      </c>
      <c r="B103" s="368">
        <v>134.78910479709253</v>
      </c>
      <c r="C103" s="368">
        <v>496.31454467773438</v>
      </c>
      <c r="D103" s="368"/>
      <c r="E103" s="368"/>
      <c r="F103" s="368"/>
      <c r="G103" s="368"/>
      <c r="H103" s="368"/>
      <c r="I103" s="368"/>
    </row>
    <row r="104" spans="1:9">
      <c r="A104" s="368">
        <v>34.250526428222656</v>
      </c>
      <c r="B104" s="368">
        <v>99.26914947991088</v>
      </c>
      <c r="C104" s="368">
        <v>514.34014892578125</v>
      </c>
      <c r="D104" s="368"/>
      <c r="E104" s="368"/>
      <c r="F104" s="368"/>
      <c r="G104" s="368"/>
      <c r="H104" s="368"/>
      <c r="I104" s="368"/>
    </row>
    <row r="105" spans="1:9">
      <c r="A105" s="368">
        <v>33.235790252685547</v>
      </c>
      <c r="B105" s="368">
        <v>83.341160821852995</v>
      </c>
      <c r="C105" s="368">
        <v>521.5333251953125</v>
      </c>
      <c r="D105" s="368"/>
      <c r="E105" s="368"/>
      <c r="F105" s="368"/>
      <c r="G105" s="368"/>
      <c r="H105" s="368"/>
      <c r="I105" s="368"/>
    </row>
    <row r="106" spans="1:9">
      <c r="A106" s="368">
        <v>32.103157043457031</v>
      </c>
      <c r="B106" s="368">
        <v>73.38381340324527</v>
      </c>
      <c r="C106" s="368">
        <v>527.95819091796875</v>
      </c>
      <c r="D106" s="368"/>
      <c r="E106" s="368"/>
      <c r="F106" s="368"/>
      <c r="G106" s="368"/>
      <c r="H106" s="368"/>
      <c r="I106" s="368"/>
    </row>
    <row r="107" spans="1:9">
      <c r="A107" s="368">
        <v>31.088420867919922</v>
      </c>
      <c r="B107" s="368">
        <v>68.42203220250687</v>
      </c>
      <c r="C107" s="368">
        <v>531.89715576171875</v>
      </c>
      <c r="D107" s="368"/>
      <c r="E107" s="368"/>
      <c r="F107" s="368"/>
      <c r="G107" s="368"/>
      <c r="H107" s="368"/>
      <c r="I107" s="368"/>
    </row>
    <row r="108" spans="1:9">
      <c r="A108" s="368">
        <v>30.073684692382813</v>
      </c>
      <c r="B108" s="368">
        <v>65.360381668918166</v>
      </c>
      <c r="C108" s="368">
        <v>535.28363037109375</v>
      </c>
      <c r="D108" s="368"/>
      <c r="E108" s="368"/>
      <c r="F108" s="368"/>
      <c r="G108" s="368"/>
      <c r="H108" s="368"/>
      <c r="I108" s="368"/>
    </row>
    <row r="109" spans="1:9">
      <c r="A109" s="368">
        <v>30</v>
      </c>
      <c r="B109" s="368">
        <v>63.404088895369028</v>
      </c>
      <c r="C109" s="368">
        <v>538.33734130859375</v>
      </c>
      <c r="D109" s="368"/>
      <c r="E109" s="368"/>
      <c r="F109" s="368"/>
      <c r="G109" s="368"/>
      <c r="H109" s="368"/>
      <c r="I109" s="368"/>
    </row>
    <row r="110" spans="1:9">
      <c r="A110" s="368">
        <v>30.955789566040039</v>
      </c>
      <c r="B110" s="368">
        <v>62.176883836487328</v>
      </c>
      <c r="C110" s="368">
        <v>541.05169677734375</v>
      </c>
      <c r="D110" s="368"/>
      <c r="E110" s="368"/>
      <c r="F110" s="368"/>
      <c r="G110" s="368"/>
      <c r="H110" s="368"/>
      <c r="I110" s="368"/>
    </row>
    <row r="111" spans="1:9">
      <c r="A111" s="368">
        <v>32.941051483154297</v>
      </c>
      <c r="B111" s="368">
        <v>61.430517375176755</v>
      </c>
      <c r="C111" s="368">
        <v>543.43157958984375</v>
      </c>
      <c r="D111" s="368"/>
      <c r="E111" s="368"/>
      <c r="F111" s="368"/>
      <c r="G111" s="368"/>
      <c r="H111" s="368"/>
      <c r="I111" s="368"/>
    </row>
    <row r="112" spans="1:9">
      <c r="A112" s="368">
        <v>34.970527648925781</v>
      </c>
      <c r="B112" s="368">
        <v>60.993388568380624</v>
      </c>
      <c r="C112" s="368">
        <v>545.50860595703125</v>
      </c>
      <c r="D112" s="368"/>
      <c r="E112" s="368"/>
      <c r="F112" s="368"/>
      <c r="G112" s="368"/>
      <c r="H112" s="368"/>
      <c r="I112" s="368"/>
    </row>
    <row r="113" spans="1:9">
      <c r="A113" s="368">
        <v>40</v>
      </c>
      <c r="B113" s="368">
        <v>60.749996781349225</v>
      </c>
      <c r="C113" s="368">
        <v>547.3255615234375</v>
      </c>
      <c r="D113" s="368"/>
      <c r="E113" s="368"/>
      <c r="F113" s="368"/>
      <c r="G113" s="368"/>
      <c r="H113" s="368"/>
      <c r="I113" s="368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26" workbookViewId="0">
      <selection activeCell="G45" sqref="G45"/>
    </sheetView>
  </sheetViews>
  <sheetFormatPr defaultRowHeight="15.75"/>
  <cols>
    <col min="1" max="1" width="11.85546875" style="329" customWidth="1"/>
    <col min="2" max="2" width="6.140625" style="329" customWidth="1"/>
    <col min="3" max="3" width="7.42578125" style="329" customWidth="1"/>
    <col min="4" max="5" width="12.5703125" style="329" customWidth="1"/>
    <col min="6" max="6" width="9.42578125" style="329" customWidth="1"/>
    <col min="7" max="7" width="5.7109375" style="329" customWidth="1"/>
    <col min="8" max="8" width="7.85546875" style="329" customWidth="1"/>
    <col min="9" max="9" width="6.5703125" style="329" customWidth="1"/>
    <col min="10" max="11" width="12" style="329" customWidth="1"/>
    <col min="12" max="26" width="9.140625" style="183"/>
    <col min="27" max="16384" width="9.140625" style="184"/>
  </cols>
  <sheetData>
    <row r="1" spans="1:26" ht="20.25" customHeight="1">
      <c r="A1" s="601" t="s">
        <v>269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</row>
    <row r="2" spans="1:26" ht="20.25" customHeight="1">
      <c r="A2" s="602" t="s">
        <v>270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</row>
    <row r="3" spans="1:26" ht="18.75" customHeight="1" thickBot="1">
      <c r="A3" s="185" t="s">
        <v>1</v>
      </c>
      <c r="B3" s="186" t="s">
        <v>379</v>
      </c>
      <c r="C3" s="187"/>
      <c r="D3" s="187"/>
      <c r="E3" s="187"/>
      <c r="F3" s="188"/>
      <c r="G3" s="187"/>
      <c r="H3" s="187"/>
      <c r="I3" s="185" t="s">
        <v>271</v>
      </c>
      <c r="J3" s="603"/>
      <c r="K3" s="603"/>
    </row>
    <row r="4" spans="1:26" s="197" customFormat="1" ht="18.399999999999999" customHeight="1" thickBot="1">
      <c r="A4" s="189" t="s">
        <v>380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272</v>
      </c>
      <c r="R4" s="195"/>
      <c r="S4" s="193"/>
      <c r="T4" s="194" t="s">
        <v>273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604" t="s">
        <v>274</v>
      </c>
      <c r="B5" s="605"/>
      <c r="C5" s="605"/>
      <c r="D5" s="198"/>
      <c r="E5" s="199"/>
      <c r="F5" s="200" t="s">
        <v>275</v>
      </c>
      <c r="G5" s="187"/>
      <c r="H5" s="187"/>
      <c r="I5" s="201"/>
      <c r="J5" s="202" t="s">
        <v>276</v>
      </c>
      <c r="K5" s="203" t="s">
        <v>277</v>
      </c>
      <c r="L5" s="193"/>
      <c r="M5" s="193"/>
      <c r="N5" s="193"/>
      <c r="O5" s="193"/>
      <c r="P5" s="193"/>
      <c r="Q5" s="204" t="s">
        <v>278</v>
      </c>
      <c r="R5" s="205"/>
      <c r="S5" s="193"/>
      <c r="T5" s="204" t="s">
        <v>279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606" t="s">
        <v>67</v>
      </c>
      <c r="B6" s="607"/>
      <c r="C6" s="607"/>
      <c r="D6" s="608" t="s">
        <v>279</v>
      </c>
      <c r="E6" s="609"/>
      <c r="F6" s="530" t="s">
        <v>281</v>
      </c>
      <c r="G6" s="531"/>
      <c r="H6" s="531"/>
      <c r="I6" s="531"/>
      <c r="J6" s="531"/>
      <c r="K6" s="532" t="s">
        <v>713</v>
      </c>
      <c r="L6" s="193"/>
      <c r="M6" s="193"/>
      <c r="N6" s="193"/>
      <c r="O6" s="193"/>
      <c r="P6" s="193"/>
      <c r="Q6" s="204" t="s">
        <v>282</v>
      </c>
      <c r="R6" s="205"/>
      <c r="S6" s="193"/>
      <c r="T6" s="204" t="s">
        <v>283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594" t="s">
        <v>20</v>
      </c>
      <c r="B7" s="595"/>
      <c r="C7" s="595"/>
      <c r="D7" s="596">
        <v>3.2999999523162802</v>
      </c>
      <c r="E7" s="597"/>
      <c r="F7" s="207" t="s">
        <v>284</v>
      </c>
      <c r="G7" s="208"/>
      <c r="H7" s="209"/>
      <c r="I7" s="210"/>
      <c r="J7" s="211">
        <v>19</v>
      </c>
      <c r="K7" s="212">
        <v>18.3</v>
      </c>
      <c r="L7" s="193"/>
      <c r="M7" s="193"/>
      <c r="N7" s="193"/>
      <c r="O7" s="193"/>
      <c r="P7" s="193"/>
      <c r="Q7" s="204" t="s">
        <v>285</v>
      </c>
      <c r="R7" s="205"/>
      <c r="S7" s="193"/>
      <c r="T7" s="204" t="s">
        <v>280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594" t="s">
        <v>286</v>
      </c>
      <c r="B8" s="595"/>
      <c r="C8" s="595"/>
      <c r="D8" s="582">
        <v>375</v>
      </c>
      <c r="E8" s="578"/>
      <c r="F8" s="213" t="s">
        <v>287</v>
      </c>
      <c r="G8" s="214"/>
      <c r="H8" s="215"/>
      <c r="I8" s="216"/>
      <c r="J8" s="217">
        <v>14576</v>
      </c>
      <c r="K8" s="218">
        <v>12494</v>
      </c>
      <c r="L8" s="193"/>
      <c r="M8" s="193"/>
      <c r="N8" s="193"/>
      <c r="O8" s="193"/>
      <c r="P8" s="193"/>
      <c r="Q8" s="204" t="s">
        <v>288</v>
      </c>
      <c r="R8" s="205"/>
      <c r="S8" s="193"/>
      <c r="T8" s="204" t="s">
        <v>289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589" t="s">
        <v>290</v>
      </c>
      <c r="B9" s="590"/>
      <c r="C9" s="591"/>
      <c r="D9" s="582">
        <v>8</v>
      </c>
      <c r="E9" s="578"/>
      <c r="F9" s="207" t="s">
        <v>291</v>
      </c>
      <c r="G9" s="208"/>
      <c r="H9" s="219">
        <v>3</v>
      </c>
      <c r="I9" s="220" t="s">
        <v>292</v>
      </c>
      <c r="J9" s="221">
        <v>152</v>
      </c>
      <c r="K9" s="218">
        <v>136</v>
      </c>
      <c r="L9" s="193"/>
      <c r="M9" s="193"/>
      <c r="N9" s="193"/>
      <c r="O9" s="193"/>
      <c r="P9" s="193"/>
      <c r="Q9" s="204" t="s">
        <v>293</v>
      </c>
      <c r="R9" s="205"/>
      <c r="S9" s="193"/>
      <c r="T9" s="204" t="s">
        <v>294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598" t="s">
        <v>390</v>
      </c>
      <c r="B10" s="599"/>
      <c r="C10" s="600"/>
      <c r="D10" s="565" t="s">
        <v>201</v>
      </c>
      <c r="E10" s="566"/>
      <c r="F10" s="207" t="s">
        <v>295</v>
      </c>
      <c r="G10" s="208"/>
      <c r="H10" s="219">
        <v>3</v>
      </c>
      <c r="I10" s="220" t="s">
        <v>292</v>
      </c>
      <c r="J10" s="221">
        <v>1150</v>
      </c>
      <c r="K10" s="218">
        <v>1150</v>
      </c>
      <c r="L10" s="193"/>
      <c r="M10" s="193"/>
      <c r="N10" s="193"/>
      <c r="O10" s="193"/>
      <c r="P10" s="193"/>
      <c r="Q10" s="204" t="s">
        <v>296</v>
      </c>
      <c r="R10" s="205"/>
      <c r="S10" s="193"/>
      <c r="T10" s="222" t="s">
        <v>297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589" t="s">
        <v>298</v>
      </c>
      <c r="B11" s="590"/>
      <c r="C11" s="591"/>
      <c r="D11" s="560" t="s">
        <v>174</v>
      </c>
      <c r="E11" s="561"/>
      <c r="F11" s="224" t="s">
        <v>299</v>
      </c>
      <c r="G11" s="225"/>
      <c r="H11" s="226">
        <v>3</v>
      </c>
      <c r="I11" s="220" t="s">
        <v>292</v>
      </c>
      <c r="J11" s="227">
        <v>20289</v>
      </c>
      <c r="K11" s="228">
        <v>48416</v>
      </c>
      <c r="L11" s="193"/>
      <c r="M11" s="193"/>
      <c r="N11" s="193"/>
      <c r="O11" s="193"/>
      <c r="P11" s="193"/>
      <c r="Q11" s="222" t="s">
        <v>300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399999999999999" customHeight="1">
      <c r="A12" s="230" t="s">
        <v>301</v>
      </c>
      <c r="C12" s="231"/>
      <c r="D12" s="592" t="s">
        <v>174</v>
      </c>
      <c r="E12" s="593"/>
      <c r="F12" s="562" t="s">
        <v>302</v>
      </c>
      <c r="G12" s="563"/>
      <c r="H12" s="563"/>
      <c r="I12" s="563"/>
      <c r="J12" s="563"/>
      <c r="K12" s="564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589" t="s">
        <v>53</v>
      </c>
      <c r="B13" s="590"/>
      <c r="C13" s="591"/>
      <c r="D13" s="585" t="s">
        <v>382</v>
      </c>
      <c r="E13" s="586"/>
      <c r="F13" s="232"/>
      <c r="G13" s="233" t="s">
        <v>303</v>
      </c>
      <c r="H13" s="234"/>
      <c r="I13" s="235" t="s">
        <v>304</v>
      </c>
      <c r="J13" s="236" t="s">
        <v>384</v>
      </c>
      <c r="K13" s="237" t="s">
        <v>174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589" t="s">
        <v>56</v>
      </c>
      <c r="B14" s="590"/>
      <c r="C14" s="591"/>
      <c r="D14" s="592">
        <v>1070</v>
      </c>
      <c r="E14" s="593"/>
      <c r="F14" s="232"/>
      <c r="G14" s="238" t="s">
        <v>10</v>
      </c>
      <c r="H14" s="239"/>
      <c r="I14" s="239"/>
      <c r="J14" s="221" t="s">
        <v>174</v>
      </c>
      <c r="K14" s="218" t="s">
        <v>174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399999999999999" customHeight="1">
      <c r="A15" s="579" t="s">
        <v>305</v>
      </c>
      <c r="B15" s="580"/>
      <c r="C15" s="581"/>
      <c r="D15" s="558">
        <v>10.140399932861328</v>
      </c>
      <c r="E15" s="559"/>
      <c r="F15" s="232"/>
      <c r="G15" s="238" t="s">
        <v>306</v>
      </c>
      <c r="H15" s="239"/>
      <c r="I15" s="239"/>
      <c r="J15" s="221" t="s">
        <v>174</v>
      </c>
      <c r="K15" s="218" t="s">
        <v>174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399999999999999" customHeight="1">
      <c r="A16" s="555" t="s">
        <v>307</v>
      </c>
      <c r="B16" s="556"/>
      <c r="C16" s="557"/>
      <c r="D16" s="558">
        <v>3.736799955368042</v>
      </c>
      <c r="E16" s="559"/>
      <c r="F16" s="240"/>
      <c r="G16" s="241" t="s">
        <v>17</v>
      </c>
      <c r="H16" s="242"/>
      <c r="I16" s="242"/>
      <c r="J16" s="227" t="s">
        <v>174</v>
      </c>
      <c r="K16" s="228" t="s">
        <v>174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308</v>
      </c>
      <c r="B17" s="244"/>
      <c r="C17" s="245"/>
      <c r="D17" s="560" t="s">
        <v>381</v>
      </c>
      <c r="E17" s="561"/>
      <c r="F17" s="562" t="s">
        <v>309</v>
      </c>
      <c r="G17" s="563"/>
      <c r="H17" s="563"/>
      <c r="I17" s="563"/>
      <c r="J17" s="563"/>
      <c r="K17" s="564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310</v>
      </c>
      <c r="B18" s="247"/>
      <c r="C18" s="245"/>
      <c r="D18" s="565" t="s">
        <v>174</v>
      </c>
      <c r="E18" s="566"/>
      <c r="F18" s="567"/>
      <c r="G18" s="568"/>
      <c r="H18" s="248" t="s">
        <v>311</v>
      </c>
      <c r="I18" s="249"/>
      <c r="J18" s="217">
        <v>86</v>
      </c>
      <c r="K18" s="218"/>
      <c r="L18" s="193"/>
      <c r="M18" s="193">
        <f>J18*6.5</f>
        <v>559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573" t="s">
        <v>312</v>
      </c>
      <c r="B19" s="574"/>
      <c r="C19" s="575"/>
      <c r="D19" s="576" t="s">
        <v>174</v>
      </c>
      <c r="E19" s="561"/>
      <c r="F19" s="569"/>
      <c r="G19" s="570"/>
      <c r="H19" s="248" t="s">
        <v>5</v>
      </c>
      <c r="I19" s="210"/>
      <c r="J19" s="217">
        <v>3575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399999999999999" customHeight="1" thickBot="1">
      <c r="A20" s="250" t="s">
        <v>313</v>
      </c>
      <c r="C20" s="251"/>
      <c r="D20" s="577" t="s">
        <v>200</v>
      </c>
      <c r="E20" s="578"/>
      <c r="F20" s="569"/>
      <c r="G20" s="570"/>
      <c r="H20" s="248" t="s">
        <v>314</v>
      </c>
      <c r="I20" s="210"/>
      <c r="J20" s="221" t="s">
        <v>363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579" t="s">
        <v>315</v>
      </c>
      <c r="B21" s="580"/>
      <c r="C21" s="581"/>
      <c r="D21" s="582" t="s">
        <v>174</v>
      </c>
      <c r="E21" s="578"/>
      <c r="F21" s="569"/>
      <c r="G21" s="570"/>
      <c r="H21" s="252" t="s">
        <v>316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317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318</v>
      </c>
      <c r="B22" s="253"/>
      <c r="C22" s="253"/>
      <c r="D22" s="583">
        <v>0.16339999999999999</v>
      </c>
      <c r="E22" s="584"/>
      <c r="F22" s="569"/>
      <c r="G22" s="570"/>
      <c r="H22" s="248" t="s">
        <v>276</v>
      </c>
      <c r="I22" s="210"/>
      <c r="J22" s="221" t="s">
        <v>174</v>
      </c>
      <c r="K22" s="218"/>
      <c r="L22" s="193"/>
      <c r="M22" s="193"/>
      <c r="N22" s="193"/>
      <c r="O22" s="193"/>
      <c r="P22" s="193"/>
      <c r="Q22" s="204" t="s">
        <v>320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321</v>
      </c>
      <c r="B23" s="255" t="s">
        <v>322</v>
      </c>
      <c r="C23" s="256"/>
      <c r="D23" s="585">
        <v>484</v>
      </c>
      <c r="E23" s="586"/>
      <c r="F23" s="569"/>
      <c r="G23" s="570"/>
      <c r="H23" s="257" t="s">
        <v>323</v>
      </c>
      <c r="I23" s="258"/>
      <c r="J23" s="259" t="s">
        <v>174</v>
      </c>
      <c r="K23" s="260"/>
      <c r="L23" s="193"/>
      <c r="Q23" s="204" t="s">
        <v>324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325</v>
      </c>
      <c r="B24" s="262" t="s">
        <v>326</v>
      </c>
      <c r="C24" s="263"/>
      <c r="D24" s="587" t="s">
        <v>174</v>
      </c>
      <c r="E24" s="588"/>
      <c r="F24" s="569"/>
      <c r="G24" s="570"/>
      <c r="H24" s="248" t="s">
        <v>327</v>
      </c>
      <c r="I24" s="231"/>
      <c r="J24" s="264" t="s">
        <v>174</v>
      </c>
      <c r="K24" s="265"/>
      <c r="Q24" s="266" t="s">
        <v>174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328</v>
      </c>
      <c r="B25" s="269"/>
      <c r="C25" s="269"/>
      <c r="D25" s="270"/>
      <c r="E25" s="270" t="s">
        <v>329</v>
      </c>
      <c r="F25" s="569"/>
      <c r="G25" s="570"/>
      <c r="H25" s="248" t="s">
        <v>330</v>
      </c>
      <c r="I25" s="231"/>
      <c r="J25" s="271" t="s">
        <v>174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331</v>
      </c>
      <c r="B26" s="273"/>
      <c r="C26" s="274"/>
      <c r="D26" s="275" t="s">
        <v>385</v>
      </c>
      <c r="E26" s="275" t="s">
        <v>386</v>
      </c>
      <c r="F26" s="571"/>
      <c r="G26" s="572"/>
      <c r="H26" s="534"/>
      <c r="I26" s="535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544" t="s">
        <v>332</v>
      </c>
      <c r="B27" s="545"/>
      <c r="C27" s="545"/>
      <c r="D27" s="545"/>
      <c r="E27" s="545"/>
      <c r="F27" s="552" t="s">
        <v>333</v>
      </c>
      <c r="G27" s="553"/>
      <c r="H27" s="553"/>
      <c r="I27" s="553"/>
      <c r="J27" s="553"/>
      <c r="K27" s="554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538"/>
      <c r="B28" s="539"/>
      <c r="C28" s="539"/>
      <c r="D28" s="539"/>
      <c r="E28" s="540"/>
      <c r="F28" s="278"/>
      <c r="G28" s="279"/>
      <c r="H28" s="238" t="s">
        <v>334</v>
      </c>
      <c r="I28" s="280" t="s">
        <v>383</v>
      </c>
      <c r="J28" s="217">
        <v>523</v>
      </c>
      <c r="K28" s="281" t="s">
        <v>174</v>
      </c>
      <c r="M28" s="197">
        <f>(J28/J18)*100</f>
        <v>608.1395348837209</v>
      </c>
      <c r="N28" s="282"/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538"/>
      <c r="B29" s="539"/>
      <c r="C29" s="539"/>
      <c r="D29" s="539"/>
      <c r="E29" s="540"/>
      <c r="F29" s="283"/>
      <c r="G29" s="284"/>
      <c r="H29" s="238" t="s">
        <v>335</v>
      </c>
      <c r="I29" s="285">
        <v>60</v>
      </c>
      <c r="J29" s="217">
        <v>78</v>
      </c>
      <c r="K29" s="212" t="s">
        <v>174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538"/>
      <c r="B30" s="539"/>
      <c r="C30" s="539"/>
      <c r="D30" s="539"/>
      <c r="E30" s="540"/>
      <c r="F30" s="283"/>
      <c r="G30" s="284"/>
      <c r="H30" s="238" t="s">
        <v>336</v>
      </c>
      <c r="I30" s="285">
        <v>175</v>
      </c>
      <c r="J30" s="217">
        <v>270</v>
      </c>
      <c r="K30" s="212" t="s">
        <v>174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538"/>
      <c r="B31" s="539"/>
      <c r="C31" s="539"/>
      <c r="D31" s="539"/>
      <c r="E31" s="540"/>
      <c r="F31" s="283"/>
      <c r="G31" s="284"/>
      <c r="H31" s="238" t="s">
        <v>337</v>
      </c>
      <c r="I31" s="239"/>
      <c r="J31" s="286">
        <v>0.63</v>
      </c>
      <c r="K31" s="212" t="s">
        <v>174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541"/>
      <c r="B32" s="542"/>
      <c r="C32" s="542"/>
      <c r="D32" s="542"/>
      <c r="E32" s="543"/>
      <c r="F32" s="283"/>
      <c r="G32" s="287" t="s">
        <v>338</v>
      </c>
      <c r="H32" s="238" t="s">
        <v>339</v>
      </c>
      <c r="I32" s="288"/>
      <c r="J32" s="211">
        <v>94.3</v>
      </c>
      <c r="K32" s="212" t="s">
        <v>174</v>
      </c>
      <c r="L32" s="193"/>
      <c r="N32" s="289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544" t="s">
        <v>340</v>
      </c>
      <c r="B33" s="545"/>
      <c r="C33" s="545"/>
      <c r="D33" s="545"/>
      <c r="E33" s="546"/>
      <c r="F33" s="290"/>
      <c r="G33" s="291"/>
      <c r="H33" s="292" t="s">
        <v>341</v>
      </c>
      <c r="I33" s="293"/>
      <c r="J33" s="294">
        <v>89.3</v>
      </c>
      <c r="K33" s="281" t="s">
        <v>174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538"/>
      <c r="B34" s="539"/>
      <c r="C34" s="539"/>
      <c r="D34" s="539"/>
      <c r="E34" s="540"/>
      <c r="F34" s="213" t="s">
        <v>342</v>
      </c>
      <c r="G34" s="295"/>
      <c r="H34" s="296" t="s">
        <v>14</v>
      </c>
      <c r="I34" s="297"/>
      <c r="J34" s="298">
        <v>5041</v>
      </c>
      <c r="K34" s="281" t="s">
        <v>174</v>
      </c>
      <c r="L34" s="299"/>
      <c r="M34" s="300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538"/>
      <c r="B35" s="539"/>
      <c r="C35" s="539"/>
      <c r="D35" s="539"/>
      <c r="E35" s="540"/>
      <c r="F35" s="232"/>
      <c r="G35" s="301"/>
      <c r="H35" s="302" t="s">
        <v>15</v>
      </c>
      <c r="I35" s="303"/>
      <c r="J35" s="217">
        <v>3406</v>
      </c>
      <c r="K35" s="281" t="s">
        <v>174</v>
      </c>
      <c r="M35" s="300"/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538"/>
      <c r="B36" s="539"/>
      <c r="C36" s="539"/>
      <c r="D36" s="539"/>
      <c r="E36" s="540"/>
      <c r="F36" s="232"/>
      <c r="G36" s="301"/>
      <c r="H36" s="302" t="s">
        <v>343</v>
      </c>
      <c r="I36" s="303"/>
      <c r="J36" s="217">
        <v>3252</v>
      </c>
      <c r="K36" s="281" t="s">
        <v>174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538"/>
      <c r="B37" s="539"/>
      <c r="C37" s="539"/>
      <c r="D37" s="539"/>
      <c r="E37" s="540"/>
      <c r="F37" s="283"/>
      <c r="G37" s="301"/>
      <c r="H37" s="302" t="s">
        <v>344</v>
      </c>
      <c r="I37" s="303"/>
      <c r="J37" s="217">
        <v>11229</v>
      </c>
      <c r="K37" s="304" t="s">
        <v>174</v>
      </c>
      <c r="M37" s="305"/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541"/>
      <c r="B38" s="542"/>
      <c r="C38" s="542"/>
      <c r="D38" s="542"/>
      <c r="E38" s="543"/>
      <c r="F38" s="240"/>
      <c r="G38" s="306"/>
      <c r="H38" s="307" t="s">
        <v>345</v>
      </c>
      <c r="I38" s="308"/>
      <c r="J38" s="309">
        <v>8623</v>
      </c>
      <c r="K38" s="281" t="s">
        <v>174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544" t="s">
        <v>346</v>
      </c>
      <c r="B39" s="545"/>
      <c r="C39" s="545"/>
      <c r="D39" s="545"/>
      <c r="E39" s="545"/>
      <c r="F39" s="310" t="s">
        <v>347</v>
      </c>
      <c r="G39" s="311" t="s">
        <v>387</v>
      </c>
      <c r="H39" s="311"/>
      <c r="I39" s="311"/>
      <c r="J39" s="311"/>
      <c r="K39" s="312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538"/>
      <c r="B40" s="539"/>
      <c r="C40" s="539"/>
      <c r="D40" s="539"/>
      <c r="E40" s="540"/>
      <c r="F40" s="313" t="s">
        <v>388</v>
      </c>
      <c r="G40" s="314" t="s">
        <v>389</v>
      </c>
      <c r="H40" s="314"/>
      <c r="I40" s="314"/>
      <c r="J40" s="314"/>
      <c r="K40" s="315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538"/>
      <c r="B41" s="539"/>
      <c r="C41" s="539"/>
      <c r="D41" s="539"/>
      <c r="E41" s="540"/>
      <c r="F41" s="313"/>
      <c r="G41" s="316" t="s">
        <v>392</v>
      </c>
      <c r="H41" s="316"/>
      <c r="I41" s="316"/>
      <c r="J41" s="316"/>
      <c r="K41" s="317"/>
      <c r="L41" s="318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538"/>
      <c r="B42" s="539"/>
      <c r="C42" s="539"/>
      <c r="D42" s="539"/>
      <c r="E42" s="540"/>
      <c r="F42" s="313"/>
      <c r="G42" s="533" t="s">
        <v>714</v>
      </c>
      <c r="H42" s="316"/>
      <c r="I42" s="316"/>
      <c r="J42" s="316"/>
      <c r="K42" s="317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538"/>
      <c r="B43" s="539"/>
      <c r="C43" s="539"/>
      <c r="D43" s="539"/>
      <c r="E43" s="540"/>
      <c r="F43" s="313"/>
      <c r="G43" s="663" t="s">
        <v>716</v>
      </c>
      <c r="H43" s="316"/>
      <c r="I43" s="316"/>
      <c r="J43" s="316"/>
      <c r="K43" s="317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547"/>
      <c r="B44" s="548"/>
      <c r="C44" s="548"/>
      <c r="D44" s="548"/>
      <c r="E44" s="549"/>
      <c r="F44" s="313"/>
      <c r="G44" s="664" t="s">
        <v>715</v>
      </c>
      <c r="H44" s="316"/>
      <c r="I44" s="316"/>
      <c r="J44" s="316"/>
      <c r="K44" s="317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9" t="s">
        <v>348</v>
      </c>
      <c r="B45" s="550"/>
      <c r="C45" s="551"/>
      <c r="D45" s="320" t="s">
        <v>349</v>
      </c>
      <c r="E45" s="321" t="s">
        <v>350</v>
      </c>
      <c r="F45" s="322"/>
      <c r="G45" s="316"/>
      <c r="H45" s="316"/>
      <c r="I45" s="316"/>
      <c r="J45" s="316"/>
      <c r="K45" s="317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23" t="s">
        <v>351</v>
      </c>
      <c r="B46" s="536"/>
      <c r="C46" s="537"/>
      <c r="D46" s="324" t="s">
        <v>351</v>
      </c>
      <c r="E46" s="325">
        <v>43186</v>
      </c>
      <c r="F46" s="326"/>
      <c r="G46" s="327" t="s">
        <v>391</v>
      </c>
      <c r="H46" s="327"/>
      <c r="I46" s="327"/>
      <c r="J46" s="327"/>
      <c r="K46" s="328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29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8">
    <mergeCell ref="A1:K1"/>
    <mergeCell ref="A2:K2"/>
    <mergeCell ref="J3:K3"/>
    <mergeCell ref="A5:C5"/>
    <mergeCell ref="A6:C6"/>
    <mergeCell ref="D6:E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0" zoomScale="75" zoomScaleNormal="75" workbookViewId="0"/>
  </sheetViews>
  <sheetFormatPr defaultColWidth="9.140625" defaultRowHeight="12.75"/>
  <cols>
    <col min="1" max="1" width="9.140625" style="335" customWidth="1"/>
    <col min="2" max="2" width="18.140625" style="335" customWidth="1"/>
    <col min="3" max="3" width="21.5703125" style="335" customWidth="1"/>
    <col min="4" max="4" width="21.28515625" style="335" bestFit="1" customWidth="1"/>
    <col min="5" max="5" width="6.85546875" style="335" bestFit="1" customWidth="1"/>
    <col min="6" max="6" width="29.85546875" style="335" customWidth="1"/>
    <col min="7" max="7" width="43.7109375" style="335" customWidth="1"/>
    <col min="8" max="8" width="17.140625" style="335" customWidth="1"/>
    <col min="9" max="9" width="7.85546875" style="335" customWidth="1"/>
    <col min="10" max="10" width="2.28515625" style="335" bestFit="1" customWidth="1"/>
    <col min="11" max="12" width="2.28515625" style="335" customWidth="1"/>
    <col min="13" max="13" width="2.5703125" style="335" bestFit="1" customWidth="1"/>
    <col min="14" max="14" width="2.28515625" style="335" bestFit="1" customWidth="1"/>
    <col min="15" max="16384" width="9.140625" style="335"/>
  </cols>
  <sheetData>
    <row r="1" spans="2:14" ht="12.75" customHeight="1">
      <c r="B1" s="330"/>
      <c r="C1" s="331"/>
      <c r="D1" s="331"/>
      <c r="E1" s="331"/>
      <c r="F1" s="331"/>
      <c r="G1" s="331"/>
      <c r="H1" s="332"/>
      <c r="I1" s="333"/>
      <c r="J1" s="334" t="s">
        <v>352</v>
      </c>
      <c r="K1" s="334" t="s">
        <v>353</v>
      </c>
      <c r="L1" s="334" t="s">
        <v>354</v>
      </c>
      <c r="M1" s="334" t="s">
        <v>353</v>
      </c>
      <c r="N1" s="334"/>
    </row>
    <row r="2" spans="2:14" ht="12.75" customHeight="1">
      <c r="B2" s="634" t="s">
        <v>355</v>
      </c>
      <c r="C2" s="635"/>
      <c r="D2" s="635"/>
      <c r="E2" s="635"/>
      <c r="F2" s="635"/>
      <c r="G2" s="635"/>
      <c r="H2" s="336"/>
      <c r="I2" s="337"/>
      <c r="J2" s="338" t="s">
        <v>356</v>
      </c>
      <c r="K2" s="338" t="s">
        <v>357</v>
      </c>
      <c r="L2" s="338" t="s">
        <v>358</v>
      </c>
      <c r="M2" s="338" t="s">
        <v>359</v>
      </c>
      <c r="N2" s="338" t="s">
        <v>360</v>
      </c>
    </row>
    <row r="3" spans="2:14" ht="12.75" customHeight="1">
      <c r="B3" s="634"/>
      <c r="C3" s="635"/>
      <c r="D3" s="635"/>
      <c r="E3" s="635"/>
      <c r="F3" s="635"/>
      <c r="G3" s="635"/>
      <c r="H3" s="336"/>
      <c r="I3" s="337"/>
      <c r="J3" s="338" t="s">
        <v>361</v>
      </c>
      <c r="K3" s="338"/>
      <c r="L3" s="338" t="s">
        <v>362</v>
      </c>
      <c r="M3" s="338" t="s">
        <v>352</v>
      </c>
      <c r="N3" s="338"/>
    </row>
    <row r="4" spans="2:14" ht="12.75" customHeight="1">
      <c r="B4" s="634"/>
      <c r="C4" s="635"/>
      <c r="D4" s="635"/>
      <c r="E4" s="635"/>
      <c r="F4" s="635"/>
      <c r="G4" s="635"/>
      <c r="H4" s="336"/>
      <c r="I4" s="337"/>
      <c r="J4" s="338" t="s">
        <v>363</v>
      </c>
      <c r="K4" s="338"/>
      <c r="L4" s="338" t="s">
        <v>358</v>
      </c>
      <c r="M4" s="338" t="s">
        <v>356</v>
      </c>
      <c r="N4" s="338"/>
    </row>
    <row r="5" spans="2:14" ht="12.75" customHeight="1">
      <c r="B5" s="339"/>
      <c r="C5" s="340"/>
      <c r="D5" s="340"/>
      <c r="E5" s="340"/>
      <c r="F5" s="340"/>
      <c r="G5" s="340"/>
      <c r="H5" s="336"/>
      <c r="I5" s="337"/>
      <c r="J5" s="338"/>
      <c r="K5" s="338" t="s">
        <v>364</v>
      </c>
      <c r="L5" s="338" t="s">
        <v>353</v>
      </c>
      <c r="M5" s="338"/>
      <c r="N5" s="338" t="s">
        <v>358</v>
      </c>
    </row>
    <row r="6" spans="2:14" ht="12" customHeight="1">
      <c r="B6" s="341"/>
      <c r="C6" s="342"/>
      <c r="D6" s="342"/>
      <c r="F6" s="342"/>
      <c r="H6" s="343"/>
      <c r="I6" s="337"/>
      <c r="J6" s="338" t="s">
        <v>357</v>
      </c>
      <c r="K6" s="338" t="s">
        <v>365</v>
      </c>
      <c r="L6" s="338"/>
      <c r="M6" s="338" t="s">
        <v>353</v>
      </c>
      <c r="N6" s="338" t="s">
        <v>366</v>
      </c>
    </row>
    <row r="7" spans="2:14" ht="12.75" customHeight="1">
      <c r="B7" s="341"/>
      <c r="D7" s="344"/>
      <c r="H7" s="343"/>
      <c r="I7" s="337"/>
      <c r="J7" s="338" t="s">
        <v>183</v>
      </c>
      <c r="K7" s="338" t="s">
        <v>361</v>
      </c>
      <c r="L7" s="338" t="s">
        <v>361</v>
      </c>
      <c r="M7" s="338" t="s">
        <v>356</v>
      </c>
      <c r="N7" s="338" t="s">
        <v>367</v>
      </c>
    </row>
    <row r="8" spans="2:14" ht="12.75" customHeight="1">
      <c r="B8" s="341"/>
      <c r="G8" s="344"/>
      <c r="H8" s="345"/>
      <c r="I8" s="338" t="s">
        <v>367</v>
      </c>
      <c r="J8" s="338" t="s">
        <v>353</v>
      </c>
      <c r="K8" s="338" t="s">
        <v>368</v>
      </c>
      <c r="L8" s="338" t="s">
        <v>356</v>
      </c>
      <c r="M8" s="338" t="s">
        <v>367</v>
      </c>
      <c r="N8" s="338" t="s">
        <v>365</v>
      </c>
    </row>
    <row r="9" spans="2:14">
      <c r="B9" s="338" t="s">
        <v>369</v>
      </c>
      <c r="C9" s="345" t="s">
        <v>370</v>
      </c>
      <c r="D9" s="345" t="s">
        <v>371</v>
      </c>
      <c r="E9" s="345" t="s">
        <v>372</v>
      </c>
      <c r="F9" s="338" t="s">
        <v>373</v>
      </c>
      <c r="G9" s="338" t="s">
        <v>374</v>
      </c>
      <c r="H9" s="338" t="s">
        <v>375</v>
      </c>
      <c r="I9" s="338" t="s">
        <v>363</v>
      </c>
      <c r="J9" s="338" t="s">
        <v>183</v>
      </c>
      <c r="K9" s="338" t="s">
        <v>356</v>
      </c>
      <c r="L9" s="338" t="s">
        <v>368</v>
      </c>
      <c r="M9" s="338" t="s">
        <v>353</v>
      </c>
      <c r="N9" s="338" t="s">
        <v>354</v>
      </c>
    </row>
    <row r="10" spans="2:14" ht="15" customHeight="1">
      <c r="B10" s="346"/>
      <c r="C10" s="347"/>
      <c r="D10" s="347"/>
      <c r="E10" s="347"/>
      <c r="F10" s="348"/>
      <c r="G10" s="349"/>
      <c r="H10" s="349"/>
      <c r="I10" s="350"/>
      <c r="J10" s="351"/>
      <c r="K10" s="351"/>
      <c r="L10" s="351"/>
      <c r="M10" s="351"/>
      <c r="N10" s="352"/>
    </row>
    <row r="11" spans="2:14" ht="15" customHeight="1">
      <c r="B11" s="346"/>
      <c r="C11" s="348"/>
      <c r="D11" s="348"/>
      <c r="E11" s="348"/>
      <c r="F11" s="348"/>
      <c r="G11" s="348"/>
      <c r="H11" s="348"/>
      <c r="I11" s="353"/>
      <c r="J11" s="351"/>
      <c r="K11" s="351"/>
      <c r="L11" s="351"/>
      <c r="M11" s="351"/>
      <c r="N11" s="352"/>
    </row>
    <row r="12" spans="2:14" ht="15" customHeight="1">
      <c r="B12" s="346"/>
      <c r="C12" s="348"/>
      <c r="D12" s="348"/>
      <c r="E12" s="348"/>
      <c r="F12" s="348"/>
      <c r="G12" s="348"/>
      <c r="H12" s="348"/>
      <c r="I12" s="353"/>
      <c r="J12" s="354"/>
      <c r="K12" s="351"/>
      <c r="L12" s="351"/>
      <c r="M12" s="351"/>
      <c r="N12" s="352"/>
    </row>
    <row r="13" spans="2:14" ht="15" customHeight="1">
      <c r="B13" s="346"/>
      <c r="C13" s="348"/>
      <c r="D13" s="348"/>
      <c r="E13" s="348"/>
      <c r="F13" s="348"/>
      <c r="G13" s="348"/>
      <c r="H13" s="348"/>
      <c r="I13" s="353"/>
      <c r="J13" s="351"/>
      <c r="K13" s="351"/>
      <c r="L13" s="351"/>
      <c r="M13" s="351"/>
      <c r="N13" s="352"/>
    </row>
    <row r="14" spans="2:14" ht="15" customHeight="1">
      <c r="B14" s="346"/>
      <c r="C14" s="348"/>
      <c r="D14" s="348"/>
      <c r="E14" s="348"/>
      <c r="F14" s="348"/>
      <c r="G14" s="348"/>
      <c r="H14" s="348"/>
      <c r="I14" s="353"/>
      <c r="J14" s="351"/>
      <c r="K14" s="351"/>
      <c r="L14" s="351"/>
      <c r="M14" s="351"/>
      <c r="N14" s="352"/>
    </row>
    <row r="15" spans="2:14" ht="15" customHeight="1">
      <c r="B15" s="346"/>
      <c r="C15" s="348"/>
      <c r="D15" s="348"/>
      <c r="E15" s="348"/>
      <c r="F15" s="348"/>
      <c r="G15" s="348"/>
      <c r="H15" s="348"/>
      <c r="I15" s="353"/>
      <c r="J15" s="351"/>
      <c r="K15" s="351"/>
      <c r="L15" s="351"/>
      <c r="M15" s="351"/>
      <c r="N15" s="352"/>
    </row>
    <row r="16" spans="2:14" ht="15" customHeight="1">
      <c r="B16" s="346"/>
      <c r="C16" s="348"/>
      <c r="D16" s="348"/>
      <c r="E16" s="348"/>
      <c r="F16" s="348"/>
      <c r="G16" s="348"/>
      <c r="H16" s="348"/>
      <c r="I16" s="353"/>
      <c r="J16" s="351"/>
      <c r="K16" s="351"/>
      <c r="L16" s="351"/>
      <c r="M16" s="351"/>
      <c r="N16" s="352"/>
    </row>
    <row r="17" spans="2:14" ht="15" customHeight="1">
      <c r="B17" s="346"/>
      <c r="C17" s="348"/>
      <c r="D17" s="348"/>
      <c r="E17" s="348"/>
      <c r="F17" s="348"/>
      <c r="G17" s="348"/>
      <c r="H17" s="348"/>
      <c r="I17" s="353"/>
      <c r="J17" s="351"/>
      <c r="K17" s="351"/>
      <c r="L17" s="351"/>
      <c r="M17" s="351"/>
      <c r="N17" s="352"/>
    </row>
    <row r="18" spans="2:14" ht="15" customHeight="1">
      <c r="B18" s="346"/>
      <c r="C18" s="348"/>
      <c r="D18" s="348"/>
      <c r="E18" s="348"/>
      <c r="F18" s="348"/>
      <c r="G18" s="348"/>
      <c r="H18" s="348"/>
      <c r="I18" s="353"/>
      <c r="J18" s="351"/>
      <c r="K18" s="351"/>
      <c r="L18" s="351"/>
      <c r="M18" s="351"/>
      <c r="N18" s="352"/>
    </row>
    <row r="19" spans="2:14" ht="15" customHeight="1">
      <c r="B19" s="346"/>
      <c r="C19" s="348"/>
      <c r="D19" s="348"/>
      <c r="E19" s="348"/>
      <c r="F19" s="348"/>
      <c r="G19" s="348"/>
      <c r="H19" s="348"/>
      <c r="I19" s="353"/>
      <c r="J19" s="351"/>
      <c r="K19" s="351"/>
      <c r="L19" s="351"/>
      <c r="M19" s="351"/>
      <c r="N19" s="352"/>
    </row>
    <row r="20" spans="2:14" ht="15" customHeight="1">
      <c r="B20" s="346"/>
      <c r="C20" s="348"/>
      <c r="D20" s="348"/>
      <c r="E20" s="348"/>
      <c r="F20" s="348"/>
      <c r="G20" s="348"/>
      <c r="H20" s="348"/>
      <c r="I20" s="353"/>
      <c r="J20" s="351"/>
      <c r="K20" s="351"/>
      <c r="L20" s="351"/>
      <c r="M20" s="351"/>
      <c r="N20" s="352"/>
    </row>
    <row r="21" spans="2:14" ht="15" customHeight="1">
      <c r="B21" s="346"/>
      <c r="C21" s="348"/>
      <c r="D21" s="348"/>
      <c r="E21" s="348"/>
      <c r="F21" s="348"/>
      <c r="G21" s="348"/>
      <c r="H21" s="348"/>
      <c r="I21" s="353"/>
      <c r="J21" s="351"/>
      <c r="K21" s="351"/>
      <c r="L21" s="351"/>
      <c r="M21" s="351"/>
      <c r="N21" s="352"/>
    </row>
    <row r="22" spans="2:14" ht="15" customHeight="1">
      <c r="B22" s="346"/>
      <c r="C22" s="348"/>
      <c r="D22" s="348"/>
      <c r="E22" s="348"/>
      <c r="F22" s="348"/>
      <c r="G22" s="348"/>
      <c r="H22" s="348"/>
      <c r="I22" s="353"/>
      <c r="J22" s="351"/>
      <c r="K22" s="351"/>
      <c r="L22" s="351"/>
      <c r="M22" s="351"/>
      <c r="N22" s="352"/>
    </row>
    <row r="23" spans="2:14" ht="15" customHeight="1">
      <c r="B23" s="346"/>
      <c r="C23" s="348"/>
      <c r="D23" s="348"/>
      <c r="E23" s="348"/>
      <c r="F23" s="348"/>
      <c r="G23" s="348"/>
      <c r="H23" s="348"/>
      <c r="I23" s="353"/>
      <c r="J23" s="351"/>
      <c r="K23" s="351"/>
      <c r="L23" s="351"/>
      <c r="M23" s="351"/>
      <c r="N23" s="352"/>
    </row>
    <row r="24" spans="2:14" ht="15" customHeight="1">
      <c r="B24" s="346"/>
      <c r="C24" s="348"/>
      <c r="D24" s="348"/>
      <c r="E24" s="348"/>
      <c r="F24" s="348"/>
      <c r="G24" s="348"/>
      <c r="H24" s="348"/>
      <c r="I24" s="353"/>
      <c r="J24" s="351"/>
      <c r="K24" s="351"/>
      <c r="L24" s="351"/>
      <c r="M24" s="351"/>
      <c r="N24" s="352"/>
    </row>
    <row r="25" spans="2:14" ht="15" customHeight="1">
      <c r="B25" s="346"/>
      <c r="C25" s="348"/>
      <c r="D25" s="348"/>
      <c r="E25" s="348"/>
      <c r="F25" s="348"/>
      <c r="G25" s="348"/>
      <c r="H25" s="348"/>
      <c r="I25" s="353"/>
      <c r="J25" s="351"/>
      <c r="K25" s="351"/>
      <c r="L25" s="351"/>
      <c r="M25" s="351"/>
      <c r="N25" s="352"/>
    </row>
    <row r="26" spans="2:14" ht="15" customHeight="1">
      <c r="B26" s="346"/>
      <c r="C26" s="348"/>
      <c r="D26" s="348"/>
      <c r="E26" s="348"/>
      <c r="F26" s="348"/>
      <c r="G26" s="348"/>
      <c r="H26" s="348"/>
      <c r="I26" s="353"/>
      <c r="J26" s="351"/>
      <c r="K26" s="351"/>
      <c r="L26" s="351"/>
      <c r="M26" s="351"/>
      <c r="N26" s="352"/>
    </row>
    <row r="27" spans="2:14" ht="15" customHeight="1">
      <c r="B27" s="346"/>
      <c r="C27" s="348"/>
      <c r="D27" s="348"/>
      <c r="E27" s="348"/>
      <c r="F27" s="348"/>
      <c r="G27" s="348"/>
      <c r="H27" s="348"/>
      <c r="I27" s="353"/>
      <c r="J27" s="351"/>
      <c r="K27" s="351"/>
      <c r="L27" s="351"/>
      <c r="M27" s="351"/>
      <c r="N27" s="352"/>
    </row>
    <row r="28" spans="2:14" ht="15" customHeight="1">
      <c r="B28" s="346"/>
      <c r="C28" s="348"/>
      <c r="D28" s="348"/>
      <c r="E28" s="348"/>
      <c r="F28" s="348"/>
      <c r="G28" s="348"/>
      <c r="H28" s="348"/>
      <c r="I28" s="353"/>
      <c r="J28" s="351"/>
      <c r="K28" s="351"/>
      <c r="L28" s="351"/>
      <c r="M28" s="351"/>
      <c r="N28" s="352"/>
    </row>
    <row r="29" spans="2:14" ht="15" customHeight="1">
      <c r="B29" s="346"/>
      <c r="C29" s="348"/>
      <c r="D29" s="348"/>
      <c r="E29" s="348"/>
      <c r="F29" s="348"/>
      <c r="G29" s="348"/>
      <c r="H29" s="348"/>
      <c r="I29" s="353"/>
      <c r="J29" s="351"/>
      <c r="K29" s="351"/>
      <c r="L29" s="351"/>
      <c r="M29" s="351"/>
      <c r="N29" s="352"/>
    </row>
    <row r="30" spans="2:14" ht="15" customHeight="1">
      <c r="B30" s="346"/>
      <c r="C30" s="348"/>
      <c r="D30" s="348"/>
      <c r="E30" s="348"/>
      <c r="F30" s="348"/>
      <c r="G30" s="348"/>
      <c r="H30" s="348"/>
      <c r="I30" s="353"/>
      <c r="J30" s="351"/>
      <c r="K30" s="351"/>
      <c r="L30" s="351"/>
      <c r="M30" s="351"/>
      <c r="N30" s="352"/>
    </row>
    <row r="31" spans="2:14" ht="15" customHeight="1">
      <c r="B31" s="346"/>
      <c r="C31" s="348"/>
      <c r="D31" s="348"/>
      <c r="E31" s="348"/>
      <c r="F31" s="348"/>
      <c r="G31" s="348"/>
      <c r="H31" s="348"/>
      <c r="I31" s="353"/>
      <c r="J31" s="351"/>
      <c r="K31" s="351"/>
      <c r="L31" s="351"/>
      <c r="M31" s="351"/>
      <c r="N31" s="352"/>
    </row>
    <row r="32" spans="2:14" ht="15" customHeight="1">
      <c r="B32" s="346"/>
      <c r="C32" s="348"/>
      <c r="D32" s="348"/>
      <c r="E32" s="348"/>
      <c r="F32" s="348"/>
      <c r="G32" s="348"/>
      <c r="H32" s="348"/>
      <c r="I32" s="353"/>
      <c r="J32" s="351"/>
      <c r="K32" s="351"/>
      <c r="L32" s="351"/>
      <c r="M32" s="351"/>
      <c r="N32" s="352"/>
    </row>
    <row r="33" spans="2:14" ht="15" customHeight="1">
      <c r="B33" s="346"/>
      <c r="C33" s="348"/>
      <c r="D33" s="348"/>
      <c r="E33" s="348"/>
      <c r="F33" s="348"/>
      <c r="G33" s="348"/>
      <c r="H33" s="348"/>
      <c r="I33" s="353"/>
      <c r="J33" s="351"/>
      <c r="K33" s="351"/>
      <c r="L33" s="351"/>
      <c r="M33" s="351"/>
      <c r="N33" s="352"/>
    </row>
    <row r="34" spans="2:14" ht="15" customHeight="1">
      <c r="B34" s="346"/>
      <c r="C34" s="348"/>
      <c r="D34" s="348"/>
      <c r="E34" s="348"/>
      <c r="F34" s="348"/>
      <c r="G34" s="348"/>
      <c r="H34" s="348"/>
      <c r="I34" s="353"/>
      <c r="J34" s="351"/>
      <c r="K34" s="351"/>
      <c r="L34" s="351"/>
      <c r="M34" s="351"/>
      <c r="N34" s="352"/>
    </row>
    <row r="35" spans="2:14" ht="15" customHeight="1">
      <c r="B35" s="346"/>
      <c r="C35" s="348"/>
      <c r="D35" s="348"/>
      <c r="E35" s="348"/>
      <c r="F35" s="348"/>
      <c r="G35" s="348"/>
      <c r="H35" s="348"/>
      <c r="I35" s="353"/>
      <c r="J35" s="351"/>
      <c r="K35" s="351"/>
      <c r="L35" s="351"/>
      <c r="M35" s="351"/>
      <c r="N35" s="352"/>
    </row>
    <row r="36" spans="2:14" ht="15" customHeight="1">
      <c r="B36" s="346"/>
      <c r="C36" s="348"/>
      <c r="D36" s="348"/>
      <c r="E36" s="348"/>
      <c r="F36" s="348"/>
      <c r="G36" s="348"/>
      <c r="H36" s="348"/>
      <c r="I36" s="353"/>
      <c r="J36" s="351"/>
      <c r="K36" s="351"/>
      <c r="L36" s="351"/>
      <c r="M36" s="351"/>
      <c r="N36" s="352"/>
    </row>
    <row r="37" spans="2:14" ht="15" customHeight="1">
      <c r="B37" s="346"/>
      <c r="C37" s="348"/>
      <c r="D37" s="348"/>
      <c r="E37" s="348"/>
      <c r="F37" s="348"/>
      <c r="G37" s="348"/>
      <c r="H37" s="348"/>
      <c r="I37" s="353"/>
      <c r="J37" s="351"/>
      <c r="K37" s="351"/>
      <c r="L37" s="351"/>
      <c r="M37" s="351"/>
      <c r="N37" s="352"/>
    </row>
    <row r="38" spans="2:14" ht="15" customHeight="1">
      <c r="B38" s="346"/>
      <c r="C38" s="348"/>
      <c r="D38" s="348"/>
      <c r="E38" s="348"/>
      <c r="F38" s="348"/>
      <c r="G38" s="348"/>
      <c r="H38" s="348"/>
      <c r="I38" s="353"/>
      <c r="J38" s="351"/>
      <c r="K38" s="351"/>
      <c r="L38" s="351"/>
      <c r="M38" s="351"/>
      <c r="N38" s="352"/>
    </row>
    <row r="39" spans="2:14" ht="15" customHeight="1">
      <c r="B39" s="346"/>
      <c r="C39" s="348"/>
      <c r="D39" s="348"/>
      <c r="E39" s="348"/>
      <c r="F39" s="348"/>
      <c r="G39" s="348"/>
      <c r="H39" s="348"/>
      <c r="I39" s="353"/>
      <c r="J39" s="351"/>
      <c r="K39" s="351"/>
      <c r="L39" s="351"/>
      <c r="M39" s="351"/>
      <c r="N39" s="352"/>
    </row>
    <row r="40" spans="2:14" ht="15" customHeight="1">
      <c r="B40" s="346"/>
      <c r="C40" s="348"/>
      <c r="D40" s="348"/>
      <c r="E40" s="348"/>
      <c r="F40" s="348"/>
      <c r="G40" s="348"/>
      <c r="H40" s="348"/>
      <c r="I40" s="353"/>
      <c r="J40" s="351"/>
      <c r="K40" s="351"/>
      <c r="L40" s="351"/>
      <c r="M40" s="351"/>
      <c r="N40" s="352"/>
    </row>
    <row r="41" spans="2:14" ht="15" customHeight="1">
      <c r="B41" s="346"/>
      <c r="C41" s="348"/>
      <c r="D41" s="348"/>
      <c r="E41" s="348"/>
      <c r="F41" s="348"/>
      <c r="G41" s="348"/>
      <c r="H41" s="348"/>
      <c r="I41" s="353"/>
      <c r="J41" s="351"/>
      <c r="K41" s="351"/>
      <c r="L41" s="351"/>
      <c r="M41" s="351"/>
      <c r="N41" s="352"/>
    </row>
    <row r="42" spans="2:14" ht="15" customHeight="1">
      <c r="B42" s="346"/>
      <c r="C42" s="348"/>
      <c r="D42" s="348"/>
      <c r="E42" s="348"/>
      <c r="F42" s="348"/>
      <c r="G42" s="348"/>
      <c r="H42" s="348"/>
      <c r="I42" s="353"/>
      <c r="J42" s="351"/>
      <c r="K42" s="351"/>
      <c r="L42" s="351"/>
      <c r="M42" s="351"/>
      <c r="N42" s="352"/>
    </row>
    <row r="43" spans="2:14" ht="15" customHeight="1">
      <c r="B43" s="346"/>
      <c r="C43" s="348"/>
      <c r="D43" s="348"/>
      <c r="E43" s="348"/>
      <c r="F43" s="348"/>
      <c r="G43" s="348"/>
      <c r="H43" s="348"/>
      <c r="I43" s="353"/>
      <c r="J43" s="351"/>
      <c r="K43" s="351"/>
      <c r="L43" s="351"/>
      <c r="M43" s="351"/>
      <c r="N43" s="352"/>
    </row>
    <row r="44" spans="2:14" ht="15" customHeight="1">
      <c r="B44" s="346"/>
      <c r="C44" s="348"/>
      <c r="D44" s="348"/>
      <c r="E44" s="348"/>
      <c r="F44" s="348"/>
      <c r="G44" s="348"/>
      <c r="H44" s="348"/>
      <c r="I44" s="353"/>
      <c r="J44" s="351"/>
      <c r="K44" s="351"/>
      <c r="L44" s="351"/>
      <c r="M44" s="351"/>
      <c r="N44" s="352"/>
    </row>
    <row r="45" spans="2:14" ht="15" customHeight="1">
      <c r="B45" s="346"/>
      <c r="C45" s="348"/>
      <c r="D45" s="348"/>
      <c r="E45" s="348"/>
      <c r="F45" s="348"/>
      <c r="G45" s="348"/>
      <c r="H45" s="348"/>
      <c r="I45" s="353"/>
      <c r="J45" s="351"/>
      <c r="K45" s="351"/>
      <c r="L45" s="351"/>
      <c r="M45" s="351"/>
      <c r="N45" s="352"/>
    </row>
    <row r="46" spans="2:14" ht="15" customHeight="1">
      <c r="B46" s="346"/>
      <c r="C46" s="348"/>
      <c r="D46" s="348"/>
      <c r="E46" s="348"/>
      <c r="F46" s="348"/>
      <c r="G46" s="348"/>
      <c r="H46" s="348"/>
      <c r="I46" s="353"/>
      <c r="J46" s="351"/>
      <c r="K46" s="351"/>
      <c r="L46" s="351"/>
      <c r="M46" s="351"/>
      <c r="N46" s="352"/>
    </row>
    <row r="47" spans="2:14" ht="15" customHeight="1">
      <c r="B47" s="346"/>
      <c r="C47" s="348"/>
      <c r="D47" s="348"/>
      <c r="E47" s="348"/>
      <c r="F47" s="348"/>
      <c r="G47" s="348"/>
      <c r="H47" s="348"/>
      <c r="I47" s="353"/>
      <c r="J47" s="351"/>
      <c r="K47" s="351"/>
      <c r="L47" s="351"/>
      <c r="M47" s="351"/>
      <c r="N47" s="352"/>
    </row>
    <row r="48" spans="2:14" ht="15" customHeight="1">
      <c r="B48" s="346"/>
      <c r="C48" s="348"/>
      <c r="D48" s="348"/>
      <c r="E48" s="348"/>
      <c r="F48" s="348"/>
      <c r="G48" s="348"/>
      <c r="H48" s="348"/>
      <c r="I48" s="353"/>
      <c r="J48" s="351"/>
      <c r="K48" s="351"/>
      <c r="L48" s="351"/>
      <c r="M48" s="351"/>
      <c r="N48" s="352"/>
    </row>
    <row r="49" spans="2:14" ht="15" customHeight="1">
      <c r="B49" s="346"/>
      <c r="C49" s="348"/>
      <c r="D49" s="348"/>
      <c r="E49" s="348"/>
      <c r="F49" s="348"/>
      <c r="G49" s="348"/>
      <c r="H49" s="348"/>
      <c r="I49" s="353"/>
      <c r="J49" s="351"/>
      <c r="K49" s="351"/>
      <c r="L49" s="351"/>
      <c r="M49" s="351"/>
      <c r="N49" s="352"/>
    </row>
    <row r="50" spans="2:14" ht="15" customHeight="1">
      <c r="B50" s="346"/>
      <c r="C50" s="348"/>
      <c r="D50" s="348"/>
      <c r="E50" s="348"/>
      <c r="F50" s="348"/>
      <c r="G50" s="348"/>
      <c r="H50" s="348"/>
      <c r="I50" s="353"/>
      <c r="J50" s="351"/>
      <c r="K50" s="351"/>
      <c r="L50" s="351"/>
      <c r="M50" s="351"/>
      <c r="N50" s="352"/>
    </row>
    <row r="51" spans="2:14" ht="15" customHeight="1">
      <c r="B51" s="346"/>
      <c r="C51" s="348"/>
      <c r="D51" s="348"/>
      <c r="E51" s="348"/>
      <c r="F51" s="348"/>
      <c r="G51" s="348"/>
      <c r="H51" s="348"/>
      <c r="I51" s="353"/>
      <c r="J51" s="351"/>
      <c r="K51" s="351"/>
      <c r="L51" s="351"/>
      <c r="M51" s="351"/>
      <c r="N51" s="352"/>
    </row>
    <row r="52" spans="2:14" ht="15" customHeight="1" thickBot="1">
      <c r="B52" s="355"/>
      <c r="C52" s="356"/>
      <c r="D52" s="356"/>
      <c r="E52" s="356"/>
      <c r="F52" s="356"/>
      <c r="G52" s="356"/>
      <c r="H52" s="356"/>
      <c r="I52" s="357"/>
      <c r="J52" s="358"/>
      <c r="K52" s="358"/>
      <c r="L52" s="358"/>
      <c r="M52" s="358"/>
      <c r="N52" s="359"/>
    </row>
    <row r="53" spans="2:14" ht="20.25" customHeight="1" thickBot="1">
      <c r="B53" s="636" t="s">
        <v>376</v>
      </c>
      <c r="C53" s="636"/>
      <c r="D53" s="636"/>
      <c r="E53" s="636"/>
      <c r="F53" s="636"/>
      <c r="G53" s="636"/>
      <c r="H53" s="636"/>
      <c r="I53" s="636"/>
      <c r="J53" s="636"/>
      <c r="K53" s="636"/>
      <c r="L53" s="636"/>
      <c r="M53" s="636"/>
      <c r="N53" s="636"/>
    </row>
    <row r="54" spans="2:14" ht="15" customHeight="1" thickBot="1">
      <c r="B54" s="360" t="s">
        <v>377</v>
      </c>
      <c r="C54" s="637" t="s">
        <v>374</v>
      </c>
      <c r="D54" s="638"/>
      <c r="E54" s="638"/>
      <c r="F54" s="638"/>
      <c r="G54" s="638"/>
      <c r="H54" s="361"/>
      <c r="I54" s="637" t="s">
        <v>369</v>
      </c>
      <c r="J54" s="638"/>
      <c r="K54" s="639"/>
      <c r="L54" s="637" t="s">
        <v>378</v>
      </c>
      <c r="M54" s="638"/>
      <c r="N54" s="640"/>
    </row>
    <row r="55" spans="2:14" ht="15" customHeight="1">
      <c r="B55" s="362"/>
      <c r="C55" s="626"/>
      <c r="D55" s="627"/>
      <c r="E55" s="627"/>
      <c r="F55" s="627"/>
      <c r="G55" s="627"/>
      <c r="H55" s="363"/>
      <c r="I55" s="628"/>
      <c r="J55" s="629"/>
      <c r="K55" s="630"/>
      <c r="L55" s="631"/>
      <c r="M55" s="632"/>
      <c r="N55" s="633"/>
    </row>
    <row r="56" spans="2:14" ht="15" customHeight="1">
      <c r="B56" s="364"/>
      <c r="C56" s="610"/>
      <c r="D56" s="611"/>
      <c r="E56" s="611"/>
      <c r="F56" s="611"/>
      <c r="G56" s="611"/>
      <c r="H56" s="365"/>
      <c r="I56" s="612"/>
      <c r="J56" s="613"/>
      <c r="K56" s="614"/>
      <c r="L56" s="615"/>
      <c r="M56" s="616"/>
      <c r="N56" s="617"/>
    </row>
    <row r="57" spans="2:14" ht="15" customHeight="1">
      <c r="B57" s="364"/>
      <c r="C57" s="610"/>
      <c r="D57" s="611"/>
      <c r="E57" s="611"/>
      <c r="F57" s="611"/>
      <c r="G57" s="611"/>
      <c r="H57" s="365"/>
      <c r="I57" s="612"/>
      <c r="J57" s="613"/>
      <c r="K57" s="614"/>
      <c r="L57" s="615"/>
      <c r="M57" s="616"/>
      <c r="N57" s="617"/>
    </row>
    <row r="58" spans="2:14" ht="15" customHeight="1">
      <c r="B58" s="364"/>
      <c r="C58" s="610"/>
      <c r="D58" s="611"/>
      <c r="E58" s="611"/>
      <c r="F58" s="611"/>
      <c r="G58" s="611"/>
      <c r="H58" s="365"/>
      <c r="I58" s="612"/>
      <c r="J58" s="613"/>
      <c r="K58" s="614"/>
      <c r="L58" s="615"/>
      <c r="M58" s="616"/>
      <c r="N58" s="617"/>
    </row>
    <row r="59" spans="2:14" ht="15" customHeight="1">
      <c r="B59" s="364"/>
      <c r="C59" s="610"/>
      <c r="D59" s="611"/>
      <c r="E59" s="611"/>
      <c r="F59" s="611"/>
      <c r="G59" s="611"/>
      <c r="H59" s="365"/>
      <c r="I59" s="612"/>
      <c r="J59" s="613"/>
      <c r="K59" s="614"/>
      <c r="L59" s="615"/>
      <c r="M59" s="616"/>
      <c r="N59" s="617"/>
    </row>
    <row r="60" spans="2:14" ht="15" customHeight="1">
      <c r="B60" s="364"/>
      <c r="C60" s="610"/>
      <c r="D60" s="611"/>
      <c r="E60" s="611"/>
      <c r="F60" s="611"/>
      <c r="G60" s="611"/>
      <c r="H60" s="365"/>
      <c r="I60" s="612"/>
      <c r="J60" s="613"/>
      <c r="K60" s="614"/>
      <c r="L60" s="615"/>
      <c r="M60" s="616"/>
      <c r="N60" s="617"/>
    </row>
    <row r="61" spans="2:14" ht="15" customHeight="1">
      <c r="B61" s="364"/>
      <c r="C61" s="610"/>
      <c r="D61" s="611"/>
      <c r="E61" s="611"/>
      <c r="F61" s="611"/>
      <c r="G61" s="611"/>
      <c r="H61" s="365"/>
      <c r="I61" s="612"/>
      <c r="J61" s="613"/>
      <c r="K61" s="614"/>
      <c r="L61" s="615"/>
      <c r="M61" s="616"/>
      <c r="N61" s="617"/>
    </row>
    <row r="62" spans="2:14" ht="15" customHeight="1">
      <c r="B62" s="364"/>
      <c r="C62" s="610"/>
      <c r="D62" s="611"/>
      <c r="E62" s="611"/>
      <c r="F62" s="611"/>
      <c r="G62" s="611"/>
      <c r="H62" s="365"/>
      <c r="I62" s="612"/>
      <c r="J62" s="613"/>
      <c r="K62" s="614"/>
      <c r="L62" s="615"/>
      <c r="M62" s="616"/>
      <c r="N62" s="617"/>
    </row>
    <row r="63" spans="2:14" ht="15" customHeight="1">
      <c r="B63" s="364"/>
      <c r="C63" s="610"/>
      <c r="D63" s="611"/>
      <c r="E63" s="611"/>
      <c r="F63" s="611"/>
      <c r="G63" s="611"/>
      <c r="H63" s="365"/>
      <c r="I63" s="612"/>
      <c r="J63" s="613"/>
      <c r="K63" s="614"/>
      <c r="L63" s="615"/>
      <c r="M63" s="616"/>
      <c r="N63" s="617"/>
    </row>
    <row r="64" spans="2:14" ht="15" customHeight="1">
      <c r="B64" s="364"/>
      <c r="C64" s="610"/>
      <c r="D64" s="611"/>
      <c r="E64" s="611"/>
      <c r="F64" s="611"/>
      <c r="G64" s="611"/>
      <c r="H64" s="365"/>
      <c r="I64" s="612"/>
      <c r="J64" s="613"/>
      <c r="K64" s="614"/>
      <c r="L64" s="615"/>
      <c r="M64" s="616"/>
      <c r="N64" s="617"/>
    </row>
    <row r="65" spans="2:14" ht="15" customHeight="1">
      <c r="B65" s="364"/>
      <c r="C65" s="610"/>
      <c r="D65" s="611"/>
      <c r="E65" s="611"/>
      <c r="F65" s="611"/>
      <c r="G65" s="611"/>
      <c r="H65" s="365"/>
      <c r="I65" s="612"/>
      <c r="J65" s="613"/>
      <c r="K65" s="614"/>
      <c r="L65" s="615"/>
      <c r="M65" s="616"/>
      <c r="N65" s="617"/>
    </row>
    <row r="66" spans="2:14" ht="15" customHeight="1">
      <c r="B66" s="364"/>
      <c r="C66" s="610"/>
      <c r="D66" s="611"/>
      <c r="E66" s="611"/>
      <c r="F66" s="611"/>
      <c r="G66" s="611"/>
      <c r="H66" s="365"/>
      <c r="I66" s="612"/>
      <c r="J66" s="613"/>
      <c r="K66" s="614"/>
      <c r="L66" s="615"/>
      <c r="M66" s="616"/>
      <c r="N66" s="617"/>
    </row>
    <row r="67" spans="2:14" ht="15" customHeight="1">
      <c r="B67" s="364"/>
      <c r="C67" s="610"/>
      <c r="D67" s="611"/>
      <c r="E67" s="611"/>
      <c r="F67" s="611"/>
      <c r="G67" s="611"/>
      <c r="H67" s="365"/>
      <c r="I67" s="612"/>
      <c r="J67" s="613"/>
      <c r="K67" s="614"/>
      <c r="L67" s="615"/>
      <c r="M67" s="616"/>
      <c r="N67" s="617"/>
    </row>
    <row r="68" spans="2:14" ht="15" customHeight="1">
      <c r="B68" s="364"/>
      <c r="C68" s="610"/>
      <c r="D68" s="611"/>
      <c r="E68" s="611"/>
      <c r="F68" s="611"/>
      <c r="G68" s="611"/>
      <c r="H68" s="365"/>
      <c r="I68" s="612"/>
      <c r="J68" s="613"/>
      <c r="K68" s="614"/>
      <c r="L68" s="615"/>
      <c r="M68" s="616"/>
      <c r="N68" s="617"/>
    </row>
    <row r="69" spans="2:14" ht="15" customHeight="1">
      <c r="B69" s="364"/>
      <c r="C69" s="610"/>
      <c r="D69" s="611"/>
      <c r="E69" s="611"/>
      <c r="F69" s="611"/>
      <c r="G69" s="611"/>
      <c r="H69" s="365"/>
      <c r="I69" s="612"/>
      <c r="J69" s="613"/>
      <c r="K69" s="614"/>
      <c r="L69" s="615"/>
      <c r="M69" s="616"/>
      <c r="N69" s="617"/>
    </row>
    <row r="70" spans="2:14" ht="15" customHeight="1">
      <c r="B70" s="364"/>
      <c r="C70" s="610"/>
      <c r="D70" s="611"/>
      <c r="E70" s="611"/>
      <c r="F70" s="611"/>
      <c r="G70" s="611"/>
      <c r="H70" s="365"/>
      <c r="I70" s="612"/>
      <c r="J70" s="613"/>
      <c r="K70" s="614"/>
      <c r="L70" s="615"/>
      <c r="M70" s="616"/>
      <c r="N70" s="617"/>
    </row>
    <row r="71" spans="2:14" ht="15" customHeight="1">
      <c r="B71" s="364"/>
      <c r="C71" s="610"/>
      <c r="D71" s="611"/>
      <c r="E71" s="611"/>
      <c r="F71" s="611"/>
      <c r="G71" s="611"/>
      <c r="H71" s="365"/>
      <c r="I71" s="612"/>
      <c r="J71" s="613"/>
      <c r="K71" s="614"/>
      <c r="L71" s="615"/>
      <c r="M71" s="616"/>
      <c r="N71" s="617"/>
    </row>
    <row r="72" spans="2:14">
      <c r="B72" s="364"/>
      <c r="C72" s="610"/>
      <c r="D72" s="611"/>
      <c r="E72" s="611"/>
      <c r="F72" s="611"/>
      <c r="G72" s="611"/>
      <c r="H72" s="365"/>
      <c r="I72" s="612"/>
      <c r="J72" s="613"/>
      <c r="K72" s="614"/>
      <c r="L72" s="615"/>
      <c r="M72" s="616"/>
      <c r="N72" s="617"/>
    </row>
    <row r="73" spans="2:14">
      <c r="B73" s="364"/>
      <c r="C73" s="610"/>
      <c r="D73" s="611"/>
      <c r="E73" s="611"/>
      <c r="F73" s="611"/>
      <c r="G73" s="611"/>
      <c r="H73" s="365"/>
      <c r="I73" s="612"/>
      <c r="J73" s="613"/>
      <c r="K73" s="614"/>
      <c r="L73" s="615"/>
      <c r="M73" s="616"/>
      <c r="N73" s="617"/>
    </row>
    <row r="74" spans="2:14">
      <c r="B74" s="364"/>
      <c r="C74" s="610"/>
      <c r="D74" s="611"/>
      <c r="E74" s="611"/>
      <c r="F74" s="611"/>
      <c r="G74" s="611"/>
      <c r="H74" s="365"/>
      <c r="I74" s="612"/>
      <c r="J74" s="613"/>
      <c r="K74" s="614"/>
      <c r="L74" s="615"/>
      <c r="M74" s="616"/>
      <c r="N74" s="617"/>
    </row>
    <row r="75" spans="2:14">
      <c r="B75" s="364"/>
      <c r="C75" s="610"/>
      <c r="D75" s="611"/>
      <c r="E75" s="611"/>
      <c r="F75" s="611"/>
      <c r="G75" s="611"/>
      <c r="H75" s="365"/>
      <c r="I75" s="612"/>
      <c r="J75" s="613"/>
      <c r="K75" s="614"/>
      <c r="L75" s="615"/>
      <c r="M75" s="616"/>
      <c r="N75" s="617"/>
    </row>
    <row r="76" spans="2:14">
      <c r="B76" s="364"/>
      <c r="C76" s="610"/>
      <c r="D76" s="611"/>
      <c r="E76" s="611"/>
      <c r="F76" s="611"/>
      <c r="G76" s="611"/>
      <c r="H76" s="365"/>
      <c r="I76" s="612"/>
      <c r="J76" s="613"/>
      <c r="K76" s="614"/>
      <c r="L76" s="615"/>
      <c r="M76" s="616"/>
      <c r="N76" s="617"/>
    </row>
    <row r="77" spans="2:14">
      <c r="B77" s="364"/>
      <c r="C77" s="610"/>
      <c r="D77" s="611"/>
      <c r="E77" s="611"/>
      <c r="F77" s="611"/>
      <c r="G77" s="611"/>
      <c r="H77" s="365"/>
      <c r="I77" s="612"/>
      <c r="J77" s="613"/>
      <c r="K77" s="614"/>
      <c r="L77" s="615"/>
      <c r="M77" s="616"/>
      <c r="N77" s="617"/>
    </row>
    <row r="78" spans="2:14">
      <c r="B78" s="364"/>
      <c r="C78" s="610"/>
      <c r="D78" s="611"/>
      <c r="E78" s="611"/>
      <c r="F78" s="611"/>
      <c r="G78" s="611"/>
      <c r="H78" s="365"/>
      <c r="I78" s="612"/>
      <c r="J78" s="613"/>
      <c r="K78" s="614"/>
      <c r="L78" s="615"/>
      <c r="M78" s="616"/>
      <c r="N78" s="617"/>
    </row>
    <row r="79" spans="2:14" ht="13.5" thickBot="1">
      <c r="B79" s="366"/>
      <c r="C79" s="618"/>
      <c r="D79" s="619"/>
      <c r="E79" s="619"/>
      <c r="F79" s="619"/>
      <c r="G79" s="619"/>
      <c r="H79" s="367"/>
      <c r="I79" s="620"/>
      <c r="J79" s="621"/>
      <c r="K79" s="622"/>
      <c r="L79" s="623"/>
      <c r="M79" s="624"/>
      <c r="N79" s="625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RowHeight="12.75"/>
  <cols>
    <col min="1" max="1" width="19.7109375" style="378" customWidth="1"/>
    <col min="2" max="7" width="10.7109375" style="378" customWidth="1"/>
    <col min="8" max="16384" width="9.140625" style="378"/>
  </cols>
  <sheetData>
    <row r="1" spans="1:12" ht="21" customHeight="1">
      <c r="A1" s="377" t="s">
        <v>408</v>
      </c>
      <c r="B1" s="650" t="s">
        <v>447</v>
      </c>
      <c r="C1" s="650"/>
      <c r="D1" s="650"/>
      <c r="E1" s="650"/>
      <c r="F1" s="650"/>
      <c r="G1" s="650"/>
    </row>
    <row r="2" spans="1:12" ht="15" customHeight="1"/>
    <row r="3" spans="1:12" ht="20.25">
      <c r="A3" s="379" t="s">
        <v>409</v>
      </c>
    </row>
    <row r="4" spans="1:12" ht="12" customHeight="1">
      <c r="A4" s="380"/>
      <c r="B4" s="380"/>
      <c r="C4" s="380"/>
      <c r="D4" s="380" t="s">
        <v>461</v>
      </c>
      <c r="E4" s="380"/>
      <c r="F4" s="380"/>
      <c r="G4" s="380"/>
      <c r="H4" s="380"/>
      <c r="I4" s="380"/>
      <c r="J4" s="380"/>
      <c r="K4" s="380"/>
      <c r="L4" s="380"/>
    </row>
    <row r="5" spans="1:12" ht="15.6" customHeight="1">
      <c r="A5" s="381" t="s">
        <v>5</v>
      </c>
      <c r="B5" s="381" t="s">
        <v>410</v>
      </c>
      <c r="C5" s="381" t="s">
        <v>411</v>
      </c>
      <c r="D5" s="381" t="s">
        <v>412</v>
      </c>
      <c r="E5" s="381" t="s">
        <v>413</v>
      </c>
      <c r="F5" s="381" t="s">
        <v>414</v>
      </c>
      <c r="G5" s="381" t="s">
        <v>415</v>
      </c>
      <c r="H5" s="380"/>
      <c r="I5" s="380"/>
      <c r="J5" s="380"/>
      <c r="K5" s="380"/>
      <c r="L5" s="380"/>
    </row>
    <row r="6" spans="1:12" ht="15.6" customHeight="1">
      <c r="A6" s="382" t="s">
        <v>416</v>
      </c>
      <c r="B6" s="382" t="s">
        <v>165</v>
      </c>
      <c r="C6" s="382" t="s">
        <v>165</v>
      </c>
      <c r="D6" s="382" t="s">
        <v>417</v>
      </c>
      <c r="E6" s="382" t="s">
        <v>135</v>
      </c>
      <c r="F6" s="382" t="s">
        <v>418</v>
      </c>
      <c r="G6" s="382" t="s">
        <v>418</v>
      </c>
      <c r="H6" s="380"/>
      <c r="I6" s="380"/>
      <c r="J6" s="380"/>
      <c r="K6" s="380"/>
      <c r="L6" s="380"/>
    </row>
    <row r="7" spans="1:12" ht="15.95" customHeight="1">
      <c r="A7" s="383" t="s">
        <v>448</v>
      </c>
      <c r="B7" s="383" t="s">
        <v>462</v>
      </c>
      <c r="C7" s="383" t="s">
        <v>475</v>
      </c>
      <c r="D7" s="383" t="s">
        <v>488</v>
      </c>
      <c r="E7" s="383" t="s">
        <v>501</v>
      </c>
      <c r="F7" s="383" t="s">
        <v>514</v>
      </c>
      <c r="G7" s="383" t="s">
        <v>527</v>
      </c>
      <c r="H7" s="380"/>
      <c r="I7" s="380"/>
      <c r="J7" s="380"/>
      <c r="K7" s="380"/>
      <c r="L7" s="380"/>
    </row>
    <row r="8" spans="1:12" ht="15.95" customHeight="1">
      <c r="A8" s="383" t="s">
        <v>449</v>
      </c>
      <c r="B8" s="383" t="s">
        <v>463</v>
      </c>
      <c r="C8" s="383" t="s">
        <v>476</v>
      </c>
      <c r="D8" s="383" t="s">
        <v>489</v>
      </c>
      <c r="E8" s="383" t="s">
        <v>502</v>
      </c>
      <c r="F8" s="383" t="s">
        <v>515</v>
      </c>
      <c r="G8" s="383" t="s">
        <v>528</v>
      </c>
      <c r="H8" s="380"/>
      <c r="I8" s="380"/>
      <c r="J8" s="380"/>
      <c r="K8" s="380"/>
      <c r="L8" s="380"/>
    </row>
    <row r="9" spans="1:12" ht="15.95" customHeight="1">
      <c r="A9" s="383" t="s">
        <v>450</v>
      </c>
      <c r="B9" s="383" t="s">
        <v>464</v>
      </c>
      <c r="C9" s="383" t="s">
        <v>477</v>
      </c>
      <c r="D9" s="383" t="s">
        <v>490</v>
      </c>
      <c r="E9" s="383" t="s">
        <v>503</v>
      </c>
      <c r="F9" s="383" t="s">
        <v>516</v>
      </c>
      <c r="G9" s="383" t="s">
        <v>529</v>
      </c>
      <c r="H9" s="380"/>
      <c r="I9" s="380"/>
      <c r="J9" s="380"/>
      <c r="K9" s="380"/>
      <c r="L9" s="380"/>
    </row>
    <row r="10" spans="1:12" ht="15.95" customHeight="1">
      <c r="A10" s="383" t="s">
        <v>451</v>
      </c>
      <c r="B10" s="383" t="s">
        <v>465</v>
      </c>
      <c r="C10" s="383" t="s">
        <v>478</v>
      </c>
      <c r="D10" s="383" t="s">
        <v>491</v>
      </c>
      <c r="E10" s="383" t="s">
        <v>504</v>
      </c>
      <c r="F10" s="383" t="s">
        <v>517</v>
      </c>
      <c r="G10" s="383" t="s">
        <v>530</v>
      </c>
      <c r="H10" s="380"/>
      <c r="I10" s="380"/>
      <c r="J10" s="380"/>
      <c r="K10" s="380"/>
      <c r="L10" s="380"/>
    </row>
    <row r="11" spans="1:12" ht="15.95" customHeight="1">
      <c r="A11" s="383" t="s">
        <v>452</v>
      </c>
      <c r="B11" s="383" t="s">
        <v>466</v>
      </c>
      <c r="C11" s="383" t="s">
        <v>479</v>
      </c>
      <c r="D11" s="383" t="s">
        <v>492</v>
      </c>
      <c r="E11" s="383" t="s">
        <v>505</v>
      </c>
      <c r="F11" s="383" t="s">
        <v>518</v>
      </c>
      <c r="G11" s="383" t="s">
        <v>531</v>
      </c>
      <c r="H11" s="380"/>
      <c r="I11" s="380"/>
      <c r="J11" s="380"/>
      <c r="K11" s="380"/>
      <c r="L11" s="380"/>
    </row>
    <row r="12" spans="1:12" ht="15.95" customHeight="1">
      <c r="A12" s="383" t="s">
        <v>453</v>
      </c>
      <c r="B12" s="383" t="s">
        <v>467</v>
      </c>
      <c r="C12" s="383" t="s">
        <v>480</v>
      </c>
      <c r="D12" s="383" t="s">
        <v>493</v>
      </c>
      <c r="E12" s="383" t="s">
        <v>506</v>
      </c>
      <c r="F12" s="383" t="s">
        <v>519</v>
      </c>
      <c r="G12" s="383" t="s">
        <v>532</v>
      </c>
      <c r="H12" s="380"/>
      <c r="I12" s="380"/>
      <c r="J12" s="380"/>
      <c r="K12" s="380"/>
      <c r="L12" s="380"/>
    </row>
    <row r="13" spans="1:12" ht="15.95" customHeight="1">
      <c r="A13" s="383" t="s">
        <v>454</v>
      </c>
      <c r="B13" s="383" t="s">
        <v>468</v>
      </c>
      <c r="C13" s="383" t="s">
        <v>481</v>
      </c>
      <c r="D13" s="383" t="s">
        <v>494</v>
      </c>
      <c r="E13" s="383" t="s">
        <v>507</v>
      </c>
      <c r="F13" s="383" t="s">
        <v>520</v>
      </c>
      <c r="G13" s="383" t="s">
        <v>533</v>
      </c>
      <c r="H13" s="380"/>
      <c r="I13" s="380"/>
      <c r="J13" s="380"/>
      <c r="K13" s="380"/>
      <c r="L13" s="380"/>
    </row>
    <row r="14" spans="1:12" ht="15.95" customHeight="1">
      <c r="A14" s="383" t="s">
        <v>455</v>
      </c>
      <c r="B14" s="383" t="s">
        <v>469</v>
      </c>
      <c r="C14" s="383" t="s">
        <v>482</v>
      </c>
      <c r="D14" s="383" t="s">
        <v>495</v>
      </c>
      <c r="E14" s="383" t="s">
        <v>508</v>
      </c>
      <c r="F14" s="383" t="s">
        <v>521</v>
      </c>
      <c r="G14" s="383" t="s">
        <v>534</v>
      </c>
      <c r="H14" s="380"/>
      <c r="I14" s="380"/>
      <c r="J14" s="380"/>
      <c r="K14" s="380"/>
      <c r="L14" s="380"/>
    </row>
    <row r="15" spans="1:12" ht="15.95" customHeight="1">
      <c r="A15" s="383" t="s">
        <v>456</v>
      </c>
      <c r="B15" s="383" t="s">
        <v>470</v>
      </c>
      <c r="C15" s="383" t="s">
        <v>483</v>
      </c>
      <c r="D15" s="383" t="s">
        <v>496</v>
      </c>
      <c r="E15" s="383" t="s">
        <v>509</v>
      </c>
      <c r="F15" s="383" t="s">
        <v>522</v>
      </c>
      <c r="G15" s="383" t="s">
        <v>535</v>
      </c>
      <c r="H15" s="380"/>
      <c r="I15" s="380"/>
      <c r="J15" s="380"/>
      <c r="K15" s="380"/>
      <c r="L15" s="380"/>
    </row>
    <row r="16" spans="1:12" ht="15.95" customHeight="1">
      <c r="A16" s="383" t="s">
        <v>457</v>
      </c>
      <c r="B16" s="383" t="s">
        <v>471</v>
      </c>
      <c r="C16" s="383" t="s">
        <v>484</v>
      </c>
      <c r="D16" s="383" t="s">
        <v>497</v>
      </c>
      <c r="E16" s="383" t="s">
        <v>510</v>
      </c>
      <c r="F16" s="383" t="s">
        <v>523</v>
      </c>
      <c r="G16" s="383" t="s">
        <v>467</v>
      </c>
      <c r="H16" s="380"/>
      <c r="I16" s="380"/>
      <c r="J16" s="380"/>
      <c r="K16" s="380"/>
      <c r="L16" s="380"/>
    </row>
    <row r="17" spans="1:12" ht="15.95" customHeight="1">
      <c r="A17" s="383" t="s">
        <v>458</v>
      </c>
      <c r="B17" s="383" t="s">
        <v>472</v>
      </c>
      <c r="C17" s="383" t="s">
        <v>485</v>
      </c>
      <c r="D17" s="383" t="s">
        <v>498</v>
      </c>
      <c r="E17" s="383" t="s">
        <v>511</v>
      </c>
      <c r="F17" s="383" t="s">
        <v>524</v>
      </c>
      <c r="G17" s="383" t="s">
        <v>536</v>
      </c>
      <c r="H17" s="380"/>
      <c r="I17" s="380"/>
      <c r="J17" s="380"/>
      <c r="K17" s="380"/>
      <c r="L17" s="380"/>
    </row>
    <row r="18" spans="1:12" ht="15.95" customHeight="1">
      <c r="A18" s="383" t="s">
        <v>459</v>
      </c>
      <c r="B18" s="383" t="s">
        <v>473</v>
      </c>
      <c r="C18" s="383" t="s">
        <v>486</v>
      </c>
      <c r="D18" s="383" t="s">
        <v>499</v>
      </c>
      <c r="E18" s="383" t="s">
        <v>512</v>
      </c>
      <c r="F18" s="383" t="s">
        <v>525</v>
      </c>
      <c r="G18" s="383" t="s">
        <v>537</v>
      </c>
      <c r="H18" s="380"/>
      <c r="I18" s="380"/>
      <c r="J18" s="380"/>
      <c r="K18" s="380"/>
      <c r="L18" s="380"/>
    </row>
    <row r="19" spans="1:12" ht="15.95" customHeight="1">
      <c r="A19" s="383" t="s">
        <v>460</v>
      </c>
      <c r="B19" s="383" t="s">
        <v>474</v>
      </c>
      <c r="C19" s="383" t="s">
        <v>487</v>
      </c>
      <c r="D19" s="383" t="s">
        <v>500</v>
      </c>
      <c r="E19" s="383" t="s">
        <v>513</v>
      </c>
      <c r="F19" s="383" t="s">
        <v>526</v>
      </c>
      <c r="G19" s="383" t="s">
        <v>538</v>
      </c>
      <c r="H19" s="380"/>
      <c r="I19" s="380"/>
      <c r="J19" s="380"/>
      <c r="K19" s="380"/>
      <c r="L19" s="380"/>
    </row>
    <row r="20" spans="1:12" ht="15.75">
      <c r="A20" s="380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0"/>
    </row>
    <row r="21" spans="1:12" ht="15.75">
      <c r="A21" s="380"/>
      <c r="B21" s="380"/>
      <c r="C21" s="380"/>
      <c r="D21" s="651" t="s">
        <v>548</v>
      </c>
      <c r="E21" s="647"/>
      <c r="F21" s="647"/>
      <c r="G21" s="648"/>
      <c r="H21" s="380"/>
      <c r="I21" s="380"/>
      <c r="J21" s="380"/>
      <c r="K21" s="380"/>
      <c r="L21" s="380"/>
    </row>
    <row r="22" spans="1:12" ht="17.25" customHeight="1">
      <c r="A22" s="380"/>
      <c r="B22" s="649" t="s">
        <v>419</v>
      </c>
      <c r="C22" s="649"/>
      <c r="D22" s="649" t="s">
        <v>420</v>
      </c>
      <c r="E22" s="649"/>
      <c r="F22" s="649" t="s">
        <v>421</v>
      </c>
      <c r="G22" s="649"/>
      <c r="H22" s="380"/>
      <c r="I22" s="380"/>
      <c r="J22" s="380"/>
      <c r="K22" s="380"/>
      <c r="L22" s="380"/>
    </row>
    <row r="23" spans="1:12" ht="15.75">
      <c r="A23" s="384" t="s">
        <v>422</v>
      </c>
      <c r="B23" s="645" t="s">
        <v>539</v>
      </c>
      <c r="C23" s="645"/>
      <c r="D23" s="645" t="s">
        <v>542</v>
      </c>
      <c r="E23" s="645"/>
      <c r="F23" s="645" t="s">
        <v>545</v>
      </c>
      <c r="G23" s="645"/>
      <c r="H23" s="380"/>
      <c r="I23" s="380"/>
      <c r="J23" s="380"/>
      <c r="K23" s="380"/>
      <c r="L23" s="380"/>
    </row>
    <row r="24" spans="1:12" ht="18" customHeight="1">
      <c r="A24" s="384" t="s">
        <v>423</v>
      </c>
      <c r="B24" s="645" t="s">
        <v>540</v>
      </c>
      <c r="C24" s="645"/>
      <c r="D24" s="645" t="s">
        <v>543</v>
      </c>
      <c r="E24" s="645"/>
      <c r="F24" s="645" t="s">
        <v>546</v>
      </c>
      <c r="G24" s="645"/>
      <c r="H24" s="380"/>
      <c r="I24" s="380"/>
      <c r="J24" s="380"/>
      <c r="K24" s="380"/>
      <c r="L24" s="380"/>
    </row>
    <row r="25" spans="1:12" ht="15.75">
      <c r="A25" s="384" t="s">
        <v>424</v>
      </c>
      <c r="B25" s="645" t="s">
        <v>541</v>
      </c>
      <c r="C25" s="645"/>
      <c r="D25" s="645" t="s">
        <v>544</v>
      </c>
      <c r="E25" s="645"/>
      <c r="F25" s="645" t="s">
        <v>547</v>
      </c>
      <c r="G25" s="645"/>
      <c r="H25" s="380"/>
      <c r="I25" s="380"/>
      <c r="J25" s="380"/>
      <c r="K25" s="380"/>
      <c r="L25" s="380"/>
    </row>
    <row r="26" spans="1:12" ht="15.75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</row>
    <row r="27" spans="1:12" ht="20.25">
      <c r="A27" s="379" t="s">
        <v>425</v>
      </c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</row>
    <row r="28" spans="1:12" ht="15.75">
      <c r="A28" s="380"/>
      <c r="B28" s="380"/>
      <c r="C28" s="380"/>
      <c r="D28" s="380"/>
      <c r="E28" s="646" t="s">
        <v>426</v>
      </c>
      <c r="F28" s="647"/>
      <c r="G28" s="648"/>
      <c r="H28" s="380"/>
      <c r="I28" s="380"/>
      <c r="J28" s="380"/>
      <c r="K28" s="380"/>
      <c r="L28" s="380"/>
    </row>
    <row r="29" spans="1:12" ht="15.75">
      <c r="A29" s="380"/>
      <c r="B29" s="649" t="s">
        <v>427</v>
      </c>
      <c r="C29" s="649"/>
      <c r="D29" s="385" t="s">
        <v>428</v>
      </c>
      <c r="E29" s="385" t="s">
        <v>429</v>
      </c>
      <c r="F29" s="649" t="s">
        <v>430</v>
      </c>
      <c r="G29" s="649"/>
      <c r="H29" s="380"/>
      <c r="I29" s="380"/>
      <c r="J29" s="380"/>
      <c r="K29" s="380"/>
      <c r="L29" s="380"/>
    </row>
    <row r="30" spans="1:12" ht="15.75">
      <c r="A30" s="384" t="s">
        <v>431</v>
      </c>
      <c r="B30" s="645" t="s">
        <v>587</v>
      </c>
      <c r="C30" s="645"/>
      <c r="D30" s="383" t="s">
        <v>588</v>
      </c>
      <c r="E30" s="383" t="s">
        <v>432</v>
      </c>
      <c r="F30" s="645" t="s">
        <v>589</v>
      </c>
      <c r="G30" s="645"/>
      <c r="H30" s="380"/>
      <c r="I30" s="380"/>
      <c r="J30" s="380"/>
      <c r="K30" s="380"/>
      <c r="L30" s="380"/>
    </row>
    <row r="31" spans="1:12" ht="15.75">
      <c r="A31" s="384" t="s">
        <v>433</v>
      </c>
      <c r="B31" s="645" t="s">
        <v>549</v>
      </c>
      <c r="C31" s="645"/>
      <c r="D31" s="383" t="s">
        <v>551</v>
      </c>
      <c r="E31" s="383" t="s">
        <v>434</v>
      </c>
      <c r="F31" s="645" t="s">
        <v>553</v>
      </c>
      <c r="G31" s="645"/>
      <c r="H31" s="380"/>
      <c r="I31" s="380"/>
      <c r="J31" s="380"/>
      <c r="K31" s="380"/>
      <c r="L31" s="380"/>
    </row>
    <row r="32" spans="1:12" ht="15.75">
      <c r="A32" s="384" t="s">
        <v>435</v>
      </c>
      <c r="B32" s="645" t="s">
        <v>550</v>
      </c>
      <c r="C32" s="645"/>
      <c r="D32" s="383" t="s">
        <v>552</v>
      </c>
      <c r="E32" s="383" t="s">
        <v>436</v>
      </c>
      <c r="F32" s="645" t="s">
        <v>554</v>
      </c>
      <c r="G32" s="645"/>
      <c r="H32" s="380"/>
      <c r="I32" s="380"/>
      <c r="J32" s="380"/>
      <c r="K32" s="380"/>
      <c r="L32" s="380"/>
    </row>
    <row r="33" spans="1:12" ht="15.75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</row>
    <row r="34" spans="1:12" ht="15.75">
      <c r="A34" s="380"/>
      <c r="B34" s="380"/>
      <c r="C34" s="380"/>
      <c r="D34" s="380"/>
      <c r="E34" s="646" t="s">
        <v>437</v>
      </c>
      <c r="F34" s="647"/>
      <c r="G34" s="648"/>
      <c r="H34" s="380"/>
      <c r="I34" s="380"/>
      <c r="J34" s="380"/>
      <c r="K34" s="380"/>
      <c r="L34" s="380"/>
    </row>
    <row r="35" spans="1:12" ht="15.75">
      <c r="A35" s="380"/>
      <c r="B35" s="649" t="s">
        <v>438</v>
      </c>
      <c r="C35" s="649"/>
      <c r="D35" s="385" t="s">
        <v>429</v>
      </c>
      <c r="E35" s="385" t="s">
        <v>439</v>
      </c>
      <c r="F35" s="385" t="s">
        <v>100</v>
      </c>
      <c r="G35" s="385" t="s">
        <v>440</v>
      </c>
      <c r="H35" s="380"/>
      <c r="I35" s="380"/>
      <c r="J35" s="380"/>
      <c r="K35" s="380"/>
      <c r="L35" s="380"/>
    </row>
    <row r="36" spans="1:12" ht="15.75">
      <c r="A36" s="384" t="s">
        <v>431</v>
      </c>
      <c r="B36" s="641" t="s">
        <v>590</v>
      </c>
      <c r="C36" s="642"/>
      <c r="D36" s="386" t="s">
        <v>591</v>
      </c>
      <c r="E36" s="386" t="s">
        <v>441</v>
      </c>
      <c r="F36" s="387" t="s">
        <v>442</v>
      </c>
      <c r="G36" s="383" t="s">
        <v>594</v>
      </c>
      <c r="H36" s="380"/>
      <c r="I36" s="380"/>
      <c r="J36" s="380"/>
      <c r="K36" s="380"/>
      <c r="L36" s="380"/>
    </row>
    <row r="37" spans="1:12" ht="15.75">
      <c r="A37" s="384" t="s">
        <v>433</v>
      </c>
      <c r="B37" s="641" t="s">
        <v>555</v>
      </c>
      <c r="C37" s="642"/>
      <c r="D37" s="386" t="s">
        <v>592</v>
      </c>
      <c r="E37" s="386" t="s">
        <v>441</v>
      </c>
      <c r="F37" s="387" t="s">
        <v>443</v>
      </c>
      <c r="G37" s="388" t="s">
        <v>595</v>
      </c>
      <c r="H37" s="380"/>
      <c r="I37" s="380"/>
      <c r="J37" s="380"/>
      <c r="K37" s="380"/>
      <c r="L37" s="380"/>
    </row>
    <row r="38" spans="1:12" ht="15.75">
      <c r="A38" s="384" t="s">
        <v>435</v>
      </c>
      <c r="B38" s="641" t="s">
        <v>555</v>
      </c>
      <c r="C38" s="642"/>
      <c r="D38" s="386" t="s">
        <v>593</v>
      </c>
      <c r="E38" s="386" t="s">
        <v>441</v>
      </c>
      <c r="F38" s="387" t="s">
        <v>444</v>
      </c>
      <c r="G38" s="383" t="s">
        <v>596</v>
      </c>
      <c r="H38" s="380"/>
      <c r="I38" s="380"/>
      <c r="J38" s="380"/>
      <c r="K38" s="380"/>
      <c r="L38" s="380"/>
    </row>
    <row r="39" spans="1:12" ht="15.75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</row>
    <row r="40" spans="1:12" ht="15.75">
      <c r="A40" s="389" t="s">
        <v>445</v>
      </c>
      <c r="B40" s="643" t="s">
        <v>556</v>
      </c>
      <c r="C40" s="643"/>
      <c r="D40" s="644" t="s">
        <v>446</v>
      </c>
      <c r="E40" s="644"/>
      <c r="F40" s="643" t="s">
        <v>597</v>
      </c>
      <c r="G40" s="643"/>
      <c r="H40" s="380"/>
      <c r="I40" s="380"/>
      <c r="J40" s="380"/>
      <c r="K40" s="380"/>
      <c r="L40" s="380"/>
    </row>
    <row r="41" spans="1:12" ht="15.75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</row>
    <row r="42" spans="1:12" ht="15.75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</row>
    <row r="43" spans="1:12" ht="15.75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</row>
    <row r="44" spans="1:12" ht="15.75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</row>
    <row r="45" spans="1:12" ht="15.75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</row>
    <row r="46" spans="1:12" ht="15.75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</row>
    <row r="47" spans="1:12" ht="15.75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</row>
    <row r="48" spans="1:12" ht="15.75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</row>
    <row r="49" spans="1:12" ht="15.75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</row>
    <row r="50" spans="1:12" ht="15.75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</row>
    <row r="51" spans="1:12" ht="15.75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</row>
    <row r="52" spans="1:12" ht="15.75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</row>
    <row r="53" spans="1:12" ht="15.75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</row>
    <row r="54" spans="1:12" ht="15.75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</row>
    <row r="55" spans="1:12" ht="15.75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</row>
    <row r="56" spans="1:12" ht="15.75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</row>
    <row r="57" spans="1:12" ht="15.75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</row>
    <row r="58" spans="1:12" ht="15.75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</row>
    <row r="59" spans="1:12" ht="15.75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</row>
    <row r="60" spans="1:12" ht="15.75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</row>
    <row r="61" spans="1:12" ht="15.75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zoomScaleNormal="100" workbookViewId="0">
      <selection activeCell="N19" sqref="N19:N20"/>
    </sheetView>
  </sheetViews>
  <sheetFormatPr defaultColWidth="12.5703125" defaultRowHeight="15.75"/>
  <cols>
    <col min="1" max="13" width="7" style="444" customWidth="1"/>
    <col min="14" max="14" width="7.140625" style="444" customWidth="1"/>
    <col min="15" max="16384" width="12.5703125" style="444"/>
  </cols>
  <sheetData>
    <row r="1" spans="1:14" ht="17.100000000000001" customHeight="1">
      <c r="A1" s="437" t="s">
        <v>269</v>
      </c>
      <c r="B1" s="438"/>
      <c r="C1" s="438"/>
      <c r="D1" s="438"/>
      <c r="E1" s="438"/>
      <c r="F1" s="438"/>
      <c r="G1" s="438"/>
      <c r="H1" s="438"/>
      <c r="I1" s="438"/>
      <c r="J1" s="439" t="s">
        <v>600</v>
      </c>
      <c r="K1" s="440"/>
      <c r="L1" s="441" t="s">
        <v>601</v>
      </c>
      <c r="M1" s="442"/>
      <c r="N1" s="443"/>
    </row>
    <row r="2" spans="1:14" ht="17.100000000000001" customHeight="1">
      <c r="A2" s="445" t="s">
        <v>602</v>
      </c>
      <c r="B2" s="446"/>
      <c r="C2" s="446"/>
      <c r="D2" s="446"/>
      <c r="E2" s="446"/>
      <c r="F2" s="446"/>
      <c r="G2" s="446"/>
      <c r="H2" s="446"/>
      <c r="I2" s="446"/>
      <c r="J2" s="447" t="s">
        <v>603</v>
      </c>
      <c r="K2" s="448"/>
      <c r="L2" s="449" t="s">
        <v>604</v>
      </c>
      <c r="M2" s="450"/>
      <c r="N2" s="443"/>
    </row>
    <row r="3" spans="1:14" ht="15.95" customHeight="1">
      <c r="A3" s="451"/>
      <c r="B3" s="452"/>
      <c r="C3" s="452"/>
      <c r="D3" s="452"/>
      <c r="E3" s="452"/>
      <c r="F3" s="452"/>
      <c r="G3" s="452"/>
      <c r="H3" s="452"/>
      <c r="I3" s="452"/>
      <c r="J3" s="447" t="s">
        <v>605</v>
      </c>
      <c r="K3" s="448"/>
      <c r="L3" s="453" t="s">
        <v>606</v>
      </c>
      <c r="M3" s="450"/>
      <c r="N3" s="443"/>
    </row>
    <row r="4" spans="1:14" ht="15.95" customHeight="1">
      <c r="A4" s="454"/>
      <c r="B4" s="452"/>
      <c r="C4" s="452"/>
      <c r="D4" s="452"/>
      <c r="E4" s="452"/>
      <c r="F4" s="452"/>
      <c r="G4" s="452"/>
      <c r="H4" s="452"/>
      <c r="I4" s="452"/>
      <c r="J4" s="447" t="s">
        <v>607</v>
      </c>
      <c r="K4" s="448"/>
      <c r="L4" s="453" t="s">
        <v>608</v>
      </c>
      <c r="M4" s="450"/>
      <c r="N4" s="443"/>
    </row>
    <row r="5" spans="1:14" ht="15.95" customHeight="1">
      <c r="A5" s="451"/>
      <c r="B5" s="452"/>
      <c r="C5" s="452"/>
      <c r="D5" s="452"/>
      <c r="E5" s="452"/>
      <c r="F5" s="452"/>
      <c r="G5" s="452"/>
      <c r="H5" s="452"/>
      <c r="I5" s="452"/>
      <c r="J5" s="447" t="s">
        <v>609</v>
      </c>
      <c r="K5" s="448"/>
      <c r="L5" s="449">
        <v>2</v>
      </c>
      <c r="M5" s="450"/>
      <c r="N5" s="443"/>
    </row>
    <row r="6" spans="1:14" ht="15.95" customHeight="1">
      <c r="A6" s="455" t="s">
        <v>610</v>
      </c>
      <c r="B6" s="452"/>
      <c r="C6" s="452"/>
      <c r="D6" s="452"/>
      <c r="E6" s="452"/>
      <c r="F6" s="452"/>
      <c r="G6" s="452"/>
      <c r="H6" s="452"/>
      <c r="I6" s="452"/>
      <c r="J6" s="447" t="s">
        <v>611</v>
      </c>
      <c r="K6" s="448"/>
      <c r="L6" s="449" t="s">
        <v>612</v>
      </c>
      <c r="M6" s="450"/>
      <c r="N6" s="443"/>
    </row>
    <row r="7" spans="1:14" ht="15.95" customHeight="1" thickBot="1">
      <c r="A7" s="456" t="s">
        <v>613</v>
      </c>
      <c r="B7" s="457"/>
      <c r="C7" s="457"/>
      <c r="D7" s="457"/>
      <c r="E7" s="457"/>
      <c r="F7" s="457"/>
      <c r="G7" s="457"/>
      <c r="H7" s="457"/>
      <c r="I7" s="457"/>
      <c r="J7" s="458" t="s">
        <v>614</v>
      </c>
      <c r="K7" s="459"/>
      <c r="L7" s="460" t="s">
        <v>615</v>
      </c>
      <c r="M7" s="461"/>
      <c r="N7" s="443"/>
    </row>
    <row r="8" spans="1:14" ht="15.95" customHeight="1">
      <c r="A8" s="462"/>
      <c r="B8" s="452"/>
      <c r="C8" s="452"/>
      <c r="D8" s="452"/>
      <c r="E8" s="452"/>
      <c r="F8" s="452"/>
      <c r="G8" s="452"/>
      <c r="H8" s="452"/>
      <c r="I8" s="452"/>
      <c r="J8" s="452"/>
      <c r="K8" s="463"/>
      <c r="L8" s="464"/>
      <c r="M8" s="465"/>
      <c r="N8" s="452"/>
    </row>
    <row r="9" spans="1:14" ht="12" customHeight="1">
      <c r="A9" s="466"/>
      <c r="B9" s="467" t="s">
        <v>616</v>
      </c>
      <c r="C9" s="468" t="s">
        <v>707</v>
      </c>
      <c r="D9" s="469"/>
      <c r="E9" s="469"/>
      <c r="F9" s="469"/>
      <c r="G9" s="469"/>
      <c r="H9" s="469"/>
      <c r="I9" s="469"/>
      <c r="J9" s="469"/>
      <c r="K9" s="470"/>
      <c r="L9" s="466"/>
      <c r="M9" s="469"/>
      <c r="N9" s="452"/>
    </row>
    <row r="10" spans="1:14" ht="12" customHeight="1">
      <c r="A10" s="466"/>
      <c r="B10" s="467" t="s">
        <v>617</v>
      </c>
      <c r="C10" s="471" t="s">
        <v>708</v>
      </c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64"/>
    </row>
    <row r="11" spans="1:14" ht="16.5" thickBot="1">
      <c r="A11" s="464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</row>
    <row r="12" spans="1:14" ht="20.100000000000001" customHeight="1" thickBot="1">
      <c r="A12" s="472" t="s">
        <v>618</v>
      </c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4"/>
      <c r="N12" s="443"/>
    </row>
    <row r="13" spans="1:14" ht="12.95" customHeight="1" thickTop="1">
      <c r="A13" s="475"/>
      <c r="B13" s="467" t="s">
        <v>619</v>
      </c>
      <c r="C13" s="476">
        <v>700</v>
      </c>
      <c r="D13" s="466"/>
      <c r="E13" s="467" t="s">
        <v>620</v>
      </c>
      <c r="F13" s="476">
        <v>4160</v>
      </c>
      <c r="G13" s="466"/>
      <c r="H13" s="467" t="s">
        <v>621</v>
      </c>
      <c r="I13" s="476" t="s">
        <v>706</v>
      </c>
      <c r="J13" s="466"/>
      <c r="K13" s="466"/>
      <c r="L13" s="467" t="s">
        <v>622</v>
      </c>
      <c r="M13" s="477">
        <v>3600</v>
      </c>
      <c r="N13" s="443"/>
    </row>
    <row r="14" spans="1:14" ht="12.95" customHeight="1">
      <c r="A14" s="475"/>
      <c r="B14" s="467" t="s">
        <v>623</v>
      </c>
      <c r="C14" s="468" t="s">
        <v>709</v>
      </c>
      <c r="D14" s="466"/>
      <c r="E14" s="467" t="s">
        <v>624</v>
      </c>
      <c r="F14" s="478" t="s">
        <v>710</v>
      </c>
      <c r="G14" s="466"/>
      <c r="H14" s="467" t="s">
        <v>625</v>
      </c>
      <c r="I14" s="476">
        <v>86</v>
      </c>
      <c r="J14" s="466"/>
      <c r="K14" s="466"/>
      <c r="L14" s="467" t="s">
        <v>569</v>
      </c>
      <c r="M14" s="477">
        <v>3575</v>
      </c>
      <c r="N14" s="443"/>
    </row>
    <row r="15" spans="1:14" ht="12.95" customHeight="1">
      <c r="A15" s="475"/>
      <c r="B15" s="467" t="s">
        <v>626</v>
      </c>
      <c r="C15" s="476" t="s">
        <v>192</v>
      </c>
      <c r="D15" s="466"/>
      <c r="E15" s="467" t="s">
        <v>627</v>
      </c>
      <c r="F15" s="478">
        <v>1.1499999999999999</v>
      </c>
      <c r="G15" s="466"/>
      <c r="H15" s="467" t="s">
        <v>628</v>
      </c>
      <c r="I15" s="478" t="s">
        <v>174</v>
      </c>
      <c r="J15" s="466"/>
      <c r="K15" s="466"/>
      <c r="L15" s="467" t="s">
        <v>629</v>
      </c>
      <c r="M15" s="477" t="s">
        <v>363</v>
      </c>
      <c r="N15" s="443"/>
    </row>
    <row r="16" spans="1:14" ht="12.95" customHeight="1">
      <c r="A16" s="475"/>
      <c r="B16" s="467" t="s">
        <v>630</v>
      </c>
      <c r="C16" s="476" t="s">
        <v>705</v>
      </c>
      <c r="D16" s="466"/>
      <c r="E16" s="467" t="s">
        <v>631</v>
      </c>
      <c r="F16" s="476" t="s">
        <v>441</v>
      </c>
      <c r="G16" s="466"/>
      <c r="H16" s="479" t="s">
        <v>632</v>
      </c>
      <c r="I16" s="480" t="s">
        <v>363</v>
      </c>
      <c r="J16" s="466"/>
      <c r="K16" s="466"/>
      <c r="L16" s="467" t="s">
        <v>633</v>
      </c>
      <c r="M16" s="477" t="s">
        <v>634</v>
      </c>
      <c r="N16" s="443"/>
    </row>
    <row r="17" spans="1:14" ht="12.95" customHeight="1">
      <c r="A17" s="475"/>
      <c r="B17" s="467" t="s">
        <v>635</v>
      </c>
      <c r="C17" s="468" t="s">
        <v>711</v>
      </c>
      <c r="D17" s="466"/>
      <c r="E17" s="467"/>
      <c r="F17" s="478"/>
      <c r="G17" s="466"/>
      <c r="H17" s="467" t="s">
        <v>636</v>
      </c>
      <c r="I17" s="480" t="s">
        <v>174</v>
      </c>
      <c r="J17" s="466"/>
      <c r="K17" s="466"/>
      <c r="L17" s="467"/>
      <c r="M17" s="481"/>
      <c r="N17" s="443"/>
    </row>
    <row r="18" spans="1:14" ht="12.95" customHeight="1" thickBot="1">
      <c r="A18" s="482"/>
      <c r="B18" s="483" t="s">
        <v>637</v>
      </c>
      <c r="C18" s="484" t="s">
        <v>174</v>
      </c>
      <c r="D18" s="485"/>
      <c r="E18" s="483" t="s">
        <v>638</v>
      </c>
      <c r="F18" s="484" t="s">
        <v>174</v>
      </c>
      <c r="G18" s="486"/>
      <c r="H18" s="483" t="s">
        <v>639</v>
      </c>
      <c r="I18" s="484" t="s">
        <v>174</v>
      </c>
      <c r="J18" s="485"/>
      <c r="K18" s="485"/>
      <c r="L18" s="485"/>
      <c r="M18" s="487"/>
      <c r="N18" s="443"/>
    </row>
    <row r="19" spans="1:14" ht="16.5" thickBot="1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</row>
    <row r="20" spans="1:14" ht="20.100000000000001" customHeight="1" thickBot="1">
      <c r="A20" s="472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4"/>
    </row>
    <row r="21" spans="1:14" ht="15.95" customHeight="1" thickTop="1">
      <c r="A21" s="488" t="s">
        <v>640</v>
      </c>
      <c r="B21" s="489"/>
      <c r="C21" s="464"/>
      <c r="D21" s="490"/>
      <c r="E21" s="491" t="s">
        <v>641</v>
      </c>
      <c r="F21" s="492"/>
      <c r="G21" s="492"/>
      <c r="H21" s="493"/>
      <c r="I21" s="494" t="s">
        <v>642</v>
      </c>
      <c r="J21" s="492"/>
      <c r="K21" s="492"/>
      <c r="L21" s="464"/>
      <c r="M21" s="495"/>
    </row>
    <row r="22" spans="1:14" ht="15.95" customHeight="1">
      <c r="A22" s="496"/>
      <c r="B22" s="466"/>
      <c r="C22" s="467" t="s">
        <v>643</v>
      </c>
      <c r="D22" s="497">
        <v>523</v>
      </c>
      <c r="E22" s="467"/>
      <c r="G22" s="479" t="s">
        <v>644</v>
      </c>
      <c r="H22" s="498">
        <v>1028</v>
      </c>
      <c r="I22" s="467"/>
      <c r="J22" s="466"/>
      <c r="K22" s="467" t="s">
        <v>645</v>
      </c>
      <c r="L22" s="466" t="s">
        <v>646</v>
      </c>
      <c r="M22" s="481"/>
    </row>
    <row r="23" spans="1:14" ht="15.95" customHeight="1">
      <c r="A23" s="496"/>
      <c r="B23" s="467"/>
      <c r="C23" s="470"/>
      <c r="D23" s="499"/>
      <c r="E23" s="467"/>
      <c r="G23" s="467" t="s">
        <v>647</v>
      </c>
      <c r="H23" s="497">
        <v>75</v>
      </c>
      <c r="I23" s="466"/>
      <c r="J23" s="466"/>
      <c r="K23" s="467" t="s">
        <v>648</v>
      </c>
      <c r="L23" s="466" t="s">
        <v>646</v>
      </c>
      <c r="M23" s="481"/>
    </row>
    <row r="24" spans="1:14" ht="15.95" customHeight="1">
      <c r="A24" s="475"/>
      <c r="B24" s="467"/>
      <c r="C24" s="466"/>
      <c r="D24" s="499"/>
      <c r="E24" s="467"/>
      <c r="G24" s="479" t="s">
        <v>649</v>
      </c>
      <c r="H24" s="497">
        <v>270</v>
      </c>
      <c r="I24" s="466"/>
      <c r="J24" s="467"/>
      <c r="K24" s="466"/>
      <c r="L24" s="466"/>
      <c r="M24" s="481"/>
    </row>
    <row r="25" spans="1:14" ht="15.95" customHeight="1" thickBot="1">
      <c r="A25" s="482"/>
      <c r="B25" s="483"/>
      <c r="C25" s="485"/>
      <c r="D25" s="500"/>
      <c r="E25" s="483"/>
      <c r="F25" s="483"/>
      <c r="G25" s="483"/>
      <c r="H25" s="501"/>
      <c r="I25" s="485"/>
      <c r="J25" s="483"/>
      <c r="K25" s="485"/>
      <c r="L25" s="485"/>
      <c r="M25" s="487"/>
    </row>
    <row r="26" spans="1:14" ht="18.95" customHeight="1" thickBot="1">
      <c r="A26" s="462"/>
      <c r="B26" s="462"/>
      <c r="C26" s="462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</row>
    <row r="27" spans="1:14" ht="20.100000000000001" customHeight="1" thickBot="1">
      <c r="A27" s="502"/>
      <c r="B27" s="503"/>
      <c r="C27" s="503"/>
      <c r="D27" s="503"/>
      <c r="E27" s="503"/>
      <c r="F27" s="503"/>
      <c r="G27" s="504"/>
      <c r="H27" s="503"/>
      <c r="I27" s="503"/>
      <c r="J27" s="503"/>
      <c r="K27" s="503"/>
      <c r="L27" s="503"/>
      <c r="M27" s="505"/>
    </row>
    <row r="28" spans="1:14" ht="15.95" customHeight="1" thickTop="1">
      <c r="A28" s="506" t="s">
        <v>650</v>
      </c>
      <c r="B28" s="489"/>
      <c r="C28" s="464"/>
      <c r="D28" s="464"/>
      <c r="E28" s="492"/>
      <c r="F28" s="492"/>
      <c r="G28" s="507"/>
      <c r="H28" s="491" t="s">
        <v>651</v>
      </c>
      <c r="I28" s="492"/>
      <c r="J28" s="492"/>
      <c r="K28" s="491"/>
      <c r="L28" s="492"/>
      <c r="M28" s="495"/>
    </row>
    <row r="29" spans="1:14" ht="15.95" customHeight="1">
      <c r="A29" s="475"/>
      <c r="B29" s="467"/>
      <c r="C29" s="467" t="s">
        <v>652</v>
      </c>
      <c r="D29" s="508">
        <v>94.3</v>
      </c>
      <c r="E29" s="467"/>
      <c r="F29" s="467"/>
      <c r="G29" s="507"/>
      <c r="H29" s="479"/>
      <c r="I29" s="467"/>
      <c r="J29" s="467" t="s">
        <v>652</v>
      </c>
      <c r="K29" s="508">
        <v>89.3</v>
      </c>
      <c r="L29" s="466"/>
      <c r="M29" s="481"/>
    </row>
    <row r="30" spans="1:14" ht="15.95" customHeight="1">
      <c r="A30" s="509"/>
      <c r="B30" s="466"/>
      <c r="C30" s="467" t="s">
        <v>653</v>
      </c>
      <c r="D30" s="508">
        <v>93.3</v>
      </c>
      <c r="E30" s="467"/>
      <c r="F30" s="467"/>
      <c r="G30" s="507"/>
      <c r="H30" s="467"/>
      <c r="I30" s="466"/>
      <c r="J30" s="467" t="s">
        <v>653</v>
      </c>
      <c r="K30" s="508">
        <v>87</v>
      </c>
      <c r="L30" s="466"/>
      <c r="M30" s="481"/>
    </row>
    <row r="31" spans="1:14" ht="15.95" customHeight="1">
      <c r="A31" s="475"/>
      <c r="B31" s="467"/>
      <c r="C31" s="467" t="s">
        <v>654</v>
      </c>
      <c r="D31" s="508">
        <v>91.1</v>
      </c>
      <c r="E31" s="467"/>
      <c r="F31" s="467"/>
      <c r="G31" s="507"/>
      <c r="H31" s="467"/>
      <c r="I31" s="466"/>
      <c r="J31" s="467" t="s">
        <v>654</v>
      </c>
      <c r="K31" s="508">
        <v>80.900000000000006</v>
      </c>
      <c r="L31" s="467"/>
      <c r="M31" s="481"/>
    </row>
    <row r="32" spans="1:14" ht="15.95" customHeight="1" thickBot="1">
      <c r="A32" s="482"/>
      <c r="B32" s="483"/>
      <c r="C32" s="485"/>
      <c r="D32" s="485"/>
      <c r="E32" s="483"/>
      <c r="F32" s="483"/>
      <c r="G32" s="510"/>
      <c r="H32" s="483"/>
      <c r="I32" s="485"/>
      <c r="J32" s="483"/>
      <c r="K32" s="485"/>
      <c r="L32" s="483"/>
      <c r="M32" s="487"/>
    </row>
    <row r="33" spans="1:14" ht="20.100000000000001" customHeight="1" thickBot="1">
      <c r="A33" s="511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</row>
    <row r="34" spans="1:14" ht="20.100000000000001" customHeight="1" thickBot="1">
      <c r="A34" s="512"/>
      <c r="B34" s="513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4"/>
    </row>
    <row r="35" spans="1:14" ht="15.95" customHeight="1" thickTop="1">
      <c r="A35" s="515" t="s">
        <v>655</v>
      </c>
      <c r="B35" s="470"/>
      <c r="C35" s="470"/>
      <c r="D35" s="470"/>
      <c r="E35" s="470"/>
      <c r="F35" s="470"/>
      <c r="G35" s="470"/>
      <c r="H35" s="470"/>
      <c r="I35" s="470"/>
      <c r="J35" s="470"/>
      <c r="K35" s="470"/>
      <c r="L35" s="470"/>
      <c r="M35" s="516"/>
    </row>
    <row r="36" spans="1:14" ht="15.95" customHeight="1">
      <c r="A36" s="509" t="s">
        <v>656</v>
      </c>
      <c r="B36" s="470"/>
      <c r="C36" s="470"/>
      <c r="D36" s="470"/>
      <c r="E36" s="470"/>
      <c r="F36" s="470"/>
      <c r="G36" s="470"/>
      <c r="H36" s="470"/>
      <c r="I36" s="470"/>
      <c r="J36" s="470"/>
      <c r="K36" s="470"/>
      <c r="L36" s="470"/>
      <c r="M36" s="516"/>
    </row>
    <row r="37" spans="1:14" ht="15.95" customHeight="1">
      <c r="A37" s="517" t="s">
        <v>657</v>
      </c>
      <c r="B37" s="470"/>
      <c r="C37" s="470"/>
      <c r="D37" s="470"/>
      <c r="E37" s="518"/>
      <c r="F37" s="470"/>
      <c r="G37" s="470"/>
      <c r="H37" s="470"/>
      <c r="I37" s="470"/>
      <c r="J37" s="470"/>
      <c r="K37" s="470"/>
      <c r="L37" s="470"/>
      <c r="M37" s="516"/>
    </row>
    <row r="38" spans="1:14" ht="15.95" customHeight="1">
      <c r="A38" s="519" t="s">
        <v>658</v>
      </c>
      <c r="B38" s="470"/>
      <c r="C38" s="470"/>
      <c r="D38" s="470"/>
      <c r="E38" s="470"/>
      <c r="F38" s="470"/>
      <c r="G38" s="470"/>
      <c r="H38" s="470"/>
      <c r="I38" s="470"/>
      <c r="J38" s="470"/>
      <c r="K38" s="470"/>
      <c r="L38" s="470"/>
      <c r="M38" s="516"/>
    </row>
    <row r="39" spans="1:14" ht="15.95" customHeight="1">
      <c r="A39" s="520" t="s">
        <v>659</v>
      </c>
      <c r="B39" s="470"/>
      <c r="C39" s="470"/>
      <c r="D39" s="470"/>
      <c r="E39" s="470"/>
      <c r="F39" s="470"/>
      <c r="G39" s="470"/>
      <c r="H39" s="470"/>
      <c r="I39" s="470"/>
      <c r="J39" s="470"/>
      <c r="K39" s="470"/>
      <c r="L39" s="470"/>
      <c r="M39" s="516"/>
    </row>
    <row r="40" spans="1:14" ht="15.95" customHeight="1" thickBot="1">
      <c r="A40" s="521" t="s">
        <v>660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3"/>
    </row>
    <row r="41" spans="1:14" ht="15.95" customHeight="1"/>
    <row r="42" spans="1:14" ht="18">
      <c r="A42" s="524"/>
      <c r="B42" s="524"/>
      <c r="C42" s="524"/>
      <c r="D42" s="524"/>
      <c r="E42" s="524"/>
      <c r="F42" s="524"/>
      <c r="G42" s="524"/>
      <c r="H42" s="443"/>
      <c r="I42" s="443"/>
      <c r="J42" s="525" t="s">
        <v>661</v>
      </c>
      <c r="K42" s="652" t="s">
        <v>662</v>
      </c>
      <c r="L42" s="652"/>
      <c r="M42" s="652"/>
      <c r="N42" s="524"/>
    </row>
    <row r="43" spans="1:14" ht="7.5" customHeight="1">
      <c r="H43" s="443"/>
      <c r="I43" s="443"/>
      <c r="J43" s="443"/>
      <c r="K43" s="443"/>
      <c r="L43" s="443"/>
      <c r="M43" s="443"/>
    </row>
    <row r="44" spans="1:14" ht="16.5">
      <c r="H44" s="443"/>
      <c r="I44" s="443"/>
      <c r="J44" s="525" t="s">
        <v>663</v>
      </c>
      <c r="K44" s="653">
        <v>43186</v>
      </c>
      <c r="L44" s="653"/>
      <c r="M44" s="653"/>
    </row>
    <row r="59" spans="1:5">
      <c r="A59" s="444" t="s">
        <v>174</v>
      </c>
      <c r="B59" s="444" t="s">
        <v>664</v>
      </c>
      <c r="D59" s="444">
        <v>1</v>
      </c>
      <c r="E59" s="526" t="s">
        <v>174</v>
      </c>
    </row>
    <row r="60" spans="1:5">
      <c r="A60" s="444" t="s">
        <v>665</v>
      </c>
      <c r="B60" s="444" t="s">
        <v>666</v>
      </c>
      <c r="D60" s="444">
        <v>1.1499999999999999</v>
      </c>
      <c r="E60" s="526" t="s">
        <v>183</v>
      </c>
    </row>
    <row r="61" spans="1:5">
      <c r="A61" s="444" t="s">
        <v>667</v>
      </c>
      <c r="B61" s="444" t="s">
        <v>668</v>
      </c>
      <c r="E61" s="526" t="s">
        <v>319</v>
      </c>
    </row>
    <row r="62" spans="1:5">
      <c r="B62" s="444" t="s">
        <v>669</v>
      </c>
    </row>
    <row r="63" spans="1:5">
      <c r="B63" s="444" t="s">
        <v>670</v>
      </c>
    </row>
    <row r="64" spans="1:5">
      <c r="B64" s="444" t="s">
        <v>671</v>
      </c>
    </row>
    <row r="65" spans="2:2">
      <c r="B65" s="444" t="s">
        <v>672</v>
      </c>
    </row>
    <row r="66" spans="2:2">
      <c r="B66" s="444" t="s">
        <v>673</v>
      </c>
    </row>
    <row r="67" spans="2:2">
      <c r="B67" s="444" t="s">
        <v>674</v>
      </c>
    </row>
    <row r="68" spans="2:2">
      <c r="B68" s="444" t="s">
        <v>675</v>
      </c>
    </row>
    <row r="69" spans="2:2">
      <c r="B69" s="444" t="s">
        <v>676</v>
      </c>
    </row>
    <row r="70" spans="2:2">
      <c r="B70" s="444" t="s">
        <v>677</v>
      </c>
    </row>
    <row r="71" spans="2:2">
      <c r="B71" s="444" t="s">
        <v>678</v>
      </c>
    </row>
    <row r="72" spans="2:2">
      <c r="B72" s="444" t="s">
        <v>679</v>
      </c>
    </row>
    <row r="73" spans="2:2">
      <c r="B73" s="444" t="s">
        <v>680</v>
      </c>
    </row>
    <row r="74" spans="2:2">
      <c r="B74" s="444" t="s">
        <v>681</v>
      </c>
    </row>
    <row r="75" spans="2:2">
      <c r="B75" s="444" t="s">
        <v>682</v>
      </c>
    </row>
    <row r="76" spans="2:2">
      <c r="B76" s="444" t="s">
        <v>683</v>
      </c>
    </row>
    <row r="77" spans="2:2">
      <c r="B77" s="444" t="s">
        <v>684</v>
      </c>
    </row>
    <row r="78" spans="2:2">
      <c r="B78" s="444" t="s">
        <v>685</v>
      </c>
    </row>
    <row r="79" spans="2:2">
      <c r="B79" s="444" t="s">
        <v>686</v>
      </c>
    </row>
    <row r="80" spans="2:2">
      <c r="B80" s="444">
        <v>6312</v>
      </c>
    </row>
    <row r="81" spans="2:2">
      <c r="B81" s="444" t="s">
        <v>687</v>
      </c>
    </row>
    <row r="82" spans="2:2">
      <c r="B82" s="444" t="s">
        <v>688</v>
      </c>
    </row>
    <row r="83" spans="2:2">
      <c r="B83" s="444" t="s">
        <v>689</v>
      </c>
    </row>
    <row r="84" spans="2:2">
      <c r="B84" s="444" t="s">
        <v>690</v>
      </c>
    </row>
    <row r="85" spans="2:2">
      <c r="B85" s="444">
        <v>6313</v>
      </c>
    </row>
    <row r="86" spans="2:2">
      <c r="B86" s="444" t="s">
        <v>691</v>
      </c>
    </row>
    <row r="87" spans="2:2">
      <c r="B87" s="444" t="s">
        <v>692</v>
      </c>
    </row>
    <row r="88" spans="2:2">
      <c r="B88" s="444" t="s">
        <v>693</v>
      </c>
    </row>
    <row r="89" spans="2:2">
      <c r="B89" s="444">
        <v>6314</v>
      </c>
    </row>
    <row r="90" spans="2:2">
      <c r="B90" s="444" t="s">
        <v>694</v>
      </c>
    </row>
    <row r="91" spans="2:2">
      <c r="B91" s="444">
        <v>6317</v>
      </c>
    </row>
    <row r="92" spans="2:2">
      <c r="B92" s="444" t="s">
        <v>695</v>
      </c>
    </row>
    <row r="93" spans="2:2">
      <c r="B93" s="444">
        <v>6318</v>
      </c>
    </row>
    <row r="94" spans="2:2">
      <c r="B94" s="444" t="s">
        <v>696</v>
      </c>
    </row>
    <row r="95" spans="2:2">
      <c r="B95" s="444" t="s">
        <v>697</v>
      </c>
    </row>
    <row r="96" spans="2:2">
      <c r="B96" s="444" t="s">
        <v>698</v>
      </c>
    </row>
    <row r="97" spans="2:2">
      <c r="B97" s="444">
        <v>6320</v>
      </c>
    </row>
    <row r="98" spans="2:2">
      <c r="B98" s="444" t="s">
        <v>699</v>
      </c>
    </row>
    <row r="99" spans="2:2">
      <c r="B99" s="444" t="s">
        <v>700</v>
      </c>
    </row>
    <row r="100" spans="2:2">
      <c r="B100" s="444" t="s">
        <v>701</v>
      </c>
    </row>
    <row r="101" spans="2:2">
      <c r="B101" s="444" t="s">
        <v>702</v>
      </c>
    </row>
    <row r="102" spans="2:2">
      <c r="B102" s="444" t="s">
        <v>702</v>
      </c>
    </row>
    <row r="118" spans="2:2">
      <c r="B118" s="444" t="s">
        <v>703</v>
      </c>
    </row>
    <row r="120" spans="2:2">
      <c r="B120" s="444" t="s">
        <v>704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N19" sqref="N19:N20"/>
    </sheetView>
  </sheetViews>
  <sheetFormatPr defaultRowHeight="12.75"/>
  <cols>
    <col min="1" max="6" width="16.7109375" style="378" customWidth="1"/>
    <col min="7" max="16384" width="9.140625" style="378"/>
  </cols>
  <sheetData>
    <row r="1" spans="1:6" ht="18.95" customHeight="1">
      <c r="A1" s="390"/>
      <c r="B1" s="391"/>
      <c r="C1" s="391"/>
      <c r="D1" s="391"/>
      <c r="E1" s="391"/>
      <c r="F1" s="392"/>
    </row>
    <row r="2" spans="1:6" ht="26.1" customHeight="1">
      <c r="A2" s="393" t="s">
        <v>269</v>
      </c>
      <c r="B2" s="394"/>
      <c r="C2" s="394"/>
      <c r="D2" s="394"/>
      <c r="E2" s="394"/>
      <c r="F2" s="395"/>
    </row>
    <row r="3" spans="1:6" ht="18.95" customHeight="1">
      <c r="A3" s="396" t="s">
        <v>557</v>
      </c>
      <c r="B3" s="394"/>
      <c r="C3" s="394"/>
      <c r="D3" s="394"/>
      <c r="E3" s="394"/>
      <c r="F3" s="395"/>
    </row>
    <row r="4" spans="1:6" ht="18.95" customHeight="1">
      <c r="A4" s="397"/>
      <c r="B4" s="398"/>
      <c r="C4" s="398"/>
      <c r="D4" s="398"/>
      <c r="E4" s="398"/>
      <c r="F4" s="399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400" t="s">
        <v>558</v>
      </c>
      <c r="B6" s="654" t="str">
        <f>'Performance Data Sheet'!C17</f>
        <v>TW-10009426</v>
      </c>
      <c r="C6" s="655"/>
      <c r="D6" s="656"/>
      <c r="E6" s="400" t="s">
        <v>559</v>
      </c>
      <c r="F6" s="401">
        <f>'Performance Data Sheet'!I14</f>
        <v>86</v>
      </c>
    </row>
    <row r="7" spans="1:6" ht="18.95" customHeight="1">
      <c r="A7" s="400" t="s">
        <v>560</v>
      </c>
      <c r="B7" s="401" t="str">
        <f>'Performance Data Sheet'!F14</f>
        <v>TEAAC</v>
      </c>
      <c r="C7" s="400" t="s">
        <v>561</v>
      </c>
      <c r="D7" s="401" t="str">
        <f>'Performance Data Sheet'!F13 &amp; " V"</f>
        <v>4160 V</v>
      </c>
      <c r="E7" s="400" t="s">
        <v>562</v>
      </c>
      <c r="F7" s="401" t="str">
        <f>'Performance Data Sheet'!C14</f>
        <v>5812USS</v>
      </c>
    </row>
    <row r="8" spans="1:6" ht="18.95" customHeight="1">
      <c r="A8" s="400" t="s">
        <v>563</v>
      </c>
      <c r="B8" s="401">
        <v>2</v>
      </c>
      <c r="C8" s="400" t="s">
        <v>564</v>
      </c>
      <c r="D8" s="401" t="s">
        <v>565</v>
      </c>
      <c r="E8" s="400" t="s">
        <v>566</v>
      </c>
      <c r="F8" s="401" t="str">
        <f>'Performance Data Sheet'!M15</f>
        <v>F</v>
      </c>
    </row>
    <row r="9" spans="1:6" ht="18.95" customHeight="1">
      <c r="A9" s="400" t="s">
        <v>567</v>
      </c>
      <c r="B9" s="401">
        <f>'Performance Data Sheet'!C13</f>
        <v>700</v>
      </c>
      <c r="C9" s="400" t="s">
        <v>568</v>
      </c>
      <c r="D9" s="401" t="s">
        <v>578</v>
      </c>
      <c r="E9" s="400" t="s">
        <v>2</v>
      </c>
      <c r="F9" s="402">
        <f>'Performance Data Sheet'!K44</f>
        <v>43186</v>
      </c>
    </row>
    <row r="10" spans="1:6" ht="18.95" customHeight="1">
      <c r="A10" s="400" t="s">
        <v>569</v>
      </c>
      <c r="B10" s="401">
        <f>'Performance Data Sheet'!M14</f>
        <v>3575</v>
      </c>
      <c r="C10" s="400" t="s">
        <v>400</v>
      </c>
      <c r="D10" s="401" t="s">
        <v>579</v>
      </c>
      <c r="E10" s="400" t="s">
        <v>1</v>
      </c>
      <c r="F10" s="528" t="s">
        <v>712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3" t="s">
        <v>570</v>
      </c>
      <c r="C12" s="404" t="str">
        <f>'Performance Data Sheet'!D22 &amp; " A"</f>
        <v>523 A</v>
      </c>
      <c r="D12" s="403" t="s">
        <v>399</v>
      </c>
      <c r="E12" s="404" t="s">
        <v>403</v>
      </c>
      <c r="F12" s="399"/>
    </row>
    <row r="13" spans="1:6" ht="18.95" customHeight="1">
      <c r="A13" s="397"/>
      <c r="B13" s="403" t="s">
        <v>571</v>
      </c>
      <c r="C13" s="405">
        <f>'Performance Data Sheet'!H23/100</f>
        <v>0.75</v>
      </c>
      <c r="D13" s="403" t="s">
        <v>572</v>
      </c>
      <c r="E13" s="404" t="s">
        <v>580</v>
      </c>
      <c r="F13" s="399"/>
    </row>
    <row r="14" spans="1:6" ht="18.95" customHeight="1">
      <c r="A14" s="397"/>
      <c r="B14" s="403" t="s">
        <v>573</v>
      </c>
      <c r="C14" s="405">
        <v>2.7</v>
      </c>
      <c r="D14" s="403" t="s">
        <v>401</v>
      </c>
      <c r="E14" s="404" t="s">
        <v>406</v>
      </c>
      <c r="F14" s="399"/>
    </row>
    <row r="15" spans="1:6" ht="18.95" customHeight="1">
      <c r="A15" s="397"/>
      <c r="B15" s="403" t="s">
        <v>402</v>
      </c>
      <c r="C15" s="404" t="str">
        <f>'Performance Data Sheet'!H22 &amp; " lb-ft"</f>
        <v>1028 lb-ft</v>
      </c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6" ht="18.95" customHeight="1">
      <c r="A17" s="397"/>
      <c r="B17" s="398"/>
      <c r="C17" s="398"/>
      <c r="D17" s="398"/>
      <c r="E17" s="398"/>
      <c r="F17" s="399"/>
    </row>
    <row r="18" spans="1:6" ht="18.95" customHeight="1">
      <c r="A18" s="397"/>
      <c r="B18" s="398"/>
      <c r="C18" s="398"/>
      <c r="D18" s="398"/>
      <c r="E18" s="398"/>
      <c r="F18" s="399"/>
    </row>
    <row r="19" spans="1:6" ht="18.95" customHeight="1">
      <c r="A19" s="397"/>
      <c r="B19" s="398"/>
      <c r="C19" s="398"/>
      <c r="D19" s="398"/>
      <c r="E19" s="398"/>
      <c r="F19" s="399"/>
    </row>
    <row r="20" spans="1:6" ht="18.95" customHeight="1">
      <c r="A20" s="397"/>
      <c r="B20" s="398"/>
      <c r="C20" s="398"/>
      <c r="D20" s="398"/>
      <c r="E20" s="398"/>
      <c r="F20" s="399"/>
    </row>
    <row r="21" spans="1:6" ht="18.95" customHeight="1">
      <c r="A21" s="397"/>
      <c r="B21" s="398"/>
      <c r="C21" s="398"/>
      <c r="D21" s="398"/>
      <c r="E21" s="398"/>
      <c r="F21" s="399"/>
    </row>
    <row r="22" spans="1:6" ht="18.95" customHeight="1">
      <c r="A22" s="397"/>
      <c r="B22" s="398"/>
      <c r="C22" s="398"/>
      <c r="D22" s="398"/>
      <c r="E22" s="398"/>
      <c r="F22" s="399"/>
    </row>
    <row r="23" spans="1:6" ht="18.95" customHeight="1">
      <c r="A23" s="397"/>
      <c r="B23" s="398"/>
      <c r="C23" s="398"/>
      <c r="D23" s="398"/>
      <c r="E23" s="398"/>
      <c r="F23" s="399"/>
    </row>
    <row r="24" spans="1:6" ht="18.95" customHeight="1">
      <c r="A24" s="397"/>
      <c r="B24" s="398"/>
      <c r="C24" s="398"/>
      <c r="D24" s="398"/>
      <c r="E24" s="398"/>
      <c r="F24" s="399"/>
    </row>
    <row r="25" spans="1:6" ht="18.95" customHeight="1">
      <c r="A25" s="397"/>
      <c r="B25" s="398"/>
      <c r="C25" s="398"/>
      <c r="D25" s="398"/>
      <c r="E25" s="398"/>
      <c r="F25" s="399"/>
    </row>
    <row r="26" spans="1:6" ht="18.95" customHeight="1">
      <c r="A26" s="397"/>
      <c r="B26" s="398"/>
      <c r="C26" s="398"/>
      <c r="D26" s="398"/>
      <c r="E26" s="398"/>
      <c r="F26" s="399"/>
    </row>
    <row r="27" spans="1:6" ht="18.95" customHeight="1">
      <c r="A27" s="397"/>
      <c r="B27" s="398"/>
      <c r="C27" s="398"/>
      <c r="D27" s="398"/>
      <c r="E27" s="398"/>
      <c r="F27" s="399"/>
    </row>
    <row r="28" spans="1:6" ht="18.95" customHeight="1">
      <c r="A28" s="397"/>
      <c r="B28" s="398"/>
      <c r="C28" s="398"/>
      <c r="D28" s="398"/>
      <c r="E28" s="398"/>
      <c r="F28" s="399"/>
    </row>
    <row r="29" spans="1:6" ht="18.95" customHeight="1">
      <c r="A29" s="397"/>
      <c r="B29" s="398"/>
      <c r="C29" s="398"/>
      <c r="D29" s="398"/>
      <c r="E29" s="398"/>
      <c r="F29" s="399"/>
    </row>
    <row r="30" spans="1:6" ht="18.95" customHeight="1">
      <c r="A30" s="397"/>
      <c r="B30" s="398"/>
      <c r="C30" s="398"/>
      <c r="D30" s="398"/>
      <c r="E30" s="398"/>
      <c r="F30" s="399"/>
    </row>
    <row r="31" spans="1:6" ht="18.95" customHeight="1">
      <c r="A31" s="397"/>
      <c r="B31" s="398"/>
      <c r="C31" s="398"/>
      <c r="D31" s="398"/>
      <c r="E31" s="398"/>
      <c r="F31" s="399"/>
    </row>
    <row r="32" spans="1:6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406" t="s">
        <v>574</v>
      </c>
      <c r="B39" s="407" t="s">
        <v>370</v>
      </c>
      <c r="C39" s="527" t="str">
        <f>'Performance Data Sheet'!C10</f>
        <v>2079542.1</v>
      </c>
      <c r="D39" s="398"/>
      <c r="E39" s="403" t="s">
        <v>575</v>
      </c>
      <c r="F39" s="529" t="str">
        <f>F10</f>
        <v>BS2700U_4160V</v>
      </c>
    </row>
    <row r="40" spans="1:6" ht="18.95" customHeight="1">
      <c r="A40" s="397"/>
      <c r="B40" s="407"/>
      <c r="C40" s="407"/>
      <c r="D40" s="398"/>
      <c r="E40" s="398"/>
      <c r="F40" s="399"/>
    </row>
    <row r="41" spans="1:6" ht="18.95" customHeight="1">
      <c r="A41" s="397"/>
      <c r="B41" s="407"/>
      <c r="C41" s="407"/>
      <c r="D41" s="398"/>
      <c r="E41" s="398"/>
      <c r="F41" s="399"/>
    </row>
    <row r="42" spans="1:6" ht="18.95" customHeight="1">
      <c r="A42" s="397"/>
      <c r="B42" s="398"/>
      <c r="C42" s="398"/>
      <c r="D42" s="398"/>
      <c r="E42" s="398"/>
      <c r="F42" s="399"/>
    </row>
    <row r="43" spans="1:6" ht="18.95" customHeight="1">
      <c r="A43" s="408"/>
      <c r="B43" s="407"/>
      <c r="C43" s="409" t="s">
        <v>576</v>
      </c>
      <c r="D43" s="410" t="str">
        <f>'Performance Data Sheet'!K42</f>
        <v>Zichao Xie</v>
      </c>
      <c r="E43" s="409" t="s">
        <v>577</v>
      </c>
      <c r="F43" s="41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8" t="s">
        <v>396</v>
      </c>
      <c r="E53" s="368" t="s">
        <v>397</v>
      </c>
      <c r="F53" s="368" t="s">
        <v>398</v>
      </c>
      <c r="G53" s="368"/>
      <c r="H53" s="368"/>
      <c r="I53" s="368"/>
      <c r="J53" s="368"/>
      <c r="K53" s="368"/>
      <c r="L53" s="368"/>
    </row>
    <row r="54" spans="1:12" ht="15" customHeight="1">
      <c r="A54" s="414">
        <v>100</v>
      </c>
      <c r="B54" s="368">
        <v>0</v>
      </c>
      <c r="C54" s="368">
        <v>0.27352383732795715</v>
      </c>
      <c r="D54" s="368">
        <v>39</v>
      </c>
      <c r="E54" s="368">
        <v>0</v>
      </c>
      <c r="F54" s="368">
        <v>21.170743942260742</v>
      </c>
      <c r="G54" s="368"/>
      <c r="H54" s="368"/>
      <c r="I54" s="368"/>
      <c r="J54" s="368"/>
      <c r="K54" s="368"/>
      <c r="L54" s="368"/>
    </row>
    <row r="55" spans="1:12" ht="15" customHeight="1">
      <c r="A55" s="414">
        <v>99.280000058934093</v>
      </c>
      <c r="B55" s="368">
        <v>146.34402125372978</v>
      </c>
      <c r="C55" s="368">
        <v>161.47523498535156</v>
      </c>
      <c r="D55" s="368">
        <v>37.560001373291016</v>
      </c>
      <c r="E55" s="368">
        <v>118.53865369274043</v>
      </c>
      <c r="F55" s="368">
        <v>145.32771301269531</v>
      </c>
      <c r="G55" s="368"/>
      <c r="H55" s="368"/>
      <c r="I55" s="368"/>
      <c r="J55" s="368"/>
      <c r="K55" s="368"/>
      <c r="L55" s="368"/>
    </row>
    <row r="56" spans="1:12" ht="15" customHeight="1">
      <c r="A56" s="414">
        <v>96.400000154972076</v>
      </c>
      <c r="B56" s="368">
        <v>270</v>
      </c>
      <c r="C56" s="368">
        <v>474.05218505859375</v>
      </c>
      <c r="D56" s="368">
        <v>36.349998474121094</v>
      </c>
      <c r="E56" s="368">
        <v>218.69998841285721</v>
      </c>
      <c r="F56" s="368">
        <v>426.64694213867188</v>
      </c>
      <c r="G56" s="368"/>
      <c r="H56" s="368"/>
      <c r="I56" s="368"/>
      <c r="J56" s="368"/>
      <c r="K56" s="368"/>
      <c r="L56" s="368"/>
    </row>
    <row r="57" spans="1:12">
      <c r="A57" s="414">
        <v>91.326315701007843</v>
      </c>
      <c r="B57" s="368">
        <v>166.4063110281443</v>
      </c>
      <c r="C57" s="368">
        <v>551.46063232421875</v>
      </c>
      <c r="D57" s="368">
        <v>35.265262603759766</v>
      </c>
      <c r="E57" s="368">
        <v>134.78910479709253</v>
      </c>
      <c r="F57" s="368">
        <v>496.31454467773438</v>
      </c>
      <c r="G57" s="368"/>
      <c r="H57" s="368"/>
      <c r="I57" s="368"/>
      <c r="J57" s="368"/>
      <c r="K57" s="368"/>
      <c r="L57" s="368"/>
    </row>
    <row r="58" spans="1:12">
      <c r="A58" s="414">
        <v>86.25263124704361</v>
      </c>
      <c r="B58" s="368">
        <v>122.55451110337785</v>
      </c>
      <c r="C58" s="368">
        <v>571.48907470703125</v>
      </c>
      <c r="D58" s="368">
        <v>34.250526428222656</v>
      </c>
      <c r="E58" s="368">
        <v>99.26914947991088</v>
      </c>
      <c r="F58" s="368">
        <v>514.34014892578125</v>
      </c>
      <c r="G58" s="368"/>
      <c r="H58" s="368"/>
      <c r="I58" s="368"/>
      <c r="J58" s="368"/>
      <c r="K58" s="368"/>
      <c r="L58" s="368"/>
    </row>
    <row r="59" spans="1:12">
      <c r="A59" s="414">
        <v>81.178946793079376</v>
      </c>
      <c r="B59" s="368">
        <v>102.89033109816444</v>
      </c>
      <c r="C59" s="368">
        <v>579.48150634765625</v>
      </c>
      <c r="D59" s="368">
        <v>33.235790252685547</v>
      </c>
      <c r="E59" s="368">
        <v>83.341160821852995</v>
      </c>
      <c r="F59" s="368">
        <v>521.5333251953125</v>
      </c>
      <c r="G59" s="368"/>
      <c r="H59" s="368"/>
      <c r="I59" s="368"/>
      <c r="J59" s="368"/>
      <c r="K59" s="368"/>
      <c r="L59" s="368"/>
    </row>
    <row r="60" spans="1:12">
      <c r="A60" s="414">
        <v>71.031579375267029</v>
      </c>
      <c r="B60" s="368">
        <v>90.597308532431668</v>
      </c>
      <c r="C60" s="368">
        <v>586.6202392578125</v>
      </c>
      <c r="D60" s="368">
        <v>32.103157043457031</v>
      </c>
      <c r="E60" s="368">
        <v>73.38381340324527</v>
      </c>
      <c r="F60" s="368">
        <v>527.95819091796875</v>
      </c>
      <c r="G60" s="368"/>
      <c r="H60" s="368"/>
      <c r="I60" s="368"/>
      <c r="J60" s="368"/>
      <c r="K60" s="368"/>
      <c r="L60" s="368"/>
    </row>
    <row r="61" spans="1:12">
      <c r="A61" s="414">
        <v>60.884210467338562</v>
      </c>
      <c r="B61" s="368">
        <v>84.471646205199505</v>
      </c>
      <c r="C61" s="368">
        <v>590.99688720703125</v>
      </c>
      <c r="D61" s="368">
        <v>31.088420867919922</v>
      </c>
      <c r="E61" s="368">
        <v>68.42203220250687</v>
      </c>
      <c r="F61" s="368">
        <v>531.89715576171875</v>
      </c>
      <c r="G61" s="368"/>
      <c r="H61" s="368"/>
      <c r="I61" s="368"/>
      <c r="J61" s="368"/>
      <c r="K61" s="368"/>
      <c r="L61" s="368"/>
    </row>
    <row r="62" spans="1:12">
      <c r="A62" s="414">
        <v>50.736841559410095</v>
      </c>
      <c r="B62" s="368">
        <v>80.691836505367689</v>
      </c>
      <c r="C62" s="368">
        <v>594.75958251953125</v>
      </c>
      <c r="D62" s="368">
        <v>30.073684692382813</v>
      </c>
      <c r="E62" s="368">
        <v>65.360381668918166</v>
      </c>
      <c r="F62" s="368">
        <v>535.28363037109375</v>
      </c>
      <c r="G62" s="368"/>
      <c r="H62" s="368"/>
      <c r="I62" s="368"/>
      <c r="J62" s="368"/>
      <c r="K62" s="368"/>
      <c r="L62" s="368"/>
    </row>
    <row r="63" spans="1:12">
      <c r="A63" s="414">
        <v>40.58946967124939</v>
      </c>
      <c r="B63" s="368">
        <v>78.276656603210768</v>
      </c>
      <c r="C63" s="368">
        <v>598.152587890625</v>
      </c>
      <c r="D63" s="368">
        <v>30</v>
      </c>
      <c r="E63" s="368">
        <v>63.404088895369028</v>
      </c>
      <c r="F63" s="368">
        <v>538.33734130859375</v>
      </c>
      <c r="G63" s="368"/>
      <c r="H63" s="368"/>
      <c r="I63" s="368"/>
      <c r="J63" s="368"/>
      <c r="K63" s="368"/>
      <c r="L63" s="368"/>
    </row>
    <row r="64" spans="1:12">
      <c r="A64" s="414">
        <v>30.4421067237854</v>
      </c>
      <c r="B64" s="368">
        <v>76.761589788100508</v>
      </c>
      <c r="C64" s="368">
        <v>601.1685791015625</v>
      </c>
      <c r="D64" s="368">
        <v>30.955789566040039</v>
      </c>
      <c r="E64" s="368">
        <v>62.176883836487328</v>
      </c>
      <c r="F64" s="368">
        <v>541.05169677734375</v>
      </c>
      <c r="G64" s="368"/>
      <c r="H64" s="368"/>
      <c r="I64" s="368"/>
      <c r="J64" s="368"/>
      <c r="K64" s="368"/>
      <c r="L64" s="368"/>
    </row>
    <row r="65" spans="1:12">
      <c r="A65" s="414">
        <v>20.294737815856934</v>
      </c>
      <c r="B65" s="368">
        <v>75.84014546440406</v>
      </c>
      <c r="C65" s="368">
        <v>603.8128662109375</v>
      </c>
      <c r="D65" s="368">
        <v>32.941051483154297</v>
      </c>
      <c r="E65" s="368">
        <v>61.430517375176755</v>
      </c>
      <c r="F65" s="368">
        <v>543.43157958984375</v>
      </c>
      <c r="G65" s="368"/>
      <c r="H65" s="368"/>
      <c r="I65" s="368"/>
      <c r="J65" s="368"/>
      <c r="K65" s="368"/>
      <c r="L65" s="368"/>
    </row>
    <row r="66" spans="1:12">
      <c r="A66" s="414">
        <v>10.147368907928467</v>
      </c>
      <c r="B66" s="368">
        <v>75.300480258299501</v>
      </c>
      <c r="C66" s="368">
        <v>606.12066650390625</v>
      </c>
      <c r="D66" s="368">
        <v>34.970527648925781</v>
      </c>
      <c r="E66" s="368">
        <v>60.993388568380624</v>
      </c>
      <c r="F66" s="368">
        <v>545.50860595703125</v>
      </c>
      <c r="G66" s="368"/>
      <c r="H66" s="368"/>
      <c r="I66" s="368"/>
      <c r="J66" s="368"/>
      <c r="K66" s="368"/>
      <c r="L66" s="368"/>
    </row>
    <row r="67" spans="1:12">
      <c r="A67" s="415">
        <v>0</v>
      </c>
      <c r="B67" s="368">
        <v>75</v>
      </c>
      <c r="C67" s="368">
        <v>608.1395263671875</v>
      </c>
      <c r="D67" s="368">
        <v>40</v>
      </c>
      <c r="E67" s="368">
        <v>60.749996781349225</v>
      </c>
      <c r="F67" s="368">
        <v>547.3255615234375</v>
      </c>
      <c r="G67" s="368"/>
      <c r="H67" s="368"/>
      <c r="I67" s="368"/>
      <c r="J67" s="368"/>
      <c r="K67" s="368"/>
      <c r="L67" s="368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N19" sqref="N19:N20"/>
    </sheetView>
  </sheetViews>
  <sheetFormatPr defaultRowHeight="12.75"/>
  <cols>
    <col min="1" max="6" width="16.7109375" style="378" customWidth="1"/>
    <col min="7" max="16384" width="9.140625" style="378"/>
  </cols>
  <sheetData>
    <row r="1" spans="1:6" ht="18.95" customHeight="1">
      <c r="A1" s="390"/>
      <c r="B1" s="391"/>
      <c r="C1" s="391"/>
      <c r="D1" s="391"/>
      <c r="E1" s="391"/>
      <c r="F1" s="392"/>
    </row>
    <row r="2" spans="1:6" ht="26.1" customHeight="1">
      <c r="A2" s="393" t="s">
        <v>269</v>
      </c>
      <c r="B2" s="394"/>
      <c r="C2" s="394"/>
      <c r="D2" s="394"/>
      <c r="E2" s="394"/>
      <c r="F2" s="395"/>
    </row>
    <row r="3" spans="1:6" ht="18.95" customHeight="1">
      <c r="A3" s="657" t="s">
        <v>581</v>
      </c>
      <c r="B3" s="658"/>
      <c r="C3" s="658"/>
      <c r="D3" s="658"/>
      <c r="E3" s="658"/>
      <c r="F3" s="659"/>
    </row>
    <row r="4" spans="1:6" ht="18.95" customHeight="1">
      <c r="A4" s="660" t="s">
        <v>582</v>
      </c>
      <c r="B4" s="661"/>
      <c r="C4" s="661"/>
      <c r="D4" s="661"/>
      <c r="E4" s="661"/>
      <c r="F4" s="662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400" t="s">
        <v>558</v>
      </c>
      <c r="B6" s="654" t="str">
        <f>'Performance Data Sheet'!C17</f>
        <v>TW-10009426</v>
      </c>
      <c r="C6" s="655"/>
      <c r="D6" s="656"/>
      <c r="E6" s="400" t="s">
        <v>559</v>
      </c>
      <c r="F6" s="401">
        <f>'Performance Data Sheet'!I14</f>
        <v>86</v>
      </c>
    </row>
    <row r="7" spans="1:6" ht="18.95" customHeight="1">
      <c r="A7" s="400" t="s">
        <v>560</v>
      </c>
      <c r="B7" s="401" t="str">
        <f>'Performance Data Sheet'!F14</f>
        <v>TEAAC</v>
      </c>
      <c r="C7" s="400" t="s">
        <v>561</v>
      </c>
      <c r="D7" s="401" t="str">
        <f>'Performance Data Sheet'!F13 &amp; " V"</f>
        <v>4160 V</v>
      </c>
      <c r="E7" s="400" t="s">
        <v>562</v>
      </c>
      <c r="F7" s="401" t="str">
        <f>'Performance Data Sheet'!C14</f>
        <v>5812USS</v>
      </c>
    </row>
    <row r="8" spans="1:6" ht="18.95" customHeight="1">
      <c r="A8" s="400" t="s">
        <v>563</v>
      </c>
      <c r="B8" s="401">
        <v>2</v>
      </c>
      <c r="C8" s="400" t="s">
        <v>564</v>
      </c>
      <c r="D8" s="401" t="s">
        <v>565</v>
      </c>
      <c r="E8" s="400" t="s">
        <v>566</v>
      </c>
      <c r="F8" s="401" t="str">
        <f>'Performance Data Sheet'!M15</f>
        <v>F</v>
      </c>
    </row>
    <row r="9" spans="1:6" ht="18.95" customHeight="1">
      <c r="A9" s="400" t="s">
        <v>567</v>
      </c>
      <c r="B9" s="401">
        <f>'Performance Data Sheet'!C13</f>
        <v>700</v>
      </c>
      <c r="C9" s="400" t="s">
        <v>568</v>
      </c>
      <c r="D9" s="401" t="s">
        <v>578</v>
      </c>
      <c r="E9" s="400" t="s">
        <v>2</v>
      </c>
      <c r="F9" s="402">
        <f>'Performance Data Sheet'!K44</f>
        <v>43186</v>
      </c>
    </row>
    <row r="10" spans="1:6" ht="18.95" customHeight="1">
      <c r="A10" s="400" t="s">
        <v>569</v>
      </c>
      <c r="B10" s="401">
        <f>'Performance Data Sheet'!M14</f>
        <v>3575</v>
      </c>
      <c r="C10" s="400" t="s">
        <v>400</v>
      </c>
      <c r="D10" s="401" t="s">
        <v>579</v>
      </c>
      <c r="E10" s="400" t="s">
        <v>1</v>
      </c>
      <c r="F10" s="528" t="s">
        <v>712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3"/>
      <c r="C12" s="404" t="str">
        <f>'Performance Data Sheet'!D22 &amp; " A"</f>
        <v>523 A</v>
      </c>
      <c r="D12" s="403"/>
      <c r="E12" s="404"/>
      <c r="F12" s="399"/>
    </row>
    <row r="13" spans="1:6" ht="18.95" customHeight="1">
      <c r="A13" s="397"/>
      <c r="B13" s="403"/>
      <c r="C13" s="405">
        <f>'Performance Data Sheet'!H23/100</f>
        <v>0.75</v>
      </c>
      <c r="D13" s="403"/>
      <c r="E13" s="404"/>
      <c r="F13" s="399"/>
    </row>
    <row r="14" spans="1:6" ht="18.95" customHeight="1">
      <c r="A14" s="397"/>
      <c r="B14" s="403"/>
      <c r="C14" s="405"/>
      <c r="D14" s="403"/>
      <c r="E14" s="404"/>
      <c r="F14" s="399"/>
    </row>
    <row r="15" spans="1:6" ht="18.95" customHeight="1">
      <c r="A15" s="397"/>
      <c r="B15" s="403"/>
      <c r="C15" s="404" t="str">
        <f>'Performance Data Sheet'!H22 &amp; " lb-ft"</f>
        <v>1028 lb-ft</v>
      </c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6" ht="18.95" customHeight="1">
      <c r="A17" s="397"/>
      <c r="B17" s="398"/>
      <c r="C17" s="398"/>
      <c r="D17" s="398"/>
      <c r="E17" s="398"/>
      <c r="F17" s="399"/>
    </row>
    <row r="18" spans="1:6" ht="18.95" customHeight="1">
      <c r="A18" s="397"/>
      <c r="B18" s="398"/>
      <c r="C18" s="398"/>
      <c r="D18" s="398"/>
      <c r="E18" s="398"/>
      <c r="F18" s="399"/>
    </row>
    <row r="19" spans="1:6" ht="18.95" customHeight="1">
      <c r="A19" s="397"/>
      <c r="B19" s="398"/>
      <c r="C19" s="398"/>
      <c r="D19" s="398"/>
      <c r="E19" s="398"/>
      <c r="F19" s="399"/>
    </row>
    <row r="20" spans="1:6" ht="18.95" customHeight="1">
      <c r="A20" s="397"/>
      <c r="B20" s="398"/>
      <c r="C20" s="398"/>
      <c r="D20" s="398"/>
      <c r="E20" s="398"/>
      <c r="F20" s="399"/>
    </row>
    <row r="21" spans="1:6" ht="18.95" customHeight="1">
      <c r="A21" s="397"/>
      <c r="B21" s="398"/>
      <c r="C21" s="398"/>
      <c r="D21" s="398"/>
      <c r="E21" s="398"/>
      <c r="F21" s="399"/>
    </row>
    <row r="22" spans="1:6" ht="18.95" customHeight="1">
      <c r="A22" s="397"/>
      <c r="B22" s="398"/>
      <c r="C22" s="398"/>
      <c r="D22" s="398"/>
      <c r="E22" s="398"/>
      <c r="F22" s="399"/>
    </row>
    <row r="23" spans="1:6" ht="18.95" customHeight="1">
      <c r="A23" s="397"/>
      <c r="B23" s="398"/>
      <c r="C23" s="398"/>
      <c r="D23" s="398"/>
      <c r="E23" s="398"/>
      <c r="F23" s="399"/>
    </row>
    <row r="24" spans="1:6" ht="18.95" customHeight="1">
      <c r="A24" s="397"/>
      <c r="B24" s="398"/>
      <c r="C24" s="398"/>
      <c r="D24" s="398"/>
      <c r="E24" s="398"/>
      <c r="F24" s="399"/>
    </row>
    <row r="25" spans="1:6" ht="18.95" customHeight="1">
      <c r="A25" s="397"/>
      <c r="B25" s="398"/>
      <c r="C25" s="398"/>
      <c r="D25" s="398"/>
      <c r="E25" s="398"/>
      <c r="F25" s="399"/>
    </row>
    <row r="26" spans="1:6" ht="18.95" customHeight="1">
      <c r="A26" s="397"/>
      <c r="B26" s="398"/>
      <c r="C26" s="398"/>
      <c r="D26" s="398"/>
      <c r="E26" s="398"/>
      <c r="F26" s="399"/>
    </row>
    <row r="27" spans="1:6" ht="18.95" customHeight="1">
      <c r="A27" s="397"/>
      <c r="B27" s="398"/>
      <c r="C27" s="398"/>
      <c r="D27" s="398"/>
      <c r="E27" s="398"/>
      <c r="F27" s="399"/>
    </row>
    <row r="28" spans="1:6" ht="18.95" customHeight="1">
      <c r="A28" s="397"/>
      <c r="B28" s="398"/>
      <c r="C28" s="398"/>
      <c r="D28" s="398"/>
      <c r="E28" s="398"/>
      <c r="F28" s="399"/>
    </row>
    <row r="29" spans="1:6" ht="18.95" customHeight="1">
      <c r="A29" s="397"/>
      <c r="B29" s="398"/>
      <c r="C29" s="398"/>
      <c r="D29" s="398"/>
      <c r="E29" s="398"/>
      <c r="F29" s="399"/>
    </row>
    <row r="30" spans="1:6" ht="18.95" customHeight="1">
      <c r="A30" s="397"/>
      <c r="B30" s="398"/>
      <c r="C30" s="398"/>
      <c r="D30" s="398"/>
      <c r="E30" s="398"/>
      <c r="F30" s="399"/>
    </row>
    <row r="31" spans="1:6" ht="18.95" customHeight="1">
      <c r="A31" s="397"/>
      <c r="B31" s="398"/>
      <c r="C31" s="398"/>
      <c r="D31" s="398"/>
      <c r="E31" s="398"/>
      <c r="F31" s="399"/>
    </row>
    <row r="32" spans="1:6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406" t="s">
        <v>574</v>
      </c>
      <c r="B39" s="407" t="s">
        <v>370</v>
      </c>
      <c r="C39" s="527" t="str">
        <f>'Performance Data Sheet'!C10</f>
        <v>2079542.1</v>
      </c>
      <c r="D39" s="398"/>
      <c r="E39" s="403" t="s">
        <v>575</v>
      </c>
      <c r="F39" s="529" t="str">
        <f>F10</f>
        <v>BS2700U_4160V</v>
      </c>
    </row>
    <row r="40" spans="1:6" ht="18.95" customHeight="1">
      <c r="A40" s="397"/>
      <c r="B40" s="407"/>
      <c r="C40" s="407"/>
      <c r="D40" s="398"/>
      <c r="E40" s="398"/>
      <c r="F40" s="399"/>
    </row>
    <row r="41" spans="1:6" ht="18.95" customHeight="1">
      <c r="A41" s="397"/>
      <c r="B41" s="407"/>
      <c r="C41" s="407"/>
      <c r="D41" s="398"/>
      <c r="E41" s="398"/>
      <c r="F41" s="399"/>
    </row>
    <row r="42" spans="1:6" ht="18.95" customHeight="1">
      <c r="A42" s="397"/>
      <c r="B42" s="398"/>
      <c r="C42" s="398"/>
      <c r="D42" s="398"/>
      <c r="E42" s="398"/>
      <c r="F42" s="399"/>
    </row>
    <row r="43" spans="1:6" ht="18.95" customHeight="1">
      <c r="A43" s="408"/>
      <c r="B43" s="407"/>
      <c r="C43" s="409" t="s">
        <v>576</v>
      </c>
      <c r="D43" s="410" t="str">
        <f>'Performance Data Sheet'!K42</f>
        <v>Zichao Xie</v>
      </c>
      <c r="E43" s="409" t="s">
        <v>577</v>
      </c>
      <c r="F43" s="41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6" t="e">
        <f>5252.1*B50/D53</f>
        <v>#DIV/0!</v>
      </c>
      <c r="G50" s="416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7"/>
    </row>
    <row r="63" spans="6:9">
      <c r="I63" s="378" t="s">
        <v>39</v>
      </c>
    </row>
    <row r="66" spans="1:6">
      <c r="D66" s="416" t="e">
        <f>D65/D64</f>
        <v>#DIV/0!</v>
      </c>
    </row>
    <row r="67" spans="1:6">
      <c r="A67" s="418" t="s">
        <v>393</v>
      </c>
      <c r="B67" s="418" t="s">
        <v>583</v>
      </c>
      <c r="C67" s="418" t="s">
        <v>584</v>
      </c>
      <c r="E67" s="418" t="s">
        <v>585</v>
      </c>
      <c r="F67" s="418" t="s">
        <v>586</v>
      </c>
    </row>
    <row r="68" spans="1:6">
      <c r="A68" s="419">
        <v>608.1395348837209</v>
      </c>
      <c r="B68" s="420">
        <v>35</v>
      </c>
      <c r="C68" s="420">
        <v>15</v>
      </c>
      <c r="E68" s="419">
        <f>A68</f>
        <v>608.1395348837209</v>
      </c>
      <c r="F68" s="420">
        <v>1E-4</v>
      </c>
    </row>
    <row r="69" spans="1:6">
      <c r="A69" s="419">
        <v>543.43282790697674</v>
      </c>
      <c r="B69" s="420">
        <f>((A68/A69)^2)*B68</f>
        <v>43.831141357980954</v>
      </c>
      <c r="C69" s="420">
        <f>((A68/A69)^2)*C68</f>
        <v>18.784774867706123</v>
      </c>
      <c r="E69" s="419">
        <v>607.09302325581393</v>
      </c>
      <c r="F69" s="420">
        <v>1.9919999837875366</v>
      </c>
    </row>
    <row r="70" spans="1:6">
      <c r="A70" s="419">
        <v>478.70670697674416</v>
      </c>
      <c r="B70" s="420">
        <f>((A68/A70)^2)*B68</f>
        <v>56.485307204707098</v>
      </c>
      <c r="C70" s="420">
        <f>((A68/A70)^2)*C68</f>
        <v>24.207988802017326</v>
      </c>
      <c r="E70" s="419">
        <v>604.99999999999989</v>
      </c>
      <c r="F70" s="420">
        <v>3.7969999313354492</v>
      </c>
    </row>
    <row r="71" spans="1:6">
      <c r="A71" s="419">
        <v>414</v>
      </c>
      <c r="B71" s="420">
        <f>((A68/A71)^2)*B68</f>
        <v>75.522061693975331</v>
      </c>
      <c r="C71" s="420">
        <f>((A68/A71)^2)*C68</f>
        <v>32.366597868846569</v>
      </c>
      <c r="E71" s="419">
        <v>602.44186046511629</v>
      </c>
      <c r="F71" s="420">
        <v>5.4879999160766602</v>
      </c>
    </row>
    <row r="72" spans="1:6">
      <c r="A72" s="419">
        <f>A71-100</f>
        <v>314</v>
      </c>
      <c r="B72" s="420">
        <f>((A68/A72)^2)*B68</f>
        <v>131.28503474888021</v>
      </c>
      <c r="C72" s="420"/>
      <c r="E72" s="419">
        <v>599.65116279069775</v>
      </c>
      <c r="F72" s="420">
        <v>7.0859999656677246</v>
      </c>
    </row>
    <row r="73" spans="1:6">
      <c r="A73" s="419">
        <f>A72-100</f>
        <v>214</v>
      </c>
      <c r="B73" s="420">
        <f>((A68/A73)^2)*B68</f>
        <v>282.64868735480383</v>
      </c>
      <c r="C73" s="420"/>
      <c r="E73" s="419">
        <v>596.51162790697674</v>
      </c>
      <c r="F73" s="420">
        <v>8.6059999465942383</v>
      </c>
    </row>
    <row r="74" spans="1:6">
      <c r="A74" s="419">
        <v>270</v>
      </c>
      <c r="B74" s="420">
        <f>((A68/A74)^2)*B68</f>
        <v>177.56075838272415</v>
      </c>
      <c r="C74" s="420">
        <f>((A68/A74)^2)*C68</f>
        <v>76.097467878310354</v>
      </c>
      <c r="E74" s="419">
        <v>592.90697674418607</v>
      </c>
      <c r="F74" s="420">
        <v>10.050000190734863</v>
      </c>
    </row>
    <row r="75" spans="1:6">
      <c r="A75" s="421">
        <v>180</v>
      </c>
      <c r="B75" s="420">
        <f>((A68/A75)^2)*B69</f>
        <v>500.31583073379539</v>
      </c>
      <c r="C75" s="420">
        <f>((A68/A75)^2)*C68</f>
        <v>171.21930272619829</v>
      </c>
      <c r="E75" s="419">
        <v>588.83720930232562</v>
      </c>
      <c r="F75" s="420">
        <v>11.393000602722168</v>
      </c>
    </row>
    <row r="76" spans="1:6">
      <c r="A76" s="421">
        <v>145</v>
      </c>
      <c r="B76" s="420">
        <f>((A68/A76)^2)*B68</f>
        <v>615.65656533177628</v>
      </c>
      <c r="C76" s="420">
        <f>((A68/A76)^2)*C68</f>
        <v>263.85281371361839</v>
      </c>
      <c r="E76" s="419">
        <v>583.02325581395348</v>
      </c>
      <c r="F76" s="420">
        <v>12.565000534057617</v>
      </c>
    </row>
    <row r="77" spans="1:6">
      <c r="A77" s="421">
        <v>125</v>
      </c>
      <c r="B77" s="420"/>
      <c r="C77" s="419">
        <f>CEILING(C76*2,100)</f>
        <v>600</v>
      </c>
      <c r="E77" s="419">
        <v>575.46511627906978</v>
      </c>
      <c r="F77" s="420">
        <v>13.040000915527344</v>
      </c>
    </row>
    <row r="78" spans="1:6">
      <c r="A78" s="421">
        <v>125</v>
      </c>
      <c r="B78" s="420"/>
      <c r="C78" s="419">
        <f>2*C77</f>
        <v>1200</v>
      </c>
      <c r="E78" s="419">
        <v>561.51162790697674</v>
      </c>
      <c r="F78" s="420">
        <v>13.382000923156738</v>
      </c>
    </row>
    <row r="79" spans="1:6">
      <c r="A79" s="421">
        <v>125</v>
      </c>
      <c r="B79" s="421"/>
      <c r="C79" s="421">
        <v>10000</v>
      </c>
      <c r="E79" s="419">
        <v>512.79069767441865</v>
      </c>
      <c r="F79" s="420">
        <v>13.588001251220703</v>
      </c>
    </row>
    <row r="80" spans="1:6">
      <c r="E80" s="419">
        <f>A74</f>
        <v>270</v>
      </c>
      <c r="F80" s="420">
        <v>13.712000846862793</v>
      </c>
    </row>
    <row r="81" spans="5:6">
      <c r="E81" s="419">
        <f>A77</f>
        <v>125</v>
      </c>
      <c r="F81" s="420">
        <v>13.731000900268555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workbookViewId="0">
      <selection activeCell="N19" sqref="N19:N20"/>
    </sheetView>
  </sheetViews>
  <sheetFormatPr defaultRowHeight="12.75"/>
  <cols>
    <col min="1" max="6" width="16.7109375" style="378" customWidth="1"/>
    <col min="7" max="16384" width="9.140625" style="378"/>
  </cols>
  <sheetData>
    <row r="1" spans="1:6" ht="18.95" customHeight="1">
      <c r="A1" s="390"/>
      <c r="B1" s="391"/>
      <c r="C1" s="391"/>
      <c r="D1" s="391"/>
      <c r="E1" s="391"/>
      <c r="F1" s="392"/>
    </row>
    <row r="2" spans="1:6" ht="26.1" customHeight="1">
      <c r="A2" s="393" t="s">
        <v>269</v>
      </c>
      <c r="B2" s="394"/>
      <c r="C2" s="394"/>
      <c r="D2" s="394"/>
      <c r="E2" s="394"/>
      <c r="F2" s="395"/>
    </row>
    <row r="3" spans="1:6" ht="18.95" customHeight="1">
      <c r="A3" s="396" t="s">
        <v>598</v>
      </c>
      <c r="B3" s="394"/>
      <c r="C3" s="394"/>
      <c r="D3" s="394"/>
      <c r="E3" s="394"/>
      <c r="F3" s="395"/>
    </row>
    <row r="4" spans="1:6" ht="18.95" customHeight="1">
      <c r="A4" s="660" t="s">
        <v>582</v>
      </c>
      <c r="B4" s="661"/>
      <c r="C4" s="661"/>
      <c r="D4" s="661"/>
      <c r="E4" s="661"/>
      <c r="F4" s="662"/>
    </row>
    <row r="5" spans="1:6" ht="18.95" customHeight="1">
      <c r="A5" s="397"/>
      <c r="B5" s="398"/>
      <c r="C5" s="398"/>
      <c r="D5" s="398"/>
      <c r="E5" s="398"/>
      <c r="F5" s="399"/>
    </row>
    <row r="6" spans="1:6" ht="18.95" customHeight="1">
      <c r="A6" s="400" t="s">
        <v>558</v>
      </c>
      <c r="B6" s="654" t="str">
        <f>'Performance Data Sheet'!C17</f>
        <v>TW-10009426</v>
      </c>
      <c r="C6" s="655"/>
      <c r="D6" s="656"/>
      <c r="E6" s="400" t="s">
        <v>559</v>
      </c>
      <c r="F6" s="401">
        <f>'Performance Data Sheet'!I14</f>
        <v>86</v>
      </c>
    </row>
    <row r="7" spans="1:6" ht="18.95" customHeight="1">
      <c r="A7" s="400" t="s">
        <v>560</v>
      </c>
      <c r="B7" s="401" t="str">
        <f>'Performance Data Sheet'!F14</f>
        <v>TEAAC</v>
      </c>
      <c r="C7" s="400" t="s">
        <v>561</v>
      </c>
      <c r="D7" s="401" t="str">
        <f>'Performance Data Sheet'!F13 &amp; " V"</f>
        <v>4160 V</v>
      </c>
      <c r="E7" s="400" t="s">
        <v>562</v>
      </c>
      <c r="F7" s="401" t="str">
        <f>'Performance Data Sheet'!C14</f>
        <v>5812USS</v>
      </c>
    </row>
    <row r="8" spans="1:6" ht="18.95" customHeight="1">
      <c r="A8" s="400" t="s">
        <v>563</v>
      </c>
      <c r="B8" s="401">
        <v>2</v>
      </c>
      <c r="C8" s="400" t="s">
        <v>564</v>
      </c>
      <c r="D8" s="401" t="s">
        <v>565</v>
      </c>
      <c r="E8" s="400" t="s">
        <v>566</v>
      </c>
      <c r="F8" s="401" t="str">
        <f>'Performance Data Sheet'!M15</f>
        <v>F</v>
      </c>
    </row>
    <row r="9" spans="1:6" ht="18.95" customHeight="1">
      <c r="A9" s="400" t="s">
        <v>567</v>
      </c>
      <c r="B9" s="401">
        <f>'Performance Data Sheet'!C13</f>
        <v>700</v>
      </c>
      <c r="C9" s="400" t="s">
        <v>568</v>
      </c>
      <c r="D9" s="401" t="s">
        <v>578</v>
      </c>
      <c r="E9" s="400" t="s">
        <v>2</v>
      </c>
      <c r="F9" s="402">
        <f>'Performance Data Sheet'!K44</f>
        <v>43186</v>
      </c>
    </row>
    <row r="10" spans="1:6" ht="18.95" customHeight="1">
      <c r="A10" s="400" t="s">
        <v>569</v>
      </c>
      <c r="B10" s="401">
        <f>'Performance Data Sheet'!M14</f>
        <v>3575</v>
      </c>
      <c r="C10" s="400" t="s">
        <v>400</v>
      </c>
      <c r="D10" s="401" t="s">
        <v>579</v>
      </c>
      <c r="E10" s="400" t="s">
        <v>1</v>
      </c>
      <c r="F10" s="528" t="s">
        <v>712</v>
      </c>
    </row>
    <row r="11" spans="1:6" ht="18.95" customHeight="1">
      <c r="A11" s="397"/>
      <c r="B11" s="398"/>
      <c r="C11" s="398"/>
      <c r="D11" s="398"/>
      <c r="E11" s="398"/>
      <c r="F11" s="399"/>
    </row>
    <row r="12" spans="1:6" ht="18.95" customHeight="1">
      <c r="A12" s="397"/>
      <c r="B12" s="403" t="s">
        <v>570</v>
      </c>
      <c r="C12" s="404" t="str">
        <f>'Performance Data Sheet'!D22 &amp; " A"</f>
        <v>523 A</v>
      </c>
      <c r="D12" s="403" t="s">
        <v>399</v>
      </c>
      <c r="E12" s="404" t="s">
        <v>403</v>
      </c>
      <c r="F12" s="399"/>
    </row>
    <row r="13" spans="1:6" ht="18.95" customHeight="1">
      <c r="A13" s="397"/>
      <c r="B13" s="403" t="s">
        <v>571</v>
      </c>
      <c r="C13" s="405">
        <f>'Performance Data Sheet'!H23/100</f>
        <v>0.75</v>
      </c>
      <c r="D13" s="403" t="s">
        <v>572</v>
      </c>
      <c r="E13" s="404" t="s">
        <v>580</v>
      </c>
      <c r="F13" s="399"/>
    </row>
    <row r="14" spans="1:6" ht="18.95" customHeight="1">
      <c r="A14" s="397"/>
      <c r="B14" s="403" t="s">
        <v>573</v>
      </c>
      <c r="C14" s="405">
        <v>2.7</v>
      </c>
      <c r="D14" s="403" t="s">
        <v>401</v>
      </c>
      <c r="E14" s="404" t="s">
        <v>406</v>
      </c>
      <c r="F14" s="399"/>
    </row>
    <row r="15" spans="1:6" ht="18.95" customHeight="1">
      <c r="A15" s="397"/>
      <c r="B15" s="403" t="s">
        <v>402</v>
      </c>
      <c r="C15" s="404" t="str">
        <f>'Performance Data Sheet'!H22 &amp; " lb-ft"</f>
        <v>1028 lb-ft</v>
      </c>
      <c r="D15" s="398"/>
      <c r="E15" s="398"/>
      <c r="F15" s="399"/>
    </row>
    <row r="16" spans="1:6" ht="18.95" customHeight="1">
      <c r="A16" s="397"/>
      <c r="B16" s="398"/>
      <c r="C16" s="398"/>
      <c r="D16" s="398"/>
      <c r="E16" s="398"/>
      <c r="F16" s="399"/>
    </row>
    <row r="17" spans="1:8" ht="18.95" customHeight="1">
      <c r="A17" s="397"/>
      <c r="B17" s="398"/>
      <c r="C17" s="398"/>
      <c r="D17" s="398"/>
      <c r="E17" s="398"/>
      <c r="F17" s="399"/>
    </row>
    <row r="18" spans="1:8" ht="18.95" customHeight="1">
      <c r="A18" s="397"/>
      <c r="B18" s="398"/>
      <c r="C18" s="398"/>
      <c r="D18" s="398"/>
      <c r="E18" s="398"/>
      <c r="F18" s="399"/>
    </row>
    <row r="19" spans="1:8" ht="18.95" customHeight="1">
      <c r="A19" s="397"/>
      <c r="B19" s="398"/>
      <c r="C19" s="398"/>
      <c r="D19" s="398"/>
      <c r="E19" s="398"/>
      <c r="F19" s="399"/>
    </row>
    <row r="20" spans="1:8" ht="18.95" customHeight="1">
      <c r="A20" s="397"/>
      <c r="B20" s="398"/>
      <c r="C20" s="398"/>
      <c r="D20" s="398"/>
      <c r="E20" s="398"/>
      <c r="F20" s="399"/>
    </row>
    <row r="21" spans="1:8" ht="18.95" customHeight="1">
      <c r="A21" s="397"/>
      <c r="B21" s="398"/>
      <c r="C21" s="398"/>
      <c r="D21" s="398"/>
      <c r="E21" s="398"/>
      <c r="F21" s="399"/>
    </row>
    <row r="22" spans="1:8" ht="18.95" customHeight="1">
      <c r="A22" s="397"/>
      <c r="B22" s="398"/>
      <c r="C22" s="398"/>
      <c r="D22" s="398"/>
      <c r="E22" s="398"/>
      <c r="F22" s="399"/>
    </row>
    <row r="23" spans="1:8" ht="18.95" customHeight="1">
      <c r="A23" s="397"/>
      <c r="B23" s="398"/>
      <c r="C23" s="398"/>
      <c r="D23" s="398"/>
      <c r="E23" s="398"/>
      <c r="F23" s="399"/>
    </row>
    <row r="24" spans="1:8" ht="18.95" customHeight="1">
      <c r="A24" s="397"/>
      <c r="B24" s="398"/>
      <c r="C24" s="398"/>
      <c r="D24" s="398"/>
      <c r="E24" s="398"/>
      <c r="F24" s="399"/>
      <c r="H24" s="422"/>
    </row>
    <row r="25" spans="1:8" ht="18.95" customHeight="1">
      <c r="A25" s="397"/>
      <c r="B25" s="398"/>
      <c r="C25" s="398"/>
      <c r="D25" s="398"/>
      <c r="E25" s="398"/>
      <c r="F25" s="399"/>
    </row>
    <row r="26" spans="1:8" ht="18.95" customHeight="1">
      <c r="A26" s="397"/>
      <c r="B26" s="398"/>
      <c r="C26" s="398"/>
      <c r="D26" s="398"/>
      <c r="E26" s="398"/>
      <c r="F26" s="399"/>
    </row>
    <row r="27" spans="1:8" ht="18.95" customHeight="1">
      <c r="A27" s="397"/>
      <c r="B27" s="398"/>
      <c r="C27" s="398"/>
      <c r="D27" s="398"/>
      <c r="E27" s="398"/>
      <c r="F27" s="399"/>
    </row>
    <row r="28" spans="1:8" ht="18.95" customHeight="1">
      <c r="A28" s="397"/>
      <c r="B28" s="398"/>
      <c r="C28" s="398"/>
      <c r="D28" s="398"/>
      <c r="E28" s="398"/>
      <c r="F28" s="399"/>
    </row>
    <row r="29" spans="1:8" ht="18.95" customHeight="1">
      <c r="A29" s="397"/>
      <c r="B29" s="398"/>
      <c r="C29" s="398"/>
      <c r="D29" s="398"/>
      <c r="E29" s="398"/>
      <c r="F29" s="399"/>
    </row>
    <row r="30" spans="1:8" ht="18.95" customHeight="1">
      <c r="A30" s="397"/>
      <c r="B30" s="398"/>
      <c r="C30" s="398"/>
      <c r="D30" s="398"/>
      <c r="E30" s="398"/>
      <c r="F30" s="399"/>
    </row>
    <row r="31" spans="1:8" ht="18.95" customHeight="1">
      <c r="A31" s="397"/>
      <c r="B31" s="398"/>
      <c r="C31" s="398"/>
      <c r="D31" s="398"/>
      <c r="E31" s="398"/>
      <c r="F31" s="399"/>
    </row>
    <row r="32" spans="1:8" ht="18.95" customHeight="1">
      <c r="A32" s="397"/>
      <c r="B32" s="398"/>
      <c r="C32" s="398"/>
      <c r="D32" s="398"/>
      <c r="E32" s="398"/>
      <c r="F32" s="399"/>
    </row>
    <row r="33" spans="1:6" ht="18.95" customHeight="1">
      <c r="A33" s="397"/>
      <c r="B33" s="398"/>
      <c r="C33" s="398"/>
      <c r="D33" s="398"/>
      <c r="E33" s="398"/>
      <c r="F33" s="399"/>
    </row>
    <row r="34" spans="1:6" ht="18.95" customHeight="1">
      <c r="A34" s="397"/>
      <c r="B34" s="398"/>
      <c r="C34" s="398"/>
      <c r="D34" s="398"/>
      <c r="E34" s="398"/>
      <c r="F34" s="399"/>
    </row>
    <row r="35" spans="1:6" ht="18.95" customHeight="1">
      <c r="A35" s="397"/>
      <c r="B35" s="398"/>
      <c r="C35" s="398"/>
      <c r="D35" s="398"/>
      <c r="E35" s="398"/>
      <c r="F35" s="399"/>
    </row>
    <row r="36" spans="1:6" ht="18.95" customHeight="1">
      <c r="A36" s="397"/>
      <c r="B36" s="398"/>
      <c r="C36" s="398"/>
      <c r="D36" s="398"/>
      <c r="E36" s="398"/>
      <c r="F36" s="399"/>
    </row>
    <row r="37" spans="1:6" ht="18.95" customHeight="1">
      <c r="A37" s="397"/>
      <c r="B37" s="398"/>
      <c r="C37" s="398"/>
      <c r="D37" s="398"/>
      <c r="E37" s="398"/>
      <c r="F37" s="399"/>
    </row>
    <row r="38" spans="1:6" ht="18.95" customHeight="1">
      <c r="A38" s="397"/>
      <c r="B38" s="398"/>
      <c r="C38" s="398"/>
      <c r="D38" s="398"/>
      <c r="E38" s="398"/>
      <c r="F38" s="399"/>
    </row>
    <row r="39" spans="1:6" ht="18.95" customHeight="1">
      <c r="A39" s="406" t="s">
        <v>574</v>
      </c>
      <c r="B39" s="407" t="s">
        <v>370</v>
      </c>
      <c r="C39" s="527" t="str">
        <f>'Performance Data Sheet'!C10</f>
        <v>2079542.1</v>
      </c>
      <c r="D39" s="398"/>
      <c r="E39" s="403" t="s">
        <v>575</v>
      </c>
      <c r="F39" s="529" t="str">
        <f>F10</f>
        <v>BS2700U_4160V</v>
      </c>
    </row>
    <row r="40" spans="1:6" ht="18.95" customHeight="1">
      <c r="A40" s="397"/>
      <c r="B40" s="407"/>
      <c r="C40" s="407"/>
      <c r="D40" s="398"/>
      <c r="E40" s="398"/>
      <c r="F40" s="399"/>
    </row>
    <row r="41" spans="1:6" ht="18.95" customHeight="1">
      <c r="A41" s="397"/>
      <c r="B41" s="407"/>
      <c r="C41" s="407"/>
      <c r="D41" s="398"/>
      <c r="E41" s="398"/>
      <c r="F41" s="399"/>
    </row>
    <row r="42" spans="1:6" ht="18.95" customHeight="1">
      <c r="A42" s="397"/>
      <c r="B42" s="398"/>
      <c r="C42" s="398"/>
      <c r="D42" s="398"/>
      <c r="E42" s="398"/>
      <c r="F42" s="399"/>
    </row>
    <row r="43" spans="1:6" ht="18.95" customHeight="1">
      <c r="A43" s="408"/>
      <c r="B43" s="407"/>
      <c r="C43" s="409" t="s">
        <v>576</v>
      </c>
      <c r="D43" s="410" t="str">
        <f>'Performance Data Sheet'!K42</f>
        <v>Zichao Xie</v>
      </c>
      <c r="E43" s="409" t="s">
        <v>577</v>
      </c>
      <c r="F43" s="41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3" t="s">
        <v>396</v>
      </c>
      <c r="B53" s="423" t="s">
        <v>142</v>
      </c>
      <c r="C53" s="423" t="s">
        <v>120</v>
      </c>
      <c r="D53" s="423" t="s">
        <v>135</v>
      </c>
      <c r="E53" s="423" t="s">
        <v>5</v>
      </c>
      <c r="F53" s="424" t="s">
        <v>599</v>
      </c>
    </row>
    <row r="54" spans="1:6" ht="15" customHeight="1">
      <c r="A54" s="425">
        <v>0</v>
      </c>
      <c r="B54" s="426"/>
      <c r="C54" s="427"/>
      <c r="D54" s="427">
        <v>24.094658632027748</v>
      </c>
      <c r="E54" s="427">
        <v>100</v>
      </c>
      <c r="F54" s="428">
        <f>14576/14000</f>
        <v>1.0411428571428571</v>
      </c>
    </row>
    <row r="55" spans="1:6" ht="15" customHeight="1">
      <c r="A55" s="429">
        <v>25</v>
      </c>
      <c r="B55" s="430">
        <v>84.652671813964844</v>
      </c>
      <c r="C55" s="431">
        <v>62.795696258544922</v>
      </c>
      <c r="D55" s="431">
        <v>34.076057434082031</v>
      </c>
      <c r="E55" s="431">
        <v>70.776667042028677</v>
      </c>
      <c r="F55" s="432">
        <v>11.012664775303261</v>
      </c>
    </row>
    <row r="56" spans="1:6" ht="15" customHeight="1">
      <c r="A56" s="429">
        <v>50</v>
      </c>
      <c r="B56" s="430">
        <v>91.107566833496094</v>
      </c>
      <c r="C56" s="431">
        <v>80.948448181152344</v>
      </c>
      <c r="D56" s="431">
        <v>49.12322998046875</v>
      </c>
      <c r="E56" s="431">
        <v>59.857566919445794</v>
      </c>
      <c r="F56" s="432">
        <v>20.464851897867806</v>
      </c>
    </row>
    <row r="57" spans="1:6">
      <c r="A57" s="429">
        <v>75</v>
      </c>
      <c r="B57" s="430">
        <v>93.297630310058594</v>
      </c>
      <c r="C57" s="431">
        <v>86.982154846191406</v>
      </c>
      <c r="D57" s="431">
        <v>66.963829040527344</v>
      </c>
      <c r="E57" s="431">
        <v>48.769465687186745</v>
      </c>
      <c r="F57" s="432">
        <v>29.976687107336563</v>
      </c>
    </row>
    <row r="58" spans="1:6">
      <c r="A58" s="429">
        <v>100</v>
      </c>
      <c r="B58" s="430">
        <v>94.285621643066406</v>
      </c>
      <c r="C58" s="431">
        <v>89.275779724121094</v>
      </c>
      <c r="D58" s="431">
        <v>86.079689025878906</v>
      </c>
      <c r="E58" s="431">
        <v>37.525159107701398</v>
      </c>
      <c r="F58" s="432">
        <v>39.550092207388843</v>
      </c>
    </row>
    <row r="59" spans="1:6" ht="13.5" thickBot="1">
      <c r="A59" s="433">
        <v>125</v>
      </c>
      <c r="B59" s="434">
        <v>94.764930725097656</v>
      </c>
      <c r="C59" s="435">
        <v>90.111335754394531</v>
      </c>
      <c r="D59" s="435">
        <v>106.06271362304688</v>
      </c>
      <c r="E59" s="435">
        <v>26.146873491475979</v>
      </c>
      <c r="F59" s="436">
        <v>49.18756566035141</v>
      </c>
    </row>
    <row r="60" spans="1:6">
      <c r="A60" s="411"/>
      <c r="B60" s="412"/>
      <c r="C60" s="412"/>
    </row>
    <row r="61" spans="1:6">
      <c r="A61" s="411"/>
      <c r="B61" s="412"/>
      <c r="C61" s="412"/>
    </row>
    <row r="62" spans="1:6">
      <c r="A62" s="411"/>
      <c r="B62" s="412"/>
      <c r="C62" s="412"/>
    </row>
    <row r="63" spans="1:6">
      <c r="A63" s="411"/>
      <c r="B63" s="412"/>
      <c r="C63" s="412"/>
    </row>
    <row r="64" spans="1:6">
      <c r="A64" s="411"/>
      <c r="B64" s="412"/>
      <c r="C64" s="412"/>
    </row>
    <row r="65" spans="1:3">
      <c r="A65" s="411"/>
      <c r="B65" s="412"/>
      <c r="C65" s="412"/>
    </row>
    <row r="66" spans="1:3">
      <c r="A66" s="411"/>
      <c r="B66" s="412"/>
      <c r="C66" s="412"/>
    </row>
    <row r="67" spans="1:3">
      <c r="A67" s="413"/>
      <c r="B67" s="412"/>
      <c r="C67" s="412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2025-11-12T16:01:56Z</dcterms:modified>
</cp:coreProperties>
</file>