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xie\Desktop\"/>
    </mc:Choice>
  </mc:AlternateContent>
  <bookViews>
    <workbookView xWindow="3165" yWindow="1080" windowWidth="4800" windowHeight="5190" activeTab="4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externalReferences>
    <externalReference r:id="rId9"/>
  </externalReference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62913"/>
</workbook>
</file>

<file path=xl/calcChain.xml><?xml version="1.0" encoding="utf-8"?>
<calcChain xmlns="http://schemas.openxmlformats.org/spreadsheetml/2006/main">
  <c r="F59" i="8" l="1"/>
  <c r="E59" i="8"/>
  <c r="F58" i="8"/>
  <c r="E58" i="8"/>
  <c r="F57" i="8"/>
  <c r="E57" i="8"/>
  <c r="F56" i="8"/>
  <c r="E56" i="8"/>
  <c r="F55" i="8"/>
  <c r="E55" i="8"/>
  <c r="F54" i="8"/>
  <c r="O47" i="8"/>
  <c r="N47" i="8"/>
  <c r="O46" i="8"/>
  <c r="N46" i="8"/>
  <c r="O45" i="8"/>
  <c r="N45" i="8"/>
  <c r="O44" i="8"/>
  <c r="N44" i="8"/>
  <c r="O43" i="8"/>
  <c r="N43" i="8"/>
  <c r="O42" i="8"/>
  <c r="N42" i="8"/>
  <c r="O41" i="8"/>
  <c r="N41" i="8"/>
  <c r="O40" i="8"/>
  <c r="N40" i="8"/>
  <c r="O39" i="8"/>
  <c r="N39" i="8"/>
  <c r="O38" i="8"/>
  <c r="N38" i="8"/>
  <c r="O37" i="8"/>
  <c r="N37" i="8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A69" i="7"/>
  <c r="C69" i="7" s="1"/>
  <c r="E68" i="7"/>
  <c r="D66" i="7"/>
  <c r="F50" i="7"/>
  <c r="B69" i="7" l="1"/>
  <c r="B75" i="7" s="1"/>
  <c r="A70" i="7"/>
  <c r="P31" i="2"/>
  <c r="P32" i="2"/>
  <c r="P33" i="2"/>
  <c r="P34" i="2"/>
  <c r="P30" i="2"/>
  <c r="M52" i="2"/>
  <c r="M41" i="2"/>
  <c r="L41" i="2"/>
  <c r="M40" i="2"/>
  <c r="L40" i="2"/>
  <c r="M39" i="2"/>
  <c r="L39" i="2"/>
  <c r="M38" i="2"/>
  <c r="N38" i="2" s="1"/>
  <c r="L38" i="2"/>
  <c r="M33" i="2"/>
  <c r="M32" i="2"/>
  <c r="M31" i="2"/>
  <c r="M30" i="2"/>
  <c r="M29" i="2"/>
  <c r="M50" i="2"/>
  <c r="M53" i="2" s="1"/>
  <c r="M49" i="2"/>
  <c r="M48" i="2"/>
  <c r="M46" i="2"/>
  <c r="M47" i="2"/>
  <c r="B70" i="7" l="1"/>
  <c r="A71" i="7"/>
  <c r="C70" i="7"/>
  <c r="N41" i="2"/>
  <c r="N40" i="2"/>
  <c r="N39" i="2"/>
  <c r="A72" i="7" l="1"/>
  <c r="B71" i="7"/>
  <c r="C71" i="7"/>
  <c r="B72" i="7" l="1"/>
  <c r="A73" i="7"/>
  <c r="B73" i="7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<sst xmlns="http://schemas.openxmlformats.org/spreadsheetml/2006/main" count="937" uniqueCount="714">
  <si>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</si>
  <si>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</si>
  <si>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</si>
  <si>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</si>
  <si>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</si>
  <si>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</si>
  <si>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</si>
  <si>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</si>
  <si>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</si>
  <si>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</si>
  <si>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</si>
  <si>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</si>
  <si>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</si>
  <si>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</si>
  <si>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</si>
  <si>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</si>
  <si>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</si>
  <si>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</si>
  <si>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</si>
  <si>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</si>
  <si>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</si>
  <si>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</si>
  <si>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</si>
  <si>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</si>
  <si>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</si>
  <si>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</si>
  <si>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</si>
  <si>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</si>
  <si>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</si>
  <si>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</si>
  <si>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</si>
  <si>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</si>
  <si>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</si>
  <si>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</si>
  <si>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</si>
  <si>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</si>
  <si>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</si>
  <si>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</si>
  <si>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</si>
  <si>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</si>
  <si>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</si>
  <si>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</si>
  <si>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</si>
  <si>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</si>
  <si>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</si>
  <si>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</si>
  <si>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</si>
  <si>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</si>
  <si>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</si>
  <si>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</si>
  <si>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</si>
  <si>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</si>
  <si>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</si>
  <si>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</si>
  <si>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</si>
  <si>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</si>
  <si>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</si>
  <si>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</si>
  <si>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</si>
  <si>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</si>
  <si>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</si>
  <si>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</si>
  <si>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</si>
  <si>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</si>
  <si>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</si>
  <si>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</si>
  <si>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</si>
  <si>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</si>
  <si>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</si>
  <si>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</si>
  <si>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</si>
  <si>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</si>
  <si>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</si>
  <si>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</si>
  <si>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</si>
  <si>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</si>
  <si>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</si>
  <si>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</si>
  <si>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</si>
  <si>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</si>
  <si>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</si>
  <si>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</si>
  <si>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</si>
  <si>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</si>
  <si>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</si>
  <si>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</si>
  <si>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</si>
  <si>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</si>
  <si>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</si>
  <si>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</si>
  <si>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</si>
  <si>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</si>
  <si>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</si>
  <si>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</si>
  <si>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</si>
  <si>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</si>
  <si>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</si>
  <si>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</si>
  <si>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</si>
  <si>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</si>
  <si>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</si>
  <si>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</si>
  <si>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</si>
  <si>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</si>
  <si>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</si>
  <si>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</si>
  <si>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</si>
  <si>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</si>
  <si>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</si>
  <si>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</si>
  <si>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</si>
  <si>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</si>
  <si>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</si>
  <si>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</si>
  <si>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</si>
  <si>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</si>
  <si>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</si>
  <si>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</si>
  <si>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</si>
  <si>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</si>
  <si>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</si>
  <si>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</si>
  <si>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</si>
  <si>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</si>
  <si>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</si>
  <si>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</si>
  <si>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</si>
  <si>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</si>
  <si>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</si>
  <si>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</si>
  <si>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</si>
  <si>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</si>
  <si>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</si>
  <si>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</si>
  <si>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</si>
  <si>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</si>
  <si>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</si>
  <si>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</si>
  <si>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</si>
  <si>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</si>
  <si>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</si>
  <si>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</si>
  <si>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</si>
  <si>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</si>
  <si>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</si>
  <si>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</si>
  <si>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</si>
  <si>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</si>
  <si>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</si>
  <si>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</si>
  <si>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</si>
  <si>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</si>
  <si>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</si>
  <si>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</si>
  <si>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</si>
  <si>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</si>
  <si>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</si>
  <si>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</si>
  <si>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</si>
  <si>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</si>
  <si>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</si>
  <si>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</si>
  <si>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</si>
  <si>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</si>
  <si>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</si>
  <si>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</si>
  <si>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</si>
  <si>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</si>
  <si>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</si>
  <si>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</si>
  <si>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</si>
  <si>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</si>
  <si>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</si>
  <si>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</si>
  <si>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</si>
  <si>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</si>
  <si>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</si>
  <si>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</si>
  <si>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</si>
  <si>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</si>
  <si>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</si>
  <si>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</si>
  <si>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</si>
  <si>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</si>
  <si>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</si>
  <si>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</si>
  <si>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</si>
  <si>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</si>
  <si>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</si>
  <si>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</si>
  <si>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</si>
  <si>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</si>
  <si>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</si>
  <si>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</si>
  <si>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FCK</t>
  </si>
  <si>
    <t>5811/12US</t>
  </si>
  <si>
    <t>Open</t>
  </si>
  <si>
    <t>Dbl - Closed</t>
  </si>
  <si>
    <t>8.79 - 8.79</t>
  </si>
  <si>
    <t>2.83 - 2.00</t>
  </si>
  <si>
    <t>Magnetic</t>
  </si>
  <si>
    <t>11 x 10</t>
  </si>
  <si>
    <t>1 ~ 14</t>
  </si>
  <si>
    <t>(.072"x.162")x1</t>
  </si>
  <si>
    <t>(.072"x.182")x1</t>
  </si>
  <si>
    <t>Delta</t>
  </si>
  <si>
    <t>(105°C)</t>
  </si>
  <si>
    <t>CU</t>
  </si>
  <si>
    <t>AL</t>
  </si>
  <si>
    <t>ERD1: 280.0</t>
  </si>
  <si>
    <t>ERD2: 420.0</t>
  </si>
  <si>
    <t>LB:  -</t>
  </si>
  <si>
    <t>LER:  -</t>
  </si>
  <si>
    <t>UB: 400.9</t>
  </si>
  <si>
    <t>UER: 2750.0</t>
  </si>
  <si>
    <t>ERT: 40.0</t>
  </si>
  <si>
    <t>(Coeff.: 0.2195)</t>
  </si>
  <si>
    <t>Skew R.: 0.00</t>
  </si>
  <si>
    <t>G:\DESPRO\RAT FILES\1M4800U_Rev1.rat</t>
  </si>
  <si>
    <t>2-2-2-0-1-2</t>
  </si>
  <si>
    <t>B.L.-1  P.F.-1</t>
  </si>
  <si>
    <t>6724.0 / 7666.1</t>
  </si>
  <si>
    <t>6816.9 / 7382.6</t>
  </si>
  <si>
    <t>11048.1 / 7611.2</t>
  </si>
  <si>
    <t>4000.0 / 3990.0</t>
  </si>
  <si>
    <t>6762.4 / 3400.0</t>
  </si>
  <si>
    <t>1126.4 / 566.3</t>
  </si>
  <si>
    <t>5636.1 / 2833.7</t>
  </si>
  <si>
    <t>1.50 / 0.75</t>
  </si>
  <si>
    <t>77 / 76</t>
  </si>
  <si>
    <t>Temp. Rise @ 100%:</t>
  </si>
  <si>
    <t>Stray Loss</t>
  </si>
  <si>
    <t>0.926 / 0.914</t>
  </si>
  <si>
    <t>0.955 / 0.942</t>
  </si>
  <si>
    <t>0.961 / 0.948</t>
  </si>
  <si>
    <t>0.962 / 0.949</t>
  </si>
  <si>
    <t>0.960 / 0.947</t>
  </si>
  <si>
    <t>0.669 / 0.657</t>
  </si>
  <si>
    <t>0.844 / 0.829</t>
  </si>
  <si>
    <t>0.894 / 0.879</t>
  </si>
  <si>
    <t>0.911 / 0.895</t>
  </si>
  <si>
    <t>0.914 / 0.898</t>
  </si>
  <si>
    <t>34.76 / 35.85</t>
  </si>
  <si>
    <t>53.45 / 55.12</t>
  </si>
  <si>
    <t>75.15 / 77.50</t>
  </si>
  <si>
    <t>98.32 / 101.40</t>
  </si>
  <si>
    <t>122.72 / 126.57</t>
  </si>
  <si>
    <t>3.70 / 3.81</t>
  </si>
  <si>
    <t>UB: 3.64 / 3.76</t>
  </si>
  <si>
    <t>UER: 1.87 / 1.92</t>
  </si>
  <si>
    <t>1795.1 / 1794.7</t>
  </si>
  <si>
    <t>1790.3 / 1790.0</t>
  </si>
  <si>
    <t>1785.4 / 1785.1</t>
  </si>
  <si>
    <t>1780.3 / 1780.0</t>
  </si>
  <si>
    <t>1775.3 / 1775.0</t>
  </si>
  <si>
    <t>0.0027 / 0.0029</t>
  </si>
  <si>
    <t>0.0054 / 0.0056</t>
  </si>
  <si>
    <t>0.0081 / 0.0083</t>
  </si>
  <si>
    <t>0.0109 / 0.0111</t>
  </si>
  <si>
    <t>0.0137 / 0.0139</t>
  </si>
  <si>
    <t>13.514 / 13.268</t>
  </si>
  <si>
    <t>0.563 / 0.553</t>
  </si>
  <si>
    <t>23.43 / 23.00</t>
  </si>
  <si>
    <t>613.5 / 729.3</t>
  </si>
  <si>
    <t>624.0 / 741.8</t>
  </si>
  <si>
    <t>370.5 / 440.0</t>
  </si>
  <si>
    <t>113.5 / 134.8</t>
  </si>
  <si>
    <t>252.9 / 294.2</t>
  </si>
  <si>
    <t>Correlated to: 1M4800U.dat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</si>
  <si>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</si>
  <si>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</si>
  <si>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</si>
  <si>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</si>
  <si>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</si>
  <si>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</si>
  <si>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</si>
  <si>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</si>
  <si>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</si>
  <si>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</si>
  <si>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</si>
  <si>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</si>
  <si>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</si>
  <si>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</si>
  <si>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</si>
  <si>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</si>
  <si>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</si>
  <si>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</si>
  <si>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</si>
  <si>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</si>
  <si>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</si>
  <si>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</si>
  <si>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</si>
  <si>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</si>
  <si>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</si>
  <si>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</si>
  <si>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</si>
  <si>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</si>
  <si>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</si>
  <si>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</si>
  <si>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</si>
  <si>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</si>
  <si>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</si>
  <si>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</si>
  <si>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</si>
  <si>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</si>
  <si>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</si>
  <si>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</si>
  <si>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</si>
  <si>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</si>
  <si>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</si>
  <si>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</si>
  <si>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</si>
  <si>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</si>
  <si>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</si>
  <si>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</si>
  <si>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</si>
  <si>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</si>
  <si>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</si>
  <si>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</si>
  <si>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</si>
  <si>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</si>
  <si>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</si>
  <si>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</si>
  <si>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</si>
  <si>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</si>
  <si>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</si>
  <si>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</si>
  <si>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</si>
  <si>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</si>
  <si>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</si>
  <si>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</si>
  <si>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</si>
  <si>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</si>
  <si>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</si>
  <si>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</si>
  <si>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</si>
  <si>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</si>
  <si>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</si>
  <si>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</si>
  <si>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</si>
  <si>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</si>
  <si>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</si>
  <si>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</si>
  <si>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</si>
  <si>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</si>
  <si>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</si>
  <si>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</si>
  <si>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</si>
  <si>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</si>
  <si>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</si>
  <si>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</si>
  <si>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</si>
  <si>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</si>
  <si>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</si>
  <si>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</si>
  <si>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</si>
  <si>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</si>
  <si>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</si>
  <si>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</si>
  <si>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</si>
  <si>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</si>
  <si>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</si>
  <si>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</si>
  <si>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</si>
  <si>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</si>
  <si>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</si>
  <si>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</si>
  <si>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</si>
  <si>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</si>
  <si>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</si>
  <si>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</si>
  <si>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</si>
  <si>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</si>
  <si>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</si>
  <si>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</si>
  <si>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</si>
  <si>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</si>
  <si>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</si>
  <si>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</si>
  <si>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</si>
  <si>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</si>
  <si>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1M4800U_Rev1</t>
  </si>
  <si>
    <t>Type: TIKK - Form: FCK - 4 Pole - 800 HP - 4000 V - 60 Hz - 5811/12US - Class F</t>
  </si>
  <si>
    <t>22 x 2</t>
  </si>
  <si>
    <t>1 x Delta</t>
  </si>
  <si>
    <t xml:space="preserve"> - </t>
  </si>
  <si>
    <t>77 / 102</t>
  </si>
  <si>
    <t>381 / 2750</t>
  </si>
  <si>
    <t>376 / 192</t>
  </si>
  <si>
    <t>8005TCAL11E-A</t>
  </si>
  <si>
    <t>Matt.O</t>
  </si>
  <si>
    <t>LINK:</t>
  </si>
  <si>
    <t>1M4800U.rat with 1M4800U.dat</t>
  </si>
  <si>
    <t>Run 1M4800U_Rev1.rat</t>
  </si>
  <si>
    <t>Top-Hat TEAAC A/F Bearing</t>
  </si>
  <si>
    <t>REV.1 UPDATE WIRE FROM (0.072"x 0.182") x 2</t>
  </si>
  <si>
    <t>Z.X 09/02/21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</si>
  <si>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</si>
  <si>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</si>
  <si>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</si>
  <si>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</si>
  <si>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</si>
  <si>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</si>
  <si>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</si>
  <si>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</si>
  <si>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</si>
  <si>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474.6 kg.m²</t>
  </si>
  <si>
    <t>Acceleration Data (FV V)</t>
  </si>
  <si>
    <t>7.7 (s)</t>
  </si>
  <si>
    <t>326.5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</si>
  <si>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</si>
  <si>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</si>
  <si>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</si>
  <si>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</si>
  <si>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</si>
  <si>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</si>
  <si>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</si>
  <si>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</si>
  <si>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</si>
  <si>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</si>
  <si>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</si>
  <si>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</si>
  <si>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</si>
  <si>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</si>
  <si>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</si>
  <si>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</si>
  <si>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</si>
  <si>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</si>
  <si>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</si>
  <si>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</si>
  <si>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</si>
  <si>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</si>
  <si>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</si>
  <si>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</si>
  <si>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</si>
  <si>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</si>
  <si>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</si>
  <si>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</si>
  <si>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</si>
  <si>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</si>
  <si>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</si>
  <si>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</si>
  <si>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</si>
  <si>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</si>
  <si>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</si>
  <si>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</si>
  <si>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</si>
  <si>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</si>
  <si>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</si>
  <si>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- 800.0 HP - 1800 RPM - 4000 V - 60 Hz</t>
  </si>
  <si>
    <t>0~180</t>
  </si>
  <si>
    <t>180~360</t>
  </si>
  <si>
    <t>360~540</t>
  </si>
  <si>
    <t>540~720</t>
  </si>
  <si>
    <t>720~900</t>
  </si>
  <si>
    <t>900~1103</t>
  </si>
  <si>
    <t>1103~1305</t>
  </si>
  <si>
    <t>1305~1508</t>
  </si>
  <si>
    <t>1508~1609</t>
  </si>
  <si>
    <t>1609~1710</t>
  </si>
  <si>
    <t>1710~1755</t>
  </si>
  <si>
    <t>1755~1780</t>
  </si>
  <si>
    <t/>
  </si>
  <si>
    <t>Load Type: Fan / Pump - 2815.4 lb-ft²</t>
  </si>
  <si>
    <t>124.7</t>
  </si>
  <si>
    <t>115.9</t>
  </si>
  <si>
    <t>110.5</t>
  </si>
  <si>
    <t>107.2</t>
  </si>
  <si>
    <t>105.5</t>
  </si>
  <si>
    <t>107.3</t>
  </si>
  <si>
    <t>115.2</t>
  </si>
  <si>
    <t>134.5</t>
  </si>
  <si>
    <t>166.9</t>
  </si>
  <si>
    <t>237.8</t>
  </si>
  <si>
    <t>280.5</t>
  </si>
  <si>
    <t>185.5</t>
  </si>
  <si>
    <t>22.5</t>
  </si>
  <si>
    <t>11.5</t>
  </si>
  <si>
    <t>7.0</t>
  </si>
  <si>
    <t>11.0</t>
  </si>
  <si>
    <t>18.7</t>
  </si>
  <si>
    <t>30.3</t>
  </si>
  <si>
    <t>47.8</t>
  </si>
  <si>
    <t>65.3</t>
  </si>
  <si>
    <t>79.7</t>
  </si>
  <si>
    <t>90.4</t>
  </si>
  <si>
    <t>96.4</t>
  </si>
  <si>
    <t>0.755</t>
  </si>
  <si>
    <t>0.739</t>
  </si>
  <si>
    <t>0.745</t>
  </si>
  <si>
    <t>0.770</t>
  </si>
  <si>
    <t>0.816</t>
  </si>
  <si>
    <t>0.978</t>
  </si>
  <si>
    <t>1.022</t>
  </si>
  <si>
    <t>1.000</t>
  </si>
  <si>
    <t>0.427</t>
  </si>
  <si>
    <t>0.274</t>
  </si>
  <si>
    <t>0.101</t>
  </si>
  <si>
    <t>0.122</t>
  </si>
  <si>
    <t>726.3</t>
  </si>
  <si>
    <t>720.4</t>
  </si>
  <si>
    <t>714.0</t>
  </si>
  <si>
    <t>706.8</t>
  </si>
  <si>
    <t>698.3</t>
  </si>
  <si>
    <t>688.0</t>
  </si>
  <si>
    <t>674.2</t>
  </si>
  <si>
    <t>650.7</t>
  </si>
  <si>
    <t>618.8</t>
  </si>
  <si>
    <t>568.2</t>
  </si>
  <si>
    <t>451.4</t>
  </si>
  <si>
    <t>231.1</t>
  </si>
  <si>
    <t>279.0</t>
  </si>
  <si>
    <t>269.0</t>
  </si>
  <si>
    <t>266.8</t>
  </si>
  <si>
    <t>270.3</t>
  </si>
  <si>
    <t>327.4</t>
  </si>
  <si>
    <t>330.9</t>
  </si>
  <si>
    <t>308.6</t>
  </si>
  <si>
    <t>119.8</t>
  </si>
  <si>
    <t>69.3</t>
  </si>
  <si>
    <t>20.1</t>
  </si>
  <si>
    <t>0.9</t>
  </si>
  <si>
    <t>549.5</t>
  </si>
  <si>
    <t>444.4</t>
  </si>
  <si>
    <t>375.8</t>
  </si>
  <si>
    <t>327.1</t>
  </si>
  <si>
    <t>290.9</t>
  </si>
  <si>
    <t>255.7</t>
  </si>
  <si>
    <t>216.3</t>
  </si>
  <si>
    <t>165.3</t>
  </si>
  <si>
    <t>102.4</t>
  </si>
  <si>
    <t>53.9</t>
  </si>
  <si>
    <t>32.9</t>
  </si>
  <si>
    <t>14.4</t>
  </si>
  <si>
    <t>2543 kW / s</t>
  </si>
  <si>
    <t>2411 kW / s</t>
  </si>
  <si>
    <t>418 kW / s</t>
  </si>
  <si>
    <t>35°C</t>
  </si>
  <si>
    <t>108°C</t>
  </si>
  <si>
    <t>26°C</t>
  </si>
  <si>
    <t>70°C</t>
  </si>
  <si>
    <t>216°C</t>
  </si>
  <si>
    <t>52°C</t>
  </si>
  <si>
    <t>Acceleration Time:  7.7 s</t>
  </si>
  <si>
    <t>6.1°C / s</t>
  </si>
  <si>
    <t>29.6°C / s</t>
  </si>
  <si>
    <t>7.2°C / s</t>
  </si>
  <si>
    <t>443.7 kW</t>
  </si>
  <si>
    <t>661.2 kW</t>
  </si>
  <si>
    <t>114.7 kW</t>
  </si>
  <si>
    <t>26.2 s</t>
  </si>
  <si>
    <t>8.8 s</t>
  </si>
  <si>
    <t>25.1 s</t>
  </si>
  <si>
    <t>77°C    +</t>
  </si>
  <si>
    <t>105°C    +</t>
  </si>
  <si>
    <t>83°C    +</t>
  </si>
  <si>
    <t>155°C   +</t>
  </si>
  <si>
    <t>75°C   +</t>
  </si>
  <si>
    <t>13.6 s</t>
  </si>
  <si>
    <t>5.3 s</t>
  </si>
  <si>
    <t>10.5 s</t>
  </si>
  <si>
    <t>10.4 s</t>
  </si>
  <si>
    <t>4.4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</si>
  <si>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</si>
  <si>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</si>
  <si>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</si>
  <si>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</si>
  <si>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</si>
  <si>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</si>
  <si>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</si>
  <si>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</si>
  <si>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</si>
  <si>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</si>
  <si>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</si>
  <si>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</si>
  <si>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</si>
  <si>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</si>
  <si>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</si>
  <si>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</si>
  <si>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</si>
  <si>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</si>
  <si>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</si>
  <si>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</si>
  <si>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</si>
  <si>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296.9 lb-ft²</t>
  </si>
  <si>
    <t>2815.4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</si>
  <si>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</si>
  <si>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</si>
  <si>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</si>
  <si>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</si>
  <si>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</si>
  <si>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</si>
  <si>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</si>
  <si>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</si>
  <si>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</si>
  <si>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</si>
  <si>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</si>
  <si>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</si>
  <si>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</si>
  <si>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</si>
  <si>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</si>
  <si>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</si>
  <si>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</si>
  <si>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</si>
  <si>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</si>
  <si>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</si>
  <si>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</si>
  <si>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</si>
  <si>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</si>
  <si>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</si>
  <si>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</si>
  <si>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</si>
  <si>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</si>
  <si>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</si>
  <si>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</si>
  <si>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</si>
  <si>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</si>
  <si>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</si>
  <si>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</si>
  <si>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</si>
  <si>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</si>
  <si>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</si>
  <si>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</si>
  <si>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</si>
  <si>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</si>
  <si>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</si>
  <si>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</si>
  <si>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</si>
  <si>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</si>
  <si>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</si>
  <si>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</si>
  <si>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</si>
  <si>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</si>
  <si>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</si>
  <si>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</si>
  <si>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</si>
  <si>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</si>
  <si>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</si>
  <si>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</si>
  <si>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</si>
  <si>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</si>
  <si>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</si>
  <si>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</si>
  <si>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</si>
  <si>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</si>
  <si>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</si>
  <si>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</si>
  <si>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</si>
  <si>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</si>
  <si>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</si>
  <si>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</si>
  <si>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</si>
  <si>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</si>
  <si>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</si>
  <si>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</si>
  <si>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</si>
  <si>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</si>
  <si>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</si>
  <si>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</si>
  <si>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</si>
  <si>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</si>
  <si>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</si>
  <si>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</si>
  <si>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</si>
  <si>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</si>
  <si>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</si>
  <si>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</si>
  <si>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</si>
  <si>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</si>
  <si>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</si>
  <si>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</si>
  <si>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</si>
  <si>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</si>
  <si>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</si>
  <si>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</si>
  <si>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</si>
  <si>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</si>
  <si>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</si>
  <si>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</si>
  <si>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</si>
  <si>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</si>
  <si>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</si>
  <si>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</si>
  <si>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</si>
  <si>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</si>
  <si>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</si>
  <si>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</si>
  <si>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</si>
  <si>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</si>
  <si>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</si>
  <si>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</si>
  <si>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</si>
  <si>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</si>
  <si>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</si>
  <si>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</si>
  <si>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</si>
  <si>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</si>
  <si>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</si>
  <si>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</si>
  <si>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</si>
  <si>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</si>
  <si>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</si>
  <si>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FCK1</t>
  </si>
  <si>
    <t>5812US</t>
  </si>
  <si>
    <t>1.15</t>
  </si>
  <si>
    <t>ADJUSTED</t>
  </si>
  <si>
    <t>ORIGINAL</t>
  </si>
  <si>
    <t>SYNC SPEED</t>
  </si>
  <si>
    <t>NEW SPEED LOWER RANGE</t>
  </si>
  <si>
    <t>NEW kW UPPER RANGE</t>
  </si>
  <si>
    <t>SPEED</t>
  </si>
  <si>
    <t>KW</t>
  </si>
  <si>
    <t>1M4800U</t>
  </si>
  <si>
    <t>TEAAC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</si>
</sst>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  <numFmt numFmtId="192" formatCode="General_)"/>
  </numFmts>
  <fonts count="78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i/>
      <sz val="10"/>
      <name val="Times New Roman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192" fontId="65" fillId="0" borderId="0"/>
  </cellStyleXfs>
  <cellXfs count="709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82" fontId="2" fillId="0" borderId="0" xfId="0" applyNumberFormat="1" applyFont="1" applyFill="1" applyBorder="1" applyAlignment="1">
      <alignment horizontal="center"/>
    </xf>
    <xf numFmtId="181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84" fontId="1" fillId="0" borderId="9" xfId="0" applyNumberFormat="1" applyFont="1" applyBorder="1" applyAlignment="1">
      <alignment horizontal="center"/>
    </xf>
    <xf numFmtId="183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84" fontId="1" fillId="0" borderId="33" xfId="0" applyNumberFormat="1" applyFont="1" applyBorder="1" applyAlignment="1">
      <alignment horizontal="center"/>
    </xf>
    <xf numFmtId="0" fontId="1" fillId="0" borderId="0" xfId="0" applyFont="1"/>
    <xf numFmtId="184" fontId="1" fillId="0" borderId="0" xfId="0" applyNumberFormat="1" applyFont="1"/>
    <xf numFmtId="184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83" fontId="22" fillId="0" borderId="1" xfId="0" applyNumberFormat="1" applyFont="1" applyBorder="1" applyAlignment="1">
      <alignment horizontal="center"/>
    </xf>
    <xf numFmtId="183" fontId="22" fillId="0" borderId="9" xfId="0" applyNumberFormat="1" applyFont="1" applyBorder="1" applyAlignment="1">
      <alignment horizontal="center"/>
    </xf>
    <xf numFmtId="182" fontId="22" fillId="0" borderId="1" xfId="0" applyNumberFormat="1" applyFont="1" applyBorder="1" applyAlignment="1">
      <alignment horizontal="center"/>
    </xf>
    <xf numFmtId="182" fontId="22" fillId="0" borderId="9" xfId="0" applyNumberFormat="1" applyFont="1" applyBorder="1" applyAlignment="1">
      <alignment horizontal="center"/>
    </xf>
    <xf numFmtId="184" fontId="22" fillId="0" borderId="1" xfId="0" applyNumberFormat="1" applyFont="1" applyBorder="1" applyAlignment="1">
      <alignment horizontal="center"/>
    </xf>
    <xf numFmtId="184" fontId="22" fillId="0" borderId="9" xfId="0" applyNumberFormat="1" applyFont="1" applyBorder="1" applyAlignment="1">
      <alignment horizontal="center"/>
    </xf>
    <xf numFmtId="183" fontId="22" fillId="0" borderId="11" xfId="0" applyNumberFormat="1" applyFont="1" applyBorder="1" applyAlignment="1">
      <alignment horizontal="center"/>
    </xf>
    <xf numFmtId="183" fontId="23" fillId="0" borderId="31" xfId="0" applyNumberFormat="1" applyFont="1" applyBorder="1" applyAlignment="1">
      <alignment horizontal="center"/>
    </xf>
    <xf numFmtId="183" fontId="23" fillId="0" borderId="51" xfId="0" applyNumberFormat="1" applyFont="1" applyBorder="1" applyAlignment="1">
      <alignment horizontal="center"/>
    </xf>
    <xf numFmtId="183" fontId="23" fillId="0" borderId="32" xfId="0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 applyFill="1"/>
    <xf numFmtId="0" fontId="27" fillId="0" borderId="0" xfId="1" applyFont="1" applyFill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 applyFill="1"/>
    <xf numFmtId="0" fontId="33" fillId="0" borderId="52" xfId="1" applyFont="1" applyFill="1" applyBorder="1"/>
    <xf numFmtId="0" fontId="19" fillId="0" borderId="54" xfId="1" applyFont="1" applyFill="1" applyBorder="1"/>
    <xf numFmtId="0" fontId="33" fillId="0" borderId="54" xfId="1" applyFont="1" applyFill="1" applyBorder="1"/>
    <xf numFmtId="0" fontId="34" fillId="0" borderId="0" xfId="1" applyFont="1" applyFill="1"/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Border="1" applyAlignment="1">
      <alignment horizontal="left"/>
    </xf>
    <xf numFmtId="0" fontId="31" fillId="5" borderId="0" xfId="1" applyFont="1" applyFill="1" applyBorder="1"/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Fill="1" applyBorder="1"/>
    <xf numFmtId="0" fontId="19" fillId="0" borderId="21" xfId="1" applyFont="1" applyFill="1" applyBorder="1"/>
    <xf numFmtId="0" fontId="33" fillId="0" borderId="21" xfId="1" applyFont="1" applyFill="1" applyBorder="1"/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3" fillId="0" borderId="46" xfId="1" applyFont="1" applyFill="1" applyBorder="1"/>
    <xf numFmtId="0" fontId="33" fillId="0" borderId="24" xfId="1" applyFont="1" applyFill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Fill="1" applyBorder="1"/>
    <xf numFmtId="184" fontId="38" fillId="0" borderId="65" xfId="1" applyNumberFormat="1" applyFont="1" applyFill="1" applyBorder="1" applyAlignment="1">
      <alignment horizontal="center"/>
    </xf>
    <xf numFmtId="184" fontId="38" fillId="0" borderId="66" xfId="1" applyNumberFormat="1" applyFont="1" applyFill="1" applyBorder="1" applyAlignment="1">
      <alignment horizontal="center"/>
    </xf>
    <xf numFmtId="0" fontId="29" fillId="0" borderId="80" xfId="1" applyFont="1" applyFill="1" applyBorder="1" applyAlignment="1">
      <alignment horizontal="left"/>
    </xf>
    <xf numFmtId="0" fontId="29" fillId="0" borderId="81" xfId="1" applyFont="1" applyFill="1" applyBorder="1" applyAlignment="1">
      <alignment horizontal="left"/>
    </xf>
    <xf numFmtId="0" fontId="29" fillId="0" borderId="82" xfId="1" applyFont="1" applyFill="1" applyBorder="1" applyAlignment="1">
      <alignment horizontal="left"/>
    </xf>
    <xf numFmtId="0" fontId="19" fillId="0" borderId="24" xfId="1" applyFont="1" applyFill="1" applyBorder="1"/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Fill="1" applyBorder="1"/>
    <xf numFmtId="0" fontId="38" fillId="0" borderId="92" xfId="1" applyFont="1" applyFill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3" fillId="0" borderId="24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84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4" fillId="0" borderId="107" xfId="1" applyFont="1" applyFill="1" applyBorder="1" applyAlignment="1">
      <alignment horizontal="left"/>
    </xf>
    <xf numFmtId="0" fontId="34" fillId="0" borderId="77" xfId="1" applyFont="1" applyFill="1" applyBorder="1" applyAlignment="1">
      <alignment horizontal="left"/>
    </xf>
    <xf numFmtId="0" fontId="34" fillId="0" borderId="78" xfId="1" applyFont="1" applyFill="1" applyBorder="1"/>
    <xf numFmtId="0" fontId="34" fillId="0" borderId="79" xfId="1" applyFont="1" applyFill="1" applyBorder="1"/>
    <xf numFmtId="0" fontId="29" fillId="0" borderId="102" xfId="1" applyFont="1" applyFill="1" applyBorder="1" applyAlignment="1">
      <alignment horizontal="left"/>
    </xf>
    <xf numFmtId="0" fontId="29" fillId="0" borderId="62" xfId="1" applyFont="1" applyFill="1" applyBorder="1" applyAlignment="1">
      <alignment horizontal="left"/>
    </xf>
    <xf numFmtId="0" fontId="34" fillId="0" borderId="45" xfId="1" applyFont="1" applyFill="1" applyBorder="1" applyAlignment="1">
      <alignment horizontal="center"/>
    </xf>
    <xf numFmtId="0" fontId="34" fillId="0" borderId="0" xfId="1" applyFont="1" applyFill="1" applyBorder="1" applyAlignment="1">
      <alignment horizontal="center"/>
    </xf>
    <xf numFmtId="0" fontId="34" fillId="0" borderId="108" xfId="1" applyFont="1" applyFill="1" applyBorder="1" applyAlignment="1">
      <alignment horizontal="center"/>
    </xf>
    <xf numFmtId="0" fontId="34" fillId="0" borderId="87" xfId="1" applyFont="1" applyFill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34" fillId="0" borderId="109" xfId="1" applyFont="1" applyFill="1" applyBorder="1" applyAlignment="1">
      <alignment horizontal="center"/>
    </xf>
    <xf numFmtId="0" fontId="34" fillId="0" borderId="40" xfId="1" applyFont="1" applyFill="1" applyBorder="1" applyAlignment="1">
      <alignment horizontal="center"/>
    </xf>
    <xf numFmtId="0" fontId="34" fillId="0" borderId="39" xfId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29" fillId="0" borderId="38" xfId="1" applyFont="1" applyFill="1" applyBorder="1" applyAlignment="1">
      <alignment horizontal="left"/>
    </xf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84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Fill="1" applyAlignment="1">
      <alignment horizontal="left"/>
    </xf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1" fillId="5" borderId="83" xfId="1" applyFont="1" applyFill="1" applyBorder="1"/>
    <xf numFmtId="0" fontId="34" fillId="5" borderId="72" xfId="1" applyFont="1" applyFill="1" applyBorder="1" applyAlignment="1">
      <alignment horizontal="left"/>
    </xf>
    <xf numFmtId="0" fontId="34" fillId="5" borderId="84" xfId="1" applyFont="1" applyFill="1" applyBorder="1" applyAlignment="1">
      <alignment horizontal="left"/>
    </xf>
    <xf numFmtId="0" fontId="31" fillId="5" borderId="68" xfId="1" applyFont="1" applyFill="1" applyBorder="1" applyAlignment="1">
      <alignment horizontal="left"/>
    </xf>
    <xf numFmtId="0" fontId="31" fillId="5" borderId="74" xfId="1" applyFont="1" applyFill="1" applyBorder="1" applyAlignment="1">
      <alignment horizontal="left"/>
    </xf>
    <xf numFmtId="0" fontId="46" fillId="0" borderId="0" xfId="1" applyFont="1" applyFill="1"/>
    <xf numFmtId="0" fontId="34" fillId="0" borderId="46" xfId="1" applyFont="1" applyFill="1" applyBorder="1" applyAlignment="1">
      <alignment horizontal="center"/>
    </xf>
    <xf numFmtId="0" fontId="34" fillId="0" borderId="23" xfId="1" applyFont="1" applyFill="1" applyBorder="1" applyAlignment="1">
      <alignment horizontal="center"/>
    </xf>
    <xf numFmtId="0" fontId="34" fillId="0" borderId="48" xfId="1" applyFont="1" applyFill="1" applyBorder="1" applyAlignment="1">
      <alignment horizontal="center"/>
    </xf>
    <xf numFmtId="0" fontId="36" fillId="0" borderId="116" xfId="1" applyFont="1" applyFill="1" applyBorder="1"/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36" fillId="5" borderId="119" xfId="1" applyFont="1" applyFill="1" applyBorder="1"/>
    <xf numFmtId="0" fontId="31" fillId="5" borderId="45" xfId="1" applyFont="1" applyFill="1" applyBorder="1"/>
    <xf numFmtId="0" fontId="36" fillId="5" borderId="121" xfId="1" applyFont="1" applyFill="1" applyBorder="1"/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6" fillId="5" borderId="23" xfId="1" applyFont="1" applyFill="1" applyBorder="1"/>
    <xf numFmtId="0" fontId="31" fillId="0" borderId="23" xfId="1" applyFont="1" applyFill="1" applyBorder="1"/>
    <xf numFmtId="0" fontId="31" fillId="5" borderId="125" xfId="1" applyFont="1" applyFill="1" applyBorder="1" applyAlignment="1">
      <alignment horizontal="left"/>
    </xf>
    <xf numFmtId="0" fontId="31" fillId="5" borderId="126" xfId="1" applyFont="1" applyFill="1" applyBorder="1" applyAlignment="1">
      <alignment horizontal="left"/>
    </xf>
    <xf numFmtId="0" fontId="31" fillId="0" borderId="0" xfId="1" applyFont="1" applyFill="1"/>
    <xf numFmtId="0" fontId="31" fillId="0" borderId="0" xfId="1" applyFont="1" applyFill="1" applyBorder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0" fillId="0" borderId="41" xfId="2" applyFont="1" applyBorder="1" applyAlignment="1">
      <alignment horizontal="center"/>
    </xf>
    <xf numFmtId="0" fontId="1" fillId="0" borderId="0" xfId="2"/>
    <xf numFmtId="0" fontId="51" fillId="0" borderId="45" xfId="2" applyFont="1" applyBorder="1" applyAlignment="1">
      <alignment horizontal="center"/>
    </xf>
    <xf numFmtId="0" fontId="51" fillId="0" borderId="0" xfId="2" applyFont="1" applyBorder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0" fillId="0" borderId="127" xfId="2" applyFont="1" applyBorder="1" applyAlignment="1">
      <alignment horizontal="center"/>
    </xf>
    <xf numFmtId="0" fontId="51" fillId="0" borderId="45" xfId="2" applyFont="1" applyBorder="1" applyAlignment="1">
      <alignment horizontal="center"/>
    </xf>
    <xf numFmtId="0" fontId="51" fillId="0" borderId="0" xfId="2" applyFont="1" applyBorder="1" applyAlignment="1">
      <alignment horizontal="center"/>
    </xf>
    <xf numFmtId="0" fontId="1" fillId="0" borderId="45" xfId="2" applyBorder="1"/>
    <xf numFmtId="0" fontId="52" fillId="0" borderId="0" xfId="2" applyFont="1"/>
    <xf numFmtId="0" fontId="1" fillId="0" borderId="127" xfId="2" applyBorder="1"/>
    <xf numFmtId="0" fontId="50" fillId="0" borderId="0" xfId="2" applyFont="1"/>
    <xf numFmtId="0" fontId="50" fillId="0" borderId="127" xfId="2" applyFont="1" applyBorder="1"/>
    <xf numFmtId="19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0" fillId="0" borderId="1" xfId="2" applyNumberFormat="1" applyFont="1" applyBorder="1"/>
    <xf numFmtId="191" fontId="50" fillId="0" borderId="1" xfId="2" applyNumberFormat="1" applyFont="1" applyBorder="1"/>
    <xf numFmtId="0" fontId="1" fillId="0" borderId="1" xfId="2" applyBorder="1"/>
    <xf numFmtId="0" fontId="1" fillId="0" borderId="9" xfId="2" applyBorder="1"/>
    <xf numFmtId="191" fontId="1" fillId="0" borderId="1" xfId="2" applyNumberFormat="1" applyBorder="1"/>
    <xf numFmtId="0" fontId="1" fillId="0" borderId="1" xfId="2" applyBorder="1" applyAlignment="1">
      <alignment horizontal="center"/>
    </xf>
    <xf numFmtId="190" fontId="1" fillId="0" borderId="18" xfId="2" applyNumberFormat="1" applyBorder="1"/>
    <xf numFmtId="49" fontId="1" fillId="0" borderId="26" xfId="2" applyNumberFormat="1" applyBorder="1"/>
    <xf numFmtId="19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1" fillId="0" borderId="53" xfId="2" applyFont="1" applyBorder="1" applyAlignment="1">
      <alignment horizontal="center"/>
    </xf>
    <xf numFmtId="0" fontId="50" fillId="0" borderId="129" xfId="2" applyFont="1" applyBorder="1" applyAlignment="1">
      <alignment horizontal="center"/>
    </xf>
    <xf numFmtId="0" fontId="50" fillId="0" borderId="15" xfId="2" applyFont="1" applyBorder="1" applyAlignment="1">
      <alignment horizontal="center"/>
    </xf>
    <xf numFmtId="0" fontId="50" fillId="0" borderId="7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130" xfId="2" applyFont="1" applyBorder="1" applyAlignment="1">
      <alignment horizontal="center"/>
    </xf>
    <xf numFmtId="0" fontId="50" fillId="0" borderId="8" xfId="2" applyFont="1" applyBorder="1" applyAlignment="1">
      <alignment horizontal="center"/>
    </xf>
    <xf numFmtId="49" fontId="50" fillId="0" borderId="2" xfId="2" applyNumberFormat="1" applyFont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0" fontId="1" fillId="0" borderId="55" xfId="2" applyBorder="1" applyAlignment="1">
      <alignment horizontal="left"/>
    </xf>
    <xf numFmtId="190" fontId="1" fillId="0" borderId="50" xfId="2" applyNumberFormat="1" applyBorder="1" applyAlignment="1">
      <alignment horizontal="center"/>
    </xf>
    <xf numFmtId="190" fontId="1" fillId="0" borderId="13" xfId="2" applyNumberFormat="1" applyBorder="1" applyAlignment="1">
      <alignment horizontal="center"/>
    </xf>
    <xf numFmtId="19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49" fontId="1" fillId="0" borderId="3" xfId="2" applyNumberFormat="1" applyBorder="1"/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0" fontId="1" fillId="0" borderId="132" xfId="2" applyBorder="1" applyAlignment="1">
      <alignment horizontal="left"/>
    </xf>
    <xf numFmtId="190" fontId="1" fillId="0" borderId="17" xfId="2" applyNumberFormat="1" applyBorder="1" applyAlignment="1">
      <alignment horizontal="center"/>
    </xf>
    <xf numFmtId="190" fontId="1" fillId="0" borderId="131" xfId="2" applyNumberFormat="1" applyBorder="1" applyAlignment="1">
      <alignment horizontal="center"/>
    </xf>
    <xf numFmtId="19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49" fontId="1" fillId="0" borderId="4" xfId="2" applyNumberFormat="1" applyBorder="1"/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0" fontId="1" fillId="0" borderId="133" xfId="2" applyBorder="1" applyAlignment="1">
      <alignment horizontal="left"/>
    </xf>
    <xf numFmtId="190" fontId="1" fillId="0" borderId="31" xfId="2" applyNumberFormat="1" applyBorder="1" applyAlignment="1">
      <alignment horizontal="center"/>
    </xf>
    <xf numFmtId="190" fontId="1" fillId="0" borderId="51" xfId="2" applyNumberFormat="1" applyBorder="1" applyAlignment="1">
      <alignment horizontal="center"/>
    </xf>
    <xf numFmtId="19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30" fillId="5" borderId="23" xfId="3" applyFont="1" applyFill="1" applyBorder="1" applyAlignment="1">
      <alignment horizontal="center"/>
    </xf>
    <xf numFmtId="0" fontId="37" fillId="5" borderId="60" xfId="3" applyFont="1" applyFill="1" applyBorder="1" applyAlignment="1">
      <alignment horizontal="center"/>
    </xf>
    <xf numFmtId="0" fontId="37" fillId="5" borderId="56" xfId="3" applyFont="1" applyFill="1" applyBorder="1" applyAlignment="1">
      <alignment horizontal="center"/>
    </xf>
    <xf numFmtId="0" fontId="47" fillId="5" borderId="120" xfId="3" applyFont="1" applyFill="1" applyBorder="1" applyAlignment="1">
      <alignment horizontal="center"/>
    </xf>
    <xf numFmtId="14" fontId="19" fillId="5" borderId="124" xfId="3" applyNumberFormat="1" applyFont="1" applyFill="1" applyBorder="1" applyAlignment="1">
      <alignment horizontal="center"/>
    </xf>
    <xf numFmtId="0" fontId="29" fillId="5" borderId="81" xfId="3" applyFont="1" applyFill="1" applyBorder="1" applyAlignment="1">
      <alignment horizontal="left"/>
    </xf>
    <xf numFmtId="184" fontId="2" fillId="0" borderId="0" xfId="0" applyNumberFormat="1" applyFont="1" applyBorder="1" applyAlignment="1">
      <alignment horizontal="center"/>
    </xf>
    <xf numFmtId="184" fontId="0" fillId="0" borderId="0" xfId="0" applyNumberFormat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6" fillId="0" borderId="0" xfId="4" applyFont="1" applyAlignment="1">
      <alignment horizontal="center"/>
    </xf>
    <xf numFmtId="0" fontId="1" fillId="0" borderId="0" xfId="4"/>
    <xf numFmtId="0" fontId="25" fillId="0" borderId="0" xfId="4" applyFont="1"/>
    <xf numFmtId="0" fontId="53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53" fillId="0" borderId="1" xfId="4" applyFont="1" applyBorder="1" applyAlignment="1">
      <alignment horizontal="center"/>
    </xf>
    <xf numFmtId="0" fontId="55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3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3" fillId="0" borderId="17" xfId="4" applyFont="1" applyBorder="1" applyAlignment="1">
      <alignment horizontal="right"/>
    </xf>
    <xf numFmtId="0" fontId="53" fillId="0" borderId="131" xfId="4" applyFont="1" applyBorder="1" applyAlignment="1">
      <alignment horizontal="right"/>
    </xf>
    <xf numFmtId="0" fontId="53" fillId="0" borderId="131" xfId="4" applyFont="1" applyBorder="1" applyAlignment="1">
      <alignment horizontal="center"/>
    </xf>
    <xf numFmtId="0" fontId="53" fillId="0" borderId="132" xfId="4" quotePrefix="1" applyFont="1" applyBorder="1" applyAlignment="1">
      <alignment horizontal="center"/>
    </xf>
    <xf numFmtId="0" fontId="53" fillId="0" borderId="132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3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53" fillId="0" borderId="62" xfId="4" applyFont="1" applyBorder="1" applyAlignment="1">
      <alignment horizontal="center"/>
    </xf>
    <xf numFmtId="0" fontId="56" fillId="0" borderId="61" xfId="4" applyFont="1" applyBorder="1"/>
    <xf numFmtId="0" fontId="56" fillId="0" borderId="62" xfId="4" applyFont="1" applyBorder="1"/>
    <xf numFmtId="0" fontId="56" fillId="0" borderId="38" xfId="4" applyFont="1" applyBorder="1"/>
    <xf numFmtId="0" fontId="57" fillId="0" borderId="83" xfId="4" applyFont="1" applyBorder="1" applyAlignment="1">
      <alignment horizontal="centerContinuous"/>
    </xf>
    <xf numFmtId="0" fontId="56" fillId="0" borderId="0" xfId="4" applyFont="1" applyBorder="1" applyAlignment="1">
      <alignment horizontal="centerContinuous"/>
    </xf>
    <xf numFmtId="0" fontId="56" fillId="0" borderId="108" xfId="4" applyFont="1" applyBorder="1" applyAlignment="1">
      <alignment horizontal="centerContinuous"/>
    </xf>
    <xf numFmtId="0" fontId="58" fillId="0" borderId="83" xfId="4" applyFont="1" applyBorder="1" applyAlignment="1">
      <alignment horizontal="centerContinuous"/>
    </xf>
    <xf numFmtId="0" fontId="56" fillId="0" borderId="83" xfId="4" applyFont="1" applyBorder="1"/>
    <xf numFmtId="0" fontId="56" fillId="0" borderId="0" xfId="4" applyFont="1" applyBorder="1"/>
    <xf numFmtId="0" fontId="56" fillId="0" borderId="108" xfId="4" applyFont="1" applyBorder="1"/>
    <xf numFmtId="0" fontId="59" fillId="0" borderId="1" xfId="4" applyFont="1" applyBorder="1" applyAlignment="1">
      <alignment horizontal="right"/>
    </xf>
    <xf numFmtId="0" fontId="56" fillId="0" borderId="17" xfId="4" applyFont="1" applyBorder="1" applyAlignment="1">
      <alignment horizontal="center"/>
    </xf>
    <xf numFmtId="0" fontId="56" fillId="0" borderId="131" xfId="4" applyFont="1" applyBorder="1" applyAlignment="1">
      <alignment horizontal="center"/>
    </xf>
    <xf numFmtId="0" fontId="56" fillId="0" borderId="132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14" fontId="56" fillId="0" borderId="1" xfId="4" applyNumberFormat="1" applyFont="1" applyBorder="1" applyAlignment="1">
      <alignment horizontal="center"/>
    </xf>
    <xf numFmtId="0" fontId="59" fillId="0" borderId="0" xfId="4" applyFont="1" applyBorder="1" applyAlignment="1">
      <alignment horizontal="right"/>
    </xf>
    <xf numFmtId="0" fontId="56" fillId="0" borderId="0" xfId="4" applyFont="1" applyBorder="1" applyAlignment="1">
      <alignment horizontal="center"/>
    </xf>
    <xf numFmtId="9" fontId="56" fillId="0" borderId="0" xfId="4" applyNumberFormat="1" applyFont="1" applyBorder="1" applyAlignment="1">
      <alignment horizontal="center"/>
    </xf>
    <xf numFmtId="0" fontId="59" fillId="0" borderId="83" xfId="4" applyFont="1" applyBorder="1" applyAlignment="1">
      <alignment horizontal="right"/>
    </xf>
    <xf numFmtId="0" fontId="56" fillId="0" borderId="40" xfId="4" applyFont="1" applyBorder="1"/>
    <xf numFmtId="0" fontId="56" fillId="0" borderId="39" xfId="4" applyFont="1" applyBorder="1" applyAlignment="1">
      <alignment horizontal="center"/>
    </xf>
    <xf numFmtId="0" fontId="56" fillId="0" borderId="85" xfId="4" applyFont="1" applyBorder="1"/>
    <xf numFmtId="0" fontId="59" fillId="0" borderId="17" xfId="4" applyFont="1" applyBorder="1" applyAlignment="1">
      <alignment horizontal="right"/>
    </xf>
    <xf numFmtId="0" fontId="56" fillId="0" borderId="132" xfId="4" applyFont="1" applyBorder="1"/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0" fontId="58" fillId="0" borderId="83" xfId="4" applyFont="1" applyBorder="1" applyAlignment="1">
      <alignment horizontal="center"/>
    </xf>
    <xf numFmtId="0" fontId="58" fillId="0" borderId="0" xfId="4" applyFont="1" applyBorder="1" applyAlignment="1">
      <alignment horizontal="center"/>
    </xf>
    <xf numFmtId="0" fontId="58" fillId="0" borderId="108" xfId="4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Border="1" applyAlignment="1">
      <alignment horizontal="center"/>
    </xf>
    <xf numFmtId="0" fontId="60" fillId="0" borderId="108" xfId="4" applyFont="1" applyBorder="1" applyAlignment="1">
      <alignment horizontal="center"/>
    </xf>
    <xf numFmtId="0" fontId="61" fillId="0" borderId="0" xfId="4" applyFont="1"/>
    <xf numFmtId="0" fontId="1" fillId="0" borderId="0" xfId="4" applyBorder="1"/>
    <xf numFmtId="0" fontId="62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56" fillId="0" borderId="61" xfId="0" applyFont="1" applyBorder="1"/>
    <xf numFmtId="0" fontId="56" fillId="0" borderId="62" xfId="0" applyFont="1" applyBorder="1"/>
    <xf numFmtId="0" fontId="56" fillId="0" borderId="38" xfId="0" applyFont="1" applyBorder="1"/>
    <xf numFmtId="0" fontId="57" fillId="0" borderId="83" xfId="0" applyFont="1" applyBorder="1" applyAlignment="1">
      <alignment horizontal="centerContinuous"/>
    </xf>
    <xf numFmtId="0" fontId="56" fillId="0" borderId="0" xfId="0" applyFont="1" applyBorder="1" applyAlignment="1">
      <alignment horizontal="centerContinuous"/>
    </xf>
    <xf numFmtId="0" fontId="56" fillId="0" borderId="108" xfId="0" applyFont="1" applyBorder="1" applyAlignment="1">
      <alignment horizontal="centerContinuous"/>
    </xf>
    <xf numFmtId="0" fontId="58" fillId="0" borderId="83" xfId="0" applyFont="1" applyBorder="1" applyAlignment="1">
      <alignment horizontal="centerContinuous"/>
    </xf>
    <xf numFmtId="0" fontId="60" fillId="0" borderId="83" xfId="0" applyFont="1" applyBorder="1" applyAlignment="1">
      <alignment horizontal="center"/>
    </xf>
    <xf numFmtId="0" fontId="60" fillId="0" borderId="0" xfId="0" applyFont="1" applyBorder="1" applyAlignment="1">
      <alignment horizontal="center"/>
    </xf>
    <xf numFmtId="0" fontId="60" fillId="0" borderId="108" xfId="0" applyFont="1" applyBorder="1" applyAlignment="1">
      <alignment horizontal="center"/>
    </xf>
    <xf numFmtId="0" fontId="56" fillId="0" borderId="83" xfId="0" applyFont="1" applyBorder="1"/>
    <xf numFmtId="0" fontId="56" fillId="0" borderId="0" xfId="0" applyFont="1" applyBorder="1"/>
    <xf numFmtId="0" fontId="56" fillId="0" borderId="108" xfId="0" applyFont="1" applyBorder="1"/>
    <xf numFmtId="0" fontId="59" fillId="0" borderId="1" xfId="0" applyFont="1" applyBorder="1" applyAlignment="1">
      <alignment horizontal="right"/>
    </xf>
    <xf numFmtId="0" fontId="56" fillId="0" borderId="17" xfId="0" applyFont="1" applyBorder="1" applyAlignment="1">
      <alignment horizontal="center"/>
    </xf>
    <xf numFmtId="0" fontId="56" fillId="0" borderId="131" xfId="0" applyFont="1" applyBorder="1" applyAlignment="1">
      <alignment horizontal="center"/>
    </xf>
    <xf numFmtId="0" fontId="56" fillId="0" borderId="132" xfId="0" applyFont="1" applyBorder="1" applyAlignment="1">
      <alignment horizontal="center"/>
    </xf>
    <xf numFmtId="0" fontId="56" fillId="0" borderId="1" xfId="0" applyFont="1" applyBorder="1" applyAlignment="1">
      <alignment horizontal="center"/>
    </xf>
    <xf numFmtId="14" fontId="56" fillId="0" borderId="1" xfId="0" applyNumberFormat="1" applyFont="1" applyBorder="1" applyAlignment="1">
      <alignment horizontal="center"/>
    </xf>
    <xf numFmtId="0" fontId="59" fillId="0" borderId="0" xfId="0" applyFont="1" applyBorder="1" applyAlignment="1">
      <alignment horizontal="right"/>
    </xf>
    <xf numFmtId="0" fontId="56" fillId="0" borderId="0" xfId="0" applyFont="1" applyBorder="1" applyAlignment="1">
      <alignment horizontal="center"/>
    </xf>
    <xf numFmtId="0" fontId="63" fillId="0" borderId="0" xfId="0" applyFont="1"/>
    <xf numFmtId="0" fontId="59" fillId="0" borderId="83" xfId="0" applyFont="1" applyBorder="1" applyAlignment="1">
      <alignment horizontal="right"/>
    </xf>
    <xf numFmtId="0" fontId="56" fillId="0" borderId="40" xfId="0" applyFont="1" applyBorder="1"/>
    <xf numFmtId="0" fontId="56" fillId="0" borderId="39" xfId="0" applyFont="1" applyBorder="1" applyAlignment="1">
      <alignment horizontal="center"/>
    </xf>
    <xf numFmtId="0" fontId="56" fillId="0" borderId="85" xfId="0" applyFont="1" applyBorder="1"/>
    <xf numFmtId="0" fontId="59" fillId="0" borderId="17" xfId="0" applyFont="1" applyBorder="1" applyAlignment="1">
      <alignment horizontal="right"/>
    </xf>
    <xf numFmtId="0" fontId="56" fillId="0" borderId="132" xfId="0" applyFont="1" applyBorder="1"/>
    <xf numFmtId="184" fontId="64" fillId="0" borderId="135" xfId="0" quotePrefix="1" applyNumberFormat="1" applyFont="1" applyBorder="1" applyAlignment="1">
      <alignment horizontal="center"/>
    </xf>
    <xf numFmtId="184" fontId="2" fillId="0" borderId="28" xfId="0" applyNumberFormat="1" applyFont="1" applyBorder="1" applyAlignment="1">
      <alignment horizontal="center"/>
    </xf>
    <xf numFmtId="184" fontId="2" fillId="0" borderId="136" xfId="0" applyNumberFormat="1" applyFont="1" applyBorder="1" applyAlignment="1">
      <alignment horizontal="center"/>
    </xf>
    <xf numFmtId="184" fontId="64" fillId="0" borderId="137" xfId="0" quotePrefix="1" applyNumberFormat="1" applyFont="1" applyBorder="1" applyAlignment="1">
      <alignment horizontal="center"/>
    </xf>
    <xf numFmtId="184" fontId="2" fillId="0" borderId="132" xfId="0" applyNumberFormat="1" applyFont="1" applyBorder="1" applyAlignment="1">
      <alignment horizontal="center"/>
    </xf>
    <xf numFmtId="184" fontId="64" fillId="0" borderId="25" xfId="0" quotePrefix="1" applyNumberFormat="1" applyFont="1" applyBorder="1" applyAlignment="1">
      <alignment horizontal="center"/>
    </xf>
    <xf numFmtId="184" fontId="2" fillId="0" borderId="133" xfId="0" applyNumberFormat="1" applyFont="1" applyBorder="1" applyAlignment="1">
      <alignment horizontal="center"/>
    </xf>
    <xf numFmtId="184" fontId="2" fillId="0" borderId="11" xfId="0" applyNumberFormat="1" applyFont="1" applyBorder="1" applyAlignment="1">
      <alignment horizontal="center"/>
    </xf>
    <xf numFmtId="184" fontId="64" fillId="0" borderId="0" xfId="0" quotePrefix="1" applyNumberFormat="1" applyFont="1" applyBorder="1" applyAlignment="1">
      <alignment horizontal="center"/>
    </xf>
    <xf numFmtId="9" fontId="56" fillId="0" borderId="0" xfId="0" applyNumberFormat="1" applyFont="1" applyBorder="1" applyAlignment="1">
      <alignment horizontal="center"/>
    </xf>
    <xf numFmtId="192" fontId="66" fillId="0" borderId="6" xfId="5" applyFont="1" applyBorder="1" applyAlignment="1" applyProtection="1">
      <alignment horizontal="centerContinuous"/>
    </xf>
    <xf numFmtId="192" fontId="66" fillId="0" borderId="7" xfId="5" applyFont="1" applyBorder="1" applyAlignment="1">
      <alignment horizontal="centerContinuous"/>
    </xf>
    <xf numFmtId="192" fontId="67" fillId="0" borderId="12" xfId="5" applyFont="1" applyBorder="1" applyAlignment="1" applyProtection="1">
      <alignment horizontal="left"/>
    </xf>
    <xf numFmtId="192" fontId="68" fillId="0" borderId="55" xfId="5" applyFont="1" applyBorder="1"/>
    <xf numFmtId="192" fontId="67" fillId="0" borderId="13" xfId="5" applyFont="1" applyBorder="1" applyAlignment="1">
      <alignment horizontal="centerContinuous"/>
    </xf>
    <xf numFmtId="192" fontId="68" fillId="0" borderId="14" xfId="5" applyFont="1" applyBorder="1" applyAlignment="1">
      <alignment horizontal="centerContinuous"/>
    </xf>
    <xf numFmtId="192" fontId="69" fillId="0" borderId="0" xfId="5" applyFont="1"/>
    <xf numFmtId="192" fontId="65" fillId="0" borderId="0" xfId="5"/>
    <xf numFmtId="192" fontId="66" fillId="0" borderId="45" xfId="5" applyFont="1" applyBorder="1" applyAlignment="1" applyProtection="1">
      <alignment horizontal="centerContinuous"/>
    </xf>
    <xf numFmtId="192" fontId="66" fillId="0" borderId="0" xfId="5" applyFont="1" applyBorder="1" applyAlignment="1">
      <alignment horizontal="centerContinuous"/>
    </xf>
    <xf numFmtId="192" fontId="67" fillId="0" borderId="109" xfId="5" applyFont="1" applyBorder="1" applyAlignment="1" applyProtection="1">
      <alignment horizontal="left"/>
    </xf>
    <xf numFmtId="192" fontId="68" fillId="0" borderId="39" xfId="5" applyFont="1" applyBorder="1"/>
    <xf numFmtId="192" fontId="67" fillId="0" borderId="40" xfId="5" applyFont="1" applyBorder="1" applyAlignment="1" applyProtection="1">
      <alignment horizontal="centerContinuous"/>
    </xf>
    <xf numFmtId="192" fontId="68" fillId="0" borderId="29" xfId="5" applyFont="1" applyBorder="1" applyAlignment="1">
      <alignment horizontal="centerContinuous"/>
    </xf>
    <xf numFmtId="192" fontId="68" fillId="0" borderId="45" xfId="5" applyFont="1" applyBorder="1" applyAlignment="1">
      <alignment horizontal="centerContinuous"/>
    </xf>
    <xf numFmtId="192" fontId="68" fillId="0" borderId="0" xfId="5" applyFont="1" applyBorder="1" applyAlignment="1">
      <alignment horizontal="centerContinuous"/>
    </xf>
    <xf numFmtId="192" fontId="67" fillId="0" borderId="40" xfId="5" quotePrefix="1" applyFont="1" applyBorder="1" applyAlignment="1">
      <alignment horizontal="centerContinuous"/>
    </xf>
    <xf numFmtId="192" fontId="70" fillId="0" borderId="45" xfId="5" applyFont="1" applyBorder="1" applyAlignment="1" applyProtection="1">
      <alignment horizontal="centerContinuous"/>
    </xf>
    <xf numFmtId="192" fontId="67" fillId="0" borderId="40" xfId="5" quotePrefix="1" applyFont="1" applyBorder="1" applyAlignment="1" applyProtection="1">
      <alignment horizontal="centerContinuous"/>
    </xf>
    <xf numFmtId="192" fontId="69" fillId="0" borderId="45" xfId="5" applyFont="1" applyBorder="1" applyAlignment="1">
      <alignment horizontal="centerContinuous"/>
    </xf>
    <xf numFmtId="192" fontId="67" fillId="0" borderId="40" xfId="5" applyFont="1" applyBorder="1" applyAlignment="1">
      <alignment horizontal="centerContinuous"/>
    </xf>
    <xf numFmtId="192" fontId="69" fillId="0" borderId="46" xfId="5" applyFont="1" applyBorder="1" applyAlignment="1" applyProtection="1">
      <alignment horizontal="centerContinuous"/>
    </xf>
    <xf numFmtId="192" fontId="68" fillId="0" borderId="23" xfId="5" applyFont="1" applyBorder="1" applyAlignment="1">
      <alignment horizontal="centerContinuous"/>
    </xf>
    <xf numFmtId="192" fontId="67" fillId="0" borderId="46" xfId="5" applyFont="1" applyBorder="1" applyAlignment="1" applyProtection="1">
      <alignment horizontal="left"/>
    </xf>
    <xf numFmtId="192" fontId="68" fillId="0" borderId="48" xfId="5" applyFont="1" applyBorder="1"/>
    <xf numFmtId="192" fontId="71" fillId="0" borderId="23" xfId="5" applyFont="1" applyBorder="1" applyAlignment="1">
      <alignment horizontal="centerContinuous"/>
    </xf>
    <xf numFmtId="192" fontId="68" fillId="0" borderId="24" xfId="5" applyFont="1" applyBorder="1" applyAlignment="1">
      <alignment horizontal="centerContinuous"/>
    </xf>
    <xf numFmtId="192" fontId="69" fillId="0" borderId="0" xfId="5" applyFont="1" applyBorder="1" applyAlignment="1" applyProtection="1">
      <alignment horizontal="centerContinuous"/>
    </xf>
    <xf numFmtId="192" fontId="67" fillId="0" borderId="0" xfId="5" applyFont="1" applyBorder="1" applyAlignment="1" applyProtection="1">
      <alignment horizontal="left"/>
    </xf>
    <xf numFmtId="192" fontId="68" fillId="0" borderId="0" xfId="5" applyFont="1" applyBorder="1"/>
    <xf numFmtId="192" fontId="67" fillId="0" borderId="0" xfId="5" applyFont="1" applyBorder="1" applyAlignment="1">
      <alignment horizontal="centerContinuous"/>
    </xf>
    <xf numFmtId="192" fontId="72" fillId="0" borderId="0" xfId="5" applyFont="1"/>
    <xf numFmtId="192" fontId="72" fillId="0" borderId="0" xfId="5" applyFont="1" applyAlignment="1" applyProtection="1">
      <alignment horizontal="right"/>
    </xf>
    <xf numFmtId="192" fontId="72" fillId="0" borderId="0" xfId="5" applyFont="1" applyAlignment="1" applyProtection="1">
      <alignment horizontal="left"/>
      <protection locked="0"/>
    </xf>
    <xf numFmtId="192" fontId="72" fillId="0" borderId="0" xfId="5" applyFont="1" applyBorder="1" applyAlignment="1">
      <alignment horizontal="centerContinuous"/>
    </xf>
    <xf numFmtId="192" fontId="72" fillId="0" borderId="0" xfId="5" applyFont="1" applyBorder="1" applyAlignment="1" applyProtection="1">
      <alignment horizontal="left"/>
    </xf>
    <xf numFmtId="192" fontId="72" fillId="0" borderId="0" xfId="5" applyFont="1" applyBorder="1"/>
    <xf numFmtId="49" fontId="72" fillId="0" borderId="0" xfId="5" quotePrefix="1" applyNumberFormat="1" applyFont="1" applyAlignment="1" applyProtection="1">
      <alignment horizontal="left"/>
      <protection locked="0"/>
    </xf>
    <xf numFmtId="192" fontId="68" fillId="0" borderId="0" xfId="5" applyFont="1"/>
    <xf numFmtId="192" fontId="73" fillId="0" borderId="138" xfId="5" applyFont="1" applyBorder="1" applyAlignment="1" applyProtection="1">
      <alignment horizontal="centerContinuous"/>
    </xf>
    <xf numFmtId="192" fontId="69" fillId="0" borderId="139" xfId="5" applyFont="1" applyBorder="1" applyAlignment="1">
      <alignment horizontal="centerContinuous"/>
    </xf>
    <xf numFmtId="192" fontId="69" fillId="0" borderId="140" xfId="5" applyFont="1" applyBorder="1" applyAlignment="1">
      <alignment horizontal="centerContinuous"/>
    </xf>
    <xf numFmtId="192" fontId="72" fillId="0" borderId="45" xfId="5" applyFont="1" applyBorder="1"/>
    <xf numFmtId="192" fontId="72" fillId="0" borderId="0" xfId="5" applyFont="1" applyBorder="1" applyAlignment="1" applyProtection="1">
      <alignment horizontal="right"/>
    </xf>
    <xf numFmtId="192" fontId="72" fillId="0" borderId="0" xfId="5" applyFont="1" applyBorder="1" applyAlignment="1" applyProtection="1">
      <alignment horizontal="center"/>
      <protection locked="0"/>
    </xf>
    <xf numFmtId="192" fontId="72" fillId="0" borderId="21" xfId="5" applyFont="1" applyBorder="1" applyAlignment="1" applyProtection="1">
      <alignment horizontal="center"/>
      <protection locked="0"/>
    </xf>
    <xf numFmtId="192" fontId="72" fillId="0" borderId="0" xfId="5" applyFont="1" applyBorder="1" applyAlignment="1">
      <alignment horizontal="center"/>
    </xf>
    <xf numFmtId="49" fontId="72" fillId="0" borderId="0" xfId="5" applyNumberFormat="1" applyFont="1" applyBorder="1" applyAlignment="1">
      <alignment horizontal="center"/>
    </xf>
    <xf numFmtId="192" fontId="72" fillId="0" borderId="0" xfId="5" quotePrefix="1" applyFont="1" applyBorder="1" applyAlignment="1" applyProtection="1">
      <alignment horizontal="right"/>
    </xf>
    <xf numFmtId="192" fontId="72" fillId="0" borderId="0" xfId="5" quotePrefix="1" applyFont="1" applyBorder="1" applyAlignment="1" applyProtection="1">
      <alignment horizontal="center"/>
      <protection locked="0"/>
    </xf>
    <xf numFmtId="192" fontId="72" fillId="0" borderId="0" xfId="5" applyFont="1" applyBorder="1" applyAlignment="1" applyProtection="1">
      <alignment horizontal="left"/>
      <protection locked="0"/>
    </xf>
    <xf numFmtId="192" fontId="72" fillId="0" borderId="21" xfId="5" applyFont="1" applyBorder="1"/>
    <xf numFmtId="192" fontId="72" fillId="0" borderId="46" xfId="5" applyFont="1" applyBorder="1"/>
    <xf numFmtId="192" fontId="72" fillId="0" borderId="23" xfId="5" applyFont="1" applyBorder="1" applyAlignment="1" applyProtection="1">
      <alignment horizontal="right"/>
    </xf>
    <xf numFmtId="184" fontId="72" fillId="0" borderId="23" xfId="5" quotePrefix="1" applyNumberFormat="1" applyFont="1" applyBorder="1" applyAlignment="1" applyProtection="1">
      <alignment horizontal="center"/>
      <protection locked="0"/>
    </xf>
    <xf numFmtId="192" fontId="72" fillId="0" borderId="23" xfId="5" applyFont="1" applyBorder="1"/>
    <xf numFmtId="192" fontId="72" fillId="0" borderId="23" xfId="5" applyFont="1" applyBorder="1" applyAlignment="1">
      <alignment horizontal="right"/>
    </xf>
    <xf numFmtId="184" fontId="72" fillId="0" borderId="23" xfId="5" applyNumberFormat="1" applyFont="1" applyBorder="1" applyProtection="1"/>
    <xf numFmtId="192" fontId="72" fillId="0" borderId="24" xfId="5" applyFont="1" applyBorder="1"/>
    <xf numFmtId="192" fontId="74" fillId="0" borderId="45" xfId="5" quotePrefix="1" applyFont="1" applyBorder="1" applyAlignment="1">
      <alignment horizontal="left"/>
    </xf>
    <xf numFmtId="192" fontId="68" fillId="0" borderId="0" xfId="5" quotePrefix="1" applyFont="1" applyBorder="1" applyAlignment="1" applyProtection="1">
      <alignment horizontal="right"/>
    </xf>
    <xf numFmtId="192" fontId="68" fillId="0" borderId="108" xfId="5" applyFont="1" applyBorder="1"/>
    <xf numFmtId="192" fontId="74" fillId="0" borderId="0" xfId="5" applyFont="1" applyBorder="1" applyAlignment="1" applyProtection="1">
      <alignment horizontal="left"/>
    </xf>
    <xf numFmtId="192" fontId="68" fillId="0" borderId="0" xfId="5" applyFont="1" applyBorder="1" applyAlignment="1" applyProtection="1">
      <alignment horizontal="right"/>
    </xf>
    <xf numFmtId="192" fontId="68" fillId="0" borderId="108" xfId="5" applyFont="1" applyBorder="1" applyAlignment="1" applyProtection="1">
      <alignment horizontal="right"/>
    </xf>
    <xf numFmtId="192" fontId="74" fillId="0" borderId="0" xfId="5" quotePrefix="1" applyFont="1" applyBorder="1" applyAlignment="1" applyProtection="1">
      <alignment horizontal="left"/>
    </xf>
    <xf numFmtId="192" fontId="68" fillId="0" borderId="0" xfId="5" applyFont="1" applyBorder="1" applyAlignment="1">
      <alignment horizontal="right"/>
    </xf>
    <xf numFmtId="192" fontId="68" fillId="0" borderId="21" xfId="5" applyFont="1" applyBorder="1"/>
    <xf numFmtId="192" fontId="65" fillId="0" borderId="45" xfId="5" applyBorder="1"/>
    <xf numFmtId="192" fontId="72" fillId="0" borderId="0" xfId="5" applyFont="1" applyBorder="1" applyAlignment="1">
      <alignment horizontal="right"/>
    </xf>
    <xf numFmtId="192" fontId="72" fillId="0" borderId="108" xfId="5" applyFont="1" applyBorder="1" applyAlignment="1" applyProtection="1">
      <alignment horizontal="center"/>
      <protection locked="0"/>
    </xf>
    <xf numFmtId="1" fontId="72" fillId="0" borderId="108" xfId="5" applyNumberFormat="1" applyFont="1" applyBorder="1" applyAlignment="1">
      <alignment horizontal="center"/>
    </xf>
    <xf numFmtId="192" fontId="72" fillId="0" borderId="0" xfId="5" applyFont="1" applyBorder="1" applyAlignment="1">
      <alignment horizontal="left"/>
    </xf>
    <xf numFmtId="192" fontId="72" fillId="0" borderId="108" xfId="5" applyFont="1" applyBorder="1"/>
    <xf numFmtId="192" fontId="72" fillId="0" borderId="48" xfId="5" applyFont="1" applyBorder="1"/>
    <xf numFmtId="192" fontId="72" fillId="0" borderId="48" xfId="5" applyFont="1" applyBorder="1" applyAlignment="1">
      <alignment horizontal="left"/>
    </xf>
    <xf numFmtId="192" fontId="69" fillId="0" borderId="0" xfId="5" applyFont="1" applyBorder="1" applyAlignment="1">
      <alignment horizontal="centerContinuous"/>
    </xf>
    <xf numFmtId="192" fontId="69" fillId="0" borderId="0" xfId="5" applyFont="1" applyBorder="1"/>
    <xf numFmtId="192" fontId="73" fillId="0" borderId="141" xfId="5" applyFont="1" applyBorder="1" applyAlignment="1" applyProtection="1">
      <alignment horizontal="centerContinuous"/>
    </xf>
    <xf numFmtId="192" fontId="69" fillId="0" borderId="142" xfId="5" applyFont="1" applyBorder="1" applyAlignment="1">
      <alignment horizontal="centerContinuous"/>
    </xf>
    <xf numFmtId="192" fontId="65" fillId="0" borderId="143" xfId="5" applyBorder="1"/>
    <xf numFmtId="192" fontId="69" fillId="0" borderId="144" xfId="5" applyFont="1" applyBorder="1" applyAlignment="1">
      <alignment horizontal="centerContinuous"/>
    </xf>
    <xf numFmtId="192" fontId="74" fillId="0" borderId="45" xfId="5" applyFont="1" applyBorder="1" applyAlignment="1">
      <alignment horizontal="left"/>
    </xf>
    <xf numFmtId="192" fontId="65" fillId="0" borderId="108" xfId="5" applyBorder="1"/>
    <xf numFmtId="184" fontId="72" fillId="0" borderId="0" xfId="5" applyNumberFormat="1" applyFont="1" applyBorder="1" applyAlignment="1" applyProtection="1">
      <alignment horizontal="center"/>
      <protection locked="0"/>
    </xf>
    <xf numFmtId="192" fontId="72" fillId="0" borderId="45" xfId="5" applyFont="1" applyBorder="1" applyAlignment="1">
      <alignment horizontal="left"/>
    </xf>
    <xf numFmtId="192" fontId="65" fillId="0" borderId="48" xfId="5" applyBorder="1"/>
    <xf numFmtId="192" fontId="69" fillId="0" borderId="0" xfId="5" applyFont="1" applyBorder="1" applyAlignment="1">
      <alignment horizontal="left"/>
    </xf>
    <xf numFmtId="192" fontId="69" fillId="0" borderId="0" xfId="5" applyFont="1" applyAlignment="1">
      <alignment horizontal="left"/>
    </xf>
    <xf numFmtId="192" fontId="69" fillId="0" borderId="141" xfId="5" applyFont="1" applyBorder="1"/>
    <xf numFmtId="192" fontId="68" fillId="0" borderId="142" xfId="5" applyFont="1" applyBorder="1" applyAlignment="1">
      <alignment horizontal="left"/>
    </xf>
    <xf numFmtId="192" fontId="68" fillId="0" borderId="144" xfId="5" applyFont="1" applyBorder="1" applyAlignment="1">
      <alignment horizontal="left"/>
    </xf>
    <xf numFmtId="192" fontId="72" fillId="0" borderId="45" xfId="5" quotePrefix="1" applyFont="1" applyBorder="1" applyAlignment="1">
      <alignment horizontal="left"/>
    </xf>
    <xf numFmtId="192" fontId="72" fillId="0" borderId="21" xfId="5" applyFont="1" applyBorder="1" applyAlignment="1">
      <alignment horizontal="left"/>
    </xf>
    <xf numFmtId="192" fontId="75" fillId="0" borderId="145" xfId="5" applyFont="1" applyBorder="1"/>
    <xf numFmtId="192" fontId="72" fillId="0" borderId="0" xfId="5" quotePrefix="1" applyFont="1" applyBorder="1" applyAlignment="1" applyProtection="1">
      <alignment horizontal="left"/>
    </xf>
    <xf numFmtId="192" fontId="72" fillId="0" borderId="146" xfId="5" quotePrefix="1" applyFont="1" applyBorder="1" applyAlignment="1" applyProtection="1">
      <alignment horizontal="left"/>
    </xf>
    <xf numFmtId="192" fontId="72" fillId="0" borderId="147" xfId="5" quotePrefix="1" applyFont="1" applyBorder="1" applyAlignment="1">
      <alignment horizontal="left"/>
    </xf>
    <xf numFmtId="192" fontId="72" fillId="0" borderId="46" xfId="5" applyFont="1" applyBorder="1" applyAlignment="1">
      <alignment horizontal="left"/>
    </xf>
    <xf numFmtId="192" fontId="72" fillId="0" borderId="23" xfId="5" applyFont="1" applyBorder="1" applyAlignment="1">
      <alignment horizontal="left"/>
    </xf>
    <xf numFmtId="192" fontId="72" fillId="0" borderId="24" xfId="5" applyFont="1" applyBorder="1" applyAlignment="1">
      <alignment horizontal="left"/>
    </xf>
    <xf numFmtId="192" fontId="68" fillId="0" borderId="0" xfId="5" applyFont="1" applyAlignment="1">
      <alignment horizontal="left"/>
    </xf>
    <xf numFmtId="192" fontId="76" fillId="0" borderId="0" xfId="5" applyFont="1" applyAlignment="1" applyProtection="1">
      <alignment horizontal="right"/>
    </xf>
    <xf numFmtId="192" fontId="77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192" fontId="65" fillId="0" borderId="0" xfId="5" applyAlignment="1">
      <alignment horizontal="right"/>
    </xf>
    <xf numFmtId="49" fontId="56" fillId="0" borderId="40" xfId="4" applyNumberFormat="1" applyFont="1" applyBorder="1"/>
    <xf numFmtId="49" fontId="56" fillId="0" borderId="40" xfId="0" applyNumberFormat="1" applyFont="1" applyBorder="1"/>
    <xf numFmtId="0" fontId="0" fillId="0" borderId="0" xfId="0" applyAlignment="1">
      <alignment horizontal="center"/>
    </xf>
    <xf numFmtId="0" fontId="2" fillId="0" borderId="42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6" borderId="0" xfId="0" applyFill="1"/>
    <xf numFmtId="0" fontId="0" fillId="7" borderId="0" xfId="0" applyFill="1"/>
  </cellXfs>
  <cellStyles count="6">
    <cellStyle name="Normal" xfId="0" builtinId="0"/>
    <cellStyle name="Normal 2" xfId="1"/>
    <cellStyle name="Normal 3" xfId="4"/>
    <cellStyle name="Normal 4" xfId="5"/>
    <cellStyle name="Normal_OPTEST" xfId="3"/>
    <cellStyle name="Normal_PROJ_REV_HIST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4.999999888241291E-3</c:v>
                </c:pt>
                <c:pt idx="2">
                  <c:v>2.500000037252903E-2</c:v>
                </c:pt>
                <c:pt idx="3" formatCode="0.00">
                  <c:v>5.000000074505806E-2</c:v>
                </c:pt>
                <c:pt idx="4" formatCode="0.00">
                  <c:v>0.10625000298023224</c:v>
                </c:pt>
                <c:pt idx="5" formatCode="0.00">
                  <c:v>0.16250000894069672</c:v>
                </c:pt>
                <c:pt idx="6" formatCode="0.00">
                  <c:v>0.27500000596046448</c:v>
                </c:pt>
                <c:pt idx="7" formatCode="0.00">
                  <c:v>0.38750001788139343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78.551626536935402</c:v>
                </c:pt>
                <c:pt idx="2">
                  <c:v>271.04204921783565</c:v>
                </c:pt>
                <c:pt idx="3">
                  <c:v>290</c:v>
                </c:pt>
                <c:pt idx="4">
                  <c:v>185.56153169164418</c:v>
                </c:pt>
                <c:pt idx="5">
                  <c:v>148.24850078150425</c:v>
                </c:pt>
                <c:pt idx="6">
                  <c:v>120.79606430445172</c:v>
                </c:pt>
                <c:pt idx="7">
                  <c:v>109.69389583233304</c:v>
                </c:pt>
                <c:pt idx="8">
                  <c:v>105</c:v>
                </c:pt>
                <c:pt idx="9">
                  <c:v>106.07815464366531</c:v>
                </c:pt>
                <c:pt idx="10">
                  <c:v>108.39401308022495</c:v>
                </c:pt>
                <c:pt idx="11">
                  <c:v>112.54105149468275</c:v>
                </c:pt>
                <c:pt idx="12">
                  <c:v>119.34397748635843</c:v>
                </c:pt>
                <c:pt idx="13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B5-4170-A8A0-12258C3396EA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4.999999888241291E-3</c:v>
                </c:pt>
                <c:pt idx="2">
                  <c:v>2.500000037252903E-2</c:v>
                </c:pt>
                <c:pt idx="3" formatCode="0.00">
                  <c:v>5.000000074505806E-2</c:v>
                </c:pt>
                <c:pt idx="4" formatCode="0.00">
                  <c:v>0.10625000298023224</c:v>
                </c:pt>
                <c:pt idx="5" formatCode="0.00">
                  <c:v>0.16250000894069672</c:v>
                </c:pt>
                <c:pt idx="6" formatCode="0.00">
                  <c:v>0.27500000596046448</c:v>
                </c:pt>
                <c:pt idx="7" formatCode="0.00">
                  <c:v>0.38750001788139343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99</c:v>
                </c:pt>
                <c:pt idx="2">
                  <c:v>93.875</c:v>
                </c:pt>
                <c:pt idx="3">
                  <c:v>87</c:v>
                </c:pt>
                <c:pt idx="4">
                  <c:v>72.375</c:v>
                </c:pt>
                <c:pt idx="5">
                  <c:v>58.249996185302734</c:v>
                </c:pt>
                <c:pt idx="6">
                  <c:v>37.25</c:v>
                </c:pt>
                <c:pt idx="7">
                  <c:v>23.374998092651367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B5-4170-A8A0-12258C339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6405528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4.999999888241291E-3</c:v>
                </c:pt>
                <c:pt idx="2">
                  <c:v>2.500000037252903E-2</c:v>
                </c:pt>
                <c:pt idx="3" formatCode="0.00">
                  <c:v>5.000000074505806E-2</c:v>
                </c:pt>
                <c:pt idx="4" formatCode="0.00">
                  <c:v>0.10625000298023224</c:v>
                </c:pt>
                <c:pt idx="5" formatCode="0.00">
                  <c:v>0.16250000894069672</c:v>
                </c:pt>
                <c:pt idx="6" formatCode="0.00">
                  <c:v>0.27500000596046448</c:v>
                </c:pt>
                <c:pt idx="7" formatCode="0.00">
                  <c:v>0.38750001788139343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0.23193846642971039</c:v>
                </c:pt>
                <c:pt idx="1">
                  <c:v>92.360679626464844</c:v>
                </c:pt>
                <c:pt idx="2">
                  <c:v>365.205078125</c:v>
                </c:pt>
                <c:pt idx="3">
                  <c:v>528.7376708984375</c:v>
                </c:pt>
                <c:pt idx="4">
                  <c:v>596.3828125</c:v>
                </c:pt>
                <c:pt idx="5">
                  <c:v>628.87835693359375</c:v>
                </c:pt>
                <c:pt idx="6">
                  <c:v>659.606689453125</c:v>
                </c:pt>
                <c:pt idx="7">
                  <c:v>675.5301513671875</c:v>
                </c:pt>
                <c:pt idx="8">
                  <c:v>686.7552490234375</c:v>
                </c:pt>
                <c:pt idx="9">
                  <c:v>695.96685791015625</c:v>
                </c:pt>
                <c:pt idx="10">
                  <c:v>703.5504150390625</c:v>
                </c:pt>
                <c:pt idx="11">
                  <c:v>710.29150390625</c:v>
                </c:pt>
                <c:pt idx="12">
                  <c:v>716.3394775390625</c:v>
                </c:pt>
                <c:pt idx="13">
                  <c:v>721.78216552734375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B5-4170-A8A0-12258C339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9640552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6405528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99.500000011175871</c:v>
                </c:pt>
                <c:pt idx="2">
                  <c:v>97.499999962747097</c:v>
                </c:pt>
                <c:pt idx="3">
                  <c:v>94.999999925494194</c:v>
                </c:pt>
                <c:pt idx="4">
                  <c:v>89.374999701976776</c:v>
                </c:pt>
                <c:pt idx="5">
                  <c:v>83.749999105930328</c:v>
                </c:pt>
                <c:pt idx="6">
                  <c:v>72.499999403953552</c:v>
                </c:pt>
                <c:pt idx="7">
                  <c:v>61.249998211860657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99</c:v>
                </c:pt>
                <c:pt idx="2">
                  <c:v>93.875</c:v>
                </c:pt>
                <c:pt idx="3">
                  <c:v>87</c:v>
                </c:pt>
                <c:pt idx="4">
                  <c:v>72.375</c:v>
                </c:pt>
                <c:pt idx="5">
                  <c:v>58.249996185302734</c:v>
                </c:pt>
                <c:pt idx="6">
                  <c:v>37.25</c:v>
                </c:pt>
                <c:pt idx="7">
                  <c:v>23.374998092651367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FA-4AE9-A7D5-2859F98EF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640680"/>
        <c:axId val="1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99.500000011175871</c:v>
                </c:pt>
                <c:pt idx="2">
                  <c:v>97.499999962747097</c:v>
                </c:pt>
                <c:pt idx="3">
                  <c:v>94.999999925494194</c:v>
                </c:pt>
                <c:pt idx="4">
                  <c:v>89.374999701976776</c:v>
                </c:pt>
                <c:pt idx="5">
                  <c:v>83.749999105930328</c:v>
                </c:pt>
                <c:pt idx="6">
                  <c:v>72.499999403953552</c:v>
                </c:pt>
                <c:pt idx="7">
                  <c:v>61.249998211860657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78.551626536935402</c:v>
                </c:pt>
                <c:pt idx="2">
                  <c:v>271.04204921783565</c:v>
                </c:pt>
                <c:pt idx="3">
                  <c:v>290</c:v>
                </c:pt>
                <c:pt idx="4">
                  <c:v>185.56153169164418</c:v>
                </c:pt>
                <c:pt idx="5">
                  <c:v>148.24850078150425</c:v>
                </c:pt>
                <c:pt idx="6">
                  <c:v>120.79606430445172</c:v>
                </c:pt>
                <c:pt idx="7">
                  <c:v>109.69389583233304</c:v>
                </c:pt>
                <c:pt idx="8">
                  <c:v>105</c:v>
                </c:pt>
                <c:pt idx="9">
                  <c:v>106.07815464366531</c:v>
                </c:pt>
                <c:pt idx="10">
                  <c:v>108.39401308022495</c:v>
                </c:pt>
                <c:pt idx="11">
                  <c:v>112.54105149468275</c:v>
                </c:pt>
                <c:pt idx="12">
                  <c:v>119.34397748635843</c:v>
                </c:pt>
                <c:pt idx="13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FA-4AE9-A7D5-2859F98EF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2640680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99.500000011175871</c:v>
                </c:pt>
                <c:pt idx="2">
                  <c:v>97.499999962747097</c:v>
                </c:pt>
                <c:pt idx="3">
                  <c:v>94.999999925494194</c:v>
                </c:pt>
                <c:pt idx="4">
                  <c:v>89.374999701976776</c:v>
                </c:pt>
                <c:pt idx="5">
                  <c:v>83.749999105930328</c:v>
                </c:pt>
                <c:pt idx="6">
                  <c:v>72.499999403953552</c:v>
                </c:pt>
                <c:pt idx="7">
                  <c:v>61.249998211860657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0.23193846642971039</c:v>
                </c:pt>
                <c:pt idx="1">
                  <c:v>92.360679626464844</c:v>
                </c:pt>
                <c:pt idx="2">
                  <c:v>365.205078125</c:v>
                </c:pt>
                <c:pt idx="3">
                  <c:v>528.7376708984375</c:v>
                </c:pt>
                <c:pt idx="4">
                  <c:v>596.3828125</c:v>
                </c:pt>
                <c:pt idx="5">
                  <c:v>628.87835693359375</c:v>
                </c:pt>
                <c:pt idx="6">
                  <c:v>659.606689453125</c:v>
                </c:pt>
                <c:pt idx="7">
                  <c:v>675.5301513671875</c:v>
                </c:pt>
                <c:pt idx="8">
                  <c:v>686.7552490234375</c:v>
                </c:pt>
                <c:pt idx="9">
                  <c:v>695.96685791015625</c:v>
                </c:pt>
                <c:pt idx="10">
                  <c:v>703.5504150390625</c:v>
                </c:pt>
                <c:pt idx="11">
                  <c:v>710.29150390625</c:v>
                </c:pt>
                <c:pt idx="12">
                  <c:v>716.3394775390625</c:v>
                </c:pt>
                <c:pt idx="13">
                  <c:v>721.78216552734375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FA-4AE9-A7D5-2859F98EF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84264068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2640680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10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8852986437531809"/>
          <c:w val="0.23762674402541786"/>
          <c:h val="0.1147013562468189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721.78217821782175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14.845632825578964</c:v>
                </c:pt>
                <c:pt idx="1">
                  <c:v>15.783922653558394</c:v>
                </c:pt>
                <c:pt idx="2">
                  <c:v>21.4836725006767</c:v>
                </c:pt>
                <c:pt idx="3">
                  <c:v>30.936488400974451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C8-40F5-8D47-E7A62DDD7697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721.78217821782175</c:v>
                </c:pt>
                <c:pt idx="1">
                  <c:v>700</c:v>
                </c:pt>
                <c:pt idx="2">
                  <c:v>600</c:v>
                </c:pt>
                <c:pt idx="3">
                  <c:v>500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6.2200083051409045</c:v>
                </c:pt>
                <c:pt idx="1">
                  <c:v>6.613132033258819</c:v>
                </c:pt>
                <c:pt idx="2">
                  <c:v>9.0012074897133925</c:v>
                </c:pt>
                <c:pt idx="3">
                  <c:v>12.961738785187285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C8-40F5-8D47-E7A62DDD7697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400</c:v>
                </c:pt>
                <c:pt idx="1">
                  <c:v>300</c:v>
                </c:pt>
                <c:pt idx="2">
                  <c:v>290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38.530733606383137</c:v>
                </c:pt>
                <c:pt idx="3">
                  <c:v>100.01341655237104</c:v>
                </c:pt>
                <c:pt idx="4">
                  <c:v>154.12293442553255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C8-40F5-8D47-E7A62DDD7697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721.78217821782175</c:v>
                </c:pt>
                <c:pt idx="1">
                  <c:v>719.10891089108907</c:v>
                </c:pt>
                <c:pt idx="2">
                  <c:v>713.26732673267327</c:v>
                </c:pt>
                <c:pt idx="3">
                  <c:v>706.93069306930693</c:v>
                </c:pt>
                <c:pt idx="4">
                  <c:v>699.80198019801981</c:v>
                </c:pt>
                <c:pt idx="5">
                  <c:v>691.38613861386136</c:v>
                </c:pt>
                <c:pt idx="6">
                  <c:v>681.18811881188117</c:v>
                </c:pt>
                <c:pt idx="7">
                  <c:v>667.52475247524751</c:v>
                </c:pt>
                <c:pt idx="8">
                  <c:v>644.25742574257436</c:v>
                </c:pt>
                <c:pt idx="9">
                  <c:v>612.67326732673257</c:v>
                </c:pt>
                <c:pt idx="10">
                  <c:v>562.57425742574264</c:v>
                </c:pt>
                <c:pt idx="11">
                  <c:v>446.93069306930693</c:v>
                </c:pt>
                <c:pt idx="12">
                  <c:v>227.90927021696251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0.75499999523162842</c:v>
                </c:pt>
                <c:pt idx="2">
                  <c:v>1.4939999580383301</c:v>
                </c:pt>
                <c:pt idx="3">
                  <c:v>2.2389998435974121</c:v>
                </c:pt>
                <c:pt idx="4">
                  <c:v>3.0089998245239258</c:v>
                </c:pt>
                <c:pt idx="5">
                  <c:v>3.8249998092651367</c:v>
                </c:pt>
                <c:pt idx="6">
                  <c:v>4.8029999732971191</c:v>
                </c:pt>
                <c:pt idx="7">
                  <c:v>5.8249998092651367</c:v>
                </c:pt>
                <c:pt idx="8">
                  <c:v>6.8249998092651367</c:v>
                </c:pt>
                <c:pt idx="9">
                  <c:v>7.2519998550415039</c:v>
                </c:pt>
                <c:pt idx="10">
                  <c:v>7.5260000228881836</c:v>
                </c:pt>
                <c:pt idx="11">
                  <c:v>7.6269998550415039</c:v>
                </c:pt>
                <c:pt idx="12">
                  <c:v>7.749000072479248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C8-40F5-8D47-E7A62DDD7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651368"/>
        <c:axId val="1"/>
      </c:scatterChart>
      <c:valAx>
        <c:axId val="97965136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965136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91.399993896484375</c:v>
                </c:pt>
                <c:pt idx="2">
                  <c:v>94.199996948242188</c:v>
                </c:pt>
                <c:pt idx="3">
                  <c:v>94.800003051757813</c:v>
                </c:pt>
                <c:pt idx="4">
                  <c:v>94.900001525878906</c:v>
                </c:pt>
                <c:pt idx="5">
                  <c:v>94.700004577636719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BF-427E-B1C9-ACD3C137AA7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65.699996948242188</c:v>
                </c:pt>
                <c:pt idx="1">
                  <c:v>82.900001525878906</c:v>
                </c:pt>
                <c:pt idx="2">
                  <c:v>87.900001525878906</c:v>
                </c:pt>
                <c:pt idx="3">
                  <c:v>89.5</c:v>
                </c:pt>
                <c:pt idx="4">
                  <c:v>89.800003051757813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BF-427E-B1C9-ACD3C137AA7D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83.417968749987111</c:v>
                </c:pt>
                <c:pt idx="2">
                  <c:v>67.174479166640893</c:v>
                </c:pt>
                <c:pt idx="3">
                  <c:v>50.592041015627274</c:v>
                </c:pt>
                <c:pt idx="4">
                  <c:v>33.333333333333329</c:v>
                </c:pt>
                <c:pt idx="5">
                  <c:v>16.412760416667425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7BF-427E-B1C9-ACD3C137AA7D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0.47568749999999999</c:v>
                </c:pt>
                <c:pt idx="1">
                  <c:v>10.19894375</c:v>
                </c:pt>
                <c:pt idx="2">
                  <c:v>19.7862875</c:v>
                </c:pt>
                <c:pt idx="3">
                  <c:v>29.49790625</c:v>
                </c:pt>
                <c:pt idx="4">
                  <c:v>39.297206250000002</c:v>
                </c:pt>
                <c:pt idx="5">
                  <c:v>49.216162499999996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7BF-427E-B1C9-ACD3C137A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2136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23</c:v>
                </c:pt>
                <c:pt idx="1">
                  <c:v>35.849998474121094</c:v>
                </c:pt>
                <c:pt idx="2">
                  <c:v>55.119998931884766</c:v>
                </c:pt>
                <c:pt idx="3">
                  <c:v>77.5</c:v>
                </c:pt>
                <c:pt idx="4">
                  <c:v>101.40000152587891</c:v>
                </c:pt>
                <c:pt idx="5">
                  <c:v>126.56999969482422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7BF-427E-B1C9-ACD3C137A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41992136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992136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51497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8162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9115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6257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50545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457200</xdr:colOff>
      <xdr:row>29</xdr:row>
      <xdr:rowOff>209550</xdr:rowOff>
    </xdr:to>
    <xdr:sp macro="" textlink="">
      <xdr:nvSpPr>
        <xdr:cNvPr id="7" name="Depth"/>
        <xdr:cNvSpPr txBox="1">
          <a:spLocks noChangeArrowheads="1"/>
        </xdr:cNvSpPr>
      </xdr:nvSpPr>
      <xdr:spPr bwMode="auto">
        <a:xfrm>
          <a:off x="1895475" y="6781800"/>
          <a:ext cx="2571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95250</xdr:colOff>
      <xdr:row>31</xdr:row>
      <xdr:rowOff>0</xdr:rowOff>
    </xdr:from>
    <xdr:to>
      <xdr:col>2</xdr:col>
      <xdr:colOff>76200</xdr:colOff>
      <xdr:row>31</xdr:row>
      <xdr:rowOff>104775</xdr:rowOff>
    </xdr:to>
    <xdr:sp macro="" textlink="">
      <xdr:nvSpPr>
        <xdr:cNvPr id="8" name="Tip"/>
        <xdr:cNvSpPr txBox="1">
          <a:spLocks noChangeArrowheads="1"/>
        </xdr:cNvSpPr>
      </xdr:nvSpPr>
      <xdr:spPr bwMode="auto">
        <a:xfrm>
          <a:off x="9048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219075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9" name="Width"/>
        <xdr:cNvSpPr txBox="1">
          <a:spLocks noChangeArrowheads="1"/>
        </xdr:cNvSpPr>
      </xdr:nvSpPr>
      <xdr:spPr bwMode="auto">
        <a:xfrm>
          <a:off x="1438275" y="6210300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12.7</a:t>
          </a:r>
        </a:p>
      </xdr:txBody>
    </xdr:sp>
    <xdr:clientData/>
  </xdr:twoCellAnchor>
  <xdr:twoCellAnchor>
    <xdr:from>
      <xdr:col>1</xdr:col>
      <xdr:colOff>390525</xdr:colOff>
      <xdr:row>27</xdr:row>
      <xdr:rowOff>57150</xdr:rowOff>
    </xdr:from>
    <xdr:to>
      <xdr:col>3</xdr:col>
      <xdr:colOff>447675</xdr:colOff>
      <xdr:row>31</xdr:row>
      <xdr:rowOff>219075</xdr:rowOff>
    </xdr:to>
    <xdr:grpSp>
      <xdr:nvGrpSpPr>
        <xdr:cNvPr id="10" name="Group 534"/>
        <xdr:cNvGrpSpPr>
          <a:grpSpLocks/>
        </xdr:cNvGrpSpPr>
      </xdr:nvGrpSpPr>
      <xdr:grpSpPr bwMode="auto">
        <a:xfrm>
          <a:off x="1200150" y="6296025"/>
          <a:ext cx="942975" cy="1076325"/>
          <a:chOff x="126" y="661"/>
          <a:chExt cx="99" cy="113"/>
        </a:xfrm>
      </xdr:grpSpPr>
      <xdr:sp macro="" textlink="">
        <xdr:nvSpPr>
          <xdr:cNvPr id="11" name="Line 298"/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/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/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/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/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/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/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/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/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/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/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/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/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/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/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/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/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/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/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/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/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/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/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/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/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438150</xdr:colOff>
      <xdr:row>42</xdr:row>
      <xdr:rowOff>180975</xdr:rowOff>
    </xdr:from>
    <xdr:to>
      <xdr:col>3</xdr:col>
      <xdr:colOff>304800</xdr:colOff>
      <xdr:row>43</xdr:row>
      <xdr:rowOff>66675</xdr:rowOff>
    </xdr:to>
    <xdr:sp macro="" textlink="">
      <xdr:nvSpPr>
        <xdr:cNvPr id="36" name="Area"/>
        <xdr:cNvSpPr txBox="1">
          <a:spLocks noChangeArrowheads="1"/>
        </xdr:cNvSpPr>
      </xdr:nvSpPr>
      <xdr:spPr bwMode="auto">
        <a:xfrm>
          <a:off x="1657350" y="9848850"/>
          <a:ext cx="3429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2750.0</a:t>
          </a:r>
        </a:p>
      </xdr:txBody>
    </xdr:sp>
    <xdr:clientData/>
  </xdr:twoCellAnchor>
  <xdr:twoCellAnchor>
    <xdr:from>
      <xdr:col>1</xdr:col>
      <xdr:colOff>257175</xdr:colOff>
      <xdr:row>40</xdr:row>
      <xdr:rowOff>200025</xdr:rowOff>
    </xdr:from>
    <xdr:to>
      <xdr:col>2</xdr:col>
      <xdr:colOff>247650</xdr:colOff>
      <xdr:row>41</xdr:row>
      <xdr:rowOff>104775</xdr:rowOff>
    </xdr:to>
    <xdr:sp macro="" textlink="">
      <xdr:nvSpPr>
        <xdr:cNvPr id="37" name="OD"/>
        <xdr:cNvSpPr txBox="1">
          <a:spLocks noChangeArrowheads="1"/>
        </xdr:cNvSpPr>
      </xdr:nvSpPr>
      <xdr:spPr bwMode="auto">
        <a:xfrm>
          <a:off x="1066800" y="9410700"/>
          <a:ext cx="4000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420.0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342900</xdr:colOff>
      <xdr:row>40</xdr:row>
      <xdr:rowOff>152400</xdr:rowOff>
    </xdr:to>
    <xdr:sp macro="" textlink="">
      <xdr:nvSpPr>
        <xdr:cNvPr id="38" name="Height"/>
        <xdr:cNvSpPr txBox="1">
          <a:spLocks noChangeArrowheads="1"/>
        </xdr:cNvSpPr>
      </xdr:nvSpPr>
      <xdr:spPr bwMode="auto">
        <a:xfrm>
          <a:off x="1285875" y="9267825"/>
          <a:ext cx="2762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2</xdr:col>
      <xdr:colOff>352425</xdr:colOff>
      <xdr:row>40</xdr:row>
      <xdr:rowOff>57150</xdr:rowOff>
    </xdr:from>
    <xdr:to>
      <xdr:col>3</xdr:col>
      <xdr:colOff>180975</xdr:colOff>
      <xdr:row>40</xdr:row>
      <xdr:rowOff>180975</xdr:rowOff>
    </xdr:to>
    <xdr:sp macro="" textlink="">
      <xdr:nvSpPr>
        <xdr:cNvPr id="39" name="Thickness"/>
        <xdr:cNvSpPr txBox="1">
          <a:spLocks noChangeArrowheads="1"/>
        </xdr:cNvSpPr>
      </xdr:nvSpPr>
      <xdr:spPr bwMode="auto">
        <a:xfrm>
          <a:off x="1571625" y="926782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1</xdr:col>
      <xdr:colOff>295275</xdr:colOff>
      <xdr:row>42</xdr:row>
      <xdr:rowOff>0</xdr:rowOff>
    </xdr:from>
    <xdr:to>
      <xdr:col>2</xdr:col>
      <xdr:colOff>190500</xdr:colOff>
      <xdr:row>42</xdr:row>
      <xdr:rowOff>123825</xdr:rowOff>
    </xdr:to>
    <xdr:sp macro="" textlink="">
      <xdr:nvSpPr>
        <xdr:cNvPr id="40" name="ID"/>
        <xdr:cNvSpPr txBox="1">
          <a:spLocks noChangeArrowheads="1"/>
        </xdr:cNvSpPr>
      </xdr:nvSpPr>
      <xdr:spPr bwMode="auto">
        <a:xfrm>
          <a:off x="1104900" y="96678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280.0</a:t>
          </a:r>
        </a:p>
      </xdr:txBody>
    </xdr:sp>
    <xdr:clientData/>
  </xdr:twoCellAnchor>
  <xdr:twoCellAnchor>
    <xdr:from>
      <xdr:col>3</xdr:col>
      <xdr:colOff>133350</xdr:colOff>
      <xdr:row>32</xdr:row>
      <xdr:rowOff>85725</xdr:rowOff>
    </xdr:from>
    <xdr:to>
      <xdr:col>3</xdr:col>
      <xdr:colOff>381000</xdr:colOff>
      <xdr:row>32</xdr:row>
      <xdr:rowOff>200025</xdr:rowOff>
    </xdr:to>
    <xdr:sp macro="" textlink="">
      <xdr:nvSpPr>
        <xdr:cNvPr id="41" name="Tip2"/>
        <xdr:cNvSpPr txBox="1">
          <a:spLocks noChangeArrowheads="1"/>
        </xdr:cNvSpPr>
      </xdr:nvSpPr>
      <xdr:spPr bwMode="auto">
        <a:xfrm>
          <a:off x="1828800" y="7467600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0.80</a:t>
          </a:r>
        </a:p>
      </xdr:txBody>
    </xdr:sp>
    <xdr:clientData/>
  </xdr:twoCellAnchor>
  <xdr:twoCellAnchor>
    <xdr:from>
      <xdr:col>3</xdr:col>
      <xdr:colOff>209550</xdr:colOff>
      <xdr:row>35</xdr:row>
      <xdr:rowOff>47625</xdr:rowOff>
    </xdr:from>
    <xdr:to>
      <xdr:col>3</xdr:col>
      <xdr:colOff>485775</xdr:colOff>
      <xdr:row>35</xdr:row>
      <xdr:rowOff>161925</xdr:rowOff>
    </xdr:to>
    <xdr:sp macro="" textlink="">
      <xdr:nvSpPr>
        <xdr:cNvPr id="42" name="Depth2"/>
        <xdr:cNvSpPr txBox="1">
          <a:spLocks noChangeArrowheads="1"/>
        </xdr:cNvSpPr>
      </xdr:nvSpPr>
      <xdr:spPr bwMode="auto">
        <a:xfrm>
          <a:off x="1905000" y="8115300"/>
          <a:ext cx="27622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32.80</a:t>
          </a:r>
        </a:p>
      </xdr:txBody>
    </xdr:sp>
    <xdr:clientData/>
  </xdr:twoCellAnchor>
  <xdr:twoCellAnchor>
    <xdr:from>
      <xdr:col>2</xdr:col>
      <xdr:colOff>409575</xdr:colOff>
      <xdr:row>33</xdr:row>
      <xdr:rowOff>142875</xdr:rowOff>
    </xdr:from>
    <xdr:to>
      <xdr:col>3</xdr:col>
      <xdr:colOff>171450</xdr:colOff>
      <xdr:row>34</xdr:row>
      <xdr:rowOff>9525</xdr:rowOff>
    </xdr:to>
    <xdr:sp macro="" textlink="">
      <xdr:nvSpPr>
        <xdr:cNvPr id="43" name="Hat Depth"/>
        <xdr:cNvSpPr txBox="1">
          <a:spLocks noChangeArrowheads="1"/>
        </xdr:cNvSpPr>
      </xdr:nvSpPr>
      <xdr:spPr bwMode="auto">
        <a:xfrm>
          <a:off x="1628775" y="7753350"/>
          <a:ext cx="23812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390525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44" name="Up Bar Depth"/>
        <xdr:cNvSpPr txBox="1">
          <a:spLocks noChangeArrowheads="1"/>
        </xdr:cNvSpPr>
      </xdr:nvSpPr>
      <xdr:spPr bwMode="auto">
        <a:xfrm>
          <a:off x="1609725" y="78771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142875</xdr:colOff>
      <xdr:row>34</xdr:row>
      <xdr:rowOff>171450</xdr:rowOff>
    </xdr:to>
    <xdr:sp macro="" textlink="">
      <xdr:nvSpPr>
        <xdr:cNvPr id="45" name="Up Bar Width"/>
        <xdr:cNvSpPr txBox="1">
          <a:spLocks noChangeArrowheads="1"/>
        </xdr:cNvSpPr>
      </xdr:nvSpPr>
      <xdr:spPr bwMode="auto">
        <a:xfrm>
          <a:off x="1162050" y="7858125"/>
          <a:ext cx="200025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12.0</a:t>
          </a:r>
        </a:p>
      </xdr:txBody>
    </xdr:sp>
    <xdr:clientData/>
  </xdr:twoCellAnchor>
  <xdr:twoCellAnchor>
    <xdr:from>
      <xdr:col>2</xdr:col>
      <xdr:colOff>171450</xdr:colOff>
      <xdr:row>35</xdr:row>
      <xdr:rowOff>85725</xdr:rowOff>
    </xdr:from>
    <xdr:to>
      <xdr:col>2</xdr:col>
      <xdr:colOff>466725</xdr:colOff>
      <xdr:row>35</xdr:row>
      <xdr:rowOff>190500</xdr:rowOff>
    </xdr:to>
    <xdr:sp macro="" textlink="">
      <xdr:nvSpPr>
        <xdr:cNvPr id="46" name="Width2"/>
        <xdr:cNvSpPr txBox="1">
          <a:spLocks noChangeArrowheads="1"/>
        </xdr:cNvSpPr>
      </xdr:nvSpPr>
      <xdr:spPr bwMode="auto">
        <a:xfrm>
          <a:off x="1390650" y="8153400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14.94</a:t>
          </a:r>
        </a:p>
      </xdr:txBody>
    </xdr:sp>
    <xdr:clientData/>
  </xdr:twoCellAnchor>
  <xdr:twoCellAnchor>
    <xdr:from>
      <xdr:col>3</xdr:col>
      <xdr:colOff>57150</xdr:colOff>
      <xdr:row>36</xdr:row>
      <xdr:rowOff>19050</xdr:rowOff>
    </xdr:from>
    <xdr:to>
      <xdr:col>3</xdr:col>
      <xdr:colOff>352425</xdr:colOff>
      <xdr:row>36</xdr:row>
      <xdr:rowOff>142875</xdr:rowOff>
    </xdr:to>
    <xdr:sp macro="" textlink="">
      <xdr:nvSpPr>
        <xdr:cNvPr id="47" name="Low Bar Depth"/>
        <xdr:cNvSpPr txBox="1">
          <a:spLocks noChangeArrowheads="1"/>
        </xdr:cNvSpPr>
      </xdr:nvSpPr>
      <xdr:spPr bwMode="auto">
        <a:xfrm>
          <a:off x="1752600" y="831532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25.00</a:t>
          </a:r>
        </a:p>
      </xdr:txBody>
    </xdr:sp>
    <xdr:clientData/>
  </xdr:twoCellAnchor>
  <xdr:twoCellAnchor>
    <xdr:from>
      <xdr:col>2</xdr:col>
      <xdr:colOff>190500</xdr:colOff>
      <xdr:row>36</xdr:row>
      <xdr:rowOff>152400</xdr:rowOff>
    </xdr:from>
    <xdr:to>
      <xdr:col>2</xdr:col>
      <xdr:colOff>419100</xdr:colOff>
      <xdr:row>37</xdr:row>
      <xdr:rowOff>28575</xdr:rowOff>
    </xdr:to>
    <xdr:sp macro="" textlink="">
      <xdr:nvSpPr>
        <xdr:cNvPr id="48" name="Width3"/>
        <xdr:cNvSpPr txBox="1">
          <a:spLocks noChangeArrowheads="1"/>
        </xdr:cNvSpPr>
      </xdr:nvSpPr>
      <xdr:spPr bwMode="auto">
        <a:xfrm>
          <a:off x="1409700" y="8448675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11.37</a:t>
          </a:r>
        </a:p>
      </xdr:txBody>
    </xdr:sp>
    <xdr:clientData/>
  </xdr:twoCellAnchor>
  <xdr:twoCellAnchor>
    <xdr:from>
      <xdr:col>1</xdr:col>
      <xdr:colOff>161925</xdr:colOff>
      <xdr:row>39</xdr:row>
      <xdr:rowOff>95250</xdr:rowOff>
    </xdr:from>
    <xdr:to>
      <xdr:col>3</xdr:col>
      <xdr:colOff>542925</xdr:colOff>
      <xdr:row>43</xdr:row>
      <xdr:rowOff>66675</xdr:rowOff>
    </xdr:to>
    <xdr:grpSp>
      <xdr:nvGrpSpPr>
        <xdr:cNvPr id="49" name="Group 512"/>
        <xdr:cNvGrpSpPr>
          <a:grpSpLocks/>
        </xdr:cNvGrpSpPr>
      </xdr:nvGrpSpPr>
      <xdr:grpSpPr bwMode="auto">
        <a:xfrm>
          <a:off x="971550" y="9077325"/>
          <a:ext cx="1266825" cy="885825"/>
          <a:chOff x="102" y="929"/>
          <a:chExt cx="133" cy="93"/>
        </a:xfrm>
      </xdr:grpSpPr>
      <xdr:sp macro="" textlink="">
        <xdr:nvSpPr>
          <xdr:cNvPr id="50" name="Line 479"/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/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/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/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/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/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/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/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/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/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/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/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/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/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/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/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/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/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3" name="Rectangle 513"/>
        <xdr:cNvSpPr>
          <a:spLocks noChangeArrowheads="1"/>
        </xdr:cNvSpPr>
      </xdr:nvSpPr>
      <xdr:spPr bwMode="auto">
        <a:xfrm>
          <a:off x="551497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4" name="Rectangle 514"/>
        <xdr:cNvSpPr>
          <a:spLocks noChangeArrowheads="1"/>
        </xdr:cNvSpPr>
      </xdr:nvSpPr>
      <xdr:spPr bwMode="auto">
        <a:xfrm>
          <a:off x="538162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5" name="Rectangle 515"/>
        <xdr:cNvSpPr>
          <a:spLocks noChangeArrowheads="1"/>
        </xdr:cNvSpPr>
      </xdr:nvSpPr>
      <xdr:spPr bwMode="auto">
        <a:xfrm>
          <a:off x="539115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6" name="Rectangle 516"/>
        <xdr:cNvSpPr>
          <a:spLocks noChangeArrowheads="1"/>
        </xdr:cNvSpPr>
      </xdr:nvSpPr>
      <xdr:spPr bwMode="auto">
        <a:xfrm>
          <a:off x="536257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7" name="Rectangle 517"/>
        <xdr:cNvSpPr>
          <a:spLocks noChangeArrowheads="1"/>
        </xdr:cNvSpPr>
      </xdr:nvSpPr>
      <xdr:spPr bwMode="auto">
        <a:xfrm>
          <a:off x="550545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381000</xdr:colOff>
      <xdr:row>32</xdr:row>
      <xdr:rowOff>180975</xdr:rowOff>
    </xdr:from>
    <xdr:to>
      <xdr:col>3</xdr:col>
      <xdr:colOff>323850</xdr:colOff>
      <xdr:row>37</xdr:row>
      <xdr:rowOff>152400</xdr:rowOff>
    </xdr:to>
    <xdr:grpSp>
      <xdr:nvGrpSpPr>
        <xdr:cNvPr id="88" name="Group 523"/>
        <xdr:cNvGrpSpPr>
          <a:grpSpLocks/>
        </xdr:cNvGrpSpPr>
      </xdr:nvGrpSpPr>
      <xdr:grpSpPr bwMode="auto">
        <a:xfrm>
          <a:off x="1190625" y="7562850"/>
          <a:ext cx="828675" cy="1114425"/>
          <a:chOff x="774" y="670"/>
          <a:chExt cx="87" cy="117"/>
        </a:xfrm>
      </xdr:grpSpPr>
      <xdr:grpSp>
        <xdr:nvGrpSpPr>
          <xdr:cNvPr id="89" name="Group 522"/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/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/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/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/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/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/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/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/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/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/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/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/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/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/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/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/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/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/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/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/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/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/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/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/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/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/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/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/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/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/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/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/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685800</xdr:colOff>
      <xdr:row>28</xdr:row>
      <xdr:rowOff>200025</xdr:rowOff>
    </xdr:from>
    <xdr:to>
      <xdr:col>4</xdr:col>
      <xdr:colOff>731623</xdr:colOff>
      <xdr:row>29</xdr:row>
      <xdr:rowOff>133350</xdr:rowOff>
    </xdr:to>
    <xdr:sp macro="" textlink="">
      <xdr:nvSpPr>
        <xdr:cNvPr id="122" name="Text 219"/>
        <xdr:cNvSpPr txBox="1">
          <a:spLocks noChangeArrowheads="1"/>
        </xdr:cNvSpPr>
      </xdr:nvSpPr>
      <xdr:spPr bwMode="auto">
        <a:xfrm>
          <a:off x="2381250" y="66675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685800</xdr:colOff>
      <xdr:row>34</xdr:row>
      <xdr:rowOff>209550</xdr:rowOff>
    </xdr:from>
    <xdr:to>
      <xdr:col>4</xdr:col>
      <xdr:colOff>731623</xdr:colOff>
      <xdr:row>35</xdr:row>
      <xdr:rowOff>142875</xdr:rowOff>
    </xdr:to>
    <xdr:sp macro="" textlink="">
      <xdr:nvSpPr>
        <xdr:cNvPr id="123" name="Text 219"/>
        <xdr:cNvSpPr txBox="1">
          <a:spLocks noChangeArrowheads="1"/>
        </xdr:cNvSpPr>
      </xdr:nvSpPr>
      <xdr:spPr bwMode="auto">
        <a:xfrm>
          <a:off x="2381250" y="804862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685800</xdr:colOff>
      <xdr:row>40</xdr:row>
      <xdr:rowOff>152400</xdr:rowOff>
    </xdr:from>
    <xdr:to>
      <xdr:col>4</xdr:col>
      <xdr:colOff>731623</xdr:colOff>
      <xdr:row>41</xdr:row>
      <xdr:rowOff>85725</xdr:rowOff>
    </xdr:to>
    <xdr:sp macro="" textlink="">
      <xdr:nvSpPr>
        <xdr:cNvPr id="124" name="Text 219"/>
        <xdr:cNvSpPr txBox="1">
          <a:spLocks noChangeArrowheads="1"/>
        </xdr:cNvSpPr>
      </xdr:nvSpPr>
      <xdr:spPr bwMode="auto">
        <a:xfrm>
          <a:off x="2381250" y="93630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0.30177</cdr:x>
      <cdr:y>0.66148</cdr:y>
    </cdr:from>
    <cdr:to>
      <cdr:x>0.54721</cdr:x>
      <cdr:y>0.68661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64859" y="4259188"/>
          <a:ext cx="1435419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603409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$N$37">
      <xdr:nvSpPr>
        <xdr:cNvPr id="3" name="RPM11"/>
        <xdr:cNvSpPr txBox="1">
          <a:spLocks noChangeArrowheads="1"/>
        </xdr:cNvSpPr>
      </xdr:nvSpPr>
      <xdr:spPr bwMode="auto">
        <a:xfrm>
          <a:off x="603409" y="39624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6EEB460-CFEB-49AE-80CE-BBDEF5130C9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1800</a:t>
          </a:fld>
          <a:endParaRPr lang="en-US"/>
        </a:p>
      </xdr:txBody>
    </xdr:sp>
    <xdr:clientData/>
  </xdr:twoCellAnchor>
  <xdr:twoCellAnchor>
    <xdr:from>
      <xdr:col>0</xdr:col>
      <xdr:colOff>593884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$N$38">
      <xdr:nvSpPr>
        <xdr:cNvPr id="4" name="RPM10"/>
        <xdr:cNvSpPr txBox="1">
          <a:spLocks noChangeArrowheads="1"/>
        </xdr:cNvSpPr>
      </xdr:nvSpPr>
      <xdr:spPr bwMode="auto">
        <a:xfrm>
          <a:off x="593884" y="43815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D990876-F1C4-4E35-A571-BF2BB975B2D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1797</a:t>
          </a:fld>
          <a:endParaRPr lang="en-US"/>
        </a:p>
      </xdr:txBody>
    </xdr:sp>
    <xdr:clientData/>
  </xdr:twoCellAnchor>
  <xdr:twoCellAnchor>
    <xdr:from>
      <xdr:col>0</xdr:col>
      <xdr:colOff>584359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$N$39">
      <xdr:nvSpPr>
        <xdr:cNvPr id="5" name="RPM9"/>
        <xdr:cNvSpPr txBox="1">
          <a:spLocks noChangeArrowheads="1"/>
        </xdr:cNvSpPr>
      </xdr:nvSpPr>
      <xdr:spPr bwMode="auto">
        <a:xfrm>
          <a:off x="584359" y="47910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135E70C-1FB0-48F4-9B8E-6EDB1B46584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1794</a:t>
          </a:fld>
          <a:endParaRPr lang="en-US"/>
        </a:p>
      </xdr:txBody>
    </xdr:sp>
    <xdr:clientData/>
  </xdr:twoCellAnchor>
  <xdr:twoCellAnchor>
    <xdr:from>
      <xdr:col>0</xdr:col>
      <xdr:colOff>584359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$N$40">
      <xdr:nvSpPr>
        <xdr:cNvPr id="6" name="RPM8"/>
        <xdr:cNvSpPr txBox="1">
          <a:spLocks noChangeArrowheads="1"/>
        </xdr:cNvSpPr>
      </xdr:nvSpPr>
      <xdr:spPr bwMode="auto">
        <a:xfrm>
          <a:off x="584359" y="52006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4D80B01-5440-47D6-B6C4-073EAFA76E9C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1791</a:t>
          </a:fld>
          <a:endParaRPr lang="en-US"/>
        </a:p>
      </xdr:txBody>
    </xdr:sp>
    <xdr:clientData/>
  </xdr:twoCellAnchor>
  <xdr:twoCellAnchor>
    <xdr:from>
      <xdr:col>0</xdr:col>
      <xdr:colOff>593884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$N$41">
      <xdr:nvSpPr>
        <xdr:cNvPr id="7" name="RPM7"/>
        <xdr:cNvSpPr txBox="1">
          <a:spLocks noChangeArrowheads="1"/>
        </xdr:cNvSpPr>
      </xdr:nvSpPr>
      <xdr:spPr bwMode="auto">
        <a:xfrm>
          <a:off x="593884" y="56102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3CA5E13-F3FF-421F-93FC-1C647FD10ED3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1788</a:t>
          </a:fld>
          <a:endParaRPr lang="en-US"/>
        </a:p>
      </xdr:txBody>
    </xdr:sp>
    <xdr:clientData/>
  </xdr:twoCellAnchor>
  <xdr:twoCellAnchor>
    <xdr:from>
      <xdr:col>0</xdr:col>
      <xdr:colOff>593884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$N$42">
      <xdr:nvSpPr>
        <xdr:cNvPr id="8" name="RPM6"/>
        <xdr:cNvSpPr txBox="1">
          <a:spLocks noChangeArrowheads="1"/>
        </xdr:cNvSpPr>
      </xdr:nvSpPr>
      <xdr:spPr bwMode="auto">
        <a:xfrm>
          <a:off x="593884" y="60198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269A129E-1618-4994-8D4E-90C1F577C6CA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1785</a:t>
          </a:fld>
          <a:endParaRPr lang="en-US"/>
        </a:p>
      </xdr:txBody>
    </xdr:sp>
    <xdr:clientData/>
  </xdr:twoCellAnchor>
  <xdr:twoCellAnchor>
    <xdr:from>
      <xdr:col>0</xdr:col>
      <xdr:colOff>584359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$N$43">
      <xdr:nvSpPr>
        <xdr:cNvPr id="9" name="RPM5"/>
        <xdr:cNvSpPr txBox="1">
          <a:spLocks noChangeArrowheads="1"/>
        </xdr:cNvSpPr>
      </xdr:nvSpPr>
      <xdr:spPr bwMode="auto">
        <a:xfrm>
          <a:off x="584359" y="642937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EF13A86-69FE-4F77-A2D0-983CEE95A6A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1782</a:t>
          </a:fld>
          <a:endParaRPr lang="en-US"/>
        </a:p>
      </xdr:txBody>
    </xdr:sp>
    <xdr:clientData/>
  </xdr:twoCellAnchor>
  <xdr:twoCellAnchor>
    <xdr:from>
      <xdr:col>0</xdr:col>
      <xdr:colOff>574834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$N$44">
      <xdr:nvSpPr>
        <xdr:cNvPr id="10" name="RPM4"/>
        <xdr:cNvSpPr txBox="1">
          <a:spLocks noChangeArrowheads="1"/>
        </xdr:cNvSpPr>
      </xdr:nvSpPr>
      <xdr:spPr bwMode="auto">
        <a:xfrm>
          <a:off x="574834" y="68389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7F75F03-07D0-459B-B325-52703EC99FE0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1779</a:t>
          </a:fld>
          <a:endParaRPr lang="en-US"/>
        </a:p>
      </xdr:txBody>
    </xdr:sp>
    <xdr:clientData/>
  </xdr:twoCellAnchor>
  <xdr:twoCellAnchor>
    <xdr:from>
      <xdr:col>0</xdr:col>
      <xdr:colOff>574834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$N$45">
      <xdr:nvSpPr>
        <xdr:cNvPr id="11" name="RPM3"/>
        <xdr:cNvSpPr txBox="1">
          <a:spLocks noChangeArrowheads="1"/>
        </xdr:cNvSpPr>
      </xdr:nvSpPr>
      <xdr:spPr bwMode="auto">
        <a:xfrm>
          <a:off x="574834" y="725805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9B5A5D1E-4E88-4007-AC22-CB3EC0D7323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1776</a:t>
          </a:fld>
          <a:endParaRPr lang="en-US"/>
        </a:p>
      </xdr:txBody>
    </xdr:sp>
    <xdr:clientData/>
  </xdr:twoCellAnchor>
  <xdr:twoCellAnchor>
    <xdr:from>
      <xdr:col>0</xdr:col>
      <xdr:colOff>574834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$N$46">
      <xdr:nvSpPr>
        <xdr:cNvPr id="12" name="RPM2"/>
        <xdr:cNvSpPr txBox="1">
          <a:spLocks noChangeArrowheads="1"/>
        </xdr:cNvSpPr>
      </xdr:nvSpPr>
      <xdr:spPr bwMode="auto">
        <a:xfrm>
          <a:off x="574834" y="7667625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517AD3A-B63D-4456-9F0A-380C4BF2B1D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1773</a:t>
          </a:fld>
          <a:endParaRPr lang="en-US"/>
        </a:p>
      </xdr:txBody>
    </xdr:sp>
    <xdr:clientData/>
  </xdr:twoCellAnchor>
  <xdr:twoCellAnchor>
    <xdr:from>
      <xdr:col>0</xdr:col>
      <xdr:colOff>584359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$N$47">
      <xdr:nvSpPr>
        <xdr:cNvPr id="13" name="RPM1"/>
        <xdr:cNvSpPr txBox="1">
          <a:spLocks noChangeArrowheads="1"/>
        </xdr:cNvSpPr>
      </xdr:nvSpPr>
      <xdr:spPr bwMode="auto">
        <a:xfrm>
          <a:off x="584359" y="8077200"/>
          <a:ext cx="501491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12493707-23F2-48CA-AE17-957719E91425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1770</a:t>
          </a:fld>
          <a:endParaRPr lang="en-US"/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352425</xdr:colOff>
      <xdr:row>16</xdr:row>
      <xdr:rowOff>85725</xdr:rowOff>
    </xdr:from>
    <xdr:to>
      <xdr:col>5</xdr:col>
      <xdr:colOff>853916</xdr:colOff>
      <xdr:row>17</xdr:row>
      <xdr:rowOff>38100</xdr:rowOff>
    </xdr:to>
    <xdr:sp macro="" textlink="$O$37">
      <xdr:nvSpPr>
        <xdr:cNvPr id="15" name="Watts11"/>
        <xdr:cNvSpPr txBox="1">
          <a:spLocks noChangeArrowheads="1"/>
        </xdr:cNvSpPr>
      </xdr:nvSpPr>
      <xdr:spPr bwMode="auto">
        <a:xfrm>
          <a:off x="5924550" y="39814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0E84FAF2-CAA3-4E44-A51E-2C428AD0C06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1600</a:t>
          </a:fld>
          <a:endParaRPr lang="en-US"/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946785</xdr:colOff>
      <xdr:row>25</xdr:row>
      <xdr:rowOff>200025</xdr:rowOff>
    </xdr:to>
    <xdr:sp macro="" textlink="$O$42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56578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F31C151E-32B0-4DF1-81F4-A64311CB888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800</a:t>
          </a:fld>
          <a:endParaRPr lang="en-US"/>
        </a:p>
      </xdr:txBody>
    </xdr:sp>
    <xdr:clientData/>
  </xdr:twoCellAnchor>
  <xdr:twoCellAnchor>
    <xdr:from>
      <xdr:col>5</xdr:col>
      <xdr:colOff>371475</xdr:colOff>
      <xdr:row>26</xdr:row>
      <xdr:rowOff>180975</xdr:rowOff>
    </xdr:from>
    <xdr:to>
      <xdr:col>5</xdr:col>
      <xdr:colOff>872966</xdr:colOff>
      <xdr:row>27</xdr:row>
      <xdr:rowOff>133350</xdr:rowOff>
    </xdr:to>
    <xdr:sp macro="" textlink="$O$43">
      <xdr:nvSpPr>
        <xdr:cNvPr id="17" name="Watts5"/>
        <xdr:cNvSpPr txBox="1">
          <a:spLocks noChangeArrowheads="1"/>
        </xdr:cNvSpPr>
      </xdr:nvSpPr>
      <xdr:spPr bwMode="auto">
        <a:xfrm>
          <a:off x="5943600" y="64579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58994B0-877C-4300-BACC-21DECCDEEFB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640</a:t>
          </a:fld>
          <a:endParaRPr lang="en-US"/>
        </a:p>
      </xdr:txBody>
    </xdr:sp>
    <xdr:clientData/>
  </xdr:twoCellAnchor>
  <xdr:twoCellAnchor>
    <xdr:from>
      <xdr:col>5</xdr:col>
      <xdr:colOff>381000</xdr:colOff>
      <xdr:row>28</xdr:row>
      <xdr:rowOff>114300</xdr:rowOff>
    </xdr:from>
    <xdr:to>
      <xdr:col>5</xdr:col>
      <xdr:colOff>882491</xdr:colOff>
      <xdr:row>29</xdr:row>
      <xdr:rowOff>66675</xdr:rowOff>
    </xdr:to>
    <xdr:sp macro="" textlink="$O$44">
      <xdr:nvSpPr>
        <xdr:cNvPr id="18" name="Watts4"/>
        <xdr:cNvSpPr txBox="1">
          <a:spLocks noChangeArrowheads="1"/>
        </xdr:cNvSpPr>
      </xdr:nvSpPr>
      <xdr:spPr bwMode="auto">
        <a:xfrm>
          <a:off x="5953125" y="68675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48F8A02-F93F-45EB-A387-A20D0D0EC60D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480</a:t>
          </a:fld>
          <a:endParaRPr lang="en-US"/>
        </a:p>
      </xdr:txBody>
    </xdr:sp>
    <xdr:clientData/>
  </xdr:twoCellAnchor>
  <xdr:twoCellAnchor>
    <xdr:from>
      <xdr:col>5</xdr:col>
      <xdr:colOff>371475</xdr:colOff>
      <xdr:row>30</xdr:row>
      <xdr:rowOff>38100</xdr:rowOff>
    </xdr:from>
    <xdr:to>
      <xdr:col>5</xdr:col>
      <xdr:colOff>872966</xdr:colOff>
      <xdr:row>30</xdr:row>
      <xdr:rowOff>228600</xdr:rowOff>
    </xdr:to>
    <xdr:sp macro="" textlink="$O$45">
      <xdr:nvSpPr>
        <xdr:cNvPr id="19" name="Watts3"/>
        <xdr:cNvSpPr txBox="1">
          <a:spLocks noChangeArrowheads="1"/>
        </xdr:cNvSpPr>
      </xdr:nvSpPr>
      <xdr:spPr bwMode="auto">
        <a:xfrm>
          <a:off x="5943600" y="72675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51667F1-796E-4759-AC4F-67E6DA40D3B1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320</a:t>
          </a:fld>
          <a:endParaRPr lang="en-US"/>
        </a:p>
      </xdr:txBody>
    </xdr:sp>
    <xdr:clientData/>
  </xdr:twoCellAnchor>
  <xdr:twoCellAnchor>
    <xdr:from>
      <xdr:col>5</xdr:col>
      <xdr:colOff>371475</xdr:colOff>
      <xdr:row>31</xdr:row>
      <xdr:rowOff>219075</xdr:rowOff>
    </xdr:from>
    <xdr:to>
      <xdr:col>5</xdr:col>
      <xdr:colOff>872966</xdr:colOff>
      <xdr:row>32</xdr:row>
      <xdr:rowOff>171450</xdr:rowOff>
    </xdr:to>
    <xdr:sp macro="" textlink="$O$46">
      <xdr:nvSpPr>
        <xdr:cNvPr id="20" name="Watts2"/>
        <xdr:cNvSpPr txBox="1">
          <a:spLocks noChangeArrowheads="1"/>
        </xdr:cNvSpPr>
      </xdr:nvSpPr>
      <xdr:spPr bwMode="auto">
        <a:xfrm>
          <a:off x="5943600" y="76866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B4B2A545-CF7F-4A96-991F-A81DD620E51B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160</a:t>
          </a:fld>
          <a:endParaRPr lang="en-US"/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371475</xdr:colOff>
      <xdr:row>23</xdr:row>
      <xdr:rowOff>66675</xdr:rowOff>
    </xdr:from>
    <xdr:to>
      <xdr:col>5</xdr:col>
      <xdr:colOff>872966</xdr:colOff>
      <xdr:row>24</xdr:row>
      <xdr:rowOff>19050</xdr:rowOff>
    </xdr:to>
    <xdr:sp macro="" textlink="$O$41">
      <xdr:nvSpPr>
        <xdr:cNvPr id="22" name="Watts7"/>
        <xdr:cNvSpPr txBox="1">
          <a:spLocks noChangeArrowheads="1"/>
        </xdr:cNvSpPr>
      </xdr:nvSpPr>
      <xdr:spPr bwMode="auto">
        <a:xfrm>
          <a:off x="5943600" y="562927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6A97C6AB-CB65-4554-A44F-59EA9F168FD4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960</a:t>
          </a:fld>
          <a:endParaRPr lang="en-US"/>
        </a:p>
      </xdr:txBody>
    </xdr:sp>
    <xdr:clientData/>
  </xdr:twoCellAnchor>
  <xdr:twoCellAnchor>
    <xdr:from>
      <xdr:col>5</xdr:col>
      <xdr:colOff>371475</xdr:colOff>
      <xdr:row>21</xdr:row>
      <xdr:rowOff>133350</xdr:rowOff>
    </xdr:from>
    <xdr:to>
      <xdr:col>5</xdr:col>
      <xdr:colOff>872966</xdr:colOff>
      <xdr:row>22</xdr:row>
      <xdr:rowOff>85725</xdr:rowOff>
    </xdr:to>
    <xdr:sp macro="" textlink="$O$40">
      <xdr:nvSpPr>
        <xdr:cNvPr id="23" name="Watts8"/>
        <xdr:cNvSpPr txBox="1">
          <a:spLocks noChangeArrowheads="1"/>
        </xdr:cNvSpPr>
      </xdr:nvSpPr>
      <xdr:spPr bwMode="auto">
        <a:xfrm>
          <a:off x="5943600" y="521970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DFEAE7CC-111C-4842-B09F-16438AACE22F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1120</a:t>
          </a:fld>
          <a:endParaRPr lang="en-US"/>
        </a:p>
      </xdr:txBody>
    </xdr:sp>
    <xdr:clientData/>
  </xdr:twoCellAnchor>
  <xdr:twoCellAnchor>
    <xdr:from>
      <xdr:col>5</xdr:col>
      <xdr:colOff>361950</xdr:colOff>
      <xdr:row>19</xdr:row>
      <xdr:rowOff>200025</xdr:rowOff>
    </xdr:from>
    <xdr:to>
      <xdr:col>5</xdr:col>
      <xdr:colOff>863441</xdr:colOff>
      <xdr:row>20</xdr:row>
      <xdr:rowOff>152400</xdr:rowOff>
    </xdr:to>
    <xdr:sp macro="" textlink="$O$39">
      <xdr:nvSpPr>
        <xdr:cNvPr id="24" name="Watts9"/>
        <xdr:cNvSpPr txBox="1">
          <a:spLocks noChangeArrowheads="1"/>
        </xdr:cNvSpPr>
      </xdr:nvSpPr>
      <xdr:spPr bwMode="auto">
        <a:xfrm>
          <a:off x="5934075" y="4810125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7E3D66E2-B6B2-43B6-BF2D-8C8317959669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1280</a:t>
          </a:fld>
          <a:endParaRPr lang="en-US"/>
        </a:p>
      </xdr:txBody>
    </xdr:sp>
    <xdr:clientData/>
  </xdr:twoCellAnchor>
  <xdr:twoCellAnchor>
    <xdr:from>
      <xdr:col>5</xdr:col>
      <xdr:colOff>361950</xdr:colOff>
      <xdr:row>18</xdr:row>
      <xdr:rowOff>28575</xdr:rowOff>
    </xdr:from>
    <xdr:to>
      <xdr:col>5</xdr:col>
      <xdr:colOff>863441</xdr:colOff>
      <xdr:row>18</xdr:row>
      <xdr:rowOff>219075</xdr:rowOff>
    </xdr:to>
    <xdr:sp macro="" textlink="$O$38">
      <xdr:nvSpPr>
        <xdr:cNvPr id="25" name="Watts10"/>
        <xdr:cNvSpPr txBox="1">
          <a:spLocks noChangeArrowheads="1"/>
        </xdr:cNvSpPr>
      </xdr:nvSpPr>
      <xdr:spPr bwMode="auto">
        <a:xfrm>
          <a:off x="5934075" y="4400550"/>
          <a:ext cx="501491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33810536-C4F2-435C-8205-BA2DE42553A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1440</a:t>
          </a:fld>
          <a:endParaRPr lang="en-US"/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19</xdr:row>
      <xdr:rowOff>133350</xdr:rowOff>
    </xdr:from>
    <xdr:to>
      <xdr:col>4</xdr:col>
      <xdr:colOff>123825</xdr:colOff>
      <xdr:row>20</xdr:row>
      <xdr:rowOff>66675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923925</xdr:colOff>
      <xdr:row>23</xdr:row>
      <xdr:rowOff>228600</xdr:rowOff>
    </xdr:from>
    <xdr:to>
      <xdr:col>3</xdr:col>
      <xdr:colOff>152400</xdr:colOff>
      <xdr:row>24</xdr:row>
      <xdr:rowOff>133350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152775" y="57912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114300</xdr:colOff>
      <xdr:row>29</xdr:row>
      <xdr:rowOff>9525</xdr:rowOff>
    </xdr:from>
    <xdr:to>
      <xdr:col>2</xdr:col>
      <xdr:colOff>552450</xdr:colOff>
      <xdr:row>29</xdr:row>
      <xdr:rowOff>161925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343150" y="700087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590550</xdr:colOff>
      <xdr:row>31</xdr:row>
      <xdr:rowOff>180975</xdr:rowOff>
    </xdr:from>
    <xdr:to>
      <xdr:col>2</xdr:col>
      <xdr:colOff>1095375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819400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889159</xdr:colOff>
      <xdr:row>34</xdr:row>
      <xdr:rowOff>104775</xdr:rowOff>
    </xdr:to>
    <xdr:sp macro="" textlink="$O$47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527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fld id="{E024910C-D4F5-4224-B45C-EE59FF3D6AF6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t>0.0</a:t>
          </a:fld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/desprom/Destem/Customer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324.15463256835938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421.22097778320313</v>
          </cell>
        </row>
        <row r="61">
          <cell r="A61">
            <v>59.999999403953552</v>
          </cell>
          <cell r="B61">
            <v>88.892895915544926</v>
          </cell>
          <cell r="C61">
            <v>431.68954467773438</v>
          </cell>
        </row>
        <row r="62">
          <cell r="A62">
            <v>50</v>
          </cell>
          <cell r="B62">
            <v>90.2401370350794</v>
          </cell>
          <cell r="C62">
            <v>441.69143676757813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464.68917846679688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474.07455444335938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Q113"/>
  <sheetViews>
    <sheetView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168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219</v>
      </c>
    </row>
    <row r="2" spans="1:10" ht="18.75">
      <c r="A2" s="33" t="s">
        <v>174</v>
      </c>
      <c r="B2" s="2"/>
      <c r="C2" s="2"/>
      <c r="D2" s="2"/>
      <c r="E2" s="2"/>
      <c r="F2" s="2"/>
      <c r="G2" s="2"/>
      <c r="H2" s="2"/>
      <c r="I2" s="2"/>
      <c r="J2" s="130" t="s">
        <v>220</v>
      </c>
    </row>
    <row r="3" spans="1:10" ht="15" customHeight="1" thickBot="1">
      <c r="A3" s="49" t="s">
        <v>1</v>
      </c>
      <c r="B3" s="96" t="s">
        <v>218</v>
      </c>
      <c r="C3" s="1"/>
      <c r="D3" s="49"/>
      <c r="E3" s="1"/>
      <c r="F3" s="1"/>
      <c r="G3" s="49" t="s">
        <v>2</v>
      </c>
      <c r="H3" s="174">
        <v>44441</v>
      </c>
      <c r="I3" s="49" t="s">
        <v>3</v>
      </c>
      <c r="J3" s="175">
        <v>0.38149305555555557</v>
      </c>
    </row>
    <row r="4" spans="1:10" ht="15" customHeight="1" thickBot="1">
      <c r="A4" s="12" t="s">
        <v>4</v>
      </c>
      <c r="B4" s="12" t="s">
        <v>172</v>
      </c>
      <c r="C4" s="12" t="s">
        <v>5</v>
      </c>
      <c r="D4" s="12" t="s">
        <v>173</v>
      </c>
      <c r="E4" s="157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799.99998363668738</v>
      </c>
      <c r="C5" s="140">
        <v>1800</v>
      </c>
      <c r="D5" s="50" t="s">
        <v>194</v>
      </c>
      <c r="E5" s="158">
        <v>4000</v>
      </c>
      <c r="F5" s="140">
        <v>60</v>
      </c>
      <c r="G5" s="50">
        <v>105</v>
      </c>
      <c r="H5" s="78" t="s">
        <v>253</v>
      </c>
      <c r="I5" s="77" t="s">
        <v>258</v>
      </c>
      <c r="J5" s="50" t="s">
        <v>195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22.252929166666664</v>
      </c>
      <c r="J7" s="106" t="s">
        <v>19</v>
      </c>
    </row>
    <row r="8" spans="1:10" ht="15" customHeight="1">
      <c r="A8" s="10" t="s">
        <v>20</v>
      </c>
      <c r="B8" s="69">
        <v>2.0999999046325684</v>
      </c>
      <c r="C8" s="52"/>
      <c r="D8" s="6"/>
      <c r="E8" s="51"/>
      <c r="F8" s="4"/>
      <c r="G8" s="16"/>
      <c r="H8" s="10" t="s">
        <v>21</v>
      </c>
      <c r="I8" s="68">
        <v>30.045024377254787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202</v>
      </c>
      <c r="F9" s="107" t="s">
        <v>25</v>
      </c>
      <c r="G9" s="30"/>
      <c r="H9" s="10" t="s">
        <v>26</v>
      </c>
      <c r="I9" s="69">
        <v>26.148976771960726</v>
      </c>
      <c r="J9" s="104">
        <v>499.25927286238777</v>
      </c>
    </row>
    <row r="10" spans="1:10" ht="15" customHeight="1">
      <c r="A10" s="10" t="s">
        <v>27</v>
      </c>
      <c r="B10" s="69">
        <v>530</v>
      </c>
      <c r="C10" s="73">
        <v>530</v>
      </c>
      <c r="D10" s="6"/>
      <c r="E10" s="51"/>
      <c r="F10" s="116" t="s">
        <v>213</v>
      </c>
      <c r="G10" s="114" t="s">
        <v>214</v>
      </c>
      <c r="H10" s="10" t="s">
        <v>28</v>
      </c>
      <c r="I10" s="68">
        <v>13.46034202175197</v>
      </c>
      <c r="J10" s="103" t="s">
        <v>29</v>
      </c>
    </row>
    <row r="11" spans="1:10" ht="15" customHeight="1" thickBot="1">
      <c r="A11" s="10" t="s">
        <v>30</v>
      </c>
      <c r="B11" s="69">
        <v>670</v>
      </c>
      <c r="C11" s="73">
        <v>420.80000019073486</v>
      </c>
      <c r="D11" s="10" t="s">
        <v>31</v>
      </c>
      <c r="E11" s="68">
        <v>0.86657999999999991</v>
      </c>
      <c r="F11" s="117"/>
      <c r="G11" s="113" t="s">
        <v>215</v>
      </c>
      <c r="H11" s="10" t="s">
        <v>32</v>
      </c>
      <c r="I11" s="68">
        <v>30.045024377254787</v>
      </c>
      <c r="J11" s="104">
        <v>24273.853097636507</v>
      </c>
    </row>
    <row r="12" spans="1:10" ht="15" customHeight="1">
      <c r="A12" s="10" t="s">
        <v>33</v>
      </c>
      <c r="B12" s="69">
        <v>425</v>
      </c>
      <c r="C12" s="73">
        <v>220</v>
      </c>
      <c r="D12" s="10" t="s">
        <v>34</v>
      </c>
      <c r="E12" s="153" t="s">
        <v>175</v>
      </c>
      <c r="F12" s="123"/>
      <c r="G12" s="115" t="s">
        <v>209</v>
      </c>
      <c r="H12" s="10" t="s">
        <v>35</v>
      </c>
      <c r="I12" s="68">
        <v>1.2098288333249432</v>
      </c>
      <c r="J12" s="103" t="s">
        <v>36</v>
      </c>
    </row>
    <row r="13" spans="1:10" ht="15" customHeight="1" thickBot="1">
      <c r="A13" s="10" t="s">
        <v>37</v>
      </c>
      <c r="B13" s="69">
        <v>65.5</v>
      </c>
      <c r="C13" s="73">
        <v>67.600000858306885</v>
      </c>
      <c r="D13" s="10" t="s">
        <v>38</v>
      </c>
      <c r="E13" s="70">
        <v>22</v>
      </c>
      <c r="F13" s="123"/>
      <c r="G13" s="115" t="s">
        <v>210</v>
      </c>
      <c r="H13" s="10" t="s">
        <v>40</v>
      </c>
      <c r="I13" s="68">
        <v>1</v>
      </c>
      <c r="J13" s="104">
        <v>98.317474365234375</v>
      </c>
    </row>
    <row r="14" spans="1:10" ht="15" customHeight="1" thickBot="1">
      <c r="A14" s="160" t="s">
        <v>41</v>
      </c>
      <c r="B14" s="133">
        <v>390.60000610351563</v>
      </c>
      <c r="C14" s="134">
        <v>390.60000610351563</v>
      </c>
      <c r="D14" s="10" t="s">
        <v>42</v>
      </c>
      <c r="E14" s="51" t="s">
        <v>203</v>
      </c>
      <c r="F14" s="51"/>
      <c r="G14" s="115"/>
      <c r="H14" s="49" t="s">
        <v>43</v>
      </c>
      <c r="I14" s="68">
        <v>1.2098288333249432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204</v>
      </c>
      <c r="F15" s="51"/>
      <c r="G15" s="115"/>
      <c r="H15" s="10" t="s">
        <v>47</v>
      </c>
      <c r="I15" s="68">
        <v>0.97811904826498275</v>
      </c>
      <c r="J15" s="104">
        <v>18.181818181818183</v>
      </c>
    </row>
    <row r="16" spans="1:10" ht="15" customHeight="1">
      <c r="A16" s="10" t="s">
        <v>48</v>
      </c>
      <c r="B16" s="51">
        <v>60</v>
      </c>
      <c r="C16" s="52">
        <v>44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7" ht="15" customHeight="1" thickBot="1">
      <c r="A17" s="10" t="s">
        <v>52</v>
      </c>
      <c r="B17" s="51" t="s">
        <v>196</v>
      </c>
      <c r="C17" s="52" t="s">
        <v>197</v>
      </c>
      <c r="D17" s="49" t="s">
        <v>53</v>
      </c>
      <c r="E17" s="51" t="s">
        <v>205</v>
      </c>
      <c r="F17" s="51"/>
      <c r="G17" s="115"/>
      <c r="H17" s="10" t="s">
        <v>54</v>
      </c>
      <c r="I17" s="68">
        <v>0.93557673708121603</v>
      </c>
      <c r="J17" s="104">
        <v>561.20085201791028</v>
      </c>
    </row>
    <row r="18" spans="1:17" ht="15" customHeight="1">
      <c r="A18" s="10" t="s">
        <v>55</v>
      </c>
      <c r="B18" s="51" t="s">
        <v>175</v>
      </c>
      <c r="C18" s="73">
        <v>0</v>
      </c>
      <c r="D18" s="10" t="s">
        <v>56</v>
      </c>
      <c r="E18" s="137">
        <v>1045</v>
      </c>
      <c r="F18" s="70">
        <v>570</v>
      </c>
      <c r="G18" s="74"/>
      <c r="H18" s="13" t="s">
        <v>57</v>
      </c>
      <c r="I18" s="131" t="s">
        <v>216</v>
      </c>
      <c r="J18" s="132"/>
    </row>
    <row r="19" spans="1:17" ht="15" customHeight="1">
      <c r="A19" s="10" t="s">
        <v>58</v>
      </c>
      <c r="B19" s="69">
        <v>57</v>
      </c>
      <c r="C19" s="73">
        <v>32.799999237060547</v>
      </c>
      <c r="D19" s="10" t="s">
        <v>59</v>
      </c>
      <c r="E19" s="70">
        <v>440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198</v>
      </c>
      <c r="C20" s="73"/>
      <c r="D20" s="10" t="s">
        <v>167</v>
      </c>
      <c r="E20" s="165">
        <v>0.52142286885607314</v>
      </c>
      <c r="F20" s="51"/>
      <c r="G20" s="52"/>
      <c r="H20" s="10" t="s">
        <v>63</v>
      </c>
      <c r="I20" s="68">
        <v>19.86248779296875</v>
      </c>
      <c r="J20" s="72">
        <v>19.86248779296875</v>
      </c>
    </row>
    <row r="21" spans="1:17" ht="15" customHeight="1">
      <c r="A21" s="10" t="s">
        <v>64</v>
      </c>
      <c r="B21" s="69">
        <v>12.699999809265137</v>
      </c>
      <c r="C21" s="73">
        <v>0</v>
      </c>
      <c r="D21" s="10" t="s">
        <v>206</v>
      </c>
      <c r="E21" s="67">
        <v>0.69557196061546889</v>
      </c>
      <c r="F21" s="67">
        <v>0.71580046415328979</v>
      </c>
      <c r="G21" s="71">
        <v>0.12412331463020371</v>
      </c>
      <c r="H21" s="10" t="s">
        <v>65</v>
      </c>
      <c r="I21" s="68">
        <v>19.687877655029297</v>
      </c>
      <c r="J21" s="72">
        <v>8.5739727020263672</v>
      </c>
    </row>
    <row r="22" spans="1:17" ht="15" customHeight="1">
      <c r="A22" s="10" t="s">
        <v>66</v>
      </c>
      <c r="B22" s="69">
        <v>2.8299999237060547</v>
      </c>
      <c r="C22" s="73">
        <v>0.80000001192092896</v>
      </c>
      <c r="D22" s="10" t="s">
        <v>67</v>
      </c>
      <c r="E22" s="51" t="s">
        <v>207</v>
      </c>
      <c r="F22" s="51" t="s">
        <v>208</v>
      </c>
      <c r="G22" s="52" t="s">
        <v>208</v>
      </c>
      <c r="H22" s="10" t="s">
        <v>68</v>
      </c>
      <c r="I22" s="68">
        <v>7.2139072418212891</v>
      </c>
      <c r="J22" s="72">
        <v>4.995119571685791</v>
      </c>
    </row>
    <row r="23" spans="1:17" ht="15" customHeight="1">
      <c r="A23" s="10" t="s">
        <v>69</v>
      </c>
      <c r="B23" s="69">
        <v>9.5529289245605469</v>
      </c>
      <c r="C23" s="73">
        <v>14</v>
      </c>
      <c r="D23" s="10" t="s">
        <v>70</v>
      </c>
      <c r="E23" s="68">
        <v>1.7419999837875366</v>
      </c>
      <c r="F23" s="68">
        <v>3.25</v>
      </c>
      <c r="G23" s="72">
        <v>3.25</v>
      </c>
      <c r="H23" s="10" t="s">
        <v>71</v>
      </c>
      <c r="I23" s="68">
        <v>13.343233887111607</v>
      </c>
      <c r="J23" s="16" t="s">
        <v>217</v>
      </c>
    </row>
    <row r="24" spans="1:17" ht="15" customHeight="1">
      <c r="A24" s="10" t="s">
        <v>72</v>
      </c>
      <c r="B24" s="69">
        <v>0</v>
      </c>
      <c r="C24" s="73">
        <v>2</v>
      </c>
      <c r="D24" s="10" t="s">
        <v>73</v>
      </c>
      <c r="E24" s="68">
        <v>8.8900003433227539</v>
      </c>
      <c r="F24" s="68">
        <v>2.6700000762939453</v>
      </c>
      <c r="G24" s="72">
        <v>2.6700000762939453</v>
      </c>
      <c r="H24" s="10" t="s">
        <v>74</v>
      </c>
      <c r="I24" s="68">
        <v>4.8766038924213726</v>
      </c>
      <c r="J24" s="72">
        <v>3.4510508235220354</v>
      </c>
    </row>
    <row r="25" spans="1:17" ht="15" customHeight="1">
      <c r="A25" s="10" t="s">
        <v>75</v>
      </c>
      <c r="B25" s="51" t="s">
        <v>175</v>
      </c>
      <c r="C25" s="73">
        <v>2</v>
      </c>
      <c r="D25" s="109" t="s">
        <v>76</v>
      </c>
      <c r="E25" s="53"/>
      <c r="F25" s="53"/>
      <c r="G25" s="60"/>
      <c r="H25" s="10" t="s">
        <v>77</v>
      </c>
      <c r="I25" s="68">
        <v>1.5354957580566406</v>
      </c>
      <c r="J25" s="72">
        <v>2.5110294818878174</v>
      </c>
    </row>
    <row r="26" spans="1:17" ht="15" customHeight="1">
      <c r="A26" s="10" t="s">
        <v>78</v>
      </c>
      <c r="B26" s="53" t="s">
        <v>199</v>
      </c>
      <c r="C26" s="60" t="s">
        <v>200</v>
      </c>
      <c r="D26" s="10" t="s">
        <v>79</v>
      </c>
      <c r="E26" s="69">
        <v>88.490296641130683</v>
      </c>
      <c r="F26" s="69">
        <v>24.962818678485871</v>
      </c>
      <c r="G26" s="73">
        <v>17.863181824758762</v>
      </c>
      <c r="H26" s="10" t="s">
        <v>80</v>
      </c>
      <c r="I26" s="68">
        <v>14.265737533569336</v>
      </c>
      <c r="J26" s="72">
        <v>11.009589195251465</v>
      </c>
    </row>
    <row r="27" spans="1:17" ht="15" customHeight="1" thickBot="1">
      <c r="A27" s="10" t="s">
        <v>81</v>
      </c>
      <c r="B27" s="51" t="s">
        <v>201</v>
      </c>
      <c r="C27" s="52" t="s">
        <v>201</v>
      </c>
      <c r="D27" s="11" t="s">
        <v>82</v>
      </c>
      <c r="E27" s="80">
        <v>99.882869845877167</v>
      </c>
      <c r="F27" s="80" t="s">
        <v>175</v>
      </c>
      <c r="G27" s="82" t="s">
        <v>175</v>
      </c>
      <c r="H27" s="11" t="s">
        <v>83</v>
      </c>
      <c r="I27" s="79">
        <v>14.348135948181152</v>
      </c>
      <c r="J27" s="81">
        <v>11.292312622070313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31.991071522201679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1775.0</v>
      </c>
      <c r="N29" s="171" t="s">
        <v>187</v>
      </c>
      <c r="O29" s="171"/>
      <c r="P29" s="4" t="s">
        <v>193</v>
      </c>
      <c r="Q29" s="171"/>
    </row>
    <row r="30" spans="1:17" ht="15" customHeight="1" thickBot="1">
      <c r="A30" s="8"/>
      <c r="B30" s="63" t="s">
        <v>94</v>
      </c>
      <c r="C30" s="76">
        <v>31.997447759527692</v>
      </c>
      <c r="D30" s="10" t="s">
        <v>95</v>
      </c>
      <c r="E30" s="166">
        <v>26.310816250000002</v>
      </c>
      <c r="F30" s="166">
        <v>511.68600799560551</v>
      </c>
      <c r="G30" s="166">
        <v>14.25673686600992</v>
      </c>
      <c r="H30" s="167">
        <v>243.84175912870751</v>
      </c>
      <c r="I30" s="70">
        <v>48586.918596085685</v>
      </c>
      <c r="J30" s="74">
        <v>3061.9346094868015</v>
      </c>
      <c r="M30" s="172" t="str">
        <f>RIGHT(E$41,SEARCH("/",E$41,1)-1)</f>
        <v xml:space="preserve"> 1780.0</v>
      </c>
      <c r="N30" s="171" t="s">
        <v>188</v>
      </c>
      <c r="O30" s="171"/>
      <c r="P30" s="173">
        <f>G30*6.4516</f>
        <v>91.978763564749599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5.7</v>
      </c>
      <c r="F31" s="166">
        <v>559.70611443597011</v>
      </c>
      <c r="G31" s="166">
        <v>13.033577060996953</v>
      </c>
      <c r="H31" s="167">
        <v>41.670464589095246</v>
      </c>
      <c r="I31" s="70">
        <v>12761.29940914012</v>
      </c>
      <c r="J31" s="74">
        <v>695.44358778067078</v>
      </c>
      <c r="M31" s="172" t="str">
        <f>RIGHT(D$41,SEARCH("/",D$41,1)-1)</f>
        <v xml:space="preserve"> 1785.1</v>
      </c>
      <c r="N31" s="171" t="s">
        <v>189</v>
      </c>
      <c r="O31" s="171"/>
      <c r="P31" s="173">
        <f>G31*6.4516</f>
        <v>84.087425766727932</v>
      </c>
      <c r="Q31" s="171"/>
    </row>
    <row r="32" spans="1:17" ht="15" customHeight="1">
      <c r="A32" s="6" t="s">
        <v>98</v>
      </c>
      <c r="B32" s="68" t="s">
        <v>260</v>
      </c>
      <c r="C32" s="110"/>
      <c r="D32" s="10" t="s">
        <v>99</v>
      </c>
      <c r="E32" s="166">
        <v>13.948659667411206</v>
      </c>
      <c r="F32" s="166">
        <v>528.09121495704665</v>
      </c>
      <c r="G32" s="166">
        <v>13.813849894484132</v>
      </c>
      <c r="H32" s="167">
        <v>122.94742760953581</v>
      </c>
      <c r="I32" s="9" t="s">
        <v>100</v>
      </c>
      <c r="J32" s="74">
        <v>3757.3781972674724</v>
      </c>
      <c r="M32" s="172" t="str">
        <f>RIGHT(C$41,SEARCH("/",C$41,1)-1)</f>
        <v xml:space="preserve"> 1790.0</v>
      </c>
      <c r="N32" s="171" t="s">
        <v>190</v>
      </c>
      <c r="O32" s="171"/>
      <c r="P32" s="173">
        <f>G32*6.4516</f>
        <v>89.121433979253823</v>
      </c>
      <c r="Q32" s="171"/>
    </row>
    <row r="33" spans="1:17" ht="15" customHeight="1">
      <c r="A33" s="6" t="s">
        <v>101</v>
      </c>
      <c r="B33" s="68" t="s">
        <v>261</v>
      </c>
      <c r="C33" s="111" t="s">
        <v>102</v>
      </c>
      <c r="D33" s="10" t="s">
        <v>97</v>
      </c>
      <c r="E33" s="166">
        <v>3.2799999237060549</v>
      </c>
      <c r="F33" s="166">
        <v>601.52400939941413</v>
      </c>
      <c r="G33" s="166">
        <v>12.127483957449996</v>
      </c>
      <c r="H33" s="167">
        <v>19.00321669106081</v>
      </c>
      <c r="I33" s="9" t="s">
        <v>103</v>
      </c>
      <c r="J33" s="73" t="s">
        <v>228</v>
      </c>
      <c r="M33" s="172" t="str">
        <f>RIGHT(B$41,SEARCH("/",B$41,1)-1)</f>
        <v xml:space="preserve"> 1794.7</v>
      </c>
      <c r="N33" s="171" t="s">
        <v>191</v>
      </c>
      <c r="O33" s="171"/>
      <c r="P33" s="173">
        <f>G33*6.4516</f>
        <v>78.241675499884394</v>
      </c>
      <c r="Q33" s="171"/>
    </row>
    <row r="34" spans="1:17" ht="15" customHeight="1" thickBot="1">
      <c r="A34" s="17" t="s">
        <v>104</v>
      </c>
      <c r="B34" s="79" t="s">
        <v>262</v>
      </c>
      <c r="C34" s="164">
        <v>7.294972774012396</v>
      </c>
      <c r="D34" s="11" t="s">
        <v>20</v>
      </c>
      <c r="E34" s="168">
        <v>0.20999999046325685</v>
      </c>
      <c r="F34" s="169">
        <v>1158.7875068633448</v>
      </c>
      <c r="G34" s="169">
        <v>6.2953498642376102</v>
      </c>
      <c r="H34" s="170">
        <v>1052.0336926944344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40.615079184115366</v>
      </c>
      <c r="Q34" s="171"/>
    </row>
    <row r="35" spans="1:17" ht="15" customHeight="1">
      <c r="A35" s="13" t="s">
        <v>106</v>
      </c>
      <c r="B35" s="14"/>
      <c r="C35" s="14"/>
      <c r="D35" s="135" t="s">
        <v>230</v>
      </c>
      <c r="E35" s="145" t="s">
        <v>229</v>
      </c>
      <c r="F35" s="15"/>
      <c r="G35" s="26" t="s">
        <v>107</v>
      </c>
      <c r="H35" s="85" t="s">
        <v>223</v>
      </c>
      <c r="I35" s="10" t="s">
        <v>108</v>
      </c>
      <c r="J35" s="74" t="s">
        <v>227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221</v>
      </c>
      <c r="I36" s="10" t="s">
        <v>111</v>
      </c>
      <c r="J36" s="74" t="s">
        <v>226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242</v>
      </c>
      <c r="C37" s="176" t="s">
        <v>243</v>
      </c>
      <c r="D37" s="176" t="s">
        <v>244</v>
      </c>
      <c r="E37" s="176" t="s">
        <v>245</v>
      </c>
      <c r="F37" s="177" t="s">
        <v>246</v>
      </c>
      <c r="G37" s="10" t="s">
        <v>113</v>
      </c>
      <c r="H37" s="74" t="s">
        <v>222</v>
      </c>
      <c r="I37" s="11" t="s">
        <v>114</v>
      </c>
      <c r="J37" s="83" t="s">
        <v>225</v>
      </c>
      <c r="O37" s="150"/>
    </row>
    <row r="38" spans="1:17" ht="15" customHeight="1" thickBot="1">
      <c r="A38" s="10" t="s">
        <v>115</v>
      </c>
      <c r="B38" s="178" t="s">
        <v>232</v>
      </c>
      <c r="C38" s="178" t="s">
        <v>233</v>
      </c>
      <c r="D38" s="178" t="s">
        <v>234</v>
      </c>
      <c r="E38" s="178" t="s">
        <v>235</v>
      </c>
      <c r="F38" s="179" t="s">
        <v>236</v>
      </c>
      <c r="G38" s="17" t="s">
        <v>116</v>
      </c>
      <c r="H38" s="83" t="s">
        <v>224</v>
      </c>
      <c r="I38" s="136" t="s">
        <v>231</v>
      </c>
      <c r="J38" s="84">
        <v>9566.3095703125</v>
      </c>
      <c r="L38" t="str">
        <f>LEFT(E38,SEARCH("/",E38,1)-1)</f>
        <v xml:space="preserve">0.962 </v>
      </c>
      <c r="M38" t="str">
        <f>RIGHT(E38,SEARCH("/",E38,1)-1)</f>
        <v xml:space="preserve"> 0.949</v>
      </c>
      <c r="N38" s="151">
        <f>M38/L38</f>
        <v>0.98648648648648651</v>
      </c>
      <c r="O38" s="150" t="s">
        <v>178</v>
      </c>
    </row>
    <row r="39" spans="1:17" ht="15" customHeight="1">
      <c r="A39" s="10" t="s">
        <v>117</v>
      </c>
      <c r="B39" s="178" t="s">
        <v>237</v>
      </c>
      <c r="C39" s="178" t="s">
        <v>238</v>
      </c>
      <c r="D39" s="178" t="s">
        <v>239</v>
      </c>
      <c r="E39" s="178" t="s">
        <v>240</v>
      </c>
      <c r="F39" s="179" t="s">
        <v>241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0.911 </v>
      </c>
      <c r="M39" t="str">
        <f>RIGHT(E39,SEARCH("/",E39,1)-1)</f>
        <v xml:space="preserve"> 0.895</v>
      </c>
      <c r="N39" s="151">
        <f>M39/L39</f>
        <v>0.98243688254665207</v>
      </c>
      <c r="O39" s="150" t="s">
        <v>179</v>
      </c>
    </row>
    <row r="40" spans="1:17" ht="15" customHeight="1">
      <c r="A40" s="10" t="s">
        <v>119</v>
      </c>
      <c r="B40" s="180" t="s">
        <v>255</v>
      </c>
      <c r="C40" s="180" t="s">
        <v>256</v>
      </c>
      <c r="D40" s="180" t="s">
        <v>257</v>
      </c>
      <c r="E40" s="180" t="s">
        <v>258</v>
      </c>
      <c r="F40" s="181" t="s">
        <v>259</v>
      </c>
      <c r="G40" s="35" t="s">
        <v>121</v>
      </c>
      <c r="H40" s="91" t="s">
        <v>263</v>
      </c>
      <c r="I40" s="55"/>
      <c r="J40" s="56"/>
      <c r="L40" t="str">
        <f>LEFT(E37,SEARCH("/",E37,1)-1)</f>
        <v xml:space="preserve">98.32 </v>
      </c>
      <c r="M40" t="str">
        <f>RIGHT(E37,SEARCH("/",E37,1)-1)</f>
        <v>101.40</v>
      </c>
      <c r="N40" s="151">
        <f>M40/L40</f>
        <v>1.0313262815296991</v>
      </c>
      <c r="O40" s="150" t="s">
        <v>177</v>
      </c>
    </row>
    <row r="41" spans="1:17" ht="15" customHeight="1">
      <c r="A41" s="10" t="s">
        <v>5</v>
      </c>
      <c r="B41" s="182" t="s">
        <v>250</v>
      </c>
      <c r="C41" s="182" t="s">
        <v>251</v>
      </c>
      <c r="D41" s="182" t="s">
        <v>252</v>
      </c>
      <c r="E41" s="182" t="s">
        <v>253</v>
      </c>
      <c r="F41" s="183" t="s">
        <v>254</v>
      </c>
      <c r="G41" s="36" t="s">
        <v>122</v>
      </c>
      <c r="H41" s="92" t="s">
        <v>264</v>
      </c>
      <c r="I41" s="57"/>
      <c r="J41" s="58"/>
      <c r="L41" t="str">
        <f>LEFT(E41,SEARCH("/",E41,1)-1)</f>
        <v xml:space="preserve">1780.3 </v>
      </c>
      <c r="M41" t="str">
        <f>RIGHT(E41,SEARCH("/",E41,1)-1)</f>
        <v xml:space="preserve"> 1780.0</v>
      </c>
      <c r="N41" s="151">
        <f>M41/L41</f>
        <v>0.99983148907487507</v>
      </c>
      <c r="O41" s="150" t="s">
        <v>5</v>
      </c>
    </row>
    <row r="42" spans="1:17" ht="15" customHeight="1">
      <c r="A42" s="10" t="s">
        <v>123</v>
      </c>
      <c r="B42" s="178">
        <v>32.518415787889921</v>
      </c>
      <c r="C42" s="178">
        <v>29.277027964068736</v>
      </c>
      <c r="D42" s="178">
        <v>27.660416529764113</v>
      </c>
      <c r="E42" s="178">
        <v>26.715807050718354</v>
      </c>
      <c r="F42" s="179">
        <v>26.058068156850034</v>
      </c>
      <c r="G42" s="35" t="s">
        <v>124</v>
      </c>
      <c r="H42" s="91" t="s">
        <v>265</v>
      </c>
      <c r="I42" s="55"/>
      <c r="J42" s="97">
        <v>0.22237290088980957</v>
      </c>
    </row>
    <row r="43" spans="1:17" ht="15" customHeight="1" thickBot="1">
      <c r="A43" s="11" t="s">
        <v>125</v>
      </c>
      <c r="B43" s="184">
        <v>47.169874527540301</v>
      </c>
      <c r="C43" s="185"/>
      <c r="D43" s="186" t="s">
        <v>268</v>
      </c>
      <c r="E43" s="186"/>
      <c r="F43" s="187"/>
      <c r="G43" s="36" t="s">
        <v>122</v>
      </c>
      <c r="H43" s="92" t="s">
        <v>266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1526.0288324827147</v>
      </c>
      <c r="I44" s="90">
        <v>5.8807136000428743E-2</v>
      </c>
      <c r="J44" s="97">
        <v>0.61894305020369378</v>
      </c>
    </row>
    <row r="45" spans="1:17" ht="15" customHeight="1">
      <c r="A45" s="10" t="s">
        <v>129</v>
      </c>
      <c r="B45" s="68">
        <v>0.25981119275093079</v>
      </c>
      <c r="C45" s="161" t="s">
        <v>130</v>
      </c>
      <c r="D45" s="72">
        <v>9.846935048699379E-3</v>
      </c>
      <c r="E45" s="10" t="s">
        <v>131</v>
      </c>
      <c r="F45" s="74">
        <v>493.8741778953875</v>
      </c>
      <c r="G45" s="37" t="s">
        <v>122</v>
      </c>
      <c r="H45" s="86" t="s">
        <v>267</v>
      </c>
      <c r="I45" s="59"/>
      <c r="J45" s="60"/>
    </row>
    <row r="46" spans="1:17" ht="15" customHeight="1">
      <c r="A46" s="10" t="s">
        <v>132</v>
      </c>
      <c r="B46" s="68">
        <v>0.18550091981887817</v>
      </c>
      <c r="C46" s="161" t="s">
        <v>133</v>
      </c>
      <c r="D46" s="72">
        <v>1.0921737179160118E-2</v>
      </c>
      <c r="E46" s="10" t="s">
        <v>134</v>
      </c>
      <c r="F46" s="74">
        <v>905.56854789132342</v>
      </c>
      <c r="G46" s="36" t="s">
        <v>135</v>
      </c>
      <c r="H46" s="94">
        <v>334.94218792742862</v>
      </c>
      <c r="I46" s="57"/>
      <c r="J46" s="58"/>
      <c r="L46" s="146" t="s">
        <v>180</v>
      </c>
      <c r="M46" s="148">
        <f>B5^0.95</f>
        <v>572.71094007948739</v>
      </c>
    </row>
    <row r="47" spans="1:17" ht="15" customHeight="1">
      <c r="A47" s="10" t="s">
        <v>136</v>
      </c>
      <c r="B47" s="68">
        <v>0.44531211256980896</v>
      </c>
      <c r="C47" s="161" t="s">
        <v>137</v>
      </c>
      <c r="D47" s="72">
        <v>6.7024128511548042E-3</v>
      </c>
      <c r="E47" s="10" t="s">
        <v>138</v>
      </c>
      <c r="F47" s="74">
        <v>759.18848348626432</v>
      </c>
      <c r="G47" s="64" t="s">
        <v>139</v>
      </c>
      <c r="H47" s="93">
        <v>1439.044405944574</v>
      </c>
      <c r="I47" s="90">
        <v>5.5301584868260041E-2</v>
      </c>
      <c r="J47" s="95">
        <v>0.64005988977481931</v>
      </c>
      <c r="L47" s="146" t="s">
        <v>181</v>
      </c>
      <c r="M47" s="148">
        <f>B5^1.5</f>
        <v>22627.416303732971</v>
      </c>
    </row>
    <row r="48" spans="1:17" ht="15" customHeight="1">
      <c r="A48" s="10" t="s">
        <v>140</v>
      </c>
      <c r="B48" s="68">
        <v>9.9418731406331062E-3</v>
      </c>
      <c r="C48" s="161" t="s">
        <v>100</v>
      </c>
      <c r="D48" s="72">
        <v>3.7412956357002258E-2</v>
      </c>
      <c r="E48" s="10" t="s">
        <v>141</v>
      </c>
      <c r="F48" s="74">
        <v>153.79304055741287</v>
      </c>
      <c r="G48" s="65" t="s">
        <v>122</v>
      </c>
      <c r="H48" s="86">
        <v>241.12674855546106</v>
      </c>
      <c r="I48" s="59"/>
      <c r="J48" s="60"/>
      <c r="L48" s="146" t="s">
        <v>182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2" t="s">
        <v>142</v>
      </c>
      <c r="D49" s="81">
        <v>0.96258705854415894</v>
      </c>
      <c r="E49" s="11" t="s">
        <v>143</v>
      </c>
      <c r="F49" s="83">
        <v>333.73504791152976</v>
      </c>
      <c r="G49" s="66" t="s">
        <v>135</v>
      </c>
      <c r="H49" s="94">
        <v>324.51349516074055</v>
      </c>
      <c r="I49" s="57"/>
      <c r="J49" s="61"/>
      <c r="L49" s="146" t="s">
        <v>183</v>
      </c>
      <c r="M49" s="147">
        <f>IF(A5="",0,(7200/(1000*A5))^1.8)</f>
        <v>2.8806500970683282</v>
      </c>
    </row>
    <row r="50" spans="1:13" ht="15" customHeight="1">
      <c r="A50" s="13" t="s">
        <v>144</v>
      </c>
      <c r="B50" s="14"/>
      <c r="C50" s="14"/>
      <c r="D50" s="14"/>
      <c r="E50" s="14"/>
      <c r="F50" s="15"/>
      <c r="G50" s="13" t="s">
        <v>145</v>
      </c>
      <c r="H50" s="14"/>
      <c r="I50" s="41"/>
      <c r="J50" s="27"/>
      <c r="L50" s="146" t="s">
        <v>184</v>
      </c>
      <c r="M50" s="149">
        <f>IF(A5=2,27,24)</f>
        <v>24</v>
      </c>
    </row>
    <row r="51" spans="1:13" ht="15" customHeight="1">
      <c r="A51" s="10" t="s">
        <v>146</v>
      </c>
      <c r="B51" s="51">
        <v>44</v>
      </c>
      <c r="C51" s="9" t="s">
        <v>147</v>
      </c>
      <c r="D51" s="69">
        <v>12</v>
      </c>
      <c r="E51" s="9" t="s">
        <v>148</v>
      </c>
      <c r="F51" s="73">
        <v>14</v>
      </c>
      <c r="G51" s="9" t="s">
        <v>149</v>
      </c>
      <c r="H51" s="67">
        <v>7.5149203081776514E-2</v>
      </c>
      <c r="I51" s="44" t="s">
        <v>150</v>
      </c>
      <c r="J51" s="38"/>
      <c r="L51" s="146" t="s">
        <v>185</v>
      </c>
      <c r="M51" s="149">
        <v>6.8500000000000005E-2</v>
      </c>
    </row>
    <row r="52" spans="1:13" ht="15" customHeight="1">
      <c r="A52" s="10" t="s">
        <v>58</v>
      </c>
      <c r="B52" s="69">
        <v>32.799999237060547</v>
      </c>
      <c r="C52" s="9" t="s">
        <v>151</v>
      </c>
      <c r="D52" s="69">
        <v>2.9999992251396179</v>
      </c>
      <c r="E52" s="9" t="s">
        <v>152</v>
      </c>
      <c r="F52" s="73">
        <v>0</v>
      </c>
      <c r="G52" s="9" t="s">
        <v>169</v>
      </c>
      <c r="H52" s="69">
        <v>74370.508867419427</v>
      </c>
      <c r="I52" s="98" t="s">
        <v>247</v>
      </c>
      <c r="J52" s="62"/>
      <c r="L52" s="146" t="s">
        <v>192</v>
      </c>
      <c r="M52" s="163">
        <f>F5</f>
        <v>60</v>
      </c>
    </row>
    <row r="53" spans="1:13" ht="15" customHeight="1">
      <c r="A53" s="10" t="s">
        <v>64</v>
      </c>
      <c r="B53" s="69">
        <v>0</v>
      </c>
      <c r="C53" s="9" t="s">
        <v>153</v>
      </c>
      <c r="D53" s="69">
        <v>14.944689750671387</v>
      </c>
      <c r="E53" s="9" t="s">
        <v>154</v>
      </c>
      <c r="F53" s="73">
        <v>0</v>
      </c>
      <c r="G53" s="9" t="s">
        <v>170</v>
      </c>
      <c r="H53" s="68">
        <v>50.042132321948912</v>
      </c>
      <c r="I53" s="43" t="s">
        <v>155</v>
      </c>
      <c r="J53" s="38"/>
      <c r="L53" s="146" t="s">
        <v>186</v>
      </c>
      <c r="M53" s="152">
        <f>IF(F5=60,M50*M46/M48-M51*M47/M49,IF(F5&lt;&gt;60,(60/M52)^2*(M50*M46/M48-M51*M47/M49),0))</f>
        <v>2815.3913882398592</v>
      </c>
    </row>
    <row r="54" spans="1:13" ht="15" customHeight="1">
      <c r="A54" s="10" t="s">
        <v>66</v>
      </c>
      <c r="B54" s="69">
        <v>0.80000001192092896</v>
      </c>
      <c r="C54" s="9" t="s">
        <v>156</v>
      </c>
      <c r="D54" s="69">
        <v>11.368622526025799</v>
      </c>
      <c r="E54" s="9" t="s">
        <v>154</v>
      </c>
      <c r="F54" s="73">
        <v>14</v>
      </c>
      <c r="G54" s="9" t="s">
        <v>171</v>
      </c>
      <c r="H54" s="70">
        <v>188538</v>
      </c>
      <c r="I54" s="99" t="s">
        <v>248</v>
      </c>
      <c r="J54" s="100" t="s">
        <v>211</v>
      </c>
    </row>
    <row r="55" spans="1:13" ht="15" customHeight="1">
      <c r="A55" s="10" t="s">
        <v>157</v>
      </c>
      <c r="B55" s="69">
        <v>12</v>
      </c>
      <c r="C55" s="9" t="s">
        <v>158</v>
      </c>
      <c r="D55" s="69">
        <v>25</v>
      </c>
      <c r="E55" s="9" t="s">
        <v>159</v>
      </c>
      <c r="F55" s="73">
        <v>0</v>
      </c>
      <c r="G55" s="9" t="s">
        <v>160</v>
      </c>
      <c r="H55" s="69">
        <v>1</v>
      </c>
      <c r="I55" s="43" t="s">
        <v>161</v>
      </c>
      <c r="J55" s="38"/>
    </row>
    <row r="56" spans="1:13" ht="15" customHeight="1" thickBot="1">
      <c r="A56" s="11" t="s">
        <v>162</v>
      </c>
      <c r="B56" s="80">
        <v>2</v>
      </c>
      <c r="C56" s="21" t="s">
        <v>163</v>
      </c>
      <c r="D56" s="80">
        <v>17.359586557370665</v>
      </c>
      <c r="E56" s="21" t="s">
        <v>164</v>
      </c>
      <c r="F56" s="82">
        <v>0</v>
      </c>
      <c r="G56" s="21" t="s">
        <v>165</v>
      </c>
      <c r="H56" s="79">
        <v>0.89993499999999993</v>
      </c>
      <c r="I56" s="101" t="s">
        <v>249</v>
      </c>
      <c r="J56" s="61" t="s">
        <v>212</v>
      </c>
    </row>
    <row r="57" spans="1:13" ht="15" customHeight="1">
      <c r="A57" s="23" t="s">
        <v>399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166</v>
      </c>
      <c r="C58" s="16" t="s">
        <v>397</v>
      </c>
      <c r="D58" s="4" t="s">
        <v>119</v>
      </c>
      <c r="E58" s="4" t="s">
        <v>166</v>
      </c>
      <c r="F58" s="16" t="s">
        <v>398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0.23193846642971039</v>
      </c>
      <c r="D59" s="127">
        <v>0.69999998807907104</v>
      </c>
      <c r="E59" s="86">
        <v>108.39401308022495</v>
      </c>
      <c r="F59" s="87">
        <v>703.5504150390625</v>
      </c>
      <c r="G59" s="121"/>
      <c r="H59" s="45"/>
      <c r="I59" s="45"/>
      <c r="J59" s="46"/>
    </row>
    <row r="60" spans="1:13" ht="15" customHeight="1">
      <c r="A60" s="129">
        <v>4.999999888241291E-3</v>
      </c>
      <c r="B60" s="86">
        <v>78.551626536935402</v>
      </c>
      <c r="C60" s="87">
        <v>92.360679626464844</v>
      </c>
      <c r="D60" s="127">
        <v>0.80000001192092896</v>
      </c>
      <c r="E60" s="86">
        <v>112.54105149468275</v>
      </c>
      <c r="F60" s="87">
        <v>710.29150390625</v>
      </c>
      <c r="G60" s="121"/>
      <c r="H60" s="45"/>
      <c r="I60" s="45"/>
      <c r="J60" s="46"/>
    </row>
    <row r="61" spans="1:13" ht="15" customHeight="1">
      <c r="A61" s="129">
        <v>2.500000037252903E-2</v>
      </c>
      <c r="B61" s="86">
        <v>271.04204921783565</v>
      </c>
      <c r="C61" s="87">
        <v>365.205078125</v>
      </c>
      <c r="D61" s="127">
        <v>0.89999997615814209</v>
      </c>
      <c r="E61" s="86">
        <v>119.34397748635843</v>
      </c>
      <c r="F61" s="87">
        <v>716.3394775390625</v>
      </c>
      <c r="G61" s="121"/>
      <c r="H61" s="45"/>
      <c r="I61" s="45"/>
      <c r="J61" s="46"/>
    </row>
    <row r="62" spans="1:13" ht="15" customHeight="1">
      <c r="A62" s="125">
        <v>5.000000074505806E-2</v>
      </c>
      <c r="B62" s="86">
        <v>290</v>
      </c>
      <c r="C62" s="87">
        <v>528.7376708984375</v>
      </c>
      <c r="D62" s="128">
        <v>1</v>
      </c>
      <c r="E62" s="86">
        <v>130</v>
      </c>
      <c r="F62" s="87">
        <v>721.78216552734375</v>
      </c>
      <c r="G62" s="121"/>
      <c r="H62" s="45"/>
      <c r="I62" s="45"/>
      <c r="J62" s="46"/>
    </row>
    <row r="63" spans="1:13" ht="15" customHeight="1" thickBot="1">
      <c r="A63" s="125">
        <v>0.10625000298023224</v>
      </c>
      <c r="B63" s="86">
        <v>185.56153169164418</v>
      </c>
      <c r="C63" s="87">
        <v>596.3828125</v>
      </c>
      <c r="D63" s="480"/>
      <c r="E63" s="481"/>
      <c r="F63" s="482"/>
      <c r="G63" s="121"/>
      <c r="H63" s="45"/>
      <c r="I63" s="45"/>
      <c r="J63" s="46"/>
    </row>
    <row r="64" spans="1:13" ht="15" customHeight="1">
      <c r="A64" s="125">
        <v>0.16250000894069672</v>
      </c>
      <c r="B64" s="86">
        <v>148.24850078150425</v>
      </c>
      <c r="C64" s="87">
        <v>628.87835693359375</v>
      </c>
      <c r="D64" s="483" t="s">
        <v>407</v>
      </c>
      <c r="E64" s="484"/>
      <c r="F64" s="484"/>
      <c r="G64" s="121"/>
      <c r="H64" s="45"/>
      <c r="I64" s="45"/>
      <c r="J64" s="46"/>
    </row>
    <row r="65" spans="1:10" ht="15" customHeight="1">
      <c r="A65" s="125">
        <v>0.27500000596046448</v>
      </c>
      <c r="B65" s="86">
        <v>120.79606430445172</v>
      </c>
      <c r="C65" s="87">
        <v>659.606689453125</v>
      </c>
      <c r="D65" s="485" t="s">
        <v>401</v>
      </c>
      <c r="E65" s="487" t="s">
        <v>405</v>
      </c>
      <c r="F65" s="488"/>
      <c r="G65" s="121"/>
      <c r="H65" s="45"/>
      <c r="I65" s="45"/>
      <c r="J65" s="46"/>
    </row>
    <row r="66" spans="1:10" ht="15" customHeight="1">
      <c r="A66" s="125">
        <v>0.38750001788139343</v>
      </c>
      <c r="B66" s="86">
        <v>109.69389583233304</v>
      </c>
      <c r="C66" s="87">
        <v>675.5301513671875</v>
      </c>
      <c r="D66" s="485" t="s">
        <v>402</v>
      </c>
      <c r="E66" s="487" t="s">
        <v>406</v>
      </c>
      <c r="F66" s="488"/>
      <c r="G66" s="121"/>
      <c r="H66" s="45"/>
      <c r="I66" s="45"/>
      <c r="J66" s="46"/>
    </row>
    <row r="67" spans="1:10" ht="15" customHeight="1">
      <c r="A67" s="125">
        <v>0.5</v>
      </c>
      <c r="B67" s="86">
        <v>105</v>
      </c>
      <c r="C67" s="87">
        <v>686.7552490234375</v>
      </c>
      <c r="D67" s="485" t="s">
        <v>403</v>
      </c>
      <c r="E67" s="487" t="s">
        <v>408</v>
      </c>
      <c r="F67" s="488"/>
      <c r="G67" s="121"/>
      <c r="H67" s="45"/>
      <c r="I67" s="45"/>
      <c r="J67" s="46"/>
    </row>
    <row r="68" spans="1:10" ht="15" customHeight="1" thickBot="1">
      <c r="A68" s="126">
        <v>0.60000002384185791</v>
      </c>
      <c r="B68" s="88">
        <v>106.07815464366531</v>
      </c>
      <c r="C68" s="89">
        <v>695.96685791015625</v>
      </c>
      <c r="D68" s="486" t="s">
        <v>404</v>
      </c>
      <c r="E68" s="489" t="s">
        <v>409</v>
      </c>
      <c r="F68" s="489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479" t="s">
        <v>400</v>
      </c>
      <c r="B99" s="479"/>
      <c r="C99" s="479"/>
      <c r="D99" s="479"/>
      <c r="E99" s="479"/>
      <c r="F99" s="479"/>
      <c r="G99" s="479"/>
      <c r="H99" s="479"/>
      <c r="I99" s="479"/>
    </row>
    <row r="100" spans="1:9">
      <c r="A100" s="479">
        <v>100</v>
      </c>
      <c r="B100" s="479"/>
      <c r="C100" s="479"/>
      <c r="D100" s="479"/>
      <c r="E100" s="479"/>
      <c r="F100" s="479"/>
      <c r="G100" s="479"/>
      <c r="H100" s="479"/>
      <c r="I100" s="479"/>
    </row>
    <row r="101" spans="1:9">
      <c r="A101" s="479">
        <v>99</v>
      </c>
      <c r="B101" s="479"/>
      <c r="C101" s="479"/>
      <c r="D101" s="479"/>
      <c r="E101" s="479"/>
      <c r="F101" s="479"/>
      <c r="G101" s="479"/>
      <c r="H101" s="479"/>
      <c r="I101" s="479"/>
    </row>
    <row r="102" spans="1:9">
      <c r="A102" s="479">
        <v>93.875</v>
      </c>
      <c r="B102" s="479"/>
      <c r="C102" s="479"/>
      <c r="D102" s="479"/>
      <c r="E102" s="479"/>
      <c r="F102" s="479"/>
      <c r="G102" s="479"/>
      <c r="H102" s="479"/>
      <c r="I102" s="479"/>
    </row>
    <row r="103" spans="1:9">
      <c r="A103" s="479">
        <v>87</v>
      </c>
      <c r="B103" s="479"/>
      <c r="C103" s="479"/>
      <c r="D103" s="479"/>
      <c r="E103" s="479"/>
      <c r="F103" s="479"/>
      <c r="G103" s="479"/>
      <c r="H103" s="479"/>
      <c r="I103" s="479"/>
    </row>
    <row r="104" spans="1:9">
      <c r="A104" s="479">
        <v>72.375</v>
      </c>
      <c r="B104" s="479"/>
      <c r="C104" s="479"/>
      <c r="D104" s="479"/>
      <c r="E104" s="479"/>
      <c r="F104" s="479"/>
      <c r="G104" s="479"/>
      <c r="H104" s="479"/>
      <c r="I104" s="479"/>
    </row>
    <row r="105" spans="1:9">
      <c r="A105" s="479">
        <v>58.249996185302734</v>
      </c>
      <c r="B105" s="479"/>
      <c r="C105" s="479"/>
      <c r="D105" s="479"/>
      <c r="E105" s="479"/>
      <c r="F105" s="479"/>
      <c r="G105" s="479"/>
      <c r="H105" s="479"/>
      <c r="I105" s="479"/>
    </row>
    <row r="106" spans="1:9">
      <c r="A106" s="479">
        <v>37.25</v>
      </c>
      <c r="B106" s="479"/>
      <c r="C106" s="479"/>
      <c r="D106" s="479"/>
      <c r="E106" s="479"/>
      <c r="F106" s="479"/>
      <c r="G106" s="479"/>
      <c r="H106" s="479"/>
      <c r="I106" s="479"/>
    </row>
    <row r="107" spans="1:9">
      <c r="A107" s="479">
        <v>23.374998092651367</v>
      </c>
      <c r="B107" s="479"/>
      <c r="C107" s="479"/>
      <c r="D107" s="479"/>
      <c r="E107" s="479"/>
      <c r="F107" s="479"/>
      <c r="G107" s="479"/>
      <c r="H107" s="479"/>
      <c r="I107" s="479"/>
    </row>
    <row r="108" spans="1:9">
      <c r="A108" s="479">
        <v>14</v>
      </c>
      <c r="B108" s="479"/>
      <c r="C108" s="479"/>
      <c r="D108" s="479"/>
      <c r="E108" s="479"/>
      <c r="F108" s="479"/>
      <c r="G108" s="479"/>
      <c r="H108" s="479"/>
      <c r="I108" s="479"/>
    </row>
    <row r="109" spans="1:9">
      <c r="A109" s="479">
        <v>7.9999995231628418</v>
      </c>
      <c r="B109" s="479"/>
      <c r="C109" s="479"/>
      <c r="D109" s="479"/>
      <c r="E109" s="479"/>
      <c r="F109" s="479"/>
      <c r="G109" s="479"/>
      <c r="H109" s="479"/>
      <c r="I109" s="479"/>
    </row>
    <row r="110" spans="1:9">
      <c r="A110" s="479">
        <v>5.9999995231628418</v>
      </c>
      <c r="B110" s="479"/>
      <c r="C110" s="479"/>
      <c r="D110" s="479"/>
      <c r="E110" s="479"/>
      <c r="F110" s="479"/>
      <c r="G110" s="479"/>
      <c r="H110" s="479"/>
      <c r="I110" s="479"/>
    </row>
    <row r="111" spans="1:9">
      <c r="A111" s="479">
        <v>8.0000009536743164</v>
      </c>
      <c r="B111" s="479"/>
      <c r="C111" s="479"/>
      <c r="D111" s="479"/>
      <c r="E111" s="479"/>
      <c r="F111" s="479"/>
      <c r="G111" s="479"/>
      <c r="H111" s="479"/>
      <c r="I111" s="479"/>
    </row>
    <row r="112" spans="1:9">
      <c r="A112" s="479">
        <v>14.999996185302734</v>
      </c>
      <c r="B112" s="479"/>
      <c r="C112" s="479"/>
      <c r="D112" s="479"/>
      <c r="E112" s="479"/>
      <c r="F112" s="479"/>
      <c r="G112" s="479"/>
      <c r="H112" s="479"/>
      <c r="I112" s="479"/>
    </row>
    <row r="113" spans="1:9">
      <c r="A113" s="479">
        <v>30</v>
      </c>
      <c r="B113" s="479"/>
      <c r="C113" s="479"/>
      <c r="D113" s="479"/>
      <c r="E113" s="479"/>
      <c r="F113" s="479"/>
      <c r="G113" s="479"/>
      <c r="H113" s="479"/>
      <c r="I113" s="479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workbookViewId="0">
      <selection activeCell="J34" sqref="J34"/>
    </sheetView>
  </sheetViews>
  <sheetFormatPr defaultRowHeight="15.75"/>
  <cols>
    <col min="1" max="1" width="12.140625" style="400" customWidth="1"/>
    <col min="2" max="2" width="6.140625" style="400" customWidth="1"/>
    <col min="3" max="3" width="7.140625" style="400" customWidth="1"/>
    <col min="4" max="4" width="12.85546875" style="400" customWidth="1"/>
    <col min="5" max="5" width="12.5703125" style="400" customWidth="1"/>
    <col min="6" max="6" width="9.42578125" style="400" customWidth="1"/>
    <col min="7" max="7" width="5.7109375" style="400" customWidth="1"/>
    <col min="8" max="8" width="7.85546875" style="400" customWidth="1"/>
    <col min="9" max="9" width="6.5703125" style="400" customWidth="1"/>
    <col min="10" max="10" width="12" style="401" customWidth="1"/>
    <col min="11" max="11" width="12" style="400" customWidth="1"/>
    <col min="12" max="26" width="9.140625" style="189"/>
    <col min="27" max="16384" width="9.140625" style="190"/>
  </cols>
  <sheetData>
    <row r="1" spans="1:26" ht="20.25" customHeight="1">
      <c r="A1" s="188" t="s">
        <v>269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26" ht="20.25" customHeight="1">
      <c r="A2" s="191" t="s">
        <v>270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26" ht="18.75" customHeight="1" thickBot="1">
      <c r="A3" s="192" t="s">
        <v>1</v>
      </c>
      <c r="B3" s="193" t="s">
        <v>381</v>
      </c>
      <c r="C3" s="194"/>
      <c r="D3" s="194"/>
      <c r="E3" s="194"/>
      <c r="F3" s="195"/>
      <c r="G3" s="194"/>
      <c r="H3" s="194"/>
      <c r="I3" s="192" t="s">
        <v>271</v>
      </c>
      <c r="J3" s="471" t="s">
        <v>389</v>
      </c>
      <c r="K3" s="471"/>
    </row>
    <row r="4" spans="1:26" s="204" customFormat="1" ht="18.399999999999999" customHeight="1" thickBot="1">
      <c r="A4" s="196" t="s">
        <v>382</v>
      </c>
      <c r="B4" s="197"/>
      <c r="C4" s="198"/>
      <c r="D4" s="198"/>
      <c r="E4" s="198"/>
      <c r="F4" s="198"/>
      <c r="G4" s="198"/>
      <c r="H4" s="198"/>
      <c r="I4" s="198"/>
      <c r="J4" s="198"/>
      <c r="K4" s="199"/>
      <c r="L4" s="200"/>
      <c r="M4" s="200"/>
      <c r="N4" s="200"/>
      <c r="O4" s="200"/>
      <c r="P4" s="200"/>
      <c r="Q4" s="201" t="s">
        <v>272</v>
      </c>
      <c r="R4" s="202"/>
      <c r="S4" s="200"/>
      <c r="T4" s="201" t="s">
        <v>273</v>
      </c>
      <c r="U4" s="203"/>
      <c r="V4" s="200"/>
      <c r="W4" s="200"/>
      <c r="X4" s="200"/>
      <c r="Y4" s="200"/>
      <c r="Z4" s="200"/>
    </row>
    <row r="5" spans="1:26" s="204" customFormat="1" ht="18.399999999999999" customHeight="1">
      <c r="A5" s="205" t="s">
        <v>274</v>
      </c>
      <c r="B5" s="206"/>
      <c r="C5" s="206"/>
      <c r="D5" s="207"/>
      <c r="E5" s="208"/>
      <c r="F5" s="209" t="s">
        <v>275</v>
      </c>
      <c r="G5" s="210"/>
      <c r="H5" s="210"/>
      <c r="I5" s="211"/>
      <c r="J5" s="212" t="s">
        <v>276</v>
      </c>
      <c r="K5" s="213" t="s">
        <v>277</v>
      </c>
      <c r="L5" s="200"/>
      <c r="M5" s="200"/>
      <c r="N5" s="200"/>
      <c r="O5" s="200"/>
      <c r="P5" s="200"/>
      <c r="Q5" s="214" t="s">
        <v>278</v>
      </c>
      <c r="R5" s="215"/>
      <c r="S5" s="200"/>
      <c r="T5" s="214" t="s">
        <v>279</v>
      </c>
      <c r="U5" s="216"/>
      <c r="V5" s="200"/>
      <c r="W5" s="200"/>
      <c r="X5" s="200"/>
      <c r="Y5" s="200"/>
      <c r="Z5" s="200"/>
    </row>
    <row r="6" spans="1:26" s="204" customFormat="1" ht="18.399999999999999" customHeight="1">
      <c r="A6" s="217" t="s">
        <v>67</v>
      </c>
      <c r="B6" s="218"/>
      <c r="C6" s="218"/>
      <c r="D6" s="472" t="s">
        <v>279</v>
      </c>
      <c r="E6" s="473"/>
      <c r="F6" s="219" t="s">
        <v>281</v>
      </c>
      <c r="G6" s="220"/>
      <c r="H6" s="220"/>
      <c r="I6" s="220"/>
      <c r="J6" s="220"/>
      <c r="K6" s="221"/>
      <c r="L6" s="200"/>
      <c r="M6" s="200"/>
      <c r="N6" s="200"/>
      <c r="O6" s="200"/>
      <c r="P6" s="200"/>
      <c r="Q6" s="214" t="s">
        <v>282</v>
      </c>
      <c r="R6" s="215"/>
      <c r="S6" s="200"/>
      <c r="T6" s="214" t="s">
        <v>283</v>
      </c>
      <c r="U6" s="216"/>
      <c r="V6" s="200"/>
      <c r="W6" s="200"/>
      <c r="X6" s="200"/>
      <c r="Y6" s="200"/>
      <c r="Z6" s="200"/>
    </row>
    <row r="7" spans="1:26" s="204" customFormat="1" ht="18.399999999999999" customHeight="1">
      <c r="A7" s="222" t="s">
        <v>20</v>
      </c>
      <c r="B7" s="223"/>
      <c r="C7" s="223"/>
      <c r="D7" s="224">
        <v>2.0999999046325701</v>
      </c>
      <c r="E7" s="225"/>
      <c r="F7" s="226" t="s">
        <v>284</v>
      </c>
      <c r="G7" s="227"/>
      <c r="H7" s="228"/>
      <c r="I7" s="229"/>
      <c r="J7" s="230">
        <v>23</v>
      </c>
      <c r="K7" s="231" t="s">
        <v>175</v>
      </c>
      <c r="L7" s="200"/>
      <c r="M7" s="200"/>
      <c r="N7" s="200"/>
      <c r="O7" s="200"/>
      <c r="P7" s="200"/>
      <c r="Q7" s="214" t="s">
        <v>285</v>
      </c>
      <c r="R7" s="215"/>
      <c r="S7" s="200"/>
      <c r="T7" s="214" t="s">
        <v>280</v>
      </c>
      <c r="U7" s="216"/>
      <c r="V7" s="200"/>
      <c r="W7" s="200"/>
      <c r="X7" s="200"/>
      <c r="Y7" s="200"/>
      <c r="Z7" s="200"/>
    </row>
    <row r="8" spans="1:26" s="204" customFormat="1" ht="18.399999999999999" customHeight="1">
      <c r="A8" s="222" t="s">
        <v>286</v>
      </c>
      <c r="B8" s="223"/>
      <c r="C8" s="223"/>
      <c r="D8" s="232">
        <v>530</v>
      </c>
      <c r="E8" s="233"/>
      <c r="F8" s="234" t="s">
        <v>287</v>
      </c>
      <c r="G8" s="235"/>
      <c r="H8" s="236"/>
      <c r="I8" s="237"/>
      <c r="J8" s="238">
        <v>7611</v>
      </c>
      <c r="K8" s="239" t="s">
        <v>175</v>
      </c>
      <c r="L8" s="200"/>
      <c r="M8" s="200"/>
      <c r="N8" s="200"/>
      <c r="O8" s="200"/>
      <c r="P8" s="200"/>
      <c r="Q8" s="214" t="s">
        <v>288</v>
      </c>
      <c r="R8" s="215"/>
      <c r="S8" s="200"/>
      <c r="T8" s="214" t="s">
        <v>289</v>
      </c>
      <c r="U8" s="216"/>
      <c r="V8" s="200"/>
      <c r="W8" s="200"/>
      <c r="X8" s="200"/>
      <c r="Y8" s="200"/>
      <c r="Z8" s="200"/>
    </row>
    <row r="9" spans="1:26" s="204" customFormat="1" ht="18.399999999999999" customHeight="1">
      <c r="A9" s="240" t="s">
        <v>290</v>
      </c>
      <c r="B9" s="241"/>
      <c r="C9" s="242"/>
      <c r="D9" s="232">
        <v>11</v>
      </c>
      <c r="E9" s="233"/>
      <c r="F9" s="226" t="s">
        <v>291</v>
      </c>
      <c r="G9" s="227"/>
      <c r="H9" s="243">
        <v>3</v>
      </c>
      <c r="I9" s="244" t="s">
        <v>292</v>
      </c>
      <c r="J9" s="245">
        <v>226</v>
      </c>
      <c r="K9" s="239" t="s">
        <v>175</v>
      </c>
      <c r="L9" s="200"/>
      <c r="M9" s="200"/>
      <c r="N9" s="200"/>
      <c r="O9" s="200"/>
      <c r="P9" s="200"/>
      <c r="Q9" s="214" t="s">
        <v>293</v>
      </c>
      <c r="R9" s="215"/>
      <c r="S9" s="200"/>
      <c r="T9" s="214" t="s">
        <v>294</v>
      </c>
      <c r="U9" s="216"/>
      <c r="V9" s="200"/>
      <c r="W9" s="200"/>
      <c r="X9" s="200"/>
      <c r="Y9" s="200"/>
      <c r="Z9" s="200"/>
    </row>
    <row r="10" spans="1:26" s="204" customFormat="1" ht="18.399999999999999" customHeight="1" thickBot="1">
      <c r="A10" s="240" t="s">
        <v>295</v>
      </c>
      <c r="B10" s="241"/>
      <c r="C10" s="242"/>
      <c r="D10" s="246" t="s">
        <v>203</v>
      </c>
      <c r="E10" s="247"/>
      <c r="F10" s="226" t="s">
        <v>296</v>
      </c>
      <c r="G10" s="227"/>
      <c r="H10" s="243">
        <v>3</v>
      </c>
      <c r="I10" s="244" t="s">
        <v>292</v>
      </c>
      <c r="J10" s="245">
        <v>1150</v>
      </c>
      <c r="K10" s="239" t="s">
        <v>175</v>
      </c>
      <c r="L10" s="200"/>
      <c r="M10" s="200"/>
      <c r="N10" s="200"/>
      <c r="O10" s="200"/>
      <c r="P10" s="200"/>
      <c r="Q10" s="214" t="s">
        <v>297</v>
      </c>
      <c r="R10" s="215"/>
      <c r="S10" s="200"/>
      <c r="T10" s="248" t="s">
        <v>298</v>
      </c>
      <c r="U10" s="249"/>
      <c r="V10" s="200"/>
      <c r="W10" s="200"/>
      <c r="X10" s="200"/>
      <c r="Y10" s="200"/>
      <c r="Z10" s="200"/>
    </row>
    <row r="11" spans="1:26" s="204" customFormat="1" ht="18.399999999999999" customHeight="1" thickBot="1">
      <c r="A11" s="240" t="s">
        <v>299</v>
      </c>
      <c r="B11" s="241"/>
      <c r="C11" s="242"/>
      <c r="D11" s="250" t="s">
        <v>204</v>
      </c>
      <c r="E11" s="251"/>
      <c r="F11" s="252" t="s">
        <v>300</v>
      </c>
      <c r="G11" s="253"/>
      <c r="H11" s="254">
        <v>3</v>
      </c>
      <c r="I11" s="244" t="s">
        <v>292</v>
      </c>
      <c r="J11" s="255">
        <v>24274</v>
      </c>
      <c r="K11" s="256" t="s">
        <v>175</v>
      </c>
      <c r="L11" s="200"/>
      <c r="M11" s="200"/>
      <c r="N11" s="200"/>
      <c r="O11" s="200"/>
      <c r="P11" s="200"/>
      <c r="Q11" s="214" t="s">
        <v>301</v>
      </c>
      <c r="R11" s="215"/>
      <c r="S11" s="200"/>
      <c r="T11" s="201" t="s">
        <v>302</v>
      </c>
      <c r="U11" s="203"/>
      <c r="V11" s="200"/>
      <c r="W11" s="200"/>
      <c r="X11" s="200"/>
      <c r="Y11" s="200"/>
      <c r="Z11" s="200"/>
    </row>
    <row r="12" spans="1:26" s="204" customFormat="1" ht="18.399999999999999" customHeight="1" thickBot="1">
      <c r="A12" s="257" t="s">
        <v>303</v>
      </c>
      <c r="C12" s="258"/>
      <c r="D12" s="259" t="s">
        <v>175</v>
      </c>
      <c r="E12" s="260"/>
      <c r="F12" s="261" t="s">
        <v>304</v>
      </c>
      <c r="G12" s="262"/>
      <c r="H12" s="262"/>
      <c r="I12" s="262"/>
      <c r="J12" s="262"/>
      <c r="K12" s="263"/>
      <c r="L12" s="200"/>
      <c r="M12" s="200"/>
      <c r="N12" s="200"/>
      <c r="O12" s="200"/>
      <c r="P12" s="200"/>
      <c r="Q12" s="248" t="s">
        <v>305</v>
      </c>
      <c r="R12" s="264"/>
      <c r="S12" s="200"/>
      <c r="T12" s="200"/>
      <c r="U12" s="200"/>
      <c r="V12" s="200"/>
      <c r="W12" s="200"/>
      <c r="X12" s="200"/>
      <c r="Y12" s="200"/>
      <c r="Z12" s="200"/>
    </row>
    <row r="13" spans="1:26" s="204" customFormat="1" ht="18.399999999999999" customHeight="1">
      <c r="A13" s="240" t="s">
        <v>53</v>
      </c>
      <c r="B13" s="241"/>
      <c r="C13" s="242"/>
      <c r="D13" s="265" t="s">
        <v>384</v>
      </c>
      <c r="E13" s="266"/>
      <c r="F13" s="267"/>
      <c r="G13" s="268" t="s">
        <v>306</v>
      </c>
      <c r="H13" s="269"/>
      <c r="I13" s="270" t="s">
        <v>307</v>
      </c>
      <c r="J13" s="271" t="s">
        <v>386</v>
      </c>
      <c r="K13" s="272" t="s">
        <v>175</v>
      </c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</row>
    <row r="14" spans="1:26" s="204" customFormat="1" ht="18.399999999999999" customHeight="1">
      <c r="A14" s="240" t="s">
        <v>56</v>
      </c>
      <c r="B14" s="241"/>
      <c r="C14" s="242"/>
      <c r="D14" s="259">
        <v>1045</v>
      </c>
      <c r="E14" s="260"/>
      <c r="F14" s="267"/>
      <c r="G14" s="273" t="s">
        <v>10</v>
      </c>
      <c r="H14" s="274"/>
      <c r="I14" s="274"/>
      <c r="J14" s="245" t="s">
        <v>175</v>
      </c>
      <c r="K14" s="239" t="s">
        <v>175</v>
      </c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spans="1:26" s="204" customFormat="1" ht="18.399999999999999" customHeight="1">
      <c r="A15" s="275" t="s">
        <v>308</v>
      </c>
      <c r="B15" s="276"/>
      <c r="C15" s="277"/>
      <c r="D15" s="278">
        <v>9.5364017486572266</v>
      </c>
      <c r="E15" s="279"/>
      <c r="F15" s="267"/>
      <c r="G15" s="273" t="s">
        <v>309</v>
      </c>
      <c r="H15" s="274"/>
      <c r="I15" s="274"/>
      <c r="J15" s="245" t="s">
        <v>175</v>
      </c>
      <c r="K15" s="239" t="s">
        <v>175</v>
      </c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</row>
    <row r="16" spans="1:26" s="204" customFormat="1" ht="18.399999999999999" customHeight="1">
      <c r="A16" s="280" t="s">
        <v>310</v>
      </c>
      <c r="B16" s="281"/>
      <c r="C16" s="282"/>
      <c r="D16" s="278">
        <v>3.5623998641967773</v>
      </c>
      <c r="E16" s="279"/>
      <c r="F16" s="283"/>
      <c r="G16" s="284" t="s">
        <v>17</v>
      </c>
      <c r="H16" s="285"/>
      <c r="I16" s="285"/>
      <c r="J16" s="255" t="s">
        <v>175</v>
      </c>
      <c r="K16" s="256" t="s">
        <v>175</v>
      </c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</row>
    <row r="17" spans="1:26" s="204" customFormat="1" ht="18.399999999999999" customHeight="1">
      <c r="A17" s="286" t="s">
        <v>311</v>
      </c>
      <c r="B17" s="287"/>
      <c r="C17" s="288"/>
      <c r="D17" s="250" t="s">
        <v>383</v>
      </c>
      <c r="E17" s="251"/>
      <c r="F17" s="261" t="s">
        <v>312</v>
      </c>
      <c r="G17" s="262"/>
      <c r="H17" s="262"/>
      <c r="I17" s="262"/>
      <c r="J17" s="262"/>
      <c r="K17" s="263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</row>
    <row r="18" spans="1:26" s="204" customFormat="1" ht="18.399999999999999" customHeight="1">
      <c r="A18" s="289" t="s">
        <v>313</v>
      </c>
      <c r="B18" s="290"/>
      <c r="C18" s="288"/>
      <c r="D18" s="246" t="s">
        <v>175</v>
      </c>
      <c r="E18" s="247"/>
      <c r="F18" s="291"/>
      <c r="G18" s="292"/>
      <c r="H18" s="293" t="s">
        <v>314</v>
      </c>
      <c r="I18" s="294"/>
      <c r="J18" s="238">
        <v>101</v>
      </c>
      <c r="K18" s="239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</row>
    <row r="19" spans="1:26" s="204" customFormat="1" ht="18.399999999999999" customHeight="1">
      <c r="A19" s="295" t="s">
        <v>315</v>
      </c>
      <c r="B19" s="296"/>
      <c r="C19" s="297"/>
      <c r="D19" s="298" t="s">
        <v>175</v>
      </c>
      <c r="E19" s="251"/>
      <c r="F19" s="299"/>
      <c r="G19" s="300"/>
      <c r="H19" s="293" t="s">
        <v>5</v>
      </c>
      <c r="I19" s="229"/>
      <c r="J19" s="238">
        <v>1780</v>
      </c>
      <c r="K19" s="239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</row>
    <row r="20" spans="1:26" s="204" customFormat="1" ht="18.399999999999999" customHeight="1" thickBot="1">
      <c r="A20" s="301" t="s">
        <v>316</v>
      </c>
      <c r="C20" s="302"/>
      <c r="D20" s="303" t="s">
        <v>202</v>
      </c>
      <c r="E20" s="233"/>
      <c r="F20" s="299"/>
      <c r="G20" s="300"/>
      <c r="H20" s="293" t="s">
        <v>317</v>
      </c>
      <c r="I20" s="229"/>
      <c r="J20" s="245" t="s">
        <v>362</v>
      </c>
      <c r="K20" s="239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</row>
    <row r="21" spans="1:26" s="204" customFormat="1" ht="18.399999999999999" customHeight="1" thickBot="1">
      <c r="A21" s="275" t="s">
        <v>318</v>
      </c>
      <c r="B21" s="276"/>
      <c r="C21" s="277"/>
      <c r="D21" s="232" t="s">
        <v>175</v>
      </c>
      <c r="E21" s="233"/>
      <c r="F21" s="299"/>
      <c r="G21" s="300"/>
      <c r="H21" s="304" t="s">
        <v>319</v>
      </c>
      <c r="I21" s="229"/>
      <c r="J21" s="245">
        <v>1.1499999999999999</v>
      </c>
      <c r="K21" s="239"/>
      <c r="L21" s="200"/>
      <c r="M21" s="200"/>
      <c r="N21" s="200"/>
      <c r="O21" s="200"/>
      <c r="P21" s="200"/>
      <c r="Q21" s="201" t="s">
        <v>320</v>
      </c>
      <c r="R21" s="203"/>
      <c r="S21" s="200"/>
      <c r="T21" s="200"/>
      <c r="U21" s="200"/>
      <c r="V21" s="200"/>
      <c r="W21" s="200"/>
      <c r="X21" s="200"/>
      <c r="Y21" s="200"/>
      <c r="Z21" s="200"/>
    </row>
    <row r="22" spans="1:26" s="204" customFormat="1" ht="18.399999999999999" customHeight="1">
      <c r="A22" s="289" t="s">
        <v>321</v>
      </c>
      <c r="B22" s="305"/>
      <c r="C22" s="305"/>
      <c r="D22" s="306">
        <v>0.52139997482299805</v>
      </c>
      <c r="E22" s="307"/>
      <c r="F22" s="299"/>
      <c r="G22" s="300"/>
      <c r="H22" s="293" t="s">
        <v>276</v>
      </c>
      <c r="I22" s="229"/>
      <c r="J22" s="245" t="s">
        <v>175</v>
      </c>
      <c r="K22" s="239"/>
      <c r="L22" s="200"/>
      <c r="M22" s="200"/>
      <c r="N22" s="200"/>
      <c r="O22" s="200"/>
      <c r="P22" s="200"/>
      <c r="Q22" s="214" t="s">
        <v>323</v>
      </c>
      <c r="R22" s="216"/>
      <c r="S22" s="200"/>
      <c r="T22" s="200"/>
      <c r="U22" s="200"/>
      <c r="V22" s="200"/>
      <c r="W22" s="200"/>
      <c r="X22" s="200"/>
      <c r="Y22" s="200"/>
      <c r="Z22" s="200"/>
    </row>
    <row r="23" spans="1:26" s="204" customFormat="1" ht="18.399999999999999" customHeight="1">
      <c r="A23" s="308" t="s">
        <v>324</v>
      </c>
      <c r="B23" s="309" t="s">
        <v>325</v>
      </c>
      <c r="C23" s="310"/>
      <c r="D23" s="265">
        <v>194.7</v>
      </c>
      <c r="E23" s="266"/>
      <c r="F23" s="299"/>
      <c r="G23" s="300"/>
      <c r="H23" s="311" t="s">
        <v>326</v>
      </c>
      <c r="I23" s="312"/>
      <c r="J23" s="313">
        <v>94.5</v>
      </c>
      <c r="K23" s="314"/>
      <c r="L23" s="200"/>
      <c r="Q23" s="214" t="s">
        <v>327</v>
      </c>
      <c r="R23" s="216"/>
      <c r="S23" s="200"/>
      <c r="T23" s="200"/>
      <c r="U23" s="200"/>
      <c r="V23" s="200"/>
      <c r="W23" s="200"/>
      <c r="X23" s="200"/>
      <c r="Y23" s="200"/>
      <c r="Z23" s="200"/>
    </row>
    <row r="24" spans="1:26" s="204" customFormat="1" ht="18.399999999999999" customHeight="1" thickBot="1">
      <c r="A24" s="315" t="s">
        <v>328</v>
      </c>
      <c r="B24" s="316" t="s">
        <v>329</v>
      </c>
      <c r="C24" s="317"/>
      <c r="D24" s="318">
        <v>219.7</v>
      </c>
      <c r="E24" s="319"/>
      <c r="F24" s="299"/>
      <c r="G24" s="300"/>
      <c r="H24" s="293" t="s">
        <v>330</v>
      </c>
      <c r="I24" s="258"/>
      <c r="J24" s="320" t="s">
        <v>175</v>
      </c>
      <c r="K24" s="321"/>
      <c r="Q24" s="322" t="s">
        <v>175</v>
      </c>
      <c r="R24" s="323"/>
      <c r="S24" s="200"/>
      <c r="T24" s="200"/>
      <c r="U24" s="200"/>
      <c r="V24" s="200"/>
      <c r="W24" s="200"/>
      <c r="X24" s="200"/>
      <c r="Y24" s="200"/>
      <c r="Z24" s="200"/>
    </row>
    <row r="25" spans="1:26" s="204" customFormat="1" ht="18.399999999999999" customHeight="1">
      <c r="A25" s="324" t="s">
        <v>331</v>
      </c>
      <c r="B25" s="325"/>
      <c r="C25" s="325"/>
      <c r="D25" s="326"/>
      <c r="E25" s="326" t="s">
        <v>332</v>
      </c>
      <c r="F25" s="299"/>
      <c r="G25" s="300"/>
      <c r="H25" s="293" t="s">
        <v>333</v>
      </c>
      <c r="I25" s="258"/>
      <c r="J25" s="327">
        <v>89.5</v>
      </c>
      <c r="K25" s="321"/>
      <c r="R25" s="200"/>
      <c r="S25" s="200"/>
      <c r="T25" s="200"/>
      <c r="U25" s="200"/>
      <c r="V25" s="200"/>
      <c r="W25" s="200"/>
      <c r="X25" s="200"/>
      <c r="Y25" s="200"/>
      <c r="Z25" s="200"/>
    </row>
    <row r="26" spans="1:26" s="204" customFormat="1" ht="18.399999999999999" customHeight="1">
      <c r="A26" s="328" t="s">
        <v>334</v>
      </c>
      <c r="B26" s="329"/>
      <c r="C26" s="330"/>
      <c r="D26" s="331" t="s">
        <v>387</v>
      </c>
      <c r="E26" s="331" t="s">
        <v>388</v>
      </c>
      <c r="F26" s="332"/>
      <c r="G26" s="333"/>
      <c r="H26" s="334"/>
      <c r="I26" s="335"/>
      <c r="J26" s="336"/>
      <c r="K26" s="337"/>
      <c r="R26" s="200"/>
      <c r="S26" s="200"/>
      <c r="T26" s="200"/>
      <c r="U26" s="200"/>
      <c r="V26" s="200"/>
      <c r="W26" s="200"/>
      <c r="X26" s="200"/>
      <c r="Y26" s="200"/>
      <c r="Z26" s="200"/>
    </row>
    <row r="27" spans="1:26" s="204" customFormat="1" ht="18.399999999999999" customHeight="1">
      <c r="A27" s="338" t="s">
        <v>335</v>
      </c>
      <c r="B27" s="339"/>
      <c r="C27" s="339"/>
      <c r="D27" s="339"/>
      <c r="E27" s="339"/>
      <c r="F27" s="219" t="s">
        <v>336</v>
      </c>
      <c r="G27" s="220"/>
      <c r="H27" s="220"/>
      <c r="I27" s="220"/>
      <c r="J27" s="220"/>
      <c r="K27" s="221"/>
      <c r="R27" s="200"/>
      <c r="S27" s="200"/>
      <c r="T27" s="200"/>
      <c r="U27" s="200"/>
      <c r="V27" s="200"/>
      <c r="W27" s="200"/>
      <c r="X27" s="200"/>
      <c r="Y27" s="200"/>
      <c r="Z27" s="200"/>
    </row>
    <row r="28" spans="1:26" s="204" customFormat="1" ht="18.399999999999999" customHeight="1">
      <c r="A28" s="340"/>
      <c r="B28" s="341"/>
      <c r="C28" s="341"/>
      <c r="D28" s="341"/>
      <c r="E28" s="342"/>
      <c r="F28" s="343"/>
      <c r="G28" s="344"/>
      <c r="H28" s="273" t="s">
        <v>337</v>
      </c>
      <c r="I28" s="345" t="s">
        <v>385</v>
      </c>
      <c r="J28" s="238">
        <v>729</v>
      </c>
      <c r="K28" s="231" t="s">
        <v>175</v>
      </c>
      <c r="R28" s="200"/>
      <c r="S28" s="200"/>
      <c r="T28" s="200"/>
      <c r="U28" s="200"/>
      <c r="V28" s="200"/>
      <c r="W28" s="200"/>
      <c r="X28" s="200"/>
      <c r="Y28" s="200"/>
      <c r="Z28" s="200"/>
    </row>
    <row r="29" spans="1:26" s="204" customFormat="1" ht="18.399999999999999" customHeight="1">
      <c r="A29" s="340"/>
      <c r="B29" s="341"/>
      <c r="C29" s="341"/>
      <c r="D29" s="341"/>
      <c r="E29" s="342"/>
      <c r="F29" s="346"/>
      <c r="G29" s="347"/>
      <c r="H29" s="273" t="s">
        <v>338</v>
      </c>
      <c r="I29" s="348">
        <v>60</v>
      </c>
      <c r="J29" s="238">
        <v>134</v>
      </c>
      <c r="K29" s="231" t="s">
        <v>175</v>
      </c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spans="1:26" s="204" customFormat="1" ht="18.399999999999999" customHeight="1">
      <c r="A30" s="340"/>
      <c r="B30" s="341"/>
      <c r="C30" s="341"/>
      <c r="D30" s="341"/>
      <c r="E30" s="342"/>
      <c r="F30" s="346"/>
      <c r="G30" s="347"/>
      <c r="H30" s="273" t="s">
        <v>339</v>
      </c>
      <c r="I30" s="348">
        <v>175</v>
      </c>
      <c r="J30" s="238">
        <v>294</v>
      </c>
      <c r="K30" s="231" t="s">
        <v>175</v>
      </c>
      <c r="L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spans="1:26" s="204" customFormat="1" ht="18.399999999999999" customHeight="1">
      <c r="A31" s="340"/>
      <c r="B31" s="341"/>
      <c r="C31" s="341"/>
      <c r="D31" s="341"/>
      <c r="E31" s="342"/>
      <c r="F31" s="346"/>
      <c r="G31" s="347"/>
      <c r="H31" s="273" t="s">
        <v>340</v>
      </c>
      <c r="I31" s="274"/>
      <c r="J31" s="349">
        <v>1.1100000000000001</v>
      </c>
      <c r="K31" s="231" t="s">
        <v>175</v>
      </c>
      <c r="L31" s="200"/>
      <c r="R31" s="200"/>
      <c r="S31" s="200"/>
      <c r="T31" s="200"/>
      <c r="U31" s="200"/>
      <c r="V31" s="200"/>
      <c r="W31" s="200"/>
      <c r="X31" s="200"/>
      <c r="Y31" s="200"/>
      <c r="Z31" s="200"/>
    </row>
    <row r="32" spans="1:26" s="204" customFormat="1" ht="18.399999999999999" customHeight="1">
      <c r="A32" s="350"/>
      <c r="B32" s="351"/>
      <c r="C32" s="351"/>
      <c r="D32" s="351"/>
      <c r="E32" s="352"/>
      <c r="F32" s="346"/>
      <c r="G32" s="353" t="s">
        <v>341</v>
      </c>
      <c r="H32" s="273" t="s">
        <v>342</v>
      </c>
      <c r="I32" s="354"/>
      <c r="J32" s="230">
        <v>94.9</v>
      </c>
      <c r="K32" s="231" t="s">
        <v>175</v>
      </c>
      <c r="L32" s="200"/>
      <c r="R32" s="200"/>
      <c r="S32" s="200"/>
      <c r="T32" s="200"/>
      <c r="U32" s="200"/>
      <c r="V32" s="200"/>
      <c r="W32" s="200"/>
      <c r="X32" s="200"/>
      <c r="Y32" s="200"/>
      <c r="Z32" s="200"/>
    </row>
    <row r="33" spans="1:26" s="204" customFormat="1" ht="18.399999999999999" customHeight="1">
      <c r="A33" s="338" t="s">
        <v>343</v>
      </c>
      <c r="B33" s="339"/>
      <c r="C33" s="339"/>
      <c r="D33" s="339"/>
      <c r="E33" s="355"/>
      <c r="F33" s="356"/>
      <c r="G33" s="357"/>
      <c r="H33" s="358" t="s">
        <v>344</v>
      </c>
      <c r="I33" s="359"/>
      <c r="J33" s="360">
        <v>89.5</v>
      </c>
      <c r="K33" s="361" t="s">
        <v>175</v>
      </c>
      <c r="L33" s="200"/>
      <c r="R33" s="200"/>
      <c r="S33" s="200"/>
      <c r="T33" s="200"/>
      <c r="U33" s="200"/>
      <c r="V33" s="200"/>
      <c r="W33" s="200"/>
      <c r="X33" s="200"/>
      <c r="Y33" s="200"/>
      <c r="Z33" s="200"/>
    </row>
    <row r="34" spans="1:26" s="204" customFormat="1" ht="18.399999999999999" customHeight="1">
      <c r="A34" s="340"/>
      <c r="B34" s="341"/>
      <c r="C34" s="341"/>
      <c r="D34" s="341"/>
      <c r="E34" s="342"/>
      <c r="F34" s="234" t="s">
        <v>345</v>
      </c>
      <c r="G34" s="362"/>
      <c r="H34" s="363" t="s">
        <v>14</v>
      </c>
      <c r="I34" s="364"/>
      <c r="J34" s="365">
        <v>7666</v>
      </c>
      <c r="K34" s="366" t="s">
        <v>175</v>
      </c>
      <c r="L34" s="367"/>
      <c r="R34" s="200"/>
      <c r="S34" s="200"/>
      <c r="T34" s="200"/>
      <c r="U34" s="200"/>
      <c r="V34" s="200"/>
      <c r="W34" s="200"/>
      <c r="X34" s="200"/>
      <c r="Y34" s="200"/>
      <c r="Z34" s="200"/>
    </row>
    <row r="35" spans="1:26" s="204" customFormat="1" ht="18.399999999999999" customHeight="1">
      <c r="A35" s="340"/>
      <c r="B35" s="341"/>
      <c r="C35" s="341"/>
      <c r="D35" s="341"/>
      <c r="E35" s="342"/>
      <c r="F35" s="267"/>
      <c r="G35" s="368"/>
      <c r="H35" s="369" t="s">
        <v>15</v>
      </c>
      <c r="I35" s="370"/>
      <c r="J35" s="238">
        <v>7383</v>
      </c>
      <c r="K35" s="231" t="s">
        <v>175</v>
      </c>
      <c r="R35" s="200"/>
      <c r="S35" s="200"/>
      <c r="T35" s="200"/>
      <c r="U35" s="200"/>
      <c r="V35" s="200"/>
      <c r="W35" s="200"/>
      <c r="X35" s="200"/>
      <c r="Y35" s="200"/>
      <c r="Z35" s="200"/>
    </row>
    <row r="36" spans="1:26" s="204" customFormat="1" ht="18.399999999999999" customHeight="1">
      <c r="A36" s="340"/>
      <c r="B36" s="341"/>
      <c r="C36" s="341"/>
      <c r="D36" s="341"/>
      <c r="E36" s="342"/>
      <c r="F36" s="267"/>
      <c r="G36" s="368"/>
      <c r="H36" s="369" t="s">
        <v>346</v>
      </c>
      <c r="I36" s="370"/>
      <c r="J36" s="238">
        <v>3400</v>
      </c>
      <c r="K36" s="231" t="s">
        <v>175</v>
      </c>
      <c r="Q36" s="200"/>
      <c r="R36" s="200"/>
      <c r="S36" s="200"/>
      <c r="T36" s="200"/>
      <c r="U36" s="200"/>
      <c r="V36" s="200"/>
      <c r="W36" s="200"/>
      <c r="X36" s="200"/>
      <c r="Y36" s="200"/>
      <c r="Z36" s="200"/>
    </row>
    <row r="37" spans="1:26" s="204" customFormat="1" ht="18.399999999999999" customHeight="1">
      <c r="A37" s="340"/>
      <c r="B37" s="341"/>
      <c r="C37" s="341"/>
      <c r="D37" s="341"/>
      <c r="E37" s="342"/>
      <c r="F37" s="346"/>
      <c r="G37" s="368"/>
      <c r="H37" s="369" t="s">
        <v>347</v>
      </c>
      <c r="I37" s="370"/>
      <c r="J37" s="238">
        <v>3990</v>
      </c>
      <c r="K37" s="231" t="s">
        <v>175</v>
      </c>
      <c r="R37" s="200"/>
      <c r="S37" s="200"/>
      <c r="T37" s="200"/>
      <c r="U37" s="200"/>
      <c r="V37" s="200"/>
      <c r="W37" s="200"/>
      <c r="X37" s="200"/>
      <c r="Y37" s="200"/>
      <c r="Z37" s="200"/>
    </row>
    <row r="38" spans="1:26" s="204" customFormat="1" ht="18.399999999999999" customHeight="1">
      <c r="A38" s="350"/>
      <c r="B38" s="351"/>
      <c r="C38" s="351"/>
      <c r="D38" s="351"/>
      <c r="E38" s="352"/>
      <c r="F38" s="283"/>
      <c r="G38" s="371"/>
      <c r="H38" s="372" t="s">
        <v>348</v>
      </c>
      <c r="I38" s="373"/>
      <c r="J38" s="374">
        <v>9566</v>
      </c>
      <c r="K38" s="375" t="s">
        <v>175</v>
      </c>
      <c r="R38" s="200"/>
      <c r="S38" s="200"/>
      <c r="T38" s="200"/>
      <c r="U38" s="200"/>
      <c r="V38" s="200"/>
      <c r="W38" s="200"/>
      <c r="X38" s="200"/>
      <c r="Y38" s="200"/>
      <c r="Z38" s="200"/>
    </row>
    <row r="39" spans="1:26" s="204" customFormat="1" ht="18.399999999999999" customHeight="1">
      <c r="A39" s="338" t="s">
        <v>349</v>
      </c>
      <c r="B39" s="339"/>
      <c r="C39" s="339"/>
      <c r="D39" s="339"/>
      <c r="E39" s="339"/>
      <c r="F39" s="376" t="s">
        <v>350</v>
      </c>
      <c r="G39" s="476" t="s">
        <v>394</v>
      </c>
      <c r="H39" s="377"/>
      <c r="I39" s="377"/>
      <c r="J39" s="377"/>
      <c r="K39" s="378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s="204" customFormat="1" ht="18.399999999999999" customHeight="1">
      <c r="A40" s="340"/>
      <c r="B40" s="341"/>
      <c r="C40" s="341"/>
      <c r="D40" s="341"/>
      <c r="E40" s="342"/>
      <c r="F40" s="379" t="s">
        <v>391</v>
      </c>
      <c r="G40" s="380" t="s">
        <v>392</v>
      </c>
      <c r="H40" s="380"/>
      <c r="I40" s="380"/>
      <c r="J40" s="380"/>
      <c r="K40" s="381"/>
      <c r="R40" s="200"/>
      <c r="S40" s="200"/>
      <c r="T40" s="200"/>
      <c r="U40" s="200"/>
      <c r="V40" s="200"/>
      <c r="W40" s="200"/>
      <c r="X40" s="200"/>
      <c r="Y40" s="200"/>
      <c r="Z40" s="200"/>
    </row>
    <row r="41" spans="1:26" s="204" customFormat="1" ht="18.399999999999999" customHeight="1">
      <c r="A41" s="340"/>
      <c r="B41" s="341"/>
      <c r="C41" s="341"/>
      <c r="D41" s="341"/>
      <c r="E41" s="342"/>
      <c r="F41" s="379"/>
      <c r="G41" s="382" t="s">
        <v>393</v>
      </c>
      <c r="H41" s="382"/>
      <c r="I41" s="382"/>
      <c r="J41" s="382"/>
      <c r="K41" s="383"/>
      <c r="L41" s="384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s="204" customFormat="1" ht="18.399999999999999" customHeight="1">
      <c r="A42" s="340"/>
      <c r="B42" s="341"/>
      <c r="C42" s="341"/>
      <c r="D42" s="341"/>
      <c r="E42" s="342"/>
      <c r="F42" s="379"/>
      <c r="G42" s="382"/>
      <c r="H42" s="382"/>
      <c r="I42" s="382"/>
      <c r="J42" s="382"/>
      <c r="K42" s="383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</row>
    <row r="43" spans="1:26" s="204" customFormat="1" ht="18.399999999999999" customHeight="1">
      <c r="A43" s="340"/>
      <c r="B43" s="341"/>
      <c r="C43" s="341"/>
      <c r="D43" s="341"/>
      <c r="E43" s="342"/>
      <c r="F43" s="379"/>
      <c r="G43" s="382"/>
      <c r="H43" s="382"/>
      <c r="I43" s="382"/>
      <c r="J43" s="382"/>
      <c r="K43" s="383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s="204" customFormat="1" ht="17.100000000000001" customHeight="1" thickBot="1">
      <c r="A44" s="385"/>
      <c r="B44" s="386"/>
      <c r="C44" s="386"/>
      <c r="D44" s="386"/>
      <c r="E44" s="387"/>
      <c r="F44" s="379"/>
      <c r="G44" s="382"/>
      <c r="H44" s="382"/>
      <c r="I44" s="382"/>
      <c r="J44" s="382"/>
      <c r="K44" s="383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s="204" customFormat="1" ht="17.100000000000001" customHeight="1">
      <c r="A45" s="388" t="s">
        <v>351</v>
      </c>
      <c r="B45" s="389"/>
      <c r="C45" s="390"/>
      <c r="D45" s="391" t="s">
        <v>352</v>
      </c>
      <c r="E45" s="474" t="s">
        <v>390</v>
      </c>
      <c r="F45" s="392"/>
      <c r="G45" s="382" t="s">
        <v>395</v>
      </c>
      <c r="H45" s="382"/>
      <c r="I45" s="382"/>
      <c r="J45" s="382"/>
      <c r="K45" s="383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spans="1:26" s="204" customFormat="1" ht="17.100000000000001" customHeight="1" thickBot="1">
      <c r="A46" s="393" t="s">
        <v>353</v>
      </c>
      <c r="B46" s="394"/>
      <c r="C46" s="395"/>
      <c r="D46" s="396" t="s">
        <v>353</v>
      </c>
      <c r="E46" s="475">
        <v>37546</v>
      </c>
      <c r="F46" s="397"/>
      <c r="G46" s="398" t="s">
        <v>396</v>
      </c>
      <c r="H46" s="398"/>
      <c r="I46" s="398"/>
      <c r="J46" s="398"/>
      <c r="K46" s="399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s="204" customFormat="1" ht="17.100000000000001" customHeight="1">
      <c r="F47" s="4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</row>
    <row r="48" spans="1:26" s="204" customFormat="1" ht="17.100000000000001" customHeight="1">
      <c r="F48" s="200"/>
      <c r="G48" s="200"/>
      <c r="H48" s="200"/>
      <c r="I48" s="200"/>
      <c r="J48" s="200"/>
      <c r="K48" s="200"/>
    </row>
    <row r="49" spans="2:26" ht="17.100000000000001" customHeight="1"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spans="2:26">
      <c r="F50" s="189"/>
      <c r="G50" s="189"/>
      <c r="H50" s="189"/>
      <c r="I50" s="189"/>
      <c r="J50" s="189"/>
      <c r="K50" s="189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spans="2:26">
      <c r="F51" s="189"/>
      <c r="G51" s="189"/>
      <c r="H51" s="189"/>
      <c r="I51" s="189"/>
      <c r="J51" s="189"/>
      <c r="K51" s="189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2:26"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spans="2:26">
      <c r="F53" s="189"/>
      <c r="G53" s="189"/>
      <c r="H53" s="189"/>
      <c r="I53" s="189"/>
      <c r="J53" s="189"/>
      <c r="K53" s="189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  <dataValidation type="list" allowBlank="1" showInputMessage="1" sqref="D6:E6">
      <formula1>$T$5:$T$10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>
      <selection activeCell="K4" sqref="K4"/>
    </sheetView>
  </sheetViews>
  <sheetFormatPr defaultColWidth="9.140625" defaultRowHeight="12.75"/>
  <cols>
    <col min="1" max="1" width="9.140625" style="407" customWidth="1"/>
    <col min="2" max="2" width="18.140625" style="407" customWidth="1"/>
    <col min="3" max="3" width="21.5703125" style="407" customWidth="1"/>
    <col min="4" max="4" width="21.28515625" style="407" bestFit="1" customWidth="1"/>
    <col min="5" max="5" width="6.85546875" style="407" bestFit="1" customWidth="1"/>
    <col min="6" max="6" width="29.85546875" style="407" customWidth="1"/>
    <col min="7" max="7" width="43.7109375" style="407" customWidth="1"/>
    <col min="8" max="8" width="17.140625" style="407" customWidth="1"/>
    <col min="9" max="9" width="7.85546875" style="407" customWidth="1"/>
    <col min="10" max="10" width="2.28515625" style="407" bestFit="1" customWidth="1"/>
    <col min="11" max="12" width="2.28515625" style="407" customWidth="1"/>
    <col min="13" max="13" width="2.5703125" style="407" bestFit="1" customWidth="1"/>
    <col min="14" max="14" width="2.28515625" style="407" bestFit="1" customWidth="1"/>
    <col min="15" max="16384" width="9.140625" style="407"/>
  </cols>
  <sheetData>
    <row r="1" spans="2:14" ht="12.75" customHeight="1">
      <c r="B1" s="402"/>
      <c r="C1" s="403"/>
      <c r="D1" s="403"/>
      <c r="E1" s="403"/>
      <c r="F1" s="403"/>
      <c r="G1" s="403"/>
      <c r="H1" s="404"/>
      <c r="I1" s="405"/>
      <c r="J1" s="406" t="s">
        <v>354</v>
      </c>
      <c r="K1" s="406" t="s">
        <v>355</v>
      </c>
      <c r="L1" s="406" t="s">
        <v>356</v>
      </c>
      <c r="M1" s="406" t="s">
        <v>355</v>
      </c>
      <c r="N1" s="406"/>
    </row>
    <row r="2" spans="2:14" ht="12.75" customHeight="1">
      <c r="B2" s="408" t="s">
        <v>357</v>
      </c>
      <c r="C2" s="409"/>
      <c r="D2" s="409"/>
      <c r="E2" s="409"/>
      <c r="F2" s="409"/>
      <c r="G2" s="409"/>
      <c r="H2" s="410"/>
      <c r="I2" s="411"/>
      <c r="J2" s="412" t="s">
        <v>358</v>
      </c>
      <c r="K2" s="412" t="s">
        <v>359</v>
      </c>
      <c r="L2" s="412" t="s">
        <v>360</v>
      </c>
      <c r="M2" s="412" t="s">
        <v>361</v>
      </c>
      <c r="N2" s="412" t="s">
        <v>362</v>
      </c>
    </row>
    <row r="3" spans="2:14" ht="12.75" customHeight="1">
      <c r="B3" s="408"/>
      <c r="C3" s="409"/>
      <c r="D3" s="409"/>
      <c r="E3" s="409"/>
      <c r="F3" s="409"/>
      <c r="G3" s="409"/>
      <c r="H3" s="410"/>
      <c r="I3" s="411"/>
      <c r="J3" s="412" t="s">
        <v>363</v>
      </c>
      <c r="K3" s="412"/>
      <c r="L3" s="412" t="s">
        <v>364</v>
      </c>
      <c r="M3" s="412" t="s">
        <v>354</v>
      </c>
      <c r="N3" s="412"/>
    </row>
    <row r="4" spans="2:14" ht="12.75" customHeight="1">
      <c r="B4" s="408"/>
      <c r="C4" s="409"/>
      <c r="D4" s="409"/>
      <c r="E4" s="409"/>
      <c r="F4" s="409"/>
      <c r="G4" s="409"/>
      <c r="H4" s="410"/>
      <c r="I4" s="411"/>
      <c r="J4" s="412" t="s">
        <v>365</v>
      </c>
      <c r="K4" s="412"/>
      <c r="L4" s="412" t="s">
        <v>360</v>
      </c>
      <c r="M4" s="412" t="s">
        <v>358</v>
      </c>
      <c r="N4" s="412"/>
    </row>
    <row r="5" spans="2:14" ht="12.75" customHeight="1">
      <c r="B5" s="413"/>
      <c r="C5" s="414"/>
      <c r="D5" s="414"/>
      <c r="E5" s="414"/>
      <c r="F5" s="414"/>
      <c r="G5" s="414"/>
      <c r="H5" s="410"/>
      <c r="I5" s="411"/>
      <c r="J5" s="412"/>
      <c r="K5" s="412" t="s">
        <v>366</v>
      </c>
      <c r="L5" s="412" t="s">
        <v>355</v>
      </c>
      <c r="M5" s="412"/>
      <c r="N5" s="412" t="s">
        <v>360</v>
      </c>
    </row>
    <row r="6" spans="2:14" ht="12" customHeight="1">
      <c r="B6" s="415"/>
      <c r="C6" s="416"/>
      <c r="D6" s="416"/>
      <c r="F6" s="416"/>
      <c r="H6" s="417"/>
      <c r="I6" s="411"/>
      <c r="J6" s="412" t="s">
        <v>359</v>
      </c>
      <c r="K6" s="412" t="s">
        <v>367</v>
      </c>
      <c r="L6" s="412"/>
      <c r="M6" s="412" t="s">
        <v>355</v>
      </c>
      <c r="N6" s="412" t="s">
        <v>368</v>
      </c>
    </row>
    <row r="7" spans="2:14" ht="12.75" customHeight="1">
      <c r="B7" s="415"/>
      <c r="D7" s="418"/>
      <c r="H7" s="417"/>
      <c r="I7" s="411"/>
      <c r="J7" s="412" t="s">
        <v>184</v>
      </c>
      <c r="K7" s="412" t="s">
        <v>363</v>
      </c>
      <c r="L7" s="412" t="s">
        <v>363</v>
      </c>
      <c r="M7" s="412" t="s">
        <v>358</v>
      </c>
      <c r="N7" s="412" t="s">
        <v>369</v>
      </c>
    </row>
    <row r="8" spans="2:14" ht="12.75" customHeight="1">
      <c r="B8" s="415"/>
      <c r="G8" s="418"/>
      <c r="H8" s="419"/>
      <c r="I8" s="412" t="s">
        <v>369</v>
      </c>
      <c r="J8" s="412" t="s">
        <v>355</v>
      </c>
      <c r="K8" s="412" t="s">
        <v>370</v>
      </c>
      <c r="L8" s="412" t="s">
        <v>358</v>
      </c>
      <c r="M8" s="412" t="s">
        <v>369</v>
      </c>
      <c r="N8" s="412" t="s">
        <v>367</v>
      </c>
    </row>
    <row r="9" spans="2:14">
      <c r="B9" s="412" t="s">
        <v>371</v>
      </c>
      <c r="C9" s="419" t="s">
        <v>372</v>
      </c>
      <c r="D9" s="419" t="s">
        <v>373</v>
      </c>
      <c r="E9" s="419" t="s">
        <v>374</v>
      </c>
      <c r="F9" s="412" t="s">
        <v>375</v>
      </c>
      <c r="G9" s="412" t="s">
        <v>376</v>
      </c>
      <c r="H9" s="412" t="s">
        <v>377</v>
      </c>
      <c r="I9" s="412" t="s">
        <v>365</v>
      </c>
      <c r="J9" s="412" t="s">
        <v>184</v>
      </c>
      <c r="K9" s="412" t="s">
        <v>358</v>
      </c>
      <c r="L9" s="412" t="s">
        <v>370</v>
      </c>
      <c r="M9" s="412" t="s">
        <v>355</v>
      </c>
      <c r="N9" s="412" t="s">
        <v>356</v>
      </c>
    </row>
    <row r="10" spans="2:14" ht="15" customHeight="1">
      <c r="B10" s="420"/>
      <c r="C10" s="421"/>
      <c r="D10" s="421"/>
      <c r="E10" s="421"/>
      <c r="F10" s="422"/>
      <c r="G10" s="423"/>
      <c r="H10" s="423"/>
      <c r="I10" s="424"/>
      <c r="J10" s="425"/>
      <c r="K10" s="425"/>
      <c r="L10" s="425"/>
      <c r="M10" s="425"/>
      <c r="N10" s="426"/>
    </row>
    <row r="11" spans="2:14" ht="15" customHeight="1">
      <c r="B11" s="420"/>
      <c r="C11" s="422"/>
      <c r="D11" s="422"/>
      <c r="E11" s="422"/>
      <c r="F11" s="422"/>
      <c r="G11" s="422"/>
      <c r="H11" s="422"/>
      <c r="I11" s="427"/>
      <c r="J11" s="425"/>
      <c r="K11" s="425"/>
      <c r="L11" s="425"/>
      <c r="M11" s="425"/>
      <c r="N11" s="426"/>
    </row>
    <row r="12" spans="2:14" ht="15" customHeight="1">
      <c r="B12" s="420"/>
      <c r="C12" s="422"/>
      <c r="D12" s="422"/>
      <c r="E12" s="422"/>
      <c r="F12" s="422"/>
      <c r="G12" s="422"/>
      <c r="H12" s="422"/>
      <c r="I12" s="427"/>
      <c r="J12" s="428"/>
      <c r="K12" s="425"/>
      <c r="L12" s="425"/>
      <c r="M12" s="425"/>
      <c r="N12" s="426"/>
    </row>
    <row r="13" spans="2:14" ht="15" customHeight="1">
      <c r="B13" s="420"/>
      <c r="C13" s="422"/>
      <c r="D13" s="422"/>
      <c r="E13" s="422"/>
      <c r="F13" s="422"/>
      <c r="G13" s="422"/>
      <c r="H13" s="422"/>
      <c r="I13" s="427"/>
      <c r="J13" s="425"/>
      <c r="K13" s="425"/>
      <c r="L13" s="425"/>
      <c r="M13" s="425"/>
      <c r="N13" s="426"/>
    </row>
    <row r="14" spans="2:14" ht="15" customHeight="1">
      <c r="B14" s="420"/>
      <c r="C14" s="422"/>
      <c r="D14" s="422"/>
      <c r="E14" s="422"/>
      <c r="F14" s="422"/>
      <c r="G14" s="422"/>
      <c r="H14" s="422"/>
      <c r="I14" s="427"/>
      <c r="J14" s="425"/>
      <c r="K14" s="425"/>
      <c r="L14" s="425"/>
      <c r="M14" s="425"/>
      <c r="N14" s="426"/>
    </row>
    <row r="15" spans="2:14" ht="15" customHeight="1">
      <c r="B15" s="420"/>
      <c r="C15" s="422"/>
      <c r="D15" s="422"/>
      <c r="E15" s="422"/>
      <c r="F15" s="422"/>
      <c r="G15" s="422"/>
      <c r="H15" s="422"/>
      <c r="I15" s="427"/>
      <c r="J15" s="425"/>
      <c r="K15" s="425"/>
      <c r="L15" s="425"/>
      <c r="M15" s="425"/>
      <c r="N15" s="426"/>
    </row>
    <row r="16" spans="2:14" ht="15" customHeight="1">
      <c r="B16" s="420"/>
      <c r="C16" s="422"/>
      <c r="D16" s="422"/>
      <c r="E16" s="422"/>
      <c r="F16" s="422"/>
      <c r="G16" s="422"/>
      <c r="H16" s="422"/>
      <c r="I16" s="427"/>
      <c r="J16" s="425"/>
      <c r="K16" s="425"/>
      <c r="L16" s="425"/>
      <c r="M16" s="425"/>
      <c r="N16" s="426"/>
    </row>
    <row r="17" spans="2:14" ht="15" customHeight="1">
      <c r="B17" s="420"/>
      <c r="C17" s="422"/>
      <c r="D17" s="422"/>
      <c r="E17" s="422"/>
      <c r="F17" s="422"/>
      <c r="G17" s="422"/>
      <c r="H17" s="422"/>
      <c r="I17" s="427"/>
      <c r="J17" s="425"/>
      <c r="K17" s="425"/>
      <c r="L17" s="425"/>
      <c r="M17" s="425"/>
      <c r="N17" s="426"/>
    </row>
    <row r="18" spans="2:14" ht="15" customHeight="1">
      <c r="B18" s="420"/>
      <c r="C18" s="422"/>
      <c r="D18" s="422"/>
      <c r="E18" s="422"/>
      <c r="F18" s="422"/>
      <c r="G18" s="422"/>
      <c r="H18" s="422"/>
      <c r="I18" s="427"/>
      <c r="J18" s="425"/>
      <c r="K18" s="425"/>
      <c r="L18" s="425"/>
      <c r="M18" s="425"/>
      <c r="N18" s="426"/>
    </row>
    <row r="19" spans="2:14" ht="15" customHeight="1">
      <c r="B19" s="420"/>
      <c r="C19" s="422"/>
      <c r="D19" s="422"/>
      <c r="E19" s="422"/>
      <c r="F19" s="422"/>
      <c r="G19" s="422"/>
      <c r="H19" s="422"/>
      <c r="I19" s="427"/>
      <c r="J19" s="425"/>
      <c r="K19" s="425"/>
      <c r="L19" s="425"/>
      <c r="M19" s="425"/>
      <c r="N19" s="426"/>
    </row>
    <row r="20" spans="2:14" ht="15" customHeight="1">
      <c r="B20" s="420"/>
      <c r="C20" s="422"/>
      <c r="D20" s="422"/>
      <c r="E20" s="422"/>
      <c r="F20" s="422"/>
      <c r="G20" s="422"/>
      <c r="H20" s="422"/>
      <c r="I20" s="427"/>
      <c r="J20" s="425"/>
      <c r="K20" s="425"/>
      <c r="L20" s="425"/>
      <c r="M20" s="425"/>
      <c r="N20" s="426"/>
    </row>
    <row r="21" spans="2:14" ht="15" customHeight="1">
      <c r="B21" s="420"/>
      <c r="C21" s="422"/>
      <c r="D21" s="422"/>
      <c r="E21" s="422"/>
      <c r="F21" s="422"/>
      <c r="G21" s="422"/>
      <c r="H21" s="422"/>
      <c r="I21" s="427"/>
      <c r="J21" s="425"/>
      <c r="K21" s="425"/>
      <c r="L21" s="425"/>
      <c r="M21" s="425"/>
      <c r="N21" s="426"/>
    </row>
    <row r="22" spans="2:14" ht="15" customHeight="1">
      <c r="B22" s="420"/>
      <c r="C22" s="422"/>
      <c r="D22" s="422"/>
      <c r="E22" s="422"/>
      <c r="F22" s="422"/>
      <c r="G22" s="422"/>
      <c r="H22" s="422"/>
      <c r="I22" s="427"/>
      <c r="J22" s="425"/>
      <c r="K22" s="425"/>
      <c r="L22" s="425"/>
      <c r="M22" s="425"/>
      <c r="N22" s="426"/>
    </row>
    <row r="23" spans="2:14" ht="15" customHeight="1">
      <c r="B23" s="420"/>
      <c r="C23" s="422"/>
      <c r="D23" s="422"/>
      <c r="E23" s="422"/>
      <c r="F23" s="422"/>
      <c r="G23" s="422"/>
      <c r="H23" s="422"/>
      <c r="I23" s="427"/>
      <c r="J23" s="425"/>
      <c r="K23" s="425"/>
      <c r="L23" s="425"/>
      <c r="M23" s="425"/>
      <c r="N23" s="426"/>
    </row>
    <row r="24" spans="2:14" ht="15" customHeight="1">
      <c r="B24" s="420"/>
      <c r="C24" s="422"/>
      <c r="D24" s="422"/>
      <c r="E24" s="422"/>
      <c r="F24" s="422"/>
      <c r="G24" s="422"/>
      <c r="H24" s="422"/>
      <c r="I24" s="427"/>
      <c r="J24" s="425"/>
      <c r="K24" s="425"/>
      <c r="L24" s="425"/>
      <c r="M24" s="425"/>
      <c r="N24" s="426"/>
    </row>
    <row r="25" spans="2:14" ht="15" customHeight="1">
      <c r="B25" s="420"/>
      <c r="C25" s="422"/>
      <c r="D25" s="422"/>
      <c r="E25" s="422"/>
      <c r="F25" s="422"/>
      <c r="G25" s="422"/>
      <c r="H25" s="422"/>
      <c r="I25" s="427"/>
      <c r="J25" s="425"/>
      <c r="K25" s="425"/>
      <c r="L25" s="425"/>
      <c r="M25" s="425"/>
      <c r="N25" s="426"/>
    </row>
    <row r="26" spans="2:14" ht="15" customHeight="1">
      <c r="B26" s="420"/>
      <c r="C26" s="422"/>
      <c r="D26" s="422"/>
      <c r="E26" s="422"/>
      <c r="F26" s="422"/>
      <c r="G26" s="422"/>
      <c r="H26" s="422"/>
      <c r="I26" s="427"/>
      <c r="J26" s="425"/>
      <c r="K26" s="425"/>
      <c r="L26" s="425"/>
      <c r="M26" s="425"/>
      <c r="N26" s="426"/>
    </row>
    <row r="27" spans="2:14" ht="15" customHeight="1">
      <c r="B27" s="420"/>
      <c r="C27" s="422"/>
      <c r="D27" s="422"/>
      <c r="E27" s="422"/>
      <c r="F27" s="422"/>
      <c r="G27" s="422"/>
      <c r="H27" s="422"/>
      <c r="I27" s="427"/>
      <c r="J27" s="425"/>
      <c r="K27" s="425"/>
      <c r="L27" s="425"/>
      <c r="M27" s="425"/>
      <c r="N27" s="426"/>
    </row>
    <row r="28" spans="2:14" ht="15" customHeight="1">
      <c r="B28" s="420"/>
      <c r="C28" s="422"/>
      <c r="D28" s="422"/>
      <c r="E28" s="422"/>
      <c r="F28" s="422"/>
      <c r="G28" s="422"/>
      <c r="H28" s="422"/>
      <c r="I28" s="427"/>
      <c r="J28" s="425"/>
      <c r="K28" s="425"/>
      <c r="L28" s="425"/>
      <c r="M28" s="425"/>
      <c r="N28" s="426"/>
    </row>
    <row r="29" spans="2:14" ht="15" customHeight="1">
      <c r="B29" s="420"/>
      <c r="C29" s="422"/>
      <c r="D29" s="422"/>
      <c r="E29" s="422"/>
      <c r="F29" s="422"/>
      <c r="G29" s="422"/>
      <c r="H29" s="422"/>
      <c r="I29" s="427"/>
      <c r="J29" s="425"/>
      <c r="K29" s="425"/>
      <c r="L29" s="425"/>
      <c r="M29" s="425"/>
      <c r="N29" s="426"/>
    </row>
    <row r="30" spans="2:14" ht="15" customHeight="1">
      <c r="B30" s="420"/>
      <c r="C30" s="422"/>
      <c r="D30" s="422"/>
      <c r="E30" s="422"/>
      <c r="F30" s="422"/>
      <c r="G30" s="422"/>
      <c r="H30" s="422"/>
      <c r="I30" s="427"/>
      <c r="J30" s="425"/>
      <c r="K30" s="425"/>
      <c r="L30" s="425"/>
      <c r="M30" s="425"/>
      <c r="N30" s="426"/>
    </row>
    <row r="31" spans="2:14" ht="15" customHeight="1">
      <c r="B31" s="420"/>
      <c r="C31" s="422"/>
      <c r="D31" s="422"/>
      <c r="E31" s="422"/>
      <c r="F31" s="422"/>
      <c r="G31" s="422"/>
      <c r="H31" s="422"/>
      <c r="I31" s="427"/>
      <c r="J31" s="425"/>
      <c r="K31" s="425"/>
      <c r="L31" s="425"/>
      <c r="M31" s="425"/>
      <c r="N31" s="426"/>
    </row>
    <row r="32" spans="2:14" ht="15" customHeight="1">
      <c r="B32" s="420"/>
      <c r="C32" s="422"/>
      <c r="D32" s="422"/>
      <c r="E32" s="422"/>
      <c r="F32" s="422"/>
      <c r="G32" s="422"/>
      <c r="H32" s="422"/>
      <c r="I32" s="427"/>
      <c r="J32" s="425"/>
      <c r="K32" s="425"/>
      <c r="L32" s="425"/>
      <c r="M32" s="425"/>
      <c r="N32" s="426"/>
    </row>
    <row r="33" spans="2:14" ht="15" customHeight="1">
      <c r="B33" s="420"/>
      <c r="C33" s="422"/>
      <c r="D33" s="422"/>
      <c r="E33" s="422"/>
      <c r="F33" s="422"/>
      <c r="G33" s="422"/>
      <c r="H33" s="422"/>
      <c r="I33" s="427"/>
      <c r="J33" s="425"/>
      <c r="K33" s="425"/>
      <c r="L33" s="425"/>
      <c r="M33" s="425"/>
      <c r="N33" s="426"/>
    </row>
    <row r="34" spans="2:14" ht="15" customHeight="1">
      <c r="B34" s="420"/>
      <c r="C34" s="422"/>
      <c r="D34" s="422"/>
      <c r="E34" s="422"/>
      <c r="F34" s="422"/>
      <c r="G34" s="422"/>
      <c r="H34" s="422"/>
      <c r="I34" s="427"/>
      <c r="J34" s="425"/>
      <c r="K34" s="425"/>
      <c r="L34" s="425"/>
      <c r="M34" s="425"/>
      <c r="N34" s="426"/>
    </row>
    <row r="35" spans="2:14" ht="15" customHeight="1">
      <c r="B35" s="420"/>
      <c r="C35" s="422"/>
      <c r="D35" s="422"/>
      <c r="E35" s="422"/>
      <c r="F35" s="422"/>
      <c r="G35" s="422"/>
      <c r="H35" s="422"/>
      <c r="I35" s="427"/>
      <c r="J35" s="425"/>
      <c r="K35" s="425"/>
      <c r="L35" s="425"/>
      <c r="M35" s="425"/>
      <c r="N35" s="426"/>
    </row>
    <row r="36" spans="2:14" ht="15" customHeight="1">
      <c r="B36" s="420"/>
      <c r="C36" s="422"/>
      <c r="D36" s="422"/>
      <c r="E36" s="422"/>
      <c r="F36" s="422"/>
      <c r="G36" s="422"/>
      <c r="H36" s="422"/>
      <c r="I36" s="427"/>
      <c r="J36" s="425"/>
      <c r="K36" s="425"/>
      <c r="L36" s="425"/>
      <c r="M36" s="425"/>
      <c r="N36" s="426"/>
    </row>
    <row r="37" spans="2:14" ht="15" customHeight="1">
      <c r="B37" s="420"/>
      <c r="C37" s="422"/>
      <c r="D37" s="422"/>
      <c r="E37" s="422"/>
      <c r="F37" s="422"/>
      <c r="G37" s="422"/>
      <c r="H37" s="422"/>
      <c r="I37" s="427"/>
      <c r="J37" s="425"/>
      <c r="K37" s="425"/>
      <c r="L37" s="425"/>
      <c r="M37" s="425"/>
      <c r="N37" s="426"/>
    </row>
    <row r="38" spans="2:14" ht="15" customHeight="1">
      <c r="B38" s="420"/>
      <c r="C38" s="422"/>
      <c r="D38" s="422"/>
      <c r="E38" s="422"/>
      <c r="F38" s="422"/>
      <c r="G38" s="422"/>
      <c r="H38" s="422"/>
      <c r="I38" s="427"/>
      <c r="J38" s="425"/>
      <c r="K38" s="425"/>
      <c r="L38" s="425"/>
      <c r="M38" s="425"/>
      <c r="N38" s="426"/>
    </row>
    <row r="39" spans="2:14" ht="15" customHeight="1">
      <c r="B39" s="420"/>
      <c r="C39" s="422"/>
      <c r="D39" s="422"/>
      <c r="E39" s="422"/>
      <c r="F39" s="422"/>
      <c r="G39" s="422"/>
      <c r="H39" s="422"/>
      <c r="I39" s="427"/>
      <c r="J39" s="425"/>
      <c r="K39" s="425"/>
      <c r="L39" s="425"/>
      <c r="M39" s="425"/>
      <c r="N39" s="426"/>
    </row>
    <row r="40" spans="2:14" ht="15" customHeight="1">
      <c r="B40" s="420"/>
      <c r="C40" s="422"/>
      <c r="D40" s="422"/>
      <c r="E40" s="422"/>
      <c r="F40" s="422"/>
      <c r="G40" s="422"/>
      <c r="H40" s="422"/>
      <c r="I40" s="427"/>
      <c r="J40" s="425"/>
      <c r="K40" s="425"/>
      <c r="L40" s="425"/>
      <c r="M40" s="425"/>
      <c r="N40" s="426"/>
    </row>
    <row r="41" spans="2:14" ht="15" customHeight="1">
      <c r="B41" s="420"/>
      <c r="C41" s="422"/>
      <c r="D41" s="422"/>
      <c r="E41" s="422"/>
      <c r="F41" s="422"/>
      <c r="G41" s="422"/>
      <c r="H41" s="422"/>
      <c r="I41" s="427"/>
      <c r="J41" s="425"/>
      <c r="K41" s="425"/>
      <c r="L41" s="425"/>
      <c r="M41" s="425"/>
      <c r="N41" s="426"/>
    </row>
    <row r="42" spans="2:14" ht="15" customHeight="1">
      <c r="B42" s="420"/>
      <c r="C42" s="422"/>
      <c r="D42" s="422"/>
      <c r="E42" s="422"/>
      <c r="F42" s="422"/>
      <c r="G42" s="422"/>
      <c r="H42" s="422"/>
      <c r="I42" s="427"/>
      <c r="J42" s="425"/>
      <c r="K42" s="425"/>
      <c r="L42" s="425"/>
      <c r="M42" s="425"/>
      <c r="N42" s="426"/>
    </row>
    <row r="43" spans="2:14" ht="15" customHeight="1">
      <c r="B43" s="420"/>
      <c r="C43" s="422"/>
      <c r="D43" s="422"/>
      <c r="E43" s="422"/>
      <c r="F43" s="422"/>
      <c r="G43" s="422"/>
      <c r="H43" s="422"/>
      <c r="I43" s="427"/>
      <c r="J43" s="425"/>
      <c r="K43" s="425"/>
      <c r="L43" s="425"/>
      <c r="M43" s="425"/>
      <c r="N43" s="426"/>
    </row>
    <row r="44" spans="2:14" ht="15" customHeight="1">
      <c r="B44" s="420"/>
      <c r="C44" s="422"/>
      <c r="D44" s="422"/>
      <c r="E44" s="422"/>
      <c r="F44" s="422"/>
      <c r="G44" s="422"/>
      <c r="H44" s="422"/>
      <c r="I44" s="427"/>
      <c r="J44" s="425"/>
      <c r="K44" s="425"/>
      <c r="L44" s="425"/>
      <c r="M44" s="425"/>
      <c r="N44" s="426"/>
    </row>
    <row r="45" spans="2:14" ht="15" customHeight="1">
      <c r="B45" s="420"/>
      <c r="C45" s="422"/>
      <c r="D45" s="422"/>
      <c r="E45" s="422"/>
      <c r="F45" s="422"/>
      <c r="G45" s="422"/>
      <c r="H45" s="422"/>
      <c r="I45" s="427"/>
      <c r="J45" s="425"/>
      <c r="K45" s="425"/>
      <c r="L45" s="425"/>
      <c r="M45" s="425"/>
      <c r="N45" s="426"/>
    </row>
    <row r="46" spans="2:14" ht="15" customHeight="1">
      <c r="B46" s="420"/>
      <c r="C46" s="422"/>
      <c r="D46" s="422"/>
      <c r="E46" s="422"/>
      <c r="F46" s="422"/>
      <c r="G46" s="422"/>
      <c r="H46" s="422"/>
      <c r="I46" s="427"/>
      <c r="J46" s="425"/>
      <c r="K46" s="425"/>
      <c r="L46" s="425"/>
      <c r="M46" s="425"/>
      <c r="N46" s="426"/>
    </row>
    <row r="47" spans="2:14" ht="15" customHeight="1">
      <c r="B47" s="420"/>
      <c r="C47" s="422"/>
      <c r="D47" s="422"/>
      <c r="E47" s="422"/>
      <c r="F47" s="422"/>
      <c r="G47" s="422"/>
      <c r="H47" s="422"/>
      <c r="I47" s="427"/>
      <c r="J47" s="425"/>
      <c r="K47" s="425"/>
      <c r="L47" s="425"/>
      <c r="M47" s="425"/>
      <c r="N47" s="426"/>
    </row>
    <row r="48" spans="2:14" ht="15" customHeight="1">
      <c r="B48" s="420"/>
      <c r="C48" s="422"/>
      <c r="D48" s="422"/>
      <c r="E48" s="422"/>
      <c r="F48" s="422"/>
      <c r="G48" s="422"/>
      <c r="H48" s="422"/>
      <c r="I48" s="427"/>
      <c r="J48" s="425"/>
      <c r="K48" s="425"/>
      <c r="L48" s="425"/>
      <c r="M48" s="425"/>
      <c r="N48" s="426"/>
    </row>
    <row r="49" spans="2:14" ht="15" customHeight="1">
      <c r="B49" s="420"/>
      <c r="C49" s="422"/>
      <c r="D49" s="422"/>
      <c r="E49" s="422"/>
      <c r="F49" s="422"/>
      <c r="G49" s="422"/>
      <c r="H49" s="422"/>
      <c r="I49" s="427"/>
      <c r="J49" s="425"/>
      <c r="K49" s="425"/>
      <c r="L49" s="425"/>
      <c r="M49" s="425"/>
      <c r="N49" s="426"/>
    </row>
    <row r="50" spans="2:14" ht="15" customHeight="1">
      <c r="B50" s="420"/>
      <c r="C50" s="422"/>
      <c r="D50" s="422"/>
      <c r="E50" s="422"/>
      <c r="F50" s="422"/>
      <c r="G50" s="422"/>
      <c r="H50" s="422"/>
      <c r="I50" s="427"/>
      <c r="J50" s="425"/>
      <c r="K50" s="425"/>
      <c r="L50" s="425"/>
      <c r="M50" s="425"/>
      <c r="N50" s="426"/>
    </row>
    <row r="51" spans="2:14" ht="15" customHeight="1">
      <c r="B51" s="420"/>
      <c r="C51" s="422"/>
      <c r="D51" s="422"/>
      <c r="E51" s="422"/>
      <c r="F51" s="422"/>
      <c r="G51" s="422"/>
      <c r="H51" s="422"/>
      <c r="I51" s="427"/>
      <c r="J51" s="425"/>
      <c r="K51" s="425"/>
      <c r="L51" s="425"/>
      <c r="M51" s="425"/>
      <c r="N51" s="426"/>
    </row>
    <row r="52" spans="2:14" ht="15" customHeight="1" thickBot="1">
      <c r="B52" s="429"/>
      <c r="C52" s="430"/>
      <c r="D52" s="430"/>
      <c r="E52" s="430"/>
      <c r="F52" s="430"/>
      <c r="G52" s="430"/>
      <c r="H52" s="430"/>
      <c r="I52" s="431"/>
      <c r="J52" s="432"/>
      <c r="K52" s="432"/>
      <c r="L52" s="432"/>
      <c r="M52" s="432"/>
      <c r="N52" s="433"/>
    </row>
    <row r="53" spans="2:14" ht="20.25" customHeight="1" thickBot="1">
      <c r="B53" s="434" t="s">
        <v>378</v>
      </c>
      <c r="C53" s="434"/>
      <c r="D53" s="434"/>
      <c r="E53" s="434"/>
      <c r="F53" s="434"/>
      <c r="G53" s="434"/>
      <c r="H53" s="434"/>
      <c r="I53" s="434"/>
      <c r="J53" s="434"/>
      <c r="K53" s="434"/>
      <c r="L53" s="434"/>
      <c r="M53" s="434"/>
      <c r="N53" s="434"/>
    </row>
    <row r="54" spans="2:14" ht="15" customHeight="1" thickBot="1">
      <c r="B54" s="435" t="s">
        <v>379</v>
      </c>
      <c r="C54" s="436" t="s">
        <v>376</v>
      </c>
      <c r="D54" s="437"/>
      <c r="E54" s="437"/>
      <c r="F54" s="437"/>
      <c r="G54" s="437"/>
      <c r="H54" s="438"/>
      <c r="I54" s="436" t="s">
        <v>371</v>
      </c>
      <c r="J54" s="437"/>
      <c r="K54" s="439"/>
      <c r="L54" s="436" t="s">
        <v>380</v>
      </c>
      <c r="M54" s="437"/>
      <c r="N54" s="440"/>
    </row>
    <row r="55" spans="2:14" ht="15" customHeight="1">
      <c r="B55" s="441"/>
      <c r="C55" s="442"/>
      <c r="D55" s="443"/>
      <c r="E55" s="443"/>
      <c r="F55" s="443"/>
      <c r="G55" s="443"/>
      <c r="H55" s="444"/>
      <c r="I55" s="445"/>
      <c r="J55" s="446"/>
      <c r="K55" s="447"/>
      <c r="L55" s="448"/>
      <c r="M55" s="449"/>
      <c r="N55" s="450"/>
    </row>
    <row r="56" spans="2:14" ht="15" customHeight="1">
      <c r="B56" s="451"/>
      <c r="C56" s="452"/>
      <c r="D56" s="453"/>
      <c r="E56" s="453"/>
      <c r="F56" s="453"/>
      <c r="G56" s="453"/>
      <c r="H56" s="454"/>
      <c r="I56" s="455"/>
      <c r="J56" s="456"/>
      <c r="K56" s="457"/>
      <c r="L56" s="458"/>
      <c r="M56" s="459"/>
      <c r="N56" s="460"/>
    </row>
    <row r="57" spans="2:14" ht="15" customHeight="1">
      <c r="B57" s="451"/>
      <c r="C57" s="452"/>
      <c r="D57" s="453"/>
      <c r="E57" s="453"/>
      <c r="F57" s="453"/>
      <c r="G57" s="453"/>
      <c r="H57" s="454"/>
      <c r="I57" s="455"/>
      <c r="J57" s="456"/>
      <c r="K57" s="457"/>
      <c r="L57" s="458"/>
      <c r="M57" s="459"/>
      <c r="N57" s="460"/>
    </row>
    <row r="58" spans="2:14" ht="15" customHeight="1">
      <c r="B58" s="451"/>
      <c r="C58" s="452"/>
      <c r="D58" s="453"/>
      <c r="E58" s="453"/>
      <c r="F58" s="453"/>
      <c r="G58" s="453"/>
      <c r="H58" s="454"/>
      <c r="I58" s="455"/>
      <c r="J58" s="456"/>
      <c r="K58" s="457"/>
      <c r="L58" s="458"/>
      <c r="M58" s="459"/>
      <c r="N58" s="460"/>
    </row>
    <row r="59" spans="2:14" ht="15" customHeight="1">
      <c r="B59" s="451"/>
      <c r="C59" s="452"/>
      <c r="D59" s="453"/>
      <c r="E59" s="453"/>
      <c r="F59" s="453"/>
      <c r="G59" s="453"/>
      <c r="H59" s="454"/>
      <c r="I59" s="455"/>
      <c r="J59" s="456"/>
      <c r="K59" s="457"/>
      <c r="L59" s="458"/>
      <c r="M59" s="459"/>
      <c r="N59" s="460"/>
    </row>
    <row r="60" spans="2:14" ht="15" customHeight="1">
      <c r="B60" s="451"/>
      <c r="C60" s="452"/>
      <c r="D60" s="453"/>
      <c r="E60" s="453"/>
      <c r="F60" s="453"/>
      <c r="G60" s="453"/>
      <c r="H60" s="454"/>
      <c r="I60" s="455"/>
      <c r="J60" s="456"/>
      <c r="K60" s="457"/>
      <c r="L60" s="458"/>
      <c r="M60" s="459"/>
      <c r="N60" s="460"/>
    </row>
    <row r="61" spans="2:14" ht="15" customHeight="1">
      <c r="B61" s="451"/>
      <c r="C61" s="452"/>
      <c r="D61" s="453"/>
      <c r="E61" s="453"/>
      <c r="F61" s="453"/>
      <c r="G61" s="453"/>
      <c r="H61" s="454"/>
      <c r="I61" s="455"/>
      <c r="J61" s="456"/>
      <c r="K61" s="457"/>
      <c r="L61" s="458"/>
      <c r="M61" s="459"/>
      <c r="N61" s="460"/>
    </row>
    <row r="62" spans="2:14" ht="15" customHeight="1">
      <c r="B62" s="451"/>
      <c r="C62" s="452"/>
      <c r="D62" s="453"/>
      <c r="E62" s="453"/>
      <c r="F62" s="453"/>
      <c r="G62" s="453"/>
      <c r="H62" s="454"/>
      <c r="I62" s="455"/>
      <c r="J62" s="456"/>
      <c r="K62" s="457"/>
      <c r="L62" s="458"/>
      <c r="M62" s="459"/>
      <c r="N62" s="460"/>
    </row>
    <row r="63" spans="2:14" ht="15" customHeight="1">
      <c r="B63" s="451"/>
      <c r="C63" s="452"/>
      <c r="D63" s="453"/>
      <c r="E63" s="453"/>
      <c r="F63" s="453"/>
      <c r="G63" s="453"/>
      <c r="H63" s="454"/>
      <c r="I63" s="455"/>
      <c r="J63" s="456"/>
      <c r="K63" s="457"/>
      <c r="L63" s="458"/>
      <c r="M63" s="459"/>
      <c r="N63" s="460"/>
    </row>
    <row r="64" spans="2:14" ht="15" customHeight="1">
      <c r="B64" s="451"/>
      <c r="C64" s="452"/>
      <c r="D64" s="453"/>
      <c r="E64" s="453"/>
      <c r="F64" s="453"/>
      <c r="G64" s="453"/>
      <c r="H64" s="454"/>
      <c r="I64" s="455"/>
      <c r="J64" s="456"/>
      <c r="K64" s="457"/>
      <c r="L64" s="458"/>
      <c r="M64" s="459"/>
      <c r="N64" s="460"/>
    </row>
    <row r="65" spans="2:14" ht="15" customHeight="1">
      <c r="B65" s="451"/>
      <c r="C65" s="452"/>
      <c r="D65" s="453"/>
      <c r="E65" s="453"/>
      <c r="F65" s="453"/>
      <c r="G65" s="453"/>
      <c r="H65" s="454"/>
      <c r="I65" s="455"/>
      <c r="J65" s="456"/>
      <c r="K65" s="457"/>
      <c r="L65" s="458"/>
      <c r="M65" s="459"/>
      <c r="N65" s="460"/>
    </row>
    <row r="66" spans="2:14" ht="15" customHeight="1">
      <c r="B66" s="451"/>
      <c r="C66" s="452"/>
      <c r="D66" s="453"/>
      <c r="E66" s="453"/>
      <c r="F66" s="453"/>
      <c r="G66" s="453"/>
      <c r="H66" s="454"/>
      <c r="I66" s="455"/>
      <c r="J66" s="456"/>
      <c r="K66" s="457"/>
      <c r="L66" s="458"/>
      <c r="M66" s="459"/>
      <c r="N66" s="460"/>
    </row>
    <row r="67" spans="2:14" ht="15" customHeight="1">
      <c r="B67" s="451"/>
      <c r="C67" s="452"/>
      <c r="D67" s="453"/>
      <c r="E67" s="453"/>
      <c r="F67" s="453"/>
      <c r="G67" s="453"/>
      <c r="H67" s="454"/>
      <c r="I67" s="455"/>
      <c r="J67" s="456"/>
      <c r="K67" s="457"/>
      <c r="L67" s="458"/>
      <c r="M67" s="459"/>
      <c r="N67" s="460"/>
    </row>
    <row r="68" spans="2:14" ht="15" customHeight="1">
      <c r="B68" s="451"/>
      <c r="C68" s="452"/>
      <c r="D68" s="453"/>
      <c r="E68" s="453"/>
      <c r="F68" s="453"/>
      <c r="G68" s="453"/>
      <c r="H68" s="454"/>
      <c r="I68" s="455"/>
      <c r="J68" s="456"/>
      <c r="K68" s="457"/>
      <c r="L68" s="458"/>
      <c r="M68" s="459"/>
      <c r="N68" s="460"/>
    </row>
    <row r="69" spans="2:14" ht="15" customHeight="1">
      <c r="B69" s="451"/>
      <c r="C69" s="452"/>
      <c r="D69" s="453"/>
      <c r="E69" s="453"/>
      <c r="F69" s="453"/>
      <c r="G69" s="453"/>
      <c r="H69" s="454"/>
      <c r="I69" s="455"/>
      <c r="J69" s="456"/>
      <c r="K69" s="457"/>
      <c r="L69" s="458"/>
      <c r="M69" s="459"/>
      <c r="N69" s="460"/>
    </row>
    <row r="70" spans="2:14" ht="15" customHeight="1">
      <c r="B70" s="451"/>
      <c r="C70" s="452"/>
      <c r="D70" s="453"/>
      <c r="E70" s="453"/>
      <c r="F70" s="453"/>
      <c r="G70" s="453"/>
      <c r="H70" s="454"/>
      <c r="I70" s="455"/>
      <c r="J70" s="456"/>
      <c r="K70" s="457"/>
      <c r="L70" s="458"/>
      <c r="M70" s="459"/>
      <c r="N70" s="460"/>
    </row>
    <row r="71" spans="2:14" ht="15" customHeight="1">
      <c r="B71" s="451"/>
      <c r="C71" s="452"/>
      <c r="D71" s="453"/>
      <c r="E71" s="453"/>
      <c r="F71" s="453"/>
      <c r="G71" s="453"/>
      <c r="H71" s="454"/>
      <c r="I71" s="455"/>
      <c r="J71" s="456"/>
      <c r="K71" s="457"/>
      <c r="L71" s="458"/>
      <c r="M71" s="459"/>
      <c r="N71" s="460"/>
    </row>
    <row r="72" spans="2:14">
      <c r="B72" s="451"/>
      <c r="C72" s="452"/>
      <c r="D72" s="453"/>
      <c r="E72" s="453"/>
      <c r="F72" s="453"/>
      <c r="G72" s="453"/>
      <c r="H72" s="454"/>
      <c r="I72" s="455"/>
      <c r="J72" s="456"/>
      <c r="K72" s="457"/>
      <c r="L72" s="458"/>
      <c r="M72" s="459"/>
      <c r="N72" s="460"/>
    </row>
    <row r="73" spans="2:14">
      <c r="B73" s="451"/>
      <c r="C73" s="452"/>
      <c r="D73" s="453"/>
      <c r="E73" s="453"/>
      <c r="F73" s="453"/>
      <c r="G73" s="453"/>
      <c r="H73" s="454"/>
      <c r="I73" s="455"/>
      <c r="J73" s="456"/>
      <c r="K73" s="457"/>
      <c r="L73" s="458"/>
      <c r="M73" s="459"/>
      <c r="N73" s="460"/>
    </row>
    <row r="74" spans="2:14">
      <c r="B74" s="451"/>
      <c r="C74" s="452"/>
      <c r="D74" s="453"/>
      <c r="E74" s="453"/>
      <c r="F74" s="453"/>
      <c r="G74" s="453"/>
      <c r="H74" s="454"/>
      <c r="I74" s="455"/>
      <c r="J74" s="456"/>
      <c r="K74" s="457"/>
      <c r="L74" s="458"/>
      <c r="M74" s="459"/>
      <c r="N74" s="460"/>
    </row>
    <row r="75" spans="2:14">
      <c r="B75" s="451"/>
      <c r="C75" s="452"/>
      <c r="D75" s="453"/>
      <c r="E75" s="453"/>
      <c r="F75" s="453"/>
      <c r="G75" s="453"/>
      <c r="H75" s="454"/>
      <c r="I75" s="455"/>
      <c r="J75" s="456"/>
      <c r="K75" s="457"/>
      <c r="L75" s="458"/>
      <c r="M75" s="459"/>
      <c r="N75" s="460"/>
    </row>
    <row r="76" spans="2:14">
      <c r="B76" s="451"/>
      <c r="C76" s="452"/>
      <c r="D76" s="453"/>
      <c r="E76" s="453"/>
      <c r="F76" s="453"/>
      <c r="G76" s="453"/>
      <c r="H76" s="454"/>
      <c r="I76" s="455"/>
      <c r="J76" s="456"/>
      <c r="K76" s="457"/>
      <c r="L76" s="458"/>
      <c r="M76" s="459"/>
      <c r="N76" s="460"/>
    </row>
    <row r="77" spans="2:14">
      <c r="B77" s="451"/>
      <c r="C77" s="452"/>
      <c r="D77" s="453"/>
      <c r="E77" s="453"/>
      <c r="F77" s="453"/>
      <c r="G77" s="453"/>
      <c r="H77" s="454"/>
      <c r="I77" s="455"/>
      <c r="J77" s="456"/>
      <c r="K77" s="457"/>
      <c r="L77" s="458"/>
      <c r="M77" s="459"/>
      <c r="N77" s="460"/>
    </row>
    <row r="78" spans="2:14">
      <c r="B78" s="451"/>
      <c r="C78" s="452"/>
      <c r="D78" s="453"/>
      <c r="E78" s="453"/>
      <c r="F78" s="453"/>
      <c r="G78" s="453"/>
      <c r="H78" s="454"/>
      <c r="I78" s="455"/>
      <c r="J78" s="456"/>
      <c r="K78" s="457"/>
      <c r="L78" s="458"/>
      <c r="M78" s="459"/>
      <c r="N78" s="460"/>
    </row>
    <row r="79" spans="2:14" ht="13.5" thickBot="1">
      <c r="B79" s="461"/>
      <c r="C79" s="462"/>
      <c r="D79" s="463"/>
      <c r="E79" s="463"/>
      <c r="F79" s="463"/>
      <c r="G79" s="463"/>
      <c r="H79" s="464"/>
      <c r="I79" s="465"/>
      <c r="J79" s="466"/>
      <c r="K79" s="467"/>
      <c r="L79" s="468"/>
      <c r="M79" s="469"/>
      <c r="N79" s="470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492" customWidth="1"/>
    <col min="2" max="7" width="10.7109375" style="492" customWidth="1"/>
    <col min="8" max="16384" width="9.140625" style="492"/>
  </cols>
  <sheetData>
    <row r="1" spans="1:12" ht="21" customHeight="1">
      <c r="A1" s="490" t="s">
        <v>410</v>
      </c>
      <c r="B1" s="491" t="s">
        <v>449</v>
      </c>
      <c r="C1" s="491"/>
      <c r="D1" s="491"/>
      <c r="E1" s="491"/>
      <c r="F1" s="491"/>
      <c r="G1" s="491"/>
    </row>
    <row r="2" spans="1:12" ht="15" customHeight="1"/>
    <row r="3" spans="1:12" ht="20.25">
      <c r="A3" s="493" t="s">
        <v>411</v>
      </c>
    </row>
    <row r="4" spans="1:12" ht="12" customHeight="1">
      <c r="A4" s="494"/>
      <c r="B4" s="494"/>
      <c r="C4" s="494"/>
      <c r="D4" s="494" t="s">
        <v>463</v>
      </c>
      <c r="E4" s="494"/>
      <c r="F4" s="494"/>
      <c r="G4" s="494"/>
      <c r="H4" s="494"/>
      <c r="I4" s="494"/>
      <c r="J4" s="494"/>
      <c r="K4" s="494"/>
      <c r="L4" s="494"/>
    </row>
    <row r="5" spans="1:12" ht="15.6" customHeight="1">
      <c r="A5" s="495" t="s">
        <v>5</v>
      </c>
      <c r="B5" s="495" t="s">
        <v>412</v>
      </c>
      <c r="C5" s="495" t="s">
        <v>413</v>
      </c>
      <c r="D5" s="495" t="s">
        <v>414</v>
      </c>
      <c r="E5" s="495" t="s">
        <v>415</v>
      </c>
      <c r="F5" s="495" t="s">
        <v>416</v>
      </c>
      <c r="G5" s="495" t="s">
        <v>417</v>
      </c>
      <c r="H5" s="494"/>
      <c r="I5" s="494"/>
      <c r="J5" s="494"/>
      <c r="K5" s="494"/>
      <c r="L5" s="494"/>
    </row>
    <row r="6" spans="1:12" ht="15.6" customHeight="1">
      <c r="A6" s="496" t="s">
        <v>418</v>
      </c>
      <c r="B6" s="496" t="s">
        <v>166</v>
      </c>
      <c r="C6" s="496" t="s">
        <v>166</v>
      </c>
      <c r="D6" s="496" t="s">
        <v>419</v>
      </c>
      <c r="E6" s="496" t="s">
        <v>135</v>
      </c>
      <c r="F6" s="496" t="s">
        <v>420</v>
      </c>
      <c r="G6" s="496" t="s">
        <v>420</v>
      </c>
      <c r="H6" s="494"/>
      <c r="I6" s="494"/>
      <c r="J6" s="494"/>
      <c r="K6" s="494"/>
      <c r="L6" s="494"/>
    </row>
    <row r="7" spans="1:12" ht="15.95" customHeight="1">
      <c r="A7" s="497" t="s">
        <v>450</v>
      </c>
      <c r="B7" s="497" t="s">
        <v>464</v>
      </c>
      <c r="C7" s="497" t="s">
        <v>476</v>
      </c>
      <c r="D7" s="497" t="s">
        <v>487</v>
      </c>
      <c r="E7" s="497" t="s">
        <v>499</v>
      </c>
      <c r="F7" s="497" t="s">
        <v>511</v>
      </c>
      <c r="G7" s="497" t="s">
        <v>522</v>
      </c>
      <c r="H7" s="494"/>
      <c r="I7" s="494"/>
      <c r="J7" s="494"/>
      <c r="K7" s="494"/>
      <c r="L7" s="494"/>
    </row>
    <row r="8" spans="1:12" ht="15.95" customHeight="1">
      <c r="A8" s="497" t="s">
        <v>451</v>
      </c>
      <c r="B8" s="497" t="s">
        <v>465</v>
      </c>
      <c r="C8" s="497" t="s">
        <v>477</v>
      </c>
      <c r="D8" s="497" t="s">
        <v>488</v>
      </c>
      <c r="E8" s="497" t="s">
        <v>500</v>
      </c>
      <c r="F8" s="497" t="s">
        <v>512</v>
      </c>
      <c r="G8" s="497" t="s">
        <v>523</v>
      </c>
      <c r="H8" s="494"/>
      <c r="I8" s="494"/>
      <c r="J8" s="494"/>
      <c r="K8" s="494"/>
      <c r="L8" s="494"/>
    </row>
    <row r="9" spans="1:12" ht="15.95" customHeight="1">
      <c r="A9" s="497" t="s">
        <v>452</v>
      </c>
      <c r="B9" s="497" t="s">
        <v>466</v>
      </c>
      <c r="C9" s="497" t="s">
        <v>478</v>
      </c>
      <c r="D9" s="497" t="s">
        <v>489</v>
      </c>
      <c r="E9" s="497" t="s">
        <v>501</v>
      </c>
      <c r="F9" s="497" t="s">
        <v>513</v>
      </c>
      <c r="G9" s="497" t="s">
        <v>524</v>
      </c>
      <c r="H9" s="494"/>
      <c r="I9" s="494"/>
      <c r="J9" s="494"/>
      <c r="K9" s="494"/>
      <c r="L9" s="494"/>
    </row>
    <row r="10" spans="1:12" ht="15.95" customHeight="1">
      <c r="A10" s="497" t="s">
        <v>453</v>
      </c>
      <c r="B10" s="497" t="s">
        <v>467</v>
      </c>
      <c r="C10" s="497" t="s">
        <v>478</v>
      </c>
      <c r="D10" s="497" t="s">
        <v>490</v>
      </c>
      <c r="E10" s="497" t="s">
        <v>502</v>
      </c>
      <c r="F10" s="497" t="s">
        <v>514</v>
      </c>
      <c r="G10" s="497" t="s">
        <v>525</v>
      </c>
      <c r="H10" s="494"/>
      <c r="I10" s="494"/>
      <c r="J10" s="494"/>
      <c r="K10" s="494"/>
      <c r="L10" s="494"/>
    </row>
    <row r="11" spans="1:12" ht="15.95" customHeight="1">
      <c r="A11" s="497" t="s">
        <v>454</v>
      </c>
      <c r="B11" s="497" t="s">
        <v>468</v>
      </c>
      <c r="C11" s="497" t="s">
        <v>479</v>
      </c>
      <c r="D11" s="497" t="s">
        <v>491</v>
      </c>
      <c r="E11" s="497" t="s">
        <v>503</v>
      </c>
      <c r="F11" s="497" t="s">
        <v>474</v>
      </c>
      <c r="G11" s="497" t="s">
        <v>526</v>
      </c>
      <c r="H11" s="494"/>
      <c r="I11" s="494"/>
      <c r="J11" s="494"/>
      <c r="K11" s="494"/>
      <c r="L11" s="494"/>
    </row>
    <row r="12" spans="1:12" ht="15.95" customHeight="1">
      <c r="A12" s="497" t="s">
        <v>455</v>
      </c>
      <c r="B12" s="497" t="s">
        <v>469</v>
      </c>
      <c r="C12" s="497" t="s">
        <v>480</v>
      </c>
      <c r="D12" s="497" t="s">
        <v>492</v>
      </c>
      <c r="E12" s="497" t="s">
        <v>504</v>
      </c>
      <c r="F12" s="497" t="s">
        <v>515</v>
      </c>
      <c r="G12" s="497" t="s">
        <v>527</v>
      </c>
      <c r="H12" s="494"/>
      <c r="I12" s="494"/>
      <c r="J12" s="494"/>
      <c r="K12" s="494"/>
      <c r="L12" s="494"/>
    </row>
    <row r="13" spans="1:12" ht="15.95" customHeight="1">
      <c r="A13" s="497" t="s">
        <v>456</v>
      </c>
      <c r="B13" s="497" t="s">
        <v>470</v>
      </c>
      <c r="C13" s="497" t="s">
        <v>481</v>
      </c>
      <c r="D13" s="497" t="s">
        <v>493</v>
      </c>
      <c r="E13" s="497" t="s">
        <v>505</v>
      </c>
      <c r="F13" s="497" t="s">
        <v>516</v>
      </c>
      <c r="G13" s="497" t="s">
        <v>528</v>
      </c>
      <c r="H13" s="494"/>
      <c r="I13" s="494"/>
      <c r="J13" s="494"/>
      <c r="K13" s="494"/>
      <c r="L13" s="494"/>
    </row>
    <row r="14" spans="1:12" ht="15.95" customHeight="1">
      <c r="A14" s="497" t="s">
        <v>457</v>
      </c>
      <c r="B14" s="497" t="s">
        <v>471</v>
      </c>
      <c r="C14" s="497" t="s">
        <v>482</v>
      </c>
      <c r="D14" s="497" t="s">
        <v>494</v>
      </c>
      <c r="E14" s="497" t="s">
        <v>506</v>
      </c>
      <c r="F14" s="497" t="s">
        <v>517</v>
      </c>
      <c r="G14" s="497" t="s">
        <v>529</v>
      </c>
      <c r="H14" s="494"/>
      <c r="I14" s="494"/>
      <c r="J14" s="494"/>
      <c r="K14" s="494"/>
      <c r="L14" s="494"/>
    </row>
    <row r="15" spans="1:12" ht="15.95" customHeight="1">
      <c r="A15" s="497" t="s">
        <v>458</v>
      </c>
      <c r="B15" s="497" t="s">
        <v>472</v>
      </c>
      <c r="C15" s="497" t="s">
        <v>483</v>
      </c>
      <c r="D15" s="497" t="s">
        <v>495</v>
      </c>
      <c r="E15" s="497" t="s">
        <v>507</v>
      </c>
      <c r="F15" s="497" t="s">
        <v>518</v>
      </c>
      <c r="G15" s="497" t="s">
        <v>530</v>
      </c>
      <c r="H15" s="494"/>
      <c r="I15" s="494"/>
      <c r="J15" s="494"/>
      <c r="K15" s="494"/>
      <c r="L15" s="494"/>
    </row>
    <row r="16" spans="1:12" ht="15.95" customHeight="1">
      <c r="A16" s="497" t="s">
        <v>459</v>
      </c>
      <c r="B16" s="497" t="s">
        <v>473</v>
      </c>
      <c r="C16" s="497" t="s">
        <v>484</v>
      </c>
      <c r="D16" s="497" t="s">
        <v>496</v>
      </c>
      <c r="E16" s="497" t="s">
        <v>508</v>
      </c>
      <c r="F16" s="497" t="s">
        <v>519</v>
      </c>
      <c r="G16" s="497" t="s">
        <v>531</v>
      </c>
      <c r="H16" s="494"/>
      <c r="I16" s="494"/>
      <c r="J16" s="494"/>
      <c r="K16" s="494"/>
      <c r="L16" s="494"/>
    </row>
    <row r="17" spans="1:12" ht="15.95" customHeight="1">
      <c r="A17" s="497" t="s">
        <v>460</v>
      </c>
      <c r="B17" s="497" t="s">
        <v>474</v>
      </c>
      <c r="C17" s="497" t="s">
        <v>485</v>
      </c>
      <c r="D17" s="497" t="s">
        <v>497</v>
      </c>
      <c r="E17" s="497" t="s">
        <v>509</v>
      </c>
      <c r="F17" s="497" t="s">
        <v>520</v>
      </c>
      <c r="G17" s="497" t="s">
        <v>532</v>
      </c>
      <c r="H17" s="494"/>
      <c r="I17" s="494"/>
      <c r="J17" s="494"/>
      <c r="K17" s="494"/>
      <c r="L17" s="494"/>
    </row>
    <row r="18" spans="1:12" ht="15.95" customHeight="1">
      <c r="A18" s="497" t="s">
        <v>461</v>
      </c>
      <c r="B18" s="497" t="s">
        <v>475</v>
      </c>
      <c r="C18" s="497" t="s">
        <v>486</v>
      </c>
      <c r="D18" s="497" t="s">
        <v>498</v>
      </c>
      <c r="E18" s="497" t="s">
        <v>510</v>
      </c>
      <c r="F18" s="497" t="s">
        <v>521</v>
      </c>
      <c r="G18" s="497" t="s">
        <v>533</v>
      </c>
      <c r="H18" s="494"/>
      <c r="I18" s="494"/>
      <c r="J18" s="494"/>
      <c r="K18" s="494"/>
      <c r="L18" s="494"/>
    </row>
    <row r="19" spans="1:12" ht="15.95" customHeight="1">
      <c r="A19" s="514" t="s">
        <v>462</v>
      </c>
      <c r="B19" s="514" t="s">
        <v>462</v>
      </c>
      <c r="C19" s="514" t="s">
        <v>462</v>
      </c>
      <c r="D19" s="514" t="s">
        <v>462</v>
      </c>
      <c r="E19" s="514" t="s">
        <v>462</v>
      </c>
      <c r="F19" s="514" t="s">
        <v>462</v>
      </c>
      <c r="G19" s="514" t="s">
        <v>462</v>
      </c>
      <c r="H19" s="494"/>
      <c r="I19" s="494"/>
      <c r="J19" s="494"/>
      <c r="K19" s="494"/>
      <c r="L19" s="494"/>
    </row>
    <row r="20" spans="1:12" ht="15.75">
      <c r="A20" s="494"/>
      <c r="B20" s="494"/>
      <c r="C20" s="494"/>
      <c r="D20" s="494"/>
      <c r="E20" s="494"/>
      <c r="F20" s="494"/>
      <c r="G20" s="494"/>
      <c r="H20" s="494"/>
      <c r="I20" s="494"/>
      <c r="J20" s="494"/>
      <c r="K20" s="494"/>
      <c r="L20" s="494"/>
    </row>
    <row r="21" spans="1:12" ht="15.75">
      <c r="A21" s="494"/>
      <c r="B21" s="494"/>
      <c r="C21" s="494"/>
      <c r="D21" s="498" t="s">
        <v>543</v>
      </c>
      <c r="E21" s="499"/>
      <c r="F21" s="499"/>
      <c r="G21" s="500"/>
      <c r="H21" s="494"/>
      <c r="I21" s="494"/>
      <c r="J21" s="494"/>
      <c r="K21" s="494"/>
      <c r="L21" s="494"/>
    </row>
    <row r="22" spans="1:12" ht="17.25" customHeight="1">
      <c r="A22" s="494"/>
      <c r="B22" s="501" t="s">
        <v>421</v>
      </c>
      <c r="C22" s="501"/>
      <c r="D22" s="501" t="s">
        <v>422</v>
      </c>
      <c r="E22" s="501"/>
      <c r="F22" s="501" t="s">
        <v>423</v>
      </c>
      <c r="G22" s="501"/>
      <c r="H22" s="494"/>
      <c r="I22" s="494"/>
      <c r="J22" s="494"/>
      <c r="K22" s="494"/>
      <c r="L22" s="494"/>
    </row>
    <row r="23" spans="1:12" ht="15.75">
      <c r="A23" s="502" t="s">
        <v>424</v>
      </c>
      <c r="B23" s="503" t="s">
        <v>534</v>
      </c>
      <c r="C23" s="503"/>
      <c r="D23" s="503" t="s">
        <v>537</v>
      </c>
      <c r="E23" s="503"/>
      <c r="F23" s="503" t="s">
        <v>540</v>
      </c>
      <c r="G23" s="503"/>
      <c r="H23" s="494"/>
      <c r="I23" s="494"/>
      <c r="J23" s="494"/>
      <c r="K23" s="494"/>
      <c r="L23" s="494"/>
    </row>
    <row r="24" spans="1:12" ht="18" customHeight="1">
      <c r="A24" s="502" t="s">
        <v>425</v>
      </c>
      <c r="B24" s="503" t="s">
        <v>535</v>
      </c>
      <c r="C24" s="503"/>
      <c r="D24" s="503" t="s">
        <v>538</v>
      </c>
      <c r="E24" s="503"/>
      <c r="F24" s="503" t="s">
        <v>541</v>
      </c>
      <c r="G24" s="503"/>
      <c r="H24" s="494"/>
      <c r="I24" s="494"/>
      <c r="J24" s="494"/>
      <c r="K24" s="494"/>
      <c r="L24" s="494"/>
    </row>
    <row r="25" spans="1:12" ht="15.75">
      <c r="A25" s="502" t="s">
        <v>426</v>
      </c>
      <c r="B25" s="503" t="s">
        <v>536</v>
      </c>
      <c r="C25" s="503"/>
      <c r="D25" s="503" t="s">
        <v>539</v>
      </c>
      <c r="E25" s="503"/>
      <c r="F25" s="503" t="s">
        <v>542</v>
      </c>
      <c r="G25" s="503"/>
      <c r="H25" s="494"/>
      <c r="I25" s="494"/>
      <c r="J25" s="494"/>
      <c r="K25" s="494"/>
      <c r="L25" s="494"/>
    </row>
    <row r="26" spans="1:12" ht="15.75">
      <c r="A26" s="494"/>
      <c r="B26" s="494"/>
      <c r="C26" s="494"/>
      <c r="D26" s="494"/>
      <c r="E26" s="494"/>
      <c r="F26" s="494"/>
      <c r="G26" s="494"/>
      <c r="H26" s="494"/>
      <c r="I26" s="494"/>
      <c r="J26" s="494"/>
      <c r="K26" s="494"/>
      <c r="L26" s="494"/>
    </row>
    <row r="27" spans="1:12" ht="20.25">
      <c r="A27" s="493" t="s">
        <v>427</v>
      </c>
      <c r="B27" s="494"/>
      <c r="C27" s="494"/>
      <c r="D27" s="494"/>
      <c r="E27" s="494"/>
      <c r="F27" s="494"/>
      <c r="G27" s="494"/>
      <c r="H27" s="494"/>
      <c r="I27" s="494"/>
      <c r="J27" s="494"/>
      <c r="K27" s="494"/>
      <c r="L27" s="494"/>
    </row>
    <row r="28" spans="1:12" ht="15.75">
      <c r="A28" s="494"/>
      <c r="B28" s="494"/>
      <c r="C28" s="494"/>
      <c r="D28" s="494"/>
      <c r="E28" s="504" t="s">
        <v>428</v>
      </c>
      <c r="F28" s="499"/>
      <c r="G28" s="500"/>
      <c r="H28" s="494"/>
      <c r="I28" s="494"/>
      <c r="J28" s="494"/>
      <c r="K28" s="494"/>
      <c r="L28" s="494"/>
    </row>
    <row r="29" spans="1:12" ht="15.75">
      <c r="A29" s="494"/>
      <c r="B29" s="501" t="s">
        <v>429</v>
      </c>
      <c r="C29" s="501"/>
      <c r="D29" s="505" t="s">
        <v>430</v>
      </c>
      <c r="E29" s="505" t="s">
        <v>431</v>
      </c>
      <c r="F29" s="501" t="s">
        <v>432</v>
      </c>
      <c r="G29" s="501"/>
      <c r="H29" s="494"/>
      <c r="I29" s="494"/>
      <c r="J29" s="494"/>
      <c r="K29" s="494"/>
      <c r="L29" s="494"/>
    </row>
    <row r="30" spans="1:12" ht="15.75">
      <c r="A30" s="502" t="s">
        <v>433</v>
      </c>
      <c r="B30" s="503" t="s">
        <v>544</v>
      </c>
      <c r="C30" s="503"/>
      <c r="D30" s="497" t="s">
        <v>547</v>
      </c>
      <c r="E30" s="497" t="s">
        <v>434</v>
      </c>
      <c r="F30" s="503" t="s">
        <v>550</v>
      </c>
      <c r="G30" s="503"/>
      <c r="H30" s="494"/>
      <c r="I30" s="494"/>
      <c r="J30" s="494"/>
      <c r="K30" s="494"/>
      <c r="L30" s="494"/>
    </row>
    <row r="31" spans="1:12" ht="15.75">
      <c r="A31" s="502" t="s">
        <v>435</v>
      </c>
      <c r="B31" s="503" t="s">
        <v>545</v>
      </c>
      <c r="C31" s="503"/>
      <c r="D31" s="497" t="s">
        <v>548</v>
      </c>
      <c r="E31" s="497" t="s">
        <v>436</v>
      </c>
      <c r="F31" s="503" t="s">
        <v>551</v>
      </c>
      <c r="G31" s="503"/>
      <c r="H31" s="494"/>
      <c r="I31" s="494"/>
      <c r="J31" s="494"/>
      <c r="K31" s="494"/>
      <c r="L31" s="494"/>
    </row>
    <row r="32" spans="1:12" ht="15.75">
      <c r="A32" s="502" t="s">
        <v>437</v>
      </c>
      <c r="B32" s="503" t="s">
        <v>546</v>
      </c>
      <c r="C32" s="503"/>
      <c r="D32" s="497" t="s">
        <v>549</v>
      </c>
      <c r="E32" s="497" t="s">
        <v>438</v>
      </c>
      <c r="F32" s="503" t="s">
        <v>552</v>
      </c>
      <c r="G32" s="503"/>
      <c r="H32" s="494"/>
      <c r="I32" s="494"/>
      <c r="J32" s="494"/>
      <c r="K32" s="494"/>
      <c r="L32" s="494"/>
    </row>
    <row r="33" spans="1:12" ht="15.75">
      <c r="A33" s="494"/>
      <c r="B33" s="494"/>
      <c r="C33" s="494"/>
      <c r="D33" s="494"/>
      <c r="E33" s="494"/>
      <c r="F33" s="494"/>
      <c r="G33" s="494"/>
      <c r="H33" s="494"/>
      <c r="I33" s="494"/>
      <c r="J33" s="494"/>
      <c r="K33" s="494"/>
      <c r="L33" s="494"/>
    </row>
    <row r="34" spans="1:12" ht="15.75">
      <c r="A34" s="494"/>
      <c r="B34" s="494"/>
      <c r="C34" s="494"/>
      <c r="D34" s="494"/>
      <c r="E34" s="504" t="s">
        <v>439</v>
      </c>
      <c r="F34" s="499"/>
      <c r="G34" s="500"/>
      <c r="H34" s="494"/>
      <c r="I34" s="494"/>
      <c r="J34" s="494"/>
      <c r="K34" s="494"/>
      <c r="L34" s="494"/>
    </row>
    <row r="35" spans="1:12" ht="15.75">
      <c r="A35" s="494"/>
      <c r="B35" s="501" t="s">
        <v>440</v>
      </c>
      <c r="C35" s="501"/>
      <c r="D35" s="505" t="s">
        <v>431</v>
      </c>
      <c r="E35" s="505" t="s">
        <v>441</v>
      </c>
      <c r="F35" s="505" t="s">
        <v>100</v>
      </c>
      <c r="G35" s="505" t="s">
        <v>442</v>
      </c>
      <c r="H35" s="494"/>
      <c r="I35" s="494"/>
      <c r="J35" s="494"/>
      <c r="K35" s="494"/>
      <c r="L35" s="494"/>
    </row>
    <row r="36" spans="1:12" ht="15.75">
      <c r="A36" s="502" t="s">
        <v>433</v>
      </c>
      <c r="B36" s="506" t="s">
        <v>553</v>
      </c>
      <c r="C36" s="507"/>
      <c r="D36" s="508" t="s">
        <v>555</v>
      </c>
      <c r="E36" s="508" t="s">
        <v>443</v>
      </c>
      <c r="F36" s="509" t="s">
        <v>444</v>
      </c>
      <c r="G36" s="497" t="s">
        <v>558</v>
      </c>
      <c r="H36" s="494"/>
      <c r="I36" s="494"/>
      <c r="J36" s="494"/>
      <c r="K36" s="494"/>
      <c r="L36" s="494"/>
    </row>
    <row r="37" spans="1:12" ht="15.75">
      <c r="A37" s="502" t="s">
        <v>435</v>
      </c>
      <c r="B37" s="506" t="s">
        <v>554</v>
      </c>
      <c r="C37" s="507"/>
      <c r="D37" s="508" t="s">
        <v>556</v>
      </c>
      <c r="E37" s="508" t="s">
        <v>443</v>
      </c>
      <c r="F37" s="509" t="s">
        <v>445</v>
      </c>
      <c r="G37" s="510" t="s">
        <v>559</v>
      </c>
      <c r="H37" s="494"/>
      <c r="I37" s="494"/>
      <c r="J37" s="494"/>
      <c r="K37" s="494"/>
      <c r="L37" s="494"/>
    </row>
    <row r="38" spans="1:12" ht="15.75">
      <c r="A38" s="502" t="s">
        <v>437</v>
      </c>
      <c r="B38" s="506" t="s">
        <v>554</v>
      </c>
      <c r="C38" s="507"/>
      <c r="D38" s="508" t="s">
        <v>557</v>
      </c>
      <c r="E38" s="508" t="s">
        <v>443</v>
      </c>
      <c r="F38" s="509" t="s">
        <v>446</v>
      </c>
      <c r="G38" s="497" t="s">
        <v>560</v>
      </c>
      <c r="H38" s="494"/>
      <c r="I38" s="494"/>
      <c r="J38" s="494"/>
      <c r="K38" s="494"/>
      <c r="L38" s="494"/>
    </row>
    <row r="39" spans="1:12" ht="15.75">
      <c r="A39" s="494"/>
      <c r="B39" s="494"/>
      <c r="C39" s="494"/>
      <c r="D39" s="494"/>
      <c r="E39" s="494"/>
      <c r="F39" s="494"/>
      <c r="G39" s="494"/>
      <c r="H39" s="494"/>
      <c r="I39" s="494"/>
      <c r="J39" s="494"/>
      <c r="K39" s="494"/>
      <c r="L39" s="494"/>
    </row>
    <row r="40" spans="1:12" ht="15.75">
      <c r="A40" s="511" t="s">
        <v>447</v>
      </c>
      <c r="B40" s="512" t="s">
        <v>561</v>
      </c>
      <c r="C40" s="512"/>
      <c r="D40" s="513" t="s">
        <v>448</v>
      </c>
      <c r="E40" s="513"/>
      <c r="F40" s="512" t="s">
        <v>562</v>
      </c>
      <c r="G40" s="512"/>
      <c r="H40" s="494"/>
      <c r="I40" s="494"/>
      <c r="J40" s="494"/>
      <c r="K40" s="494"/>
      <c r="L40" s="494"/>
    </row>
    <row r="41" spans="1:12" ht="15.75">
      <c r="A41" s="494"/>
      <c r="B41" s="494"/>
      <c r="C41" s="494"/>
      <c r="D41" s="494"/>
      <c r="E41" s="494"/>
      <c r="F41" s="494"/>
      <c r="G41" s="494"/>
      <c r="H41" s="494"/>
      <c r="I41" s="494"/>
      <c r="J41" s="494"/>
      <c r="K41" s="494"/>
      <c r="L41" s="494"/>
    </row>
    <row r="42" spans="1:12" ht="15.75">
      <c r="A42" s="494"/>
      <c r="B42" s="494"/>
      <c r="C42" s="494"/>
      <c r="D42" s="494"/>
      <c r="E42" s="494"/>
      <c r="F42" s="494"/>
      <c r="G42" s="494"/>
      <c r="H42" s="494"/>
      <c r="I42" s="494"/>
      <c r="J42" s="494"/>
      <c r="K42" s="494"/>
      <c r="L42" s="494"/>
    </row>
    <row r="43" spans="1:12" ht="15.75">
      <c r="A43" s="494"/>
      <c r="B43" s="494"/>
      <c r="C43" s="494"/>
      <c r="D43" s="494"/>
      <c r="E43" s="494"/>
      <c r="F43" s="494"/>
      <c r="G43" s="494"/>
      <c r="H43" s="494"/>
      <c r="I43" s="494"/>
      <c r="J43" s="494"/>
      <c r="K43" s="494"/>
      <c r="L43" s="494"/>
    </row>
    <row r="44" spans="1:12" ht="15.75">
      <c r="A44" s="494"/>
      <c r="B44" s="494"/>
      <c r="C44" s="494"/>
      <c r="D44" s="494"/>
      <c r="E44" s="494"/>
      <c r="F44" s="494"/>
      <c r="G44" s="494"/>
      <c r="H44" s="494"/>
      <c r="I44" s="494"/>
      <c r="J44" s="494"/>
      <c r="K44" s="494"/>
      <c r="L44" s="494"/>
    </row>
    <row r="45" spans="1:12" ht="15.75">
      <c r="A45" s="494"/>
      <c r="B45" s="494"/>
      <c r="C45" s="494"/>
      <c r="D45" s="494"/>
      <c r="E45" s="494"/>
      <c r="F45" s="494"/>
      <c r="G45" s="494"/>
      <c r="H45" s="494"/>
      <c r="I45" s="494"/>
      <c r="J45" s="494"/>
      <c r="K45" s="494"/>
      <c r="L45" s="494"/>
    </row>
    <row r="46" spans="1:12" ht="15.75">
      <c r="A46" s="494"/>
      <c r="B46" s="494"/>
      <c r="C46" s="494"/>
      <c r="D46" s="494"/>
      <c r="E46" s="494"/>
      <c r="F46" s="494"/>
      <c r="G46" s="494"/>
      <c r="H46" s="494"/>
      <c r="I46" s="494"/>
      <c r="J46" s="494"/>
      <c r="K46" s="494"/>
      <c r="L46" s="494"/>
    </row>
    <row r="47" spans="1:12" ht="15.75">
      <c r="A47" s="494"/>
      <c r="B47" s="494"/>
      <c r="C47" s="494"/>
      <c r="D47" s="494"/>
      <c r="E47" s="494"/>
      <c r="F47" s="494"/>
      <c r="G47" s="494"/>
      <c r="H47" s="494"/>
      <c r="I47" s="494"/>
      <c r="J47" s="494"/>
      <c r="K47" s="494"/>
      <c r="L47" s="494"/>
    </row>
    <row r="48" spans="1:12" ht="15.75">
      <c r="A48" s="494"/>
      <c r="B48" s="494"/>
      <c r="C48" s="494"/>
      <c r="D48" s="494"/>
      <c r="E48" s="494"/>
      <c r="F48" s="494"/>
      <c r="G48" s="494"/>
      <c r="H48" s="494"/>
      <c r="I48" s="494"/>
      <c r="J48" s="494"/>
      <c r="K48" s="494"/>
      <c r="L48" s="494"/>
    </row>
    <row r="49" spans="1:12" ht="15.75">
      <c r="A49" s="494"/>
      <c r="B49" s="494"/>
      <c r="C49" s="494"/>
      <c r="D49" s="494"/>
      <c r="E49" s="494"/>
      <c r="F49" s="494"/>
      <c r="G49" s="494"/>
      <c r="H49" s="494"/>
      <c r="I49" s="494"/>
      <c r="J49" s="494"/>
      <c r="K49" s="494"/>
      <c r="L49" s="494"/>
    </row>
    <row r="50" spans="1:12" ht="15.75">
      <c r="A50" s="494"/>
      <c r="B50" s="494"/>
      <c r="C50" s="494"/>
      <c r="D50" s="494"/>
      <c r="E50" s="494"/>
      <c r="F50" s="494"/>
      <c r="G50" s="494"/>
      <c r="H50" s="494"/>
      <c r="I50" s="494"/>
      <c r="J50" s="494"/>
      <c r="K50" s="494"/>
      <c r="L50" s="494"/>
    </row>
    <row r="51" spans="1:12" ht="15.75">
      <c r="A51" s="494"/>
      <c r="B51" s="494"/>
      <c r="C51" s="494"/>
      <c r="D51" s="494"/>
      <c r="E51" s="494"/>
      <c r="F51" s="494"/>
      <c r="G51" s="494"/>
      <c r="H51" s="494"/>
      <c r="I51" s="494"/>
      <c r="J51" s="494"/>
      <c r="K51" s="494"/>
      <c r="L51" s="494"/>
    </row>
    <row r="52" spans="1:12" ht="15.75">
      <c r="A52" s="494"/>
      <c r="B52" s="494"/>
      <c r="C52" s="494"/>
      <c r="D52" s="494"/>
      <c r="E52" s="494"/>
      <c r="F52" s="494"/>
      <c r="G52" s="494"/>
      <c r="H52" s="494"/>
      <c r="I52" s="494"/>
      <c r="J52" s="494"/>
      <c r="K52" s="494"/>
      <c r="L52" s="494"/>
    </row>
    <row r="53" spans="1:12" ht="15.75">
      <c r="A53" s="494"/>
      <c r="B53" s="494"/>
      <c r="C53" s="494"/>
      <c r="D53" s="494"/>
      <c r="E53" s="494"/>
      <c r="F53" s="494"/>
      <c r="G53" s="494"/>
      <c r="H53" s="494"/>
      <c r="I53" s="494"/>
      <c r="J53" s="494"/>
      <c r="K53" s="494"/>
      <c r="L53" s="494"/>
    </row>
    <row r="54" spans="1:12" ht="15.75">
      <c r="A54" s="494"/>
      <c r="B54" s="494"/>
      <c r="C54" s="494"/>
      <c r="D54" s="494"/>
      <c r="E54" s="494"/>
      <c r="F54" s="494"/>
      <c r="G54" s="494"/>
      <c r="H54" s="494"/>
      <c r="I54" s="494"/>
      <c r="J54" s="494"/>
      <c r="K54" s="494"/>
      <c r="L54" s="494"/>
    </row>
    <row r="55" spans="1:12" ht="15.75">
      <c r="A55" s="494"/>
      <c r="B55" s="494"/>
      <c r="C55" s="494"/>
      <c r="D55" s="494"/>
      <c r="E55" s="494"/>
      <c r="F55" s="494"/>
      <c r="G55" s="494"/>
      <c r="H55" s="494"/>
      <c r="I55" s="494"/>
      <c r="J55" s="494"/>
      <c r="K55" s="494"/>
      <c r="L55" s="494"/>
    </row>
    <row r="56" spans="1:12" ht="15.75">
      <c r="A56" s="494"/>
      <c r="B56" s="494"/>
      <c r="C56" s="494"/>
      <c r="D56" s="494"/>
      <c r="E56" s="494"/>
      <c r="F56" s="494"/>
      <c r="G56" s="494"/>
      <c r="H56" s="494"/>
      <c r="I56" s="494"/>
      <c r="J56" s="494"/>
      <c r="K56" s="494"/>
      <c r="L56" s="494"/>
    </row>
    <row r="57" spans="1:12" ht="15.75">
      <c r="A57" s="494"/>
      <c r="B57" s="494"/>
      <c r="C57" s="494"/>
      <c r="D57" s="494"/>
      <c r="E57" s="494"/>
      <c r="F57" s="494"/>
      <c r="G57" s="494"/>
      <c r="H57" s="494"/>
      <c r="I57" s="494"/>
      <c r="J57" s="494"/>
      <c r="K57" s="494"/>
      <c r="L57" s="494"/>
    </row>
    <row r="58" spans="1:12" ht="15.75">
      <c r="A58" s="494"/>
      <c r="B58" s="494"/>
      <c r="C58" s="494"/>
      <c r="D58" s="494"/>
      <c r="E58" s="494"/>
      <c r="F58" s="494"/>
      <c r="G58" s="494"/>
      <c r="H58" s="494"/>
      <c r="I58" s="494"/>
      <c r="J58" s="494"/>
      <c r="K58" s="494"/>
      <c r="L58" s="494"/>
    </row>
    <row r="59" spans="1:12" ht="15.75">
      <c r="A59" s="494"/>
      <c r="B59" s="494"/>
      <c r="C59" s="494"/>
      <c r="D59" s="494"/>
      <c r="E59" s="494"/>
      <c r="F59" s="494"/>
      <c r="G59" s="494"/>
      <c r="H59" s="494"/>
      <c r="I59" s="494"/>
      <c r="J59" s="494"/>
      <c r="K59" s="494"/>
      <c r="L59" s="494"/>
    </row>
    <row r="60" spans="1:12" ht="15.75">
      <c r="A60" s="494"/>
      <c r="B60" s="494"/>
      <c r="C60" s="494"/>
      <c r="D60" s="494"/>
      <c r="E60" s="494"/>
      <c r="F60" s="494"/>
      <c r="G60" s="494"/>
      <c r="H60" s="494"/>
      <c r="I60" s="494"/>
      <c r="J60" s="494"/>
      <c r="K60" s="494"/>
      <c r="L60" s="494"/>
    </row>
    <row r="61" spans="1:12" ht="15.75">
      <c r="A61" s="494"/>
      <c r="B61" s="494"/>
      <c r="C61" s="494"/>
      <c r="D61" s="494"/>
      <c r="E61" s="494"/>
      <c r="F61" s="494"/>
      <c r="G61" s="494"/>
      <c r="H61" s="494"/>
      <c r="I61" s="494"/>
      <c r="J61" s="494"/>
      <c r="K61" s="494"/>
      <c r="L61" s="494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tabSelected="1" zoomScaleNormal="100" workbookViewId="0">
      <selection activeCell="P15" sqref="P15"/>
    </sheetView>
  </sheetViews>
  <sheetFormatPr defaultColWidth="12.5703125" defaultRowHeight="15.75"/>
  <cols>
    <col min="1" max="13" width="7" style="601" customWidth="1"/>
    <col min="14" max="14" width="7.140625" style="601" customWidth="1"/>
    <col min="15" max="16384" width="12.5703125" style="601"/>
  </cols>
  <sheetData>
    <row r="1" spans="1:14" ht="17.100000000000001" customHeight="1">
      <c r="A1" s="594" t="s">
        <v>269</v>
      </c>
      <c r="B1" s="595"/>
      <c r="C1" s="595"/>
      <c r="D1" s="595"/>
      <c r="E1" s="595"/>
      <c r="F1" s="595"/>
      <c r="G1" s="595"/>
      <c r="H1" s="595"/>
      <c r="I1" s="595"/>
      <c r="J1" s="596" t="s">
        <v>595</v>
      </c>
      <c r="K1" s="597"/>
      <c r="L1" s="598" t="s">
        <v>596</v>
      </c>
      <c r="M1" s="599"/>
      <c r="N1" s="600"/>
    </row>
    <row r="2" spans="1:14" ht="17.100000000000001" customHeight="1">
      <c r="A2" s="602" t="s">
        <v>597</v>
      </c>
      <c r="B2" s="603"/>
      <c r="C2" s="603"/>
      <c r="D2" s="603"/>
      <c r="E2" s="603"/>
      <c r="F2" s="603"/>
      <c r="G2" s="603"/>
      <c r="H2" s="603"/>
      <c r="I2" s="603"/>
      <c r="J2" s="604" t="s">
        <v>598</v>
      </c>
      <c r="K2" s="605"/>
      <c r="L2" s="606" t="s">
        <v>599</v>
      </c>
      <c r="M2" s="607"/>
      <c r="N2" s="600"/>
    </row>
    <row r="3" spans="1:14" ht="15.95" customHeight="1">
      <c r="A3" s="608"/>
      <c r="B3" s="609"/>
      <c r="C3" s="609"/>
      <c r="D3" s="609"/>
      <c r="E3" s="609"/>
      <c r="F3" s="609"/>
      <c r="G3" s="609"/>
      <c r="H3" s="609"/>
      <c r="I3" s="609"/>
      <c r="J3" s="604" t="s">
        <v>600</v>
      </c>
      <c r="K3" s="605"/>
      <c r="L3" s="610" t="s">
        <v>601</v>
      </c>
      <c r="M3" s="607"/>
      <c r="N3" s="600"/>
    </row>
    <row r="4" spans="1:14" ht="15.95" customHeight="1">
      <c r="A4" s="611"/>
      <c r="B4" s="609"/>
      <c r="C4" s="609"/>
      <c r="D4" s="609"/>
      <c r="E4" s="609"/>
      <c r="F4" s="609"/>
      <c r="G4" s="609"/>
      <c r="H4" s="609"/>
      <c r="I4" s="609"/>
      <c r="J4" s="604" t="s">
        <v>602</v>
      </c>
      <c r="K4" s="605"/>
      <c r="L4" s="612" t="s">
        <v>603</v>
      </c>
      <c r="M4" s="607"/>
      <c r="N4" s="600"/>
    </row>
    <row r="5" spans="1:14" ht="15.95" customHeight="1">
      <c r="A5" s="608"/>
      <c r="B5" s="609"/>
      <c r="C5" s="609"/>
      <c r="D5" s="609"/>
      <c r="E5" s="609"/>
      <c r="F5" s="609"/>
      <c r="G5" s="609"/>
      <c r="H5" s="609"/>
      <c r="I5" s="609"/>
      <c r="J5" s="604" t="s">
        <v>604</v>
      </c>
      <c r="K5" s="605"/>
      <c r="L5" s="606">
        <v>2</v>
      </c>
      <c r="M5" s="607"/>
      <c r="N5" s="600"/>
    </row>
    <row r="6" spans="1:14" ht="15.95" customHeight="1">
      <c r="A6" s="613" t="s">
        <v>605</v>
      </c>
      <c r="B6" s="609"/>
      <c r="C6" s="609"/>
      <c r="D6" s="609"/>
      <c r="E6" s="609"/>
      <c r="F6" s="609"/>
      <c r="G6" s="609"/>
      <c r="H6" s="609"/>
      <c r="I6" s="609"/>
      <c r="J6" s="604" t="s">
        <v>606</v>
      </c>
      <c r="K6" s="605"/>
      <c r="L6" s="614" t="s">
        <v>607</v>
      </c>
      <c r="M6" s="607"/>
      <c r="N6" s="600"/>
    </row>
    <row r="7" spans="1:14" ht="15.95" customHeight="1" thickBot="1">
      <c r="A7" s="615" t="s">
        <v>608</v>
      </c>
      <c r="B7" s="616"/>
      <c r="C7" s="616"/>
      <c r="D7" s="616"/>
      <c r="E7" s="616"/>
      <c r="F7" s="616"/>
      <c r="G7" s="616"/>
      <c r="H7" s="616"/>
      <c r="I7" s="616"/>
      <c r="J7" s="617" t="s">
        <v>609</v>
      </c>
      <c r="K7" s="618"/>
      <c r="L7" s="619" t="s">
        <v>610</v>
      </c>
      <c r="M7" s="620"/>
      <c r="N7" s="600"/>
    </row>
    <row r="8" spans="1:14" ht="15.95" customHeight="1">
      <c r="A8" s="621"/>
      <c r="B8" s="609"/>
      <c r="C8" s="609"/>
      <c r="D8" s="609"/>
      <c r="E8" s="609"/>
      <c r="F8" s="609"/>
      <c r="G8" s="609"/>
      <c r="H8" s="609"/>
      <c r="I8" s="609"/>
      <c r="J8" s="609"/>
      <c r="K8" s="622"/>
      <c r="L8" s="623"/>
      <c r="M8" s="624"/>
      <c r="N8" s="609"/>
    </row>
    <row r="9" spans="1:14" ht="12" customHeight="1">
      <c r="A9" s="625"/>
      <c r="B9" s="626" t="s">
        <v>611</v>
      </c>
      <c r="C9" s="627" t="s">
        <v>175</v>
      </c>
      <c r="D9" s="628"/>
      <c r="E9" s="628"/>
      <c r="F9" s="628"/>
      <c r="G9" s="628"/>
      <c r="H9" s="628"/>
      <c r="I9" s="628"/>
      <c r="J9" s="628"/>
      <c r="K9" s="629"/>
      <c r="L9" s="630"/>
      <c r="M9" s="628"/>
      <c r="N9" s="609"/>
    </row>
    <row r="10" spans="1:14" ht="12" customHeight="1">
      <c r="A10" s="625"/>
      <c r="B10" s="626" t="s">
        <v>612</v>
      </c>
      <c r="C10" s="631" t="s">
        <v>175</v>
      </c>
      <c r="D10" s="630"/>
      <c r="E10" s="630"/>
      <c r="F10" s="630"/>
      <c r="G10" s="630"/>
      <c r="H10" s="630"/>
      <c r="I10" s="630"/>
      <c r="J10" s="630"/>
      <c r="K10" s="630"/>
      <c r="L10" s="630"/>
      <c r="M10" s="630"/>
      <c r="N10" s="623"/>
    </row>
    <row r="11" spans="1:14" ht="16.5" thickBot="1">
      <c r="A11" s="632"/>
      <c r="B11" s="632"/>
      <c r="C11" s="632"/>
      <c r="D11" s="632"/>
      <c r="E11" s="632"/>
      <c r="F11" s="632"/>
      <c r="G11" s="632"/>
      <c r="H11" s="632"/>
      <c r="I11" s="632"/>
      <c r="J11" s="632"/>
      <c r="K11" s="632"/>
      <c r="L11" s="632"/>
      <c r="M11" s="632"/>
      <c r="N11" s="632"/>
    </row>
    <row r="12" spans="1:14" ht="20.100000000000001" customHeight="1" thickBot="1">
      <c r="A12" s="633" t="s">
        <v>613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00"/>
    </row>
    <row r="13" spans="1:14" ht="12.95" customHeight="1" thickTop="1">
      <c r="A13" s="636"/>
      <c r="B13" s="637" t="s">
        <v>614</v>
      </c>
      <c r="C13" s="638">
        <v>800</v>
      </c>
      <c r="D13" s="630"/>
      <c r="E13" s="637" t="s">
        <v>615</v>
      </c>
      <c r="F13" s="638">
        <v>4000</v>
      </c>
      <c r="G13" s="630"/>
      <c r="H13" s="637" t="s">
        <v>616</v>
      </c>
      <c r="I13" s="638" t="s">
        <v>701</v>
      </c>
      <c r="J13" s="630"/>
      <c r="K13" s="630"/>
      <c r="L13" s="637" t="s">
        <v>617</v>
      </c>
      <c r="M13" s="639">
        <v>1800</v>
      </c>
      <c r="N13" s="600"/>
    </row>
    <row r="14" spans="1:14" ht="12.95" customHeight="1">
      <c r="A14" s="636"/>
      <c r="B14" s="637" t="s">
        <v>618</v>
      </c>
      <c r="C14" s="638" t="s">
        <v>703</v>
      </c>
      <c r="D14" s="630"/>
      <c r="E14" s="637" t="s">
        <v>619</v>
      </c>
      <c r="F14" s="640" t="s">
        <v>713</v>
      </c>
      <c r="G14" s="630"/>
      <c r="H14" s="637" t="s">
        <v>620</v>
      </c>
      <c r="I14" s="638">
        <v>101</v>
      </c>
      <c r="J14" s="630"/>
      <c r="K14" s="630"/>
      <c r="L14" s="637" t="s">
        <v>575</v>
      </c>
      <c r="M14" s="639">
        <v>1780</v>
      </c>
      <c r="N14" s="600"/>
    </row>
    <row r="15" spans="1:14" ht="12.95" customHeight="1">
      <c r="A15" s="636"/>
      <c r="B15" s="637" t="s">
        <v>621</v>
      </c>
      <c r="C15" s="638" t="s">
        <v>702</v>
      </c>
      <c r="D15" s="630"/>
      <c r="E15" s="637" t="s">
        <v>622</v>
      </c>
      <c r="F15" s="641" t="s">
        <v>704</v>
      </c>
      <c r="G15" s="630"/>
      <c r="H15" s="637" t="s">
        <v>623</v>
      </c>
      <c r="I15" s="640" t="s">
        <v>175</v>
      </c>
      <c r="J15" s="630"/>
      <c r="K15" s="630"/>
      <c r="L15" s="637" t="s">
        <v>624</v>
      </c>
      <c r="M15" s="639" t="s">
        <v>365</v>
      </c>
      <c r="N15" s="600"/>
    </row>
    <row r="16" spans="1:14" ht="12.95" customHeight="1">
      <c r="A16" s="636"/>
      <c r="B16" s="637" t="s">
        <v>625</v>
      </c>
      <c r="C16" s="638" t="s">
        <v>700</v>
      </c>
      <c r="D16" s="630"/>
      <c r="E16" s="637" t="s">
        <v>626</v>
      </c>
      <c r="F16" s="638" t="s">
        <v>443</v>
      </c>
      <c r="G16" s="630"/>
      <c r="H16" s="642" t="s">
        <v>627</v>
      </c>
      <c r="I16" s="643" t="s">
        <v>362</v>
      </c>
      <c r="J16" s="630"/>
      <c r="K16" s="630"/>
      <c r="L16" s="637" t="s">
        <v>628</v>
      </c>
      <c r="M16" s="639" t="s">
        <v>629</v>
      </c>
      <c r="N16" s="600"/>
    </row>
    <row r="17" spans="1:14" ht="12.95" customHeight="1">
      <c r="A17" s="636"/>
      <c r="B17" s="637" t="s">
        <v>630</v>
      </c>
      <c r="C17" s="644" t="s">
        <v>389</v>
      </c>
      <c r="D17" s="630"/>
      <c r="E17" s="637"/>
      <c r="F17" s="640"/>
      <c r="G17" s="630"/>
      <c r="H17" s="637" t="s">
        <v>631</v>
      </c>
      <c r="I17" s="643" t="s">
        <v>175</v>
      </c>
      <c r="J17" s="630"/>
      <c r="K17" s="630"/>
      <c r="L17" s="637"/>
      <c r="M17" s="645"/>
      <c r="N17" s="600"/>
    </row>
    <row r="18" spans="1:14" ht="12.95" customHeight="1" thickBot="1">
      <c r="A18" s="646"/>
      <c r="B18" s="647" t="s">
        <v>632</v>
      </c>
      <c r="C18" s="648" t="s">
        <v>175</v>
      </c>
      <c r="D18" s="649"/>
      <c r="E18" s="650" t="s">
        <v>633</v>
      </c>
      <c r="F18" s="648" t="s">
        <v>175</v>
      </c>
      <c r="G18" s="651"/>
      <c r="H18" s="650" t="s">
        <v>634</v>
      </c>
      <c r="I18" s="648" t="s">
        <v>175</v>
      </c>
      <c r="J18" s="649"/>
      <c r="K18" s="649"/>
      <c r="L18" s="649"/>
      <c r="M18" s="652"/>
      <c r="N18" s="600"/>
    </row>
    <row r="19" spans="1:14" ht="16.5" thickBot="1">
      <c r="A19" s="600"/>
      <c r="B19" s="600"/>
      <c r="C19" s="600"/>
      <c r="D19" s="600"/>
      <c r="E19" s="600"/>
      <c r="F19" s="600"/>
      <c r="G19" s="600"/>
      <c r="H19" s="600"/>
      <c r="I19" s="600"/>
      <c r="J19" s="600"/>
      <c r="K19" s="600"/>
      <c r="L19" s="600"/>
      <c r="M19" s="600"/>
      <c r="N19" s="600"/>
    </row>
    <row r="20" spans="1:14" ht="20.100000000000001" customHeight="1" thickBot="1">
      <c r="A20" s="633"/>
      <c r="B20" s="634"/>
      <c r="C20" s="634"/>
      <c r="D20" s="634"/>
      <c r="E20" s="634"/>
      <c r="F20" s="634"/>
      <c r="G20" s="634"/>
      <c r="H20" s="634"/>
      <c r="I20" s="634"/>
      <c r="J20" s="634"/>
      <c r="K20" s="634"/>
      <c r="L20" s="634"/>
      <c r="M20" s="635"/>
    </row>
    <row r="21" spans="1:14" ht="15.95" customHeight="1" thickTop="1">
      <c r="A21" s="653" t="s">
        <v>635</v>
      </c>
      <c r="B21" s="654"/>
      <c r="C21" s="623"/>
      <c r="D21" s="655"/>
      <c r="E21" s="656" t="s">
        <v>636</v>
      </c>
      <c r="F21" s="657"/>
      <c r="G21" s="657"/>
      <c r="H21" s="658"/>
      <c r="I21" s="659" t="s">
        <v>637</v>
      </c>
      <c r="J21" s="660"/>
      <c r="K21" s="660"/>
      <c r="L21" s="623"/>
      <c r="M21" s="661"/>
    </row>
    <row r="22" spans="1:14" ht="15.95" customHeight="1">
      <c r="A22" s="662"/>
      <c r="B22" s="630"/>
      <c r="C22" s="663" t="s">
        <v>638</v>
      </c>
      <c r="D22" s="664">
        <v>729</v>
      </c>
      <c r="E22" s="637"/>
      <c r="G22" s="642" t="s">
        <v>639</v>
      </c>
      <c r="H22" s="665">
        <v>2360</v>
      </c>
      <c r="I22" s="663"/>
      <c r="J22" s="630"/>
      <c r="K22" s="663" t="s">
        <v>640</v>
      </c>
      <c r="L22" s="630" t="s">
        <v>641</v>
      </c>
      <c r="M22" s="645"/>
    </row>
    <row r="23" spans="1:14" ht="15.95" customHeight="1">
      <c r="A23" s="662"/>
      <c r="B23" s="663"/>
      <c r="C23" s="666"/>
      <c r="D23" s="667"/>
      <c r="E23" s="637"/>
      <c r="G23" s="637" t="s">
        <v>642</v>
      </c>
      <c r="H23" s="664">
        <v>130</v>
      </c>
      <c r="I23" s="630"/>
      <c r="J23" s="630"/>
      <c r="K23" s="637" t="s">
        <v>643</v>
      </c>
      <c r="L23" s="630" t="s">
        <v>641</v>
      </c>
      <c r="M23" s="645"/>
    </row>
    <row r="24" spans="1:14" ht="15.95" customHeight="1">
      <c r="A24" s="636"/>
      <c r="B24" s="637"/>
      <c r="C24" s="630"/>
      <c r="D24" s="667"/>
      <c r="E24" s="637"/>
      <c r="G24" s="642" t="s">
        <v>644</v>
      </c>
      <c r="H24" s="664">
        <v>290</v>
      </c>
      <c r="I24" s="630"/>
      <c r="J24" s="637"/>
      <c r="K24" s="630"/>
      <c r="L24" s="630"/>
      <c r="M24" s="645"/>
    </row>
    <row r="25" spans="1:14" ht="15.95" customHeight="1" thickBot="1">
      <c r="A25" s="646"/>
      <c r="B25" s="647"/>
      <c r="C25" s="649"/>
      <c r="D25" s="668"/>
      <c r="E25" s="650"/>
      <c r="F25" s="650"/>
      <c r="G25" s="650"/>
      <c r="H25" s="669"/>
      <c r="I25" s="649"/>
      <c r="J25" s="650"/>
      <c r="K25" s="649"/>
      <c r="L25" s="649"/>
      <c r="M25" s="652"/>
    </row>
    <row r="26" spans="1:14" ht="18.95" customHeight="1" thickBot="1">
      <c r="A26" s="670"/>
      <c r="B26" s="670"/>
      <c r="C26" s="670"/>
      <c r="D26" s="671"/>
      <c r="E26" s="671"/>
      <c r="F26" s="671"/>
      <c r="G26" s="671"/>
      <c r="H26" s="671"/>
      <c r="I26" s="671"/>
      <c r="J26" s="671"/>
      <c r="K26" s="671"/>
      <c r="L26" s="671"/>
      <c r="M26" s="600"/>
      <c r="N26" s="600"/>
    </row>
    <row r="27" spans="1:14" ht="20.100000000000001" customHeight="1" thickBot="1">
      <c r="A27" s="672"/>
      <c r="B27" s="673"/>
      <c r="C27" s="673"/>
      <c r="D27" s="673"/>
      <c r="E27" s="673"/>
      <c r="F27" s="673"/>
      <c r="G27" s="674"/>
      <c r="H27" s="673"/>
      <c r="I27" s="673"/>
      <c r="J27" s="673"/>
      <c r="K27" s="673"/>
      <c r="L27" s="673"/>
      <c r="M27" s="675"/>
    </row>
    <row r="28" spans="1:14" ht="15.95" customHeight="1" thickTop="1">
      <c r="A28" s="676" t="s">
        <v>645</v>
      </c>
      <c r="B28" s="654"/>
      <c r="C28" s="623"/>
      <c r="D28" s="623"/>
      <c r="E28" s="657"/>
      <c r="F28" s="657"/>
      <c r="G28" s="677"/>
      <c r="H28" s="656" t="s">
        <v>646</v>
      </c>
      <c r="I28" s="657"/>
      <c r="J28" s="660"/>
      <c r="K28" s="656"/>
      <c r="L28" s="660"/>
      <c r="M28" s="661"/>
    </row>
    <row r="29" spans="1:14" ht="15.95" customHeight="1">
      <c r="A29" s="636"/>
      <c r="B29" s="663"/>
      <c r="C29" s="663" t="s">
        <v>647</v>
      </c>
      <c r="D29" s="678">
        <v>94.9</v>
      </c>
      <c r="E29" s="637"/>
      <c r="F29" s="637"/>
      <c r="G29" s="677"/>
      <c r="H29" s="642"/>
      <c r="I29" s="663"/>
      <c r="J29" s="663" t="s">
        <v>647</v>
      </c>
      <c r="K29" s="678">
        <v>89.5</v>
      </c>
      <c r="L29" s="630"/>
      <c r="M29" s="645"/>
    </row>
    <row r="30" spans="1:14" ht="15.95" customHeight="1">
      <c r="A30" s="679"/>
      <c r="B30" s="630"/>
      <c r="C30" s="663" t="s">
        <v>648</v>
      </c>
      <c r="D30" s="678">
        <v>94.8</v>
      </c>
      <c r="E30" s="637"/>
      <c r="F30" s="637"/>
      <c r="G30" s="677"/>
      <c r="H30" s="637"/>
      <c r="I30" s="630"/>
      <c r="J30" s="663" t="s">
        <v>648</v>
      </c>
      <c r="K30" s="678">
        <v>87.9</v>
      </c>
      <c r="L30" s="630"/>
      <c r="M30" s="645"/>
    </row>
    <row r="31" spans="1:14" ht="15.95" customHeight="1">
      <c r="A31" s="636"/>
      <c r="B31" s="637"/>
      <c r="C31" s="663" t="s">
        <v>649</v>
      </c>
      <c r="D31" s="678">
        <v>94.2</v>
      </c>
      <c r="E31" s="637"/>
      <c r="F31" s="637"/>
      <c r="G31" s="677"/>
      <c r="H31" s="637"/>
      <c r="I31" s="630"/>
      <c r="J31" s="663" t="s">
        <v>649</v>
      </c>
      <c r="K31" s="678">
        <v>82.9</v>
      </c>
      <c r="L31" s="637"/>
      <c r="M31" s="645"/>
    </row>
    <row r="32" spans="1:14" ht="15.95" customHeight="1" thickBot="1">
      <c r="A32" s="646"/>
      <c r="B32" s="647"/>
      <c r="C32" s="649"/>
      <c r="D32" s="649"/>
      <c r="E32" s="650"/>
      <c r="F32" s="650"/>
      <c r="G32" s="680"/>
      <c r="H32" s="650"/>
      <c r="I32" s="649"/>
      <c r="J32" s="650"/>
      <c r="K32" s="649"/>
      <c r="L32" s="650"/>
      <c r="M32" s="652"/>
    </row>
    <row r="33" spans="1:14" ht="20.100000000000001" customHeight="1" thickBot="1">
      <c r="A33" s="681"/>
      <c r="B33" s="681"/>
      <c r="C33" s="681"/>
      <c r="D33" s="681"/>
      <c r="E33" s="681"/>
      <c r="F33" s="681"/>
      <c r="G33" s="681"/>
      <c r="H33" s="681"/>
      <c r="I33" s="681"/>
      <c r="J33" s="681"/>
      <c r="K33" s="681"/>
      <c r="L33" s="681"/>
      <c r="M33" s="682"/>
      <c r="N33" s="682"/>
    </row>
    <row r="34" spans="1:14" ht="20.100000000000001" customHeight="1" thickBot="1">
      <c r="A34" s="683"/>
      <c r="B34" s="684"/>
      <c r="C34" s="684"/>
      <c r="D34" s="684"/>
      <c r="E34" s="684"/>
      <c r="F34" s="684"/>
      <c r="G34" s="684"/>
      <c r="H34" s="684"/>
      <c r="I34" s="684"/>
      <c r="J34" s="684"/>
      <c r="K34" s="684"/>
      <c r="L34" s="684"/>
      <c r="M34" s="685"/>
    </row>
    <row r="35" spans="1:14" ht="15.95" customHeight="1" thickTop="1">
      <c r="A35" s="686" t="s">
        <v>650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87"/>
    </row>
    <row r="36" spans="1:14" ht="15.95" customHeight="1">
      <c r="A36" s="679" t="s">
        <v>651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87"/>
    </row>
    <row r="37" spans="1:14" ht="15.95" customHeight="1">
      <c r="A37" s="688" t="s">
        <v>652</v>
      </c>
      <c r="B37" s="666"/>
      <c r="C37" s="666"/>
      <c r="D37" s="666"/>
      <c r="E37" s="689"/>
      <c r="F37" s="666"/>
      <c r="G37" s="666"/>
      <c r="H37" s="666"/>
      <c r="I37" s="666"/>
      <c r="J37" s="666"/>
      <c r="K37" s="666"/>
      <c r="L37" s="666"/>
      <c r="M37" s="687"/>
    </row>
    <row r="38" spans="1:14" ht="15.95" customHeight="1">
      <c r="A38" s="690" t="s">
        <v>653</v>
      </c>
      <c r="B38" s="666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87"/>
    </row>
    <row r="39" spans="1:14" ht="15.95" customHeight="1">
      <c r="A39" s="691" t="s">
        <v>654</v>
      </c>
      <c r="B39" s="666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87"/>
    </row>
    <row r="40" spans="1:14" ht="15.95" customHeight="1" thickBot="1">
      <c r="A40" s="692" t="s">
        <v>655</v>
      </c>
      <c r="B40" s="693"/>
      <c r="C40" s="693"/>
      <c r="D40" s="693"/>
      <c r="E40" s="693"/>
      <c r="F40" s="693"/>
      <c r="G40" s="693"/>
      <c r="H40" s="693"/>
      <c r="I40" s="693"/>
      <c r="J40" s="693"/>
      <c r="K40" s="693"/>
      <c r="L40" s="693"/>
      <c r="M40" s="694"/>
    </row>
    <row r="41" spans="1:14" ht="15.95" customHeight="1"/>
    <row r="42" spans="1:14" ht="18">
      <c r="A42" s="695"/>
      <c r="B42" s="695"/>
      <c r="C42" s="695"/>
      <c r="D42" s="695"/>
      <c r="E42" s="695"/>
      <c r="F42" s="695"/>
      <c r="G42" s="695"/>
      <c r="H42" s="600"/>
      <c r="I42" s="600"/>
      <c r="J42" s="696" t="s">
        <v>656</v>
      </c>
      <c r="K42" s="697" t="s">
        <v>657</v>
      </c>
      <c r="L42" s="697"/>
      <c r="M42" s="697"/>
      <c r="N42" s="695"/>
    </row>
    <row r="43" spans="1:14" ht="7.5" customHeight="1">
      <c r="H43" s="600"/>
      <c r="I43" s="600"/>
      <c r="J43" s="600"/>
      <c r="K43" s="600"/>
      <c r="L43" s="600"/>
      <c r="M43" s="600"/>
    </row>
    <row r="44" spans="1:14" ht="16.5">
      <c r="H44" s="600"/>
      <c r="I44" s="600"/>
      <c r="J44" s="696" t="s">
        <v>658</v>
      </c>
      <c r="K44" s="698">
        <v>44441</v>
      </c>
      <c r="L44" s="698"/>
      <c r="M44" s="698"/>
    </row>
    <row r="59" spans="1:5">
      <c r="A59" s="601" t="s">
        <v>175</v>
      </c>
      <c r="B59" s="601" t="s">
        <v>659</v>
      </c>
      <c r="D59" s="601">
        <v>1</v>
      </c>
      <c r="E59" s="699" t="s">
        <v>175</v>
      </c>
    </row>
    <row r="60" spans="1:5">
      <c r="A60" s="601" t="s">
        <v>660</v>
      </c>
      <c r="B60" s="601" t="s">
        <v>661</v>
      </c>
      <c r="D60" s="601">
        <v>1.1499999999999999</v>
      </c>
      <c r="E60" s="699" t="s">
        <v>184</v>
      </c>
    </row>
    <row r="61" spans="1:5">
      <c r="A61" s="601" t="s">
        <v>662</v>
      </c>
      <c r="B61" s="601" t="s">
        <v>663</v>
      </c>
      <c r="E61" s="699" t="s">
        <v>322</v>
      </c>
    </row>
    <row r="62" spans="1:5">
      <c r="B62" s="601" t="s">
        <v>664</v>
      </c>
    </row>
    <row r="63" spans="1:5">
      <c r="B63" s="601" t="s">
        <v>665</v>
      </c>
    </row>
    <row r="64" spans="1:5">
      <c r="B64" s="601" t="s">
        <v>666</v>
      </c>
    </row>
    <row r="65" spans="2:2">
      <c r="B65" s="601" t="s">
        <v>667</v>
      </c>
    </row>
    <row r="66" spans="2:2">
      <c r="B66" s="601" t="s">
        <v>668</v>
      </c>
    </row>
    <row r="67" spans="2:2">
      <c r="B67" s="601" t="s">
        <v>669</v>
      </c>
    </row>
    <row r="68" spans="2:2">
      <c r="B68" s="601" t="s">
        <v>670</v>
      </c>
    </row>
    <row r="69" spans="2:2">
      <c r="B69" s="601" t="s">
        <v>671</v>
      </c>
    </row>
    <row r="70" spans="2:2">
      <c r="B70" s="601" t="s">
        <v>672</v>
      </c>
    </row>
    <row r="71" spans="2:2">
      <c r="B71" s="601" t="s">
        <v>673</v>
      </c>
    </row>
    <row r="72" spans="2:2">
      <c r="B72" s="601" t="s">
        <v>674</v>
      </c>
    </row>
    <row r="73" spans="2:2">
      <c r="B73" s="601" t="s">
        <v>675</v>
      </c>
    </row>
    <row r="74" spans="2:2">
      <c r="B74" s="601" t="s">
        <v>676</v>
      </c>
    </row>
    <row r="75" spans="2:2">
      <c r="B75" s="601" t="s">
        <v>677</v>
      </c>
    </row>
    <row r="76" spans="2:2">
      <c r="B76" s="601" t="s">
        <v>678</v>
      </c>
    </row>
    <row r="77" spans="2:2">
      <c r="B77" s="601" t="s">
        <v>679</v>
      </c>
    </row>
    <row r="78" spans="2:2">
      <c r="B78" s="601" t="s">
        <v>680</v>
      </c>
    </row>
    <row r="79" spans="2:2">
      <c r="B79" s="601" t="s">
        <v>681</v>
      </c>
    </row>
    <row r="80" spans="2:2">
      <c r="B80" s="601">
        <v>6312</v>
      </c>
    </row>
    <row r="81" spans="2:2">
      <c r="B81" s="601" t="s">
        <v>682</v>
      </c>
    </row>
    <row r="82" spans="2:2">
      <c r="B82" s="601" t="s">
        <v>683</v>
      </c>
    </row>
    <row r="83" spans="2:2">
      <c r="B83" s="601" t="s">
        <v>684</v>
      </c>
    </row>
    <row r="84" spans="2:2">
      <c r="B84" s="601" t="s">
        <v>685</v>
      </c>
    </row>
    <row r="85" spans="2:2">
      <c r="B85" s="601">
        <v>6313</v>
      </c>
    </row>
    <row r="86" spans="2:2">
      <c r="B86" s="601" t="s">
        <v>686</v>
      </c>
    </row>
    <row r="87" spans="2:2">
      <c r="B87" s="601" t="s">
        <v>687</v>
      </c>
    </row>
    <row r="88" spans="2:2">
      <c r="B88" s="601" t="s">
        <v>688</v>
      </c>
    </row>
    <row r="89" spans="2:2">
      <c r="B89" s="601">
        <v>6314</v>
      </c>
    </row>
    <row r="90" spans="2:2">
      <c r="B90" s="601" t="s">
        <v>689</v>
      </c>
    </row>
    <row r="91" spans="2:2">
      <c r="B91" s="601">
        <v>6317</v>
      </c>
    </row>
    <row r="92" spans="2:2">
      <c r="B92" s="601" t="s">
        <v>690</v>
      </c>
    </row>
    <row r="93" spans="2:2">
      <c r="B93" s="601">
        <v>6318</v>
      </c>
    </row>
    <row r="94" spans="2:2">
      <c r="B94" s="601" t="s">
        <v>691</v>
      </c>
    </row>
    <row r="95" spans="2:2">
      <c r="B95" s="601" t="s">
        <v>692</v>
      </c>
    </row>
    <row r="96" spans="2:2">
      <c r="B96" s="601" t="s">
        <v>693</v>
      </c>
    </row>
    <row r="97" spans="2:2">
      <c r="B97" s="601">
        <v>6320</v>
      </c>
    </row>
    <row r="98" spans="2:2">
      <c r="B98" s="601" t="s">
        <v>694</v>
      </c>
    </row>
    <row r="99" spans="2:2">
      <c r="B99" s="601" t="s">
        <v>695</v>
      </c>
    </row>
    <row r="100" spans="2:2">
      <c r="B100" s="601" t="s">
        <v>696</v>
      </c>
    </row>
    <row r="101" spans="2:2">
      <c r="B101" s="601" t="s">
        <v>697</v>
      </c>
    </row>
    <row r="102" spans="2:2">
      <c r="B102" s="601" t="s">
        <v>697</v>
      </c>
    </row>
    <row r="118" spans="2:2">
      <c r="B118" s="601" t="s">
        <v>698</v>
      </c>
    </row>
    <row r="120" spans="2:2">
      <c r="B120" s="601" t="s">
        <v>699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P24" sqref="P24"/>
    </sheetView>
  </sheetViews>
  <sheetFormatPr defaultRowHeight="12.75"/>
  <cols>
    <col min="1" max="6" width="16.7109375" style="492" customWidth="1"/>
    <col min="7" max="16384" width="9.140625" style="492"/>
  </cols>
  <sheetData>
    <row r="1" spans="1:6" ht="18.95" customHeight="1">
      <c r="A1" s="515"/>
      <c r="B1" s="516"/>
      <c r="C1" s="516"/>
      <c r="D1" s="516"/>
      <c r="E1" s="516"/>
      <c r="F1" s="517"/>
    </row>
    <row r="2" spans="1:6" ht="26.1" customHeight="1">
      <c r="A2" s="518" t="s">
        <v>269</v>
      </c>
      <c r="B2" s="519"/>
      <c r="C2" s="519"/>
      <c r="D2" s="519"/>
      <c r="E2" s="519"/>
      <c r="F2" s="520"/>
    </row>
    <row r="3" spans="1:6" ht="18.95" customHeight="1">
      <c r="A3" s="521" t="s">
        <v>563</v>
      </c>
      <c r="B3" s="519"/>
      <c r="C3" s="519"/>
      <c r="D3" s="519"/>
      <c r="E3" s="519"/>
      <c r="F3" s="520"/>
    </row>
    <row r="4" spans="1:6" ht="18.95" customHeight="1">
      <c r="A4" s="522"/>
      <c r="B4" s="523"/>
      <c r="C4" s="523"/>
      <c r="D4" s="523"/>
      <c r="E4" s="523"/>
      <c r="F4" s="524"/>
    </row>
    <row r="5" spans="1:6" ht="18.95" customHeight="1">
      <c r="A5" s="522"/>
      <c r="B5" s="523"/>
      <c r="C5" s="523"/>
      <c r="D5" s="523"/>
      <c r="E5" s="523"/>
      <c r="F5" s="524"/>
    </row>
    <row r="6" spans="1:6" ht="18.95" customHeight="1">
      <c r="A6" s="525" t="s">
        <v>564</v>
      </c>
      <c r="B6" s="526" t="str">
        <f>'Performance Data Sheet'!C17</f>
        <v>8005TCAL11E-A</v>
      </c>
      <c r="C6" s="527"/>
      <c r="D6" s="528"/>
      <c r="E6" s="525" t="s">
        <v>565</v>
      </c>
      <c r="F6" s="529">
        <f>'Performance Data Sheet'!I14</f>
        <v>101</v>
      </c>
    </row>
    <row r="7" spans="1:6" ht="18.95" customHeight="1">
      <c r="A7" s="525" t="s">
        <v>566</v>
      </c>
      <c r="B7" s="529" t="str">
        <f>'Performance Data Sheet'!F14</f>
        <v>TEAAC</v>
      </c>
      <c r="C7" s="525" t="s">
        <v>567</v>
      </c>
      <c r="D7" s="529" t="str">
        <f>'Performance Data Sheet'!F13 &amp; " V"</f>
        <v>4000 V</v>
      </c>
      <c r="E7" s="525" t="s">
        <v>568</v>
      </c>
      <c r="F7" s="529" t="str">
        <f>'Performance Data Sheet'!C14</f>
        <v>5812US</v>
      </c>
    </row>
    <row r="8" spans="1:6" ht="18.95" customHeight="1">
      <c r="A8" s="525" t="s">
        <v>569</v>
      </c>
      <c r="B8" s="529">
        <v>4</v>
      </c>
      <c r="C8" s="525" t="s">
        <v>570</v>
      </c>
      <c r="D8" s="529" t="s">
        <v>571</v>
      </c>
      <c r="E8" s="525" t="s">
        <v>572</v>
      </c>
      <c r="F8" s="529" t="str">
        <f>'Performance Data Sheet'!M15</f>
        <v>F</v>
      </c>
    </row>
    <row r="9" spans="1:6" ht="18.95" customHeight="1">
      <c r="A9" s="525" t="s">
        <v>573</v>
      </c>
      <c r="B9" s="529">
        <f>'Performance Data Sheet'!C13</f>
        <v>800</v>
      </c>
      <c r="C9" s="525" t="s">
        <v>574</v>
      </c>
      <c r="D9" s="529" t="s">
        <v>584</v>
      </c>
      <c r="E9" s="525" t="s">
        <v>2</v>
      </c>
      <c r="F9" s="530">
        <f>'Performance Data Sheet'!K44</f>
        <v>44441</v>
      </c>
    </row>
    <row r="10" spans="1:6" ht="18.95" customHeight="1">
      <c r="A10" s="525" t="s">
        <v>575</v>
      </c>
      <c r="B10" s="529">
        <f>'Performance Data Sheet'!M14</f>
        <v>1780</v>
      </c>
      <c r="C10" s="525" t="s">
        <v>402</v>
      </c>
      <c r="D10" s="529" t="s">
        <v>585</v>
      </c>
      <c r="E10" s="525" t="s">
        <v>1</v>
      </c>
      <c r="F10" s="529" t="s">
        <v>712</v>
      </c>
    </row>
    <row r="11" spans="1:6" ht="18.95" customHeight="1">
      <c r="A11" s="522"/>
      <c r="B11" s="523"/>
      <c r="C11" s="523"/>
      <c r="D11" s="523"/>
      <c r="E11" s="523"/>
      <c r="F11" s="524"/>
    </row>
    <row r="12" spans="1:6" ht="18.95" customHeight="1">
      <c r="A12" s="522"/>
      <c r="B12" s="531" t="s">
        <v>576</v>
      </c>
      <c r="C12" s="532" t="str">
        <f>'Performance Data Sheet'!D22 &amp; " A"</f>
        <v>729 A</v>
      </c>
      <c r="D12" s="531" t="s">
        <v>401</v>
      </c>
      <c r="E12" s="532" t="s">
        <v>405</v>
      </c>
      <c r="F12" s="524"/>
    </row>
    <row r="13" spans="1:6" ht="18.95" customHeight="1">
      <c r="A13" s="522"/>
      <c r="B13" s="531" t="s">
        <v>577</v>
      </c>
      <c r="C13" s="533">
        <f>'Performance Data Sheet'!H23/100</f>
        <v>1.3</v>
      </c>
      <c r="D13" s="531" t="s">
        <v>578</v>
      </c>
      <c r="E13" s="532" t="s">
        <v>586</v>
      </c>
      <c r="F13" s="524"/>
    </row>
    <row r="14" spans="1:6" ht="18.95" customHeight="1">
      <c r="A14" s="522"/>
      <c r="B14" s="531" t="s">
        <v>579</v>
      </c>
      <c r="C14" s="533">
        <v>2.9</v>
      </c>
      <c r="D14" s="531" t="s">
        <v>403</v>
      </c>
      <c r="E14" s="532" t="s">
        <v>408</v>
      </c>
      <c r="F14" s="524"/>
    </row>
    <row r="15" spans="1:6" ht="18.95" customHeight="1">
      <c r="A15" s="522"/>
      <c r="B15" s="531" t="s">
        <v>404</v>
      </c>
      <c r="C15" s="532" t="str">
        <f>'Performance Data Sheet'!H22 &amp; " lb-ft"</f>
        <v>2360 lb-ft</v>
      </c>
      <c r="D15" s="523"/>
      <c r="E15" s="523"/>
      <c r="F15" s="524"/>
    </row>
    <row r="16" spans="1:6" ht="18.95" customHeight="1">
      <c r="A16" s="522"/>
      <c r="B16" s="523"/>
      <c r="C16" s="523"/>
      <c r="D16" s="523"/>
      <c r="E16" s="523"/>
      <c r="F16" s="524"/>
    </row>
    <row r="17" spans="1:6" ht="18.95" customHeight="1">
      <c r="A17" s="522"/>
      <c r="B17" s="523"/>
      <c r="C17" s="523"/>
      <c r="D17" s="523"/>
      <c r="E17" s="523"/>
      <c r="F17" s="524"/>
    </row>
    <row r="18" spans="1:6" ht="18.95" customHeight="1">
      <c r="A18" s="522"/>
      <c r="B18" s="523"/>
      <c r="C18" s="523"/>
      <c r="D18" s="523"/>
      <c r="E18" s="523"/>
      <c r="F18" s="524"/>
    </row>
    <row r="19" spans="1:6" ht="18.95" customHeight="1">
      <c r="A19" s="522"/>
      <c r="B19" s="523"/>
      <c r="C19" s="523"/>
      <c r="D19" s="523"/>
      <c r="E19" s="523"/>
      <c r="F19" s="524"/>
    </row>
    <row r="20" spans="1:6" ht="18.95" customHeight="1">
      <c r="A20" s="522"/>
      <c r="B20" s="523"/>
      <c r="C20" s="523"/>
      <c r="D20" s="523"/>
      <c r="E20" s="523"/>
      <c r="F20" s="524"/>
    </row>
    <row r="21" spans="1:6" ht="18.95" customHeight="1">
      <c r="A21" s="522"/>
      <c r="B21" s="523"/>
      <c r="C21" s="523"/>
      <c r="D21" s="523"/>
      <c r="E21" s="523"/>
      <c r="F21" s="524"/>
    </row>
    <row r="22" spans="1:6" ht="18.95" customHeight="1">
      <c r="A22" s="522"/>
      <c r="B22" s="523"/>
      <c r="C22" s="523"/>
      <c r="D22" s="523"/>
      <c r="E22" s="523"/>
      <c r="F22" s="524"/>
    </row>
    <row r="23" spans="1:6" ht="18.95" customHeight="1">
      <c r="A23" s="522"/>
      <c r="B23" s="523"/>
      <c r="C23" s="523"/>
      <c r="D23" s="523"/>
      <c r="E23" s="523"/>
      <c r="F23" s="524"/>
    </row>
    <row r="24" spans="1:6" ht="18.95" customHeight="1">
      <c r="A24" s="522"/>
      <c r="B24" s="523"/>
      <c r="C24" s="523"/>
      <c r="D24" s="523"/>
      <c r="E24" s="523"/>
      <c r="F24" s="524"/>
    </row>
    <row r="25" spans="1:6" ht="18.95" customHeight="1">
      <c r="A25" s="522"/>
      <c r="B25" s="523"/>
      <c r="C25" s="523"/>
      <c r="D25" s="523"/>
      <c r="E25" s="523"/>
      <c r="F25" s="524"/>
    </row>
    <row r="26" spans="1:6" ht="18.95" customHeight="1">
      <c r="A26" s="522"/>
      <c r="B26" s="523"/>
      <c r="C26" s="523"/>
      <c r="D26" s="523"/>
      <c r="E26" s="523"/>
      <c r="F26" s="524"/>
    </row>
    <row r="27" spans="1:6" ht="18.95" customHeight="1">
      <c r="A27" s="522"/>
      <c r="B27" s="523"/>
      <c r="C27" s="523"/>
      <c r="D27" s="523"/>
      <c r="E27" s="523"/>
      <c r="F27" s="524"/>
    </row>
    <row r="28" spans="1:6" ht="18.95" customHeight="1">
      <c r="A28" s="522"/>
      <c r="B28" s="523"/>
      <c r="C28" s="523"/>
      <c r="D28" s="523"/>
      <c r="E28" s="523"/>
      <c r="F28" s="524"/>
    </row>
    <row r="29" spans="1:6" ht="18.95" customHeight="1">
      <c r="A29" s="522"/>
      <c r="B29" s="523"/>
      <c r="C29" s="523"/>
      <c r="D29" s="523"/>
      <c r="E29" s="523"/>
      <c r="F29" s="524"/>
    </row>
    <row r="30" spans="1:6" ht="18.95" customHeight="1">
      <c r="A30" s="522"/>
      <c r="B30" s="523"/>
      <c r="C30" s="523"/>
      <c r="D30" s="523"/>
      <c r="E30" s="523"/>
      <c r="F30" s="524"/>
    </row>
    <row r="31" spans="1:6" ht="18.95" customHeight="1">
      <c r="A31" s="522"/>
      <c r="B31" s="523"/>
      <c r="C31" s="523"/>
      <c r="D31" s="523"/>
      <c r="E31" s="523"/>
      <c r="F31" s="524"/>
    </row>
    <row r="32" spans="1:6" ht="18.95" customHeight="1">
      <c r="A32" s="522"/>
      <c r="B32" s="523"/>
      <c r="C32" s="523"/>
      <c r="D32" s="523"/>
      <c r="E32" s="523"/>
      <c r="F32" s="524"/>
    </row>
    <row r="33" spans="1:6" ht="18.95" customHeight="1">
      <c r="A33" s="522"/>
      <c r="B33" s="523"/>
      <c r="C33" s="523"/>
      <c r="D33" s="523"/>
      <c r="E33" s="523"/>
      <c r="F33" s="524"/>
    </row>
    <row r="34" spans="1:6" ht="18.95" customHeight="1">
      <c r="A34" s="522"/>
      <c r="B34" s="523"/>
      <c r="C34" s="523"/>
      <c r="D34" s="523"/>
      <c r="E34" s="523"/>
      <c r="F34" s="524"/>
    </row>
    <row r="35" spans="1:6" ht="18.95" customHeight="1">
      <c r="A35" s="522"/>
      <c r="B35" s="523"/>
      <c r="C35" s="523"/>
      <c r="D35" s="523"/>
      <c r="E35" s="523"/>
      <c r="F35" s="524"/>
    </row>
    <row r="36" spans="1:6" ht="18.95" customHeight="1">
      <c r="A36" s="522"/>
      <c r="B36" s="523"/>
      <c r="C36" s="523"/>
      <c r="D36" s="523"/>
      <c r="E36" s="523"/>
      <c r="F36" s="524"/>
    </row>
    <row r="37" spans="1:6" ht="18.95" customHeight="1">
      <c r="A37" s="522"/>
      <c r="B37" s="523"/>
      <c r="C37" s="523"/>
      <c r="D37" s="523"/>
      <c r="E37" s="523"/>
      <c r="F37" s="524"/>
    </row>
    <row r="38" spans="1:6" ht="18.95" customHeight="1">
      <c r="A38" s="522"/>
      <c r="B38" s="523"/>
      <c r="C38" s="523"/>
      <c r="D38" s="523"/>
      <c r="E38" s="523"/>
      <c r="F38" s="524"/>
    </row>
    <row r="39" spans="1:6" ht="18.95" customHeight="1">
      <c r="A39" s="534" t="s">
        <v>580</v>
      </c>
      <c r="B39" s="535" t="s">
        <v>372</v>
      </c>
      <c r="C39" s="700" t="str">
        <f>'Performance Data Sheet'!C10</f>
        <v>-</v>
      </c>
      <c r="D39" s="523"/>
      <c r="E39" s="531" t="s">
        <v>581</v>
      </c>
      <c r="F39" s="536" t="str">
        <f>F10</f>
        <v>1M4800U</v>
      </c>
    </row>
    <row r="40" spans="1:6" ht="18.95" customHeight="1">
      <c r="A40" s="522"/>
      <c r="B40" s="535"/>
      <c r="C40" s="535"/>
      <c r="D40" s="523"/>
      <c r="E40" s="523"/>
      <c r="F40" s="524"/>
    </row>
    <row r="41" spans="1:6" ht="18.95" customHeight="1">
      <c r="A41" s="522"/>
      <c r="B41" s="535"/>
      <c r="C41" s="535"/>
      <c r="D41" s="523"/>
      <c r="E41" s="523"/>
      <c r="F41" s="524"/>
    </row>
    <row r="42" spans="1:6" ht="18.95" customHeight="1">
      <c r="A42" s="522"/>
      <c r="B42" s="523"/>
      <c r="C42" s="523"/>
      <c r="D42" s="523"/>
      <c r="E42" s="523"/>
      <c r="F42" s="524"/>
    </row>
    <row r="43" spans="1:6" ht="18.95" customHeight="1">
      <c r="A43" s="537"/>
      <c r="B43" s="535"/>
      <c r="C43" s="538" t="s">
        <v>582</v>
      </c>
      <c r="D43" s="539" t="str">
        <f>'Performance Data Sheet'!K42</f>
        <v>Zichao Xie</v>
      </c>
      <c r="E43" s="538" t="s">
        <v>583</v>
      </c>
      <c r="F43" s="53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479" t="s">
        <v>400</v>
      </c>
      <c r="E53" s="479"/>
      <c r="F53" s="479"/>
      <c r="G53" s="479"/>
      <c r="H53" s="479"/>
      <c r="I53" s="479"/>
      <c r="J53" s="479"/>
      <c r="K53" s="479"/>
      <c r="L53" s="479"/>
    </row>
    <row r="54" spans="1:12" ht="15" customHeight="1">
      <c r="A54" s="540">
        <v>100</v>
      </c>
      <c r="B54" s="477">
        <v>0</v>
      </c>
      <c r="C54" s="477">
        <v>0.23193846642971039</v>
      </c>
      <c r="D54" s="479">
        <v>100</v>
      </c>
      <c r="E54" s="479"/>
      <c r="F54" s="479"/>
      <c r="G54" s="479"/>
      <c r="H54" s="479"/>
      <c r="I54" s="479"/>
      <c r="J54" s="479"/>
      <c r="K54" s="479"/>
      <c r="L54" s="479"/>
    </row>
    <row r="55" spans="1:12" ht="15" customHeight="1">
      <c r="A55" s="540">
        <v>99.500000011175871</v>
      </c>
      <c r="B55" s="477">
        <v>78.551626536935402</v>
      </c>
      <c r="C55" s="477">
        <v>92.360679626464844</v>
      </c>
      <c r="D55" s="479">
        <v>99</v>
      </c>
      <c r="E55" s="479"/>
      <c r="F55" s="479"/>
      <c r="G55" s="479"/>
      <c r="H55" s="479"/>
      <c r="I55" s="479"/>
      <c r="J55" s="479"/>
      <c r="K55" s="479"/>
      <c r="L55" s="479"/>
    </row>
    <row r="56" spans="1:12" ht="15" customHeight="1">
      <c r="A56" s="540">
        <v>97.499999962747097</v>
      </c>
      <c r="B56" s="477">
        <v>271.04204921783565</v>
      </c>
      <c r="C56" s="477">
        <v>365.205078125</v>
      </c>
      <c r="D56" s="479">
        <v>93.875</v>
      </c>
      <c r="E56" s="479"/>
      <c r="F56" s="479"/>
      <c r="G56" s="479"/>
      <c r="H56" s="479"/>
      <c r="I56" s="479"/>
      <c r="J56" s="479"/>
      <c r="K56" s="479"/>
      <c r="L56" s="479"/>
    </row>
    <row r="57" spans="1:12">
      <c r="A57" s="540">
        <v>94.999999925494194</v>
      </c>
      <c r="B57" s="477">
        <v>290</v>
      </c>
      <c r="C57" s="477">
        <v>528.7376708984375</v>
      </c>
      <c r="D57" s="479">
        <v>87</v>
      </c>
      <c r="E57" s="479"/>
      <c r="F57" s="479"/>
      <c r="G57" s="479"/>
      <c r="H57" s="479"/>
      <c r="I57" s="479"/>
      <c r="J57" s="479"/>
      <c r="K57" s="479"/>
      <c r="L57" s="479"/>
    </row>
    <row r="58" spans="1:12">
      <c r="A58" s="540">
        <v>89.374999701976776</v>
      </c>
      <c r="B58" s="477">
        <v>185.56153169164418</v>
      </c>
      <c r="C58" s="477">
        <v>596.3828125</v>
      </c>
      <c r="D58" s="479">
        <v>72.375</v>
      </c>
      <c r="E58" s="479"/>
      <c r="F58" s="479"/>
      <c r="G58" s="479"/>
      <c r="H58" s="479"/>
      <c r="I58" s="479"/>
      <c r="J58" s="479"/>
      <c r="K58" s="479"/>
      <c r="L58" s="479"/>
    </row>
    <row r="59" spans="1:12">
      <c r="A59" s="540">
        <v>83.749999105930328</v>
      </c>
      <c r="B59" s="477">
        <v>148.24850078150425</v>
      </c>
      <c r="C59" s="477">
        <v>628.87835693359375</v>
      </c>
      <c r="D59" s="479">
        <v>58.249996185302734</v>
      </c>
      <c r="E59" s="479"/>
      <c r="F59" s="479"/>
      <c r="G59" s="479"/>
      <c r="H59" s="479"/>
      <c r="I59" s="479"/>
      <c r="J59" s="479"/>
      <c r="K59" s="479"/>
      <c r="L59" s="479"/>
    </row>
    <row r="60" spans="1:12">
      <c r="A60" s="540">
        <v>72.499999403953552</v>
      </c>
      <c r="B60" s="477">
        <v>120.79606430445172</v>
      </c>
      <c r="C60" s="477">
        <v>659.606689453125</v>
      </c>
      <c r="D60" s="479">
        <v>37.25</v>
      </c>
      <c r="E60" s="479"/>
      <c r="F60" s="479"/>
      <c r="G60" s="479"/>
      <c r="H60" s="479"/>
      <c r="I60" s="479"/>
      <c r="J60" s="479"/>
      <c r="K60" s="479"/>
      <c r="L60" s="479"/>
    </row>
    <row r="61" spans="1:12">
      <c r="A61" s="540">
        <v>61.249998211860657</v>
      </c>
      <c r="B61" s="477">
        <v>109.69389583233304</v>
      </c>
      <c r="C61" s="477">
        <v>675.5301513671875</v>
      </c>
      <c r="D61" s="479">
        <v>23.374998092651367</v>
      </c>
      <c r="E61" s="479"/>
      <c r="F61" s="479"/>
      <c r="G61" s="479"/>
      <c r="H61" s="479"/>
      <c r="I61" s="479"/>
      <c r="J61" s="479"/>
      <c r="K61" s="479"/>
      <c r="L61" s="479"/>
    </row>
    <row r="62" spans="1:12">
      <c r="A62" s="540">
        <v>50</v>
      </c>
      <c r="B62" s="477">
        <v>105</v>
      </c>
      <c r="C62" s="477">
        <v>686.7552490234375</v>
      </c>
      <c r="D62" s="479">
        <v>14</v>
      </c>
      <c r="E62" s="479"/>
      <c r="F62" s="479"/>
      <c r="G62" s="479"/>
      <c r="H62" s="479"/>
      <c r="I62" s="479"/>
      <c r="J62" s="479"/>
      <c r="K62" s="479"/>
      <c r="L62" s="479"/>
    </row>
    <row r="63" spans="1:12">
      <c r="A63" s="540">
        <v>39.999997615814209</v>
      </c>
      <c r="B63" s="477">
        <v>106.07815464366531</v>
      </c>
      <c r="C63" s="477">
        <v>695.96685791015625</v>
      </c>
      <c r="D63" s="479">
        <v>7.9999995231628418</v>
      </c>
      <c r="E63" s="479"/>
      <c r="F63" s="479"/>
      <c r="G63" s="479"/>
      <c r="H63" s="479"/>
      <c r="I63" s="479"/>
      <c r="J63" s="479"/>
      <c r="K63" s="479"/>
      <c r="L63" s="479"/>
    </row>
    <row r="64" spans="1:12">
      <c r="A64" s="540">
        <v>30.000001192092896</v>
      </c>
      <c r="B64" s="477">
        <v>108.39401308022495</v>
      </c>
      <c r="C64" s="477">
        <v>703.5504150390625</v>
      </c>
      <c r="D64" s="479">
        <v>5.9999995231628418</v>
      </c>
      <c r="E64" s="479"/>
      <c r="F64" s="479"/>
      <c r="G64" s="479"/>
      <c r="H64" s="479"/>
      <c r="I64" s="479"/>
      <c r="J64" s="479"/>
      <c r="K64" s="479"/>
      <c r="L64" s="479"/>
    </row>
    <row r="65" spans="1:12">
      <c r="A65" s="540">
        <v>19.999998807907104</v>
      </c>
      <c r="B65" s="477">
        <v>112.54105149468275</v>
      </c>
      <c r="C65" s="477">
        <v>710.29150390625</v>
      </c>
      <c r="D65" s="479">
        <v>8.0000009536743164</v>
      </c>
      <c r="E65" s="479"/>
      <c r="F65" s="479"/>
      <c r="G65" s="479"/>
      <c r="H65" s="479"/>
      <c r="I65" s="479"/>
      <c r="J65" s="479"/>
      <c r="K65" s="479"/>
      <c r="L65" s="479"/>
    </row>
    <row r="66" spans="1:12">
      <c r="A66" s="540">
        <v>10.000002384185791</v>
      </c>
      <c r="B66" s="477">
        <v>119.34397748635843</v>
      </c>
      <c r="C66" s="477">
        <v>716.3394775390625</v>
      </c>
      <c r="D66" s="479">
        <v>14.999996185302734</v>
      </c>
      <c r="E66" s="479"/>
      <c r="F66" s="479"/>
      <c r="G66" s="479"/>
      <c r="H66" s="479"/>
      <c r="I66" s="479"/>
      <c r="J66" s="479"/>
      <c r="K66" s="479"/>
      <c r="L66" s="479"/>
    </row>
    <row r="67" spans="1:12">
      <c r="A67" s="541">
        <v>0</v>
      </c>
      <c r="B67" s="477">
        <v>130</v>
      </c>
      <c r="C67" s="477">
        <v>721.78216552734375</v>
      </c>
      <c r="D67" s="479">
        <v>30</v>
      </c>
      <c r="E67" s="479"/>
      <c r="F67" s="479"/>
      <c r="G67" s="479"/>
      <c r="H67" s="479"/>
      <c r="I67" s="479"/>
      <c r="J67" s="479"/>
      <c r="K67" s="479"/>
      <c r="L67" s="479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P24" sqref="P24"/>
    </sheetView>
  </sheetViews>
  <sheetFormatPr defaultRowHeight="12.75"/>
  <cols>
    <col min="1" max="6" width="16.7109375" style="492" customWidth="1"/>
    <col min="7" max="16384" width="9.140625" style="492"/>
  </cols>
  <sheetData>
    <row r="1" spans="1:6" ht="18.95" customHeight="1">
      <c r="A1" s="515"/>
      <c r="B1" s="516"/>
      <c r="C1" s="516"/>
      <c r="D1" s="516"/>
      <c r="E1" s="516"/>
      <c r="F1" s="517"/>
    </row>
    <row r="2" spans="1:6" ht="26.1" customHeight="1">
      <c r="A2" s="518" t="s">
        <v>269</v>
      </c>
      <c r="B2" s="519"/>
      <c r="C2" s="519"/>
      <c r="D2" s="519"/>
      <c r="E2" s="519"/>
      <c r="F2" s="520"/>
    </row>
    <row r="3" spans="1:6" ht="18.95" customHeight="1">
      <c r="A3" s="542" t="s">
        <v>587</v>
      </c>
      <c r="B3" s="543"/>
      <c r="C3" s="543"/>
      <c r="D3" s="543"/>
      <c r="E3" s="543"/>
      <c r="F3" s="544"/>
    </row>
    <row r="4" spans="1:6" ht="18.95" customHeight="1">
      <c r="A4" s="545" t="s">
        <v>588</v>
      </c>
      <c r="B4" s="546"/>
      <c r="C4" s="546"/>
      <c r="D4" s="546"/>
      <c r="E4" s="546"/>
      <c r="F4" s="547"/>
    </row>
    <row r="5" spans="1:6" ht="18.95" customHeight="1">
      <c r="A5" s="522"/>
      <c r="B5" s="523"/>
      <c r="C5" s="523"/>
      <c r="D5" s="523"/>
      <c r="E5" s="523"/>
      <c r="F5" s="524"/>
    </row>
    <row r="6" spans="1:6" ht="18.95" customHeight="1">
      <c r="A6" s="525" t="s">
        <v>564</v>
      </c>
      <c r="B6" s="526" t="str">
        <f>'Performance Data Sheet'!C17</f>
        <v>8005TCAL11E-A</v>
      </c>
      <c r="C6" s="527"/>
      <c r="D6" s="528"/>
      <c r="E6" s="525" t="s">
        <v>565</v>
      </c>
      <c r="F6" s="529">
        <f>'Performance Data Sheet'!I14</f>
        <v>101</v>
      </c>
    </row>
    <row r="7" spans="1:6" ht="18.95" customHeight="1">
      <c r="A7" s="525" t="s">
        <v>566</v>
      </c>
      <c r="B7" s="529" t="str">
        <f>'Performance Data Sheet'!F14</f>
        <v>TEAAC</v>
      </c>
      <c r="C7" s="525" t="s">
        <v>567</v>
      </c>
      <c r="D7" s="529" t="str">
        <f>'Performance Data Sheet'!F13 &amp; " V"</f>
        <v>4000 V</v>
      </c>
      <c r="E7" s="525" t="s">
        <v>568</v>
      </c>
      <c r="F7" s="529" t="str">
        <f>'Performance Data Sheet'!C14</f>
        <v>5812US</v>
      </c>
    </row>
    <row r="8" spans="1:6" ht="18.95" customHeight="1">
      <c r="A8" s="525" t="s">
        <v>569</v>
      </c>
      <c r="B8" s="529">
        <v>4</v>
      </c>
      <c r="C8" s="525" t="s">
        <v>570</v>
      </c>
      <c r="D8" s="529" t="s">
        <v>571</v>
      </c>
      <c r="E8" s="525" t="s">
        <v>572</v>
      </c>
      <c r="F8" s="529" t="str">
        <f>'Performance Data Sheet'!M15</f>
        <v>F</v>
      </c>
    </row>
    <row r="9" spans="1:6" ht="18.95" customHeight="1">
      <c r="A9" s="525" t="s">
        <v>573</v>
      </c>
      <c r="B9" s="529">
        <f>'Performance Data Sheet'!C13</f>
        <v>800</v>
      </c>
      <c r="C9" s="525" t="s">
        <v>574</v>
      </c>
      <c r="D9" s="529" t="s">
        <v>584</v>
      </c>
      <c r="E9" s="525" t="s">
        <v>2</v>
      </c>
      <c r="F9" s="530">
        <f>'Performance Data Sheet'!K44</f>
        <v>44441</v>
      </c>
    </row>
    <row r="10" spans="1:6" ht="18.95" customHeight="1">
      <c r="A10" s="525" t="s">
        <v>575</v>
      </c>
      <c r="B10" s="529">
        <f>'Performance Data Sheet'!M14</f>
        <v>1780</v>
      </c>
      <c r="C10" s="525" t="s">
        <v>402</v>
      </c>
      <c r="D10" s="529" t="s">
        <v>585</v>
      </c>
      <c r="E10" s="525" t="s">
        <v>1</v>
      </c>
      <c r="F10" s="529" t="s">
        <v>712</v>
      </c>
    </row>
    <row r="11" spans="1:6" ht="18.95" customHeight="1">
      <c r="A11" s="522"/>
      <c r="B11" s="523"/>
      <c r="C11" s="523"/>
      <c r="D11" s="523"/>
      <c r="E11" s="523"/>
      <c r="F11" s="524"/>
    </row>
    <row r="12" spans="1:6" ht="18.95" customHeight="1">
      <c r="A12" s="522"/>
      <c r="B12" s="531"/>
      <c r="C12" s="532" t="str">
        <f>'Performance Data Sheet'!D22 &amp; " A"</f>
        <v>729 A</v>
      </c>
      <c r="D12" s="531"/>
      <c r="E12" s="532"/>
      <c r="F12" s="524"/>
    </row>
    <row r="13" spans="1:6" ht="18.95" customHeight="1">
      <c r="A13" s="522"/>
      <c r="B13" s="531"/>
      <c r="C13" s="533">
        <f>'Performance Data Sheet'!H23/100</f>
        <v>1.3</v>
      </c>
      <c r="D13" s="531"/>
      <c r="E13" s="532"/>
      <c r="F13" s="524"/>
    </row>
    <row r="14" spans="1:6" ht="18.95" customHeight="1">
      <c r="A14" s="522"/>
      <c r="B14" s="531"/>
      <c r="C14" s="533"/>
      <c r="D14" s="531"/>
      <c r="E14" s="532"/>
      <c r="F14" s="524"/>
    </row>
    <row r="15" spans="1:6" ht="18.95" customHeight="1">
      <c r="A15" s="522"/>
      <c r="B15" s="531"/>
      <c r="C15" s="532" t="str">
        <f>'Performance Data Sheet'!H22 &amp; " lb-ft"</f>
        <v>2360 lb-ft</v>
      </c>
      <c r="D15" s="523"/>
      <c r="E15" s="523"/>
      <c r="F15" s="524"/>
    </row>
    <row r="16" spans="1:6" ht="18.95" customHeight="1">
      <c r="A16" s="522"/>
      <c r="B16" s="523"/>
      <c r="C16" s="523"/>
      <c r="D16" s="523"/>
      <c r="E16" s="523"/>
      <c r="F16" s="524"/>
    </row>
    <row r="17" spans="1:6" ht="18.95" customHeight="1">
      <c r="A17" s="522"/>
      <c r="B17" s="523"/>
      <c r="C17" s="523"/>
      <c r="D17" s="523"/>
      <c r="E17" s="523"/>
      <c r="F17" s="524"/>
    </row>
    <row r="18" spans="1:6" ht="18.95" customHeight="1">
      <c r="A18" s="522"/>
      <c r="B18" s="523"/>
      <c r="C18" s="523"/>
      <c r="D18" s="523"/>
      <c r="E18" s="523"/>
      <c r="F18" s="524"/>
    </row>
    <row r="19" spans="1:6" ht="18.95" customHeight="1">
      <c r="A19" s="522"/>
      <c r="B19" s="523"/>
      <c r="C19" s="523"/>
      <c r="D19" s="523"/>
      <c r="E19" s="523"/>
      <c r="F19" s="524"/>
    </row>
    <row r="20" spans="1:6" ht="18.95" customHeight="1">
      <c r="A20" s="522"/>
      <c r="B20" s="523"/>
      <c r="C20" s="523"/>
      <c r="D20" s="523"/>
      <c r="E20" s="523"/>
      <c r="F20" s="524"/>
    </row>
    <row r="21" spans="1:6" ht="18.95" customHeight="1">
      <c r="A21" s="522"/>
      <c r="B21" s="523"/>
      <c r="C21" s="523"/>
      <c r="D21" s="523"/>
      <c r="E21" s="523"/>
      <c r="F21" s="524"/>
    </row>
    <row r="22" spans="1:6" ht="18.95" customHeight="1">
      <c r="A22" s="522"/>
      <c r="B22" s="523"/>
      <c r="C22" s="523"/>
      <c r="D22" s="523"/>
      <c r="E22" s="523"/>
      <c r="F22" s="524"/>
    </row>
    <row r="23" spans="1:6" ht="18.95" customHeight="1">
      <c r="A23" s="522"/>
      <c r="B23" s="523"/>
      <c r="C23" s="523"/>
      <c r="D23" s="523"/>
      <c r="E23" s="523"/>
      <c r="F23" s="524"/>
    </row>
    <row r="24" spans="1:6" ht="18.95" customHeight="1">
      <c r="A24" s="522"/>
      <c r="B24" s="523"/>
      <c r="C24" s="523"/>
      <c r="D24" s="523"/>
      <c r="E24" s="523"/>
      <c r="F24" s="524"/>
    </row>
    <row r="25" spans="1:6" ht="18.95" customHeight="1">
      <c r="A25" s="522"/>
      <c r="B25" s="523"/>
      <c r="C25" s="523"/>
      <c r="D25" s="523"/>
      <c r="E25" s="523"/>
      <c r="F25" s="524"/>
    </row>
    <row r="26" spans="1:6" ht="18.95" customHeight="1">
      <c r="A26" s="522"/>
      <c r="B26" s="523"/>
      <c r="C26" s="523"/>
      <c r="D26" s="523"/>
      <c r="E26" s="523"/>
      <c r="F26" s="524"/>
    </row>
    <row r="27" spans="1:6" ht="18.95" customHeight="1">
      <c r="A27" s="522"/>
      <c r="B27" s="523"/>
      <c r="C27" s="523"/>
      <c r="D27" s="523"/>
      <c r="E27" s="523"/>
      <c r="F27" s="524"/>
    </row>
    <row r="28" spans="1:6" ht="18.95" customHeight="1">
      <c r="A28" s="522"/>
      <c r="B28" s="523"/>
      <c r="C28" s="523"/>
      <c r="D28" s="523"/>
      <c r="E28" s="523"/>
      <c r="F28" s="524"/>
    </row>
    <row r="29" spans="1:6" ht="18.95" customHeight="1">
      <c r="A29" s="522"/>
      <c r="B29" s="523"/>
      <c r="C29" s="523"/>
      <c r="D29" s="523"/>
      <c r="E29" s="523"/>
      <c r="F29" s="524"/>
    </row>
    <row r="30" spans="1:6" ht="18.95" customHeight="1">
      <c r="A30" s="522"/>
      <c r="B30" s="523"/>
      <c r="C30" s="523"/>
      <c r="D30" s="523"/>
      <c r="E30" s="523"/>
      <c r="F30" s="524"/>
    </row>
    <row r="31" spans="1:6" ht="18.95" customHeight="1">
      <c r="A31" s="522"/>
      <c r="B31" s="523"/>
      <c r="C31" s="523"/>
      <c r="D31" s="523"/>
      <c r="E31" s="523"/>
      <c r="F31" s="524"/>
    </row>
    <row r="32" spans="1:6" ht="18.95" customHeight="1">
      <c r="A32" s="522"/>
      <c r="B32" s="523"/>
      <c r="C32" s="523"/>
      <c r="D32" s="523"/>
      <c r="E32" s="523"/>
      <c r="F32" s="524"/>
    </row>
    <row r="33" spans="1:6" ht="18.95" customHeight="1">
      <c r="A33" s="522"/>
      <c r="B33" s="523"/>
      <c r="C33" s="523"/>
      <c r="D33" s="523"/>
      <c r="E33" s="523"/>
      <c r="F33" s="524"/>
    </row>
    <row r="34" spans="1:6" ht="18.95" customHeight="1">
      <c r="A34" s="522"/>
      <c r="B34" s="523"/>
      <c r="C34" s="523"/>
      <c r="D34" s="523"/>
      <c r="E34" s="523"/>
      <c r="F34" s="524"/>
    </row>
    <row r="35" spans="1:6" ht="18.95" customHeight="1">
      <c r="A35" s="522"/>
      <c r="B35" s="523"/>
      <c r="C35" s="523"/>
      <c r="D35" s="523"/>
      <c r="E35" s="523"/>
      <c r="F35" s="524"/>
    </row>
    <row r="36" spans="1:6" ht="18.95" customHeight="1">
      <c r="A36" s="522"/>
      <c r="B36" s="523"/>
      <c r="C36" s="523"/>
      <c r="D36" s="523"/>
      <c r="E36" s="523"/>
      <c r="F36" s="524"/>
    </row>
    <row r="37" spans="1:6" ht="18.95" customHeight="1">
      <c r="A37" s="522"/>
      <c r="B37" s="523"/>
      <c r="C37" s="523"/>
      <c r="D37" s="523"/>
      <c r="E37" s="523"/>
      <c r="F37" s="524"/>
    </row>
    <row r="38" spans="1:6" ht="18.95" customHeight="1">
      <c r="A38" s="522"/>
      <c r="B38" s="523"/>
      <c r="C38" s="523"/>
      <c r="D38" s="523"/>
      <c r="E38" s="523"/>
      <c r="F38" s="524"/>
    </row>
    <row r="39" spans="1:6" ht="18.95" customHeight="1">
      <c r="A39" s="534" t="s">
        <v>580</v>
      </c>
      <c r="B39" s="535" t="s">
        <v>372</v>
      </c>
      <c r="C39" s="700" t="str">
        <f>'Performance Data Sheet'!C10</f>
        <v>-</v>
      </c>
      <c r="D39" s="523"/>
      <c r="E39" s="531" t="s">
        <v>581</v>
      </c>
      <c r="F39" s="536" t="str">
        <f>F10</f>
        <v>1M4800U</v>
      </c>
    </row>
    <row r="40" spans="1:6" ht="18.95" customHeight="1">
      <c r="A40" s="522"/>
      <c r="B40" s="535"/>
      <c r="C40" s="535"/>
      <c r="D40" s="523"/>
      <c r="E40" s="523"/>
      <c r="F40" s="524"/>
    </row>
    <row r="41" spans="1:6" ht="18.95" customHeight="1">
      <c r="A41" s="522"/>
      <c r="B41" s="535"/>
      <c r="C41" s="535"/>
      <c r="D41" s="523"/>
      <c r="E41" s="523"/>
      <c r="F41" s="524"/>
    </row>
    <row r="42" spans="1:6" ht="18.95" customHeight="1">
      <c r="A42" s="522"/>
      <c r="B42" s="523"/>
      <c r="C42" s="523"/>
      <c r="D42" s="523"/>
      <c r="E42" s="523"/>
      <c r="F42" s="524"/>
    </row>
    <row r="43" spans="1:6" ht="18.95" customHeight="1">
      <c r="A43" s="537"/>
      <c r="B43" s="535"/>
      <c r="C43" s="538" t="s">
        <v>582</v>
      </c>
      <c r="D43" s="539" t="str">
        <f>'Performance Data Sheet'!K42</f>
        <v>Zichao Xie</v>
      </c>
      <c r="E43" s="538" t="s">
        <v>583</v>
      </c>
      <c r="F43" s="539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548" t="e">
        <f>5252.1*B50/D53</f>
        <v>#DIV/0!</v>
      </c>
      <c r="G50" s="548"/>
    </row>
    <row r="51" spans="6:9" ht="15" customHeight="1">
      <c r="G51" s="549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550"/>
    </row>
    <row r="63" spans="6:9">
      <c r="I63" s="551" t="s">
        <v>39</v>
      </c>
    </row>
    <row r="64" spans="6:9">
      <c r="I64" s="551"/>
    </row>
    <row r="65" spans="1:9">
      <c r="I65" s="551"/>
    </row>
    <row r="66" spans="1:9">
      <c r="D66" s="548" t="e">
        <f>D65/D64</f>
        <v>#DIV/0!</v>
      </c>
    </row>
    <row r="67" spans="1:9">
      <c r="A67" s="552" t="s">
        <v>397</v>
      </c>
      <c r="B67" s="552" t="s">
        <v>589</v>
      </c>
      <c r="C67" s="552" t="s">
        <v>590</v>
      </c>
      <c r="E67" s="552" t="s">
        <v>591</v>
      </c>
      <c r="F67" s="552" t="s">
        <v>592</v>
      </c>
    </row>
    <row r="68" spans="1:9">
      <c r="A68" s="553">
        <v>721.78217821782175</v>
      </c>
      <c r="B68" s="554">
        <v>14.845632825578964</v>
      </c>
      <c r="C68" s="554">
        <v>6.2200083051409045</v>
      </c>
      <c r="E68" s="553">
        <f>A68</f>
        <v>721.78217821782175</v>
      </c>
      <c r="F68" s="554">
        <v>1E-4</v>
      </c>
    </row>
    <row r="69" spans="1:9">
      <c r="A69" s="553">
        <f>FLOOR(A68,100)</f>
        <v>700</v>
      </c>
      <c r="B69" s="554">
        <f>((A68/A69)^2)*B68</f>
        <v>15.783922653558394</v>
      </c>
      <c r="C69" s="554">
        <f>((A68/A69)^2)*C68</f>
        <v>6.613132033258819</v>
      </c>
      <c r="E69" s="553">
        <v>719.10891089108907</v>
      </c>
      <c r="F69" s="554">
        <v>0.75499999523162842</v>
      </c>
    </row>
    <row r="70" spans="1:9">
      <c r="A70" s="553">
        <f>A69-100</f>
        <v>600</v>
      </c>
      <c r="B70" s="554">
        <f>((A68/A70)^2)*B68</f>
        <v>21.4836725006767</v>
      </c>
      <c r="C70" s="554">
        <f>((A68/A70)^2)*C68</f>
        <v>9.0012074897133925</v>
      </c>
      <c r="E70" s="553">
        <v>713.26732673267327</v>
      </c>
      <c r="F70" s="554">
        <v>1.4939999580383301</v>
      </c>
    </row>
    <row r="71" spans="1:9">
      <c r="A71" s="553">
        <f>A70-100</f>
        <v>500</v>
      </c>
      <c r="B71" s="554">
        <f>((A68/A71)^2)*B68</f>
        <v>30.936488400974451</v>
      </c>
      <c r="C71" s="554">
        <f>((A68/A71)^2)*C68</f>
        <v>12.961738785187285</v>
      </c>
      <c r="E71" s="553">
        <v>706.93069306930693</v>
      </c>
      <c r="F71" s="554">
        <v>2.2389998435974121</v>
      </c>
    </row>
    <row r="72" spans="1:9">
      <c r="A72" s="553">
        <f>A71-100</f>
        <v>400</v>
      </c>
      <c r="B72" s="554">
        <f>((A68/A72)^2)*B68</f>
        <v>48.338263126522577</v>
      </c>
      <c r="C72" s="554"/>
      <c r="E72" s="553">
        <v>699.80198019801981</v>
      </c>
      <c r="F72" s="554">
        <v>3.0089998245239258</v>
      </c>
    </row>
    <row r="73" spans="1:9">
      <c r="A73" s="553">
        <f>A72-100</f>
        <v>300</v>
      </c>
      <c r="B73" s="554">
        <f>((A68/A73)^2)*B68</f>
        <v>85.934690002706802</v>
      </c>
      <c r="C73" s="554"/>
      <c r="E73" s="553">
        <v>691.38613861386136</v>
      </c>
      <c r="F73" s="554">
        <v>3.8249998092651367</v>
      </c>
    </row>
    <row r="74" spans="1:9">
      <c r="A74" s="553">
        <v>290</v>
      </c>
      <c r="B74" s="554">
        <f>((A68/A74)^2)*B68</f>
        <v>91.963401905393752</v>
      </c>
      <c r="C74" s="554">
        <f>((A68/A74)^2)*C68</f>
        <v>38.530733606383137</v>
      </c>
      <c r="E74" s="553">
        <v>681.18811881188117</v>
      </c>
      <c r="F74" s="554">
        <v>4.8029999732971191</v>
      </c>
    </row>
    <row r="75" spans="1:9">
      <c r="A75" s="555">
        <v>180</v>
      </c>
      <c r="B75" s="554">
        <f>((A68/A75)^2)*B69</f>
        <v>253.79452144396782</v>
      </c>
      <c r="C75" s="554">
        <f>((A68/A75)^2)*C68</f>
        <v>100.01341655237104</v>
      </c>
      <c r="E75" s="553">
        <v>667.52475247524751</v>
      </c>
      <c r="F75" s="554">
        <v>5.8249998092651367</v>
      </c>
    </row>
    <row r="76" spans="1:9">
      <c r="A76" s="555">
        <v>145</v>
      </c>
      <c r="B76" s="554">
        <f>((A68/A76)^2)*B68</f>
        <v>367.85360762157501</v>
      </c>
      <c r="C76" s="554">
        <f>((A68/A76)^2)*C68</f>
        <v>154.12293442553255</v>
      </c>
      <c r="E76" s="553">
        <v>644.25742574257436</v>
      </c>
      <c r="F76" s="554">
        <v>6.8249998092651367</v>
      </c>
    </row>
    <row r="77" spans="1:9">
      <c r="A77" s="555">
        <v>125</v>
      </c>
      <c r="B77" s="554"/>
      <c r="C77" s="553">
        <f>CEILING(C76*2,100)</f>
        <v>400</v>
      </c>
      <c r="E77" s="553">
        <v>612.67326732673257</v>
      </c>
      <c r="F77" s="554">
        <v>7.2519998550415039</v>
      </c>
    </row>
    <row r="78" spans="1:9">
      <c r="A78" s="555">
        <v>125</v>
      </c>
      <c r="B78" s="554"/>
      <c r="C78" s="553">
        <f>2*C77</f>
        <v>800</v>
      </c>
      <c r="E78" s="553">
        <v>562.57425742574264</v>
      </c>
      <c r="F78" s="554">
        <v>7.5260000228881836</v>
      </c>
    </row>
    <row r="79" spans="1:9">
      <c r="A79" s="555">
        <v>125</v>
      </c>
      <c r="B79" s="555"/>
      <c r="C79" s="555">
        <v>10000</v>
      </c>
      <c r="E79" s="553">
        <v>446.93069306930693</v>
      </c>
      <c r="F79" s="554">
        <v>7.6269998550415039</v>
      </c>
    </row>
    <row r="80" spans="1:9">
      <c r="E80" s="553">
        <v>227.90927021696251</v>
      </c>
      <c r="F80" s="554">
        <v>7.749000072479248</v>
      </c>
    </row>
    <row r="81" spans="5:6">
      <c r="E81" s="553"/>
      <c r="F81" s="554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workbookViewId="0">
      <selection activeCell="I27" sqref="I27"/>
    </sheetView>
  </sheetViews>
  <sheetFormatPr defaultRowHeight="12.75"/>
  <cols>
    <col min="1" max="6" width="16.7109375" customWidth="1"/>
  </cols>
  <sheetData>
    <row r="1" spans="1:6" ht="18.95" customHeight="1">
      <c r="A1" s="556"/>
      <c r="B1" s="557"/>
      <c r="C1" s="557"/>
      <c r="D1" s="557"/>
      <c r="E1" s="557"/>
      <c r="F1" s="558"/>
    </row>
    <row r="2" spans="1:6" ht="26.1" customHeight="1">
      <c r="A2" s="559" t="s">
        <v>269</v>
      </c>
      <c r="B2" s="560"/>
      <c r="C2" s="560"/>
      <c r="D2" s="560"/>
      <c r="E2" s="560"/>
      <c r="F2" s="561"/>
    </row>
    <row r="3" spans="1:6" ht="18.95" customHeight="1">
      <c r="A3" s="562" t="s">
        <v>593</v>
      </c>
      <c r="B3" s="560"/>
      <c r="C3" s="560"/>
      <c r="D3" s="560"/>
      <c r="E3" s="560"/>
      <c r="F3" s="561"/>
    </row>
    <row r="4" spans="1:6" ht="18.95" customHeight="1">
      <c r="A4" s="563" t="s">
        <v>588</v>
      </c>
      <c r="B4" s="564"/>
      <c r="C4" s="564"/>
      <c r="D4" s="564"/>
      <c r="E4" s="564"/>
      <c r="F4" s="565"/>
    </row>
    <row r="5" spans="1:6" ht="18.95" customHeight="1">
      <c r="A5" s="566"/>
      <c r="B5" s="567"/>
      <c r="C5" s="567"/>
      <c r="D5" s="567"/>
      <c r="E5" s="567"/>
      <c r="F5" s="568"/>
    </row>
    <row r="6" spans="1:6" ht="18.95" customHeight="1">
      <c r="A6" s="569" t="s">
        <v>564</v>
      </c>
      <c r="B6" s="570" t="str">
        <f>'Performance Data Sheet'!C17</f>
        <v>8005TCAL11E-A</v>
      </c>
      <c r="C6" s="571"/>
      <c r="D6" s="572"/>
      <c r="E6" s="569" t="s">
        <v>565</v>
      </c>
      <c r="F6" s="573">
        <f>'Performance Data Sheet'!I14</f>
        <v>101</v>
      </c>
    </row>
    <row r="7" spans="1:6" ht="18.95" customHeight="1">
      <c r="A7" s="569" t="s">
        <v>566</v>
      </c>
      <c r="B7" s="573" t="str">
        <f>'Performance Data Sheet'!F14</f>
        <v>TEAAC</v>
      </c>
      <c r="C7" s="569" t="s">
        <v>567</v>
      </c>
      <c r="D7" s="573" t="str">
        <f>'Performance Data Sheet'!F13 &amp; " V"</f>
        <v>4000 V</v>
      </c>
      <c r="E7" s="569" t="s">
        <v>568</v>
      </c>
      <c r="F7" s="573" t="str">
        <f>'Performance Data Sheet'!C14</f>
        <v>5812US</v>
      </c>
    </row>
    <row r="8" spans="1:6" ht="18.95" customHeight="1">
      <c r="A8" s="569" t="s">
        <v>569</v>
      </c>
      <c r="B8" s="573">
        <v>4</v>
      </c>
      <c r="C8" s="569" t="s">
        <v>570</v>
      </c>
      <c r="D8" s="573" t="s">
        <v>571</v>
      </c>
      <c r="E8" s="569" t="s">
        <v>572</v>
      </c>
      <c r="F8" s="573" t="str">
        <f>'Performance Data Sheet'!M15</f>
        <v>F</v>
      </c>
    </row>
    <row r="9" spans="1:6" ht="18.95" customHeight="1">
      <c r="A9" s="569" t="s">
        <v>573</v>
      </c>
      <c r="B9" s="573">
        <f>'Performance Data Sheet'!C13</f>
        <v>800</v>
      </c>
      <c r="C9" s="569" t="s">
        <v>574</v>
      </c>
      <c r="D9" s="573" t="s">
        <v>584</v>
      </c>
      <c r="E9" s="569" t="s">
        <v>2</v>
      </c>
      <c r="F9" s="574">
        <f>'Performance Data Sheet'!K44</f>
        <v>44441</v>
      </c>
    </row>
    <row r="10" spans="1:6" ht="18.95" customHeight="1">
      <c r="A10" s="569" t="s">
        <v>575</v>
      </c>
      <c r="B10" s="573">
        <f>'Performance Data Sheet'!M14</f>
        <v>1780</v>
      </c>
      <c r="C10" s="569" t="s">
        <v>402</v>
      </c>
      <c r="D10" s="573" t="s">
        <v>585</v>
      </c>
      <c r="E10" s="569" t="s">
        <v>1</v>
      </c>
      <c r="F10" s="573" t="s">
        <v>712</v>
      </c>
    </row>
    <row r="11" spans="1:6" ht="18.95" customHeight="1">
      <c r="A11" s="566"/>
      <c r="B11" s="567"/>
      <c r="C11" s="567"/>
      <c r="D11" s="567"/>
      <c r="E11" s="567"/>
      <c r="F11" s="568"/>
    </row>
    <row r="12" spans="1:6" ht="18.95" customHeight="1">
      <c r="A12" s="566"/>
      <c r="B12" s="575" t="s">
        <v>576</v>
      </c>
      <c r="C12" s="576" t="str">
        <f>'Performance Data Sheet'!D22 &amp; " A"</f>
        <v>729 A</v>
      </c>
      <c r="D12" s="575" t="s">
        <v>401</v>
      </c>
      <c r="E12" s="576" t="s">
        <v>405</v>
      </c>
      <c r="F12" s="568"/>
    </row>
    <row r="13" spans="1:6" ht="18.95" customHeight="1">
      <c r="A13" s="566"/>
      <c r="B13" s="575" t="s">
        <v>577</v>
      </c>
      <c r="C13" s="593">
        <f>'Performance Data Sheet'!H23/100</f>
        <v>1.3</v>
      </c>
      <c r="D13" s="575" t="s">
        <v>578</v>
      </c>
      <c r="E13" s="576" t="s">
        <v>586</v>
      </c>
      <c r="F13" s="568"/>
    </row>
    <row r="14" spans="1:6" ht="18.95" customHeight="1">
      <c r="A14" s="566"/>
      <c r="B14" s="575" t="s">
        <v>579</v>
      </c>
      <c r="C14" s="593">
        <v>2.9</v>
      </c>
      <c r="D14" s="575" t="s">
        <v>403</v>
      </c>
      <c r="E14" s="576" t="s">
        <v>408</v>
      </c>
      <c r="F14" s="568"/>
    </row>
    <row r="15" spans="1:6" ht="18.95" customHeight="1">
      <c r="A15" s="566"/>
      <c r="B15" s="575" t="s">
        <v>404</v>
      </c>
      <c r="C15" s="576" t="str">
        <f>'Performance Data Sheet'!H22 &amp; " lb-ft"</f>
        <v>2360 lb-ft</v>
      </c>
      <c r="D15" s="567"/>
      <c r="E15" s="567"/>
      <c r="F15" s="568"/>
    </row>
    <row r="16" spans="1:6" ht="18.95" customHeight="1">
      <c r="A16" s="566"/>
      <c r="B16" s="567"/>
      <c r="C16" s="567"/>
      <c r="D16" s="567"/>
      <c r="E16" s="567"/>
      <c r="F16" s="568"/>
    </row>
    <row r="17" spans="1:8" ht="18.95" customHeight="1">
      <c r="A17" s="566"/>
      <c r="B17" s="567"/>
      <c r="C17" s="567"/>
      <c r="D17" s="567"/>
      <c r="E17" s="567"/>
      <c r="F17" s="568"/>
    </row>
    <row r="18" spans="1:8" ht="18.95" customHeight="1">
      <c r="A18" s="566"/>
      <c r="B18" s="567"/>
      <c r="C18" s="567"/>
      <c r="D18" s="567"/>
      <c r="E18" s="567"/>
      <c r="F18" s="568"/>
    </row>
    <row r="19" spans="1:8" ht="18.95" customHeight="1">
      <c r="A19" s="566"/>
      <c r="B19" s="567"/>
      <c r="C19" s="567"/>
      <c r="D19" s="567"/>
      <c r="E19" s="567"/>
      <c r="F19" s="568"/>
    </row>
    <row r="20" spans="1:8" ht="18.95" customHeight="1">
      <c r="A20" s="566"/>
      <c r="B20" s="567"/>
      <c r="C20" s="567"/>
      <c r="D20" s="567"/>
      <c r="E20" s="567"/>
      <c r="F20" s="568"/>
    </row>
    <row r="21" spans="1:8" ht="18.95" customHeight="1">
      <c r="A21" s="566"/>
      <c r="B21" s="567"/>
      <c r="C21" s="567"/>
      <c r="D21" s="567"/>
      <c r="E21" s="567"/>
      <c r="F21" s="568"/>
    </row>
    <row r="22" spans="1:8" ht="18.95" customHeight="1">
      <c r="A22" s="566"/>
      <c r="B22" s="567"/>
      <c r="C22" s="567"/>
      <c r="D22" s="567"/>
      <c r="E22" s="567"/>
      <c r="F22" s="568"/>
    </row>
    <row r="23" spans="1:8" ht="18.95" customHeight="1">
      <c r="A23" s="566"/>
      <c r="B23" s="567"/>
      <c r="C23" s="567"/>
      <c r="D23" s="567"/>
      <c r="E23" s="567"/>
      <c r="F23" s="568"/>
    </row>
    <row r="24" spans="1:8" ht="18.95" customHeight="1">
      <c r="A24" s="566"/>
      <c r="B24" s="567"/>
      <c r="C24" s="567"/>
      <c r="D24" s="567"/>
      <c r="E24" s="567"/>
      <c r="F24" s="568"/>
      <c r="H24" s="577"/>
    </row>
    <row r="25" spans="1:8" ht="18.95" customHeight="1">
      <c r="A25" s="566"/>
      <c r="B25" s="567"/>
      <c r="C25" s="567"/>
      <c r="D25" s="567"/>
      <c r="E25" s="567"/>
      <c r="F25" s="568"/>
    </row>
    <row r="26" spans="1:8" ht="18.95" customHeight="1">
      <c r="A26" s="566"/>
      <c r="B26" s="567"/>
      <c r="C26" s="567"/>
      <c r="D26" s="567"/>
      <c r="E26" s="567"/>
      <c r="F26" s="568"/>
    </row>
    <row r="27" spans="1:8" ht="18.95" customHeight="1">
      <c r="A27" s="566"/>
      <c r="B27" s="567"/>
      <c r="C27" s="567"/>
      <c r="D27" s="567"/>
      <c r="E27" s="567"/>
      <c r="F27" s="568"/>
    </row>
    <row r="28" spans="1:8" ht="18.95" customHeight="1">
      <c r="A28" s="566"/>
      <c r="B28" s="567"/>
      <c r="C28" s="567"/>
      <c r="D28" s="567"/>
      <c r="E28" s="567"/>
      <c r="F28" s="568"/>
    </row>
    <row r="29" spans="1:8" ht="18.95" customHeight="1">
      <c r="A29" s="566"/>
      <c r="B29" s="567"/>
      <c r="C29" s="567"/>
      <c r="D29" s="567"/>
      <c r="E29" s="567"/>
      <c r="F29" s="568"/>
    </row>
    <row r="30" spans="1:8" ht="18.95" customHeight="1">
      <c r="A30" s="566"/>
      <c r="B30" s="567"/>
      <c r="C30" s="567"/>
      <c r="D30" s="567"/>
      <c r="E30" s="567"/>
      <c r="F30" s="568"/>
    </row>
    <row r="31" spans="1:8" ht="18.95" customHeight="1">
      <c r="A31" s="566"/>
      <c r="B31" s="567"/>
      <c r="C31" s="567"/>
      <c r="D31" s="567"/>
      <c r="E31" s="567"/>
      <c r="F31" s="568"/>
    </row>
    <row r="32" spans="1:8" ht="18.95" customHeight="1">
      <c r="A32" s="566"/>
      <c r="B32" s="567"/>
      <c r="C32" s="567"/>
      <c r="D32" s="567"/>
      <c r="E32" s="567"/>
      <c r="F32" s="568"/>
    </row>
    <row r="33" spans="1:15" ht="18.95" customHeight="1">
      <c r="A33" s="566"/>
      <c r="B33" s="567"/>
      <c r="C33" s="567"/>
      <c r="D33" s="567"/>
      <c r="E33" s="567"/>
      <c r="F33" s="568"/>
    </row>
    <row r="34" spans="1:15" ht="18.95" customHeight="1">
      <c r="A34" s="566"/>
      <c r="B34" s="567"/>
      <c r="C34" s="567"/>
      <c r="D34" s="567"/>
      <c r="E34" s="567"/>
      <c r="F34" s="568"/>
    </row>
    <row r="35" spans="1:15" ht="18.95" customHeight="1">
      <c r="A35" s="566"/>
      <c r="B35" s="567"/>
      <c r="C35" s="567"/>
      <c r="D35" s="567"/>
      <c r="E35" s="567"/>
      <c r="F35" s="568"/>
    </row>
    <row r="36" spans="1:15" ht="18.95" customHeight="1">
      <c r="A36" s="566"/>
      <c r="B36" s="567"/>
      <c r="C36" s="567"/>
      <c r="D36" s="567"/>
      <c r="E36" s="567"/>
      <c r="F36" s="568"/>
      <c r="N36" s="702" t="s">
        <v>710</v>
      </c>
      <c r="O36" s="702" t="s">
        <v>711</v>
      </c>
    </row>
    <row r="37" spans="1:15" ht="18.95" customHeight="1">
      <c r="A37" s="566"/>
      <c r="B37" s="567"/>
      <c r="C37" s="567"/>
      <c r="D37" s="567"/>
      <c r="E37" s="567"/>
      <c r="F37" s="568"/>
      <c r="N37" s="702">
        <f xml:space="preserve"> L43 - (L43-L44) / 10 * 0</f>
        <v>1800</v>
      </c>
      <c r="O37" s="702">
        <f xml:space="preserve"> L45 / 10 * 10</f>
        <v>1600</v>
      </c>
    </row>
    <row r="38" spans="1:15" ht="18.95" customHeight="1">
      <c r="A38" s="566"/>
      <c r="B38" s="567"/>
      <c r="C38" s="567"/>
      <c r="D38" s="567"/>
      <c r="E38" s="567"/>
      <c r="F38" s="568"/>
      <c r="N38" s="702">
        <f xml:space="preserve"> L43 - (L43-L44) / 10 * 1</f>
        <v>1797</v>
      </c>
      <c r="O38" s="702">
        <f xml:space="preserve"> L45 / 10 * 9</f>
        <v>1440</v>
      </c>
    </row>
    <row r="39" spans="1:15" ht="18.95" customHeight="1">
      <c r="A39" s="578" t="s">
        <v>580</v>
      </c>
      <c r="B39" s="579" t="s">
        <v>372</v>
      </c>
      <c r="C39" s="701" t="str">
        <f>'Performance Data Sheet'!C10</f>
        <v>-</v>
      </c>
      <c r="D39" s="567"/>
      <c r="E39" s="575" t="s">
        <v>581</v>
      </c>
      <c r="F39" s="580" t="str">
        <f>F10</f>
        <v>1M4800U</v>
      </c>
      <c r="N39" s="702">
        <f xml:space="preserve"> L43 - (L43-L44) / 10 * 2</f>
        <v>1794</v>
      </c>
      <c r="O39" s="702">
        <f xml:space="preserve"> L45 / 10 * 8</f>
        <v>1280</v>
      </c>
    </row>
    <row r="40" spans="1:15" ht="18.95" customHeight="1">
      <c r="A40" s="566"/>
      <c r="B40" s="579"/>
      <c r="C40" s="579"/>
      <c r="D40" s="567"/>
      <c r="E40" s="567"/>
      <c r="F40" s="568"/>
      <c r="N40" s="702">
        <f xml:space="preserve"> L43 - (L43-L44) / 10 * 3</f>
        <v>1791</v>
      </c>
      <c r="O40" s="702">
        <f xml:space="preserve"> L45 / 10 * 7</f>
        <v>1120</v>
      </c>
    </row>
    <row r="41" spans="1:15" ht="18.95" customHeight="1">
      <c r="A41" s="566"/>
      <c r="B41" s="579"/>
      <c r="C41" s="579"/>
      <c r="D41" s="567"/>
      <c r="E41" s="567"/>
      <c r="F41" s="568"/>
      <c r="N41" s="702">
        <f xml:space="preserve"> L43 - (L43-L44) / 10 * 4</f>
        <v>1788</v>
      </c>
      <c r="O41" s="702">
        <f xml:space="preserve"> L45 / 10 * 6</f>
        <v>960</v>
      </c>
    </row>
    <row r="42" spans="1:15" ht="18.95" customHeight="1">
      <c r="A42" s="566"/>
      <c r="B42" s="567"/>
      <c r="C42" s="567"/>
      <c r="D42" s="567"/>
      <c r="E42" s="567"/>
      <c r="F42" s="568"/>
      <c r="N42" s="702">
        <f xml:space="preserve"> L43 - (L43-L44) / 10 * 5</f>
        <v>1785</v>
      </c>
      <c r="O42" s="702">
        <f xml:space="preserve"> L45 / 10 * 5</f>
        <v>800</v>
      </c>
    </row>
    <row r="43" spans="1:15" ht="18.95" customHeight="1">
      <c r="A43" s="581"/>
      <c r="B43" s="579"/>
      <c r="C43" s="582" t="s">
        <v>582</v>
      </c>
      <c r="D43" s="583" t="str">
        <f>'Performance Data Sheet'!K42</f>
        <v>Zichao Xie</v>
      </c>
      <c r="E43" s="582" t="s">
        <v>583</v>
      </c>
      <c r="F43" s="583"/>
      <c r="K43" s="146" t="s">
        <v>707</v>
      </c>
      <c r="L43" s="707">
        <v>1800</v>
      </c>
      <c r="N43" s="702">
        <f xml:space="preserve"> L43 - (L43-L44) / 10 * 6</f>
        <v>1782</v>
      </c>
      <c r="O43" s="702">
        <f xml:space="preserve"> L45 / 10 * 4</f>
        <v>640</v>
      </c>
    </row>
    <row r="44" spans="1:15" ht="15" customHeight="1">
      <c r="K44" s="146" t="s">
        <v>708</v>
      </c>
      <c r="L44" s="708">
        <v>1770</v>
      </c>
      <c r="N44" s="702">
        <f xml:space="preserve"> L43 - (L43-L44) / 10 * 7</f>
        <v>1779</v>
      </c>
      <c r="O44" s="702">
        <f xml:space="preserve"> L45 / 10 * 3</f>
        <v>480</v>
      </c>
    </row>
    <row r="45" spans="1:15" ht="15" customHeight="1">
      <c r="K45" s="146" t="s">
        <v>709</v>
      </c>
      <c r="L45" s="708">
        <v>1600</v>
      </c>
      <c r="N45" s="702">
        <f xml:space="preserve"> L43 - (L43-L44) / 10 * 8</f>
        <v>1776</v>
      </c>
      <c r="O45" s="702">
        <f xml:space="preserve"> L45 / 10 * 2</f>
        <v>320</v>
      </c>
    </row>
    <row r="46" spans="1:15" ht="15" customHeight="1">
      <c r="N46" s="702">
        <f xml:space="preserve"> L43 - (L43-L44) / 10 * 9</f>
        <v>1773</v>
      </c>
      <c r="O46" s="702">
        <f xml:space="preserve"> L45 / 10 * 1</f>
        <v>160</v>
      </c>
    </row>
    <row r="47" spans="1:15" ht="15" customHeight="1">
      <c r="N47" s="702">
        <f xml:space="preserve"> L43 - (L43-L44) / 10 * 10</f>
        <v>1770</v>
      </c>
      <c r="O47" s="478">
        <f xml:space="preserve"> L45 / 10 * 0</f>
        <v>0</v>
      </c>
    </row>
    <row r="48" spans="1:15" ht="15" customHeight="1"/>
    <row r="49" spans="1:6" ht="15" customHeight="1"/>
    <row r="50" spans="1:6" ht="15" customHeight="1"/>
    <row r="51" spans="1:6" ht="15" customHeight="1" thickBot="1"/>
    <row r="52" spans="1:6" ht="15" customHeight="1" thickBot="1">
      <c r="A52" s="704" t="s">
        <v>705</v>
      </c>
      <c r="B52" s="705"/>
      <c r="C52" s="705"/>
      <c r="D52" s="705"/>
      <c r="E52" s="705"/>
      <c r="F52" s="706"/>
    </row>
    <row r="53" spans="1:6" ht="15" customHeight="1" thickBot="1">
      <c r="A53" s="703" t="s">
        <v>400</v>
      </c>
      <c r="B53" s="703" t="s">
        <v>142</v>
      </c>
      <c r="C53" s="703" t="s">
        <v>120</v>
      </c>
      <c r="D53" s="703" t="s">
        <v>135</v>
      </c>
      <c r="E53" s="703" t="s">
        <v>5</v>
      </c>
      <c r="F53" s="61" t="s">
        <v>594</v>
      </c>
    </row>
    <row r="54" spans="1:6" ht="15" customHeight="1">
      <c r="A54" s="584">
        <v>0</v>
      </c>
      <c r="B54" s="92"/>
      <c r="C54" s="585"/>
      <c r="D54" s="585">
        <v>23</v>
      </c>
      <c r="E54" s="585">
        <v>100</v>
      </c>
      <c r="F54" s="586">
        <f>7611/(L45*1000) * 100</f>
        <v>0.47568749999999999</v>
      </c>
    </row>
    <row r="55" spans="1:6" ht="15" customHeight="1">
      <c r="A55" s="587">
        <v>25</v>
      </c>
      <c r="B55" s="588">
        <v>91.399993896484375</v>
      </c>
      <c r="C55" s="70">
        <v>65.699996948242188</v>
      </c>
      <c r="D55" s="70">
        <v>35.849998474121094</v>
      </c>
      <c r="E55" s="70">
        <f xml:space="preserve"> (1.0084412306882*B10-L44)/(L43-L44)*100</f>
        <v>83.417968749987111</v>
      </c>
      <c r="F55" s="74">
        <f xml:space="preserve"> 163183.1/(L45*1000)*100</f>
        <v>10.19894375</v>
      </c>
    </row>
    <row r="56" spans="1:6" ht="15" customHeight="1">
      <c r="A56" s="587">
        <v>50</v>
      </c>
      <c r="B56" s="588">
        <v>94.199996948242188</v>
      </c>
      <c r="C56" s="70">
        <v>82.900001525878906</v>
      </c>
      <c r="D56" s="70">
        <v>55.119998931884766</v>
      </c>
      <c r="E56" s="70">
        <f xml:space="preserve"> (1.00570356390449*B10-L44)/(L43-L44)*100</f>
        <v>67.174479166640893</v>
      </c>
      <c r="F56" s="74">
        <f xml:space="preserve"> 316580.6/(L45*1000)*100</f>
        <v>19.7862875</v>
      </c>
    </row>
    <row r="57" spans="1:6">
      <c r="A57" s="587">
        <v>75</v>
      </c>
      <c r="B57" s="588">
        <v>94.800003051757813</v>
      </c>
      <c r="C57" s="70">
        <v>87.900001525878906</v>
      </c>
      <c r="D57" s="70">
        <v>77.5</v>
      </c>
      <c r="E57" s="70">
        <f xml:space="preserve"> (1.00290877095769*B10-L44)/(L43-L44)*100</f>
        <v>50.592041015627274</v>
      </c>
      <c r="F57" s="74">
        <f xml:space="preserve"> 471966.5/(L45*1000)*100</f>
        <v>29.49790625</v>
      </c>
    </row>
    <row r="58" spans="1:6">
      <c r="A58" s="587">
        <v>100</v>
      </c>
      <c r="B58" s="588">
        <v>94.900001525878906</v>
      </c>
      <c r="C58" s="70">
        <v>89.5</v>
      </c>
      <c r="D58" s="70">
        <v>101.40000152587891</v>
      </c>
      <c r="E58" s="70">
        <f xml:space="preserve"> (1*B10-L44)/(L43-L44)*100</f>
        <v>33.333333333333329</v>
      </c>
      <c r="F58" s="74">
        <f xml:space="preserve"> 628755.3/(L45*1000)*100</f>
        <v>39.297206250000002</v>
      </c>
    </row>
    <row r="59" spans="1:6" ht="13.5" thickBot="1">
      <c r="A59" s="589">
        <v>125</v>
      </c>
      <c r="B59" s="590">
        <v>94.700004577636719</v>
      </c>
      <c r="C59" s="591">
        <v>89.800003051757813</v>
      </c>
      <c r="D59" s="591">
        <v>126.56999969482422</v>
      </c>
      <c r="E59" s="591">
        <f xml:space="preserve"> (0.997148218047753*B10-L44)/(L43-L44)*100</f>
        <v>16.412760416667425</v>
      </c>
      <c r="F59" s="83">
        <f xml:space="preserve"> 787458.6/(L45*1000)*100</f>
        <v>49.216162499999996</v>
      </c>
    </row>
    <row r="60" spans="1:6">
      <c r="A60" s="592"/>
      <c r="B60" s="477"/>
      <c r="C60" s="477"/>
    </row>
    <row r="61" spans="1:6" ht="13.5" thickBot="1">
      <c r="A61" s="592"/>
      <c r="B61" s="477"/>
      <c r="C61" s="477"/>
    </row>
    <row r="62" spans="1:6" ht="13.5" thickBot="1">
      <c r="A62" s="704" t="s">
        <v>706</v>
      </c>
      <c r="B62" s="705"/>
      <c r="C62" s="705"/>
      <c r="D62" s="705"/>
      <c r="E62" s="705"/>
      <c r="F62" s="706"/>
    </row>
    <row r="63" spans="1:6" ht="13.5" thickBot="1">
      <c r="A63" s="703" t="s">
        <v>400</v>
      </c>
      <c r="B63" s="703" t="s">
        <v>142</v>
      </c>
      <c r="C63" s="703" t="s">
        <v>120</v>
      </c>
      <c r="D63" s="703" t="s">
        <v>135</v>
      </c>
      <c r="E63" s="703" t="s">
        <v>5</v>
      </c>
      <c r="F63" s="61" t="s">
        <v>594</v>
      </c>
    </row>
    <row r="64" spans="1:6">
      <c r="A64" s="584">
        <v>0</v>
      </c>
      <c r="B64" s="92"/>
      <c r="C64" s="585"/>
      <c r="D64" s="585">
        <v>24.159010302119945</v>
      </c>
      <c r="E64" s="585">
        <v>100</v>
      </c>
      <c r="F64" s="586">
        <v>11.193366529571936</v>
      </c>
    </row>
    <row r="65" spans="1:6">
      <c r="A65" s="587">
        <v>25</v>
      </c>
      <c r="B65" s="588">
        <v>91.343360900878906</v>
      </c>
      <c r="C65" s="70">
        <v>65.726882934570313</v>
      </c>
      <c r="D65" s="70">
        <v>35.849361419677734</v>
      </c>
      <c r="E65" s="70">
        <v>82.489764567712697</v>
      </c>
      <c r="F65" s="74">
        <v>10.202635377193355</v>
      </c>
    </row>
    <row r="66" spans="1:6">
      <c r="A66" s="587">
        <v>50</v>
      </c>
      <c r="B66" s="588">
        <v>94.169670104980469</v>
      </c>
      <c r="C66" s="70">
        <v>82.929000854492188</v>
      </c>
      <c r="D66" s="70">
        <v>55.120609283447266</v>
      </c>
      <c r="E66" s="70">
        <v>66.517820069691894</v>
      </c>
      <c r="F66" s="74">
        <v>19.792851509926518</v>
      </c>
    </row>
    <row r="67" spans="1:6">
      <c r="A67" s="587">
        <v>75</v>
      </c>
      <c r="B67" s="588">
        <v>94.819168090820313</v>
      </c>
      <c r="C67" s="70">
        <v>87.869216918945313</v>
      </c>
      <c r="D67" s="70">
        <v>77.497886657714844</v>
      </c>
      <c r="E67" s="70">
        <v>50.23811173464334</v>
      </c>
      <c r="F67" s="74">
        <v>29.485909297100143</v>
      </c>
    </row>
    <row r="68" spans="1:6">
      <c r="A68" s="587">
        <v>100</v>
      </c>
      <c r="B68" s="588">
        <v>94.889381408691406</v>
      </c>
      <c r="C68" s="70">
        <v>89.480453491210938</v>
      </c>
      <c r="D68" s="70">
        <v>101.39480590820313</v>
      </c>
      <c r="E68" s="70">
        <v>33.282839779222996</v>
      </c>
      <c r="F68" s="74">
        <v>39.285455901226676</v>
      </c>
    </row>
    <row r="69" spans="1:6" ht="13.5" thickBot="1">
      <c r="A69" s="589">
        <v>125</v>
      </c>
      <c r="B69" s="590">
        <v>94.722084045410156</v>
      </c>
      <c r="C69" s="591">
        <v>89.769386291503906</v>
      </c>
      <c r="D69" s="591">
        <v>126.55872344970703</v>
      </c>
      <c r="E69" s="591">
        <v>16.545263774310893</v>
      </c>
      <c r="F69" s="83">
        <v>49.193558966090485</v>
      </c>
    </row>
  </sheetData>
  <mergeCells count="4">
    <mergeCell ref="A4:F4"/>
    <mergeCell ref="B6:D6"/>
    <mergeCell ref="A52:F52"/>
    <mergeCell ref="A62:F62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2021-09-02T14:22:19Z</dcterms:modified>
</cp:coreProperties>
</file>