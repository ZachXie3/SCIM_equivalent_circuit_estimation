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TEAAC\"/>
    </mc:Choice>
  </mc:AlternateContent>
  <bookViews>
    <workbookView xWindow="3165" yWindow="1080" windowWidth="4800" windowHeight="5190" activeTab="1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F54" i="8" l="1"/>
  <c r="E80" i="7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A70" i="7" s="1"/>
  <c r="E68" i="7"/>
  <c r="D66" i="7"/>
  <c r="F50" i="7"/>
  <c r="M28" i="3"/>
  <c r="M52" i="2"/>
  <c r="M41" i="2"/>
  <c r="L41" i="2"/>
  <c r="N41" i="2" s="1"/>
  <c r="M40" i="2"/>
  <c r="L40" i="2"/>
  <c r="M39" i="2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47" i="2"/>
  <c r="M53" i="2" l="1"/>
  <c r="B70" i="7"/>
  <c r="A71" i="7"/>
  <c r="C70" i="7"/>
  <c r="B69" i="7"/>
  <c r="B75" i="7" s="1"/>
  <c r="C69" i="7"/>
  <c r="N40" i="2"/>
  <c r="N39" i="2"/>
  <c r="B71" i="7" l="1"/>
  <c r="A72" i="7"/>
  <c r="C71" i="7"/>
  <c r="A73" i="7" l="1"/>
  <c r="B73" i="7" s="1"/>
  <c r="B72" i="7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<sst xmlns="http://schemas.openxmlformats.org/spreadsheetml/2006/main" count="916" uniqueCount="701">
  <si>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</si>
  <si>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</si>
  <si>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</si>
  <si>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</si>
  <si>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</si>
  <si>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</si>
  <si>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</si>
  <si>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</si>
  <si>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</si>
  <si>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</si>
  <si>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</si>
  <si>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</si>
  <si>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</si>
  <si>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</si>
  <si>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</si>
  <si>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</si>
  <si>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</si>
  <si>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</si>
  <si>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</si>
  <si>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</si>
  <si>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</si>
  <si>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</si>
  <si>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</si>
  <si>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</si>
  <si>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</si>
  <si>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</si>
  <si>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</si>
  <si>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</si>
  <si>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</si>
  <si>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</si>
  <si>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</si>
  <si>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</si>
  <si>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</si>
  <si>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</si>
  <si>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</si>
  <si>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</si>
  <si>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</si>
  <si>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</si>
  <si>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</si>
  <si>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</si>
  <si>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</si>
  <si>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</si>
  <si>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</si>
  <si>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</si>
  <si>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</si>
  <si>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</si>
  <si>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</si>
  <si>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</si>
  <si>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</si>
  <si>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</si>
  <si>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</si>
  <si>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</si>
  <si>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</si>
  <si>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</si>
  <si>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</si>
  <si>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</si>
  <si>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</si>
  <si>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</si>
  <si>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</si>
  <si>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</si>
  <si>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</si>
  <si>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</si>
  <si>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</si>
  <si>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</si>
  <si>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</si>
  <si>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</si>
  <si>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</si>
  <si>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</si>
  <si>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</si>
  <si>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</si>
  <si>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</si>
  <si>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</si>
  <si>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</si>
  <si>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</si>
  <si>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</si>
  <si>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</si>
  <si>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</si>
  <si>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</si>
  <si>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</si>
  <si>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</si>
  <si>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</si>
  <si>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</si>
  <si>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</si>
  <si>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</si>
  <si>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</si>
  <si>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</si>
  <si>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</si>
  <si>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</si>
  <si>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</si>
  <si>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</si>
  <si>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</si>
  <si>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</si>
  <si>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</si>
  <si>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</si>
  <si>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</si>
  <si>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</si>
  <si>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</si>
  <si>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</si>
  <si>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</si>
  <si>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</si>
  <si>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</si>
  <si>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</si>
  <si>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</si>
  <si>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</si>
  <si>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</si>
  <si>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</si>
  <si>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</si>
  <si>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</si>
  <si>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</si>
  <si>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</si>
  <si>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</si>
  <si>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</si>
  <si>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</si>
  <si>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</si>
  <si>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</si>
  <si>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</si>
  <si>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</si>
  <si>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</si>
  <si>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</si>
  <si>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</si>
  <si>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</si>
  <si>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</si>
  <si>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</si>
  <si>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</si>
  <si>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</si>
  <si>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</si>
  <si>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</si>
  <si>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</si>
  <si>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</si>
  <si>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</si>
  <si>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</si>
  <si>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</si>
  <si>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</si>
  <si>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</si>
  <si>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</si>
  <si>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</si>
  <si>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</si>
  <si>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</si>
  <si>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</si>
  <si>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</si>
  <si>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</si>
  <si>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</si>
  <si>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</si>
  <si>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</si>
  <si>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</si>
  <si>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</si>
  <si>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</si>
  <si>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</si>
  <si>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</si>
  <si>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</si>
  <si>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</si>
  <si>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</si>
  <si>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</si>
  <si>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</si>
  <si>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</si>
  <si>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</si>
  <si>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</si>
  <si>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</si>
  <si>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</si>
  <si>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</si>
  <si>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</si>
  <si>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</si>
  <si>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</si>
  <si>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</si>
  <si>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</si>
  <si>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</si>
  <si>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</si>
  <si>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</si>
  <si>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</si>
  <si>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</si>
  <si>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</si>
  <si>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</si>
  <si>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</si>
  <si>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</si>
  <si>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</si>
  <si>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</si>
  <si>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</si>
  <si>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</si>
  <si>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</si>
  <si>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</si>
  <si>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</si>
  <si>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</si>
  <si>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</si>
  <si>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</si>
  <si>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</si>
  <si>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</si>
  <si>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</si>
  <si>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</si>
  <si>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</si>
  <si>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</si>
  <si>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</si>
  <si>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</si>
  <si>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</si>
  <si>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FCK</t>
  </si>
  <si>
    <t>5811/12US</t>
  </si>
  <si>
    <t>Open</t>
  </si>
  <si>
    <t>Dbl - Closed</t>
  </si>
  <si>
    <t>8.79 - 8.79</t>
  </si>
  <si>
    <t>2.83 - 2.00</t>
  </si>
  <si>
    <t>Magnetic</t>
  </si>
  <si>
    <t>12 x 10</t>
  </si>
  <si>
    <t>1 ~ 14</t>
  </si>
  <si>
    <t>(.081"x.182")x2</t>
  </si>
  <si>
    <t>Delta</t>
  </si>
  <si>
    <t>(105°C)</t>
  </si>
  <si>
    <t>CU</t>
  </si>
  <si>
    <t>AL</t>
  </si>
  <si>
    <t>ERD1: 280.0</t>
  </si>
  <si>
    <t>ERD2: 420.0</t>
  </si>
  <si>
    <t>LB:  -</t>
  </si>
  <si>
    <t>LER:  -</t>
  </si>
  <si>
    <t>UB: 400.9</t>
  </si>
  <si>
    <t>UER: 2750.0</t>
  </si>
  <si>
    <t>ERT: 40.0</t>
  </si>
  <si>
    <t>(Coeff.: 0.1965)</t>
  </si>
  <si>
    <t>Skew R.: 0.00</t>
  </si>
  <si>
    <t>G:\DESPRO\RATFILE\1M4900U.rat</t>
  </si>
  <si>
    <t>2-2-2-0-1-2</t>
  </si>
  <si>
    <t>B.L.-1  P.F.-1</t>
  </si>
  <si>
    <t>6694.8 / 7270.0</t>
  </si>
  <si>
    <t>7565.0 / 7830.0</t>
  </si>
  <si>
    <t>11808.5 / 8000.0</t>
  </si>
  <si>
    <t>4000.0 / 3990.0</t>
  </si>
  <si>
    <t>7522.5 / 3800.0</t>
  </si>
  <si>
    <t>1263.8 / 638.4</t>
  </si>
  <si>
    <t>6258.6 / 3161.6</t>
  </si>
  <si>
    <t>1.50 / 0.76</t>
  </si>
  <si>
    <t>75 / 75</t>
  </si>
  <si>
    <t>Temp. Rise @ 100%:</t>
  </si>
  <si>
    <t>Stray Loss</t>
  </si>
  <si>
    <t>0.930 / 0.918</t>
  </si>
  <si>
    <t>0.957 / 0.945</t>
  </si>
  <si>
    <t>0.963 / 0.952</t>
  </si>
  <si>
    <t>0.964 / 0.952</t>
  </si>
  <si>
    <t>0.962 / 0.951</t>
  </si>
  <si>
    <t>0.668 / 0.656</t>
  </si>
  <si>
    <t>0.844 / 0.829</t>
  </si>
  <si>
    <t>0.895 / 0.879</t>
  </si>
  <si>
    <t>0.912 / 0.895</t>
  </si>
  <si>
    <t>0.915 / 0.898</t>
  </si>
  <si>
    <t>39.01 / 40.22</t>
  </si>
  <si>
    <t>59.97 / 61.83</t>
  </si>
  <si>
    <t>84.31 / 86.93</t>
  </si>
  <si>
    <t>110.27 / 113.70</t>
  </si>
  <si>
    <t>137.57 / 141.84</t>
  </si>
  <si>
    <t>3.46 / 3.57</t>
  </si>
  <si>
    <t>UB: 3.71 / 3.83</t>
  </si>
  <si>
    <t>UER: 1.90 / 1.96</t>
  </si>
  <si>
    <t>1795.2 / 1794.6</t>
  </si>
  <si>
    <t>1790.4 / 1789.9</t>
  </si>
  <si>
    <t>1785.6 / 1785.0</t>
  </si>
  <si>
    <t>1780.5 / 1780.0</t>
  </si>
  <si>
    <t>1775.6 / 1775.0</t>
  </si>
  <si>
    <t>0.0027 / 0.0030</t>
  </si>
  <si>
    <t>0.0053 / 0.0056</t>
  </si>
  <si>
    <t>0.0080 / 0.0083</t>
  </si>
  <si>
    <t>0.0108 / 0.0111</t>
  </si>
  <si>
    <t>0.0136 / 0.0139</t>
  </si>
  <si>
    <t>15.200 / 14.999</t>
  </si>
  <si>
    <t>0.626 / 0.618</t>
  </si>
  <si>
    <t>26.35 / 26.00</t>
  </si>
  <si>
    <t>704.3 / 810.0</t>
  </si>
  <si>
    <t>638.7 / 734.5</t>
  </si>
  <si>
    <t>433.2 / 514.2</t>
  </si>
  <si>
    <t>118.0 / 140.0</t>
  </si>
  <si>
    <t>257.3 / 295.0</t>
  </si>
  <si>
    <t>Correlated to: 1M4900U.dat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</si>
  <si>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</si>
  <si>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</si>
  <si>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</si>
  <si>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</si>
  <si>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</si>
  <si>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</si>
  <si>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</si>
  <si>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</si>
  <si>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</si>
  <si>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</si>
  <si>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</si>
  <si>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</si>
  <si>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</si>
  <si>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</si>
  <si>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</si>
  <si>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</si>
  <si>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</si>
  <si>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</si>
  <si>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</si>
  <si>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</si>
  <si>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</si>
  <si>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</si>
  <si>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</si>
  <si>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</si>
  <si>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</si>
  <si>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</si>
  <si>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</si>
  <si>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</si>
  <si>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</si>
  <si>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</si>
  <si>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</si>
  <si>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</si>
  <si>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</si>
  <si>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</si>
  <si>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</si>
  <si>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</si>
  <si>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</si>
  <si>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</si>
  <si>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</si>
  <si>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</si>
  <si>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</si>
  <si>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</si>
  <si>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</si>
  <si>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</si>
  <si>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</si>
  <si>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</si>
  <si>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</si>
  <si>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</si>
  <si>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</si>
  <si>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</si>
  <si>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</si>
  <si>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</si>
  <si>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</si>
  <si>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</si>
  <si>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</si>
  <si>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</si>
  <si>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</si>
  <si>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</si>
  <si>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</si>
  <si>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</si>
  <si>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</si>
  <si>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</si>
  <si>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</si>
  <si>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</si>
  <si>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</si>
  <si>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</si>
  <si>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</si>
  <si>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</si>
  <si>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</si>
  <si>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</si>
  <si>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</si>
  <si>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</si>
  <si>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</si>
  <si>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</si>
  <si>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</si>
  <si>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</si>
  <si>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</si>
  <si>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</si>
  <si>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</si>
  <si>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</si>
  <si>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</si>
  <si>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</si>
  <si>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</si>
  <si>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</si>
  <si>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Z. XIE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</si>
  <si>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</si>
  <si>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</si>
  <si>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</si>
  <si>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</si>
  <si>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</si>
  <si>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</si>
  <si>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</si>
  <si>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</si>
  <si>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</si>
  <si>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</si>
  <si>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</si>
  <si>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</si>
  <si>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</si>
  <si>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</si>
  <si>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</si>
  <si>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</si>
  <si>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</si>
  <si>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</si>
  <si>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</si>
  <si>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</si>
  <si>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</si>
  <si>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</si>
  <si>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</si>
  <si>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</si>
  <si>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</si>
  <si>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</si>
  <si>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</si>
  <si>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</si>
  <si>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1M4900U</t>
  </si>
  <si>
    <t>Type: TIKK - Form: FCK - 4 Pole - 900 HP - 4000 V - 60 Hz - 5811/12US - Class F</t>
  </si>
  <si>
    <t>20 x 2</t>
  </si>
  <si>
    <t>1 x Delta</t>
  </si>
  <si>
    <t xml:space="preserve"> - </t>
  </si>
  <si>
    <t>75 / 99</t>
  </si>
  <si>
    <t>357 / 2537</t>
  </si>
  <si>
    <t>G</t>
  </si>
  <si>
    <t>383 / 196</t>
  </si>
  <si>
    <t>BASE 1M4900</t>
  </si>
  <si>
    <t>REV.0 FIRST ISSUE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</si>
  <si>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</si>
  <si>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</si>
  <si>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</si>
  <si>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</si>
  <si>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</si>
  <si>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</si>
  <si>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</si>
  <si>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</si>
  <si>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</si>
  <si>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524.0 kg.m²</t>
  </si>
  <si>
    <t>Acceleration Data (FV V)</t>
  </si>
  <si>
    <t>7.2 (s)</t>
  </si>
  <si>
    <t>367.3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</si>
  <si>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</si>
  <si>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</si>
  <si>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</si>
  <si>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</si>
  <si>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</si>
  <si>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</si>
  <si>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</si>
  <si>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</si>
  <si>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</si>
  <si>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</si>
  <si>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</si>
  <si>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</si>
  <si>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</si>
  <si>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</si>
  <si>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</si>
  <si>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</si>
  <si>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</si>
  <si>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</si>
  <si>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</si>
  <si>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</si>
  <si>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</si>
  <si>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</si>
  <si>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</si>
  <si>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</si>
  <si>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</si>
  <si>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</si>
  <si>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</si>
  <si>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</si>
  <si>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</si>
  <si>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</si>
  <si>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</si>
  <si>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</si>
  <si>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</si>
  <si>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</si>
  <si>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</si>
  <si>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</si>
  <si>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</si>
  <si>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</si>
  <si>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</si>
  <si>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- 900.0 HP - 1800 RPM - 4000 V - 60 Hz</t>
  </si>
  <si>
    <t>0~180</t>
  </si>
  <si>
    <t>180~360</t>
  </si>
  <si>
    <t>360~540</t>
  </si>
  <si>
    <t>540~720</t>
  </si>
  <si>
    <t>720~900</t>
  </si>
  <si>
    <t>900~1103</t>
  </si>
  <si>
    <t>1103~1305</t>
  </si>
  <si>
    <t>1305~1508</t>
  </si>
  <si>
    <t>1508~1609</t>
  </si>
  <si>
    <t>1609~1710</t>
  </si>
  <si>
    <t>1710~1755</t>
  </si>
  <si>
    <t>1755~1781</t>
  </si>
  <si>
    <t/>
  </si>
  <si>
    <t>Load Type: Fan / Pump - 3108.4 lb-ft²</t>
  </si>
  <si>
    <t>133.6</t>
  </si>
  <si>
    <t>123.2</t>
  </si>
  <si>
    <t>116.6</t>
  </si>
  <si>
    <t>112.8</t>
  </si>
  <si>
    <t>110.7</t>
  </si>
  <si>
    <t>112.4</t>
  </si>
  <si>
    <t>120.4</t>
  </si>
  <si>
    <t>139.9</t>
  </si>
  <si>
    <t>172.7</t>
  </si>
  <si>
    <t>243.3</t>
  </si>
  <si>
    <t>284.5</t>
  </si>
  <si>
    <t>187.0</t>
  </si>
  <si>
    <t>22.5</t>
  </si>
  <si>
    <t>11.5</t>
  </si>
  <si>
    <t>7.0</t>
  </si>
  <si>
    <t>11.0</t>
  </si>
  <si>
    <t>18.7</t>
  </si>
  <si>
    <t>30.3</t>
  </si>
  <si>
    <t>47.8</t>
  </si>
  <si>
    <t>65.3</t>
  </si>
  <si>
    <t>79.7</t>
  </si>
  <si>
    <t>90.4</t>
  </si>
  <si>
    <t>96.4</t>
  </si>
  <si>
    <t>0.680</t>
  </si>
  <si>
    <t>0.676</t>
  </si>
  <si>
    <t>0.689</t>
  </si>
  <si>
    <t>0.714</t>
  </si>
  <si>
    <t>0.758</t>
  </si>
  <si>
    <t>0.907</t>
  </si>
  <si>
    <t>0.944</t>
  </si>
  <si>
    <t>0.922</t>
  </si>
  <si>
    <t>0.396</t>
  </si>
  <si>
    <t>0.260</t>
  </si>
  <si>
    <t>0.097</t>
  </si>
  <si>
    <t>0.119</t>
  </si>
  <si>
    <t>806.9</t>
  </si>
  <si>
    <t>800.3</t>
  </si>
  <si>
    <t>793.0</t>
  </si>
  <si>
    <t>784.8</t>
  </si>
  <si>
    <t>775.2</t>
  </si>
  <si>
    <t>763.6</t>
  </si>
  <si>
    <t>748.2</t>
  </si>
  <si>
    <t>721.8</t>
  </si>
  <si>
    <t>686.1</t>
  </si>
  <si>
    <t>629.5</t>
  </si>
  <si>
    <t>499.2</t>
  </si>
  <si>
    <t>254.8</t>
  </si>
  <si>
    <t>245.7</t>
  </si>
  <si>
    <t>240.6</t>
  </si>
  <si>
    <t>241.0</t>
  </si>
  <si>
    <t>244.8</t>
  </si>
  <si>
    <t>254.2</t>
  </si>
  <si>
    <t>296.1</t>
  </si>
  <si>
    <t>297.8</t>
  </si>
  <si>
    <t>277.3</t>
  </si>
  <si>
    <t>108.1</t>
  </si>
  <si>
    <t>63.8</t>
  </si>
  <si>
    <t>0.8</t>
  </si>
  <si>
    <t>599.0</t>
  </si>
  <si>
    <t>487.4</t>
  </si>
  <si>
    <t>413.3</t>
  </si>
  <si>
    <t>359.0</t>
  </si>
  <si>
    <t>318.5</t>
  </si>
  <si>
    <t>279.0</t>
  </si>
  <si>
    <t>234.6</t>
  </si>
  <si>
    <t>178.7</t>
  </si>
  <si>
    <t>59.1</t>
  </si>
  <si>
    <t>36.1</t>
  </si>
  <si>
    <t>15.5</t>
  </si>
  <si>
    <t>2289 kW / s</t>
  </si>
  <si>
    <t>2663 kW / s</t>
  </si>
  <si>
    <t>428 kW / s</t>
  </si>
  <si>
    <t>28°C</t>
  </si>
  <si>
    <t>110°C</t>
  </si>
  <si>
    <t>27°C</t>
  </si>
  <si>
    <t>56°C</t>
  </si>
  <si>
    <t>220°C</t>
  </si>
  <si>
    <t>54°C</t>
  </si>
  <si>
    <t>Acceleration Time:  7.2 s</t>
  </si>
  <si>
    <t>5.2°C / s</t>
  </si>
  <si>
    <t>33.4°C / s</t>
  </si>
  <si>
    <t>8.1°C / s</t>
  </si>
  <si>
    <t>430.8 kW</t>
  </si>
  <si>
    <t>809.8 kW</t>
  </si>
  <si>
    <t>130.2 kW</t>
  </si>
  <si>
    <t>30.6 s</t>
  </si>
  <si>
    <t>7.8 s</t>
  </si>
  <si>
    <t>22.1 s</t>
  </si>
  <si>
    <t>75°C    +</t>
  </si>
  <si>
    <t>101°C    +</t>
  </si>
  <si>
    <t>85°C    +</t>
  </si>
  <si>
    <t>159°C   +</t>
  </si>
  <si>
    <t>79°C   +</t>
  </si>
  <si>
    <t>16.3 s</t>
  </si>
  <si>
    <t>4.7 s</t>
  </si>
  <si>
    <t>9.7 s</t>
  </si>
  <si>
    <t>10.1 s</t>
  </si>
  <si>
    <t>4.4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</si>
  <si>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</si>
  <si>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</si>
  <si>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</si>
  <si>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</si>
  <si>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</si>
  <si>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</si>
  <si>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</si>
  <si>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</si>
  <si>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</si>
  <si>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</si>
  <si>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</si>
  <si>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</si>
  <si>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</si>
  <si>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</si>
  <si>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</si>
  <si>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</si>
  <si>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</si>
  <si>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</si>
  <si>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</si>
  <si>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</si>
  <si>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</si>
  <si>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321.6 lb-ft²</t>
  </si>
  <si>
    <t>3108.4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</si>
  <si>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</si>
  <si>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</si>
  <si>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</si>
  <si>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</si>
  <si>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</si>
  <si>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</si>
  <si>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</si>
  <si>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</si>
  <si>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</si>
  <si>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</si>
  <si>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</si>
  <si>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</si>
  <si>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</si>
  <si>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</si>
  <si>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</si>
  <si>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</si>
  <si>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</si>
  <si>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</si>
  <si>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</si>
  <si>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</si>
  <si>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</si>
  <si>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</si>
  <si>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</si>
  <si>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</si>
  <si>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</si>
  <si>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</si>
  <si>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</si>
  <si>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</si>
  <si>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</si>
  <si>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</si>
  <si>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</si>
  <si>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</si>
  <si>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</si>
  <si>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</si>
  <si>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</si>
  <si>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</si>
  <si>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</si>
  <si>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</si>
  <si>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</si>
  <si>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</si>
  <si>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</si>
  <si>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</si>
  <si>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</si>
  <si>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</si>
  <si>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</si>
  <si>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</si>
  <si>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</si>
  <si>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</si>
  <si>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</si>
  <si>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</si>
  <si>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</si>
  <si>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</si>
  <si>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</si>
  <si>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</si>
  <si>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</si>
  <si>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</si>
  <si>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</si>
  <si>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</si>
  <si>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</si>
  <si>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</si>
  <si>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</si>
  <si>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</si>
  <si>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</si>
  <si>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</si>
  <si>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</si>
  <si>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</si>
  <si>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</si>
  <si>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</si>
  <si>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</si>
  <si>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</si>
  <si>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</si>
  <si>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</si>
  <si>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</si>
  <si>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</si>
  <si>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</si>
  <si>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</si>
  <si>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</si>
  <si>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</si>
  <si>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</si>
  <si>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</si>
  <si>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</si>
  <si>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</si>
  <si>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</si>
  <si>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</si>
  <si>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</si>
  <si>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</si>
  <si>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</si>
  <si>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</si>
  <si>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</si>
  <si>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</si>
  <si>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</si>
  <si>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</si>
  <si>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</si>
  <si>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</si>
  <si>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</si>
  <si>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</si>
  <si>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</si>
  <si>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</si>
  <si>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</si>
  <si>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</si>
  <si>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</si>
  <si>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</si>
  <si>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</si>
  <si>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</si>
  <si>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</si>
  <si>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</si>
  <si>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</si>
  <si>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</si>
  <si>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</si>
  <si>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</si>
  <si>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</si>
  <si>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</si>
  <si>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</si>
  <si>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</si>
  <si>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</si>
  <si>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</si>
  <si>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GARDNER DENVER NASH</t>
  </si>
  <si>
    <t>2077619.1</t>
  </si>
  <si>
    <t>5812US</t>
  </si>
  <si>
    <t>TEAAC</t>
  </si>
  <si>
    <t>TC-10009285</t>
  </si>
  <si>
    <t>ECKW4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</si>
</sst>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23" fillId="0" borderId="0"/>
    <xf numFmtId="0" fontId="52" fillId="0" borderId="0"/>
    <xf numFmtId="0" fontId="1" fillId="0" borderId="0"/>
    <xf numFmtId="172" fontId="66" fillId="0" borderId="0"/>
  </cellStyleXfs>
  <cellXfs count="67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 applyFill="1"/>
    <xf numFmtId="0" fontId="26" fillId="0" borderId="0" xfId="1" applyFont="1" applyFill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 applyFill="1"/>
    <xf numFmtId="0" fontId="32" fillId="0" borderId="52" xfId="1" applyFont="1" applyFill="1" applyBorder="1"/>
    <xf numFmtId="0" fontId="19" fillId="0" borderId="54" xfId="1" applyFont="1" applyFill="1" applyBorder="1"/>
    <xf numFmtId="0" fontId="32" fillId="0" borderId="54" xfId="1" applyFont="1" applyFill="1" applyBorder="1"/>
    <xf numFmtId="0" fontId="33" fillId="0" borderId="0" xfId="1" applyFont="1" applyFill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Border="1" applyAlignment="1">
      <alignment horizontal="left"/>
    </xf>
    <xf numFmtId="0" fontId="30" fillId="5" borderId="0" xfId="1" applyFont="1" applyFill="1" applyBorder="1"/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Fill="1" applyBorder="1"/>
    <xf numFmtId="0" fontId="19" fillId="0" borderId="21" xfId="1" applyFont="1" applyFill="1" applyBorder="1"/>
    <xf numFmtId="0" fontId="32" fillId="0" borderId="21" xfId="1" applyFont="1" applyFill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Fill="1" applyBorder="1"/>
    <xf numFmtId="0" fontId="32" fillId="0" borderId="24" xfId="1" applyFont="1" applyFill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Fill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Fill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Fill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4" fillId="0" borderId="24" xfId="1" applyFont="1" applyFill="1" applyBorder="1"/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Fill="1" applyBorder="1"/>
    <xf numFmtId="0" fontId="33" fillId="0" borderId="79" xfId="1" applyFont="1" applyFill="1" applyBorder="1"/>
    <xf numFmtId="0" fontId="33" fillId="0" borderId="87" xfId="1" applyFont="1" applyFill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9" fontId="33" fillId="0" borderId="0" xfId="1" applyNumberFormat="1" applyFont="1" applyFill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43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7" fillId="0" borderId="0" xfId="1" quotePrefix="1" applyFont="1" applyFill="1" applyAlignment="1">
      <alignment horizontal="left"/>
    </xf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3" fillId="5" borderId="72" xfId="1" applyFont="1" applyFill="1" applyBorder="1" applyAlignment="1">
      <alignment horizontal="left"/>
    </xf>
    <xf numFmtId="0" fontId="33" fillId="5" borderId="84" xfId="1" applyFont="1" applyFill="1" applyBorder="1" applyAlignment="1">
      <alignment horizontal="left"/>
    </xf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8" fillId="0" borderId="0" xfId="1" applyFont="1" applyFill="1"/>
    <xf numFmtId="0" fontId="36" fillId="0" borderId="116" xfId="1" applyFont="1" applyFill="1" applyBorder="1"/>
    <xf numFmtId="0" fontId="36" fillId="5" borderId="119" xfId="1" applyFont="1" applyFill="1" applyBorder="1"/>
    <xf numFmtId="0" fontId="49" fillId="5" borderId="120" xfId="1" applyFont="1" applyFill="1" applyBorder="1" applyAlignment="1">
      <alignment horizontal="center" shrinkToFit="1"/>
    </xf>
    <xf numFmtId="0" fontId="30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0" fillId="0" borderId="23" xfId="1" applyFont="1" applyFill="1" applyBorder="1"/>
    <xf numFmtId="0" fontId="30" fillId="5" borderId="125" xfId="1" applyFont="1" applyFill="1" applyBorder="1" applyAlignment="1">
      <alignment horizontal="left"/>
    </xf>
    <xf numFmtId="0" fontId="30" fillId="5" borderId="126" xfId="1" applyFont="1" applyFill="1" applyBorder="1" applyAlignment="1">
      <alignment horizontal="left"/>
    </xf>
    <xf numFmtId="0" fontId="30" fillId="0" borderId="0" xfId="1" applyFont="1" applyFill="1"/>
    <xf numFmtId="0" fontId="30" fillId="0" borderId="0" xfId="1" applyFont="1" applyFill="1" applyBorder="1"/>
    <xf numFmtId="0" fontId="52" fillId="0" borderId="6" xfId="2" applyBorder="1"/>
    <xf numFmtId="0" fontId="52" fillId="0" borderId="7" xfId="2" applyBorder="1"/>
    <xf numFmtId="0" fontId="52" fillId="0" borderId="41" xfId="2" applyBorder="1"/>
    <xf numFmtId="0" fontId="52" fillId="0" borderId="41" xfId="2" applyBorder="1" applyAlignment="1">
      <alignment horizontal="center"/>
    </xf>
    <xf numFmtId="0" fontId="53" fillId="0" borderId="41" xfId="2" applyFont="1" applyBorder="1" applyAlignment="1">
      <alignment horizontal="center"/>
    </xf>
    <xf numFmtId="0" fontId="52" fillId="0" borderId="0" xfId="2"/>
    <xf numFmtId="0" fontId="54" fillId="0" borderId="127" xfId="2" applyFont="1" applyBorder="1" applyAlignment="1">
      <alignment horizontal="center"/>
    </xf>
    <xf numFmtId="0" fontId="52" fillId="0" borderId="127" xfId="2" applyBorder="1" applyAlignment="1">
      <alignment horizontal="center"/>
    </xf>
    <xf numFmtId="0" fontId="53" fillId="0" borderId="127" xfId="2" applyFont="1" applyBorder="1" applyAlignment="1">
      <alignment horizontal="center"/>
    </xf>
    <xf numFmtId="0" fontId="54" fillId="0" borderId="45" xfId="2" applyFont="1" applyBorder="1" applyAlignment="1">
      <alignment horizontal="center"/>
    </xf>
    <xf numFmtId="0" fontId="54" fillId="0" borderId="0" xfId="2" applyFont="1" applyBorder="1" applyAlignment="1">
      <alignment horizontal="center"/>
    </xf>
    <xf numFmtId="0" fontId="52" fillId="0" borderId="45" xfId="2" applyBorder="1"/>
    <xf numFmtId="0" fontId="55" fillId="0" borderId="0" xfId="2" applyFont="1"/>
    <xf numFmtId="0" fontId="52" fillId="0" borderId="127" xfId="2" applyBorder="1"/>
    <xf numFmtId="0" fontId="53" fillId="0" borderId="0" xfId="2" applyFont="1"/>
    <xf numFmtId="0" fontId="53" fillId="0" borderId="127" xfId="2" applyFont="1" applyBorder="1"/>
    <xf numFmtId="170" fontId="52" fillId="0" borderId="3" xfId="2" applyNumberFormat="1" applyBorder="1"/>
    <xf numFmtId="49" fontId="52" fillId="0" borderId="1" xfId="2" applyNumberFormat="1" applyBorder="1" applyAlignment="1">
      <alignment horizontal="center"/>
    </xf>
    <xf numFmtId="49" fontId="52" fillId="0" borderId="1" xfId="2" applyNumberFormat="1" applyBorder="1"/>
    <xf numFmtId="49" fontId="53" fillId="0" borderId="1" xfId="2" applyNumberFormat="1" applyFont="1" applyBorder="1"/>
    <xf numFmtId="171" fontId="53" fillId="0" borderId="1" xfId="2" applyNumberFormat="1" applyFont="1" applyBorder="1"/>
    <xf numFmtId="0" fontId="52" fillId="0" borderId="1" xfId="2" applyBorder="1"/>
    <xf numFmtId="0" fontId="52" fillId="0" borderId="9" xfId="2" applyBorder="1"/>
    <xf numFmtId="171" fontId="52" fillId="0" borderId="1" xfId="2" applyNumberFormat="1" applyBorder="1"/>
    <xf numFmtId="0" fontId="52" fillId="0" borderId="1" xfId="2" applyBorder="1" applyAlignment="1">
      <alignment horizontal="center"/>
    </xf>
    <xf numFmtId="170" fontId="52" fillId="0" borderId="18" xfId="2" applyNumberFormat="1" applyBorder="1"/>
    <xf numFmtId="49" fontId="52" fillId="0" borderId="26" xfId="2" applyNumberFormat="1" applyBorder="1"/>
    <xf numFmtId="171" fontId="52" fillId="0" borderId="26" xfId="2" applyNumberFormat="1" applyBorder="1"/>
    <xf numFmtId="0" fontId="52" fillId="0" borderId="26" xfId="2" applyBorder="1"/>
    <xf numFmtId="0" fontId="52" fillId="0" borderId="128" xfId="2" applyBorder="1"/>
    <xf numFmtId="0" fontId="53" fillId="0" borderId="129" xfId="2" applyFont="1" applyBorder="1" applyAlignment="1">
      <alignment horizontal="center"/>
    </xf>
    <xf numFmtId="0" fontId="53" fillId="0" borderId="130" xfId="2" applyFont="1" applyBorder="1" applyAlignment="1">
      <alignment horizontal="center"/>
    </xf>
    <xf numFmtId="49" fontId="53" fillId="0" borderId="2" xfId="2" applyNumberFormat="1" applyFont="1" applyBorder="1" applyAlignment="1">
      <alignment horizontal="center"/>
    </xf>
    <xf numFmtId="0" fontId="52" fillId="0" borderId="55" xfId="2" applyBorder="1" applyAlignment="1">
      <alignment horizontal="left"/>
    </xf>
    <xf numFmtId="49" fontId="52" fillId="0" borderId="3" xfId="2" applyNumberFormat="1" applyBorder="1"/>
    <xf numFmtId="0" fontId="52" fillId="0" borderId="132" xfId="2" applyBorder="1" applyAlignment="1">
      <alignment horizontal="left"/>
    </xf>
    <xf numFmtId="49" fontId="52" fillId="0" borderId="4" xfId="2" applyNumberFormat="1" applyBorder="1"/>
    <xf numFmtId="0" fontId="52" fillId="0" borderId="133" xfId="2" applyBorder="1" applyAlignment="1">
      <alignment horizontal="left"/>
    </xf>
    <xf numFmtId="167" fontId="2" fillId="0" borderId="0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7" fontId="2" fillId="0" borderId="36" xfId="0" applyNumberFormat="1" applyFont="1" applyFill="1" applyBorder="1" applyAlignment="1">
      <alignment horizontal="center"/>
    </xf>
    <xf numFmtId="167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7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7" fontId="2" fillId="0" borderId="0" xfId="0" applyNumberFormat="1" applyFont="1" applyFill="1" applyBorder="1" applyAlignment="1">
      <alignment horizontal="centerContinuous"/>
    </xf>
    <xf numFmtId="167" fontId="2" fillId="0" borderId="0" xfId="0" applyNumberFormat="1" applyFont="1" applyBorder="1" applyAlignment="1">
      <alignment horizontal="centerContinuous"/>
    </xf>
    <xf numFmtId="167" fontId="2" fillId="0" borderId="23" xfId="0" applyNumberFormat="1" applyFont="1" applyFill="1" applyBorder="1" applyAlignment="1">
      <alignment horizontal="centerContinuous"/>
    </xf>
    <xf numFmtId="0" fontId="6" fillId="0" borderId="0" xfId="3" applyFont="1" applyAlignment="1">
      <alignment horizontal="right"/>
    </xf>
    <xf numFmtId="0" fontId="1" fillId="0" borderId="0" xfId="3"/>
    <xf numFmtId="0" fontId="24" fillId="0" borderId="0" xfId="3" applyFont="1"/>
    <xf numFmtId="0" fontId="56" fillId="0" borderId="0" xfId="3" applyFont="1"/>
    <xf numFmtId="0" fontId="57" fillId="0" borderId="26" xfId="3" applyFont="1" applyBorder="1" applyAlignment="1">
      <alignment horizontal="center"/>
    </xf>
    <xf numFmtId="0" fontId="57" fillId="0" borderId="28" xfId="3" applyFont="1" applyBorder="1" applyAlignment="1">
      <alignment horizontal="center"/>
    </xf>
    <xf numFmtId="0" fontId="56" fillId="0" borderId="1" xfId="3" applyFont="1" applyBorder="1" applyAlignment="1">
      <alignment horizontal="center"/>
    </xf>
    <xf numFmtId="0" fontId="57" fillId="0" borderId="1" xfId="3" applyFont="1" applyBorder="1" applyAlignment="1">
      <alignment horizontal="right"/>
    </xf>
    <xf numFmtId="0" fontId="57" fillId="0" borderId="1" xfId="3" applyFont="1" applyBorder="1" applyAlignment="1">
      <alignment horizontal="center"/>
    </xf>
    <xf numFmtId="0" fontId="56" fillId="0" borderId="131" xfId="3" applyFont="1" applyBorder="1" applyAlignment="1">
      <alignment horizontal="center"/>
    </xf>
    <xf numFmtId="0" fontId="56" fillId="0" borderId="132" xfId="3" quotePrefix="1" applyFont="1" applyBorder="1" applyAlignment="1">
      <alignment horizontal="center"/>
    </xf>
    <xf numFmtId="0" fontId="56" fillId="0" borderId="132" xfId="3" applyFont="1" applyBorder="1" applyAlignment="1">
      <alignment horizontal="center"/>
    </xf>
    <xf numFmtId="0" fontId="57" fillId="0" borderId="0" xfId="3" applyFont="1" applyAlignment="1">
      <alignment horizontal="right"/>
    </xf>
    <xf numFmtId="0" fontId="56" fillId="0" borderId="62" xfId="3" applyFont="1" applyBorder="1" applyAlignment="1">
      <alignment horizontal="center"/>
    </xf>
    <xf numFmtId="0" fontId="59" fillId="0" borderId="61" xfId="3" applyFont="1" applyBorder="1"/>
    <xf numFmtId="0" fontId="59" fillId="0" borderId="62" xfId="3" applyFont="1" applyBorder="1"/>
    <xf numFmtId="0" fontId="59" fillId="0" borderId="38" xfId="3" applyFont="1" applyBorder="1"/>
    <xf numFmtId="0" fontId="60" fillId="0" borderId="83" xfId="3" applyFont="1" applyBorder="1" applyAlignment="1">
      <alignment horizontal="centerContinuous"/>
    </xf>
    <xf numFmtId="0" fontId="59" fillId="0" borderId="0" xfId="3" applyFont="1" applyBorder="1" applyAlignment="1">
      <alignment horizontal="centerContinuous"/>
    </xf>
    <xf numFmtId="0" fontId="59" fillId="0" borderId="108" xfId="3" applyFont="1" applyBorder="1" applyAlignment="1">
      <alignment horizontal="centerContinuous"/>
    </xf>
    <xf numFmtId="0" fontId="61" fillId="0" borderId="83" xfId="3" applyFont="1" applyBorder="1" applyAlignment="1">
      <alignment horizontal="centerContinuous"/>
    </xf>
    <xf numFmtId="0" fontId="59" fillId="0" borderId="83" xfId="3" applyFont="1" applyBorder="1"/>
    <xf numFmtId="0" fontId="59" fillId="0" borderId="0" xfId="3" applyFont="1" applyBorder="1"/>
    <xf numFmtId="0" fontId="59" fillId="0" borderId="108" xfId="3" applyFont="1" applyBorder="1"/>
    <xf numFmtId="0" fontId="62" fillId="0" borderId="1" xfId="3" applyFont="1" applyBorder="1" applyAlignment="1">
      <alignment horizontal="right"/>
    </xf>
    <xf numFmtId="0" fontId="59" fillId="0" borderId="1" xfId="3" applyFont="1" applyBorder="1" applyAlignment="1">
      <alignment horizontal="center"/>
    </xf>
    <xf numFmtId="14" fontId="59" fillId="0" borderId="1" xfId="3" applyNumberFormat="1" applyFont="1" applyBorder="1" applyAlignment="1">
      <alignment horizontal="center"/>
    </xf>
    <xf numFmtId="0" fontId="62" fillId="0" borderId="0" xfId="3" applyFont="1" applyBorder="1" applyAlignment="1">
      <alignment horizontal="right"/>
    </xf>
    <xf numFmtId="0" fontId="59" fillId="0" borderId="0" xfId="3" applyFont="1" applyBorder="1" applyAlignment="1">
      <alignment horizontal="center"/>
    </xf>
    <xf numFmtId="9" fontId="59" fillId="0" borderId="0" xfId="3" applyNumberFormat="1" applyFont="1" applyBorder="1" applyAlignment="1">
      <alignment horizontal="center"/>
    </xf>
    <xf numFmtId="0" fontId="62" fillId="0" borderId="83" xfId="3" applyFont="1" applyBorder="1" applyAlignment="1">
      <alignment horizontal="right"/>
    </xf>
    <xf numFmtId="0" fontId="59" fillId="0" borderId="40" xfId="3" applyFont="1" applyBorder="1"/>
    <xf numFmtId="0" fontId="59" fillId="0" borderId="39" xfId="3" applyFont="1" applyBorder="1" applyAlignment="1">
      <alignment horizontal="center"/>
    </xf>
    <xf numFmtId="0" fontId="59" fillId="0" borderId="85" xfId="3" applyFont="1" applyBorder="1"/>
    <xf numFmtId="0" fontId="62" fillId="0" borderId="17" xfId="3" applyFont="1" applyBorder="1" applyAlignment="1">
      <alignment horizontal="right"/>
    </xf>
    <xf numFmtId="0" fontId="59" fillId="0" borderId="132" xfId="3" applyFont="1" applyBorder="1"/>
    <xf numFmtId="167" fontId="3" fillId="0" borderId="0" xfId="3" quotePrefix="1" applyNumberFormat="1" applyFont="1" applyBorder="1" applyAlignment="1">
      <alignment horizontal="center"/>
    </xf>
    <xf numFmtId="167" fontId="2" fillId="0" borderId="0" xfId="3" applyNumberFormat="1" applyFont="1" applyBorder="1" applyAlignment="1">
      <alignment horizontal="center"/>
    </xf>
    <xf numFmtId="167" fontId="3" fillId="0" borderId="0" xfId="3" applyNumberFormat="1" applyFont="1" applyBorder="1" applyAlignment="1">
      <alignment horizontal="center"/>
    </xf>
    <xf numFmtId="167" fontId="3" fillId="0" borderId="0" xfId="0" quotePrefix="1" applyNumberFormat="1" applyFont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0" fontId="64" fillId="0" borderId="0" xfId="3" applyFont="1"/>
    <xf numFmtId="0" fontId="1" fillId="0" borderId="0" xfId="3" applyBorder="1"/>
    <xf numFmtId="0" fontId="65" fillId="0" borderId="0" xfId="3" applyFont="1" applyFill="1" applyBorder="1"/>
    <xf numFmtId="0" fontId="1" fillId="0" borderId="0" xfId="3" applyFont="1" applyFill="1" applyBorder="1"/>
    <xf numFmtId="0" fontId="2" fillId="0" borderId="1" xfId="3" applyFont="1" applyBorder="1" applyAlignment="1">
      <alignment horizontal="center"/>
    </xf>
    <xf numFmtId="1" fontId="2" fillId="5" borderId="1" xfId="3" applyNumberFormat="1" applyFont="1" applyFill="1" applyBorder="1" applyAlignment="1">
      <alignment horizontal="center"/>
    </xf>
    <xf numFmtId="2" fontId="2" fillId="5" borderId="1" xfId="3" applyNumberFormat="1" applyFont="1" applyFill="1" applyBorder="1" applyAlignment="1">
      <alignment horizontal="center"/>
    </xf>
    <xf numFmtId="0" fontId="2" fillId="5" borderId="1" xfId="3" applyFont="1" applyFill="1" applyBorder="1" applyAlignment="1">
      <alignment horizontal="center"/>
    </xf>
    <xf numFmtId="0" fontId="18" fillId="0" borderId="0" xfId="3" applyFont="1"/>
    <xf numFmtId="0" fontId="2" fillId="0" borderId="44" xfId="3" applyFont="1" applyBorder="1" applyAlignment="1">
      <alignment horizontal="center"/>
    </xf>
    <xf numFmtId="0" fontId="2" fillId="0" borderId="54" xfId="3" applyFont="1" applyBorder="1" applyAlignment="1">
      <alignment horizontal="center"/>
    </xf>
    <xf numFmtId="167" fontId="3" fillId="0" borderId="135" xfId="3" quotePrefix="1" applyNumberFormat="1" applyFont="1" applyBorder="1" applyAlignment="1">
      <alignment horizontal="center"/>
    </xf>
    <xf numFmtId="167" fontId="2" fillId="0" borderId="39" xfId="3" applyNumberFormat="1" applyFont="1" applyBorder="1" applyAlignment="1">
      <alignment horizontal="center"/>
    </xf>
    <xf numFmtId="167" fontId="2" fillId="0" borderId="28" xfId="3" applyNumberFormat="1" applyFont="1" applyBorder="1" applyAlignment="1">
      <alignment horizontal="center"/>
    </xf>
    <xf numFmtId="167" fontId="2" fillId="0" borderId="136" xfId="3" applyNumberFormat="1" applyFont="1" applyBorder="1" applyAlignment="1">
      <alignment horizontal="center"/>
    </xf>
    <xf numFmtId="167" fontId="3" fillId="0" borderId="137" xfId="3" quotePrefix="1" applyNumberFormat="1" applyFont="1" applyBorder="1" applyAlignment="1">
      <alignment horizontal="center"/>
    </xf>
    <xf numFmtId="167" fontId="2" fillId="0" borderId="132" xfId="3" applyNumberFormat="1" applyFont="1" applyBorder="1" applyAlignment="1">
      <alignment horizontal="center"/>
    </xf>
    <xf numFmtId="167" fontId="2" fillId="0" borderId="1" xfId="3" applyNumberFormat="1" applyFont="1" applyBorder="1" applyAlignment="1">
      <alignment horizontal="center"/>
    </xf>
    <xf numFmtId="167" fontId="2" fillId="0" borderId="9" xfId="3" applyNumberFormat="1" applyFont="1" applyBorder="1" applyAlignment="1">
      <alignment horizontal="center"/>
    </xf>
    <xf numFmtId="167" fontId="3" fillId="0" borderId="25" xfId="3" quotePrefix="1" applyNumberFormat="1" applyFont="1" applyBorder="1" applyAlignment="1">
      <alignment horizontal="center"/>
    </xf>
    <xf numFmtId="167" fontId="2" fillId="0" borderId="133" xfId="3" applyNumberFormat="1" applyFont="1" applyBorder="1" applyAlignment="1">
      <alignment horizontal="center"/>
    </xf>
    <xf numFmtId="167" fontId="2" fillId="0" borderId="11" xfId="3" applyNumberFormat="1" applyFont="1" applyBorder="1" applyAlignment="1">
      <alignment horizontal="center"/>
    </xf>
    <xf numFmtId="167" fontId="2" fillId="0" borderId="33" xfId="3" applyNumberFormat="1" applyFont="1" applyBorder="1" applyAlignment="1">
      <alignment horizontal="center"/>
    </xf>
    <xf numFmtId="172" fontId="67" fillId="0" borderId="6" xfId="4" applyFont="1" applyBorder="1" applyAlignment="1" applyProtection="1">
      <alignment horizontal="centerContinuous"/>
    </xf>
    <xf numFmtId="172" fontId="67" fillId="0" borderId="7" xfId="4" applyFont="1" applyBorder="1" applyAlignment="1">
      <alignment horizontal="centerContinuous"/>
    </xf>
    <xf numFmtId="172" fontId="68" fillId="0" borderId="12" xfId="4" applyFont="1" applyBorder="1" applyAlignment="1" applyProtection="1">
      <alignment horizontal="left"/>
    </xf>
    <xf numFmtId="172" fontId="69" fillId="0" borderId="55" xfId="4" applyFont="1" applyBorder="1"/>
    <xf numFmtId="172" fontId="68" fillId="0" borderId="13" xfId="4" applyFont="1" applyBorder="1" applyAlignment="1">
      <alignment horizontal="centerContinuous"/>
    </xf>
    <xf numFmtId="172" fontId="69" fillId="0" borderId="14" xfId="4" applyFont="1" applyBorder="1" applyAlignment="1">
      <alignment horizontal="centerContinuous"/>
    </xf>
    <xf numFmtId="172" fontId="70" fillId="0" borderId="0" xfId="4" applyFont="1"/>
    <xf numFmtId="172" fontId="66" fillId="0" borderId="0" xfId="4"/>
    <xf numFmtId="172" fontId="67" fillId="0" borderId="45" xfId="4" applyFont="1" applyBorder="1" applyAlignment="1" applyProtection="1">
      <alignment horizontal="centerContinuous"/>
    </xf>
    <xf numFmtId="172" fontId="67" fillId="0" borderId="0" xfId="4" applyFont="1" applyBorder="1" applyAlignment="1">
      <alignment horizontal="centerContinuous"/>
    </xf>
    <xf numFmtId="172" fontId="68" fillId="0" borderId="109" xfId="4" applyFont="1" applyBorder="1" applyAlignment="1" applyProtection="1">
      <alignment horizontal="left"/>
    </xf>
    <xf numFmtId="172" fontId="69" fillId="0" borderId="39" xfId="4" applyFont="1" applyBorder="1"/>
    <xf numFmtId="172" fontId="68" fillId="0" borderId="40" xfId="4" applyFont="1" applyBorder="1" applyAlignment="1" applyProtection="1">
      <alignment horizontal="centerContinuous"/>
    </xf>
    <xf numFmtId="172" fontId="69" fillId="0" borderId="29" xfId="4" applyFont="1" applyBorder="1" applyAlignment="1">
      <alignment horizontal="centerContinuous"/>
    </xf>
    <xf numFmtId="172" fontId="69" fillId="0" borderId="45" xfId="4" applyFont="1" applyBorder="1" applyAlignment="1">
      <alignment horizontal="centerContinuous"/>
    </xf>
    <xf numFmtId="172" fontId="69" fillId="0" borderId="0" xfId="4" applyFont="1" applyBorder="1" applyAlignment="1">
      <alignment horizontal="centerContinuous"/>
    </xf>
    <xf numFmtId="172" fontId="68" fillId="0" borderId="40" xfId="4" quotePrefix="1" applyFont="1" applyBorder="1" applyAlignment="1">
      <alignment horizontal="centerContinuous"/>
    </xf>
    <xf numFmtId="172" fontId="71" fillId="0" borderId="45" xfId="4" applyFont="1" applyBorder="1" applyAlignment="1" applyProtection="1">
      <alignment horizontal="centerContinuous"/>
    </xf>
    <xf numFmtId="172" fontId="68" fillId="0" borderId="40" xfId="4" quotePrefix="1" applyFont="1" applyBorder="1" applyAlignment="1" applyProtection="1">
      <alignment horizontal="centerContinuous"/>
    </xf>
    <xf numFmtId="172" fontId="70" fillId="0" borderId="45" xfId="4" applyFont="1" applyBorder="1" applyAlignment="1">
      <alignment horizontal="centerContinuous"/>
    </xf>
    <xf numFmtId="172" fontId="68" fillId="0" borderId="40" xfId="4" applyFont="1" applyBorder="1" applyAlignment="1">
      <alignment horizontal="centerContinuous"/>
    </xf>
    <xf numFmtId="172" fontId="70" fillId="0" borderId="46" xfId="4" applyFont="1" applyBorder="1" applyAlignment="1" applyProtection="1">
      <alignment horizontal="centerContinuous"/>
    </xf>
    <xf numFmtId="172" fontId="69" fillId="0" borderId="23" xfId="4" applyFont="1" applyBorder="1" applyAlignment="1">
      <alignment horizontal="centerContinuous"/>
    </xf>
    <xf numFmtId="172" fontId="68" fillId="0" borderId="46" xfId="4" applyFont="1" applyBorder="1" applyAlignment="1" applyProtection="1">
      <alignment horizontal="left"/>
    </xf>
    <xf numFmtId="172" fontId="69" fillId="0" borderId="48" xfId="4" applyFont="1" applyBorder="1"/>
    <xf numFmtId="172" fontId="72" fillId="0" borderId="23" xfId="4" applyFont="1" applyBorder="1" applyAlignment="1">
      <alignment horizontal="centerContinuous"/>
    </xf>
    <xf numFmtId="172" fontId="69" fillId="0" borderId="24" xfId="4" applyFont="1" applyBorder="1" applyAlignment="1">
      <alignment horizontal="centerContinuous"/>
    </xf>
    <xf numFmtId="172" fontId="70" fillId="0" borderId="0" xfId="4" applyFont="1" applyBorder="1" applyAlignment="1" applyProtection="1">
      <alignment horizontal="centerContinuous"/>
    </xf>
    <xf numFmtId="172" fontId="68" fillId="0" borderId="0" xfId="4" applyFont="1" applyBorder="1" applyAlignment="1" applyProtection="1">
      <alignment horizontal="left"/>
    </xf>
    <xf numFmtId="172" fontId="69" fillId="0" borderId="0" xfId="4" applyFont="1" applyBorder="1"/>
    <xf numFmtId="172" fontId="68" fillId="0" borderId="0" xfId="4" applyFont="1" applyBorder="1" applyAlignment="1">
      <alignment horizontal="centerContinuous"/>
    </xf>
    <xf numFmtId="172" fontId="73" fillId="0" borderId="0" xfId="4" applyFont="1"/>
    <xf numFmtId="172" fontId="73" fillId="0" borderId="0" xfId="4" applyFont="1" applyAlignment="1" applyProtection="1">
      <alignment horizontal="right"/>
    </xf>
    <xf numFmtId="172" fontId="73" fillId="0" borderId="0" xfId="4" applyFont="1" applyAlignment="1" applyProtection="1">
      <alignment horizontal="left"/>
      <protection locked="0"/>
    </xf>
    <xf numFmtId="172" fontId="73" fillId="0" borderId="0" xfId="4" applyFont="1" applyBorder="1" applyAlignment="1">
      <alignment horizontal="centerContinuous"/>
    </xf>
    <xf numFmtId="172" fontId="73" fillId="0" borderId="0" xfId="4" applyFont="1" applyBorder="1" applyAlignment="1" applyProtection="1">
      <alignment horizontal="left"/>
    </xf>
    <xf numFmtId="172" fontId="73" fillId="0" borderId="0" xfId="4" applyFont="1" applyBorder="1"/>
    <xf numFmtId="49" fontId="73" fillId="0" borderId="0" xfId="4" quotePrefix="1" applyNumberFormat="1" applyFont="1" applyAlignment="1" applyProtection="1">
      <alignment horizontal="left"/>
      <protection locked="0"/>
    </xf>
    <xf numFmtId="172" fontId="69" fillId="0" borderId="0" xfId="4" applyFont="1"/>
    <xf numFmtId="172" fontId="74" fillId="0" borderId="138" xfId="4" applyFont="1" applyBorder="1" applyAlignment="1" applyProtection="1">
      <alignment horizontal="centerContinuous"/>
    </xf>
    <xf numFmtId="172" fontId="70" fillId="0" borderId="139" xfId="4" applyFont="1" applyBorder="1" applyAlignment="1">
      <alignment horizontal="centerContinuous"/>
    </xf>
    <xf numFmtId="172" fontId="70" fillId="0" borderId="140" xfId="4" applyFont="1" applyBorder="1" applyAlignment="1">
      <alignment horizontal="centerContinuous"/>
    </xf>
    <xf numFmtId="172" fontId="73" fillId="0" borderId="45" xfId="4" applyFont="1" applyBorder="1"/>
    <xf numFmtId="172" fontId="73" fillId="0" borderId="0" xfId="4" applyFont="1" applyBorder="1" applyAlignment="1" applyProtection="1">
      <alignment horizontal="right"/>
    </xf>
    <xf numFmtId="172" fontId="73" fillId="0" borderId="0" xfId="4" applyFont="1" applyBorder="1" applyAlignment="1" applyProtection="1">
      <alignment horizontal="center"/>
      <protection locked="0"/>
    </xf>
    <xf numFmtId="172" fontId="73" fillId="0" borderId="21" xfId="4" applyFont="1" applyBorder="1" applyAlignment="1" applyProtection="1">
      <alignment horizontal="center"/>
      <protection locked="0"/>
    </xf>
    <xf numFmtId="172" fontId="73" fillId="0" borderId="0" xfId="4" applyFont="1" applyBorder="1" applyAlignment="1">
      <alignment horizontal="center"/>
    </xf>
    <xf numFmtId="172" fontId="73" fillId="0" borderId="0" xfId="4" quotePrefix="1" applyFont="1" applyBorder="1" applyAlignment="1" applyProtection="1">
      <alignment horizontal="right"/>
    </xf>
    <xf numFmtId="172" fontId="73" fillId="0" borderId="0" xfId="4" quotePrefix="1" applyFont="1" applyBorder="1" applyAlignment="1" applyProtection="1">
      <alignment horizontal="center"/>
      <protection locked="0"/>
    </xf>
    <xf numFmtId="172" fontId="73" fillId="0" borderId="0" xfId="4" applyFont="1" applyBorder="1" applyAlignment="1" applyProtection="1">
      <alignment horizontal="left"/>
      <protection locked="0"/>
    </xf>
    <xf numFmtId="172" fontId="73" fillId="0" borderId="21" xfId="4" applyFont="1" applyBorder="1"/>
    <xf numFmtId="172" fontId="73" fillId="0" borderId="46" xfId="4" applyFont="1" applyBorder="1"/>
    <xf numFmtId="172" fontId="73" fillId="0" borderId="23" xfId="4" applyFont="1" applyBorder="1" applyAlignment="1" applyProtection="1">
      <alignment horizontal="right"/>
    </xf>
    <xf numFmtId="167" fontId="73" fillId="0" borderId="23" xfId="4" quotePrefix="1" applyNumberFormat="1" applyFont="1" applyBorder="1" applyAlignment="1" applyProtection="1">
      <alignment horizontal="center"/>
      <protection locked="0"/>
    </xf>
    <xf numFmtId="172" fontId="73" fillId="0" borderId="23" xfId="4" applyFont="1" applyBorder="1"/>
    <xf numFmtId="172" fontId="73" fillId="0" borderId="23" xfId="4" applyFont="1" applyBorder="1" applyAlignment="1">
      <alignment horizontal="right"/>
    </xf>
    <xf numFmtId="167" fontId="73" fillId="0" borderId="23" xfId="4" applyNumberFormat="1" applyFont="1" applyBorder="1" applyProtection="1"/>
    <xf numFmtId="172" fontId="73" fillId="0" borderId="24" xfId="4" applyFont="1" applyBorder="1"/>
    <xf numFmtId="172" fontId="75" fillId="0" borderId="45" xfId="4" quotePrefix="1" applyFont="1" applyBorder="1" applyAlignment="1">
      <alignment horizontal="left"/>
    </xf>
    <xf numFmtId="172" fontId="69" fillId="0" borderId="0" xfId="4" quotePrefix="1" applyFont="1" applyBorder="1" applyAlignment="1" applyProtection="1">
      <alignment horizontal="right"/>
    </xf>
    <xf numFmtId="172" fontId="69" fillId="0" borderId="108" xfId="4" applyFont="1" applyBorder="1"/>
    <xf numFmtId="172" fontId="75" fillId="0" borderId="0" xfId="4" applyFont="1" applyBorder="1" applyAlignment="1" applyProtection="1">
      <alignment horizontal="left"/>
    </xf>
    <xf numFmtId="172" fontId="69" fillId="0" borderId="0" xfId="4" applyFont="1" applyBorder="1" applyAlignment="1" applyProtection="1">
      <alignment horizontal="right"/>
    </xf>
    <xf numFmtId="172" fontId="69" fillId="0" borderId="108" xfId="4" applyFont="1" applyBorder="1" applyAlignment="1" applyProtection="1">
      <alignment horizontal="right"/>
    </xf>
    <xf numFmtId="172" fontId="75" fillId="0" borderId="0" xfId="4" quotePrefix="1" applyFont="1" applyBorder="1" applyAlignment="1" applyProtection="1">
      <alignment horizontal="left"/>
    </xf>
    <xf numFmtId="172" fontId="69" fillId="0" borderId="0" xfId="4" applyFont="1" applyBorder="1" applyAlignment="1">
      <alignment horizontal="right"/>
    </xf>
    <xf numFmtId="172" fontId="69" fillId="0" borderId="21" xfId="4" applyFont="1" applyBorder="1"/>
    <xf numFmtId="172" fontId="66" fillId="0" borderId="45" xfId="4" applyBorder="1"/>
    <xf numFmtId="172" fontId="73" fillId="0" borderId="0" xfId="4" applyFont="1" applyBorder="1" applyAlignment="1">
      <alignment horizontal="right"/>
    </xf>
    <xf numFmtId="172" fontId="73" fillId="0" borderId="108" xfId="4" applyFont="1" applyBorder="1" applyAlignment="1" applyProtection="1">
      <alignment horizontal="center"/>
      <protection locked="0"/>
    </xf>
    <xf numFmtId="1" fontId="73" fillId="0" borderId="108" xfId="4" applyNumberFormat="1" applyFont="1" applyBorder="1" applyAlignment="1">
      <alignment horizontal="center"/>
    </xf>
    <xf numFmtId="172" fontId="73" fillId="0" borderId="0" xfId="4" applyFont="1" applyBorder="1" applyAlignment="1">
      <alignment horizontal="left"/>
    </xf>
    <xf numFmtId="172" fontId="73" fillId="0" borderId="108" xfId="4" applyFont="1" applyBorder="1"/>
    <xf numFmtId="172" fontId="73" fillId="0" borderId="48" xfId="4" applyFont="1" applyBorder="1"/>
    <xf numFmtId="172" fontId="73" fillId="0" borderId="48" xfId="4" applyFont="1" applyBorder="1" applyAlignment="1">
      <alignment horizontal="left"/>
    </xf>
    <xf numFmtId="172" fontId="70" fillId="0" borderId="0" xfId="4" applyFont="1" applyBorder="1" applyAlignment="1">
      <alignment horizontal="centerContinuous"/>
    </xf>
    <xf numFmtId="172" fontId="70" fillId="0" borderId="0" xfId="4" applyFont="1" applyBorder="1"/>
    <xf numFmtId="172" fontId="74" fillId="0" borderId="141" xfId="4" applyFont="1" applyBorder="1" applyAlignment="1" applyProtection="1">
      <alignment horizontal="centerContinuous"/>
    </xf>
    <xf numFmtId="172" fontId="70" fillId="0" borderId="142" xfId="4" applyFont="1" applyBorder="1" applyAlignment="1">
      <alignment horizontal="centerContinuous"/>
    </xf>
    <xf numFmtId="172" fontId="66" fillId="0" borderId="143" xfId="4" applyBorder="1"/>
    <xf numFmtId="172" fontId="70" fillId="0" borderId="144" xfId="4" applyFont="1" applyBorder="1" applyAlignment="1">
      <alignment horizontal="centerContinuous"/>
    </xf>
    <xf numFmtId="172" fontId="75" fillId="0" borderId="45" xfId="4" applyFont="1" applyBorder="1" applyAlignment="1">
      <alignment horizontal="left"/>
    </xf>
    <xf numFmtId="172" fontId="66" fillId="0" borderId="108" xfId="4" applyBorder="1"/>
    <xf numFmtId="167" fontId="73" fillId="0" borderId="0" xfId="4" applyNumberFormat="1" applyFont="1" applyBorder="1" applyAlignment="1" applyProtection="1">
      <alignment horizontal="center"/>
      <protection locked="0"/>
    </xf>
    <xf numFmtId="172" fontId="73" fillId="0" borderId="45" xfId="4" applyFont="1" applyBorder="1" applyAlignment="1">
      <alignment horizontal="left"/>
    </xf>
    <xf numFmtId="172" fontId="66" fillId="0" borderId="48" xfId="4" applyBorder="1"/>
    <xf numFmtId="172" fontId="70" fillId="0" borderId="0" xfId="4" applyFont="1" applyBorder="1" applyAlignment="1">
      <alignment horizontal="left"/>
    </xf>
    <xf numFmtId="172" fontId="70" fillId="0" borderId="0" xfId="4" applyFont="1" applyAlignment="1">
      <alignment horizontal="left"/>
    </xf>
    <xf numFmtId="172" fontId="70" fillId="0" borderId="141" xfId="4" applyFont="1" applyBorder="1"/>
    <xf numFmtId="172" fontId="69" fillId="0" borderId="142" xfId="4" applyFont="1" applyBorder="1" applyAlignment="1">
      <alignment horizontal="left"/>
    </xf>
    <xf numFmtId="172" fontId="69" fillId="0" borderId="144" xfId="4" applyFont="1" applyBorder="1" applyAlignment="1">
      <alignment horizontal="left"/>
    </xf>
    <xf numFmtId="172" fontId="73" fillId="0" borderId="45" xfId="4" quotePrefix="1" applyFont="1" applyBorder="1" applyAlignment="1">
      <alignment horizontal="left"/>
    </xf>
    <xf numFmtId="172" fontId="73" fillId="0" borderId="21" xfId="4" applyFont="1" applyBorder="1" applyAlignment="1">
      <alignment horizontal="left"/>
    </xf>
    <xf numFmtId="172" fontId="76" fillId="0" borderId="145" xfId="4" applyFont="1" applyBorder="1"/>
    <xf numFmtId="172" fontId="73" fillId="0" borderId="0" xfId="4" quotePrefix="1" applyFont="1" applyBorder="1" applyAlignment="1" applyProtection="1">
      <alignment horizontal="left"/>
    </xf>
    <xf numFmtId="172" fontId="73" fillId="0" borderId="146" xfId="4" quotePrefix="1" applyFont="1" applyBorder="1" applyAlignment="1" applyProtection="1">
      <alignment horizontal="left"/>
    </xf>
    <xf numFmtId="172" fontId="73" fillId="0" borderId="147" xfId="4" quotePrefix="1" applyFont="1" applyBorder="1" applyAlignment="1">
      <alignment horizontal="left"/>
    </xf>
    <xf numFmtId="172" fontId="73" fillId="0" borderId="46" xfId="4" applyFont="1" applyBorder="1" applyAlignment="1">
      <alignment horizontal="left"/>
    </xf>
    <xf numFmtId="172" fontId="73" fillId="0" borderId="23" xfId="4" applyFont="1" applyBorder="1" applyAlignment="1">
      <alignment horizontal="left"/>
    </xf>
    <xf numFmtId="172" fontId="73" fillId="0" borderId="24" xfId="4" applyFont="1" applyBorder="1" applyAlignment="1">
      <alignment horizontal="left"/>
    </xf>
    <xf numFmtId="172" fontId="69" fillId="0" borderId="0" xfId="4" applyFont="1" applyAlignment="1">
      <alignment horizontal="left"/>
    </xf>
    <xf numFmtId="172" fontId="77" fillId="0" borderId="0" xfId="4" applyFont="1" applyAlignment="1" applyProtection="1">
      <alignment horizontal="right"/>
    </xf>
    <xf numFmtId="172" fontId="66" fillId="0" borderId="0" xfId="4" applyAlignment="1">
      <alignment horizontal="right"/>
    </xf>
    <xf numFmtId="49" fontId="59" fillId="0" borderId="40" xfId="3" applyNumberFormat="1" applyFont="1" applyBorder="1"/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3" fillId="0" borderId="45" xfId="1" applyFont="1" applyFill="1" applyBorder="1" applyAlignment="1">
      <alignment horizontal="center"/>
    </xf>
    <xf numFmtId="0" fontId="33" fillId="0" borderId="0" xfId="1" applyFont="1" applyFill="1" applyBorder="1" applyAlignment="1">
      <alignment horizontal="center"/>
    </xf>
    <xf numFmtId="0" fontId="33" fillId="0" borderId="108" xfId="1" applyFont="1" applyFill="1" applyBorder="1" applyAlignment="1">
      <alignment horizontal="center"/>
    </xf>
    <xf numFmtId="0" fontId="33" fillId="0" borderId="109" xfId="1" applyFont="1" applyFill="1" applyBorder="1" applyAlignment="1">
      <alignment horizontal="center"/>
    </xf>
    <xf numFmtId="0" fontId="33" fillId="0" borderId="40" xfId="1" applyFont="1" applyFill="1" applyBorder="1" applyAlignment="1">
      <alignment horizontal="center"/>
    </xf>
    <xf numFmtId="0" fontId="33" fillId="0" borderId="39" xfId="1" applyFont="1" applyFill="1" applyBorder="1" applyAlignment="1">
      <alignment horizontal="center"/>
    </xf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38" xfId="1" applyFont="1" applyFill="1" applyBorder="1" applyAlignment="1">
      <alignment horizontal="left"/>
    </xf>
    <xf numFmtId="0" fontId="33" fillId="0" borderId="46" xfId="1" applyFont="1" applyFill="1" applyBorder="1" applyAlignment="1">
      <alignment horizontal="center"/>
    </xf>
    <xf numFmtId="0" fontId="33" fillId="0" borderId="23" xfId="1" applyFont="1" applyFill="1" applyBorder="1" applyAlignment="1">
      <alignment horizontal="center"/>
    </xf>
    <xf numFmtId="0" fontId="33" fillId="0" borderId="48" xfId="1" applyFont="1" applyFill="1" applyBorder="1" applyAlignment="1">
      <alignment horizontal="center"/>
    </xf>
    <xf numFmtId="0" fontId="49" fillId="5" borderId="117" xfId="1" applyFont="1" applyFill="1" applyBorder="1" applyAlignment="1">
      <alignment horizontal="center"/>
    </xf>
    <xf numFmtId="0" fontId="49" fillId="5" borderId="118" xfId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3" fillId="0" borderId="107" xfId="1" applyFont="1" applyFill="1" applyBorder="1" applyAlignment="1">
      <alignment horizontal="left"/>
    </xf>
    <xf numFmtId="0" fontId="33" fillId="0" borderId="77" xfId="1" applyFont="1" applyFill="1" applyBorder="1" applyAlignment="1">
      <alignment horizontal="left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8" fillId="0" borderId="80" xfId="1" applyFont="1" applyFill="1" applyBorder="1" applyAlignment="1">
      <alignment horizontal="left"/>
    </xf>
    <xf numFmtId="0" fontId="28" fillId="0" borderId="81" xfId="1" applyFont="1" applyFill="1" applyBorder="1" applyAlignment="1">
      <alignment horizontal="left"/>
    </xf>
    <xf numFmtId="0" fontId="28" fillId="0" borderId="82" xfId="1" applyFont="1" applyFill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167" fontId="38" fillId="0" borderId="65" xfId="1" applyNumberFormat="1" applyFont="1" applyFill="1" applyBorder="1" applyAlignment="1">
      <alignment horizontal="center"/>
    </xf>
    <xf numFmtId="167" fontId="38" fillId="0" borderId="66" xfId="1" applyNumberFormat="1" applyFont="1" applyFill="1" applyBorder="1" applyAlignment="1">
      <alignment horizontal="center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52" fillId="0" borderId="17" xfId="2" applyBorder="1" applyAlignment="1">
      <alignment horizontal="left"/>
    </xf>
    <xf numFmtId="0" fontId="52" fillId="0" borderId="131" xfId="2" applyBorder="1" applyAlignment="1">
      <alignment horizontal="left"/>
    </xf>
    <xf numFmtId="170" fontId="52" fillId="0" borderId="17" xfId="2" applyNumberFormat="1" applyBorder="1" applyAlignment="1">
      <alignment horizontal="center"/>
    </xf>
    <xf numFmtId="170" fontId="52" fillId="0" borderId="131" xfId="2" applyNumberFormat="1" applyBorder="1" applyAlignment="1">
      <alignment horizontal="center"/>
    </xf>
    <xf numFmtId="170" fontId="52" fillId="0" borderId="132" xfId="2" applyNumberFormat="1" applyBorder="1" applyAlignment="1">
      <alignment horizontal="center"/>
    </xf>
    <xf numFmtId="49" fontId="52" fillId="0" borderId="17" xfId="2" applyNumberFormat="1" applyBorder="1" applyAlignment="1">
      <alignment horizontal="center"/>
    </xf>
    <xf numFmtId="49" fontId="52" fillId="0" borderId="131" xfId="2" applyNumberFormat="1" applyBorder="1" applyAlignment="1">
      <alignment horizontal="center"/>
    </xf>
    <xf numFmtId="49" fontId="52" fillId="0" borderId="16" xfId="2" applyNumberFormat="1" applyBorder="1" applyAlignment="1">
      <alignment horizontal="center"/>
    </xf>
    <xf numFmtId="0" fontId="52" fillId="0" borderId="31" xfId="2" applyBorder="1" applyAlignment="1">
      <alignment horizontal="left"/>
    </xf>
    <xf numFmtId="0" fontId="52" fillId="0" borderId="51" xfId="2" applyBorder="1" applyAlignment="1">
      <alignment horizontal="left"/>
    </xf>
    <xf numFmtId="170" fontId="52" fillId="0" borderId="31" xfId="2" applyNumberFormat="1" applyBorder="1" applyAlignment="1">
      <alignment horizontal="center"/>
    </xf>
    <xf numFmtId="170" fontId="52" fillId="0" borderId="51" xfId="2" applyNumberFormat="1" applyBorder="1" applyAlignment="1">
      <alignment horizontal="center"/>
    </xf>
    <xf numFmtId="170" fontId="52" fillId="0" borderId="133" xfId="2" applyNumberFormat="1" applyBorder="1" applyAlignment="1">
      <alignment horizontal="center"/>
    </xf>
    <xf numFmtId="49" fontId="52" fillId="0" borderId="31" xfId="2" applyNumberFormat="1" applyBorder="1" applyAlignment="1">
      <alignment horizontal="center"/>
    </xf>
    <xf numFmtId="49" fontId="52" fillId="0" borderId="51" xfId="2" applyNumberFormat="1" applyBorder="1" applyAlignment="1">
      <alignment horizontal="center"/>
    </xf>
    <xf numFmtId="49" fontId="52" fillId="0" borderId="32" xfId="2" applyNumberFormat="1" applyBorder="1" applyAlignment="1">
      <alignment horizontal="center"/>
    </xf>
    <xf numFmtId="0" fontId="54" fillId="0" borderId="45" xfId="2" applyFont="1" applyBorder="1" applyAlignment="1">
      <alignment horizontal="center"/>
    </xf>
    <xf numFmtId="0" fontId="54" fillId="0" borderId="0" xfId="2" applyFont="1" applyBorder="1" applyAlignment="1">
      <alignment horizontal="center"/>
    </xf>
    <xf numFmtId="0" fontId="54" fillId="0" borderId="53" xfId="2" applyFont="1" applyBorder="1" applyAlignment="1">
      <alignment horizontal="center"/>
    </xf>
    <xf numFmtId="0" fontId="53" fillId="0" borderId="15" xfId="2" applyFont="1" applyBorder="1" applyAlignment="1">
      <alignment horizontal="center"/>
    </xf>
    <xf numFmtId="0" fontId="53" fillId="0" borderId="7" xfId="2" applyFont="1" applyBorder="1" applyAlignment="1">
      <alignment horizontal="center"/>
    </xf>
    <xf numFmtId="0" fontId="53" fillId="0" borderId="130" xfId="2" applyFont="1" applyBorder="1" applyAlignment="1">
      <alignment horizontal="center"/>
    </xf>
    <xf numFmtId="0" fontId="53" fillId="0" borderId="8" xfId="2" applyFont="1" applyBorder="1" applyAlignment="1">
      <alignment horizontal="center"/>
    </xf>
    <xf numFmtId="0" fontId="52" fillId="0" borderId="50" xfId="2" applyBorder="1" applyAlignment="1">
      <alignment horizontal="left"/>
    </xf>
    <xf numFmtId="0" fontId="52" fillId="0" borderId="13" xfId="2" applyBorder="1" applyAlignment="1">
      <alignment horizontal="left"/>
    </xf>
    <xf numFmtId="170" fontId="52" fillId="0" borderId="50" xfId="2" applyNumberFormat="1" applyBorder="1" applyAlignment="1">
      <alignment horizontal="center"/>
    </xf>
    <xf numFmtId="170" fontId="52" fillId="0" borderId="13" xfId="2" applyNumberFormat="1" applyBorder="1" applyAlignment="1">
      <alignment horizontal="center"/>
    </xf>
    <xf numFmtId="170" fontId="52" fillId="0" borderId="55" xfId="2" applyNumberFormat="1" applyBorder="1" applyAlignment="1">
      <alignment horizontal="center"/>
    </xf>
    <xf numFmtId="49" fontId="52" fillId="0" borderId="50" xfId="2" applyNumberFormat="1" applyBorder="1" applyAlignment="1">
      <alignment horizontal="center"/>
    </xf>
    <xf numFmtId="49" fontId="52" fillId="0" borderId="13" xfId="2" applyNumberFormat="1" applyBorder="1" applyAlignment="1">
      <alignment horizontal="center"/>
    </xf>
    <xf numFmtId="49" fontId="52" fillId="0" borderId="14" xfId="2" applyNumberFormat="1" applyBorder="1" applyAlignment="1">
      <alignment horizontal="center"/>
    </xf>
    <xf numFmtId="0" fontId="56" fillId="0" borderId="17" xfId="3" applyFont="1" applyBorder="1" applyAlignment="1">
      <alignment horizontal="right"/>
    </xf>
    <xf numFmtId="0" fontId="56" fillId="0" borderId="131" xfId="3" applyFont="1" applyBorder="1" applyAlignment="1">
      <alignment horizontal="right"/>
    </xf>
    <xf numFmtId="0" fontId="31" fillId="0" borderId="0" xfId="3" applyFont="1" applyAlignment="1">
      <alignment horizontal="center"/>
    </xf>
    <xf numFmtId="0" fontId="57" fillId="0" borderId="0" xfId="3" applyFont="1" applyAlignment="1">
      <alignment horizontal="right"/>
    </xf>
    <xf numFmtId="0" fontId="56" fillId="0" borderId="1" xfId="3" applyFont="1" applyBorder="1" applyAlignment="1">
      <alignment horizontal="center"/>
    </xf>
    <xf numFmtId="0" fontId="31" fillId="0" borderId="17" xfId="3" applyFont="1" applyBorder="1" applyAlignment="1">
      <alignment horizontal="center"/>
    </xf>
    <xf numFmtId="0" fontId="31" fillId="0" borderId="131" xfId="3" applyFont="1" applyBorder="1" applyAlignment="1">
      <alignment horizontal="center"/>
    </xf>
    <xf numFmtId="0" fontId="31" fillId="0" borderId="132" xfId="3" applyFont="1" applyBorder="1" applyAlignment="1">
      <alignment horizontal="center"/>
    </xf>
    <xf numFmtId="0" fontId="57" fillId="0" borderId="1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58" fillId="0" borderId="17" xfId="3" applyFont="1" applyBorder="1" applyAlignment="1">
      <alignment horizontal="center"/>
    </xf>
    <xf numFmtId="172" fontId="78" fillId="0" borderId="148" xfId="4" applyFont="1" applyBorder="1" applyAlignment="1" applyProtection="1">
      <alignment horizontal="center"/>
      <protection locked="0"/>
    </xf>
    <xf numFmtId="14" fontId="23" fillId="0" borderId="148" xfId="4" quotePrefix="1" applyNumberFormat="1" applyFont="1" applyBorder="1" applyAlignment="1" applyProtection="1">
      <alignment horizontal="center"/>
      <protection locked="0"/>
    </xf>
    <xf numFmtId="0" fontId="59" fillId="0" borderId="17" xfId="3" applyFont="1" applyBorder="1" applyAlignment="1">
      <alignment horizontal="center"/>
    </xf>
    <xf numFmtId="0" fontId="59" fillId="0" borderId="131" xfId="3" applyFont="1" applyBorder="1" applyAlignment="1">
      <alignment horizontal="center"/>
    </xf>
    <xf numFmtId="0" fontId="59" fillId="0" borderId="132" xfId="3" applyFont="1" applyBorder="1" applyAlignment="1">
      <alignment horizontal="center"/>
    </xf>
    <xf numFmtId="0" fontId="61" fillId="0" borderId="83" xfId="3" applyFont="1" applyBorder="1" applyAlignment="1">
      <alignment horizontal="center"/>
    </xf>
    <xf numFmtId="0" fontId="61" fillId="0" borderId="0" xfId="3" applyFont="1" applyBorder="1" applyAlignment="1">
      <alignment horizontal="center"/>
    </xf>
    <xf numFmtId="0" fontId="61" fillId="0" borderId="108" xfId="3" applyFont="1" applyBorder="1" applyAlignment="1">
      <alignment horizontal="center"/>
    </xf>
    <xf numFmtId="0" fontId="63" fillId="0" borderId="83" xfId="3" applyFont="1" applyBorder="1" applyAlignment="1">
      <alignment horizontal="center"/>
    </xf>
    <xf numFmtId="0" fontId="63" fillId="0" borderId="0" xfId="3" applyFont="1" applyBorder="1" applyAlignment="1">
      <alignment horizontal="center"/>
    </xf>
    <xf numFmtId="0" fontId="63" fillId="0" borderId="108" xfId="3" applyFont="1" applyBorder="1" applyAlignment="1">
      <alignment horizontal="center"/>
    </xf>
  </cellXfs>
  <cellStyles count="5">
    <cellStyle name="Normal" xfId="0" builtinId="0"/>
    <cellStyle name="Normal 2" xfId="1"/>
    <cellStyle name="Normal 3" xfId="3"/>
    <cellStyle name="Normal 4" xfId="4"/>
    <cellStyle name="Normal_PROJ_REV_HIST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4.999999888241291E-3</c:v>
                </c:pt>
                <c:pt idx="2">
                  <c:v>2.500000037252903E-2</c:v>
                </c:pt>
                <c:pt idx="3" formatCode="0.00">
                  <c:v>5.000000074505806E-2</c:v>
                </c:pt>
                <c:pt idx="4" formatCode="0.00">
                  <c:v>0.10625000298023224</c:v>
                </c:pt>
                <c:pt idx="5" formatCode="0.00">
                  <c:v>0.16250000894069672</c:v>
                </c:pt>
                <c:pt idx="6" formatCode="0.00">
                  <c:v>0.27500000596046448</c:v>
                </c:pt>
                <c:pt idx="7" formatCode="0.00">
                  <c:v>0.38750001788139343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78.699117364433661</c:v>
                </c:pt>
                <c:pt idx="2">
                  <c:v>273.95748341785674</c:v>
                </c:pt>
                <c:pt idx="3">
                  <c:v>295</c:v>
                </c:pt>
                <c:pt idx="4">
                  <c:v>191.56800960698217</c:v>
                </c:pt>
                <c:pt idx="5">
                  <c:v>153.84480211854248</c:v>
                </c:pt>
                <c:pt idx="6">
                  <c:v>126.02320529639243</c:v>
                </c:pt>
                <c:pt idx="7">
                  <c:v>114.7637780199577</c:v>
                </c:pt>
                <c:pt idx="8">
                  <c:v>110</c:v>
                </c:pt>
                <c:pt idx="9">
                  <c:v>111.35214412653107</c:v>
                </c:pt>
                <c:pt idx="10">
                  <c:v>114.15676891501806</c:v>
                </c:pt>
                <c:pt idx="11">
                  <c:v>119.12754510682993</c:v>
                </c:pt>
                <c:pt idx="12">
                  <c:v>127.26000794804422</c:v>
                </c:pt>
                <c:pt idx="13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E6-4B76-9D79-26F77A291DDB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4.999999888241291E-3</c:v>
                </c:pt>
                <c:pt idx="2">
                  <c:v>2.500000037252903E-2</c:v>
                </c:pt>
                <c:pt idx="3" formatCode="0.00">
                  <c:v>5.000000074505806E-2</c:v>
                </c:pt>
                <c:pt idx="4" formatCode="0.00">
                  <c:v>0.10625000298023224</c:v>
                </c:pt>
                <c:pt idx="5" formatCode="0.00">
                  <c:v>0.16250000894069672</c:v>
                </c:pt>
                <c:pt idx="6" formatCode="0.00">
                  <c:v>0.27500000596046448</c:v>
                </c:pt>
                <c:pt idx="7" formatCode="0.00">
                  <c:v>0.38750001788139343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</c:v>
                </c:pt>
                <c:pt idx="2">
                  <c:v>93.875</c:v>
                </c:pt>
                <c:pt idx="3">
                  <c:v>87</c:v>
                </c:pt>
                <c:pt idx="4">
                  <c:v>72.375</c:v>
                </c:pt>
                <c:pt idx="5">
                  <c:v>58.249996185302734</c:v>
                </c:pt>
                <c:pt idx="6">
                  <c:v>37.25</c:v>
                </c:pt>
                <c:pt idx="7">
                  <c:v>23.374998092651367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E6-4B76-9D79-26F77A291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998080"/>
        <c:axId val="22200844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4.999999888241291E-3</c:v>
                </c:pt>
                <c:pt idx="2">
                  <c:v>2.500000037252903E-2</c:v>
                </c:pt>
                <c:pt idx="3" formatCode="0.00">
                  <c:v>5.000000074505806E-2</c:v>
                </c:pt>
                <c:pt idx="4" formatCode="0.00">
                  <c:v>0.10625000298023224</c:v>
                </c:pt>
                <c:pt idx="5" formatCode="0.00">
                  <c:v>0.16250000894069672</c:v>
                </c:pt>
                <c:pt idx="6" formatCode="0.00">
                  <c:v>0.27500000596046448</c:v>
                </c:pt>
                <c:pt idx="7" formatCode="0.00">
                  <c:v>0.38750001788139343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0.23112839460372925</c:v>
                </c:pt>
                <c:pt idx="1">
                  <c:v>89.859474182128906</c:v>
                </c:pt>
                <c:pt idx="2">
                  <c:v>357.1405029296875</c:v>
                </c:pt>
                <c:pt idx="3">
                  <c:v>518.695556640625</c:v>
                </c:pt>
                <c:pt idx="4">
                  <c:v>585.7421875</c:v>
                </c:pt>
                <c:pt idx="5">
                  <c:v>617.94525146484375</c:v>
                </c:pt>
                <c:pt idx="6">
                  <c:v>648.392333984375</c:v>
                </c:pt>
                <c:pt idx="7">
                  <c:v>664.2037353515625</c:v>
                </c:pt>
                <c:pt idx="8">
                  <c:v>675.39447021484375</c:v>
                </c:pt>
                <c:pt idx="9">
                  <c:v>684.61376953125</c:v>
                </c:pt>
                <c:pt idx="10">
                  <c:v>692.2109375</c:v>
                </c:pt>
                <c:pt idx="11">
                  <c:v>698.97607421875</c:v>
                </c:pt>
                <c:pt idx="12">
                  <c:v>705.05291748046875</c:v>
                </c:pt>
                <c:pt idx="13">
                  <c:v>710.52630615234375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E6-4B76-9D79-26F77A291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010368"/>
        <c:axId val="232194816"/>
      </c:scatterChart>
      <c:valAx>
        <c:axId val="22199808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2008448"/>
        <c:crossesAt val="0"/>
        <c:crossBetween val="midCat"/>
        <c:majorUnit val="0.2"/>
        <c:minorUnit val="0.2"/>
      </c:valAx>
      <c:valAx>
        <c:axId val="22200844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1998080"/>
        <c:crosses val="max"/>
        <c:crossBetween val="midCat"/>
        <c:majorUnit val="50"/>
        <c:minorUnit val="50"/>
      </c:valAx>
      <c:valAx>
        <c:axId val="22201036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32194816"/>
        <c:crosses val="autoZero"/>
        <c:crossBetween val="midCat"/>
      </c:valAx>
      <c:valAx>
        <c:axId val="23219481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201036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99.500000011175871</c:v>
                </c:pt>
                <c:pt idx="2">
                  <c:v>97.499999962747097</c:v>
                </c:pt>
                <c:pt idx="3">
                  <c:v>94.999999925494194</c:v>
                </c:pt>
                <c:pt idx="4">
                  <c:v>89.374999701976776</c:v>
                </c:pt>
                <c:pt idx="5">
                  <c:v>83.749999105930328</c:v>
                </c:pt>
                <c:pt idx="6">
                  <c:v>72.499999403953552</c:v>
                </c:pt>
                <c:pt idx="7">
                  <c:v>61.249998211860657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78.699117364433661</c:v>
                </c:pt>
                <c:pt idx="2">
                  <c:v>273.95748341785674</c:v>
                </c:pt>
                <c:pt idx="3">
                  <c:v>295</c:v>
                </c:pt>
                <c:pt idx="4">
                  <c:v>191.56800960698217</c:v>
                </c:pt>
                <c:pt idx="5">
                  <c:v>153.84480211854248</c:v>
                </c:pt>
                <c:pt idx="6">
                  <c:v>126.02320529639243</c:v>
                </c:pt>
                <c:pt idx="7">
                  <c:v>114.7637780199577</c:v>
                </c:pt>
                <c:pt idx="8">
                  <c:v>110</c:v>
                </c:pt>
                <c:pt idx="9">
                  <c:v>111.35214412653107</c:v>
                </c:pt>
                <c:pt idx="10">
                  <c:v>114.15676891501806</c:v>
                </c:pt>
                <c:pt idx="11">
                  <c:v>119.12754510682993</c:v>
                </c:pt>
                <c:pt idx="12">
                  <c:v>127.26000794804422</c:v>
                </c:pt>
                <c:pt idx="13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3D-4C89-936C-4EA38202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571136"/>
        <c:axId val="222670208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99.500000011175871</c:v>
                </c:pt>
                <c:pt idx="2">
                  <c:v>97.499999962747097</c:v>
                </c:pt>
                <c:pt idx="3">
                  <c:v>94.999999925494194</c:v>
                </c:pt>
                <c:pt idx="4">
                  <c:v>89.374999701976776</c:v>
                </c:pt>
                <c:pt idx="5">
                  <c:v>83.749999105930328</c:v>
                </c:pt>
                <c:pt idx="6">
                  <c:v>72.499999403953552</c:v>
                </c:pt>
                <c:pt idx="7">
                  <c:v>61.249998211860657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99</c:v>
                </c:pt>
                <c:pt idx="2">
                  <c:v>93.875</c:v>
                </c:pt>
                <c:pt idx="3">
                  <c:v>87</c:v>
                </c:pt>
                <c:pt idx="4">
                  <c:v>72.375</c:v>
                </c:pt>
                <c:pt idx="5">
                  <c:v>58.249996185302734</c:v>
                </c:pt>
                <c:pt idx="6">
                  <c:v>37.25</c:v>
                </c:pt>
                <c:pt idx="7">
                  <c:v>23.374998092651367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3D-4C89-936C-4EA38202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571136"/>
        <c:axId val="22267020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99.500000011175871</c:v>
                </c:pt>
                <c:pt idx="2">
                  <c:v>97.499999962747097</c:v>
                </c:pt>
                <c:pt idx="3">
                  <c:v>94.999999925494194</c:v>
                </c:pt>
                <c:pt idx="4">
                  <c:v>89.374999701976776</c:v>
                </c:pt>
                <c:pt idx="5">
                  <c:v>83.749999105930328</c:v>
                </c:pt>
                <c:pt idx="6">
                  <c:v>72.499999403953552</c:v>
                </c:pt>
                <c:pt idx="7">
                  <c:v>61.249998211860657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0.23112839460372925</c:v>
                </c:pt>
                <c:pt idx="1">
                  <c:v>89.859474182128906</c:v>
                </c:pt>
                <c:pt idx="2">
                  <c:v>357.1405029296875</c:v>
                </c:pt>
                <c:pt idx="3">
                  <c:v>518.695556640625</c:v>
                </c:pt>
                <c:pt idx="4">
                  <c:v>585.7421875</c:v>
                </c:pt>
                <c:pt idx="5">
                  <c:v>617.94525146484375</c:v>
                </c:pt>
                <c:pt idx="6">
                  <c:v>648.392333984375</c:v>
                </c:pt>
                <c:pt idx="7">
                  <c:v>664.2037353515625</c:v>
                </c:pt>
                <c:pt idx="8">
                  <c:v>675.39447021484375</c:v>
                </c:pt>
                <c:pt idx="9">
                  <c:v>684.61376953125</c:v>
                </c:pt>
                <c:pt idx="10">
                  <c:v>692.2109375</c:v>
                </c:pt>
                <c:pt idx="11">
                  <c:v>698.97607421875</c:v>
                </c:pt>
                <c:pt idx="12">
                  <c:v>705.05291748046875</c:v>
                </c:pt>
                <c:pt idx="13">
                  <c:v>710.52630615234375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3D-4C89-936C-4EA38202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06688"/>
        <c:axId val="222783360"/>
      </c:scatterChart>
      <c:valAx>
        <c:axId val="22257113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2670208"/>
        <c:crosses val="autoZero"/>
        <c:crossBetween val="midCat"/>
        <c:majorUnit val="20"/>
        <c:minorUnit val="20"/>
      </c:valAx>
      <c:valAx>
        <c:axId val="222670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2571136"/>
        <c:crosses val="autoZero"/>
        <c:crossBetween val="midCat"/>
      </c:valAx>
      <c:valAx>
        <c:axId val="22270668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22783360"/>
        <c:crosses val="autoZero"/>
        <c:crossBetween val="midCat"/>
      </c:valAx>
      <c:valAx>
        <c:axId val="222783360"/>
        <c:scaling>
          <c:orientation val="minMax"/>
          <c:max val="10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270668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036835224494282"/>
          <c:w val="0.25090132154533312"/>
          <c:h val="0.1096316477550572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710.52631578947364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14.383044924054827</c:v>
                </c:pt>
                <c:pt idx="1">
                  <c:v>14.818870130640462</c:v>
                </c:pt>
                <c:pt idx="2">
                  <c:v>20.1701287889273</c:v>
                </c:pt>
                <c:pt idx="3">
                  <c:v>29.044985456055315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CF-4A2F-84C7-D4233EA8AD15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710.52631578947364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6.2753241402762283</c:v>
                </c:pt>
                <c:pt idx="1">
                  <c:v>6.4654747276010074</c:v>
                </c:pt>
                <c:pt idx="2">
                  <c:v>8.8002294903458171</c:v>
                </c:pt>
                <c:pt idx="3">
                  <c:v>12.672330466097979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CF-4A2F-84C7-D4233EA8AD15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400</c:v>
                </c:pt>
                <c:pt idx="1">
                  <c:v>300</c:v>
                </c:pt>
                <c:pt idx="2">
                  <c:v>295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36.404281718178616</c:v>
                </c:pt>
                <c:pt idx="3">
                  <c:v>97.780327670509095</c:v>
                </c:pt>
                <c:pt idx="4">
                  <c:v>150.68169400829936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CF-4A2F-84C7-D4233EA8AD15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710.52631578947364</c:v>
                </c:pt>
                <c:pt idx="1">
                  <c:v>707.80701754385962</c:v>
                </c:pt>
                <c:pt idx="2">
                  <c:v>702.01754385964909</c:v>
                </c:pt>
                <c:pt idx="3">
                  <c:v>695.61403508771934</c:v>
                </c:pt>
                <c:pt idx="4">
                  <c:v>688.42105263157896</c:v>
                </c:pt>
                <c:pt idx="5">
                  <c:v>680</c:v>
                </c:pt>
                <c:pt idx="6">
                  <c:v>669.82456140350882</c:v>
                </c:pt>
                <c:pt idx="7">
                  <c:v>656.31578947368416</c:v>
                </c:pt>
                <c:pt idx="8">
                  <c:v>633.15789473684208</c:v>
                </c:pt>
                <c:pt idx="9">
                  <c:v>601.84210526315792</c:v>
                </c:pt>
                <c:pt idx="10">
                  <c:v>552.19298245614038</c:v>
                </c:pt>
                <c:pt idx="11">
                  <c:v>437.89473684210526</c:v>
                </c:pt>
                <c:pt idx="12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0.68000000715255737</c:v>
                </c:pt>
                <c:pt idx="2">
                  <c:v>1.3560000658035278</c:v>
                </c:pt>
                <c:pt idx="3">
                  <c:v>2.0450000762939453</c:v>
                </c:pt>
                <c:pt idx="4">
                  <c:v>2.7590000629425049</c:v>
                </c:pt>
                <c:pt idx="5">
                  <c:v>3.5169999599456787</c:v>
                </c:pt>
                <c:pt idx="6">
                  <c:v>4.4239997863769531</c:v>
                </c:pt>
                <c:pt idx="7">
                  <c:v>5.3679995536804199</c:v>
                </c:pt>
                <c:pt idx="8">
                  <c:v>6.2899994850158691</c:v>
                </c:pt>
                <c:pt idx="9">
                  <c:v>6.6859993934631348</c:v>
                </c:pt>
                <c:pt idx="10">
                  <c:v>6.9459996223449707</c:v>
                </c:pt>
                <c:pt idx="11">
                  <c:v>7.0429997444152832</c:v>
                </c:pt>
                <c:pt idx="12">
                  <c:v>7.1619997024536133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CF-4A2F-84C7-D4233EA8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79072"/>
        <c:axId val="256164992"/>
      </c:scatterChart>
      <c:valAx>
        <c:axId val="25497907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164992"/>
        <c:crossesAt val="0.1"/>
        <c:crossBetween val="midCat"/>
        <c:majorUnit val="100"/>
      </c:valAx>
      <c:valAx>
        <c:axId val="25616499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497907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91.798332214355469</c:v>
                </c:pt>
                <c:pt idx="2">
                  <c:v>94.505462646484375</c:v>
                </c:pt>
                <c:pt idx="3">
                  <c:v>95.130096435546875</c:v>
                </c:pt>
                <c:pt idx="4">
                  <c:v>95.204673767089844</c:v>
                </c:pt>
                <c:pt idx="5">
                  <c:v>95.05267333984375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17-40CB-B1F1-1DFBAE30BA25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65.576080322265625</c:v>
                </c:pt>
                <c:pt idx="1">
                  <c:v>82.859054565429688</c:v>
                </c:pt>
                <c:pt idx="2">
                  <c:v>87.829025268554688</c:v>
                </c:pt>
                <c:pt idx="3">
                  <c:v>89.463432312011719</c:v>
                </c:pt>
                <c:pt idx="4">
                  <c:v>89.780685424804688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17-40CB-B1F1-1DFBAE30BA25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86.556233819975418</c:v>
                </c:pt>
                <c:pt idx="2">
                  <c:v>74.68382364492642</c:v>
                </c:pt>
                <c:pt idx="3">
                  <c:v>62.595725910331851</c:v>
                </c:pt>
                <c:pt idx="4">
                  <c:v>50.039312521637456</c:v>
                </c:pt>
                <c:pt idx="5">
                  <c:v>37.621615722894489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17-40CB-B1F1-1DFBAE30BA25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0.44444444444444442</c:v>
                </c:pt>
                <c:pt idx="1">
                  <c:v>10.151078815813312</c:v>
                </c:pt>
                <c:pt idx="2">
                  <c:v>19.720599163355665</c:v>
                </c:pt>
                <c:pt idx="3">
                  <c:v>29.386663235232028</c:v>
                </c:pt>
                <c:pt idx="4">
                  <c:v>39.151528868068326</c:v>
                </c:pt>
                <c:pt idx="5">
                  <c:v>49.017668272851743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17-40CB-B1F1-1DFBAE30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072768"/>
        <c:axId val="26108313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27.168079857023905</c:v>
                </c:pt>
                <c:pt idx="1">
                  <c:v>40.219009399414063</c:v>
                </c:pt>
                <c:pt idx="2">
                  <c:v>61.836479187011719</c:v>
                </c:pt>
                <c:pt idx="3">
                  <c:v>86.931434631347656</c:v>
                </c:pt>
                <c:pt idx="4">
                  <c:v>113.70191192626953</c:v>
                </c:pt>
                <c:pt idx="5">
                  <c:v>141.85163879394531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17-40CB-B1F1-1DFBAE30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085056"/>
        <c:axId val="261086592"/>
      </c:scatterChart>
      <c:valAx>
        <c:axId val="26107276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083136"/>
        <c:crossesAt val="0"/>
        <c:crossBetween val="midCat"/>
        <c:majorUnit val="25"/>
        <c:minorUnit val="12.5"/>
      </c:valAx>
      <c:valAx>
        <c:axId val="26108313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072768"/>
        <c:crosses val="autoZero"/>
        <c:crossBetween val="midCat"/>
        <c:majorUnit val="10"/>
        <c:minorUnit val="5"/>
      </c:valAx>
      <c:valAx>
        <c:axId val="26108505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61086592"/>
        <c:crosses val="autoZero"/>
        <c:crossBetween val="midCat"/>
      </c:valAx>
      <c:valAx>
        <c:axId val="261086592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085056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/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/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/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12.7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/>
        <xdr:cNvGrpSpPr>
          <a:grpSpLocks/>
        </xdr:cNvGrpSpPr>
      </xdr:nvGrpSpPr>
      <xdr:grpSpPr bwMode="auto">
        <a:xfrm>
          <a:off x="1200150" y="6296025"/>
          <a:ext cx="942975" cy="1076325"/>
          <a:chOff x="126" y="661"/>
          <a:chExt cx="99" cy="113"/>
        </a:xfrm>
      </xdr:grpSpPr>
      <xdr:sp macro="" textlink="">
        <xdr:nvSpPr>
          <xdr:cNvPr id="11" name="Line 298"/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/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/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/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/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/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/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/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/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/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/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/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/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/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/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/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/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/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/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/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/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/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/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/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/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/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2750.0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/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420.0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/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/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/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280.0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/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0.80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/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32.80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/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/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/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12.0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/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14.94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/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25.00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/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11.37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/>
        <xdr:cNvGrpSpPr>
          <a:grpSpLocks/>
        </xdr:cNvGrpSpPr>
      </xdr:nvGrpSpPr>
      <xdr:grpSpPr bwMode="auto">
        <a:xfrm>
          <a:off x="971550" y="9077325"/>
          <a:ext cx="1266825" cy="885825"/>
          <a:chOff x="102" y="929"/>
          <a:chExt cx="133" cy="93"/>
        </a:xfrm>
      </xdr:grpSpPr>
      <xdr:sp macro="" textlink="">
        <xdr:nvSpPr>
          <xdr:cNvPr id="50" name="Line 479"/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/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/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/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/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/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/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/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/>
        <xdr:cNvGrpSpPr>
          <a:grpSpLocks/>
        </xdr:cNvGrpSpPr>
      </xdr:nvGrpSpPr>
      <xdr:grpSpPr bwMode="auto">
        <a:xfrm>
          <a:off x="1190625" y="7562850"/>
          <a:ext cx="828675" cy="1114425"/>
          <a:chOff x="774" y="670"/>
          <a:chExt cx="87" cy="117"/>
        </a:xfrm>
      </xdr:grpSpPr>
      <xdr:grpSp>
        <xdr:nvGrpSpPr>
          <xdr:cNvPr id="89" name="Group 522"/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/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/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/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/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/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/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/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/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/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/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/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/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/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/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/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/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/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/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/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/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/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/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/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/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/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/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/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/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/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/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/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/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0.6958</cdr:x>
      <cdr:y>0.68058</cdr:y>
    </cdr:from>
    <cdr:to>
      <cdr:x>0.93165</cdr:x>
      <cdr:y>0.70127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69309" y="43821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0.68766</cdr:x>
      <cdr:y>0.59266</cdr:y>
    </cdr:from>
    <cdr:to>
      <cdr:x>0.97048</cdr:x>
      <cdr:y>0.61779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21684" y="38160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0.72522</cdr:x>
      <cdr:y>0.76059</cdr:y>
    </cdr:from>
    <cdr:to>
      <cdr:x>0.97066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1359" y="489736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1776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1772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1768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1764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85725</xdr:rowOff>
    </xdr:from>
    <xdr:to>
      <xdr:col>5</xdr:col>
      <xdr:colOff>819150</xdr:colOff>
      <xdr:row>17</xdr:row>
      <xdr:rowOff>38100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24549" y="3981450"/>
          <a:ext cx="46672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838200</xdr:colOff>
      <xdr:row>24</xdr:row>
      <xdr:rowOff>19050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43599" y="5629275"/>
          <a:ext cx="46672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838200</xdr:colOff>
      <xdr:row>22</xdr:row>
      <xdr:rowOff>85725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43599" y="5219700"/>
          <a:ext cx="46672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828675</xdr:colOff>
      <xdr:row>20</xdr:row>
      <xdr:rowOff>152400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34074" y="4810125"/>
          <a:ext cx="46672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828675</xdr:colOff>
      <xdr:row>18</xdr:row>
      <xdr:rowOff>219075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34074" y="4400550"/>
          <a:ext cx="46672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1620</a:t>
          </a:r>
        </a:p>
      </xdr:txBody>
    </xdr:sp>
    <xdr:clientData/>
  </xdr:twoCellAnchor>
  <xdr:twoCellAnchor>
    <xdr:from>
      <xdr:col>2</xdr:col>
      <xdr:colOff>495300</xdr:colOff>
      <xdr:row>17</xdr:row>
      <xdr:rowOff>0</xdr:rowOff>
    </xdr:from>
    <xdr:to>
      <xdr:col>2</xdr:col>
      <xdr:colOff>838200</xdr:colOff>
      <xdr:row>17</xdr:row>
      <xdr:rowOff>142875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2724150" y="41338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523875</xdr:colOff>
      <xdr:row>19</xdr:row>
      <xdr:rowOff>85725</xdr:rowOff>
    </xdr:from>
    <xdr:to>
      <xdr:col>3</xdr:col>
      <xdr:colOff>857250</xdr:colOff>
      <xdr:row>20</xdr:row>
      <xdr:rowOff>19050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867150" y="46958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19050</xdr:colOff>
      <xdr:row>23</xdr:row>
      <xdr:rowOff>38100</xdr:rowOff>
    </xdr:from>
    <xdr:to>
      <xdr:col>3</xdr:col>
      <xdr:colOff>361950</xdr:colOff>
      <xdr:row>23</xdr:row>
      <xdr:rowOff>180975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362325" y="56007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1076325</xdr:colOff>
      <xdr:row>29</xdr:row>
      <xdr:rowOff>19050</xdr:rowOff>
    </xdr:from>
    <xdr:to>
      <xdr:col>2</xdr:col>
      <xdr:colOff>400050</xdr:colOff>
      <xdr:row>29</xdr:row>
      <xdr:rowOff>171450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90750" y="70104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923925</xdr:colOff>
      <xdr:row>30</xdr:row>
      <xdr:rowOff>209550</xdr:rowOff>
    </xdr:from>
    <xdr:to>
      <xdr:col>3</xdr:col>
      <xdr:colOff>314325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52775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113"/>
  <sheetViews>
    <sheetView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168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217</v>
      </c>
    </row>
    <row r="2" spans="1:10" ht="18.75">
      <c r="A2" s="33" t="s">
        <v>174</v>
      </c>
      <c r="B2" s="2"/>
      <c r="C2" s="2"/>
      <c r="D2" s="2"/>
      <c r="E2" s="2"/>
      <c r="F2" s="2"/>
      <c r="G2" s="2"/>
      <c r="H2" s="2"/>
      <c r="I2" s="2"/>
      <c r="J2" s="130" t="s">
        <v>218</v>
      </c>
    </row>
    <row r="3" spans="1:10" ht="15" customHeight="1" thickBot="1">
      <c r="A3" s="49" t="s">
        <v>1</v>
      </c>
      <c r="B3" s="96" t="s">
        <v>216</v>
      </c>
      <c r="C3" s="1"/>
      <c r="D3" s="49"/>
      <c r="E3" s="1"/>
      <c r="F3" s="1"/>
      <c r="G3" s="49" t="s">
        <v>2</v>
      </c>
      <c r="H3" s="171">
        <v>43144</v>
      </c>
      <c r="I3" s="49" t="s">
        <v>3</v>
      </c>
      <c r="J3" s="172">
        <v>0.40402777777777782</v>
      </c>
    </row>
    <row r="4" spans="1:10" ht="15" customHeight="1" thickBot="1">
      <c r="A4" s="12" t="s">
        <v>4</v>
      </c>
      <c r="B4" s="12" t="s">
        <v>172</v>
      </c>
      <c r="C4" s="12" t="s">
        <v>5</v>
      </c>
      <c r="D4" s="12" t="s">
        <v>173</v>
      </c>
      <c r="E4" s="157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900</v>
      </c>
      <c r="C5" s="140">
        <v>1800</v>
      </c>
      <c r="D5" s="50" t="s">
        <v>193</v>
      </c>
      <c r="E5" s="158">
        <v>4000</v>
      </c>
      <c r="F5" s="140">
        <v>60</v>
      </c>
      <c r="G5" s="50">
        <v>105</v>
      </c>
      <c r="H5" s="78" t="s">
        <v>251</v>
      </c>
      <c r="I5" s="77" t="s">
        <v>256</v>
      </c>
      <c r="J5" s="50" t="s">
        <v>194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 t="s">
        <v>267</v>
      </c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22.252929166666664</v>
      </c>
      <c r="J7" s="106" t="s">
        <v>19</v>
      </c>
    </row>
    <row r="8" spans="1:10" ht="15" customHeight="1">
      <c r="A8" s="10" t="s">
        <v>20</v>
      </c>
      <c r="B8" s="69">
        <v>2.0999999046325684</v>
      </c>
      <c r="C8" s="52"/>
      <c r="D8" s="6"/>
      <c r="E8" s="51"/>
      <c r="F8" s="4"/>
      <c r="G8" s="16"/>
      <c r="H8" s="10" t="s">
        <v>21</v>
      </c>
      <c r="I8" s="68">
        <v>30.045024377254787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201</v>
      </c>
      <c r="F9" s="107" t="s">
        <v>25</v>
      </c>
      <c r="G9" s="30"/>
      <c r="H9" s="10" t="s">
        <v>26</v>
      </c>
      <c r="I9" s="69">
        <v>26.148976771960726</v>
      </c>
      <c r="J9" s="104">
        <v>491.10577083028818</v>
      </c>
    </row>
    <row r="10" spans="1:10" ht="15" customHeight="1">
      <c r="A10" s="10" t="s">
        <v>27</v>
      </c>
      <c r="B10" s="69">
        <v>575</v>
      </c>
      <c r="C10" s="73">
        <v>575</v>
      </c>
      <c r="D10" s="6"/>
      <c r="E10" s="51"/>
      <c r="F10" s="116" t="s">
        <v>211</v>
      </c>
      <c r="G10" s="114" t="s">
        <v>212</v>
      </c>
      <c r="H10" s="10" t="s">
        <v>28</v>
      </c>
      <c r="I10" s="68">
        <v>13.46034202175197</v>
      </c>
      <c r="J10" s="103" t="s">
        <v>29</v>
      </c>
    </row>
    <row r="11" spans="1:10" ht="15" customHeight="1" thickBot="1">
      <c r="A11" s="10" t="s">
        <v>30</v>
      </c>
      <c r="B11" s="69">
        <v>670</v>
      </c>
      <c r="C11" s="73">
        <v>420.80000019073486</v>
      </c>
      <c r="D11" s="10" t="s">
        <v>31</v>
      </c>
      <c r="E11" s="68">
        <v>0.86657999999999991</v>
      </c>
      <c r="F11" s="117"/>
      <c r="G11" s="113" t="s">
        <v>213</v>
      </c>
      <c r="H11" s="10" t="s">
        <v>32</v>
      </c>
      <c r="I11" s="68">
        <v>30.045024377254787</v>
      </c>
      <c r="J11" s="104">
        <v>26282.450986295098</v>
      </c>
    </row>
    <row r="12" spans="1:10" ht="15" customHeight="1">
      <c r="A12" s="10" t="s">
        <v>33</v>
      </c>
      <c r="B12" s="69">
        <v>425</v>
      </c>
      <c r="C12" s="73">
        <v>220</v>
      </c>
      <c r="D12" s="10" t="s">
        <v>34</v>
      </c>
      <c r="E12" s="153" t="s">
        <v>175</v>
      </c>
      <c r="F12" s="123"/>
      <c r="G12" s="115" t="s">
        <v>207</v>
      </c>
      <c r="H12" s="10" t="s">
        <v>35</v>
      </c>
      <c r="I12" s="68">
        <v>1.2098288333249432</v>
      </c>
      <c r="J12" s="103" t="s">
        <v>36</v>
      </c>
    </row>
    <row r="13" spans="1:10" ht="15" customHeight="1" thickBot="1">
      <c r="A13" s="10" t="s">
        <v>37</v>
      </c>
      <c r="B13" s="69">
        <v>65.5</v>
      </c>
      <c r="C13" s="73">
        <v>67.600000858306885</v>
      </c>
      <c r="D13" s="10" t="s">
        <v>38</v>
      </c>
      <c r="E13" s="70">
        <v>20</v>
      </c>
      <c r="F13" s="123"/>
      <c r="G13" s="115" t="s">
        <v>208</v>
      </c>
      <c r="H13" s="10" t="s">
        <v>40</v>
      </c>
      <c r="I13" s="68">
        <v>1</v>
      </c>
      <c r="J13" s="104">
        <v>110.27243804931641</v>
      </c>
    </row>
    <row r="14" spans="1:10" ht="15" customHeight="1" thickBot="1">
      <c r="A14" s="162" t="s">
        <v>41</v>
      </c>
      <c r="B14" s="133">
        <v>423.14999389648438</v>
      </c>
      <c r="C14" s="134">
        <v>423.14999389648438</v>
      </c>
      <c r="D14" s="10" t="s">
        <v>42</v>
      </c>
      <c r="E14" s="51" t="s">
        <v>202</v>
      </c>
      <c r="F14" s="51"/>
      <c r="G14" s="115"/>
      <c r="H14" s="49" t="s">
        <v>43</v>
      </c>
      <c r="I14" s="68">
        <v>1.2098288333249432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175</v>
      </c>
      <c r="F15" s="51"/>
      <c r="G15" s="115"/>
      <c r="H15" s="10" t="s">
        <v>47</v>
      </c>
      <c r="I15" s="68">
        <v>0.97811904826498275</v>
      </c>
      <c r="J15" s="104">
        <v>20</v>
      </c>
    </row>
    <row r="16" spans="1:10" ht="15" customHeight="1">
      <c r="A16" s="10" t="s">
        <v>48</v>
      </c>
      <c r="B16" s="51">
        <v>60</v>
      </c>
      <c r="C16" s="52">
        <v>44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4" ht="15" customHeight="1" thickBot="1">
      <c r="A17" s="10" t="s">
        <v>52</v>
      </c>
      <c r="B17" s="51" t="s">
        <v>195</v>
      </c>
      <c r="C17" s="52" t="s">
        <v>196</v>
      </c>
      <c r="D17" s="49" t="s">
        <v>53</v>
      </c>
      <c r="E17" s="51" t="s">
        <v>203</v>
      </c>
      <c r="F17" s="51"/>
      <c r="G17" s="115"/>
      <c r="H17" s="10" t="s">
        <v>54</v>
      </c>
      <c r="I17" s="68">
        <v>0.93557673708121603</v>
      </c>
      <c r="J17" s="104">
        <v>572.21851379879786</v>
      </c>
    </row>
    <row r="18" spans="1:14" ht="15" customHeight="1">
      <c r="A18" s="10" t="s">
        <v>55</v>
      </c>
      <c r="B18" s="51" t="s">
        <v>175</v>
      </c>
      <c r="C18" s="73">
        <v>0</v>
      </c>
      <c r="D18" s="10" t="s">
        <v>56</v>
      </c>
      <c r="E18" s="137">
        <v>1090</v>
      </c>
      <c r="F18" s="70">
        <v>615</v>
      </c>
      <c r="G18" s="74"/>
      <c r="H18" s="13" t="s">
        <v>57</v>
      </c>
      <c r="I18" s="131" t="s">
        <v>214</v>
      </c>
      <c r="J18" s="132"/>
    </row>
    <row r="19" spans="1:14" ht="15" customHeight="1">
      <c r="A19" s="10" t="s">
        <v>58</v>
      </c>
      <c r="B19" s="69">
        <v>57</v>
      </c>
      <c r="C19" s="73">
        <v>32.799999237060547</v>
      </c>
      <c r="D19" s="10" t="s">
        <v>59</v>
      </c>
      <c r="E19" s="70">
        <v>400</v>
      </c>
      <c r="F19" s="51"/>
      <c r="G19" s="52"/>
      <c r="H19" s="143"/>
      <c r="I19" s="4" t="s">
        <v>60</v>
      </c>
      <c r="J19" s="31" t="s">
        <v>61</v>
      </c>
    </row>
    <row r="20" spans="1:14" ht="15" customHeight="1">
      <c r="A20" s="10" t="s">
        <v>62</v>
      </c>
      <c r="B20" s="69" t="s">
        <v>197</v>
      </c>
      <c r="C20" s="73"/>
      <c r="D20" s="10" t="s">
        <v>167</v>
      </c>
      <c r="E20" s="161">
        <v>0.41269209498356402</v>
      </c>
      <c r="F20" s="51"/>
      <c r="G20" s="52"/>
      <c r="H20" s="10" t="s">
        <v>63</v>
      </c>
      <c r="I20" s="68">
        <v>19.86248779296875</v>
      </c>
      <c r="J20" s="72">
        <v>19.86248779296875</v>
      </c>
    </row>
    <row r="21" spans="1:14" ht="15" customHeight="1">
      <c r="A21" s="10" t="s">
        <v>64</v>
      </c>
      <c r="B21" s="69">
        <v>12.699999809265137</v>
      </c>
      <c r="C21" s="73">
        <v>0</v>
      </c>
      <c r="D21" s="10" t="s">
        <v>204</v>
      </c>
      <c r="E21" s="67">
        <v>0.55052638996825143</v>
      </c>
      <c r="F21" s="67">
        <v>0.63827359676361084</v>
      </c>
      <c r="G21" s="71">
        <v>0.10258125176049894</v>
      </c>
      <c r="H21" s="10" t="s">
        <v>65</v>
      </c>
      <c r="I21" s="68">
        <v>19.509286880493164</v>
      </c>
      <c r="J21" s="72">
        <v>8.5083141326904297</v>
      </c>
    </row>
    <row r="22" spans="1:14" ht="15" customHeight="1">
      <c r="A22" s="10" t="s">
        <v>66</v>
      </c>
      <c r="B22" s="69">
        <v>2.8299999237060547</v>
      </c>
      <c r="C22" s="73">
        <v>0.80000001192092896</v>
      </c>
      <c r="D22" s="10" t="s">
        <v>67</v>
      </c>
      <c r="E22" s="51" t="s">
        <v>205</v>
      </c>
      <c r="F22" s="51" t="s">
        <v>206</v>
      </c>
      <c r="G22" s="52" t="s">
        <v>206</v>
      </c>
      <c r="H22" s="10" t="s">
        <v>68</v>
      </c>
      <c r="I22" s="68">
        <v>7.2139072418212891</v>
      </c>
      <c r="J22" s="72">
        <v>4.8554043769836426</v>
      </c>
    </row>
    <row r="23" spans="1:14" ht="15" customHeight="1">
      <c r="A23" s="10" t="s">
        <v>69</v>
      </c>
      <c r="B23" s="69">
        <v>9.5529289245605469</v>
      </c>
      <c r="C23" s="73">
        <v>14</v>
      </c>
      <c r="D23" s="10" t="s">
        <v>70</v>
      </c>
      <c r="E23" s="68">
        <v>1.7419999837875366</v>
      </c>
      <c r="F23" s="68">
        <v>3.25</v>
      </c>
      <c r="G23" s="72">
        <v>3.25</v>
      </c>
      <c r="H23" s="10" t="s">
        <v>71</v>
      </c>
      <c r="I23" s="68">
        <v>12.316831280410714</v>
      </c>
      <c r="J23" s="16" t="s">
        <v>215</v>
      </c>
    </row>
    <row r="24" spans="1:14" ht="15" customHeight="1">
      <c r="A24" s="10" t="s">
        <v>72</v>
      </c>
      <c r="B24" s="69">
        <v>0</v>
      </c>
      <c r="C24" s="73">
        <v>2</v>
      </c>
      <c r="D24" s="10" t="s">
        <v>73</v>
      </c>
      <c r="E24" s="68">
        <v>8.8900003433227539</v>
      </c>
      <c r="F24" s="68">
        <v>2.6700000762939453</v>
      </c>
      <c r="G24" s="72">
        <v>2.6700000762939453</v>
      </c>
      <c r="H24" s="10" t="s">
        <v>74</v>
      </c>
      <c r="I24" s="68">
        <v>4.8766038924213726</v>
      </c>
      <c r="J24" s="72">
        <v>3.3576640595404283</v>
      </c>
    </row>
    <row r="25" spans="1:14" ht="15" customHeight="1">
      <c r="A25" s="10" t="s">
        <v>75</v>
      </c>
      <c r="B25" s="51" t="s">
        <v>175</v>
      </c>
      <c r="C25" s="73">
        <v>2</v>
      </c>
      <c r="D25" s="109" t="s">
        <v>76</v>
      </c>
      <c r="E25" s="53"/>
      <c r="F25" s="53"/>
      <c r="G25" s="60"/>
      <c r="H25" s="10" t="s">
        <v>77</v>
      </c>
      <c r="I25" s="68">
        <v>1.2913812398910522</v>
      </c>
      <c r="J25" s="72">
        <v>2.1612570285797119</v>
      </c>
    </row>
    <row r="26" spans="1:14" ht="15" customHeight="1">
      <c r="A26" s="10" t="s">
        <v>78</v>
      </c>
      <c r="B26" s="53" t="s">
        <v>198</v>
      </c>
      <c r="C26" s="60" t="s">
        <v>199</v>
      </c>
      <c r="D26" s="10" t="s">
        <v>79</v>
      </c>
      <c r="E26" s="69">
        <v>214.00208639004694</v>
      </c>
      <c r="F26" s="69">
        <v>27.082303283262974</v>
      </c>
      <c r="G26" s="73">
        <v>17.863181824758762</v>
      </c>
      <c r="H26" s="10" t="s">
        <v>80</v>
      </c>
      <c r="I26" s="68">
        <v>12.535517692565918</v>
      </c>
      <c r="J26" s="72">
        <v>9.5964069366455078</v>
      </c>
    </row>
    <row r="27" spans="1:14" ht="15" customHeight="1" thickBot="1">
      <c r="A27" s="10" t="s">
        <v>81</v>
      </c>
      <c r="B27" s="51" t="s">
        <v>200</v>
      </c>
      <c r="C27" s="52" t="s">
        <v>200</v>
      </c>
      <c r="D27" s="11" t="s">
        <v>82</v>
      </c>
      <c r="E27" s="80" t="s">
        <v>175</v>
      </c>
      <c r="F27" s="80" t="s">
        <v>175</v>
      </c>
      <c r="G27" s="82" t="s">
        <v>175</v>
      </c>
      <c r="H27" s="11" t="s">
        <v>83</v>
      </c>
      <c r="I27" s="79">
        <v>12.601860046386719</v>
      </c>
      <c r="J27" s="81">
        <v>9.8367700576782227</v>
      </c>
    </row>
    <row r="28" spans="1:14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</row>
    <row r="29" spans="1:14" ht="15" customHeight="1">
      <c r="A29" s="7"/>
      <c r="B29" s="34" t="s">
        <v>87</v>
      </c>
      <c r="C29" s="75">
        <v>31.991071522201679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52" t="str">
        <f>RIGHT(F$41,SEARCH("/",F$41,1)-1)</f>
        <v xml:space="preserve"> 1775.0</v>
      </c>
      <c r="N29" t="s">
        <v>187</v>
      </c>
    </row>
    <row r="30" spans="1:14" ht="15" customHeight="1" thickBot="1">
      <c r="A30" s="8"/>
      <c r="B30" s="63" t="s">
        <v>94</v>
      </c>
      <c r="C30" s="76">
        <v>31.997447759527692</v>
      </c>
      <c r="D30" s="10" t="s">
        <v>95</v>
      </c>
      <c r="E30" s="165">
        <v>26.310816250000002</v>
      </c>
      <c r="F30" s="165">
        <v>554.32649200439459</v>
      </c>
      <c r="G30" s="165">
        <v>14.476071714339099</v>
      </c>
      <c r="H30" s="166">
        <v>259.05663814750454</v>
      </c>
      <c r="I30" s="70">
        <v>52635.8268973862</v>
      </c>
      <c r="J30" s="74">
        <v>3400.1616434151601</v>
      </c>
      <c r="M30" s="152" t="str">
        <f>RIGHT(E$41,SEARCH("/",E$41,1)-1)</f>
        <v xml:space="preserve"> 1780.0</v>
      </c>
      <c r="N30" t="s">
        <v>188</v>
      </c>
    </row>
    <row r="31" spans="1:14" ht="15" customHeight="1">
      <c r="A31" s="23" t="s">
        <v>96</v>
      </c>
      <c r="B31" s="144"/>
      <c r="C31" s="27"/>
      <c r="D31" s="10" t="s">
        <v>97</v>
      </c>
      <c r="E31" s="165">
        <v>5.7</v>
      </c>
      <c r="F31" s="165">
        <v>606.34827241820165</v>
      </c>
      <c r="G31" s="165">
        <v>13.234094028850661</v>
      </c>
      <c r="H31" s="166">
        <v>43.773658748271501</v>
      </c>
      <c r="I31" s="70">
        <v>13824.740611134997</v>
      </c>
      <c r="J31" s="74">
        <v>772.26358949814176</v>
      </c>
      <c r="M31" s="152" t="str">
        <f>RIGHT(D$41,SEARCH("/",D$41,1)-1)</f>
        <v xml:space="preserve"> 1785.0</v>
      </c>
      <c r="N31" t="s">
        <v>189</v>
      </c>
    </row>
    <row r="32" spans="1:14" ht="15" customHeight="1">
      <c r="A32" s="6" t="s">
        <v>98</v>
      </c>
      <c r="B32" s="68" t="s">
        <v>258</v>
      </c>
      <c r="C32" s="110"/>
      <c r="D32" s="10" t="s">
        <v>99</v>
      </c>
      <c r="E32" s="165">
        <v>13.948659667411206</v>
      </c>
      <c r="F32" s="165">
        <v>572.098799011898</v>
      </c>
      <c r="G32" s="165">
        <v>14.026371083584026</v>
      </c>
      <c r="H32" s="166">
        <v>121.83100140438073</v>
      </c>
      <c r="I32" s="9" t="s">
        <v>100</v>
      </c>
      <c r="J32" s="74">
        <v>4172.4252329133014</v>
      </c>
      <c r="M32" s="152" t="str">
        <f>RIGHT(C$41,SEARCH("/",C$41,1)-1)</f>
        <v xml:space="preserve"> 1789.9</v>
      </c>
      <c r="N32" t="s">
        <v>190</v>
      </c>
    </row>
    <row r="33" spans="1:15" ht="15" customHeight="1">
      <c r="A33" s="6" t="s">
        <v>101</v>
      </c>
      <c r="B33" s="68" t="s">
        <v>259</v>
      </c>
      <c r="C33" s="111" t="s">
        <v>102</v>
      </c>
      <c r="D33" s="10" t="s">
        <v>97</v>
      </c>
      <c r="E33" s="165">
        <v>3.2799999237060549</v>
      </c>
      <c r="F33" s="165">
        <v>651.65099060058594</v>
      </c>
      <c r="G33" s="165">
        <v>12.31406100375599</v>
      </c>
      <c r="H33" s="166">
        <v>19.961707756690632</v>
      </c>
      <c r="I33" s="9" t="s">
        <v>103</v>
      </c>
      <c r="J33" s="73" t="s">
        <v>226</v>
      </c>
      <c r="M33" s="152" t="str">
        <f>RIGHT(B$41,SEARCH("/",B$41,1)-1)</f>
        <v xml:space="preserve"> 1794.6</v>
      </c>
      <c r="N33" t="s">
        <v>191</v>
      </c>
    </row>
    <row r="34" spans="1:15" ht="15" customHeight="1" thickBot="1">
      <c r="A34" s="17" t="s">
        <v>104</v>
      </c>
      <c r="B34" s="79" t="s">
        <v>260</v>
      </c>
      <c r="C34" s="160">
        <v>8.0244700514136351</v>
      </c>
      <c r="D34" s="11" t="s">
        <v>20</v>
      </c>
      <c r="E34" s="167">
        <v>0.20999999046325685</v>
      </c>
      <c r="F34" s="168">
        <v>1255.3531324352903</v>
      </c>
      <c r="G34" s="168">
        <v>6.3922014006104959</v>
      </c>
      <c r="H34" s="169">
        <v>1068.2188264281949</v>
      </c>
      <c r="I34" s="9" t="s">
        <v>105</v>
      </c>
      <c r="J34" s="73">
        <v>6.0500001907348633</v>
      </c>
    </row>
    <row r="35" spans="1:15" ht="15" customHeight="1">
      <c r="A35" s="13" t="s">
        <v>106</v>
      </c>
      <c r="B35" s="14"/>
      <c r="C35" s="14"/>
      <c r="D35" s="135" t="s">
        <v>228</v>
      </c>
      <c r="E35" s="145" t="s">
        <v>227</v>
      </c>
      <c r="F35" s="15"/>
      <c r="G35" s="26" t="s">
        <v>107</v>
      </c>
      <c r="H35" s="85" t="s">
        <v>221</v>
      </c>
      <c r="I35" s="10" t="s">
        <v>108</v>
      </c>
      <c r="J35" s="74" t="s">
        <v>225</v>
      </c>
    </row>
    <row r="36" spans="1:15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219</v>
      </c>
      <c r="I36" s="10" t="s">
        <v>111</v>
      </c>
      <c r="J36" s="74" t="s">
        <v>224</v>
      </c>
    </row>
    <row r="37" spans="1:15" ht="15" customHeight="1" thickBot="1">
      <c r="A37" s="10" t="s">
        <v>112</v>
      </c>
      <c r="B37" s="173" t="s">
        <v>240</v>
      </c>
      <c r="C37" s="173" t="s">
        <v>241</v>
      </c>
      <c r="D37" s="173" t="s">
        <v>242</v>
      </c>
      <c r="E37" s="173" t="s">
        <v>243</v>
      </c>
      <c r="F37" s="174" t="s">
        <v>244</v>
      </c>
      <c r="G37" s="10" t="s">
        <v>113</v>
      </c>
      <c r="H37" s="74" t="s">
        <v>220</v>
      </c>
      <c r="I37" s="11" t="s">
        <v>114</v>
      </c>
      <c r="J37" s="83" t="s">
        <v>223</v>
      </c>
      <c r="O37" s="150"/>
    </row>
    <row r="38" spans="1:15" ht="15" customHeight="1" thickBot="1">
      <c r="A38" s="10" t="s">
        <v>115</v>
      </c>
      <c r="B38" s="175" t="s">
        <v>230</v>
      </c>
      <c r="C38" s="175" t="s">
        <v>231</v>
      </c>
      <c r="D38" s="175" t="s">
        <v>232</v>
      </c>
      <c r="E38" s="175" t="s">
        <v>233</v>
      </c>
      <c r="F38" s="176" t="s">
        <v>234</v>
      </c>
      <c r="G38" s="17" t="s">
        <v>116</v>
      </c>
      <c r="H38" s="83" t="s">
        <v>222</v>
      </c>
      <c r="I38" s="136" t="s">
        <v>229</v>
      </c>
      <c r="J38" s="84">
        <v>10740</v>
      </c>
      <c r="L38" t="str">
        <f>LEFT(E38,SEARCH("/",E38,1)-1)</f>
        <v xml:space="preserve">0.964 </v>
      </c>
      <c r="M38" t="str">
        <f>RIGHT(E38,SEARCH("/",E38,1)-1)</f>
        <v xml:space="preserve"> 0.952</v>
      </c>
      <c r="N38" s="151">
        <f>M38/L38</f>
        <v>0.98755186721991695</v>
      </c>
      <c r="O38" s="150" t="s">
        <v>178</v>
      </c>
    </row>
    <row r="39" spans="1:15" ht="15" customHeight="1">
      <c r="A39" s="10" t="s">
        <v>117</v>
      </c>
      <c r="B39" s="175" t="s">
        <v>235</v>
      </c>
      <c r="C39" s="175" t="s">
        <v>236</v>
      </c>
      <c r="D39" s="175" t="s">
        <v>237</v>
      </c>
      <c r="E39" s="175" t="s">
        <v>238</v>
      </c>
      <c r="F39" s="176" t="s">
        <v>239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0.912 </v>
      </c>
      <c r="M39" t="str">
        <f>RIGHT(E39,SEARCH("/",E39,1)-1)</f>
        <v xml:space="preserve"> 0.895</v>
      </c>
      <c r="N39" s="151">
        <f>M39/L39</f>
        <v>0.98135964912280704</v>
      </c>
      <c r="O39" s="150" t="s">
        <v>179</v>
      </c>
    </row>
    <row r="40" spans="1:15" ht="15" customHeight="1">
      <c r="A40" s="10" t="s">
        <v>119</v>
      </c>
      <c r="B40" s="177" t="s">
        <v>253</v>
      </c>
      <c r="C40" s="177" t="s">
        <v>254</v>
      </c>
      <c r="D40" s="177" t="s">
        <v>255</v>
      </c>
      <c r="E40" s="177" t="s">
        <v>256</v>
      </c>
      <c r="F40" s="178" t="s">
        <v>257</v>
      </c>
      <c r="G40" s="35" t="s">
        <v>121</v>
      </c>
      <c r="H40" s="91" t="s">
        <v>261</v>
      </c>
      <c r="I40" s="55"/>
      <c r="J40" s="56"/>
      <c r="L40" t="str">
        <f>LEFT(E37,SEARCH("/",E37,1)-1)</f>
        <v xml:space="preserve">110.27 </v>
      </c>
      <c r="M40" t="str">
        <f>RIGHT(E37,SEARCH("/",E37,1)-1)</f>
        <v xml:space="preserve"> 113.70</v>
      </c>
      <c r="N40" s="151">
        <f>M40/L40</f>
        <v>1.0311054683957559</v>
      </c>
      <c r="O40" s="150" t="s">
        <v>177</v>
      </c>
    </row>
    <row r="41" spans="1:15" ht="15" customHeight="1">
      <c r="A41" s="10" t="s">
        <v>5</v>
      </c>
      <c r="B41" s="179" t="s">
        <v>248</v>
      </c>
      <c r="C41" s="179" t="s">
        <v>249</v>
      </c>
      <c r="D41" s="179" t="s">
        <v>250</v>
      </c>
      <c r="E41" s="179" t="s">
        <v>251</v>
      </c>
      <c r="F41" s="180" t="s">
        <v>252</v>
      </c>
      <c r="G41" s="36" t="s">
        <v>122</v>
      </c>
      <c r="H41" s="92" t="s">
        <v>262</v>
      </c>
      <c r="I41" s="57"/>
      <c r="J41" s="58"/>
      <c r="L41" t="str">
        <f>LEFT(E41,SEARCH("/",E41,1)-1)</f>
        <v xml:space="preserve">1780.5 </v>
      </c>
      <c r="M41" t="str">
        <f>RIGHT(E41,SEARCH("/",E41,1)-1)</f>
        <v xml:space="preserve"> 1780.0</v>
      </c>
      <c r="N41" s="151">
        <f>M41/L41</f>
        <v>0.99971918000561644</v>
      </c>
      <c r="O41" s="150" t="s">
        <v>5</v>
      </c>
    </row>
    <row r="42" spans="1:15" ht="15" customHeight="1">
      <c r="A42" s="10" t="s">
        <v>123</v>
      </c>
      <c r="B42" s="175">
        <v>28.596197396049956</v>
      </c>
      <c r="C42" s="175">
        <v>25.738056373340719</v>
      </c>
      <c r="D42" s="175">
        <v>24.317196289410965</v>
      </c>
      <c r="E42" s="175">
        <v>23.489643384102703</v>
      </c>
      <c r="F42" s="176">
        <v>22.900008454479579</v>
      </c>
      <c r="G42" s="35" t="s">
        <v>124</v>
      </c>
      <c r="H42" s="91" t="s">
        <v>263</v>
      </c>
      <c r="I42" s="55"/>
      <c r="J42" s="97">
        <v>0.21971861219622163</v>
      </c>
    </row>
    <row r="43" spans="1:15" ht="15" customHeight="1" thickBot="1">
      <c r="A43" s="11" t="s">
        <v>125</v>
      </c>
      <c r="B43" s="181">
        <v>41.351144504092602</v>
      </c>
      <c r="C43" s="182"/>
      <c r="D43" s="183" t="s">
        <v>266</v>
      </c>
      <c r="E43" s="183"/>
      <c r="F43" s="184"/>
      <c r="G43" s="36" t="s">
        <v>122</v>
      </c>
      <c r="H43" s="92" t="s">
        <v>264</v>
      </c>
      <c r="I43" s="57"/>
      <c r="J43" s="58"/>
    </row>
    <row r="44" spans="1:15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1746.0801103172421</v>
      </c>
      <c r="I44" s="90">
        <v>5.9043544328662309E-2</v>
      </c>
      <c r="J44" s="97">
        <v>0.62057232802293794</v>
      </c>
    </row>
    <row r="45" spans="1:15" ht="15" customHeight="1">
      <c r="A45" s="10" t="s">
        <v>129</v>
      </c>
      <c r="B45" s="68">
        <v>0.26053443551063538</v>
      </c>
      <c r="C45" s="163" t="s">
        <v>130</v>
      </c>
      <c r="D45" s="72">
        <v>8.7370257824659348E-3</v>
      </c>
      <c r="E45" s="10" t="s">
        <v>131</v>
      </c>
      <c r="F45" s="74">
        <v>551.61946638777113</v>
      </c>
      <c r="G45" s="37" t="s">
        <v>122</v>
      </c>
      <c r="H45" s="86" t="s">
        <v>265</v>
      </c>
      <c r="I45" s="59"/>
      <c r="J45" s="60"/>
    </row>
    <row r="46" spans="1:15" ht="15" customHeight="1">
      <c r="A46" s="10" t="s">
        <v>132</v>
      </c>
      <c r="B46" s="68">
        <v>0.18283490836620331</v>
      </c>
      <c r="C46" s="163" t="s">
        <v>133</v>
      </c>
      <c r="D46" s="72">
        <v>1.0805626399815083E-2</v>
      </c>
      <c r="E46" s="10" t="s">
        <v>134</v>
      </c>
      <c r="F46" s="74">
        <v>1011.4504088755393</v>
      </c>
      <c r="G46" s="36" t="s">
        <v>135</v>
      </c>
      <c r="H46" s="94">
        <v>382.13820939873415</v>
      </c>
      <c r="I46" s="57"/>
      <c r="J46" s="58"/>
      <c r="L46" s="146" t="s">
        <v>180</v>
      </c>
      <c r="M46" s="148">
        <f>B5^0.95</f>
        <v>640.51659161243879</v>
      </c>
    </row>
    <row r="47" spans="1:15" ht="15" customHeight="1">
      <c r="A47" s="10" t="s">
        <v>136</v>
      </c>
      <c r="B47" s="68">
        <v>0.44336932897567749</v>
      </c>
      <c r="C47" s="163" t="s">
        <v>137</v>
      </c>
      <c r="D47" s="72">
        <v>5.9577003121376038E-3</v>
      </c>
      <c r="E47" s="10" t="s">
        <v>138</v>
      </c>
      <c r="F47" s="74">
        <v>847.95513694004273</v>
      </c>
      <c r="G47" s="64" t="s">
        <v>139</v>
      </c>
      <c r="H47" s="93">
        <v>1646.1514807383633</v>
      </c>
      <c r="I47" s="90">
        <v>5.5525044304686959E-2</v>
      </c>
      <c r="J47" s="95">
        <v>0.64174526426556466</v>
      </c>
      <c r="L47" s="146" t="s">
        <v>181</v>
      </c>
      <c r="M47" s="148">
        <f>B5^1.5</f>
        <v>26999.999999999996</v>
      </c>
    </row>
    <row r="48" spans="1:15" ht="15" customHeight="1">
      <c r="A48" s="10" t="s">
        <v>140</v>
      </c>
      <c r="B48" s="68">
        <v>9.8650585860013962E-3</v>
      </c>
      <c r="C48" s="163" t="s">
        <v>100</v>
      </c>
      <c r="D48" s="72">
        <v>3.5365410149097443E-2</v>
      </c>
      <c r="E48" s="10" t="s">
        <v>141</v>
      </c>
      <c r="F48" s="74">
        <v>171.76578710028247</v>
      </c>
      <c r="G48" s="65" t="s">
        <v>122</v>
      </c>
      <c r="H48" s="86">
        <v>245.18192148934997</v>
      </c>
      <c r="I48" s="59"/>
      <c r="J48" s="60"/>
      <c r="L48" s="146" t="s">
        <v>182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4" t="s">
        <v>142</v>
      </c>
      <c r="D49" s="81">
        <v>0.96463459730148315</v>
      </c>
      <c r="E49" s="11" t="s">
        <v>143</v>
      </c>
      <c r="F49" s="83">
        <v>372.60717738571179</v>
      </c>
      <c r="G49" s="66" t="s">
        <v>135</v>
      </c>
      <c r="H49" s="94">
        <v>370.24252858802583</v>
      </c>
      <c r="I49" s="57"/>
      <c r="J49" s="61"/>
      <c r="L49" s="146" t="s">
        <v>183</v>
      </c>
      <c r="M49" s="147">
        <f>IF(A5="",0,(7200/(1000*A5))^1.8)</f>
        <v>2.8806500970683282</v>
      </c>
    </row>
    <row r="50" spans="1:13" ht="15" customHeight="1">
      <c r="A50" s="13" t="s">
        <v>144</v>
      </c>
      <c r="B50" s="14"/>
      <c r="C50" s="14"/>
      <c r="D50" s="14"/>
      <c r="E50" s="14"/>
      <c r="F50" s="15"/>
      <c r="G50" s="13" t="s">
        <v>145</v>
      </c>
      <c r="H50" s="14"/>
      <c r="I50" s="41"/>
      <c r="J50" s="27"/>
      <c r="L50" s="146" t="s">
        <v>184</v>
      </c>
      <c r="M50" s="149">
        <f>IF(A5=2,27,24)</f>
        <v>24</v>
      </c>
    </row>
    <row r="51" spans="1:13" ht="15" customHeight="1">
      <c r="A51" s="10" t="s">
        <v>146</v>
      </c>
      <c r="B51" s="51">
        <v>44</v>
      </c>
      <c r="C51" s="9" t="s">
        <v>147</v>
      </c>
      <c r="D51" s="69">
        <v>12</v>
      </c>
      <c r="E51" s="9" t="s">
        <v>148</v>
      </c>
      <c r="F51" s="73">
        <v>14</v>
      </c>
      <c r="G51" s="9" t="s">
        <v>149</v>
      </c>
      <c r="H51" s="67">
        <v>7.1733626031557737E-2</v>
      </c>
      <c r="I51" s="44" t="s">
        <v>150</v>
      </c>
      <c r="J51" s="38"/>
      <c r="L51" s="146" t="s">
        <v>185</v>
      </c>
      <c r="M51" s="149">
        <v>6.8500000000000005E-2</v>
      </c>
    </row>
    <row r="52" spans="1:13" ht="15" customHeight="1">
      <c r="A52" s="10" t="s">
        <v>58</v>
      </c>
      <c r="B52" s="69">
        <v>32.799999237060547</v>
      </c>
      <c r="C52" s="9" t="s">
        <v>151</v>
      </c>
      <c r="D52" s="69">
        <v>2.9999992251396179</v>
      </c>
      <c r="E52" s="9" t="s">
        <v>152</v>
      </c>
      <c r="F52" s="73">
        <v>0</v>
      </c>
      <c r="G52" s="9" t="s">
        <v>169</v>
      </c>
      <c r="H52" s="69">
        <v>80568.051273037723</v>
      </c>
      <c r="I52" s="98" t="s">
        <v>245</v>
      </c>
      <c r="J52" s="62"/>
      <c r="L52" s="146" t="s">
        <v>192</v>
      </c>
      <c r="M52" s="170">
        <f>F5</f>
        <v>60</v>
      </c>
    </row>
    <row r="53" spans="1:13" ht="15" customHeight="1">
      <c r="A53" s="10" t="s">
        <v>64</v>
      </c>
      <c r="B53" s="69">
        <v>0</v>
      </c>
      <c r="C53" s="9" t="s">
        <v>153</v>
      </c>
      <c r="D53" s="69">
        <v>14.944689750671387</v>
      </c>
      <c r="E53" s="9" t="s">
        <v>154</v>
      </c>
      <c r="F53" s="73">
        <v>0</v>
      </c>
      <c r="G53" s="9" t="s">
        <v>170</v>
      </c>
      <c r="H53" s="68">
        <v>54.212310015444658</v>
      </c>
      <c r="I53" s="43" t="s">
        <v>155</v>
      </c>
      <c r="J53" s="38"/>
      <c r="L53" s="146" t="s">
        <v>186</v>
      </c>
      <c r="M53" s="152">
        <f>IF(F5=60,M50*M46/M48-M51*M47/M49,IF(F5&lt;&gt;60,(60/M52)^2*(M50*M46/M48-M51*M47/M49),0))</f>
        <v>3108.443986555877</v>
      </c>
    </row>
    <row r="54" spans="1:13" ht="15" customHeight="1">
      <c r="A54" s="10" t="s">
        <v>66</v>
      </c>
      <c r="B54" s="69">
        <v>0.80000001192092896</v>
      </c>
      <c r="C54" s="9" t="s">
        <v>156</v>
      </c>
      <c r="D54" s="69">
        <v>11.368622526025799</v>
      </c>
      <c r="E54" s="9" t="s">
        <v>154</v>
      </c>
      <c r="F54" s="73">
        <v>14</v>
      </c>
      <c r="G54" s="9" t="s">
        <v>171</v>
      </c>
      <c r="H54" s="70">
        <v>204249.5</v>
      </c>
      <c r="I54" s="99" t="s">
        <v>246</v>
      </c>
      <c r="J54" s="100" t="s">
        <v>209</v>
      </c>
    </row>
    <row r="55" spans="1:13" ht="15" customHeight="1">
      <c r="A55" s="10" t="s">
        <v>157</v>
      </c>
      <c r="B55" s="69">
        <v>12</v>
      </c>
      <c r="C55" s="9" t="s">
        <v>158</v>
      </c>
      <c r="D55" s="69">
        <v>25</v>
      </c>
      <c r="E55" s="9" t="s">
        <v>159</v>
      </c>
      <c r="F55" s="73">
        <v>0</v>
      </c>
      <c r="G55" s="9" t="s">
        <v>160</v>
      </c>
      <c r="H55" s="69">
        <v>1</v>
      </c>
      <c r="I55" s="43" t="s">
        <v>161</v>
      </c>
      <c r="J55" s="38"/>
    </row>
    <row r="56" spans="1:13" ht="15" customHeight="1" thickBot="1">
      <c r="A56" s="11" t="s">
        <v>162</v>
      </c>
      <c r="B56" s="80">
        <v>2</v>
      </c>
      <c r="C56" s="21" t="s">
        <v>163</v>
      </c>
      <c r="D56" s="80">
        <v>17.359586557370665</v>
      </c>
      <c r="E56" s="21" t="s">
        <v>164</v>
      </c>
      <c r="F56" s="82">
        <v>0</v>
      </c>
      <c r="G56" s="21" t="s">
        <v>165</v>
      </c>
      <c r="H56" s="79">
        <v>0.89993499999999993</v>
      </c>
      <c r="I56" s="101" t="s">
        <v>247</v>
      </c>
      <c r="J56" s="61" t="s">
        <v>210</v>
      </c>
    </row>
    <row r="57" spans="1:13" ht="15" customHeight="1">
      <c r="A57" s="23" t="s">
        <v>393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166</v>
      </c>
      <c r="C58" s="16" t="s">
        <v>391</v>
      </c>
      <c r="D58" s="4" t="s">
        <v>119</v>
      </c>
      <c r="E58" s="4" t="s">
        <v>166</v>
      </c>
      <c r="F58" s="16" t="s">
        <v>392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0.23112839460372925</v>
      </c>
      <c r="D59" s="127">
        <v>0.69999998807907104</v>
      </c>
      <c r="E59" s="86">
        <v>114.15676891501806</v>
      </c>
      <c r="F59" s="87">
        <v>692.2109375</v>
      </c>
      <c r="G59" s="121"/>
      <c r="H59" s="45"/>
      <c r="I59" s="45"/>
      <c r="J59" s="46"/>
    </row>
    <row r="60" spans="1:13" ht="15" customHeight="1">
      <c r="A60" s="129">
        <v>4.999999888241291E-3</v>
      </c>
      <c r="B60" s="86">
        <v>78.699117364433661</v>
      </c>
      <c r="C60" s="87">
        <v>89.859474182128906</v>
      </c>
      <c r="D60" s="127">
        <v>0.80000001192092896</v>
      </c>
      <c r="E60" s="86">
        <v>119.12754510682993</v>
      </c>
      <c r="F60" s="87">
        <v>698.97607421875</v>
      </c>
      <c r="G60" s="121"/>
      <c r="H60" s="45"/>
      <c r="I60" s="45"/>
      <c r="J60" s="46"/>
    </row>
    <row r="61" spans="1:13" ht="15" customHeight="1">
      <c r="A61" s="129">
        <v>2.500000037252903E-2</v>
      </c>
      <c r="B61" s="86">
        <v>273.95748341785674</v>
      </c>
      <c r="C61" s="87">
        <v>357.1405029296875</v>
      </c>
      <c r="D61" s="127">
        <v>0.89999997615814209</v>
      </c>
      <c r="E61" s="86">
        <v>127.26000794804422</v>
      </c>
      <c r="F61" s="87">
        <v>705.05291748046875</v>
      </c>
      <c r="G61" s="121"/>
      <c r="H61" s="45"/>
      <c r="I61" s="45"/>
      <c r="J61" s="46"/>
    </row>
    <row r="62" spans="1:13" ht="15" customHeight="1">
      <c r="A62" s="125">
        <v>5.000000074505806E-2</v>
      </c>
      <c r="B62" s="86">
        <v>295</v>
      </c>
      <c r="C62" s="87">
        <v>518.695556640625</v>
      </c>
      <c r="D62" s="128">
        <v>1</v>
      </c>
      <c r="E62" s="86">
        <v>140</v>
      </c>
      <c r="F62" s="87">
        <v>710.52630615234375</v>
      </c>
      <c r="G62" s="121"/>
      <c r="H62" s="45"/>
      <c r="I62" s="45"/>
      <c r="J62" s="46"/>
    </row>
    <row r="63" spans="1:13" ht="15" customHeight="1" thickBot="1">
      <c r="A63" s="125">
        <v>0.10625000298023224</v>
      </c>
      <c r="B63" s="86">
        <v>191.56800960698217</v>
      </c>
      <c r="C63" s="87">
        <v>585.7421875</v>
      </c>
      <c r="D63" s="372"/>
      <c r="E63" s="373"/>
      <c r="F63" s="374"/>
      <c r="G63" s="121"/>
      <c r="H63" s="45"/>
      <c r="I63" s="45"/>
      <c r="J63" s="46"/>
    </row>
    <row r="64" spans="1:13" ht="15" customHeight="1">
      <c r="A64" s="125">
        <v>0.16250000894069672</v>
      </c>
      <c r="B64" s="86">
        <v>153.84480211854248</v>
      </c>
      <c r="C64" s="87">
        <v>617.94525146484375</v>
      </c>
      <c r="D64" s="375" t="s">
        <v>401</v>
      </c>
      <c r="E64" s="376"/>
      <c r="F64" s="376"/>
      <c r="G64" s="121"/>
      <c r="H64" s="45"/>
      <c r="I64" s="45"/>
      <c r="J64" s="46"/>
    </row>
    <row r="65" spans="1:10" ht="15" customHeight="1">
      <c r="A65" s="125">
        <v>0.27500000596046448</v>
      </c>
      <c r="B65" s="86">
        <v>126.02320529639243</v>
      </c>
      <c r="C65" s="87">
        <v>648.392333984375</v>
      </c>
      <c r="D65" s="377" t="s">
        <v>395</v>
      </c>
      <c r="E65" s="379" t="s">
        <v>399</v>
      </c>
      <c r="F65" s="380"/>
      <c r="G65" s="121"/>
      <c r="H65" s="45"/>
      <c r="I65" s="45"/>
      <c r="J65" s="46"/>
    </row>
    <row r="66" spans="1:10" ht="15" customHeight="1">
      <c r="A66" s="125">
        <v>0.38750001788139343</v>
      </c>
      <c r="B66" s="86">
        <v>114.7637780199577</v>
      </c>
      <c r="C66" s="87">
        <v>664.2037353515625</v>
      </c>
      <c r="D66" s="377" t="s">
        <v>396</v>
      </c>
      <c r="E66" s="379" t="s">
        <v>400</v>
      </c>
      <c r="F66" s="380"/>
      <c r="G66" s="121"/>
      <c r="H66" s="45"/>
      <c r="I66" s="45"/>
      <c r="J66" s="46"/>
    </row>
    <row r="67" spans="1:10" ht="15" customHeight="1">
      <c r="A67" s="125">
        <v>0.5</v>
      </c>
      <c r="B67" s="86">
        <v>110</v>
      </c>
      <c r="C67" s="87">
        <v>675.39447021484375</v>
      </c>
      <c r="D67" s="377" t="s">
        <v>397</v>
      </c>
      <c r="E67" s="379" t="s">
        <v>402</v>
      </c>
      <c r="F67" s="380"/>
      <c r="G67" s="121"/>
      <c r="H67" s="45"/>
      <c r="I67" s="45"/>
      <c r="J67" s="46"/>
    </row>
    <row r="68" spans="1:10" ht="15" customHeight="1" thickBot="1">
      <c r="A68" s="126">
        <v>0.60000002384185791</v>
      </c>
      <c r="B68" s="88">
        <v>111.35214412653107</v>
      </c>
      <c r="C68" s="89">
        <v>684.61376953125</v>
      </c>
      <c r="D68" s="378" t="s">
        <v>398</v>
      </c>
      <c r="E68" s="381" t="s">
        <v>403</v>
      </c>
      <c r="F68" s="381"/>
      <c r="G68" s="122"/>
      <c r="H68" s="47"/>
      <c r="I68" s="47"/>
      <c r="J68" s="48"/>
    </row>
    <row r="69" spans="1:10" ht="15" customHeight="1">
      <c r="A69" s="155" t="s">
        <v>268</v>
      </c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1" t="s">
        <v>394</v>
      </c>
      <c r="B99" s="371"/>
      <c r="C99" s="371"/>
      <c r="D99" s="371"/>
      <c r="E99" s="371"/>
      <c r="F99" s="371"/>
      <c r="G99" s="371"/>
      <c r="H99" s="371"/>
      <c r="I99" s="371"/>
    </row>
    <row r="100" spans="1:9">
      <c r="A100" s="371">
        <v>100</v>
      </c>
      <c r="B100" s="371"/>
      <c r="C100" s="371"/>
      <c r="D100" s="371"/>
      <c r="E100" s="371"/>
      <c r="F100" s="371"/>
      <c r="G100" s="371"/>
      <c r="H100" s="371"/>
      <c r="I100" s="371"/>
    </row>
    <row r="101" spans="1:9">
      <c r="A101" s="371">
        <v>99</v>
      </c>
      <c r="B101" s="371"/>
      <c r="C101" s="371"/>
      <c r="D101" s="371"/>
      <c r="E101" s="371"/>
      <c r="F101" s="371"/>
      <c r="G101" s="371"/>
      <c r="H101" s="371"/>
      <c r="I101" s="371"/>
    </row>
    <row r="102" spans="1:9">
      <c r="A102" s="371">
        <v>93.875</v>
      </c>
      <c r="B102" s="371"/>
      <c r="C102" s="371"/>
      <c r="D102" s="371"/>
      <c r="E102" s="371"/>
      <c r="F102" s="371"/>
      <c r="G102" s="371"/>
      <c r="H102" s="371"/>
      <c r="I102" s="371"/>
    </row>
    <row r="103" spans="1:9">
      <c r="A103" s="371">
        <v>87</v>
      </c>
      <c r="B103" s="371"/>
      <c r="C103" s="371"/>
      <c r="D103" s="371"/>
      <c r="E103" s="371"/>
      <c r="F103" s="371"/>
      <c r="G103" s="371"/>
      <c r="H103" s="371"/>
      <c r="I103" s="371"/>
    </row>
    <row r="104" spans="1:9">
      <c r="A104" s="371">
        <v>72.375</v>
      </c>
      <c r="B104" s="371"/>
      <c r="C104" s="371"/>
      <c r="D104" s="371"/>
      <c r="E104" s="371"/>
      <c r="F104" s="371"/>
      <c r="G104" s="371"/>
      <c r="H104" s="371"/>
      <c r="I104" s="371"/>
    </row>
    <row r="105" spans="1:9">
      <c r="A105" s="371">
        <v>58.249996185302734</v>
      </c>
      <c r="B105" s="371"/>
      <c r="C105" s="371"/>
      <c r="D105" s="371"/>
      <c r="E105" s="371"/>
      <c r="F105" s="371"/>
      <c r="G105" s="371"/>
      <c r="H105" s="371"/>
      <c r="I105" s="371"/>
    </row>
    <row r="106" spans="1:9">
      <c r="A106" s="371">
        <v>37.25</v>
      </c>
      <c r="B106" s="371"/>
      <c r="C106" s="371"/>
      <c r="D106" s="371"/>
      <c r="E106" s="371"/>
      <c r="F106" s="371"/>
      <c r="G106" s="371"/>
      <c r="H106" s="371"/>
      <c r="I106" s="371"/>
    </row>
    <row r="107" spans="1:9">
      <c r="A107" s="371">
        <v>23.374998092651367</v>
      </c>
      <c r="B107" s="371"/>
      <c r="C107" s="371"/>
      <c r="D107" s="371"/>
      <c r="E107" s="371"/>
      <c r="F107" s="371"/>
      <c r="G107" s="371"/>
      <c r="H107" s="371"/>
      <c r="I107" s="371"/>
    </row>
    <row r="108" spans="1:9">
      <c r="A108" s="371">
        <v>14</v>
      </c>
      <c r="B108" s="371"/>
      <c r="C108" s="371"/>
      <c r="D108" s="371"/>
      <c r="E108" s="371"/>
      <c r="F108" s="371"/>
      <c r="G108" s="371"/>
      <c r="H108" s="371"/>
      <c r="I108" s="371"/>
    </row>
    <row r="109" spans="1:9">
      <c r="A109" s="371">
        <v>7.9999995231628418</v>
      </c>
      <c r="B109" s="371"/>
      <c r="C109" s="371"/>
      <c r="D109" s="371"/>
      <c r="E109" s="371"/>
      <c r="F109" s="371"/>
      <c r="G109" s="371"/>
      <c r="H109" s="371"/>
      <c r="I109" s="371"/>
    </row>
    <row r="110" spans="1:9">
      <c r="A110" s="371">
        <v>5.9999995231628418</v>
      </c>
      <c r="B110" s="371"/>
      <c r="C110" s="371"/>
      <c r="D110" s="371"/>
      <c r="E110" s="371"/>
      <c r="F110" s="371"/>
      <c r="G110" s="371"/>
      <c r="H110" s="371"/>
      <c r="I110" s="371"/>
    </row>
    <row r="111" spans="1:9">
      <c r="A111" s="371">
        <v>8.0000009536743164</v>
      </c>
      <c r="B111" s="371"/>
      <c r="C111" s="371"/>
      <c r="D111" s="371"/>
      <c r="E111" s="371"/>
      <c r="F111" s="371"/>
      <c r="G111" s="371"/>
      <c r="H111" s="371"/>
      <c r="I111" s="371"/>
    </row>
    <row r="112" spans="1:9">
      <c r="A112" s="371">
        <v>14.999996185302734</v>
      </c>
      <c r="B112" s="371"/>
      <c r="C112" s="371"/>
      <c r="D112" s="371"/>
      <c r="E112" s="371"/>
      <c r="F112" s="371"/>
      <c r="G112" s="371"/>
      <c r="H112" s="371"/>
      <c r="I112" s="371"/>
    </row>
    <row r="113" spans="1:9">
      <c r="A113" s="371">
        <v>30</v>
      </c>
      <c r="B113" s="371"/>
      <c r="C113" s="371"/>
      <c r="D113" s="371"/>
      <c r="E113" s="371"/>
      <c r="F113" s="371"/>
      <c r="G113" s="371"/>
      <c r="H113" s="371"/>
      <c r="I113" s="371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J7" sqref="J7:K11"/>
    </sheetView>
  </sheetViews>
  <sheetFormatPr defaultRowHeight="15.75"/>
  <cols>
    <col min="1" max="1" width="12.140625" style="330" customWidth="1"/>
    <col min="2" max="2" width="6.140625" style="330" customWidth="1"/>
    <col min="3" max="3" width="7.140625" style="330" customWidth="1"/>
    <col min="4" max="4" width="12.85546875" style="330" customWidth="1"/>
    <col min="5" max="5" width="12.5703125" style="330" customWidth="1"/>
    <col min="6" max="6" width="9.42578125" style="330" customWidth="1"/>
    <col min="7" max="7" width="5.7109375" style="330" customWidth="1"/>
    <col min="8" max="8" width="7.85546875" style="330" customWidth="1"/>
    <col min="9" max="9" width="6.5703125" style="330" customWidth="1"/>
    <col min="10" max="10" width="12" style="331" customWidth="1"/>
    <col min="11" max="11" width="12" style="330" customWidth="1"/>
    <col min="12" max="26" width="9.140625" style="185"/>
    <col min="27" max="16384" width="9.140625" style="186"/>
  </cols>
  <sheetData>
    <row r="1" spans="1:26" ht="20.25" customHeight="1">
      <c r="A1" s="614" t="s">
        <v>269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</row>
    <row r="2" spans="1:26" ht="20.25" customHeight="1">
      <c r="A2" s="615" t="s">
        <v>270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</row>
    <row r="3" spans="1:26" ht="18.75" customHeight="1" thickBot="1">
      <c r="A3" s="187" t="s">
        <v>1</v>
      </c>
      <c r="B3" s="188" t="s">
        <v>380</v>
      </c>
      <c r="C3" s="189"/>
      <c r="D3" s="189"/>
      <c r="E3" s="189"/>
      <c r="F3" s="190"/>
      <c r="G3" s="189"/>
      <c r="H3" s="189"/>
      <c r="I3" s="187" t="s">
        <v>271</v>
      </c>
      <c r="J3" s="616"/>
      <c r="K3" s="616"/>
    </row>
    <row r="4" spans="1:26" s="199" customFormat="1" ht="18.399999999999999" customHeight="1" thickBot="1">
      <c r="A4" s="191" t="s">
        <v>381</v>
      </c>
      <c r="B4" s="192"/>
      <c r="C4" s="193"/>
      <c r="D4" s="193"/>
      <c r="E4" s="193"/>
      <c r="F4" s="193"/>
      <c r="G4" s="193"/>
      <c r="H4" s="193"/>
      <c r="I4" s="193"/>
      <c r="J4" s="193"/>
      <c r="K4" s="194"/>
      <c r="L4" s="195"/>
      <c r="M4" s="195"/>
      <c r="N4" s="195"/>
      <c r="O4" s="195"/>
      <c r="P4" s="195"/>
      <c r="Q4" s="196" t="s">
        <v>272</v>
      </c>
      <c r="R4" s="197"/>
      <c r="S4" s="195"/>
      <c r="T4" s="196" t="s">
        <v>273</v>
      </c>
      <c r="U4" s="198"/>
      <c r="V4" s="195"/>
      <c r="W4" s="195"/>
      <c r="X4" s="195"/>
      <c r="Y4" s="195"/>
      <c r="Z4" s="195"/>
    </row>
    <row r="5" spans="1:26" s="199" customFormat="1" ht="18.399999999999999" customHeight="1">
      <c r="A5" s="617" t="s">
        <v>274</v>
      </c>
      <c r="B5" s="618"/>
      <c r="C5" s="618"/>
      <c r="D5" s="200"/>
      <c r="E5" s="201"/>
      <c r="F5" s="202" t="s">
        <v>275</v>
      </c>
      <c r="G5" s="203"/>
      <c r="H5" s="203"/>
      <c r="I5" s="204"/>
      <c r="J5" s="205" t="s">
        <v>276</v>
      </c>
      <c r="K5" s="206" t="s">
        <v>277</v>
      </c>
      <c r="L5" s="195"/>
      <c r="M5" s="195"/>
      <c r="N5" s="195"/>
      <c r="O5" s="195"/>
      <c r="P5" s="195"/>
      <c r="Q5" s="207" t="s">
        <v>278</v>
      </c>
      <c r="R5" s="208"/>
      <c r="S5" s="195"/>
      <c r="T5" s="207" t="s">
        <v>279</v>
      </c>
      <c r="U5" s="209"/>
      <c r="V5" s="195"/>
      <c r="W5" s="195"/>
      <c r="X5" s="195"/>
      <c r="Y5" s="195"/>
      <c r="Z5" s="195"/>
    </row>
    <row r="6" spans="1:26" s="199" customFormat="1" ht="18.399999999999999" customHeight="1">
      <c r="A6" s="619" t="s">
        <v>67</v>
      </c>
      <c r="B6" s="620"/>
      <c r="C6" s="620"/>
      <c r="D6" s="621" t="s">
        <v>279</v>
      </c>
      <c r="E6" s="622"/>
      <c r="F6" s="576" t="s">
        <v>281</v>
      </c>
      <c r="G6" s="577"/>
      <c r="H6" s="577"/>
      <c r="I6" s="577"/>
      <c r="J6" s="577"/>
      <c r="K6" s="578"/>
      <c r="L6" s="195"/>
      <c r="M6" s="195"/>
      <c r="N6" s="195"/>
      <c r="O6" s="195"/>
      <c r="P6" s="195"/>
      <c r="Q6" s="207" t="s">
        <v>282</v>
      </c>
      <c r="R6" s="208"/>
      <c r="S6" s="195"/>
      <c r="T6" s="207" t="s">
        <v>283</v>
      </c>
      <c r="U6" s="209"/>
      <c r="V6" s="195"/>
      <c r="W6" s="195"/>
      <c r="X6" s="195"/>
      <c r="Y6" s="195"/>
      <c r="Z6" s="195"/>
    </row>
    <row r="7" spans="1:26" s="199" customFormat="1" ht="18.399999999999999" customHeight="1">
      <c r="A7" s="610" t="s">
        <v>20</v>
      </c>
      <c r="B7" s="611"/>
      <c r="C7" s="611"/>
      <c r="D7" s="612">
        <v>2.0999999046325701</v>
      </c>
      <c r="E7" s="613"/>
      <c r="F7" s="210" t="s">
        <v>284</v>
      </c>
      <c r="G7" s="211"/>
      <c r="H7" s="212"/>
      <c r="I7" s="213"/>
      <c r="J7" s="214">
        <v>26</v>
      </c>
      <c r="K7" s="215">
        <v>25.6</v>
      </c>
      <c r="L7" s="195"/>
      <c r="M7" s="195"/>
      <c r="N7" s="195"/>
      <c r="O7" s="195"/>
      <c r="P7" s="195"/>
      <c r="Q7" s="207" t="s">
        <v>285</v>
      </c>
      <c r="R7" s="208"/>
      <c r="S7" s="195"/>
      <c r="T7" s="207" t="s">
        <v>280</v>
      </c>
      <c r="U7" s="209"/>
      <c r="V7" s="195"/>
      <c r="W7" s="195"/>
      <c r="X7" s="195"/>
      <c r="Y7" s="195"/>
      <c r="Z7" s="195"/>
    </row>
    <row r="8" spans="1:26" s="199" customFormat="1" ht="18.399999999999999" customHeight="1">
      <c r="A8" s="610" t="s">
        <v>286</v>
      </c>
      <c r="B8" s="611"/>
      <c r="C8" s="611"/>
      <c r="D8" s="566">
        <v>575</v>
      </c>
      <c r="E8" s="567"/>
      <c r="F8" s="216" t="s">
        <v>287</v>
      </c>
      <c r="G8" s="217"/>
      <c r="H8" s="218"/>
      <c r="I8" s="219"/>
      <c r="J8" s="220">
        <v>8000</v>
      </c>
      <c r="K8" s="221">
        <v>10946</v>
      </c>
      <c r="L8" s="195"/>
      <c r="M8" s="195"/>
      <c r="N8" s="195"/>
      <c r="O8" s="195"/>
      <c r="P8" s="195"/>
      <c r="Q8" s="207" t="s">
        <v>288</v>
      </c>
      <c r="R8" s="208"/>
      <c r="S8" s="195"/>
      <c r="T8" s="207" t="s">
        <v>289</v>
      </c>
      <c r="U8" s="209"/>
      <c r="V8" s="195"/>
      <c r="W8" s="195"/>
      <c r="X8" s="195"/>
      <c r="Y8" s="195"/>
      <c r="Z8" s="195"/>
    </row>
    <row r="9" spans="1:26" s="199" customFormat="1" ht="18.399999999999999" customHeight="1">
      <c r="A9" s="605" t="s">
        <v>290</v>
      </c>
      <c r="B9" s="606"/>
      <c r="C9" s="607"/>
      <c r="D9" s="566">
        <v>10</v>
      </c>
      <c r="E9" s="567"/>
      <c r="F9" s="210" t="s">
        <v>291</v>
      </c>
      <c r="G9" s="211"/>
      <c r="H9" s="222">
        <v>3</v>
      </c>
      <c r="I9" s="223" t="s">
        <v>292</v>
      </c>
      <c r="J9" s="224">
        <v>258</v>
      </c>
      <c r="K9" s="221">
        <v>168</v>
      </c>
      <c r="L9" s="195"/>
      <c r="M9" s="195"/>
      <c r="N9" s="195"/>
      <c r="O9" s="195"/>
      <c r="P9" s="195"/>
      <c r="Q9" s="207" t="s">
        <v>293</v>
      </c>
      <c r="R9" s="208"/>
      <c r="S9" s="195"/>
      <c r="T9" s="207" t="s">
        <v>294</v>
      </c>
      <c r="U9" s="209"/>
      <c r="V9" s="195"/>
      <c r="W9" s="195"/>
      <c r="X9" s="195"/>
      <c r="Y9" s="195"/>
      <c r="Z9" s="195"/>
    </row>
    <row r="10" spans="1:26" s="199" customFormat="1" ht="18.399999999999999" customHeight="1" thickBot="1">
      <c r="A10" s="605" t="s">
        <v>295</v>
      </c>
      <c r="B10" s="606"/>
      <c r="C10" s="607"/>
      <c r="D10" s="589" t="s">
        <v>202</v>
      </c>
      <c r="E10" s="590"/>
      <c r="F10" s="210" t="s">
        <v>296</v>
      </c>
      <c r="G10" s="211"/>
      <c r="H10" s="222">
        <v>3</v>
      </c>
      <c r="I10" s="223" t="s">
        <v>292</v>
      </c>
      <c r="J10" s="224">
        <v>1150</v>
      </c>
      <c r="K10" s="221">
        <v>1150</v>
      </c>
      <c r="L10" s="195"/>
      <c r="M10" s="195"/>
      <c r="N10" s="195"/>
      <c r="O10" s="195"/>
      <c r="P10" s="195"/>
      <c r="Q10" s="207" t="s">
        <v>297</v>
      </c>
      <c r="R10" s="208"/>
      <c r="S10" s="195"/>
      <c r="T10" s="225" t="s">
        <v>298</v>
      </c>
      <c r="U10" s="226"/>
      <c r="V10" s="195"/>
      <c r="W10" s="195"/>
      <c r="X10" s="195"/>
      <c r="Y10" s="195"/>
      <c r="Z10" s="195"/>
    </row>
    <row r="11" spans="1:26" s="199" customFormat="1" ht="18.399999999999999" customHeight="1" thickBot="1">
      <c r="A11" s="605" t="s">
        <v>299</v>
      </c>
      <c r="B11" s="606"/>
      <c r="C11" s="607"/>
      <c r="D11" s="584" t="s">
        <v>175</v>
      </c>
      <c r="E11" s="585"/>
      <c r="F11" s="227" t="s">
        <v>300</v>
      </c>
      <c r="G11" s="228"/>
      <c r="H11" s="229">
        <v>3</v>
      </c>
      <c r="I11" s="223" t="s">
        <v>292</v>
      </c>
      <c r="J11" s="230">
        <v>26282</v>
      </c>
      <c r="K11" s="231">
        <v>59913</v>
      </c>
      <c r="L11" s="195"/>
      <c r="M11" s="195"/>
      <c r="N11" s="195"/>
      <c r="O11" s="195"/>
      <c r="P11" s="195"/>
      <c r="Q11" s="225" t="s">
        <v>301</v>
      </c>
      <c r="R11" s="232"/>
      <c r="S11" s="195"/>
      <c r="T11" s="195"/>
      <c r="U11" s="195"/>
      <c r="V11" s="195"/>
      <c r="W11" s="195"/>
      <c r="X11" s="195"/>
      <c r="Y11" s="195"/>
      <c r="Z11" s="195"/>
    </row>
    <row r="12" spans="1:26" s="199" customFormat="1" ht="18.399999999999999" customHeight="1">
      <c r="A12" s="233" t="s">
        <v>302</v>
      </c>
      <c r="C12" s="234"/>
      <c r="D12" s="608" t="s">
        <v>175</v>
      </c>
      <c r="E12" s="609"/>
      <c r="F12" s="586" t="s">
        <v>303</v>
      </c>
      <c r="G12" s="587"/>
      <c r="H12" s="587"/>
      <c r="I12" s="587"/>
      <c r="J12" s="587"/>
      <c r="K12" s="588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spans="1:26" s="199" customFormat="1" ht="18.399999999999999" customHeight="1">
      <c r="A13" s="605" t="s">
        <v>53</v>
      </c>
      <c r="B13" s="606"/>
      <c r="C13" s="607"/>
      <c r="D13" s="570" t="s">
        <v>383</v>
      </c>
      <c r="E13" s="571"/>
      <c r="F13" s="235"/>
      <c r="G13" s="236" t="s">
        <v>304</v>
      </c>
      <c r="H13" s="237"/>
      <c r="I13" s="238" t="s">
        <v>305</v>
      </c>
      <c r="J13" s="239" t="s">
        <v>385</v>
      </c>
      <c r="K13" s="240" t="s">
        <v>175</v>
      </c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 s="199" customFormat="1" ht="18.399999999999999" customHeight="1">
      <c r="A14" s="605" t="s">
        <v>56</v>
      </c>
      <c r="B14" s="606"/>
      <c r="C14" s="607"/>
      <c r="D14" s="608">
        <v>1090</v>
      </c>
      <c r="E14" s="609"/>
      <c r="F14" s="235"/>
      <c r="G14" s="241" t="s">
        <v>10</v>
      </c>
      <c r="H14" s="242"/>
      <c r="I14" s="242"/>
      <c r="J14" s="224" t="s">
        <v>175</v>
      </c>
      <c r="K14" s="221" t="s">
        <v>175</v>
      </c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spans="1:26" s="199" customFormat="1" ht="18.399999999999999" customHeight="1">
      <c r="A15" s="602" t="s">
        <v>306</v>
      </c>
      <c r="B15" s="603"/>
      <c r="C15" s="604"/>
      <c r="D15" s="582">
        <v>9.0220003128051758</v>
      </c>
      <c r="E15" s="583"/>
      <c r="F15" s="235"/>
      <c r="G15" s="241" t="s">
        <v>307</v>
      </c>
      <c r="H15" s="242"/>
      <c r="I15" s="242"/>
      <c r="J15" s="224" t="s">
        <v>175</v>
      </c>
      <c r="K15" s="221" t="s">
        <v>175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spans="1:26" s="199" customFormat="1" ht="18.399999999999999" customHeight="1">
      <c r="A16" s="579" t="s">
        <v>308</v>
      </c>
      <c r="B16" s="580"/>
      <c r="C16" s="581"/>
      <c r="D16" s="582">
        <v>3.0543997287750244</v>
      </c>
      <c r="E16" s="583"/>
      <c r="F16" s="243"/>
      <c r="G16" s="244" t="s">
        <v>17</v>
      </c>
      <c r="H16" s="245"/>
      <c r="I16" s="245"/>
      <c r="J16" s="230" t="s">
        <v>175</v>
      </c>
      <c r="K16" s="231" t="s">
        <v>175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 s="199" customFormat="1" ht="18.399999999999999" customHeight="1">
      <c r="A17" s="246" t="s">
        <v>309</v>
      </c>
      <c r="B17" s="247"/>
      <c r="C17" s="248"/>
      <c r="D17" s="584" t="s">
        <v>382</v>
      </c>
      <c r="E17" s="585"/>
      <c r="F17" s="586" t="s">
        <v>310</v>
      </c>
      <c r="G17" s="587"/>
      <c r="H17" s="587"/>
      <c r="I17" s="587"/>
      <c r="J17" s="587"/>
      <c r="K17" s="588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spans="1:26" s="199" customFormat="1" ht="18.399999999999999" customHeight="1">
      <c r="A18" s="249" t="s">
        <v>311</v>
      </c>
      <c r="B18" s="250"/>
      <c r="C18" s="248"/>
      <c r="D18" s="589" t="s">
        <v>175</v>
      </c>
      <c r="E18" s="590"/>
      <c r="F18" s="591"/>
      <c r="G18" s="592"/>
      <c r="H18" s="251" t="s">
        <v>312</v>
      </c>
      <c r="I18" s="252"/>
      <c r="J18" s="220">
        <v>114</v>
      </c>
      <c r="K18" s="221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spans="1:26" s="199" customFormat="1" ht="18.399999999999999" customHeight="1">
      <c r="A19" s="597" t="s">
        <v>313</v>
      </c>
      <c r="B19" s="598"/>
      <c r="C19" s="599"/>
      <c r="D19" s="600" t="s">
        <v>175</v>
      </c>
      <c r="E19" s="585"/>
      <c r="F19" s="593"/>
      <c r="G19" s="594"/>
      <c r="H19" s="251" t="s">
        <v>5</v>
      </c>
      <c r="I19" s="213"/>
      <c r="J19" s="220">
        <v>1780</v>
      </c>
      <c r="K19" s="221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 s="199" customFormat="1" ht="18.399999999999999" customHeight="1" thickBot="1">
      <c r="A20" s="253" t="s">
        <v>314</v>
      </c>
      <c r="C20" s="254"/>
      <c r="D20" s="601" t="s">
        <v>201</v>
      </c>
      <c r="E20" s="567"/>
      <c r="F20" s="593"/>
      <c r="G20" s="594"/>
      <c r="H20" s="251" t="s">
        <v>315</v>
      </c>
      <c r="I20" s="213"/>
      <c r="J20" s="224" t="s">
        <v>387</v>
      </c>
      <c r="K20" s="221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 s="199" customFormat="1" ht="18.399999999999999" customHeight="1" thickBot="1">
      <c r="A21" s="602" t="s">
        <v>316</v>
      </c>
      <c r="B21" s="603"/>
      <c r="C21" s="604"/>
      <c r="D21" s="566" t="s">
        <v>175</v>
      </c>
      <c r="E21" s="567"/>
      <c r="F21" s="593"/>
      <c r="G21" s="594"/>
      <c r="H21" s="255" t="s">
        <v>317</v>
      </c>
      <c r="I21" s="213"/>
      <c r="J21" s="224">
        <v>1.1499999999999999</v>
      </c>
      <c r="K21" s="221"/>
      <c r="L21" s="195"/>
      <c r="M21" s="195"/>
      <c r="N21" s="195"/>
      <c r="O21" s="195"/>
      <c r="P21" s="195"/>
      <c r="Q21" s="196" t="s">
        <v>318</v>
      </c>
      <c r="R21" s="198"/>
      <c r="S21" s="195"/>
      <c r="T21" s="195"/>
      <c r="U21" s="195"/>
      <c r="V21" s="195"/>
      <c r="W21" s="195"/>
      <c r="X21" s="195"/>
      <c r="Y21" s="195"/>
      <c r="Z21" s="195"/>
    </row>
    <row r="22" spans="1:26" s="199" customFormat="1" ht="18.399999999999999" customHeight="1">
      <c r="A22" s="249" t="s">
        <v>319</v>
      </c>
      <c r="B22" s="256"/>
      <c r="C22" s="256"/>
      <c r="D22" s="568">
        <v>0.41269999742507935</v>
      </c>
      <c r="E22" s="569"/>
      <c r="F22" s="593"/>
      <c r="G22" s="594"/>
      <c r="H22" s="251" t="s">
        <v>276</v>
      </c>
      <c r="I22" s="213"/>
      <c r="J22" s="224" t="s">
        <v>175</v>
      </c>
      <c r="K22" s="221"/>
      <c r="L22" s="195"/>
      <c r="M22" s="195"/>
      <c r="N22" s="195"/>
      <c r="O22" s="195"/>
      <c r="P22" s="195"/>
      <c r="Q22" s="207" t="s">
        <v>321</v>
      </c>
      <c r="R22" s="209"/>
      <c r="S22" s="195"/>
      <c r="T22" s="195"/>
      <c r="U22" s="195"/>
      <c r="V22" s="195"/>
      <c r="W22" s="195"/>
      <c r="X22" s="195"/>
      <c r="Y22" s="195"/>
      <c r="Z22" s="195"/>
    </row>
    <row r="23" spans="1:26" s="199" customFormat="1" ht="18.399999999999999" customHeight="1">
      <c r="A23" s="257" t="s">
        <v>322</v>
      </c>
      <c r="B23" s="258" t="s">
        <v>323</v>
      </c>
      <c r="C23" s="259"/>
      <c r="D23" s="570">
        <v>470.8</v>
      </c>
      <c r="E23" s="571"/>
      <c r="F23" s="593"/>
      <c r="G23" s="594"/>
      <c r="H23" s="260" t="s">
        <v>324</v>
      </c>
      <c r="I23" s="261"/>
      <c r="J23" s="262" t="s">
        <v>175</v>
      </c>
      <c r="K23" s="263"/>
      <c r="L23" s="195"/>
      <c r="Q23" s="207" t="s">
        <v>325</v>
      </c>
      <c r="R23" s="209"/>
      <c r="S23" s="195"/>
      <c r="T23" s="195"/>
      <c r="U23" s="195"/>
      <c r="V23" s="195"/>
      <c r="W23" s="195"/>
      <c r="X23" s="195"/>
      <c r="Y23" s="195"/>
      <c r="Z23" s="195"/>
    </row>
    <row r="24" spans="1:26" s="199" customFormat="1" ht="18.399999999999999" customHeight="1" thickBot="1">
      <c r="A24" s="264" t="s">
        <v>326</v>
      </c>
      <c r="B24" s="265" t="s">
        <v>327</v>
      </c>
      <c r="C24" s="266"/>
      <c r="D24" s="572" t="s">
        <v>175</v>
      </c>
      <c r="E24" s="573"/>
      <c r="F24" s="593"/>
      <c r="G24" s="594"/>
      <c r="H24" s="251" t="s">
        <v>328</v>
      </c>
      <c r="I24" s="234"/>
      <c r="J24" s="267" t="s">
        <v>175</v>
      </c>
      <c r="K24" s="268"/>
      <c r="Q24" s="269" t="s">
        <v>175</v>
      </c>
      <c r="R24" s="270"/>
      <c r="S24" s="195"/>
      <c r="T24" s="195"/>
      <c r="U24" s="195"/>
      <c r="V24" s="195"/>
      <c r="W24" s="195"/>
      <c r="X24" s="195"/>
      <c r="Y24" s="195"/>
      <c r="Z24" s="195"/>
    </row>
    <row r="25" spans="1:26" s="199" customFormat="1" ht="18.399999999999999" customHeight="1">
      <c r="A25" s="271" t="s">
        <v>329</v>
      </c>
      <c r="B25" s="272"/>
      <c r="C25" s="272"/>
      <c r="D25" s="273"/>
      <c r="E25" s="273" t="s">
        <v>330</v>
      </c>
      <c r="F25" s="593"/>
      <c r="G25" s="594"/>
      <c r="H25" s="251" t="s">
        <v>331</v>
      </c>
      <c r="I25" s="234"/>
      <c r="J25" s="274" t="s">
        <v>175</v>
      </c>
      <c r="K25" s="268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 s="199" customFormat="1" ht="18.399999999999999" customHeight="1">
      <c r="A26" s="275" t="s">
        <v>332</v>
      </c>
      <c r="B26" s="276"/>
      <c r="C26" s="277"/>
      <c r="D26" s="278" t="s">
        <v>386</v>
      </c>
      <c r="E26" s="278" t="s">
        <v>388</v>
      </c>
      <c r="F26" s="595"/>
      <c r="G26" s="596"/>
      <c r="H26" s="574"/>
      <c r="I26" s="575"/>
      <c r="J26" s="279"/>
      <c r="K26" s="280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 s="199" customFormat="1" ht="18.399999999999999" customHeight="1">
      <c r="A27" s="558" t="s">
        <v>333</v>
      </c>
      <c r="B27" s="559"/>
      <c r="C27" s="559"/>
      <c r="D27" s="559"/>
      <c r="E27" s="559"/>
      <c r="F27" s="576" t="s">
        <v>334</v>
      </c>
      <c r="G27" s="577"/>
      <c r="H27" s="577"/>
      <c r="I27" s="577"/>
      <c r="J27" s="577"/>
      <c r="K27" s="578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 s="199" customFormat="1" ht="18.399999999999999" customHeight="1">
      <c r="A28" s="552"/>
      <c r="B28" s="553"/>
      <c r="C28" s="553"/>
      <c r="D28" s="553"/>
      <c r="E28" s="554"/>
      <c r="F28" s="281"/>
      <c r="G28" s="282"/>
      <c r="H28" s="241" t="s">
        <v>335</v>
      </c>
      <c r="I28" s="283" t="s">
        <v>384</v>
      </c>
      <c r="J28" s="220">
        <v>810</v>
      </c>
      <c r="K28" s="215" t="s">
        <v>175</v>
      </c>
      <c r="M28" s="284">
        <f>J28/J18</f>
        <v>7.1052631578947372</v>
      </c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 s="199" customFormat="1" ht="18.399999999999999" customHeight="1">
      <c r="A29" s="552"/>
      <c r="B29" s="553"/>
      <c r="C29" s="553"/>
      <c r="D29" s="553"/>
      <c r="E29" s="554"/>
      <c r="F29" s="285"/>
      <c r="G29" s="286"/>
      <c r="H29" s="241" t="s">
        <v>336</v>
      </c>
      <c r="I29" s="287">
        <v>60</v>
      </c>
      <c r="J29" s="220">
        <v>140</v>
      </c>
      <c r="K29" s="215" t="s">
        <v>175</v>
      </c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spans="1:26" s="199" customFormat="1" ht="18.399999999999999" customHeight="1">
      <c r="A30" s="552"/>
      <c r="B30" s="553"/>
      <c r="C30" s="553"/>
      <c r="D30" s="553"/>
      <c r="E30" s="554"/>
      <c r="F30" s="285"/>
      <c r="G30" s="286"/>
      <c r="H30" s="241" t="s">
        <v>337</v>
      </c>
      <c r="I30" s="287">
        <v>175</v>
      </c>
      <c r="J30" s="220">
        <v>295</v>
      </c>
      <c r="K30" s="215" t="s">
        <v>175</v>
      </c>
      <c r="L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spans="1:26" s="199" customFormat="1" ht="18.399999999999999" customHeight="1">
      <c r="A31" s="552"/>
      <c r="B31" s="553"/>
      <c r="C31" s="553"/>
      <c r="D31" s="553"/>
      <c r="E31" s="554"/>
      <c r="F31" s="285"/>
      <c r="G31" s="286"/>
      <c r="H31" s="241" t="s">
        <v>338</v>
      </c>
      <c r="I31" s="242"/>
      <c r="J31" s="288">
        <v>1.1100000000000001</v>
      </c>
      <c r="K31" s="215" t="s">
        <v>175</v>
      </c>
      <c r="L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 s="199" customFormat="1" ht="18.399999999999999" customHeight="1">
      <c r="A32" s="555"/>
      <c r="B32" s="556"/>
      <c r="C32" s="556"/>
      <c r="D32" s="556"/>
      <c r="E32" s="557"/>
      <c r="F32" s="285"/>
      <c r="G32" s="289" t="s">
        <v>339</v>
      </c>
      <c r="H32" s="241" t="s">
        <v>340</v>
      </c>
      <c r="I32" s="290"/>
      <c r="J32" s="214">
        <v>95.2</v>
      </c>
      <c r="K32" s="215" t="s">
        <v>175</v>
      </c>
      <c r="L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 s="199" customFormat="1" ht="18.399999999999999" customHeight="1">
      <c r="A33" s="558" t="s">
        <v>341</v>
      </c>
      <c r="B33" s="559"/>
      <c r="C33" s="559"/>
      <c r="D33" s="559"/>
      <c r="E33" s="560"/>
      <c r="F33" s="291"/>
      <c r="G33" s="292"/>
      <c r="H33" s="293" t="s">
        <v>342</v>
      </c>
      <c r="I33" s="294"/>
      <c r="J33" s="295">
        <v>89.5</v>
      </c>
      <c r="K33" s="296" t="s">
        <v>175</v>
      </c>
      <c r="L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 s="199" customFormat="1" ht="18.399999999999999" customHeight="1">
      <c r="A34" s="552"/>
      <c r="B34" s="553"/>
      <c r="C34" s="553"/>
      <c r="D34" s="553"/>
      <c r="E34" s="554"/>
      <c r="F34" s="216" t="s">
        <v>343</v>
      </c>
      <c r="G34" s="297"/>
      <c r="H34" s="298" t="s">
        <v>14</v>
      </c>
      <c r="I34" s="299"/>
      <c r="J34" s="300">
        <v>7270</v>
      </c>
      <c r="K34" s="301" t="s">
        <v>175</v>
      </c>
      <c r="L34" s="302"/>
      <c r="R34" s="195"/>
      <c r="S34" s="195"/>
      <c r="T34" s="195"/>
      <c r="U34" s="195"/>
      <c r="V34" s="195"/>
      <c r="W34" s="195"/>
      <c r="X34" s="195"/>
      <c r="Y34" s="195"/>
      <c r="Z34" s="195"/>
    </row>
    <row r="35" spans="1:26" s="199" customFormat="1" ht="18.399999999999999" customHeight="1">
      <c r="A35" s="552"/>
      <c r="B35" s="553"/>
      <c r="C35" s="553"/>
      <c r="D35" s="553"/>
      <c r="E35" s="554"/>
      <c r="F35" s="235"/>
      <c r="G35" s="303"/>
      <c r="H35" s="304" t="s">
        <v>15</v>
      </c>
      <c r="I35" s="305"/>
      <c r="J35" s="220">
        <v>7830</v>
      </c>
      <c r="K35" s="215" t="s">
        <v>175</v>
      </c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 s="199" customFormat="1" ht="18.399999999999999" customHeight="1">
      <c r="A36" s="552"/>
      <c r="B36" s="553"/>
      <c r="C36" s="553"/>
      <c r="D36" s="553"/>
      <c r="E36" s="554"/>
      <c r="F36" s="235"/>
      <c r="G36" s="303"/>
      <c r="H36" s="304" t="s">
        <v>344</v>
      </c>
      <c r="I36" s="305"/>
      <c r="J36" s="220">
        <v>3800</v>
      </c>
      <c r="K36" s="215" t="s">
        <v>175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 s="199" customFormat="1" ht="18.399999999999999" customHeight="1">
      <c r="A37" s="552"/>
      <c r="B37" s="553"/>
      <c r="C37" s="553"/>
      <c r="D37" s="553"/>
      <c r="E37" s="554"/>
      <c r="F37" s="285"/>
      <c r="G37" s="303"/>
      <c r="H37" s="304" t="s">
        <v>345</v>
      </c>
      <c r="I37" s="305"/>
      <c r="J37" s="220">
        <v>3990</v>
      </c>
      <c r="K37" s="215" t="s">
        <v>175</v>
      </c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 s="199" customFormat="1" ht="18.399999999999999" customHeight="1">
      <c r="A38" s="555"/>
      <c r="B38" s="556"/>
      <c r="C38" s="556"/>
      <c r="D38" s="556"/>
      <c r="E38" s="557"/>
      <c r="F38" s="243"/>
      <c r="G38" s="306"/>
      <c r="H38" s="307" t="s">
        <v>346</v>
      </c>
      <c r="I38" s="308"/>
      <c r="J38" s="309">
        <v>10740</v>
      </c>
      <c r="K38" s="310" t="s">
        <v>175</v>
      </c>
      <c r="R38" s="195"/>
      <c r="S38" s="195"/>
      <c r="T38" s="195"/>
      <c r="U38" s="195"/>
      <c r="V38" s="195"/>
      <c r="W38" s="195"/>
      <c r="X38" s="195"/>
      <c r="Y38" s="195"/>
      <c r="Z38" s="195"/>
    </row>
    <row r="39" spans="1:26" s="199" customFormat="1" ht="18.399999999999999" customHeight="1">
      <c r="A39" s="558" t="s">
        <v>347</v>
      </c>
      <c r="B39" s="559"/>
      <c r="C39" s="559"/>
      <c r="D39" s="559"/>
      <c r="E39" s="559"/>
      <c r="F39" s="311" t="s">
        <v>348</v>
      </c>
      <c r="G39" s="312" t="s">
        <v>389</v>
      </c>
      <c r="H39" s="312"/>
      <c r="I39" s="312"/>
      <c r="J39" s="312"/>
      <c r="K39" s="313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 s="199" customFormat="1" ht="18.399999999999999" customHeight="1">
      <c r="A40" s="552"/>
      <c r="B40" s="553"/>
      <c r="C40" s="553"/>
      <c r="D40" s="553"/>
      <c r="E40" s="554"/>
      <c r="F40" s="314"/>
      <c r="G40" s="315"/>
      <c r="H40" s="315"/>
      <c r="I40" s="315"/>
      <c r="J40" s="315"/>
      <c r="K40" s="316"/>
      <c r="R40" s="195"/>
      <c r="S40" s="195"/>
      <c r="T40" s="195"/>
      <c r="U40" s="195"/>
      <c r="V40" s="195"/>
      <c r="W40" s="195"/>
      <c r="X40" s="195"/>
      <c r="Y40" s="195"/>
      <c r="Z40" s="195"/>
    </row>
    <row r="41" spans="1:26" s="199" customFormat="1" ht="18.399999999999999" customHeight="1">
      <c r="A41" s="552"/>
      <c r="B41" s="553"/>
      <c r="C41" s="553"/>
      <c r="D41" s="553"/>
      <c r="E41" s="554"/>
      <c r="F41" s="314"/>
      <c r="G41" s="317"/>
      <c r="H41" s="317"/>
      <c r="I41" s="317"/>
      <c r="J41" s="317"/>
      <c r="K41" s="318"/>
      <c r="L41" s="319"/>
      <c r="R41" s="195"/>
      <c r="S41" s="195"/>
      <c r="T41" s="195"/>
      <c r="U41" s="195"/>
      <c r="V41" s="195"/>
      <c r="W41" s="195"/>
      <c r="X41" s="195"/>
      <c r="Y41" s="195"/>
      <c r="Z41" s="195"/>
    </row>
    <row r="42" spans="1:26" s="199" customFormat="1" ht="18.399999999999999" customHeight="1">
      <c r="A42" s="552"/>
      <c r="B42" s="553"/>
      <c r="C42" s="553"/>
      <c r="D42" s="553"/>
      <c r="E42" s="554"/>
      <c r="F42" s="314"/>
      <c r="G42" s="317"/>
      <c r="H42" s="317"/>
      <c r="I42" s="317"/>
      <c r="J42" s="317"/>
      <c r="K42" s="318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spans="1:26" s="199" customFormat="1" ht="18.399999999999999" customHeight="1">
      <c r="A43" s="552"/>
      <c r="B43" s="553"/>
      <c r="C43" s="553"/>
      <c r="D43" s="553"/>
      <c r="E43" s="554"/>
      <c r="F43" s="314"/>
      <c r="G43" s="317"/>
      <c r="H43" s="317"/>
      <c r="I43" s="317"/>
      <c r="J43" s="317"/>
      <c r="K43" s="318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spans="1:26" s="199" customFormat="1" ht="17.100000000000001" customHeight="1" thickBot="1">
      <c r="A44" s="561"/>
      <c r="B44" s="562"/>
      <c r="C44" s="562"/>
      <c r="D44" s="562"/>
      <c r="E44" s="563"/>
      <c r="F44" s="314"/>
      <c r="G44" s="317"/>
      <c r="H44" s="317"/>
      <c r="I44" s="317"/>
      <c r="J44" s="317"/>
      <c r="K44" s="318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spans="1:26" s="199" customFormat="1" ht="17.100000000000001" customHeight="1">
      <c r="A45" s="320" t="s">
        <v>349</v>
      </c>
      <c r="B45" s="564"/>
      <c r="C45" s="565"/>
      <c r="D45" s="321" t="s">
        <v>350</v>
      </c>
      <c r="E45" s="322" t="s">
        <v>351</v>
      </c>
      <c r="F45" s="323"/>
      <c r="G45" s="317"/>
      <c r="H45" s="317"/>
      <c r="I45" s="317"/>
      <c r="J45" s="317"/>
      <c r="K45" s="318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 s="199" customFormat="1" ht="17.100000000000001" customHeight="1" thickBot="1">
      <c r="A46" s="324" t="s">
        <v>352</v>
      </c>
      <c r="B46" s="550"/>
      <c r="C46" s="551"/>
      <c r="D46" s="325" t="s">
        <v>352</v>
      </c>
      <c r="E46" s="326">
        <v>43144</v>
      </c>
      <c r="F46" s="327"/>
      <c r="G46" s="328" t="s">
        <v>390</v>
      </c>
      <c r="H46" s="328"/>
      <c r="I46" s="328"/>
      <c r="J46" s="328"/>
      <c r="K46" s="329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spans="1:26" s="199" customFormat="1" ht="17.100000000000001" customHeight="1">
      <c r="F47" s="330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</row>
    <row r="48" spans="1:26" s="199" customFormat="1" ht="17.100000000000001" customHeight="1">
      <c r="F48" s="195"/>
      <c r="G48" s="195"/>
      <c r="H48" s="195"/>
      <c r="I48" s="195"/>
      <c r="J48" s="195"/>
      <c r="K48" s="195"/>
    </row>
    <row r="49" spans="2:26" ht="17.100000000000001" customHeight="1">
      <c r="F49" s="185"/>
      <c r="G49" s="185"/>
      <c r="H49" s="185"/>
      <c r="I49" s="185"/>
      <c r="J49" s="185"/>
      <c r="K49" s="185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spans="2:26">
      <c r="F50" s="185"/>
      <c r="G50" s="185"/>
      <c r="H50" s="185"/>
      <c r="I50" s="185"/>
      <c r="J50" s="185"/>
      <c r="K50" s="185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spans="2:26">
      <c r="F51" s="185"/>
      <c r="G51" s="185"/>
      <c r="H51" s="185"/>
      <c r="I51" s="185"/>
      <c r="J51" s="185"/>
      <c r="K51" s="185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spans="2:26"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spans="2:26">
      <c r="F53" s="185"/>
      <c r="G53" s="185"/>
      <c r="H53" s="185"/>
      <c r="I53" s="185"/>
      <c r="J53" s="185"/>
      <c r="K53" s="185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37" customWidth="1"/>
    <col min="2" max="2" width="18.140625" style="337" customWidth="1"/>
    <col min="3" max="3" width="21.5703125" style="337" customWidth="1"/>
    <col min="4" max="4" width="21.28515625" style="337" bestFit="1" customWidth="1"/>
    <col min="5" max="5" width="6.85546875" style="337" bestFit="1" customWidth="1"/>
    <col min="6" max="6" width="29.85546875" style="337" customWidth="1"/>
    <col min="7" max="7" width="43.7109375" style="337" customWidth="1"/>
    <col min="8" max="8" width="17.140625" style="337" customWidth="1"/>
    <col min="9" max="9" width="7.85546875" style="337" customWidth="1"/>
    <col min="10" max="10" width="2.28515625" style="337" bestFit="1" customWidth="1"/>
    <col min="11" max="12" width="2.28515625" style="337" customWidth="1"/>
    <col min="13" max="13" width="2.5703125" style="337" bestFit="1" customWidth="1"/>
    <col min="14" max="14" width="2.28515625" style="337" bestFit="1" customWidth="1"/>
    <col min="15" max="16384" width="9.140625" style="337"/>
  </cols>
  <sheetData>
    <row r="1" spans="2:14" ht="12.75" customHeight="1">
      <c r="B1" s="332"/>
      <c r="C1" s="333"/>
      <c r="D1" s="333"/>
      <c r="E1" s="333"/>
      <c r="F1" s="333"/>
      <c r="G1" s="333"/>
      <c r="H1" s="334"/>
      <c r="I1" s="335"/>
      <c r="J1" s="336" t="s">
        <v>353</v>
      </c>
      <c r="K1" s="336" t="s">
        <v>354</v>
      </c>
      <c r="L1" s="336" t="s">
        <v>355</v>
      </c>
      <c r="M1" s="336" t="s">
        <v>354</v>
      </c>
      <c r="N1" s="336"/>
    </row>
    <row r="2" spans="2:14" ht="12.75" customHeight="1">
      <c r="B2" s="639" t="s">
        <v>356</v>
      </c>
      <c r="C2" s="640"/>
      <c r="D2" s="640"/>
      <c r="E2" s="640"/>
      <c r="F2" s="640"/>
      <c r="G2" s="640"/>
      <c r="H2" s="338"/>
      <c r="I2" s="339"/>
      <c r="J2" s="340" t="s">
        <v>357</v>
      </c>
      <c r="K2" s="340" t="s">
        <v>358</v>
      </c>
      <c r="L2" s="340" t="s">
        <v>359</v>
      </c>
      <c r="M2" s="340" t="s">
        <v>360</v>
      </c>
      <c r="N2" s="340" t="s">
        <v>361</v>
      </c>
    </row>
    <row r="3" spans="2:14" ht="12.75" customHeight="1">
      <c r="B3" s="639"/>
      <c r="C3" s="640"/>
      <c r="D3" s="640"/>
      <c r="E3" s="640"/>
      <c r="F3" s="640"/>
      <c r="G3" s="640"/>
      <c r="H3" s="338"/>
      <c r="I3" s="339"/>
      <c r="J3" s="340" t="s">
        <v>362</v>
      </c>
      <c r="K3" s="340"/>
      <c r="L3" s="340" t="s">
        <v>363</v>
      </c>
      <c r="M3" s="340" t="s">
        <v>353</v>
      </c>
      <c r="N3" s="340"/>
    </row>
    <row r="4" spans="2:14" ht="12.75" customHeight="1">
      <c r="B4" s="639"/>
      <c r="C4" s="640"/>
      <c r="D4" s="640"/>
      <c r="E4" s="640"/>
      <c r="F4" s="640"/>
      <c r="G4" s="640"/>
      <c r="H4" s="338"/>
      <c r="I4" s="339"/>
      <c r="J4" s="340" t="s">
        <v>364</v>
      </c>
      <c r="K4" s="340"/>
      <c r="L4" s="340" t="s">
        <v>359</v>
      </c>
      <c r="M4" s="340" t="s">
        <v>357</v>
      </c>
      <c r="N4" s="340"/>
    </row>
    <row r="5" spans="2:14" ht="12.75" customHeight="1">
      <c r="B5" s="341"/>
      <c r="C5" s="342"/>
      <c r="D5" s="342"/>
      <c r="E5" s="342"/>
      <c r="F5" s="342"/>
      <c r="G5" s="342"/>
      <c r="H5" s="338"/>
      <c r="I5" s="339"/>
      <c r="J5" s="340"/>
      <c r="K5" s="340" t="s">
        <v>365</v>
      </c>
      <c r="L5" s="340" t="s">
        <v>354</v>
      </c>
      <c r="M5" s="340"/>
      <c r="N5" s="340" t="s">
        <v>359</v>
      </c>
    </row>
    <row r="6" spans="2:14" ht="12" customHeight="1">
      <c r="B6" s="343"/>
      <c r="C6" s="344"/>
      <c r="D6" s="344"/>
      <c r="F6" s="344"/>
      <c r="H6" s="345"/>
      <c r="I6" s="339"/>
      <c r="J6" s="340" t="s">
        <v>358</v>
      </c>
      <c r="K6" s="340" t="s">
        <v>366</v>
      </c>
      <c r="L6" s="340"/>
      <c r="M6" s="340" t="s">
        <v>354</v>
      </c>
      <c r="N6" s="340" t="s">
        <v>367</v>
      </c>
    </row>
    <row r="7" spans="2:14" ht="12.75" customHeight="1">
      <c r="B7" s="343"/>
      <c r="D7" s="346"/>
      <c r="H7" s="345"/>
      <c r="I7" s="339"/>
      <c r="J7" s="340" t="s">
        <v>184</v>
      </c>
      <c r="K7" s="340" t="s">
        <v>362</v>
      </c>
      <c r="L7" s="340" t="s">
        <v>362</v>
      </c>
      <c r="M7" s="340" t="s">
        <v>357</v>
      </c>
      <c r="N7" s="340" t="s">
        <v>368</v>
      </c>
    </row>
    <row r="8" spans="2:14" ht="12.75" customHeight="1">
      <c r="B8" s="343"/>
      <c r="G8" s="346"/>
      <c r="H8" s="347"/>
      <c r="I8" s="340" t="s">
        <v>368</v>
      </c>
      <c r="J8" s="340" t="s">
        <v>354</v>
      </c>
      <c r="K8" s="340" t="s">
        <v>369</v>
      </c>
      <c r="L8" s="340" t="s">
        <v>357</v>
      </c>
      <c r="M8" s="340" t="s">
        <v>368</v>
      </c>
      <c r="N8" s="340" t="s">
        <v>366</v>
      </c>
    </row>
    <row r="9" spans="2:14">
      <c r="B9" s="340" t="s">
        <v>370</v>
      </c>
      <c r="C9" s="347" t="s">
        <v>371</v>
      </c>
      <c r="D9" s="347" t="s">
        <v>372</v>
      </c>
      <c r="E9" s="347" t="s">
        <v>373</v>
      </c>
      <c r="F9" s="340" t="s">
        <v>374</v>
      </c>
      <c r="G9" s="340" t="s">
        <v>375</v>
      </c>
      <c r="H9" s="340" t="s">
        <v>376</v>
      </c>
      <c r="I9" s="340" t="s">
        <v>364</v>
      </c>
      <c r="J9" s="340" t="s">
        <v>184</v>
      </c>
      <c r="K9" s="340" t="s">
        <v>357</v>
      </c>
      <c r="L9" s="340" t="s">
        <v>369</v>
      </c>
      <c r="M9" s="340" t="s">
        <v>354</v>
      </c>
      <c r="N9" s="340" t="s">
        <v>355</v>
      </c>
    </row>
    <row r="10" spans="2:14" ht="15" customHeight="1">
      <c r="B10" s="348"/>
      <c r="C10" s="349"/>
      <c r="D10" s="349"/>
      <c r="E10" s="349"/>
      <c r="F10" s="350"/>
      <c r="G10" s="351"/>
      <c r="H10" s="351"/>
      <c r="I10" s="352"/>
      <c r="J10" s="353"/>
      <c r="K10" s="353"/>
      <c r="L10" s="353"/>
      <c r="M10" s="353"/>
      <c r="N10" s="354"/>
    </row>
    <row r="11" spans="2:14" ht="15" customHeight="1">
      <c r="B11" s="348"/>
      <c r="C11" s="350"/>
      <c r="D11" s="350"/>
      <c r="E11" s="350"/>
      <c r="F11" s="350"/>
      <c r="G11" s="350"/>
      <c r="H11" s="350"/>
      <c r="I11" s="355"/>
      <c r="J11" s="353"/>
      <c r="K11" s="353"/>
      <c r="L11" s="353"/>
      <c r="M11" s="353"/>
      <c r="N11" s="354"/>
    </row>
    <row r="12" spans="2:14" ht="15" customHeight="1">
      <c r="B12" s="348"/>
      <c r="C12" s="350"/>
      <c r="D12" s="350"/>
      <c r="E12" s="350"/>
      <c r="F12" s="350"/>
      <c r="G12" s="350"/>
      <c r="H12" s="350"/>
      <c r="I12" s="355"/>
      <c r="J12" s="356"/>
      <c r="K12" s="353"/>
      <c r="L12" s="353"/>
      <c r="M12" s="353"/>
      <c r="N12" s="354"/>
    </row>
    <row r="13" spans="2:14" ht="15" customHeight="1">
      <c r="B13" s="348"/>
      <c r="C13" s="350"/>
      <c r="D13" s="350"/>
      <c r="E13" s="350"/>
      <c r="F13" s="350"/>
      <c r="G13" s="350"/>
      <c r="H13" s="350"/>
      <c r="I13" s="355"/>
      <c r="J13" s="353"/>
      <c r="K13" s="353"/>
      <c r="L13" s="353"/>
      <c r="M13" s="353"/>
      <c r="N13" s="354"/>
    </row>
    <row r="14" spans="2:14" ht="15" customHeight="1">
      <c r="B14" s="348"/>
      <c r="C14" s="350"/>
      <c r="D14" s="350"/>
      <c r="E14" s="350"/>
      <c r="F14" s="350"/>
      <c r="G14" s="350"/>
      <c r="H14" s="350"/>
      <c r="I14" s="355"/>
      <c r="J14" s="353"/>
      <c r="K14" s="353"/>
      <c r="L14" s="353"/>
      <c r="M14" s="353"/>
      <c r="N14" s="354"/>
    </row>
    <row r="15" spans="2:14" ht="15" customHeight="1">
      <c r="B15" s="348"/>
      <c r="C15" s="350"/>
      <c r="D15" s="350"/>
      <c r="E15" s="350"/>
      <c r="F15" s="350"/>
      <c r="G15" s="350"/>
      <c r="H15" s="350"/>
      <c r="I15" s="355"/>
      <c r="J15" s="353"/>
      <c r="K15" s="353"/>
      <c r="L15" s="353"/>
      <c r="M15" s="353"/>
      <c r="N15" s="354"/>
    </row>
    <row r="16" spans="2:14" ht="15" customHeight="1">
      <c r="B16" s="348"/>
      <c r="C16" s="350"/>
      <c r="D16" s="350"/>
      <c r="E16" s="350"/>
      <c r="F16" s="350"/>
      <c r="G16" s="350"/>
      <c r="H16" s="350"/>
      <c r="I16" s="355"/>
      <c r="J16" s="353"/>
      <c r="K16" s="353"/>
      <c r="L16" s="353"/>
      <c r="M16" s="353"/>
      <c r="N16" s="354"/>
    </row>
    <row r="17" spans="2:14" ht="15" customHeight="1">
      <c r="B17" s="348"/>
      <c r="C17" s="350"/>
      <c r="D17" s="350"/>
      <c r="E17" s="350"/>
      <c r="F17" s="350"/>
      <c r="G17" s="350"/>
      <c r="H17" s="350"/>
      <c r="I17" s="355"/>
      <c r="J17" s="353"/>
      <c r="K17" s="353"/>
      <c r="L17" s="353"/>
      <c r="M17" s="353"/>
      <c r="N17" s="354"/>
    </row>
    <row r="18" spans="2:14" ht="15" customHeight="1">
      <c r="B18" s="348"/>
      <c r="C18" s="350"/>
      <c r="D18" s="350"/>
      <c r="E18" s="350"/>
      <c r="F18" s="350"/>
      <c r="G18" s="350"/>
      <c r="H18" s="350"/>
      <c r="I18" s="355"/>
      <c r="J18" s="353"/>
      <c r="K18" s="353"/>
      <c r="L18" s="353"/>
      <c r="M18" s="353"/>
      <c r="N18" s="354"/>
    </row>
    <row r="19" spans="2:14" ht="15" customHeight="1">
      <c r="B19" s="348"/>
      <c r="C19" s="350"/>
      <c r="D19" s="350"/>
      <c r="E19" s="350"/>
      <c r="F19" s="350"/>
      <c r="G19" s="350"/>
      <c r="H19" s="350"/>
      <c r="I19" s="355"/>
      <c r="J19" s="353"/>
      <c r="K19" s="353"/>
      <c r="L19" s="353"/>
      <c r="M19" s="353"/>
      <c r="N19" s="354"/>
    </row>
    <row r="20" spans="2:14" ht="15" customHeight="1">
      <c r="B20" s="348"/>
      <c r="C20" s="350"/>
      <c r="D20" s="350"/>
      <c r="E20" s="350"/>
      <c r="F20" s="350"/>
      <c r="G20" s="350"/>
      <c r="H20" s="350"/>
      <c r="I20" s="355"/>
      <c r="J20" s="353"/>
      <c r="K20" s="353"/>
      <c r="L20" s="353"/>
      <c r="M20" s="353"/>
      <c r="N20" s="354"/>
    </row>
    <row r="21" spans="2:14" ht="15" customHeight="1">
      <c r="B21" s="348"/>
      <c r="C21" s="350"/>
      <c r="D21" s="350"/>
      <c r="E21" s="350"/>
      <c r="F21" s="350"/>
      <c r="G21" s="350"/>
      <c r="H21" s="350"/>
      <c r="I21" s="355"/>
      <c r="J21" s="353"/>
      <c r="K21" s="353"/>
      <c r="L21" s="353"/>
      <c r="M21" s="353"/>
      <c r="N21" s="354"/>
    </row>
    <row r="22" spans="2:14" ht="15" customHeight="1">
      <c r="B22" s="348"/>
      <c r="C22" s="350"/>
      <c r="D22" s="350"/>
      <c r="E22" s="350"/>
      <c r="F22" s="350"/>
      <c r="G22" s="350"/>
      <c r="H22" s="350"/>
      <c r="I22" s="355"/>
      <c r="J22" s="353"/>
      <c r="K22" s="353"/>
      <c r="L22" s="353"/>
      <c r="M22" s="353"/>
      <c r="N22" s="354"/>
    </row>
    <row r="23" spans="2:14" ht="15" customHeight="1">
      <c r="B23" s="348"/>
      <c r="C23" s="350"/>
      <c r="D23" s="350"/>
      <c r="E23" s="350"/>
      <c r="F23" s="350"/>
      <c r="G23" s="350"/>
      <c r="H23" s="350"/>
      <c r="I23" s="355"/>
      <c r="J23" s="353"/>
      <c r="K23" s="353"/>
      <c r="L23" s="353"/>
      <c r="M23" s="353"/>
      <c r="N23" s="354"/>
    </row>
    <row r="24" spans="2:14" ht="15" customHeight="1">
      <c r="B24" s="348"/>
      <c r="C24" s="350"/>
      <c r="D24" s="350"/>
      <c r="E24" s="350"/>
      <c r="F24" s="350"/>
      <c r="G24" s="350"/>
      <c r="H24" s="350"/>
      <c r="I24" s="355"/>
      <c r="J24" s="353"/>
      <c r="K24" s="353"/>
      <c r="L24" s="353"/>
      <c r="M24" s="353"/>
      <c r="N24" s="354"/>
    </row>
    <row r="25" spans="2:14" ht="15" customHeight="1">
      <c r="B25" s="348"/>
      <c r="C25" s="350"/>
      <c r="D25" s="350"/>
      <c r="E25" s="350"/>
      <c r="F25" s="350"/>
      <c r="G25" s="350"/>
      <c r="H25" s="350"/>
      <c r="I25" s="355"/>
      <c r="J25" s="353"/>
      <c r="K25" s="353"/>
      <c r="L25" s="353"/>
      <c r="M25" s="353"/>
      <c r="N25" s="354"/>
    </row>
    <row r="26" spans="2:14" ht="15" customHeight="1">
      <c r="B26" s="348"/>
      <c r="C26" s="350"/>
      <c r="D26" s="350"/>
      <c r="E26" s="350"/>
      <c r="F26" s="350"/>
      <c r="G26" s="350"/>
      <c r="H26" s="350"/>
      <c r="I26" s="355"/>
      <c r="J26" s="353"/>
      <c r="K26" s="353"/>
      <c r="L26" s="353"/>
      <c r="M26" s="353"/>
      <c r="N26" s="354"/>
    </row>
    <row r="27" spans="2:14" ht="15" customHeight="1">
      <c r="B27" s="348"/>
      <c r="C27" s="350"/>
      <c r="D27" s="350"/>
      <c r="E27" s="350"/>
      <c r="F27" s="350"/>
      <c r="G27" s="350"/>
      <c r="H27" s="350"/>
      <c r="I27" s="355"/>
      <c r="J27" s="353"/>
      <c r="K27" s="353"/>
      <c r="L27" s="353"/>
      <c r="M27" s="353"/>
      <c r="N27" s="354"/>
    </row>
    <row r="28" spans="2:14" ht="15" customHeight="1">
      <c r="B28" s="348"/>
      <c r="C28" s="350"/>
      <c r="D28" s="350"/>
      <c r="E28" s="350"/>
      <c r="F28" s="350"/>
      <c r="G28" s="350"/>
      <c r="H28" s="350"/>
      <c r="I28" s="355"/>
      <c r="J28" s="353"/>
      <c r="K28" s="353"/>
      <c r="L28" s="353"/>
      <c r="M28" s="353"/>
      <c r="N28" s="354"/>
    </row>
    <row r="29" spans="2:14" ht="15" customHeight="1">
      <c r="B29" s="348"/>
      <c r="C29" s="350"/>
      <c r="D29" s="350"/>
      <c r="E29" s="350"/>
      <c r="F29" s="350"/>
      <c r="G29" s="350"/>
      <c r="H29" s="350"/>
      <c r="I29" s="355"/>
      <c r="J29" s="353"/>
      <c r="K29" s="353"/>
      <c r="L29" s="353"/>
      <c r="M29" s="353"/>
      <c r="N29" s="354"/>
    </row>
    <row r="30" spans="2:14" ht="15" customHeight="1">
      <c r="B30" s="348"/>
      <c r="C30" s="350"/>
      <c r="D30" s="350"/>
      <c r="E30" s="350"/>
      <c r="F30" s="350"/>
      <c r="G30" s="350"/>
      <c r="H30" s="350"/>
      <c r="I30" s="355"/>
      <c r="J30" s="353"/>
      <c r="K30" s="353"/>
      <c r="L30" s="353"/>
      <c r="M30" s="353"/>
      <c r="N30" s="354"/>
    </row>
    <row r="31" spans="2:14" ht="15" customHeight="1">
      <c r="B31" s="348"/>
      <c r="C31" s="350"/>
      <c r="D31" s="350"/>
      <c r="E31" s="350"/>
      <c r="F31" s="350"/>
      <c r="G31" s="350"/>
      <c r="H31" s="350"/>
      <c r="I31" s="355"/>
      <c r="J31" s="353"/>
      <c r="K31" s="353"/>
      <c r="L31" s="353"/>
      <c r="M31" s="353"/>
      <c r="N31" s="354"/>
    </row>
    <row r="32" spans="2:14" ht="15" customHeight="1">
      <c r="B32" s="348"/>
      <c r="C32" s="350"/>
      <c r="D32" s="350"/>
      <c r="E32" s="350"/>
      <c r="F32" s="350"/>
      <c r="G32" s="350"/>
      <c r="H32" s="350"/>
      <c r="I32" s="355"/>
      <c r="J32" s="353"/>
      <c r="K32" s="353"/>
      <c r="L32" s="353"/>
      <c r="M32" s="353"/>
      <c r="N32" s="354"/>
    </row>
    <row r="33" spans="2:14" ht="15" customHeight="1">
      <c r="B33" s="348"/>
      <c r="C33" s="350"/>
      <c r="D33" s="350"/>
      <c r="E33" s="350"/>
      <c r="F33" s="350"/>
      <c r="G33" s="350"/>
      <c r="H33" s="350"/>
      <c r="I33" s="355"/>
      <c r="J33" s="353"/>
      <c r="K33" s="353"/>
      <c r="L33" s="353"/>
      <c r="M33" s="353"/>
      <c r="N33" s="354"/>
    </row>
    <row r="34" spans="2:14" ht="15" customHeight="1">
      <c r="B34" s="348"/>
      <c r="C34" s="350"/>
      <c r="D34" s="350"/>
      <c r="E34" s="350"/>
      <c r="F34" s="350"/>
      <c r="G34" s="350"/>
      <c r="H34" s="350"/>
      <c r="I34" s="355"/>
      <c r="J34" s="353"/>
      <c r="K34" s="353"/>
      <c r="L34" s="353"/>
      <c r="M34" s="353"/>
      <c r="N34" s="354"/>
    </row>
    <row r="35" spans="2:14" ht="15" customHeight="1">
      <c r="B35" s="348"/>
      <c r="C35" s="350"/>
      <c r="D35" s="350"/>
      <c r="E35" s="350"/>
      <c r="F35" s="350"/>
      <c r="G35" s="350"/>
      <c r="H35" s="350"/>
      <c r="I35" s="355"/>
      <c r="J35" s="353"/>
      <c r="K35" s="353"/>
      <c r="L35" s="353"/>
      <c r="M35" s="353"/>
      <c r="N35" s="354"/>
    </row>
    <row r="36" spans="2:14" ht="15" customHeight="1">
      <c r="B36" s="348"/>
      <c r="C36" s="350"/>
      <c r="D36" s="350"/>
      <c r="E36" s="350"/>
      <c r="F36" s="350"/>
      <c r="G36" s="350"/>
      <c r="H36" s="350"/>
      <c r="I36" s="355"/>
      <c r="J36" s="353"/>
      <c r="K36" s="353"/>
      <c r="L36" s="353"/>
      <c r="M36" s="353"/>
      <c r="N36" s="354"/>
    </row>
    <row r="37" spans="2:14" ht="15" customHeight="1">
      <c r="B37" s="348"/>
      <c r="C37" s="350"/>
      <c r="D37" s="350"/>
      <c r="E37" s="350"/>
      <c r="F37" s="350"/>
      <c r="G37" s="350"/>
      <c r="H37" s="350"/>
      <c r="I37" s="355"/>
      <c r="J37" s="353"/>
      <c r="K37" s="353"/>
      <c r="L37" s="353"/>
      <c r="M37" s="353"/>
      <c r="N37" s="354"/>
    </row>
    <row r="38" spans="2:14" ht="15" customHeight="1">
      <c r="B38" s="348"/>
      <c r="C38" s="350"/>
      <c r="D38" s="350"/>
      <c r="E38" s="350"/>
      <c r="F38" s="350"/>
      <c r="G38" s="350"/>
      <c r="H38" s="350"/>
      <c r="I38" s="355"/>
      <c r="J38" s="353"/>
      <c r="K38" s="353"/>
      <c r="L38" s="353"/>
      <c r="M38" s="353"/>
      <c r="N38" s="354"/>
    </row>
    <row r="39" spans="2:14" ht="15" customHeight="1">
      <c r="B39" s="348"/>
      <c r="C39" s="350"/>
      <c r="D39" s="350"/>
      <c r="E39" s="350"/>
      <c r="F39" s="350"/>
      <c r="G39" s="350"/>
      <c r="H39" s="350"/>
      <c r="I39" s="355"/>
      <c r="J39" s="353"/>
      <c r="K39" s="353"/>
      <c r="L39" s="353"/>
      <c r="M39" s="353"/>
      <c r="N39" s="354"/>
    </row>
    <row r="40" spans="2:14" ht="15" customHeight="1">
      <c r="B40" s="348"/>
      <c r="C40" s="350"/>
      <c r="D40" s="350"/>
      <c r="E40" s="350"/>
      <c r="F40" s="350"/>
      <c r="G40" s="350"/>
      <c r="H40" s="350"/>
      <c r="I40" s="355"/>
      <c r="J40" s="353"/>
      <c r="K40" s="353"/>
      <c r="L40" s="353"/>
      <c r="M40" s="353"/>
      <c r="N40" s="354"/>
    </row>
    <row r="41" spans="2:14" ht="15" customHeight="1">
      <c r="B41" s="348"/>
      <c r="C41" s="350"/>
      <c r="D41" s="350"/>
      <c r="E41" s="350"/>
      <c r="F41" s="350"/>
      <c r="G41" s="350"/>
      <c r="H41" s="350"/>
      <c r="I41" s="355"/>
      <c r="J41" s="353"/>
      <c r="K41" s="353"/>
      <c r="L41" s="353"/>
      <c r="M41" s="353"/>
      <c r="N41" s="354"/>
    </row>
    <row r="42" spans="2:14" ht="15" customHeight="1">
      <c r="B42" s="348"/>
      <c r="C42" s="350"/>
      <c r="D42" s="350"/>
      <c r="E42" s="350"/>
      <c r="F42" s="350"/>
      <c r="G42" s="350"/>
      <c r="H42" s="350"/>
      <c r="I42" s="355"/>
      <c r="J42" s="353"/>
      <c r="K42" s="353"/>
      <c r="L42" s="353"/>
      <c r="M42" s="353"/>
      <c r="N42" s="354"/>
    </row>
    <row r="43" spans="2:14" ht="15" customHeight="1">
      <c r="B43" s="348"/>
      <c r="C43" s="350"/>
      <c r="D43" s="350"/>
      <c r="E43" s="350"/>
      <c r="F43" s="350"/>
      <c r="G43" s="350"/>
      <c r="H43" s="350"/>
      <c r="I43" s="355"/>
      <c r="J43" s="353"/>
      <c r="K43" s="353"/>
      <c r="L43" s="353"/>
      <c r="M43" s="353"/>
      <c r="N43" s="354"/>
    </row>
    <row r="44" spans="2:14" ht="15" customHeight="1">
      <c r="B44" s="348"/>
      <c r="C44" s="350"/>
      <c r="D44" s="350"/>
      <c r="E44" s="350"/>
      <c r="F44" s="350"/>
      <c r="G44" s="350"/>
      <c r="H44" s="350"/>
      <c r="I44" s="355"/>
      <c r="J44" s="353"/>
      <c r="K44" s="353"/>
      <c r="L44" s="353"/>
      <c r="M44" s="353"/>
      <c r="N44" s="354"/>
    </row>
    <row r="45" spans="2:14" ht="15" customHeight="1">
      <c r="B45" s="348"/>
      <c r="C45" s="350"/>
      <c r="D45" s="350"/>
      <c r="E45" s="350"/>
      <c r="F45" s="350"/>
      <c r="G45" s="350"/>
      <c r="H45" s="350"/>
      <c r="I45" s="355"/>
      <c r="J45" s="353"/>
      <c r="K45" s="353"/>
      <c r="L45" s="353"/>
      <c r="M45" s="353"/>
      <c r="N45" s="354"/>
    </row>
    <row r="46" spans="2:14" ht="15" customHeight="1">
      <c r="B46" s="348"/>
      <c r="C46" s="350"/>
      <c r="D46" s="350"/>
      <c r="E46" s="350"/>
      <c r="F46" s="350"/>
      <c r="G46" s="350"/>
      <c r="H46" s="350"/>
      <c r="I46" s="355"/>
      <c r="J46" s="353"/>
      <c r="K46" s="353"/>
      <c r="L46" s="353"/>
      <c r="M46" s="353"/>
      <c r="N46" s="354"/>
    </row>
    <row r="47" spans="2:14" ht="15" customHeight="1">
      <c r="B47" s="348"/>
      <c r="C47" s="350"/>
      <c r="D47" s="350"/>
      <c r="E47" s="350"/>
      <c r="F47" s="350"/>
      <c r="G47" s="350"/>
      <c r="H47" s="350"/>
      <c r="I47" s="355"/>
      <c r="J47" s="353"/>
      <c r="K47" s="353"/>
      <c r="L47" s="353"/>
      <c r="M47" s="353"/>
      <c r="N47" s="354"/>
    </row>
    <row r="48" spans="2:14" ht="15" customHeight="1">
      <c r="B48" s="348"/>
      <c r="C48" s="350"/>
      <c r="D48" s="350"/>
      <c r="E48" s="350"/>
      <c r="F48" s="350"/>
      <c r="G48" s="350"/>
      <c r="H48" s="350"/>
      <c r="I48" s="355"/>
      <c r="J48" s="353"/>
      <c r="K48" s="353"/>
      <c r="L48" s="353"/>
      <c r="M48" s="353"/>
      <c r="N48" s="354"/>
    </row>
    <row r="49" spans="2:14" ht="15" customHeight="1">
      <c r="B49" s="348"/>
      <c r="C49" s="350"/>
      <c r="D49" s="350"/>
      <c r="E49" s="350"/>
      <c r="F49" s="350"/>
      <c r="G49" s="350"/>
      <c r="H49" s="350"/>
      <c r="I49" s="355"/>
      <c r="J49" s="353"/>
      <c r="K49" s="353"/>
      <c r="L49" s="353"/>
      <c r="M49" s="353"/>
      <c r="N49" s="354"/>
    </row>
    <row r="50" spans="2:14" ht="15" customHeight="1">
      <c r="B50" s="348"/>
      <c r="C50" s="350"/>
      <c r="D50" s="350"/>
      <c r="E50" s="350"/>
      <c r="F50" s="350"/>
      <c r="G50" s="350"/>
      <c r="H50" s="350"/>
      <c r="I50" s="355"/>
      <c r="J50" s="353"/>
      <c r="K50" s="353"/>
      <c r="L50" s="353"/>
      <c r="M50" s="353"/>
      <c r="N50" s="354"/>
    </row>
    <row r="51" spans="2:14" ht="15" customHeight="1">
      <c r="B51" s="348"/>
      <c r="C51" s="350"/>
      <c r="D51" s="350"/>
      <c r="E51" s="350"/>
      <c r="F51" s="350"/>
      <c r="G51" s="350"/>
      <c r="H51" s="350"/>
      <c r="I51" s="355"/>
      <c r="J51" s="353"/>
      <c r="K51" s="353"/>
      <c r="L51" s="353"/>
      <c r="M51" s="353"/>
      <c r="N51" s="354"/>
    </row>
    <row r="52" spans="2:14" ht="15" customHeight="1" thickBot="1">
      <c r="B52" s="357"/>
      <c r="C52" s="358"/>
      <c r="D52" s="358"/>
      <c r="E52" s="358"/>
      <c r="F52" s="358"/>
      <c r="G52" s="358"/>
      <c r="H52" s="358"/>
      <c r="I52" s="359"/>
      <c r="J52" s="360"/>
      <c r="K52" s="360"/>
      <c r="L52" s="360"/>
      <c r="M52" s="360"/>
      <c r="N52" s="361"/>
    </row>
    <row r="53" spans="2:14" ht="20.25" customHeight="1" thickBot="1">
      <c r="B53" s="641" t="s">
        <v>377</v>
      </c>
      <c r="C53" s="641"/>
      <c r="D53" s="641"/>
      <c r="E53" s="641"/>
      <c r="F53" s="641"/>
      <c r="G53" s="641"/>
      <c r="H53" s="641"/>
      <c r="I53" s="641"/>
      <c r="J53" s="641"/>
      <c r="K53" s="641"/>
      <c r="L53" s="641"/>
      <c r="M53" s="641"/>
      <c r="N53" s="641"/>
    </row>
    <row r="54" spans="2:14" ht="15" customHeight="1" thickBot="1">
      <c r="B54" s="362" t="s">
        <v>378</v>
      </c>
      <c r="C54" s="642" t="s">
        <v>375</v>
      </c>
      <c r="D54" s="643"/>
      <c r="E54" s="643"/>
      <c r="F54" s="643"/>
      <c r="G54" s="643"/>
      <c r="H54" s="363"/>
      <c r="I54" s="642" t="s">
        <v>370</v>
      </c>
      <c r="J54" s="643"/>
      <c r="K54" s="644"/>
      <c r="L54" s="642" t="s">
        <v>379</v>
      </c>
      <c r="M54" s="643"/>
      <c r="N54" s="645"/>
    </row>
    <row r="55" spans="2:14" ht="15" customHeight="1">
      <c r="B55" s="364"/>
      <c r="C55" s="646"/>
      <c r="D55" s="647"/>
      <c r="E55" s="647"/>
      <c r="F55" s="647"/>
      <c r="G55" s="647"/>
      <c r="H55" s="365"/>
      <c r="I55" s="648"/>
      <c r="J55" s="649"/>
      <c r="K55" s="650"/>
      <c r="L55" s="651"/>
      <c r="M55" s="652"/>
      <c r="N55" s="653"/>
    </row>
    <row r="56" spans="2:14" ht="15" customHeight="1">
      <c r="B56" s="366"/>
      <c r="C56" s="623"/>
      <c r="D56" s="624"/>
      <c r="E56" s="624"/>
      <c r="F56" s="624"/>
      <c r="G56" s="624"/>
      <c r="H56" s="367"/>
      <c r="I56" s="625"/>
      <c r="J56" s="626"/>
      <c r="K56" s="627"/>
      <c r="L56" s="628"/>
      <c r="M56" s="629"/>
      <c r="N56" s="630"/>
    </row>
    <row r="57" spans="2:14" ht="15" customHeight="1">
      <c r="B57" s="366"/>
      <c r="C57" s="623"/>
      <c r="D57" s="624"/>
      <c r="E57" s="624"/>
      <c r="F57" s="624"/>
      <c r="G57" s="624"/>
      <c r="H57" s="367"/>
      <c r="I57" s="625"/>
      <c r="J57" s="626"/>
      <c r="K57" s="627"/>
      <c r="L57" s="628"/>
      <c r="M57" s="629"/>
      <c r="N57" s="630"/>
    </row>
    <row r="58" spans="2:14" ht="15" customHeight="1">
      <c r="B58" s="366"/>
      <c r="C58" s="623"/>
      <c r="D58" s="624"/>
      <c r="E58" s="624"/>
      <c r="F58" s="624"/>
      <c r="G58" s="624"/>
      <c r="H58" s="367"/>
      <c r="I58" s="625"/>
      <c r="J58" s="626"/>
      <c r="K58" s="627"/>
      <c r="L58" s="628"/>
      <c r="M58" s="629"/>
      <c r="N58" s="630"/>
    </row>
    <row r="59" spans="2:14" ht="15" customHeight="1">
      <c r="B59" s="366"/>
      <c r="C59" s="623"/>
      <c r="D59" s="624"/>
      <c r="E59" s="624"/>
      <c r="F59" s="624"/>
      <c r="G59" s="624"/>
      <c r="H59" s="367"/>
      <c r="I59" s="625"/>
      <c r="J59" s="626"/>
      <c r="K59" s="627"/>
      <c r="L59" s="628"/>
      <c r="M59" s="629"/>
      <c r="N59" s="630"/>
    </row>
    <row r="60" spans="2:14" ht="15" customHeight="1">
      <c r="B60" s="366"/>
      <c r="C60" s="623"/>
      <c r="D60" s="624"/>
      <c r="E60" s="624"/>
      <c r="F60" s="624"/>
      <c r="G60" s="624"/>
      <c r="H60" s="367"/>
      <c r="I60" s="625"/>
      <c r="J60" s="626"/>
      <c r="K60" s="627"/>
      <c r="L60" s="628"/>
      <c r="M60" s="629"/>
      <c r="N60" s="630"/>
    </row>
    <row r="61" spans="2:14" ht="15" customHeight="1">
      <c r="B61" s="366"/>
      <c r="C61" s="623"/>
      <c r="D61" s="624"/>
      <c r="E61" s="624"/>
      <c r="F61" s="624"/>
      <c r="G61" s="624"/>
      <c r="H61" s="367"/>
      <c r="I61" s="625"/>
      <c r="J61" s="626"/>
      <c r="K61" s="627"/>
      <c r="L61" s="628"/>
      <c r="M61" s="629"/>
      <c r="N61" s="630"/>
    </row>
    <row r="62" spans="2:14" ht="15" customHeight="1">
      <c r="B62" s="366"/>
      <c r="C62" s="623"/>
      <c r="D62" s="624"/>
      <c r="E62" s="624"/>
      <c r="F62" s="624"/>
      <c r="G62" s="624"/>
      <c r="H62" s="367"/>
      <c r="I62" s="625"/>
      <c r="J62" s="626"/>
      <c r="K62" s="627"/>
      <c r="L62" s="628"/>
      <c r="M62" s="629"/>
      <c r="N62" s="630"/>
    </row>
    <row r="63" spans="2:14" ht="15" customHeight="1">
      <c r="B63" s="366"/>
      <c r="C63" s="623"/>
      <c r="D63" s="624"/>
      <c r="E63" s="624"/>
      <c r="F63" s="624"/>
      <c r="G63" s="624"/>
      <c r="H63" s="367"/>
      <c r="I63" s="625"/>
      <c r="J63" s="626"/>
      <c r="K63" s="627"/>
      <c r="L63" s="628"/>
      <c r="M63" s="629"/>
      <c r="N63" s="630"/>
    </row>
    <row r="64" spans="2:14" ht="15" customHeight="1">
      <c r="B64" s="366"/>
      <c r="C64" s="623"/>
      <c r="D64" s="624"/>
      <c r="E64" s="624"/>
      <c r="F64" s="624"/>
      <c r="G64" s="624"/>
      <c r="H64" s="367"/>
      <c r="I64" s="625"/>
      <c r="J64" s="626"/>
      <c r="K64" s="627"/>
      <c r="L64" s="628"/>
      <c r="M64" s="629"/>
      <c r="N64" s="630"/>
    </row>
    <row r="65" spans="2:14" ht="15" customHeight="1">
      <c r="B65" s="366"/>
      <c r="C65" s="623"/>
      <c r="D65" s="624"/>
      <c r="E65" s="624"/>
      <c r="F65" s="624"/>
      <c r="G65" s="624"/>
      <c r="H65" s="367"/>
      <c r="I65" s="625"/>
      <c r="J65" s="626"/>
      <c r="K65" s="627"/>
      <c r="L65" s="628"/>
      <c r="M65" s="629"/>
      <c r="N65" s="630"/>
    </row>
    <row r="66" spans="2:14" ht="15" customHeight="1">
      <c r="B66" s="366"/>
      <c r="C66" s="623"/>
      <c r="D66" s="624"/>
      <c r="E66" s="624"/>
      <c r="F66" s="624"/>
      <c r="G66" s="624"/>
      <c r="H66" s="367"/>
      <c r="I66" s="625"/>
      <c r="J66" s="626"/>
      <c r="K66" s="627"/>
      <c r="L66" s="628"/>
      <c r="M66" s="629"/>
      <c r="N66" s="630"/>
    </row>
    <row r="67" spans="2:14" ht="15" customHeight="1">
      <c r="B67" s="366"/>
      <c r="C67" s="623"/>
      <c r="D67" s="624"/>
      <c r="E67" s="624"/>
      <c r="F67" s="624"/>
      <c r="G67" s="624"/>
      <c r="H67" s="367"/>
      <c r="I67" s="625"/>
      <c r="J67" s="626"/>
      <c r="K67" s="627"/>
      <c r="L67" s="628"/>
      <c r="M67" s="629"/>
      <c r="N67" s="630"/>
    </row>
    <row r="68" spans="2:14" ht="15" customHeight="1">
      <c r="B68" s="366"/>
      <c r="C68" s="623"/>
      <c r="D68" s="624"/>
      <c r="E68" s="624"/>
      <c r="F68" s="624"/>
      <c r="G68" s="624"/>
      <c r="H68" s="367"/>
      <c r="I68" s="625"/>
      <c r="J68" s="626"/>
      <c r="K68" s="627"/>
      <c r="L68" s="628"/>
      <c r="M68" s="629"/>
      <c r="N68" s="630"/>
    </row>
    <row r="69" spans="2:14" ht="15" customHeight="1">
      <c r="B69" s="366"/>
      <c r="C69" s="623"/>
      <c r="D69" s="624"/>
      <c r="E69" s="624"/>
      <c r="F69" s="624"/>
      <c r="G69" s="624"/>
      <c r="H69" s="367"/>
      <c r="I69" s="625"/>
      <c r="J69" s="626"/>
      <c r="K69" s="627"/>
      <c r="L69" s="628"/>
      <c r="M69" s="629"/>
      <c r="N69" s="630"/>
    </row>
    <row r="70" spans="2:14" ht="15" customHeight="1">
      <c r="B70" s="366"/>
      <c r="C70" s="623"/>
      <c r="D70" s="624"/>
      <c r="E70" s="624"/>
      <c r="F70" s="624"/>
      <c r="G70" s="624"/>
      <c r="H70" s="367"/>
      <c r="I70" s="625"/>
      <c r="J70" s="626"/>
      <c r="K70" s="627"/>
      <c r="L70" s="628"/>
      <c r="M70" s="629"/>
      <c r="N70" s="630"/>
    </row>
    <row r="71" spans="2:14" ht="15" customHeight="1">
      <c r="B71" s="366"/>
      <c r="C71" s="623"/>
      <c r="D71" s="624"/>
      <c r="E71" s="624"/>
      <c r="F71" s="624"/>
      <c r="G71" s="624"/>
      <c r="H71" s="367"/>
      <c r="I71" s="625"/>
      <c r="J71" s="626"/>
      <c r="K71" s="627"/>
      <c r="L71" s="628"/>
      <c r="M71" s="629"/>
      <c r="N71" s="630"/>
    </row>
    <row r="72" spans="2:14">
      <c r="B72" s="366"/>
      <c r="C72" s="623"/>
      <c r="D72" s="624"/>
      <c r="E72" s="624"/>
      <c r="F72" s="624"/>
      <c r="G72" s="624"/>
      <c r="H72" s="367"/>
      <c r="I72" s="625"/>
      <c r="J72" s="626"/>
      <c r="K72" s="627"/>
      <c r="L72" s="628"/>
      <c r="M72" s="629"/>
      <c r="N72" s="630"/>
    </row>
    <row r="73" spans="2:14">
      <c r="B73" s="366"/>
      <c r="C73" s="623"/>
      <c r="D73" s="624"/>
      <c r="E73" s="624"/>
      <c r="F73" s="624"/>
      <c r="G73" s="624"/>
      <c r="H73" s="367"/>
      <c r="I73" s="625"/>
      <c r="J73" s="626"/>
      <c r="K73" s="627"/>
      <c r="L73" s="628"/>
      <c r="M73" s="629"/>
      <c r="N73" s="630"/>
    </row>
    <row r="74" spans="2:14">
      <c r="B74" s="366"/>
      <c r="C74" s="623"/>
      <c r="D74" s="624"/>
      <c r="E74" s="624"/>
      <c r="F74" s="624"/>
      <c r="G74" s="624"/>
      <c r="H74" s="367"/>
      <c r="I74" s="625"/>
      <c r="J74" s="626"/>
      <c r="K74" s="627"/>
      <c r="L74" s="628"/>
      <c r="M74" s="629"/>
      <c r="N74" s="630"/>
    </row>
    <row r="75" spans="2:14">
      <c r="B75" s="366"/>
      <c r="C75" s="623"/>
      <c r="D75" s="624"/>
      <c r="E75" s="624"/>
      <c r="F75" s="624"/>
      <c r="G75" s="624"/>
      <c r="H75" s="367"/>
      <c r="I75" s="625"/>
      <c r="J75" s="626"/>
      <c r="K75" s="627"/>
      <c r="L75" s="628"/>
      <c r="M75" s="629"/>
      <c r="N75" s="630"/>
    </row>
    <row r="76" spans="2:14">
      <c r="B76" s="366"/>
      <c r="C76" s="623"/>
      <c r="D76" s="624"/>
      <c r="E76" s="624"/>
      <c r="F76" s="624"/>
      <c r="G76" s="624"/>
      <c r="H76" s="367"/>
      <c r="I76" s="625"/>
      <c r="J76" s="626"/>
      <c r="K76" s="627"/>
      <c r="L76" s="628"/>
      <c r="M76" s="629"/>
      <c r="N76" s="630"/>
    </row>
    <row r="77" spans="2:14">
      <c r="B77" s="366"/>
      <c r="C77" s="623"/>
      <c r="D77" s="624"/>
      <c r="E77" s="624"/>
      <c r="F77" s="624"/>
      <c r="G77" s="624"/>
      <c r="H77" s="367"/>
      <c r="I77" s="625"/>
      <c r="J77" s="626"/>
      <c r="K77" s="627"/>
      <c r="L77" s="628"/>
      <c r="M77" s="629"/>
      <c r="N77" s="630"/>
    </row>
    <row r="78" spans="2:14">
      <c r="B78" s="366"/>
      <c r="C78" s="623"/>
      <c r="D78" s="624"/>
      <c r="E78" s="624"/>
      <c r="F78" s="624"/>
      <c r="G78" s="624"/>
      <c r="H78" s="367"/>
      <c r="I78" s="625"/>
      <c r="J78" s="626"/>
      <c r="K78" s="627"/>
      <c r="L78" s="628"/>
      <c r="M78" s="629"/>
      <c r="N78" s="630"/>
    </row>
    <row r="79" spans="2:14" ht="13.5" thickBot="1">
      <c r="B79" s="368"/>
      <c r="C79" s="631"/>
      <c r="D79" s="632"/>
      <c r="E79" s="632"/>
      <c r="F79" s="632"/>
      <c r="G79" s="632"/>
      <c r="H79" s="369"/>
      <c r="I79" s="633"/>
      <c r="J79" s="634"/>
      <c r="K79" s="635"/>
      <c r="L79" s="636"/>
      <c r="M79" s="637"/>
      <c r="N79" s="638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>
      <selection activeCell="A2" sqref="A2"/>
    </sheetView>
  </sheetViews>
  <sheetFormatPr defaultRowHeight="12.75"/>
  <cols>
    <col min="1" max="1" width="19.7109375" style="383" customWidth="1"/>
    <col min="2" max="7" width="10.7109375" style="383" customWidth="1"/>
    <col min="8" max="16384" width="9.140625" style="383"/>
  </cols>
  <sheetData>
    <row r="1" spans="1:12" ht="21" customHeight="1">
      <c r="A1" s="382" t="s">
        <v>404</v>
      </c>
      <c r="B1" s="663" t="s">
        <v>443</v>
      </c>
      <c r="C1" s="663"/>
      <c r="D1" s="663"/>
      <c r="E1" s="663"/>
      <c r="F1" s="663"/>
      <c r="G1" s="663"/>
    </row>
    <row r="2" spans="1:12" ht="15" customHeight="1"/>
    <row r="3" spans="1:12" ht="20.25">
      <c r="A3" s="384" t="s">
        <v>405</v>
      </c>
    </row>
    <row r="4" spans="1:12" ht="12" customHeight="1">
      <c r="A4" s="385"/>
      <c r="B4" s="385"/>
      <c r="C4" s="385"/>
      <c r="D4" s="385" t="s">
        <v>457</v>
      </c>
      <c r="E4" s="385"/>
      <c r="F4" s="385"/>
      <c r="G4" s="385"/>
      <c r="H4" s="385"/>
      <c r="I4" s="385"/>
      <c r="J4" s="385"/>
      <c r="K4" s="385"/>
      <c r="L4" s="385"/>
    </row>
    <row r="5" spans="1:12" ht="15.6" customHeight="1">
      <c r="A5" s="386" t="s">
        <v>5</v>
      </c>
      <c r="B5" s="386" t="s">
        <v>406</v>
      </c>
      <c r="C5" s="386" t="s">
        <v>407</v>
      </c>
      <c r="D5" s="386" t="s">
        <v>408</v>
      </c>
      <c r="E5" s="386" t="s">
        <v>409</v>
      </c>
      <c r="F5" s="386" t="s">
        <v>410</v>
      </c>
      <c r="G5" s="386" t="s">
        <v>411</v>
      </c>
      <c r="H5" s="385"/>
      <c r="I5" s="385"/>
      <c r="J5" s="385"/>
      <c r="K5" s="385"/>
      <c r="L5" s="385"/>
    </row>
    <row r="6" spans="1:12" ht="15.6" customHeight="1">
      <c r="A6" s="387" t="s">
        <v>412</v>
      </c>
      <c r="B6" s="387" t="s">
        <v>166</v>
      </c>
      <c r="C6" s="387" t="s">
        <v>166</v>
      </c>
      <c r="D6" s="387" t="s">
        <v>413</v>
      </c>
      <c r="E6" s="387" t="s">
        <v>135</v>
      </c>
      <c r="F6" s="387" t="s">
        <v>414</v>
      </c>
      <c r="G6" s="387" t="s">
        <v>414</v>
      </c>
      <c r="H6" s="385"/>
      <c r="I6" s="385"/>
      <c r="J6" s="385"/>
      <c r="K6" s="385"/>
      <c r="L6" s="385"/>
    </row>
    <row r="7" spans="1:12" ht="15.95" customHeight="1">
      <c r="A7" s="388" t="s">
        <v>444</v>
      </c>
      <c r="B7" s="388" t="s">
        <v>458</v>
      </c>
      <c r="C7" s="388" t="s">
        <v>470</v>
      </c>
      <c r="D7" s="388" t="s">
        <v>481</v>
      </c>
      <c r="E7" s="388" t="s">
        <v>493</v>
      </c>
      <c r="F7" s="388" t="s">
        <v>505</v>
      </c>
      <c r="G7" s="388" t="s">
        <v>516</v>
      </c>
      <c r="H7" s="385"/>
      <c r="I7" s="385"/>
      <c r="J7" s="385"/>
      <c r="K7" s="385"/>
      <c r="L7" s="385"/>
    </row>
    <row r="8" spans="1:12" ht="15.95" customHeight="1">
      <c r="A8" s="388" t="s">
        <v>445</v>
      </c>
      <c r="B8" s="388" t="s">
        <v>459</v>
      </c>
      <c r="C8" s="388" t="s">
        <v>471</v>
      </c>
      <c r="D8" s="388" t="s">
        <v>482</v>
      </c>
      <c r="E8" s="388" t="s">
        <v>494</v>
      </c>
      <c r="F8" s="388" t="s">
        <v>506</v>
      </c>
      <c r="G8" s="388" t="s">
        <v>517</v>
      </c>
      <c r="H8" s="385"/>
      <c r="I8" s="385"/>
      <c r="J8" s="385"/>
      <c r="K8" s="385"/>
      <c r="L8" s="385"/>
    </row>
    <row r="9" spans="1:12" ht="15.95" customHeight="1">
      <c r="A9" s="388" t="s">
        <v>446</v>
      </c>
      <c r="B9" s="388" t="s">
        <v>460</v>
      </c>
      <c r="C9" s="388" t="s">
        <v>472</v>
      </c>
      <c r="D9" s="388" t="s">
        <v>483</v>
      </c>
      <c r="E9" s="388" t="s">
        <v>495</v>
      </c>
      <c r="F9" s="388" t="s">
        <v>507</v>
      </c>
      <c r="G9" s="388" t="s">
        <v>518</v>
      </c>
      <c r="H9" s="385"/>
      <c r="I9" s="385"/>
      <c r="J9" s="385"/>
      <c r="K9" s="385"/>
      <c r="L9" s="385"/>
    </row>
    <row r="10" spans="1:12" ht="15.95" customHeight="1">
      <c r="A10" s="388" t="s">
        <v>447</v>
      </c>
      <c r="B10" s="388" t="s">
        <v>461</v>
      </c>
      <c r="C10" s="388" t="s">
        <v>472</v>
      </c>
      <c r="D10" s="388" t="s">
        <v>484</v>
      </c>
      <c r="E10" s="388" t="s">
        <v>496</v>
      </c>
      <c r="F10" s="388" t="s">
        <v>508</v>
      </c>
      <c r="G10" s="388" t="s">
        <v>519</v>
      </c>
      <c r="H10" s="385"/>
      <c r="I10" s="385"/>
      <c r="J10" s="385"/>
      <c r="K10" s="385"/>
      <c r="L10" s="385"/>
    </row>
    <row r="11" spans="1:12" ht="15.95" customHeight="1">
      <c r="A11" s="388" t="s">
        <v>448</v>
      </c>
      <c r="B11" s="388" t="s">
        <v>462</v>
      </c>
      <c r="C11" s="388" t="s">
        <v>473</v>
      </c>
      <c r="D11" s="388" t="s">
        <v>485</v>
      </c>
      <c r="E11" s="388" t="s">
        <v>497</v>
      </c>
      <c r="F11" s="388" t="s">
        <v>509</v>
      </c>
      <c r="G11" s="388" t="s">
        <v>520</v>
      </c>
      <c r="H11" s="385"/>
      <c r="I11" s="385"/>
      <c r="J11" s="385"/>
      <c r="K11" s="385"/>
      <c r="L11" s="385"/>
    </row>
    <row r="12" spans="1:12" ht="15.95" customHeight="1">
      <c r="A12" s="388" t="s">
        <v>449</v>
      </c>
      <c r="B12" s="388" t="s">
        <v>463</v>
      </c>
      <c r="C12" s="388" t="s">
        <v>474</v>
      </c>
      <c r="D12" s="388" t="s">
        <v>486</v>
      </c>
      <c r="E12" s="388" t="s">
        <v>498</v>
      </c>
      <c r="F12" s="388" t="s">
        <v>510</v>
      </c>
      <c r="G12" s="388" t="s">
        <v>521</v>
      </c>
      <c r="H12" s="385"/>
      <c r="I12" s="385"/>
      <c r="J12" s="385"/>
      <c r="K12" s="385"/>
      <c r="L12" s="385"/>
    </row>
    <row r="13" spans="1:12" ht="15.95" customHeight="1">
      <c r="A13" s="388" t="s">
        <v>450</v>
      </c>
      <c r="B13" s="388" t="s">
        <v>464</v>
      </c>
      <c r="C13" s="388" t="s">
        <v>475</v>
      </c>
      <c r="D13" s="388" t="s">
        <v>487</v>
      </c>
      <c r="E13" s="388" t="s">
        <v>499</v>
      </c>
      <c r="F13" s="388" t="s">
        <v>511</v>
      </c>
      <c r="G13" s="388" t="s">
        <v>522</v>
      </c>
      <c r="H13" s="385"/>
      <c r="I13" s="385"/>
      <c r="J13" s="385"/>
      <c r="K13" s="385"/>
      <c r="L13" s="385"/>
    </row>
    <row r="14" spans="1:12" ht="15.95" customHeight="1">
      <c r="A14" s="388" t="s">
        <v>451</v>
      </c>
      <c r="B14" s="388" t="s">
        <v>465</v>
      </c>
      <c r="C14" s="388" t="s">
        <v>476</v>
      </c>
      <c r="D14" s="388" t="s">
        <v>488</v>
      </c>
      <c r="E14" s="388" t="s">
        <v>500</v>
      </c>
      <c r="F14" s="388" t="s">
        <v>512</v>
      </c>
      <c r="G14" s="388" t="s">
        <v>523</v>
      </c>
      <c r="H14" s="385"/>
      <c r="I14" s="385"/>
      <c r="J14" s="385"/>
      <c r="K14" s="385"/>
      <c r="L14" s="385"/>
    </row>
    <row r="15" spans="1:12" ht="15.95" customHeight="1">
      <c r="A15" s="388" t="s">
        <v>452</v>
      </c>
      <c r="B15" s="388" t="s">
        <v>466</v>
      </c>
      <c r="C15" s="388" t="s">
        <v>477</v>
      </c>
      <c r="D15" s="388" t="s">
        <v>489</v>
      </c>
      <c r="E15" s="388" t="s">
        <v>501</v>
      </c>
      <c r="F15" s="388" t="s">
        <v>513</v>
      </c>
      <c r="G15" s="388" t="s">
        <v>462</v>
      </c>
      <c r="H15" s="385"/>
      <c r="I15" s="385"/>
      <c r="J15" s="385"/>
      <c r="K15" s="385"/>
      <c r="L15" s="385"/>
    </row>
    <row r="16" spans="1:12" ht="15.95" customHeight="1">
      <c r="A16" s="388" t="s">
        <v>453</v>
      </c>
      <c r="B16" s="388" t="s">
        <v>467</v>
      </c>
      <c r="C16" s="388" t="s">
        <v>478</v>
      </c>
      <c r="D16" s="388" t="s">
        <v>490</v>
      </c>
      <c r="E16" s="388" t="s">
        <v>502</v>
      </c>
      <c r="F16" s="388" t="s">
        <v>514</v>
      </c>
      <c r="G16" s="388" t="s">
        <v>524</v>
      </c>
      <c r="H16" s="385"/>
      <c r="I16" s="385"/>
      <c r="J16" s="385"/>
      <c r="K16" s="385"/>
      <c r="L16" s="385"/>
    </row>
    <row r="17" spans="1:12" ht="15.95" customHeight="1">
      <c r="A17" s="388" t="s">
        <v>454</v>
      </c>
      <c r="B17" s="388" t="s">
        <v>468</v>
      </c>
      <c r="C17" s="388" t="s">
        <v>479</v>
      </c>
      <c r="D17" s="388" t="s">
        <v>491</v>
      </c>
      <c r="E17" s="388" t="s">
        <v>503</v>
      </c>
      <c r="F17" s="388" t="s">
        <v>474</v>
      </c>
      <c r="G17" s="388" t="s">
        <v>525</v>
      </c>
      <c r="H17" s="385"/>
      <c r="I17" s="385"/>
      <c r="J17" s="385"/>
      <c r="K17" s="385"/>
      <c r="L17" s="385"/>
    </row>
    <row r="18" spans="1:12" ht="15.95" customHeight="1">
      <c r="A18" s="388" t="s">
        <v>455</v>
      </c>
      <c r="B18" s="388" t="s">
        <v>469</v>
      </c>
      <c r="C18" s="388" t="s">
        <v>480</v>
      </c>
      <c r="D18" s="388" t="s">
        <v>492</v>
      </c>
      <c r="E18" s="388" t="s">
        <v>504</v>
      </c>
      <c r="F18" s="388" t="s">
        <v>515</v>
      </c>
      <c r="G18" s="388" t="s">
        <v>526</v>
      </c>
      <c r="H18" s="385"/>
      <c r="I18" s="385"/>
      <c r="J18" s="385"/>
      <c r="K18" s="385"/>
      <c r="L18" s="385"/>
    </row>
    <row r="19" spans="1:12" ht="15.95" customHeight="1">
      <c r="A19" s="395" t="s">
        <v>456</v>
      </c>
      <c r="B19" s="395" t="s">
        <v>456</v>
      </c>
      <c r="C19" s="395" t="s">
        <v>456</v>
      </c>
      <c r="D19" s="395" t="s">
        <v>456</v>
      </c>
      <c r="E19" s="395" t="s">
        <v>456</v>
      </c>
      <c r="F19" s="395" t="s">
        <v>456</v>
      </c>
      <c r="G19" s="395" t="s">
        <v>456</v>
      </c>
      <c r="H19" s="385"/>
      <c r="I19" s="385"/>
      <c r="J19" s="385"/>
      <c r="K19" s="385"/>
      <c r="L19" s="385"/>
    </row>
    <row r="20" spans="1:12" ht="15.75">
      <c r="A20" s="385"/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1:12" ht="15.75">
      <c r="A21" s="385"/>
      <c r="B21" s="385"/>
      <c r="C21" s="385"/>
      <c r="D21" s="664" t="s">
        <v>536</v>
      </c>
      <c r="E21" s="660"/>
      <c r="F21" s="660"/>
      <c r="G21" s="661"/>
      <c r="H21" s="385"/>
      <c r="I21" s="385"/>
      <c r="J21" s="385"/>
      <c r="K21" s="385"/>
      <c r="L21" s="385"/>
    </row>
    <row r="22" spans="1:12" ht="17.25" customHeight="1">
      <c r="A22" s="385"/>
      <c r="B22" s="662" t="s">
        <v>415</v>
      </c>
      <c r="C22" s="662"/>
      <c r="D22" s="662" t="s">
        <v>416</v>
      </c>
      <c r="E22" s="662"/>
      <c r="F22" s="662" t="s">
        <v>417</v>
      </c>
      <c r="G22" s="662"/>
      <c r="H22" s="385"/>
      <c r="I22" s="385"/>
      <c r="J22" s="385"/>
      <c r="K22" s="385"/>
      <c r="L22" s="385"/>
    </row>
    <row r="23" spans="1:12" ht="15.75">
      <c r="A23" s="389" t="s">
        <v>418</v>
      </c>
      <c r="B23" s="658" t="s">
        <v>527</v>
      </c>
      <c r="C23" s="658"/>
      <c r="D23" s="658" t="s">
        <v>530</v>
      </c>
      <c r="E23" s="658"/>
      <c r="F23" s="658" t="s">
        <v>533</v>
      </c>
      <c r="G23" s="658"/>
      <c r="H23" s="385"/>
      <c r="I23" s="385"/>
      <c r="J23" s="385"/>
      <c r="K23" s="385"/>
      <c r="L23" s="385"/>
    </row>
    <row r="24" spans="1:12" ht="18" customHeight="1">
      <c r="A24" s="389" t="s">
        <v>419</v>
      </c>
      <c r="B24" s="658" t="s">
        <v>528</v>
      </c>
      <c r="C24" s="658"/>
      <c r="D24" s="658" t="s">
        <v>531</v>
      </c>
      <c r="E24" s="658"/>
      <c r="F24" s="658" t="s">
        <v>534</v>
      </c>
      <c r="G24" s="658"/>
      <c r="H24" s="385"/>
      <c r="I24" s="385"/>
      <c r="J24" s="385"/>
      <c r="K24" s="385"/>
      <c r="L24" s="385"/>
    </row>
    <row r="25" spans="1:12" ht="15.75">
      <c r="A25" s="389" t="s">
        <v>420</v>
      </c>
      <c r="B25" s="658" t="s">
        <v>529</v>
      </c>
      <c r="C25" s="658"/>
      <c r="D25" s="658" t="s">
        <v>532</v>
      </c>
      <c r="E25" s="658"/>
      <c r="F25" s="658" t="s">
        <v>535</v>
      </c>
      <c r="G25" s="658"/>
      <c r="H25" s="385"/>
      <c r="I25" s="385"/>
      <c r="J25" s="385"/>
      <c r="K25" s="385"/>
      <c r="L25" s="385"/>
    </row>
    <row r="26" spans="1:12" ht="15.75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</row>
    <row r="27" spans="1:12" ht="20.25">
      <c r="A27" s="384" t="s">
        <v>421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</row>
    <row r="28" spans="1:12" ht="15.75">
      <c r="A28" s="385"/>
      <c r="B28" s="385"/>
      <c r="C28" s="385"/>
      <c r="D28" s="385"/>
      <c r="E28" s="659" t="s">
        <v>422</v>
      </c>
      <c r="F28" s="660"/>
      <c r="G28" s="661"/>
      <c r="H28" s="385"/>
      <c r="I28" s="385"/>
      <c r="J28" s="385"/>
      <c r="K28" s="385"/>
      <c r="L28" s="385"/>
    </row>
    <row r="29" spans="1:12" ht="15.75">
      <c r="A29" s="385"/>
      <c r="B29" s="662" t="s">
        <v>423</v>
      </c>
      <c r="C29" s="662"/>
      <c r="D29" s="390" t="s">
        <v>424</v>
      </c>
      <c r="E29" s="390" t="s">
        <v>425</v>
      </c>
      <c r="F29" s="662" t="s">
        <v>426</v>
      </c>
      <c r="G29" s="662"/>
      <c r="H29" s="385"/>
      <c r="I29" s="385"/>
      <c r="J29" s="385"/>
      <c r="K29" s="385"/>
      <c r="L29" s="385"/>
    </row>
    <row r="30" spans="1:12" ht="15.75">
      <c r="A30" s="389" t="s">
        <v>427</v>
      </c>
      <c r="B30" s="658" t="s">
        <v>537</v>
      </c>
      <c r="C30" s="658"/>
      <c r="D30" s="388" t="s">
        <v>540</v>
      </c>
      <c r="E30" s="388" t="s">
        <v>428</v>
      </c>
      <c r="F30" s="658" t="s">
        <v>543</v>
      </c>
      <c r="G30" s="658"/>
      <c r="H30" s="385"/>
      <c r="I30" s="385"/>
      <c r="J30" s="385"/>
      <c r="K30" s="385"/>
      <c r="L30" s="385"/>
    </row>
    <row r="31" spans="1:12" ht="15.75">
      <c r="A31" s="389" t="s">
        <v>429</v>
      </c>
      <c r="B31" s="658" t="s">
        <v>538</v>
      </c>
      <c r="C31" s="658"/>
      <c r="D31" s="388" t="s">
        <v>541</v>
      </c>
      <c r="E31" s="388" t="s">
        <v>430</v>
      </c>
      <c r="F31" s="658" t="s">
        <v>544</v>
      </c>
      <c r="G31" s="658"/>
      <c r="H31" s="385"/>
      <c r="I31" s="385"/>
      <c r="J31" s="385"/>
      <c r="K31" s="385"/>
      <c r="L31" s="385"/>
    </row>
    <row r="32" spans="1:12" ht="15.75">
      <c r="A32" s="389" t="s">
        <v>431</v>
      </c>
      <c r="B32" s="658" t="s">
        <v>539</v>
      </c>
      <c r="C32" s="658"/>
      <c r="D32" s="388" t="s">
        <v>542</v>
      </c>
      <c r="E32" s="388" t="s">
        <v>432</v>
      </c>
      <c r="F32" s="658" t="s">
        <v>545</v>
      </c>
      <c r="G32" s="658"/>
      <c r="H32" s="385"/>
      <c r="I32" s="385"/>
      <c r="J32" s="385"/>
      <c r="K32" s="385"/>
      <c r="L32" s="385"/>
    </row>
    <row r="33" spans="1:12" ht="15.75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</row>
    <row r="34" spans="1:12" ht="15.75">
      <c r="A34" s="385"/>
      <c r="B34" s="385"/>
      <c r="C34" s="385"/>
      <c r="D34" s="385"/>
      <c r="E34" s="659" t="s">
        <v>433</v>
      </c>
      <c r="F34" s="660"/>
      <c r="G34" s="661"/>
      <c r="H34" s="385"/>
      <c r="I34" s="385"/>
      <c r="J34" s="385"/>
      <c r="K34" s="385"/>
      <c r="L34" s="385"/>
    </row>
    <row r="35" spans="1:12" ht="15.75">
      <c r="A35" s="385"/>
      <c r="B35" s="662" t="s">
        <v>434</v>
      </c>
      <c r="C35" s="662"/>
      <c r="D35" s="390" t="s">
        <v>425</v>
      </c>
      <c r="E35" s="390" t="s">
        <v>435</v>
      </c>
      <c r="F35" s="390" t="s">
        <v>100</v>
      </c>
      <c r="G35" s="390" t="s">
        <v>436</v>
      </c>
      <c r="H35" s="385"/>
      <c r="I35" s="385"/>
      <c r="J35" s="385"/>
      <c r="K35" s="385"/>
      <c r="L35" s="385"/>
    </row>
    <row r="36" spans="1:12" ht="15.75">
      <c r="A36" s="389" t="s">
        <v>427</v>
      </c>
      <c r="B36" s="654" t="s">
        <v>546</v>
      </c>
      <c r="C36" s="655"/>
      <c r="D36" s="391" t="s">
        <v>548</v>
      </c>
      <c r="E36" s="391" t="s">
        <v>437</v>
      </c>
      <c r="F36" s="392" t="s">
        <v>438</v>
      </c>
      <c r="G36" s="388" t="s">
        <v>551</v>
      </c>
      <c r="H36" s="385"/>
      <c r="I36" s="385"/>
      <c r="J36" s="385"/>
      <c r="K36" s="385"/>
      <c r="L36" s="385"/>
    </row>
    <row r="37" spans="1:12" ht="15.75">
      <c r="A37" s="389" t="s">
        <v>429</v>
      </c>
      <c r="B37" s="654" t="s">
        <v>547</v>
      </c>
      <c r="C37" s="655"/>
      <c r="D37" s="391" t="s">
        <v>549</v>
      </c>
      <c r="E37" s="391" t="s">
        <v>437</v>
      </c>
      <c r="F37" s="392" t="s">
        <v>439</v>
      </c>
      <c r="G37" s="393" t="s">
        <v>552</v>
      </c>
      <c r="H37" s="385"/>
      <c r="I37" s="385"/>
      <c r="J37" s="385"/>
      <c r="K37" s="385"/>
      <c r="L37" s="385"/>
    </row>
    <row r="38" spans="1:12" ht="15.75">
      <c r="A38" s="389" t="s">
        <v>431</v>
      </c>
      <c r="B38" s="654" t="s">
        <v>547</v>
      </c>
      <c r="C38" s="655"/>
      <c r="D38" s="391" t="s">
        <v>550</v>
      </c>
      <c r="E38" s="391" t="s">
        <v>437</v>
      </c>
      <c r="F38" s="392" t="s">
        <v>440</v>
      </c>
      <c r="G38" s="388" t="s">
        <v>553</v>
      </c>
      <c r="H38" s="385"/>
      <c r="I38" s="385"/>
      <c r="J38" s="385"/>
      <c r="K38" s="385"/>
      <c r="L38" s="385"/>
    </row>
    <row r="39" spans="1:12" ht="15.75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</row>
    <row r="40" spans="1:12" ht="15.75">
      <c r="A40" s="394" t="s">
        <v>441</v>
      </c>
      <c r="B40" s="656" t="s">
        <v>554</v>
      </c>
      <c r="C40" s="656"/>
      <c r="D40" s="657" t="s">
        <v>442</v>
      </c>
      <c r="E40" s="657"/>
      <c r="F40" s="656" t="s">
        <v>555</v>
      </c>
      <c r="G40" s="656"/>
      <c r="H40" s="385"/>
      <c r="I40" s="385"/>
      <c r="J40" s="385"/>
      <c r="K40" s="385"/>
      <c r="L40" s="385"/>
    </row>
    <row r="41" spans="1:12" ht="15.75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</row>
    <row r="42" spans="1:12" ht="15.75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</row>
    <row r="43" spans="1:12" ht="15.75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</row>
    <row r="44" spans="1:12" ht="15.75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</row>
    <row r="45" spans="1:12" ht="15.75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</row>
    <row r="46" spans="1:12" ht="15.75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</row>
    <row r="47" spans="1:12" ht="15.75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</row>
    <row r="48" spans="1:12" ht="15.75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</row>
    <row r="49" spans="1:12" ht="15.75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</row>
    <row r="50" spans="1:12" ht="15.75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</row>
    <row r="51" spans="1:12" ht="15.75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</row>
    <row r="52" spans="1:12" ht="15.75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</row>
    <row r="53" spans="1:12" ht="15.75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</row>
    <row r="54" spans="1:12" ht="15.75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</row>
    <row r="55" spans="1:12" ht="15.75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</row>
    <row r="56" spans="1:12" ht="15.75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</row>
    <row r="57" spans="1:12" ht="15.75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</row>
    <row r="58" spans="1:12" ht="15.75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</row>
    <row r="59" spans="1:12" ht="15.75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</row>
    <row r="60" spans="1:12" ht="15.75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</row>
    <row r="61" spans="1:12" ht="15.75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zoomScaleNormal="100" workbookViewId="0">
      <selection activeCell="I16" sqref="I16"/>
    </sheetView>
  </sheetViews>
  <sheetFormatPr defaultColWidth="12.5703125" defaultRowHeight="15.75"/>
  <cols>
    <col min="1" max="13" width="7" style="453" customWidth="1"/>
    <col min="14" max="14" width="7.140625" style="453" customWidth="1"/>
    <col min="15" max="16384" width="12.5703125" style="453"/>
  </cols>
  <sheetData>
    <row r="1" spans="1:14" ht="17.100000000000001" customHeight="1">
      <c r="A1" s="446" t="s">
        <v>269</v>
      </c>
      <c r="B1" s="447"/>
      <c r="C1" s="447"/>
      <c r="D1" s="447"/>
      <c r="E1" s="447"/>
      <c r="F1" s="447"/>
      <c r="G1" s="447"/>
      <c r="H1" s="447"/>
      <c r="I1" s="447"/>
      <c r="J1" s="448" t="s">
        <v>588</v>
      </c>
      <c r="K1" s="449"/>
      <c r="L1" s="450" t="s">
        <v>589</v>
      </c>
      <c r="M1" s="451"/>
      <c r="N1" s="452"/>
    </row>
    <row r="2" spans="1:14" ht="17.100000000000001" customHeight="1">
      <c r="A2" s="454" t="s">
        <v>590</v>
      </c>
      <c r="B2" s="455"/>
      <c r="C2" s="455"/>
      <c r="D2" s="455"/>
      <c r="E2" s="455"/>
      <c r="F2" s="455"/>
      <c r="G2" s="455"/>
      <c r="H2" s="455"/>
      <c r="I2" s="455"/>
      <c r="J2" s="456" t="s">
        <v>591</v>
      </c>
      <c r="K2" s="457"/>
      <c r="L2" s="458" t="s">
        <v>592</v>
      </c>
      <c r="M2" s="459"/>
      <c r="N2" s="452"/>
    </row>
    <row r="3" spans="1:14" ht="15.95" customHeight="1">
      <c r="A3" s="460"/>
      <c r="B3" s="461"/>
      <c r="C3" s="461"/>
      <c r="D3" s="461"/>
      <c r="E3" s="461"/>
      <c r="F3" s="461"/>
      <c r="G3" s="461"/>
      <c r="H3" s="461"/>
      <c r="I3" s="461"/>
      <c r="J3" s="456" t="s">
        <v>593</v>
      </c>
      <c r="K3" s="457"/>
      <c r="L3" s="462" t="s">
        <v>594</v>
      </c>
      <c r="M3" s="459"/>
      <c r="N3" s="452"/>
    </row>
    <row r="4" spans="1:14" ht="15.95" customHeight="1">
      <c r="A4" s="463"/>
      <c r="B4" s="461"/>
      <c r="C4" s="461"/>
      <c r="D4" s="461"/>
      <c r="E4" s="461"/>
      <c r="F4" s="461"/>
      <c r="G4" s="461"/>
      <c r="H4" s="461"/>
      <c r="I4" s="461"/>
      <c r="J4" s="456" t="s">
        <v>595</v>
      </c>
      <c r="K4" s="457"/>
      <c r="L4" s="464" t="s">
        <v>596</v>
      </c>
      <c r="M4" s="459"/>
      <c r="N4" s="452"/>
    </row>
    <row r="5" spans="1:14" ht="15.95" customHeight="1">
      <c r="A5" s="460"/>
      <c r="B5" s="461"/>
      <c r="C5" s="461"/>
      <c r="D5" s="461"/>
      <c r="E5" s="461"/>
      <c r="F5" s="461"/>
      <c r="G5" s="461"/>
      <c r="H5" s="461"/>
      <c r="I5" s="461"/>
      <c r="J5" s="456" t="s">
        <v>597</v>
      </c>
      <c r="K5" s="457"/>
      <c r="L5" s="458">
        <v>2</v>
      </c>
      <c r="M5" s="459"/>
      <c r="N5" s="452"/>
    </row>
    <row r="6" spans="1:14" ht="15.95" customHeight="1">
      <c r="A6" s="465" t="s">
        <v>598</v>
      </c>
      <c r="B6" s="461"/>
      <c r="C6" s="461"/>
      <c r="D6" s="461"/>
      <c r="E6" s="461"/>
      <c r="F6" s="461"/>
      <c r="G6" s="461"/>
      <c r="H6" s="461"/>
      <c r="I6" s="461"/>
      <c r="J6" s="456" t="s">
        <v>599</v>
      </c>
      <c r="K6" s="457"/>
      <c r="L6" s="466" t="s">
        <v>600</v>
      </c>
      <c r="M6" s="459"/>
      <c r="N6" s="452"/>
    </row>
    <row r="7" spans="1:14" ht="15.95" customHeight="1" thickBot="1">
      <c r="A7" s="467" t="s">
        <v>601</v>
      </c>
      <c r="B7" s="468"/>
      <c r="C7" s="468"/>
      <c r="D7" s="468"/>
      <c r="E7" s="468"/>
      <c r="F7" s="468"/>
      <c r="G7" s="468"/>
      <c r="H7" s="468"/>
      <c r="I7" s="468"/>
      <c r="J7" s="469" t="s">
        <v>602</v>
      </c>
      <c r="K7" s="470"/>
      <c r="L7" s="471" t="s">
        <v>603</v>
      </c>
      <c r="M7" s="472"/>
      <c r="N7" s="452"/>
    </row>
    <row r="8" spans="1:14" ht="15.95" customHeight="1">
      <c r="A8" s="473"/>
      <c r="B8" s="461"/>
      <c r="C8" s="461"/>
      <c r="D8" s="461"/>
      <c r="E8" s="461"/>
      <c r="F8" s="461"/>
      <c r="G8" s="461"/>
      <c r="H8" s="461"/>
      <c r="I8" s="461"/>
      <c r="J8" s="461"/>
      <c r="K8" s="474"/>
      <c r="L8" s="475"/>
      <c r="M8" s="476"/>
      <c r="N8" s="461"/>
    </row>
    <row r="9" spans="1:14" ht="12" customHeight="1">
      <c r="A9" s="477"/>
      <c r="B9" s="478" t="s">
        <v>604</v>
      </c>
      <c r="C9" s="479" t="s">
        <v>695</v>
      </c>
      <c r="D9" s="480"/>
      <c r="E9" s="480"/>
      <c r="F9" s="480"/>
      <c r="G9" s="480"/>
      <c r="H9" s="480"/>
      <c r="I9" s="480"/>
      <c r="J9" s="480"/>
      <c r="K9" s="481"/>
      <c r="L9" s="482"/>
      <c r="M9" s="480"/>
      <c r="N9" s="461"/>
    </row>
    <row r="10" spans="1:14" ht="12" customHeight="1">
      <c r="A10" s="477"/>
      <c r="B10" s="478" t="s">
        <v>605</v>
      </c>
      <c r="C10" s="483" t="s">
        <v>696</v>
      </c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75"/>
    </row>
    <row r="11" spans="1:14" ht="16.5" thickBot="1">
      <c r="A11" s="484"/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</row>
    <row r="12" spans="1:14" ht="20.100000000000001" customHeight="1" thickBot="1">
      <c r="A12" s="485" t="s">
        <v>606</v>
      </c>
      <c r="B12" s="486"/>
      <c r="C12" s="486"/>
      <c r="D12" s="486"/>
      <c r="E12" s="486"/>
      <c r="F12" s="486"/>
      <c r="G12" s="486"/>
      <c r="H12" s="486"/>
      <c r="I12" s="486"/>
      <c r="J12" s="486"/>
      <c r="K12" s="486"/>
      <c r="L12" s="486"/>
      <c r="M12" s="487"/>
      <c r="N12" s="452"/>
    </row>
    <row r="13" spans="1:14" ht="12.95" customHeight="1" thickTop="1">
      <c r="A13" s="488"/>
      <c r="B13" s="489" t="s">
        <v>607</v>
      </c>
      <c r="C13" s="490">
        <v>900</v>
      </c>
      <c r="D13" s="482"/>
      <c r="E13" s="489" t="s">
        <v>608</v>
      </c>
      <c r="F13" s="490">
        <v>4000</v>
      </c>
      <c r="G13" s="482"/>
      <c r="H13" s="489" t="s">
        <v>609</v>
      </c>
      <c r="I13" s="490" t="s">
        <v>694</v>
      </c>
      <c r="J13" s="482"/>
      <c r="K13" s="482"/>
      <c r="L13" s="489" t="s">
        <v>610</v>
      </c>
      <c r="M13" s="491">
        <v>1800</v>
      </c>
      <c r="N13" s="452"/>
    </row>
    <row r="14" spans="1:14" ht="12.95" customHeight="1">
      <c r="A14" s="488"/>
      <c r="B14" s="489" t="s">
        <v>611</v>
      </c>
      <c r="C14" s="495" t="s">
        <v>697</v>
      </c>
      <c r="D14" s="482"/>
      <c r="E14" s="489" t="s">
        <v>612</v>
      </c>
      <c r="F14" s="492" t="s">
        <v>698</v>
      </c>
      <c r="G14" s="482"/>
      <c r="H14" s="489" t="s">
        <v>613</v>
      </c>
      <c r="I14" s="490">
        <v>114</v>
      </c>
      <c r="J14" s="482"/>
      <c r="K14" s="482"/>
      <c r="L14" s="489" t="s">
        <v>568</v>
      </c>
      <c r="M14" s="491">
        <v>1780</v>
      </c>
      <c r="N14" s="452"/>
    </row>
    <row r="15" spans="1:14" ht="12.95" customHeight="1">
      <c r="A15" s="488"/>
      <c r="B15" s="489" t="s">
        <v>614</v>
      </c>
      <c r="C15" s="490" t="s">
        <v>700</v>
      </c>
      <c r="D15" s="482"/>
      <c r="E15" s="489" t="s">
        <v>615</v>
      </c>
      <c r="F15" s="492">
        <v>1.1499999999999999</v>
      </c>
      <c r="G15" s="482"/>
      <c r="H15" s="489" t="s">
        <v>616</v>
      </c>
      <c r="I15" s="492" t="s">
        <v>175</v>
      </c>
      <c r="J15" s="482"/>
      <c r="K15" s="482"/>
      <c r="L15" s="489" t="s">
        <v>617</v>
      </c>
      <c r="M15" s="491" t="s">
        <v>364</v>
      </c>
      <c r="N15" s="452"/>
    </row>
    <row r="16" spans="1:14" ht="12.95" customHeight="1">
      <c r="A16" s="488"/>
      <c r="B16" s="489" t="s">
        <v>618</v>
      </c>
      <c r="C16" s="490" t="s">
        <v>693</v>
      </c>
      <c r="D16" s="482"/>
      <c r="E16" s="489" t="s">
        <v>619</v>
      </c>
      <c r="F16" s="490" t="s">
        <v>437</v>
      </c>
      <c r="G16" s="482"/>
      <c r="H16" s="493" t="s">
        <v>620</v>
      </c>
      <c r="I16" s="494" t="s">
        <v>387</v>
      </c>
      <c r="J16" s="482"/>
      <c r="K16" s="482"/>
      <c r="L16" s="489" t="s">
        <v>621</v>
      </c>
      <c r="M16" s="491" t="s">
        <v>622</v>
      </c>
      <c r="N16" s="452"/>
    </row>
    <row r="17" spans="1:14" ht="12.95" customHeight="1">
      <c r="A17" s="488"/>
      <c r="B17" s="489" t="s">
        <v>623</v>
      </c>
      <c r="C17" s="495" t="s">
        <v>699</v>
      </c>
      <c r="D17" s="482"/>
      <c r="E17" s="489"/>
      <c r="F17" s="492"/>
      <c r="G17" s="482"/>
      <c r="H17" s="489" t="s">
        <v>624</v>
      </c>
      <c r="I17" s="494" t="s">
        <v>175</v>
      </c>
      <c r="J17" s="482"/>
      <c r="K17" s="482"/>
      <c r="L17" s="489"/>
      <c r="M17" s="496"/>
      <c r="N17" s="452"/>
    </row>
    <row r="18" spans="1:14" ht="12.95" customHeight="1" thickBot="1">
      <c r="A18" s="497"/>
      <c r="B18" s="498" t="s">
        <v>625</v>
      </c>
      <c r="C18" s="499" t="s">
        <v>175</v>
      </c>
      <c r="D18" s="500"/>
      <c r="E18" s="501" t="s">
        <v>626</v>
      </c>
      <c r="F18" s="499" t="s">
        <v>175</v>
      </c>
      <c r="G18" s="502"/>
      <c r="H18" s="501" t="s">
        <v>627</v>
      </c>
      <c r="I18" s="499" t="s">
        <v>175</v>
      </c>
      <c r="J18" s="500"/>
      <c r="K18" s="500"/>
      <c r="L18" s="500"/>
      <c r="M18" s="503"/>
      <c r="N18" s="452"/>
    </row>
    <row r="19" spans="1:14" ht="16.5" thickBot="1">
      <c r="A19" s="452"/>
      <c r="B19" s="452"/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</row>
    <row r="20" spans="1:14" ht="20.100000000000001" customHeight="1" thickBot="1">
      <c r="A20" s="485"/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7"/>
    </row>
    <row r="21" spans="1:14" ht="15.95" customHeight="1" thickTop="1">
      <c r="A21" s="504" t="s">
        <v>628</v>
      </c>
      <c r="B21" s="505"/>
      <c r="C21" s="475"/>
      <c r="D21" s="506"/>
      <c r="E21" s="507" t="s">
        <v>629</v>
      </c>
      <c r="F21" s="508"/>
      <c r="G21" s="508"/>
      <c r="H21" s="509"/>
      <c r="I21" s="510" t="s">
        <v>630</v>
      </c>
      <c r="J21" s="511"/>
      <c r="K21" s="511"/>
      <c r="L21" s="475"/>
      <c r="M21" s="512"/>
    </row>
    <row r="22" spans="1:14" ht="15.95" customHeight="1">
      <c r="A22" s="513"/>
      <c r="B22" s="482"/>
      <c r="C22" s="514" t="s">
        <v>631</v>
      </c>
      <c r="D22" s="515">
        <v>810</v>
      </c>
      <c r="E22" s="489"/>
      <c r="G22" s="493" t="s">
        <v>632</v>
      </c>
      <c r="H22" s="516">
        <v>2656</v>
      </c>
      <c r="I22" s="514"/>
      <c r="J22" s="482"/>
      <c r="K22" s="514" t="s">
        <v>633</v>
      </c>
      <c r="L22" s="482" t="s">
        <v>634</v>
      </c>
      <c r="M22" s="496"/>
    </row>
    <row r="23" spans="1:14" ht="15.95" customHeight="1">
      <c r="A23" s="513"/>
      <c r="B23" s="514"/>
      <c r="C23" s="517"/>
      <c r="D23" s="518"/>
      <c r="E23" s="489"/>
      <c r="G23" s="489" t="s">
        <v>635</v>
      </c>
      <c r="H23" s="515">
        <v>140</v>
      </c>
      <c r="I23" s="482"/>
      <c r="J23" s="482"/>
      <c r="K23" s="489" t="s">
        <v>636</v>
      </c>
      <c r="L23" s="482" t="s">
        <v>634</v>
      </c>
      <c r="M23" s="496"/>
    </row>
    <row r="24" spans="1:14" ht="15.95" customHeight="1">
      <c r="A24" s="488"/>
      <c r="B24" s="489"/>
      <c r="C24" s="482"/>
      <c r="D24" s="518"/>
      <c r="E24" s="489"/>
      <c r="G24" s="493" t="s">
        <v>637</v>
      </c>
      <c r="H24" s="515">
        <v>295</v>
      </c>
      <c r="I24" s="482"/>
      <c r="J24" s="489"/>
      <c r="K24" s="482"/>
      <c r="L24" s="482"/>
      <c r="M24" s="496"/>
    </row>
    <row r="25" spans="1:14" ht="15.95" customHeight="1" thickBot="1">
      <c r="A25" s="497"/>
      <c r="B25" s="498"/>
      <c r="C25" s="500"/>
      <c r="D25" s="519"/>
      <c r="E25" s="501"/>
      <c r="F25" s="501"/>
      <c r="G25" s="501"/>
      <c r="H25" s="520"/>
      <c r="I25" s="500"/>
      <c r="J25" s="501"/>
      <c r="K25" s="500"/>
      <c r="L25" s="500"/>
      <c r="M25" s="503"/>
    </row>
    <row r="26" spans="1:14" ht="18.95" customHeight="1" thickBot="1">
      <c r="A26" s="521"/>
      <c r="B26" s="521"/>
      <c r="C26" s="521"/>
      <c r="D26" s="522"/>
      <c r="E26" s="522"/>
      <c r="F26" s="522"/>
      <c r="G26" s="522"/>
      <c r="H26" s="522"/>
      <c r="I26" s="522"/>
      <c r="J26" s="522"/>
      <c r="K26" s="522"/>
      <c r="L26" s="522"/>
      <c r="M26" s="452"/>
      <c r="N26" s="452"/>
    </row>
    <row r="27" spans="1:14" ht="20.100000000000001" customHeight="1" thickBot="1">
      <c r="A27" s="523"/>
      <c r="B27" s="524"/>
      <c r="C27" s="524"/>
      <c r="D27" s="524"/>
      <c r="E27" s="524"/>
      <c r="F27" s="524"/>
      <c r="G27" s="525"/>
      <c r="H27" s="524"/>
      <c r="I27" s="524"/>
      <c r="J27" s="524"/>
      <c r="K27" s="524"/>
      <c r="L27" s="524"/>
      <c r="M27" s="526"/>
    </row>
    <row r="28" spans="1:14" ht="15.95" customHeight="1" thickTop="1">
      <c r="A28" s="527" t="s">
        <v>638</v>
      </c>
      <c r="B28" s="505"/>
      <c r="C28" s="475"/>
      <c r="D28" s="475"/>
      <c r="E28" s="508"/>
      <c r="F28" s="508"/>
      <c r="G28" s="528"/>
      <c r="H28" s="507" t="s">
        <v>639</v>
      </c>
      <c r="I28" s="508"/>
      <c r="J28" s="511"/>
      <c r="K28" s="507"/>
      <c r="L28" s="511"/>
      <c r="M28" s="512"/>
    </row>
    <row r="29" spans="1:14" ht="15.95" customHeight="1">
      <c r="A29" s="488"/>
      <c r="B29" s="514"/>
      <c r="C29" s="514" t="s">
        <v>640</v>
      </c>
      <c r="D29" s="529">
        <v>95.2</v>
      </c>
      <c r="E29" s="489"/>
      <c r="F29" s="489"/>
      <c r="G29" s="528"/>
      <c r="H29" s="493"/>
      <c r="I29" s="514"/>
      <c r="J29" s="514" t="s">
        <v>640</v>
      </c>
      <c r="K29" s="529">
        <v>89.5</v>
      </c>
      <c r="L29" s="482"/>
      <c r="M29" s="496"/>
    </row>
    <row r="30" spans="1:14" ht="15.95" customHeight="1">
      <c r="A30" s="530"/>
      <c r="B30" s="482"/>
      <c r="C30" s="514" t="s">
        <v>641</v>
      </c>
      <c r="D30" s="529">
        <v>95.1</v>
      </c>
      <c r="E30" s="489"/>
      <c r="F30" s="489"/>
      <c r="G30" s="528"/>
      <c r="H30" s="489"/>
      <c r="I30" s="482"/>
      <c r="J30" s="514" t="s">
        <v>641</v>
      </c>
      <c r="K30" s="529">
        <v>87.8</v>
      </c>
      <c r="L30" s="482"/>
      <c r="M30" s="496"/>
    </row>
    <row r="31" spans="1:14" ht="15.95" customHeight="1">
      <c r="A31" s="488"/>
      <c r="B31" s="489"/>
      <c r="C31" s="514" t="s">
        <v>642</v>
      </c>
      <c r="D31" s="529">
        <v>94.5</v>
      </c>
      <c r="E31" s="489"/>
      <c r="F31" s="489"/>
      <c r="G31" s="528"/>
      <c r="H31" s="489"/>
      <c r="I31" s="482"/>
      <c r="J31" s="514" t="s">
        <v>642</v>
      </c>
      <c r="K31" s="529">
        <v>82.9</v>
      </c>
      <c r="L31" s="489"/>
      <c r="M31" s="496"/>
    </row>
    <row r="32" spans="1:14" ht="15.95" customHeight="1" thickBot="1">
      <c r="A32" s="497"/>
      <c r="B32" s="498"/>
      <c r="C32" s="500"/>
      <c r="D32" s="500"/>
      <c r="E32" s="501"/>
      <c r="F32" s="501"/>
      <c r="G32" s="531"/>
      <c r="H32" s="501"/>
      <c r="I32" s="500"/>
      <c r="J32" s="501"/>
      <c r="K32" s="500"/>
      <c r="L32" s="501"/>
      <c r="M32" s="503"/>
    </row>
    <row r="33" spans="1:14" ht="20.100000000000001" customHeight="1" thickBot="1">
      <c r="A33" s="532"/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3"/>
      <c r="N33" s="533"/>
    </row>
    <row r="34" spans="1:14" ht="20.100000000000001" customHeight="1" thickBot="1">
      <c r="A34" s="534"/>
      <c r="B34" s="535"/>
      <c r="C34" s="535"/>
      <c r="D34" s="535"/>
      <c r="E34" s="535"/>
      <c r="F34" s="535"/>
      <c r="G34" s="535"/>
      <c r="H34" s="535"/>
      <c r="I34" s="535"/>
      <c r="J34" s="535"/>
      <c r="K34" s="535"/>
      <c r="L34" s="535"/>
      <c r="M34" s="536"/>
    </row>
    <row r="35" spans="1:14" ht="15.95" customHeight="1" thickTop="1">
      <c r="A35" s="537" t="s">
        <v>643</v>
      </c>
      <c r="B35" s="517"/>
      <c r="C35" s="517"/>
      <c r="D35" s="517"/>
      <c r="E35" s="517"/>
      <c r="F35" s="517"/>
      <c r="G35" s="517"/>
      <c r="H35" s="517"/>
      <c r="I35" s="517"/>
      <c r="J35" s="517"/>
      <c r="K35" s="517"/>
      <c r="L35" s="517"/>
      <c r="M35" s="538"/>
    </row>
    <row r="36" spans="1:14" ht="15.95" customHeight="1">
      <c r="A36" s="530" t="s">
        <v>644</v>
      </c>
      <c r="B36" s="517"/>
      <c r="C36" s="517"/>
      <c r="D36" s="517"/>
      <c r="E36" s="517"/>
      <c r="F36" s="517"/>
      <c r="G36" s="517"/>
      <c r="H36" s="517"/>
      <c r="I36" s="517"/>
      <c r="J36" s="517"/>
      <c r="K36" s="517"/>
      <c r="L36" s="517"/>
      <c r="M36" s="538"/>
    </row>
    <row r="37" spans="1:14" ht="15.95" customHeight="1">
      <c r="A37" s="539" t="s">
        <v>645</v>
      </c>
      <c r="B37" s="517"/>
      <c r="C37" s="517"/>
      <c r="D37" s="517"/>
      <c r="E37" s="540"/>
      <c r="F37" s="517"/>
      <c r="G37" s="517"/>
      <c r="H37" s="517"/>
      <c r="I37" s="517"/>
      <c r="J37" s="517"/>
      <c r="K37" s="517"/>
      <c r="L37" s="517"/>
      <c r="M37" s="538"/>
    </row>
    <row r="38" spans="1:14" ht="15.95" customHeight="1">
      <c r="A38" s="541" t="s">
        <v>646</v>
      </c>
      <c r="B38" s="517"/>
      <c r="C38" s="517"/>
      <c r="D38" s="517"/>
      <c r="E38" s="517"/>
      <c r="F38" s="517"/>
      <c r="G38" s="517"/>
      <c r="H38" s="517"/>
      <c r="I38" s="517"/>
      <c r="J38" s="517"/>
      <c r="K38" s="517"/>
      <c r="L38" s="517"/>
      <c r="M38" s="538"/>
    </row>
    <row r="39" spans="1:14" ht="15.95" customHeight="1">
      <c r="A39" s="542" t="s">
        <v>647</v>
      </c>
      <c r="B39" s="517"/>
      <c r="C39" s="517"/>
      <c r="D39" s="517"/>
      <c r="E39" s="517"/>
      <c r="F39" s="517"/>
      <c r="G39" s="517"/>
      <c r="H39" s="517"/>
      <c r="I39" s="517"/>
      <c r="J39" s="517"/>
      <c r="K39" s="517"/>
      <c r="L39" s="517"/>
      <c r="M39" s="538"/>
    </row>
    <row r="40" spans="1:14" ht="15.95" customHeight="1" thickBot="1">
      <c r="A40" s="543" t="s">
        <v>648</v>
      </c>
      <c r="B40" s="544"/>
      <c r="C40" s="544"/>
      <c r="D40" s="544"/>
      <c r="E40" s="544"/>
      <c r="F40" s="544"/>
      <c r="G40" s="544"/>
      <c r="H40" s="544"/>
      <c r="I40" s="544"/>
      <c r="J40" s="544"/>
      <c r="K40" s="544"/>
      <c r="L40" s="544"/>
      <c r="M40" s="545"/>
    </row>
    <row r="41" spans="1:14" ht="15.95" customHeight="1"/>
    <row r="42" spans="1:14" ht="18">
      <c r="A42" s="546"/>
      <c r="B42" s="546"/>
      <c r="C42" s="546"/>
      <c r="D42" s="546"/>
      <c r="E42" s="546"/>
      <c r="F42" s="546"/>
      <c r="G42" s="546"/>
      <c r="H42" s="452"/>
      <c r="I42" s="452"/>
      <c r="J42" s="547" t="s">
        <v>649</v>
      </c>
      <c r="K42" s="665" t="s">
        <v>650</v>
      </c>
      <c r="L42" s="665"/>
      <c r="M42" s="665"/>
      <c r="N42" s="546"/>
    </row>
    <row r="43" spans="1:14" ht="7.5" customHeight="1">
      <c r="H43" s="452"/>
      <c r="I43" s="452"/>
      <c r="J43" s="452"/>
      <c r="K43" s="452"/>
      <c r="L43" s="452"/>
      <c r="M43" s="452"/>
    </row>
    <row r="44" spans="1:14" ht="16.5">
      <c r="H44" s="452"/>
      <c r="I44" s="452"/>
      <c r="J44" s="547" t="s">
        <v>651</v>
      </c>
      <c r="K44" s="666">
        <v>43144</v>
      </c>
      <c r="L44" s="666"/>
      <c r="M44" s="666"/>
    </row>
    <row r="59" spans="1:5">
      <c r="A59" s="453" t="s">
        <v>175</v>
      </c>
      <c r="B59" s="453" t="s">
        <v>652</v>
      </c>
      <c r="D59" s="453">
        <v>1</v>
      </c>
      <c r="E59" s="548" t="s">
        <v>175</v>
      </c>
    </row>
    <row r="60" spans="1:5">
      <c r="A60" s="453" t="s">
        <v>653</v>
      </c>
      <c r="B60" s="453" t="s">
        <v>654</v>
      </c>
      <c r="D60" s="453">
        <v>1.1499999999999999</v>
      </c>
      <c r="E60" s="548" t="s">
        <v>184</v>
      </c>
    </row>
    <row r="61" spans="1:5">
      <c r="A61" s="453" t="s">
        <v>655</v>
      </c>
      <c r="B61" s="453" t="s">
        <v>656</v>
      </c>
      <c r="E61" s="548" t="s">
        <v>320</v>
      </c>
    </row>
    <row r="62" spans="1:5">
      <c r="B62" s="453" t="s">
        <v>657</v>
      </c>
    </row>
    <row r="63" spans="1:5">
      <c r="B63" s="453" t="s">
        <v>658</v>
      </c>
    </row>
    <row r="64" spans="1:5">
      <c r="B64" s="453" t="s">
        <v>659</v>
      </c>
    </row>
    <row r="65" spans="2:2">
      <c r="B65" s="453" t="s">
        <v>660</v>
      </c>
    </row>
    <row r="66" spans="2:2">
      <c r="B66" s="453" t="s">
        <v>661</v>
      </c>
    </row>
    <row r="67" spans="2:2">
      <c r="B67" s="453" t="s">
        <v>662</v>
      </c>
    </row>
    <row r="68" spans="2:2">
      <c r="B68" s="453" t="s">
        <v>663</v>
      </c>
    </row>
    <row r="69" spans="2:2">
      <c r="B69" s="453" t="s">
        <v>664</v>
      </c>
    </row>
    <row r="70" spans="2:2">
      <c r="B70" s="453" t="s">
        <v>665</v>
      </c>
    </row>
    <row r="71" spans="2:2">
      <c r="B71" s="453" t="s">
        <v>666</v>
      </c>
    </row>
    <row r="72" spans="2:2">
      <c r="B72" s="453" t="s">
        <v>667</v>
      </c>
    </row>
    <row r="73" spans="2:2">
      <c r="B73" s="453" t="s">
        <v>668</v>
      </c>
    </row>
    <row r="74" spans="2:2">
      <c r="B74" s="453" t="s">
        <v>669</v>
      </c>
    </row>
    <row r="75" spans="2:2">
      <c r="B75" s="453" t="s">
        <v>670</v>
      </c>
    </row>
    <row r="76" spans="2:2">
      <c r="B76" s="453" t="s">
        <v>671</v>
      </c>
    </row>
    <row r="77" spans="2:2">
      <c r="B77" s="453" t="s">
        <v>672</v>
      </c>
    </row>
    <row r="78" spans="2:2">
      <c r="B78" s="453" t="s">
        <v>673</v>
      </c>
    </row>
    <row r="79" spans="2:2">
      <c r="B79" s="453" t="s">
        <v>674</v>
      </c>
    </row>
    <row r="80" spans="2:2">
      <c r="B80" s="453">
        <v>6312</v>
      </c>
    </row>
    <row r="81" spans="2:2">
      <c r="B81" s="453" t="s">
        <v>675</v>
      </c>
    </row>
    <row r="82" spans="2:2">
      <c r="B82" s="453" t="s">
        <v>676</v>
      </c>
    </row>
    <row r="83" spans="2:2">
      <c r="B83" s="453" t="s">
        <v>677</v>
      </c>
    </row>
    <row r="84" spans="2:2">
      <c r="B84" s="453" t="s">
        <v>678</v>
      </c>
    </row>
    <row r="85" spans="2:2">
      <c r="B85" s="453">
        <v>6313</v>
      </c>
    </row>
    <row r="86" spans="2:2">
      <c r="B86" s="453" t="s">
        <v>679</v>
      </c>
    </row>
    <row r="87" spans="2:2">
      <c r="B87" s="453" t="s">
        <v>680</v>
      </c>
    </row>
    <row r="88" spans="2:2">
      <c r="B88" s="453" t="s">
        <v>681</v>
      </c>
    </row>
    <row r="89" spans="2:2">
      <c r="B89" s="453">
        <v>6314</v>
      </c>
    </row>
    <row r="90" spans="2:2">
      <c r="B90" s="453" t="s">
        <v>682</v>
      </c>
    </row>
    <row r="91" spans="2:2">
      <c r="B91" s="453">
        <v>6317</v>
      </c>
    </row>
    <row r="92" spans="2:2">
      <c r="B92" s="453" t="s">
        <v>683</v>
      </c>
    </row>
    <row r="93" spans="2:2">
      <c r="B93" s="453">
        <v>6318</v>
      </c>
    </row>
    <row r="94" spans="2:2">
      <c r="B94" s="453" t="s">
        <v>684</v>
      </c>
    </row>
    <row r="95" spans="2:2">
      <c r="B95" s="453" t="s">
        <v>685</v>
      </c>
    </row>
    <row r="96" spans="2:2">
      <c r="B96" s="453" t="s">
        <v>686</v>
      </c>
    </row>
    <row r="97" spans="2:2">
      <c r="B97" s="453">
        <v>6320</v>
      </c>
    </row>
    <row r="98" spans="2:2">
      <c r="B98" s="453" t="s">
        <v>687</v>
      </c>
    </row>
    <row r="99" spans="2:2">
      <c r="B99" s="453" t="s">
        <v>688</v>
      </c>
    </row>
    <row r="100" spans="2:2">
      <c r="B100" s="453" t="s">
        <v>689</v>
      </c>
    </row>
    <row r="101" spans="2:2">
      <c r="B101" s="453" t="s">
        <v>690</v>
      </c>
    </row>
    <row r="102" spans="2:2">
      <c r="B102" s="453" t="s">
        <v>690</v>
      </c>
    </row>
    <row r="118" spans="2:2">
      <c r="B118" s="453" t="s">
        <v>691</v>
      </c>
    </row>
    <row r="120" spans="2:2">
      <c r="B120" s="453" t="s">
        <v>692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R21" sqref="R21"/>
    </sheetView>
  </sheetViews>
  <sheetFormatPr defaultRowHeight="12.75"/>
  <cols>
    <col min="1" max="6" width="16.7109375" style="383" customWidth="1"/>
    <col min="7" max="16384" width="9.140625" style="383"/>
  </cols>
  <sheetData>
    <row r="1" spans="1:6" ht="18.95" customHeight="1">
      <c r="A1" s="396"/>
      <c r="B1" s="397"/>
      <c r="C1" s="397"/>
      <c r="D1" s="397"/>
      <c r="E1" s="397"/>
      <c r="F1" s="398"/>
    </row>
    <row r="2" spans="1:6" ht="26.1" customHeight="1">
      <c r="A2" s="399" t="s">
        <v>269</v>
      </c>
      <c r="B2" s="400"/>
      <c r="C2" s="400"/>
      <c r="D2" s="400"/>
      <c r="E2" s="400"/>
      <c r="F2" s="401"/>
    </row>
    <row r="3" spans="1:6" ht="18.95" customHeight="1">
      <c r="A3" s="402" t="s">
        <v>556</v>
      </c>
      <c r="B3" s="400"/>
      <c r="C3" s="400"/>
      <c r="D3" s="400"/>
      <c r="E3" s="400"/>
      <c r="F3" s="401"/>
    </row>
    <row r="4" spans="1:6" ht="18.95" customHeight="1">
      <c r="A4" s="403"/>
      <c r="B4" s="404"/>
      <c r="C4" s="404"/>
      <c r="D4" s="404"/>
      <c r="E4" s="404"/>
      <c r="F4" s="405"/>
    </row>
    <row r="5" spans="1:6" ht="18.95" customHeight="1">
      <c r="A5" s="403"/>
      <c r="B5" s="404"/>
      <c r="C5" s="404"/>
      <c r="D5" s="404"/>
      <c r="E5" s="404"/>
      <c r="F5" s="405"/>
    </row>
    <row r="6" spans="1:6" ht="18.95" customHeight="1">
      <c r="A6" s="406" t="s">
        <v>557</v>
      </c>
      <c r="B6" s="667" t="str">
        <f>'Performance Data Sheet'!C17</f>
        <v>TC-10009285</v>
      </c>
      <c r="C6" s="668"/>
      <c r="D6" s="669"/>
      <c r="E6" s="406" t="s">
        <v>558</v>
      </c>
      <c r="F6" s="407">
        <f>'Performance Data Sheet'!I14</f>
        <v>114</v>
      </c>
    </row>
    <row r="7" spans="1:6" ht="18.95" customHeight="1">
      <c r="A7" s="406" t="s">
        <v>559</v>
      </c>
      <c r="B7" s="407" t="str">
        <f>'Performance Data Sheet'!F14</f>
        <v>TEAAC</v>
      </c>
      <c r="C7" s="406" t="s">
        <v>560</v>
      </c>
      <c r="D7" s="407" t="str">
        <f>'Performance Data Sheet'!F13 &amp; " V"</f>
        <v>4000 V</v>
      </c>
      <c r="E7" s="406" t="s">
        <v>561</v>
      </c>
      <c r="F7" s="407" t="str">
        <f>'Performance Data Sheet'!C14</f>
        <v>5812US</v>
      </c>
    </row>
    <row r="8" spans="1:6" ht="18.95" customHeight="1">
      <c r="A8" s="406" t="s">
        <v>562</v>
      </c>
      <c r="B8" s="407">
        <v>4</v>
      </c>
      <c r="C8" s="406" t="s">
        <v>563</v>
      </c>
      <c r="D8" s="407" t="s">
        <v>564</v>
      </c>
      <c r="E8" s="406" t="s">
        <v>565</v>
      </c>
      <c r="F8" s="407" t="str">
        <f>'Performance Data Sheet'!M15</f>
        <v>F</v>
      </c>
    </row>
    <row r="9" spans="1:6" ht="18.95" customHeight="1">
      <c r="A9" s="406" t="s">
        <v>566</v>
      </c>
      <c r="B9" s="407">
        <f>'Performance Data Sheet'!C13</f>
        <v>900</v>
      </c>
      <c r="C9" s="406" t="s">
        <v>567</v>
      </c>
      <c r="D9" s="407" t="s">
        <v>577</v>
      </c>
      <c r="E9" s="406" t="s">
        <v>2</v>
      </c>
      <c r="F9" s="408">
        <f>'Performance Data Sheet'!K44</f>
        <v>43144</v>
      </c>
    </row>
    <row r="10" spans="1:6" ht="18.95" customHeight="1">
      <c r="A10" s="406" t="s">
        <v>568</v>
      </c>
      <c r="B10" s="407">
        <f>'Performance Data Sheet'!M14</f>
        <v>1780</v>
      </c>
      <c r="C10" s="406" t="s">
        <v>396</v>
      </c>
      <c r="D10" s="407" t="s">
        <v>578</v>
      </c>
      <c r="E10" s="406" t="s">
        <v>1</v>
      </c>
      <c r="F10" s="407" t="s">
        <v>380</v>
      </c>
    </row>
    <row r="11" spans="1:6" ht="18.95" customHeight="1">
      <c r="A11" s="403"/>
      <c r="B11" s="404"/>
      <c r="C11" s="404"/>
      <c r="D11" s="404"/>
      <c r="E11" s="404"/>
      <c r="F11" s="405"/>
    </row>
    <row r="12" spans="1:6" ht="18.95" customHeight="1">
      <c r="A12" s="403"/>
      <c r="B12" s="409" t="s">
        <v>569</v>
      </c>
      <c r="C12" s="410" t="str">
        <f>'Performance Data Sheet'!D22 &amp; " A"</f>
        <v>810 A</v>
      </c>
      <c r="D12" s="409" t="s">
        <v>395</v>
      </c>
      <c r="E12" s="410" t="s">
        <v>399</v>
      </c>
      <c r="F12" s="405"/>
    </row>
    <row r="13" spans="1:6" ht="18.95" customHeight="1">
      <c r="A13" s="403"/>
      <c r="B13" s="409" t="s">
        <v>570</v>
      </c>
      <c r="C13" s="411">
        <f>'Performance Data Sheet'!H23/100</f>
        <v>1.4</v>
      </c>
      <c r="D13" s="409" t="s">
        <v>571</v>
      </c>
      <c r="E13" s="410" t="s">
        <v>579</v>
      </c>
      <c r="F13" s="405"/>
    </row>
    <row r="14" spans="1:6" ht="18.95" customHeight="1">
      <c r="A14" s="403"/>
      <c r="B14" s="409" t="s">
        <v>572</v>
      </c>
      <c r="C14" s="411">
        <v>2.95</v>
      </c>
      <c r="D14" s="409" t="s">
        <v>397</v>
      </c>
      <c r="E14" s="410" t="s">
        <v>402</v>
      </c>
      <c r="F14" s="405"/>
    </row>
    <row r="15" spans="1:6" ht="18.95" customHeight="1">
      <c r="A15" s="403"/>
      <c r="B15" s="409" t="s">
        <v>398</v>
      </c>
      <c r="C15" s="410" t="str">
        <f>'Performance Data Sheet'!H22 &amp; " lb-ft"</f>
        <v>2656 lb-ft</v>
      </c>
      <c r="D15" s="404"/>
      <c r="E15" s="404"/>
      <c r="F15" s="405"/>
    </row>
    <row r="16" spans="1:6" ht="18.95" customHeight="1">
      <c r="A16" s="403"/>
      <c r="B16" s="404"/>
      <c r="C16" s="404"/>
      <c r="D16" s="404"/>
      <c r="E16" s="404"/>
      <c r="F16" s="405"/>
    </row>
    <row r="17" spans="1:6" ht="18.95" customHeight="1">
      <c r="A17" s="403"/>
      <c r="B17" s="404"/>
      <c r="C17" s="404"/>
      <c r="D17" s="404"/>
      <c r="E17" s="404"/>
      <c r="F17" s="405"/>
    </row>
    <row r="18" spans="1:6" ht="18.95" customHeight="1">
      <c r="A18" s="403"/>
      <c r="B18" s="404"/>
      <c r="C18" s="404"/>
      <c r="D18" s="404"/>
      <c r="E18" s="404"/>
      <c r="F18" s="405"/>
    </row>
    <row r="19" spans="1:6" ht="18.95" customHeight="1">
      <c r="A19" s="403"/>
      <c r="B19" s="404"/>
      <c r="C19" s="404"/>
      <c r="D19" s="404"/>
      <c r="E19" s="404"/>
      <c r="F19" s="405"/>
    </row>
    <row r="20" spans="1:6" ht="18.95" customHeight="1">
      <c r="A20" s="403"/>
      <c r="B20" s="404"/>
      <c r="C20" s="404"/>
      <c r="D20" s="404"/>
      <c r="E20" s="404"/>
      <c r="F20" s="405"/>
    </row>
    <row r="21" spans="1:6" ht="18.95" customHeight="1">
      <c r="A21" s="403"/>
      <c r="B21" s="404"/>
      <c r="C21" s="404"/>
      <c r="D21" s="404"/>
      <c r="E21" s="404"/>
      <c r="F21" s="405"/>
    </row>
    <row r="22" spans="1:6" ht="18.95" customHeight="1">
      <c r="A22" s="403"/>
      <c r="B22" s="404"/>
      <c r="C22" s="404"/>
      <c r="D22" s="404"/>
      <c r="E22" s="404"/>
      <c r="F22" s="405"/>
    </row>
    <row r="23" spans="1:6" ht="18.95" customHeight="1">
      <c r="A23" s="403"/>
      <c r="B23" s="404"/>
      <c r="C23" s="404"/>
      <c r="D23" s="404"/>
      <c r="E23" s="404"/>
      <c r="F23" s="405"/>
    </row>
    <row r="24" spans="1:6" ht="18.95" customHeight="1">
      <c r="A24" s="403"/>
      <c r="B24" s="404"/>
      <c r="C24" s="404"/>
      <c r="D24" s="404"/>
      <c r="E24" s="404"/>
      <c r="F24" s="405"/>
    </row>
    <row r="25" spans="1:6" ht="18.95" customHeight="1">
      <c r="A25" s="403"/>
      <c r="B25" s="404"/>
      <c r="C25" s="404"/>
      <c r="D25" s="404"/>
      <c r="E25" s="404"/>
      <c r="F25" s="405"/>
    </row>
    <row r="26" spans="1:6" ht="18.95" customHeight="1">
      <c r="A26" s="403"/>
      <c r="B26" s="404"/>
      <c r="C26" s="404"/>
      <c r="D26" s="404"/>
      <c r="E26" s="404"/>
      <c r="F26" s="405"/>
    </row>
    <row r="27" spans="1:6" ht="18.95" customHeight="1">
      <c r="A27" s="403"/>
      <c r="B27" s="404"/>
      <c r="C27" s="404"/>
      <c r="D27" s="404"/>
      <c r="E27" s="404"/>
      <c r="F27" s="405"/>
    </row>
    <row r="28" spans="1:6" ht="18.95" customHeight="1">
      <c r="A28" s="403"/>
      <c r="B28" s="404"/>
      <c r="C28" s="404"/>
      <c r="D28" s="404"/>
      <c r="E28" s="404"/>
      <c r="F28" s="405"/>
    </row>
    <row r="29" spans="1:6" ht="18.95" customHeight="1">
      <c r="A29" s="403"/>
      <c r="B29" s="404"/>
      <c r="C29" s="404"/>
      <c r="D29" s="404"/>
      <c r="E29" s="404"/>
      <c r="F29" s="405"/>
    </row>
    <row r="30" spans="1:6" ht="18.95" customHeight="1">
      <c r="A30" s="403"/>
      <c r="B30" s="404"/>
      <c r="C30" s="404"/>
      <c r="D30" s="404"/>
      <c r="E30" s="404"/>
      <c r="F30" s="405"/>
    </row>
    <row r="31" spans="1:6" ht="18.95" customHeight="1">
      <c r="A31" s="403"/>
      <c r="B31" s="404"/>
      <c r="C31" s="404"/>
      <c r="D31" s="404"/>
      <c r="E31" s="404"/>
      <c r="F31" s="405"/>
    </row>
    <row r="32" spans="1:6" ht="18.95" customHeight="1">
      <c r="A32" s="403"/>
      <c r="B32" s="404"/>
      <c r="C32" s="404"/>
      <c r="D32" s="404"/>
      <c r="E32" s="404"/>
      <c r="F32" s="405"/>
    </row>
    <row r="33" spans="1:6" ht="18.95" customHeight="1">
      <c r="A33" s="403"/>
      <c r="B33" s="404"/>
      <c r="C33" s="404"/>
      <c r="D33" s="404"/>
      <c r="E33" s="404"/>
      <c r="F33" s="405"/>
    </row>
    <row r="34" spans="1:6" ht="18.95" customHeight="1">
      <c r="A34" s="403"/>
      <c r="B34" s="404"/>
      <c r="C34" s="404"/>
      <c r="D34" s="404"/>
      <c r="E34" s="404"/>
      <c r="F34" s="405"/>
    </row>
    <row r="35" spans="1:6" ht="18.95" customHeight="1">
      <c r="A35" s="403"/>
      <c r="B35" s="404"/>
      <c r="C35" s="404"/>
      <c r="D35" s="404"/>
      <c r="E35" s="404"/>
      <c r="F35" s="405"/>
    </row>
    <row r="36" spans="1:6" ht="18.95" customHeight="1">
      <c r="A36" s="403"/>
      <c r="B36" s="404"/>
      <c r="C36" s="404"/>
      <c r="D36" s="404"/>
      <c r="E36" s="404"/>
      <c r="F36" s="405"/>
    </row>
    <row r="37" spans="1:6" ht="18.95" customHeight="1">
      <c r="A37" s="403"/>
      <c r="B37" s="404"/>
      <c r="C37" s="404"/>
      <c r="D37" s="404"/>
      <c r="E37" s="404"/>
      <c r="F37" s="405"/>
    </row>
    <row r="38" spans="1:6" ht="18.95" customHeight="1">
      <c r="A38" s="403"/>
      <c r="B38" s="404"/>
      <c r="C38" s="404"/>
      <c r="D38" s="404"/>
      <c r="E38" s="404"/>
      <c r="F38" s="405"/>
    </row>
    <row r="39" spans="1:6" ht="18.95" customHeight="1">
      <c r="A39" s="412" t="s">
        <v>573</v>
      </c>
      <c r="B39" s="413" t="s">
        <v>371</v>
      </c>
      <c r="C39" s="549" t="str">
        <f>'Performance Data Sheet'!C10</f>
        <v>2077619.1</v>
      </c>
      <c r="D39" s="404"/>
      <c r="E39" s="409" t="s">
        <v>574</v>
      </c>
      <c r="F39" s="414" t="str">
        <f>F10</f>
        <v>1M4900U</v>
      </c>
    </row>
    <row r="40" spans="1:6" ht="18.95" customHeight="1">
      <c r="A40" s="403"/>
      <c r="B40" s="413"/>
      <c r="C40" s="413"/>
      <c r="D40" s="404"/>
      <c r="E40" s="404"/>
      <c r="F40" s="405"/>
    </row>
    <row r="41" spans="1:6" ht="18.95" customHeight="1">
      <c r="A41" s="403"/>
      <c r="B41" s="413"/>
      <c r="C41" s="413"/>
      <c r="D41" s="404"/>
      <c r="E41" s="404"/>
      <c r="F41" s="405"/>
    </row>
    <row r="42" spans="1:6" ht="18.95" customHeight="1">
      <c r="A42" s="403"/>
      <c r="B42" s="404"/>
      <c r="C42" s="404"/>
      <c r="D42" s="404"/>
      <c r="E42" s="404"/>
      <c r="F42" s="405"/>
    </row>
    <row r="43" spans="1:6" ht="18.95" customHeight="1">
      <c r="A43" s="415"/>
      <c r="B43" s="413"/>
      <c r="C43" s="416" t="s">
        <v>575</v>
      </c>
      <c r="D43" s="417" t="str">
        <f>'Performance Data Sheet'!K42</f>
        <v>Zichao Xie</v>
      </c>
      <c r="E43" s="416" t="s">
        <v>576</v>
      </c>
      <c r="F43" s="41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1" t="s">
        <v>394</v>
      </c>
      <c r="E53" s="371"/>
      <c r="F53" s="371"/>
      <c r="G53" s="371"/>
      <c r="H53" s="371"/>
      <c r="I53" s="371"/>
      <c r="J53" s="371"/>
      <c r="K53" s="371"/>
      <c r="L53" s="371"/>
    </row>
    <row r="54" spans="1:12" ht="15" customHeight="1">
      <c r="A54" s="421">
        <v>100</v>
      </c>
      <c r="B54" s="370">
        <v>0</v>
      </c>
      <c r="C54" s="370">
        <v>0.23112839460372925</v>
      </c>
      <c r="D54" s="371">
        <v>100</v>
      </c>
      <c r="E54" s="371"/>
      <c r="F54" s="371"/>
      <c r="G54" s="371"/>
      <c r="H54" s="371"/>
      <c r="I54" s="371"/>
      <c r="J54" s="371"/>
      <c r="K54" s="371"/>
      <c r="L54" s="371"/>
    </row>
    <row r="55" spans="1:12" ht="15" customHeight="1">
      <c r="A55" s="421">
        <v>99.500000011175871</v>
      </c>
      <c r="B55" s="370">
        <v>78.699117364433661</v>
      </c>
      <c r="C55" s="370">
        <v>89.859474182128906</v>
      </c>
      <c r="D55" s="371">
        <v>99</v>
      </c>
      <c r="E55" s="371"/>
      <c r="F55" s="371"/>
      <c r="G55" s="371"/>
      <c r="H55" s="371"/>
      <c r="I55" s="371"/>
      <c r="J55" s="371"/>
      <c r="K55" s="371"/>
      <c r="L55" s="371"/>
    </row>
    <row r="56" spans="1:12" ht="15" customHeight="1">
      <c r="A56" s="421">
        <v>97.499999962747097</v>
      </c>
      <c r="B56" s="370">
        <v>273.95748341785674</v>
      </c>
      <c r="C56" s="370">
        <v>357.1405029296875</v>
      </c>
      <c r="D56" s="371">
        <v>93.875</v>
      </c>
      <c r="E56" s="371"/>
      <c r="F56" s="371"/>
      <c r="G56" s="371"/>
      <c r="H56" s="371"/>
      <c r="I56" s="371"/>
      <c r="J56" s="371"/>
      <c r="K56" s="371"/>
      <c r="L56" s="371"/>
    </row>
    <row r="57" spans="1:12">
      <c r="A57" s="421">
        <v>94.999999925494194</v>
      </c>
      <c r="B57" s="370">
        <v>295</v>
      </c>
      <c r="C57" s="370">
        <v>518.695556640625</v>
      </c>
      <c r="D57" s="371">
        <v>87</v>
      </c>
      <c r="E57" s="371"/>
      <c r="F57" s="371"/>
      <c r="G57" s="371"/>
      <c r="H57" s="371"/>
      <c r="I57" s="371"/>
      <c r="J57" s="371"/>
      <c r="K57" s="371"/>
      <c r="L57" s="371"/>
    </row>
    <row r="58" spans="1:12">
      <c r="A58" s="421">
        <v>89.374999701976776</v>
      </c>
      <c r="B58" s="370">
        <v>191.56800960698217</v>
      </c>
      <c r="C58" s="370">
        <v>585.7421875</v>
      </c>
      <c r="D58" s="371">
        <v>72.375</v>
      </c>
      <c r="E58" s="371"/>
      <c r="F58" s="371"/>
      <c r="G58" s="371"/>
      <c r="H58" s="371"/>
      <c r="I58" s="371"/>
      <c r="J58" s="371"/>
      <c r="K58" s="371"/>
      <c r="L58" s="371"/>
    </row>
    <row r="59" spans="1:12">
      <c r="A59" s="421">
        <v>83.749999105930328</v>
      </c>
      <c r="B59" s="370">
        <v>153.84480211854248</v>
      </c>
      <c r="C59" s="370">
        <v>617.94525146484375</v>
      </c>
      <c r="D59" s="371">
        <v>58.249996185302734</v>
      </c>
      <c r="E59" s="371"/>
      <c r="F59" s="371"/>
      <c r="G59" s="371"/>
      <c r="H59" s="371"/>
      <c r="I59" s="371"/>
      <c r="J59" s="371"/>
      <c r="K59" s="371"/>
      <c r="L59" s="371"/>
    </row>
    <row r="60" spans="1:12">
      <c r="A60" s="421">
        <v>72.499999403953552</v>
      </c>
      <c r="B60" s="370">
        <v>126.02320529639243</v>
      </c>
      <c r="C60" s="370">
        <v>648.392333984375</v>
      </c>
      <c r="D60" s="371">
        <v>37.25</v>
      </c>
      <c r="E60" s="371"/>
      <c r="F60" s="371"/>
      <c r="G60" s="371"/>
      <c r="H60" s="371"/>
      <c r="I60" s="371"/>
      <c r="J60" s="371"/>
      <c r="K60" s="371"/>
      <c r="L60" s="371"/>
    </row>
    <row r="61" spans="1:12">
      <c r="A61" s="421">
        <v>61.249998211860657</v>
      </c>
      <c r="B61" s="370">
        <v>114.7637780199577</v>
      </c>
      <c r="C61" s="370">
        <v>664.2037353515625</v>
      </c>
      <c r="D61" s="371">
        <v>23.374998092651367</v>
      </c>
      <c r="E61" s="371"/>
      <c r="F61" s="371"/>
      <c r="G61" s="371"/>
      <c r="H61" s="371"/>
      <c r="I61" s="371"/>
      <c r="J61" s="371"/>
      <c r="K61" s="371"/>
      <c r="L61" s="371"/>
    </row>
    <row r="62" spans="1:12">
      <c r="A62" s="421">
        <v>50</v>
      </c>
      <c r="B62" s="370">
        <v>110</v>
      </c>
      <c r="C62" s="370">
        <v>675.39447021484375</v>
      </c>
      <c r="D62" s="371">
        <v>14</v>
      </c>
      <c r="E62" s="371"/>
      <c r="F62" s="371"/>
      <c r="G62" s="371"/>
      <c r="H62" s="371"/>
      <c r="I62" s="371"/>
      <c r="J62" s="371"/>
      <c r="K62" s="371"/>
      <c r="L62" s="371"/>
    </row>
    <row r="63" spans="1:12">
      <c r="A63" s="421">
        <v>39.999997615814209</v>
      </c>
      <c r="B63" s="370">
        <v>111.35214412653107</v>
      </c>
      <c r="C63" s="370">
        <v>684.61376953125</v>
      </c>
      <c r="D63" s="371">
        <v>7.9999995231628418</v>
      </c>
      <c r="E63" s="371"/>
      <c r="F63" s="371"/>
      <c r="G63" s="371"/>
      <c r="H63" s="371"/>
      <c r="I63" s="371"/>
      <c r="J63" s="371"/>
      <c r="K63" s="371"/>
      <c r="L63" s="371"/>
    </row>
    <row r="64" spans="1:12">
      <c r="A64" s="421">
        <v>30.000001192092896</v>
      </c>
      <c r="B64" s="370">
        <v>114.15676891501806</v>
      </c>
      <c r="C64" s="370">
        <v>692.2109375</v>
      </c>
      <c r="D64" s="371">
        <v>5.9999995231628418</v>
      </c>
      <c r="E64" s="371"/>
      <c r="F64" s="371"/>
      <c r="G64" s="371"/>
      <c r="H64" s="371"/>
      <c r="I64" s="371"/>
      <c r="J64" s="371"/>
      <c r="K64" s="371"/>
      <c r="L64" s="371"/>
    </row>
    <row r="65" spans="1:12">
      <c r="A65" s="421">
        <v>19.999998807907104</v>
      </c>
      <c r="B65" s="370">
        <v>119.12754510682993</v>
      </c>
      <c r="C65" s="370">
        <v>698.97607421875</v>
      </c>
      <c r="D65" s="371">
        <v>8.0000009536743164</v>
      </c>
      <c r="E65" s="371"/>
      <c r="F65" s="371"/>
      <c r="G65" s="371"/>
      <c r="H65" s="371"/>
      <c r="I65" s="371"/>
      <c r="J65" s="371"/>
      <c r="K65" s="371"/>
      <c r="L65" s="371"/>
    </row>
    <row r="66" spans="1:12">
      <c r="A66" s="421">
        <v>10.000002384185791</v>
      </c>
      <c r="B66" s="370">
        <v>127.26000794804422</v>
      </c>
      <c r="C66" s="370">
        <v>705.05291748046875</v>
      </c>
      <c r="D66" s="371">
        <v>14.999996185302734</v>
      </c>
      <c r="E66" s="371"/>
      <c r="F66" s="371"/>
      <c r="G66" s="371"/>
      <c r="H66" s="371"/>
      <c r="I66" s="371"/>
      <c r="J66" s="371"/>
      <c r="K66" s="371"/>
      <c r="L66" s="371"/>
    </row>
    <row r="67" spans="1:12">
      <c r="A67" s="422">
        <v>0</v>
      </c>
      <c r="B67" s="370">
        <v>140</v>
      </c>
      <c r="C67" s="370">
        <v>710.52630615234375</v>
      </c>
      <c r="D67" s="371">
        <v>30</v>
      </c>
      <c r="E67" s="371"/>
      <c r="F67" s="371"/>
      <c r="G67" s="371"/>
      <c r="H67" s="371"/>
      <c r="I67" s="371"/>
      <c r="J67" s="371"/>
      <c r="K67" s="371"/>
      <c r="L67" s="37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R21" sqref="R21"/>
    </sheetView>
  </sheetViews>
  <sheetFormatPr defaultRowHeight="12.75"/>
  <cols>
    <col min="1" max="6" width="16.7109375" style="383" customWidth="1"/>
    <col min="7" max="16384" width="9.140625" style="383"/>
  </cols>
  <sheetData>
    <row r="1" spans="1:6" ht="18.95" customHeight="1">
      <c r="A1" s="396"/>
      <c r="B1" s="397"/>
      <c r="C1" s="397"/>
      <c r="D1" s="397"/>
      <c r="E1" s="397"/>
      <c r="F1" s="398"/>
    </row>
    <row r="2" spans="1:6" ht="26.1" customHeight="1">
      <c r="A2" s="399" t="s">
        <v>269</v>
      </c>
      <c r="B2" s="400"/>
      <c r="C2" s="400"/>
      <c r="D2" s="400"/>
      <c r="E2" s="400"/>
      <c r="F2" s="401"/>
    </row>
    <row r="3" spans="1:6" ht="18.95" customHeight="1">
      <c r="A3" s="670" t="s">
        <v>580</v>
      </c>
      <c r="B3" s="671"/>
      <c r="C3" s="671"/>
      <c r="D3" s="671"/>
      <c r="E3" s="671"/>
      <c r="F3" s="672"/>
    </row>
    <row r="4" spans="1:6" ht="18.95" customHeight="1">
      <c r="A4" s="673" t="s">
        <v>581</v>
      </c>
      <c r="B4" s="674"/>
      <c r="C4" s="674"/>
      <c r="D4" s="674"/>
      <c r="E4" s="674"/>
      <c r="F4" s="675"/>
    </row>
    <row r="5" spans="1:6" ht="18.95" customHeight="1">
      <c r="A5" s="403"/>
      <c r="B5" s="404"/>
      <c r="C5" s="404"/>
      <c r="D5" s="404"/>
      <c r="E5" s="404"/>
      <c r="F5" s="405"/>
    </row>
    <row r="6" spans="1:6" ht="18.95" customHeight="1">
      <c r="A6" s="406" t="s">
        <v>557</v>
      </c>
      <c r="B6" s="667" t="str">
        <f>'Performance Data Sheet'!C17</f>
        <v>TC-10009285</v>
      </c>
      <c r="C6" s="668"/>
      <c r="D6" s="669"/>
      <c r="E6" s="406" t="s">
        <v>558</v>
      </c>
      <c r="F6" s="407">
        <f>'Performance Data Sheet'!I14</f>
        <v>114</v>
      </c>
    </row>
    <row r="7" spans="1:6" ht="18.95" customHeight="1">
      <c r="A7" s="406" t="s">
        <v>559</v>
      </c>
      <c r="B7" s="407" t="str">
        <f>'Performance Data Sheet'!F14</f>
        <v>TEAAC</v>
      </c>
      <c r="C7" s="406" t="s">
        <v>560</v>
      </c>
      <c r="D7" s="407" t="str">
        <f>'Performance Data Sheet'!F13 &amp; " V"</f>
        <v>4000 V</v>
      </c>
      <c r="E7" s="406" t="s">
        <v>561</v>
      </c>
      <c r="F7" s="407" t="str">
        <f>'Performance Data Sheet'!C14</f>
        <v>5812US</v>
      </c>
    </row>
    <row r="8" spans="1:6" ht="18.95" customHeight="1">
      <c r="A8" s="406" t="s">
        <v>562</v>
      </c>
      <c r="B8" s="407">
        <v>4</v>
      </c>
      <c r="C8" s="406" t="s">
        <v>563</v>
      </c>
      <c r="D8" s="407" t="s">
        <v>564</v>
      </c>
      <c r="E8" s="406" t="s">
        <v>565</v>
      </c>
      <c r="F8" s="407" t="str">
        <f>'Performance Data Sheet'!M15</f>
        <v>F</v>
      </c>
    </row>
    <row r="9" spans="1:6" ht="18.95" customHeight="1">
      <c r="A9" s="406" t="s">
        <v>566</v>
      </c>
      <c r="B9" s="407">
        <f>'Performance Data Sheet'!C13</f>
        <v>900</v>
      </c>
      <c r="C9" s="406" t="s">
        <v>567</v>
      </c>
      <c r="D9" s="407" t="s">
        <v>577</v>
      </c>
      <c r="E9" s="406" t="s">
        <v>2</v>
      </c>
      <c r="F9" s="408">
        <f>'Performance Data Sheet'!K44</f>
        <v>43144</v>
      </c>
    </row>
    <row r="10" spans="1:6" ht="18.95" customHeight="1">
      <c r="A10" s="406" t="s">
        <v>568</v>
      </c>
      <c r="B10" s="407">
        <f>'Performance Data Sheet'!M14</f>
        <v>1780</v>
      </c>
      <c r="C10" s="406" t="s">
        <v>396</v>
      </c>
      <c r="D10" s="407" t="s">
        <v>578</v>
      </c>
      <c r="E10" s="406" t="s">
        <v>1</v>
      </c>
      <c r="F10" s="407" t="s">
        <v>380</v>
      </c>
    </row>
    <row r="11" spans="1:6" ht="18.95" customHeight="1">
      <c r="A11" s="403"/>
      <c r="B11" s="404"/>
      <c r="C11" s="404"/>
      <c r="D11" s="404"/>
      <c r="E11" s="404"/>
      <c r="F11" s="405"/>
    </row>
    <row r="12" spans="1:6" ht="18.95" customHeight="1">
      <c r="A12" s="403"/>
      <c r="B12" s="409"/>
      <c r="C12" s="410" t="str">
        <f>'Performance Data Sheet'!D22 &amp; " A"</f>
        <v>810 A</v>
      </c>
      <c r="D12" s="409"/>
      <c r="E12" s="410"/>
      <c r="F12" s="405"/>
    </row>
    <row r="13" spans="1:6" ht="18.95" customHeight="1">
      <c r="A13" s="403"/>
      <c r="B13" s="409"/>
      <c r="C13" s="411">
        <f>'Performance Data Sheet'!H23/100</f>
        <v>1.4</v>
      </c>
      <c r="D13" s="409"/>
      <c r="E13" s="410"/>
      <c r="F13" s="405"/>
    </row>
    <row r="14" spans="1:6" ht="18.95" customHeight="1">
      <c r="A14" s="403"/>
      <c r="B14" s="409"/>
      <c r="C14" s="411"/>
      <c r="D14" s="409"/>
      <c r="E14" s="410"/>
      <c r="F14" s="405"/>
    </row>
    <row r="15" spans="1:6" ht="18.95" customHeight="1">
      <c r="A15" s="403"/>
      <c r="B15" s="409"/>
      <c r="C15" s="410" t="str">
        <f>'Performance Data Sheet'!H22 &amp; " lb-ft"</f>
        <v>2656 lb-ft</v>
      </c>
      <c r="D15" s="404"/>
      <c r="E15" s="404"/>
      <c r="F15" s="405"/>
    </row>
    <row r="16" spans="1:6" ht="18.95" customHeight="1">
      <c r="A16" s="403"/>
      <c r="B16" s="404"/>
      <c r="C16" s="404"/>
      <c r="D16" s="404"/>
      <c r="E16" s="404"/>
      <c r="F16" s="405"/>
    </row>
    <row r="17" spans="1:6" ht="18.95" customHeight="1">
      <c r="A17" s="403"/>
      <c r="B17" s="404"/>
      <c r="C17" s="404"/>
      <c r="D17" s="404"/>
      <c r="E17" s="404"/>
      <c r="F17" s="405"/>
    </row>
    <row r="18" spans="1:6" ht="18.95" customHeight="1">
      <c r="A18" s="403"/>
      <c r="B18" s="404"/>
      <c r="C18" s="404"/>
      <c r="D18" s="404"/>
      <c r="E18" s="404"/>
      <c r="F18" s="405"/>
    </row>
    <row r="19" spans="1:6" ht="18.95" customHeight="1">
      <c r="A19" s="403"/>
      <c r="B19" s="404"/>
      <c r="C19" s="404"/>
      <c r="D19" s="404"/>
      <c r="E19" s="404"/>
      <c r="F19" s="405"/>
    </row>
    <row r="20" spans="1:6" ht="18.95" customHeight="1">
      <c r="A20" s="403"/>
      <c r="B20" s="404"/>
      <c r="C20" s="404"/>
      <c r="D20" s="404"/>
      <c r="E20" s="404"/>
      <c r="F20" s="405"/>
    </row>
    <row r="21" spans="1:6" ht="18.95" customHeight="1">
      <c r="A21" s="403"/>
      <c r="B21" s="404"/>
      <c r="C21" s="404"/>
      <c r="D21" s="404"/>
      <c r="E21" s="404"/>
      <c r="F21" s="405"/>
    </row>
    <row r="22" spans="1:6" ht="18.95" customHeight="1">
      <c r="A22" s="403"/>
      <c r="B22" s="404"/>
      <c r="C22" s="404"/>
      <c r="D22" s="404"/>
      <c r="E22" s="404"/>
      <c r="F22" s="405"/>
    </row>
    <row r="23" spans="1:6" ht="18.95" customHeight="1">
      <c r="A23" s="403"/>
      <c r="B23" s="404"/>
      <c r="C23" s="404"/>
      <c r="D23" s="404"/>
      <c r="E23" s="404"/>
      <c r="F23" s="405"/>
    </row>
    <row r="24" spans="1:6" ht="18.95" customHeight="1">
      <c r="A24" s="403"/>
      <c r="B24" s="404"/>
      <c r="C24" s="404"/>
      <c r="D24" s="404"/>
      <c r="E24" s="404"/>
      <c r="F24" s="405"/>
    </row>
    <row r="25" spans="1:6" ht="18.95" customHeight="1">
      <c r="A25" s="403"/>
      <c r="B25" s="404"/>
      <c r="C25" s="404"/>
      <c r="D25" s="404"/>
      <c r="E25" s="404"/>
      <c r="F25" s="405"/>
    </row>
    <row r="26" spans="1:6" ht="18.95" customHeight="1">
      <c r="A26" s="403"/>
      <c r="B26" s="404"/>
      <c r="C26" s="404"/>
      <c r="D26" s="404"/>
      <c r="E26" s="404"/>
      <c r="F26" s="405"/>
    </row>
    <row r="27" spans="1:6" ht="18.95" customHeight="1">
      <c r="A27" s="403"/>
      <c r="B27" s="404"/>
      <c r="C27" s="404"/>
      <c r="D27" s="404"/>
      <c r="E27" s="404"/>
      <c r="F27" s="405"/>
    </row>
    <row r="28" spans="1:6" ht="18.95" customHeight="1">
      <c r="A28" s="403"/>
      <c r="B28" s="404"/>
      <c r="C28" s="404"/>
      <c r="D28" s="404"/>
      <c r="E28" s="404"/>
      <c r="F28" s="405"/>
    </row>
    <row r="29" spans="1:6" ht="18.95" customHeight="1">
      <c r="A29" s="403"/>
      <c r="B29" s="404"/>
      <c r="C29" s="404"/>
      <c r="D29" s="404"/>
      <c r="E29" s="404"/>
      <c r="F29" s="405"/>
    </row>
    <row r="30" spans="1:6" ht="18.95" customHeight="1">
      <c r="A30" s="403"/>
      <c r="B30" s="404"/>
      <c r="C30" s="404"/>
      <c r="D30" s="404"/>
      <c r="E30" s="404"/>
      <c r="F30" s="405"/>
    </row>
    <row r="31" spans="1:6" ht="18.95" customHeight="1">
      <c r="A31" s="403"/>
      <c r="B31" s="404"/>
      <c r="C31" s="404"/>
      <c r="D31" s="404"/>
      <c r="E31" s="404"/>
      <c r="F31" s="405"/>
    </row>
    <row r="32" spans="1:6" ht="18.95" customHeight="1">
      <c r="A32" s="403"/>
      <c r="B32" s="404"/>
      <c r="C32" s="404"/>
      <c r="D32" s="404"/>
      <c r="E32" s="404"/>
      <c r="F32" s="405"/>
    </row>
    <row r="33" spans="1:6" ht="18.95" customHeight="1">
      <c r="A33" s="403"/>
      <c r="B33" s="404"/>
      <c r="C33" s="404"/>
      <c r="D33" s="404"/>
      <c r="E33" s="404"/>
      <c r="F33" s="405"/>
    </row>
    <row r="34" spans="1:6" ht="18.95" customHeight="1">
      <c r="A34" s="403"/>
      <c r="B34" s="404"/>
      <c r="C34" s="404"/>
      <c r="D34" s="404"/>
      <c r="E34" s="404"/>
      <c r="F34" s="405"/>
    </row>
    <row r="35" spans="1:6" ht="18.95" customHeight="1">
      <c r="A35" s="403"/>
      <c r="B35" s="404"/>
      <c r="C35" s="404"/>
      <c r="D35" s="404"/>
      <c r="E35" s="404"/>
      <c r="F35" s="405"/>
    </row>
    <row r="36" spans="1:6" ht="18.95" customHeight="1">
      <c r="A36" s="403"/>
      <c r="B36" s="404"/>
      <c r="C36" s="404"/>
      <c r="D36" s="404"/>
      <c r="E36" s="404"/>
      <c r="F36" s="405"/>
    </row>
    <row r="37" spans="1:6" ht="18.95" customHeight="1">
      <c r="A37" s="403"/>
      <c r="B37" s="404"/>
      <c r="C37" s="404"/>
      <c r="D37" s="404"/>
      <c r="E37" s="404"/>
      <c r="F37" s="405"/>
    </row>
    <row r="38" spans="1:6" ht="18.95" customHeight="1">
      <c r="A38" s="403"/>
      <c r="B38" s="404"/>
      <c r="C38" s="404"/>
      <c r="D38" s="404"/>
      <c r="E38" s="404"/>
      <c r="F38" s="405"/>
    </row>
    <row r="39" spans="1:6" ht="18.95" customHeight="1">
      <c r="A39" s="412" t="s">
        <v>573</v>
      </c>
      <c r="B39" s="413" t="s">
        <v>371</v>
      </c>
      <c r="C39" s="549" t="str">
        <f>'Performance Data Sheet'!C10</f>
        <v>2077619.1</v>
      </c>
      <c r="D39" s="404"/>
      <c r="E39" s="409" t="s">
        <v>574</v>
      </c>
      <c r="F39" s="414" t="str">
        <f>F10</f>
        <v>1M4900U</v>
      </c>
    </row>
    <row r="40" spans="1:6" ht="18.95" customHeight="1">
      <c r="A40" s="403"/>
      <c r="B40" s="413"/>
      <c r="C40" s="413"/>
      <c r="D40" s="404"/>
      <c r="E40" s="404"/>
      <c r="F40" s="405"/>
    </row>
    <row r="41" spans="1:6" ht="18.95" customHeight="1">
      <c r="A41" s="403"/>
      <c r="B41" s="413"/>
      <c r="C41" s="413"/>
      <c r="D41" s="404"/>
      <c r="E41" s="404"/>
      <c r="F41" s="405"/>
    </row>
    <row r="42" spans="1:6" ht="18.95" customHeight="1">
      <c r="A42" s="403"/>
      <c r="B42" s="404"/>
      <c r="C42" s="404"/>
      <c r="D42" s="404"/>
      <c r="E42" s="404"/>
      <c r="F42" s="405"/>
    </row>
    <row r="43" spans="1:6" ht="18.95" customHeight="1">
      <c r="A43" s="415"/>
      <c r="B43" s="413"/>
      <c r="C43" s="416" t="s">
        <v>575</v>
      </c>
      <c r="D43" s="417" t="str">
        <f>'Performance Data Sheet'!K42</f>
        <v>Zichao Xie</v>
      </c>
      <c r="E43" s="416" t="s">
        <v>576</v>
      </c>
      <c r="F43" s="41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3" t="e">
        <f>5252.1*B50/D53</f>
        <v>#DIV/0!</v>
      </c>
      <c r="G50" s="423"/>
    </row>
    <row r="51" spans="6:9" ht="15" customHeight="1">
      <c r="G51" s="424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5"/>
    </row>
    <row r="63" spans="6:9">
      <c r="I63" s="426" t="s">
        <v>39</v>
      </c>
    </row>
    <row r="64" spans="6:9">
      <c r="I64" s="426"/>
    </row>
    <row r="65" spans="1:9">
      <c r="I65" s="426"/>
    </row>
    <row r="66" spans="1:9">
      <c r="D66" s="423" t="e">
        <f>D65/D64</f>
        <v>#DIV/0!</v>
      </c>
    </row>
    <row r="67" spans="1:9">
      <c r="A67" s="427" t="s">
        <v>391</v>
      </c>
      <c r="B67" s="427" t="s">
        <v>582</v>
      </c>
      <c r="C67" s="427" t="s">
        <v>583</v>
      </c>
      <c r="E67" s="427" t="s">
        <v>584</v>
      </c>
      <c r="F67" s="427" t="s">
        <v>585</v>
      </c>
    </row>
    <row r="68" spans="1:9">
      <c r="A68" s="428">
        <v>710.52631578947364</v>
      </c>
      <c r="B68" s="429">
        <v>14.383044924054827</v>
      </c>
      <c r="C68" s="429">
        <v>6.2753241402762283</v>
      </c>
      <c r="E68" s="428">
        <f>A68</f>
        <v>710.52631578947364</v>
      </c>
      <c r="F68" s="429">
        <v>1E-4</v>
      </c>
    </row>
    <row r="69" spans="1:9">
      <c r="A69" s="428">
        <f>FLOOR(A68,100)</f>
        <v>700</v>
      </c>
      <c r="B69" s="429">
        <f>((A68/A69)^2)*B68</f>
        <v>14.818870130640462</v>
      </c>
      <c r="C69" s="429">
        <f>((A68/A69)^2)*C68</f>
        <v>6.4654747276010074</v>
      </c>
      <c r="E69" s="428">
        <v>707.80701754385962</v>
      </c>
      <c r="F69" s="429">
        <v>0.68000000715255737</v>
      </c>
    </row>
    <row r="70" spans="1:9">
      <c r="A70" s="428">
        <f>A69-100</f>
        <v>600</v>
      </c>
      <c r="B70" s="429">
        <f>((A68/A70)^2)*B68</f>
        <v>20.1701287889273</v>
      </c>
      <c r="C70" s="429">
        <f>((A68/A70)^2)*C68</f>
        <v>8.8002294903458171</v>
      </c>
      <c r="E70" s="428">
        <v>702.01754385964909</v>
      </c>
      <c r="F70" s="429">
        <v>1.3560000658035278</v>
      </c>
    </row>
    <row r="71" spans="1:9">
      <c r="A71" s="428">
        <f>A70-100</f>
        <v>500</v>
      </c>
      <c r="B71" s="429">
        <f>((A68/A71)^2)*B68</f>
        <v>29.044985456055315</v>
      </c>
      <c r="C71" s="429">
        <f>((A68/A71)^2)*C68</f>
        <v>12.672330466097979</v>
      </c>
      <c r="E71" s="428">
        <v>695.61403508771934</v>
      </c>
      <c r="F71" s="429">
        <v>2.0450000762939453</v>
      </c>
    </row>
    <row r="72" spans="1:9">
      <c r="A72" s="428">
        <f>A71-100</f>
        <v>400</v>
      </c>
      <c r="B72" s="429">
        <f>((A68/A72)^2)*B68</f>
        <v>45.38278977508643</v>
      </c>
      <c r="C72" s="429"/>
      <c r="E72" s="428">
        <v>688.42105263157896</v>
      </c>
      <c r="F72" s="429">
        <v>2.7590000629425049</v>
      </c>
    </row>
    <row r="73" spans="1:9">
      <c r="A73" s="428">
        <f>A72-100</f>
        <v>300</v>
      </c>
      <c r="B73" s="429">
        <f>((A68/A73)^2)*B68</f>
        <v>80.680515155709202</v>
      </c>
      <c r="C73" s="429"/>
      <c r="E73" s="428">
        <v>680</v>
      </c>
      <c r="F73" s="429">
        <v>3.5169999599456787</v>
      </c>
    </row>
    <row r="74" spans="1:9">
      <c r="A74" s="428">
        <v>295</v>
      </c>
      <c r="B74" s="429">
        <f>((A68/A74)^2)*B68</f>
        <v>83.438625268759864</v>
      </c>
      <c r="C74" s="429">
        <f>((A68/A74)^2)*C68</f>
        <v>36.404281718178616</v>
      </c>
      <c r="E74" s="428">
        <v>669.82456140350882</v>
      </c>
      <c r="F74" s="429">
        <v>4.4239997863769531</v>
      </c>
    </row>
    <row r="75" spans="1:9">
      <c r="A75" s="430">
        <v>180</v>
      </c>
      <c r="B75" s="429">
        <f>((A68/A75)^2)*B69</f>
        <v>230.9034473264615</v>
      </c>
      <c r="C75" s="429">
        <f>((A68/A75)^2)*C68</f>
        <v>97.780327670509095</v>
      </c>
      <c r="E75" s="428">
        <v>656.31578947368416</v>
      </c>
      <c r="F75" s="429">
        <v>5.3679995536804199</v>
      </c>
    </row>
    <row r="76" spans="1:9">
      <c r="A76" s="430">
        <v>145</v>
      </c>
      <c r="B76" s="429">
        <f>((A68/A76)^2)*B68</f>
        <v>345.36249055951617</v>
      </c>
      <c r="C76" s="429">
        <f>((A68/A76)^2)*C68</f>
        <v>150.68169400829936</v>
      </c>
      <c r="E76" s="428">
        <v>633.15789473684208</v>
      </c>
      <c r="F76" s="429">
        <v>6.2899994850158691</v>
      </c>
    </row>
    <row r="77" spans="1:9">
      <c r="A77" s="430">
        <v>125</v>
      </c>
      <c r="B77" s="429"/>
      <c r="C77" s="428">
        <f>CEILING(C76*2,100)</f>
        <v>400</v>
      </c>
      <c r="E77" s="428">
        <v>601.84210526315792</v>
      </c>
      <c r="F77" s="429">
        <v>6.6859993934631348</v>
      </c>
    </row>
    <row r="78" spans="1:9">
      <c r="A78" s="430">
        <v>125</v>
      </c>
      <c r="B78" s="429"/>
      <c r="C78" s="428">
        <f>2*C77</f>
        <v>800</v>
      </c>
      <c r="E78" s="428">
        <v>552.19298245614038</v>
      </c>
      <c r="F78" s="429">
        <v>6.9459996223449707</v>
      </c>
    </row>
    <row r="79" spans="1:9">
      <c r="A79" s="430">
        <v>125</v>
      </c>
      <c r="B79" s="430"/>
      <c r="C79" s="430">
        <v>10000</v>
      </c>
      <c r="E79" s="428">
        <v>437.89473684210526</v>
      </c>
      <c r="F79" s="429">
        <v>7.0429997444152832</v>
      </c>
    </row>
    <row r="80" spans="1:9">
      <c r="E80" s="428">
        <f>A77</f>
        <v>125</v>
      </c>
      <c r="F80" s="429">
        <v>7.1619997024536133</v>
      </c>
    </row>
    <row r="81" spans="5:6">
      <c r="E81" s="428"/>
      <c r="F81" s="429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R21" sqref="R21"/>
    </sheetView>
  </sheetViews>
  <sheetFormatPr defaultRowHeight="12.75"/>
  <cols>
    <col min="1" max="6" width="16.7109375" style="383" customWidth="1"/>
    <col min="7" max="16384" width="9.140625" style="383"/>
  </cols>
  <sheetData>
    <row r="1" spans="1:6" ht="18.95" customHeight="1">
      <c r="A1" s="396"/>
      <c r="B1" s="397"/>
      <c r="C1" s="397"/>
      <c r="D1" s="397"/>
      <c r="E1" s="397"/>
      <c r="F1" s="398"/>
    </row>
    <row r="2" spans="1:6" ht="26.1" customHeight="1">
      <c r="A2" s="399" t="s">
        <v>269</v>
      </c>
      <c r="B2" s="400"/>
      <c r="C2" s="400"/>
      <c r="D2" s="400"/>
      <c r="E2" s="400"/>
      <c r="F2" s="401"/>
    </row>
    <row r="3" spans="1:6" ht="18.95" customHeight="1">
      <c r="A3" s="402" t="s">
        <v>586</v>
      </c>
      <c r="B3" s="400"/>
      <c r="C3" s="400"/>
      <c r="D3" s="400"/>
      <c r="E3" s="400"/>
      <c r="F3" s="401"/>
    </row>
    <row r="4" spans="1:6" ht="18.95" customHeight="1">
      <c r="A4" s="673" t="s">
        <v>581</v>
      </c>
      <c r="B4" s="674"/>
      <c r="C4" s="674"/>
      <c r="D4" s="674"/>
      <c r="E4" s="674"/>
      <c r="F4" s="675"/>
    </row>
    <row r="5" spans="1:6" ht="18.95" customHeight="1">
      <c r="A5" s="403"/>
      <c r="B5" s="404"/>
      <c r="C5" s="404"/>
      <c r="D5" s="404"/>
      <c r="E5" s="404"/>
      <c r="F5" s="405"/>
    </row>
    <row r="6" spans="1:6" ht="18.95" customHeight="1">
      <c r="A6" s="406" t="s">
        <v>557</v>
      </c>
      <c r="B6" s="667" t="str">
        <f>'Performance Data Sheet'!C17</f>
        <v>TC-10009285</v>
      </c>
      <c r="C6" s="668"/>
      <c r="D6" s="669"/>
      <c r="E6" s="406" t="s">
        <v>558</v>
      </c>
      <c r="F6" s="407">
        <f>'Performance Data Sheet'!I14</f>
        <v>114</v>
      </c>
    </row>
    <row r="7" spans="1:6" ht="18.95" customHeight="1">
      <c r="A7" s="406" t="s">
        <v>559</v>
      </c>
      <c r="B7" s="407" t="str">
        <f>'Performance Data Sheet'!F14</f>
        <v>TEAAC</v>
      </c>
      <c r="C7" s="406" t="s">
        <v>560</v>
      </c>
      <c r="D7" s="407" t="str">
        <f>'Performance Data Sheet'!F13 &amp; " V"</f>
        <v>4000 V</v>
      </c>
      <c r="E7" s="406" t="s">
        <v>561</v>
      </c>
      <c r="F7" s="407" t="str">
        <f>'Performance Data Sheet'!C14</f>
        <v>5812US</v>
      </c>
    </row>
    <row r="8" spans="1:6" ht="18.95" customHeight="1">
      <c r="A8" s="406" t="s">
        <v>562</v>
      </c>
      <c r="B8" s="407">
        <v>4</v>
      </c>
      <c r="C8" s="406" t="s">
        <v>563</v>
      </c>
      <c r="D8" s="407" t="s">
        <v>564</v>
      </c>
      <c r="E8" s="406" t="s">
        <v>565</v>
      </c>
      <c r="F8" s="407" t="str">
        <f>'Performance Data Sheet'!M15</f>
        <v>F</v>
      </c>
    </row>
    <row r="9" spans="1:6" ht="18.95" customHeight="1">
      <c r="A9" s="406" t="s">
        <v>566</v>
      </c>
      <c r="B9" s="407">
        <f>'Performance Data Sheet'!C13</f>
        <v>900</v>
      </c>
      <c r="C9" s="406" t="s">
        <v>567</v>
      </c>
      <c r="D9" s="407" t="s">
        <v>577</v>
      </c>
      <c r="E9" s="406" t="s">
        <v>2</v>
      </c>
      <c r="F9" s="408">
        <f>'Performance Data Sheet'!K44</f>
        <v>43144</v>
      </c>
    </row>
    <row r="10" spans="1:6" ht="18.95" customHeight="1">
      <c r="A10" s="406" t="s">
        <v>568</v>
      </c>
      <c r="B10" s="407">
        <f>'Performance Data Sheet'!M14</f>
        <v>1780</v>
      </c>
      <c r="C10" s="406" t="s">
        <v>396</v>
      </c>
      <c r="D10" s="407" t="s">
        <v>578</v>
      </c>
      <c r="E10" s="406" t="s">
        <v>1</v>
      </c>
      <c r="F10" s="407" t="s">
        <v>380</v>
      </c>
    </row>
    <row r="11" spans="1:6" ht="18.95" customHeight="1">
      <c r="A11" s="403"/>
      <c r="B11" s="404"/>
      <c r="C11" s="404"/>
      <c r="D11" s="404"/>
      <c r="E11" s="404"/>
      <c r="F11" s="405"/>
    </row>
    <row r="12" spans="1:6" ht="18.95" customHeight="1">
      <c r="A12" s="403"/>
      <c r="B12" s="409" t="s">
        <v>569</v>
      </c>
      <c r="C12" s="410" t="str">
        <f>'Performance Data Sheet'!D22 &amp; " A"</f>
        <v>810 A</v>
      </c>
      <c r="D12" s="409" t="s">
        <v>395</v>
      </c>
      <c r="E12" s="410" t="s">
        <v>399</v>
      </c>
      <c r="F12" s="405"/>
    </row>
    <row r="13" spans="1:6" ht="18.95" customHeight="1">
      <c r="A13" s="403"/>
      <c r="B13" s="409" t="s">
        <v>570</v>
      </c>
      <c r="C13" s="411">
        <f>'Performance Data Sheet'!H23/100</f>
        <v>1.4</v>
      </c>
      <c r="D13" s="409" t="s">
        <v>571</v>
      </c>
      <c r="E13" s="410" t="s">
        <v>579</v>
      </c>
      <c r="F13" s="405"/>
    </row>
    <row r="14" spans="1:6" ht="18.95" customHeight="1">
      <c r="A14" s="403"/>
      <c r="B14" s="409" t="s">
        <v>572</v>
      </c>
      <c r="C14" s="411">
        <v>2.95</v>
      </c>
      <c r="D14" s="409" t="s">
        <v>397</v>
      </c>
      <c r="E14" s="410" t="s">
        <v>402</v>
      </c>
      <c r="F14" s="405"/>
    </row>
    <row r="15" spans="1:6" ht="18.95" customHeight="1">
      <c r="A15" s="403"/>
      <c r="B15" s="409" t="s">
        <v>398</v>
      </c>
      <c r="C15" s="410" t="str">
        <f>'Performance Data Sheet'!H22 &amp; " lb-ft"</f>
        <v>2656 lb-ft</v>
      </c>
      <c r="D15" s="404"/>
      <c r="E15" s="404"/>
      <c r="F15" s="405"/>
    </row>
    <row r="16" spans="1:6" ht="18.95" customHeight="1">
      <c r="A16" s="403"/>
      <c r="B16" s="404"/>
      <c r="C16" s="404"/>
      <c r="D16" s="404"/>
      <c r="E16" s="404"/>
      <c r="F16" s="405"/>
    </row>
    <row r="17" spans="1:8" ht="18.95" customHeight="1">
      <c r="A17" s="403"/>
      <c r="B17" s="404"/>
      <c r="C17" s="404"/>
      <c r="D17" s="404"/>
      <c r="E17" s="404"/>
      <c r="F17" s="405"/>
    </row>
    <row r="18" spans="1:8" ht="18.95" customHeight="1">
      <c r="A18" s="403"/>
      <c r="B18" s="404"/>
      <c r="C18" s="404"/>
      <c r="D18" s="404"/>
      <c r="E18" s="404"/>
      <c r="F18" s="405"/>
    </row>
    <row r="19" spans="1:8" ht="18.95" customHeight="1">
      <c r="A19" s="403"/>
      <c r="B19" s="404"/>
      <c r="C19" s="404"/>
      <c r="D19" s="404"/>
      <c r="E19" s="404"/>
      <c r="F19" s="405"/>
    </row>
    <row r="20" spans="1:8" ht="18.95" customHeight="1">
      <c r="A20" s="403"/>
      <c r="B20" s="404"/>
      <c r="C20" s="404"/>
      <c r="D20" s="404"/>
      <c r="E20" s="404"/>
      <c r="F20" s="405"/>
    </row>
    <row r="21" spans="1:8" ht="18.95" customHeight="1">
      <c r="A21" s="403"/>
      <c r="B21" s="404"/>
      <c r="C21" s="404"/>
      <c r="D21" s="404"/>
      <c r="E21" s="404"/>
      <c r="F21" s="405"/>
    </row>
    <row r="22" spans="1:8" ht="18.95" customHeight="1">
      <c r="A22" s="403"/>
      <c r="B22" s="404"/>
      <c r="C22" s="404"/>
      <c r="D22" s="404"/>
      <c r="E22" s="404"/>
      <c r="F22" s="405"/>
    </row>
    <row r="23" spans="1:8" ht="18.95" customHeight="1">
      <c r="A23" s="403"/>
      <c r="B23" s="404"/>
      <c r="C23" s="404"/>
      <c r="D23" s="404"/>
      <c r="E23" s="404"/>
      <c r="F23" s="405"/>
    </row>
    <row r="24" spans="1:8" ht="18.95" customHeight="1">
      <c r="A24" s="403"/>
      <c r="B24" s="404"/>
      <c r="C24" s="404"/>
      <c r="D24" s="404"/>
      <c r="E24" s="404"/>
      <c r="F24" s="405"/>
      <c r="H24" s="431"/>
    </row>
    <row r="25" spans="1:8" ht="18.95" customHeight="1">
      <c r="A25" s="403"/>
      <c r="B25" s="404"/>
      <c r="C25" s="404"/>
      <c r="D25" s="404"/>
      <c r="E25" s="404"/>
      <c r="F25" s="405"/>
    </row>
    <row r="26" spans="1:8" ht="18.95" customHeight="1">
      <c r="A26" s="403"/>
      <c r="B26" s="404"/>
      <c r="C26" s="404"/>
      <c r="D26" s="404"/>
      <c r="E26" s="404"/>
      <c r="F26" s="405"/>
    </row>
    <row r="27" spans="1:8" ht="18.95" customHeight="1">
      <c r="A27" s="403"/>
      <c r="B27" s="404"/>
      <c r="C27" s="404"/>
      <c r="D27" s="404"/>
      <c r="E27" s="404"/>
      <c r="F27" s="405"/>
    </row>
    <row r="28" spans="1:8" ht="18.95" customHeight="1">
      <c r="A28" s="403"/>
      <c r="B28" s="404"/>
      <c r="C28" s="404"/>
      <c r="D28" s="404"/>
      <c r="E28" s="404"/>
      <c r="F28" s="405"/>
    </row>
    <row r="29" spans="1:8" ht="18.95" customHeight="1">
      <c r="A29" s="403"/>
      <c r="B29" s="404"/>
      <c r="C29" s="404"/>
      <c r="D29" s="404"/>
      <c r="E29" s="404"/>
      <c r="F29" s="405"/>
    </row>
    <row r="30" spans="1:8" ht="18.95" customHeight="1">
      <c r="A30" s="403"/>
      <c r="B30" s="404"/>
      <c r="C30" s="404"/>
      <c r="D30" s="404"/>
      <c r="E30" s="404"/>
      <c r="F30" s="405"/>
    </row>
    <row r="31" spans="1:8" ht="18.95" customHeight="1">
      <c r="A31" s="403"/>
      <c r="B31" s="404"/>
      <c r="C31" s="404"/>
      <c r="D31" s="404"/>
      <c r="E31" s="404"/>
      <c r="F31" s="405"/>
    </row>
    <row r="32" spans="1:8" ht="18.95" customHeight="1">
      <c r="A32" s="403"/>
      <c r="B32" s="404"/>
      <c r="C32" s="404"/>
      <c r="D32" s="404"/>
      <c r="E32" s="404"/>
      <c r="F32" s="405"/>
    </row>
    <row r="33" spans="1:6" ht="18.95" customHeight="1">
      <c r="A33" s="403"/>
      <c r="B33" s="404"/>
      <c r="C33" s="404"/>
      <c r="D33" s="404"/>
      <c r="E33" s="404"/>
      <c r="F33" s="405"/>
    </row>
    <row r="34" spans="1:6" ht="18.95" customHeight="1">
      <c r="A34" s="403"/>
      <c r="B34" s="404"/>
      <c r="C34" s="404"/>
      <c r="D34" s="404"/>
      <c r="E34" s="404"/>
      <c r="F34" s="405"/>
    </row>
    <row r="35" spans="1:6" ht="18.95" customHeight="1">
      <c r="A35" s="403"/>
      <c r="B35" s="404"/>
      <c r="C35" s="404"/>
      <c r="D35" s="404"/>
      <c r="E35" s="404"/>
      <c r="F35" s="405"/>
    </row>
    <row r="36" spans="1:6" ht="18.95" customHeight="1">
      <c r="A36" s="403"/>
      <c r="B36" s="404"/>
      <c r="C36" s="404"/>
      <c r="D36" s="404"/>
      <c r="E36" s="404"/>
      <c r="F36" s="405"/>
    </row>
    <row r="37" spans="1:6" ht="18.95" customHeight="1">
      <c r="A37" s="403"/>
      <c r="B37" s="404"/>
      <c r="C37" s="404"/>
      <c r="D37" s="404"/>
      <c r="E37" s="404"/>
      <c r="F37" s="405"/>
    </row>
    <row r="38" spans="1:6" ht="18.95" customHeight="1">
      <c r="A38" s="403"/>
      <c r="B38" s="404"/>
      <c r="C38" s="404"/>
      <c r="D38" s="404"/>
      <c r="E38" s="404"/>
      <c r="F38" s="405"/>
    </row>
    <row r="39" spans="1:6" ht="18.95" customHeight="1">
      <c r="A39" s="412" t="s">
        <v>573</v>
      </c>
      <c r="B39" s="413" t="s">
        <v>371</v>
      </c>
      <c r="C39" s="549" t="str">
        <f>'Performance Data Sheet'!C10</f>
        <v>2077619.1</v>
      </c>
      <c r="D39" s="404"/>
      <c r="E39" s="409" t="s">
        <v>574</v>
      </c>
      <c r="F39" s="414" t="str">
        <f>F10</f>
        <v>1M4900U</v>
      </c>
    </row>
    <row r="40" spans="1:6" ht="18.95" customHeight="1">
      <c r="A40" s="403"/>
      <c r="B40" s="413"/>
      <c r="C40" s="413"/>
      <c r="D40" s="404"/>
      <c r="E40" s="404"/>
      <c r="F40" s="405"/>
    </row>
    <row r="41" spans="1:6" ht="18.95" customHeight="1">
      <c r="A41" s="403"/>
      <c r="B41" s="413"/>
      <c r="C41" s="413"/>
      <c r="D41" s="404"/>
      <c r="E41" s="404"/>
      <c r="F41" s="405"/>
    </row>
    <row r="42" spans="1:6" ht="18.95" customHeight="1">
      <c r="A42" s="403"/>
      <c r="B42" s="404"/>
      <c r="C42" s="404"/>
      <c r="D42" s="404"/>
      <c r="E42" s="404"/>
      <c r="F42" s="405"/>
    </row>
    <row r="43" spans="1:6" ht="18.95" customHeight="1">
      <c r="A43" s="415"/>
      <c r="B43" s="413"/>
      <c r="C43" s="416" t="s">
        <v>575</v>
      </c>
      <c r="D43" s="417" t="str">
        <f>'Performance Data Sheet'!K42</f>
        <v>Zichao Xie</v>
      </c>
      <c r="E43" s="416" t="s">
        <v>576</v>
      </c>
      <c r="F43" s="41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32" t="s">
        <v>394</v>
      </c>
      <c r="B53" s="432" t="s">
        <v>142</v>
      </c>
      <c r="C53" s="432" t="s">
        <v>120</v>
      </c>
      <c r="D53" s="432" t="s">
        <v>135</v>
      </c>
      <c r="E53" s="432" t="s">
        <v>5</v>
      </c>
      <c r="F53" s="433" t="s">
        <v>587</v>
      </c>
    </row>
    <row r="54" spans="1:6" ht="15" customHeight="1">
      <c r="A54" s="434">
        <v>0</v>
      </c>
      <c r="B54" s="435"/>
      <c r="C54" s="436"/>
      <c r="D54" s="436">
        <v>27.168079857023905</v>
      </c>
      <c r="E54" s="436">
        <v>100</v>
      </c>
      <c r="F54" s="437">
        <f>8000/18000</f>
        <v>0.44444444444444442</v>
      </c>
    </row>
    <row r="55" spans="1:6" ht="15" customHeight="1">
      <c r="A55" s="438">
        <v>25</v>
      </c>
      <c r="B55" s="439">
        <v>91.798332214355469</v>
      </c>
      <c r="C55" s="440">
        <v>65.576080322265625</v>
      </c>
      <c r="D55" s="440">
        <v>40.219009399414063</v>
      </c>
      <c r="E55" s="440">
        <v>86.556233819975418</v>
      </c>
      <c r="F55" s="441">
        <v>10.151078815813312</v>
      </c>
    </row>
    <row r="56" spans="1:6" ht="15" customHeight="1">
      <c r="A56" s="438">
        <v>50</v>
      </c>
      <c r="B56" s="439">
        <v>94.505462646484375</v>
      </c>
      <c r="C56" s="440">
        <v>82.859054565429688</v>
      </c>
      <c r="D56" s="440">
        <v>61.836479187011719</v>
      </c>
      <c r="E56" s="440">
        <v>74.68382364492642</v>
      </c>
      <c r="F56" s="441">
        <v>19.720599163355665</v>
      </c>
    </row>
    <row r="57" spans="1:6">
      <c r="A57" s="438">
        <v>75</v>
      </c>
      <c r="B57" s="439">
        <v>95.130096435546875</v>
      </c>
      <c r="C57" s="440">
        <v>87.829025268554688</v>
      </c>
      <c r="D57" s="440">
        <v>86.931434631347656</v>
      </c>
      <c r="E57" s="440">
        <v>62.595725910331851</v>
      </c>
      <c r="F57" s="441">
        <v>29.386663235232028</v>
      </c>
    </row>
    <row r="58" spans="1:6">
      <c r="A58" s="438">
        <v>100</v>
      </c>
      <c r="B58" s="439">
        <v>95.204673767089844</v>
      </c>
      <c r="C58" s="440">
        <v>89.463432312011719</v>
      </c>
      <c r="D58" s="440">
        <v>113.70191192626953</v>
      </c>
      <c r="E58" s="440">
        <v>50.039312521637456</v>
      </c>
      <c r="F58" s="441">
        <v>39.151528868068326</v>
      </c>
    </row>
    <row r="59" spans="1:6" ht="13.5" thickBot="1">
      <c r="A59" s="442">
        <v>125</v>
      </c>
      <c r="B59" s="443">
        <v>95.05267333984375</v>
      </c>
      <c r="C59" s="444">
        <v>89.780685424804688</v>
      </c>
      <c r="D59" s="444">
        <v>141.85163879394531</v>
      </c>
      <c r="E59" s="444">
        <v>37.621615722894489</v>
      </c>
      <c r="F59" s="445">
        <v>49.017668272851743</v>
      </c>
    </row>
    <row r="60" spans="1:6">
      <c r="A60" s="418"/>
      <c r="B60" s="419"/>
      <c r="C60" s="419"/>
    </row>
    <row r="61" spans="1:6">
      <c r="A61" s="418"/>
      <c r="B61" s="419"/>
      <c r="C61" s="419"/>
    </row>
    <row r="62" spans="1:6">
      <c r="A62" s="418"/>
      <c r="B62" s="419"/>
      <c r="C62" s="419"/>
    </row>
    <row r="63" spans="1:6">
      <c r="A63" s="418"/>
      <c r="B63" s="419"/>
      <c r="C63" s="419"/>
    </row>
    <row r="64" spans="1:6">
      <c r="A64" s="418"/>
      <c r="B64" s="419"/>
      <c r="C64" s="419"/>
    </row>
    <row r="65" spans="1:3">
      <c r="A65" s="418"/>
      <c r="B65" s="419"/>
      <c r="C65" s="419"/>
    </row>
    <row r="66" spans="1:3">
      <c r="A66" s="418"/>
      <c r="B66" s="419"/>
      <c r="C66" s="419"/>
    </row>
    <row r="67" spans="1:3">
      <c r="A67" s="420"/>
      <c r="B67" s="419"/>
      <c r="C67" s="419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2021-09-03T19:21:34Z</dcterms:modified>
</cp:coreProperties>
</file>