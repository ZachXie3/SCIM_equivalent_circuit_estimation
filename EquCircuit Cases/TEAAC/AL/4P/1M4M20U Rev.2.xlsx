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I:\ELECTRICAL DESIGN\Design Database\TIC\Form Wound\4 Pole\1M4M20U\"/>
    </mc:Choice>
  </mc:AlternateContent>
  <bookViews>
    <workbookView xWindow="3168" yWindow="1080" windowWidth="4800" windowHeight="5196" firstSheet="1" activeTab="8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  <sheet name="Sheet1" sheetId="10" r:id="rId9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M8" i="3" l="1"/>
  <c r="M9" i="3"/>
  <c r="M10" i="3"/>
  <c r="M11" i="3"/>
  <c r="M7" i="3"/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 l="1"/>
  <c r="C77" i="7" s="1"/>
  <c r="C78" i="7" s="1"/>
  <c r="B76" i="7"/>
  <c r="C75" i="7"/>
  <c r="C74" i="7"/>
  <c r="B74" i="7"/>
  <c r="A69" i="7"/>
  <c r="A70" i="7" s="1"/>
  <c r="E68" i="7"/>
  <c r="D66" i="7"/>
  <c r="F50" i="7"/>
  <c r="M28" i="3"/>
  <c r="P31" i="2"/>
  <c r="P32" i="2"/>
  <c r="P33" i="2"/>
  <c r="P34" i="2"/>
  <c r="P30" i="2"/>
  <c r="M52" i="2"/>
  <c r="M41" i="2"/>
  <c r="N41" i="2" s="1"/>
  <c r="L41" i="2"/>
  <c r="M40" i="2"/>
  <c r="L40" i="2"/>
  <c r="M39" i="2"/>
  <c r="L39" i="2"/>
  <c r="M38" i="2"/>
  <c r="L38" i="2"/>
  <c r="M33" i="2"/>
  <c r="M32" i="2"/>
  <c r="M31" i="2"/>
  <c r="M30" i="2"/>
  <c r="M29" i="2"/>
  <c r="M50" i="2"/>
  <c r="M53" i="2" s="1"/>
  <c r="M49" i="2"/>
  <c r="M48" i="2"/>
  <c r="M46" i="2"/>
  <c r="M47" i="2"/>
  <c r="B70" i="7" l="1"/>
  <c r="A71" i="7"/>
  <c r="C70" i="7"/>
  <c r="C69" i="7"/>
  <c r="B69" i="7"/>
  <c r="B75" i="7" s="1"/>
  <c r="N40" i="2"/>
  <c r="N39" i="2"/>
  <c r="N38" i="2"/>
  <c r="C71" i="7" l="1"/>
  <c r="A72" i="7"/>
  <c r="B71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<sst xmlns="http://schemas.openxmlformats.org/spreadsheetml/2006/main" count="973" uniqueCount="743">
  <si>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</si>
  <si>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</si>
  <si>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</si>
  <si>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</si>
  <si>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</si>
  <si>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</si>
  <si>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</si>
  <si>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</si>
  <si>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</si>
  <si>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</si>
  <si>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</si>
  <si>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</si>
  <si>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</si>
  <si>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</si>
  <si>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</si>
  <si>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</si>
  <si>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</si>
  <si>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</si>
  <si>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</si>
  <si>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</si>
  <si>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</si>
  <si>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</si>
  <si>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</si>
  <si>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</si>
  <si>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</si>
  <si>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</si>
  <si>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</si>
  <si>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</si>
  <si>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</si>
  <si>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</si>
  <si>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</si>
  <si>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</si>
  <si>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</si>
  <si>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</si>
  <si>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</si>
  <si>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</si>
  <si>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</si>
  <si>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</si>
  <si>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</si>
  <si>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</si>
  <si>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</si>
  <si>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</si>
  <si>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</si>
  <si>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</si>
  <si>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</si>
  <si>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</si>
  <si>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</si>
  <si>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</si>
  <si>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</si>
  <si>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</si>
  <si>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</si>
  <si>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</si>
  <si>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</si>
  <si>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</si>
  <si>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</si>
  <si>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</si>
  <si>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</si>
  <si>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</si>
  <si>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</si>
  <si>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</si>
  <si>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</si>
  <si>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</si>
  <si>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</si>
  <si>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</si>
  <si>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</si>
  <si>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</si>
  <si>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</si>
  <si>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</si>
  <si>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</si>
  <si>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</si>
  <si>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</si>
  <si>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</si>
  <si>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</si>
  <si>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</si>
  <si>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</si>
  <si>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</si>
  <si>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</si>
  <si>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</si>
  <si>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</si>
  <si>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</si>
  <si>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</si>
  <si>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</si>
  <si>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</si>
  <si>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</si>
  <si>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</si>
  <si>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</si>
  <si>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</si>
  <si>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</si>
  <si>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</si>
  <si>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</si>
  <si>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</si>
  <si>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</si>
  <si>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</si>
  <si>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</si>
  <si>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</si>
  <si>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</si>
  <si>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</si>
  <si>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</si>
  <si>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</si>
  <si>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</si>
  <si>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</si>
  <si>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</si>
  <si>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</si>
  <si>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</si>
  <si>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</si>
  <si>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</si>
  <si>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</si>
  <si>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</si>
  <si>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</si>
  <si>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</si>
  <si>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</si>
  <si>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</si>
  <si>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</si>
  <si>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</si>
  <si>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</si>
  <si>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</si>
  <si>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</si>
  <si>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</si>
  <si>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</si>
  <si>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</si>
  <si>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</si>
  <si>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</si>
  <si>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</si>
  <si>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</si>
  <si>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</si>
  <si>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</si>
  <si>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</si>
  <si>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</si>
  <si>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</si>
  <si>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</si>
  <si>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</si>
  <si>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</si>
  <si>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</si>
  <si>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</si>
  <si>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</si>
  <si>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</si>
  <si>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</si>
  <si>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</si>
  <si>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</si>
  <si>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</si>
  <si>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</si>
  <si>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</si>
  <si>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</si>
  <si>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</si>
  <si>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</si>
  <si>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</si>
  <si>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</si>
  <si>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</si>
  <si>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</si>
  <si>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</si>
  <si>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</si>
  <si>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</si>
  <si>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</si>
  <si>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</si>
  <si>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</si>
  <si>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</si>
  <si>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</si>
  <si>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</si>
  <si>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</si>
  <si>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</si>
  <si>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</si>
  <si>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</si>
  <si>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</si>
  <si>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</si>
  <si>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</si>
  <si>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</si>
  <si>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</si>
  <si>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</si>
  <si>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</si>
  <si>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</si>
  <si>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</si>
  <si>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</si>
  <si>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</si>
  <si>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</si>
  <si>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</si>
  <si>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</si>
  <si>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</si>
  <si>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</si>
  <si>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</si>
  <si>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</si>
  <si>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</si>
  <si>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</si>
  <si>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</si>
  <si>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</si>
  <si>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</si>
  <si>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</si>
  <si>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</si>
  <si>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</si>
  <si>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</si>
  <si>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</si>
  <si>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</si>
  <si>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</si>
  <si>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</si>
  <si>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</si>
  <si>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FCNW4</t>
  </si>
  <si>
    <t>5812US</t>
  </si>
  <si>
    <t>Open</t>
  </si>
  <si>
    <t>Dbl - Closed</t>
  </si>
  <si>
    <t>8.79 - 8.79</t>
  </si>
  <si>
    <t>2.83 - 2.00</t>
  </si>
  <si>
    <t>Magnetic</t>
  </si>
  <si>
    <t>13 x 10</t>
  </si>
  <si>
    <t>1 ~ 14</t>
  </si>
  <si>
    <t>(.081"x.162")x1</t>
  </si>
  <si>
    <t>(.081"x.182")x1</t>
  </si>
  <si>
    <t>Delta</t>
  </si>
  <si>
    <t>(105°C)</t>
  </si>
  <si>
    <t>CU</t>
  </si>
  <si>
    <t>AL</t>
  </si>
  <si>
    <t>ERD1: 280.0</t>
  </si>
  <si>
    <t>ERD2: 420.0</t>
  </si>
  <si>
    <t>LB:  -</t>
  </si>
  <si>
    <t>LER:  -</t>
  </si>
  <si>
    <t>UB: 400.9</t>
  </si>
  <si>
    <t>UER: 2750.0</t>
  </si>
  <si>
    <t>ERT: 40.0</t>
  </si>
  <si>
    <t>(Coeff.: 0.1714)</t>
  </si>
  <si>
    <t>Skew R.: 0.00</t>
  </si>
  <si>
    <t>G:\DESPRO\RAT FILES\1M4M20U.rat</t>
  </si>
  <si>
    <t>2-2-2-0-1-2</t>
  </si>
  <si>
    <t>B.L.-1  P.F.-1</t>
  </si>
  <si>
    <t>8265.0 / 8692.4</t>
  </si>
  <si>
    <t>8004.0 / 9948.6</t>
  </si>
  <si>
    <t>12948.3 / 8568.6</t>
  </si>
  <si>
    <t>4000.0 / 3854.1</t>
  </si>
  <si>
    <t>8552.6 / 4191.8</t>
  </si>
  <si>
    <t>1462.5 / 716.8</t>
  </si>
  <si>
    <t>7090.1 / 3475.0</t>
  </si>
  <si>
    <t>1.50 / 0.74</t>
  </si>
  <si>
    <t>72 / 69</t>
  </si>
  <si>
    <t>Temp. Rise @ 100%:</t>
  </si>
  <si>
    <t>Stray Loss</t>
  </si>
  <si>
    <t>0.930 / 0.914</t>
  </si>
  <si>
    <t>0.957 / 0.941</t>
  </si>
  <si>
    <t>0.963 / 0.947</t>
  </si>
  <si>
    <t>0.964 / 0.947</t>
  </si>
  <si>
    <t>0.962 / 0.946</t>
  </si>
  <si>
    <t>0.647 / 0.641</t>
  </si>
  <si>
    <t>0.833 / 0.825</t>
  </si>
  <si>
    <t>0.890 / 0.880</t>
  </si>
  <si>
    <t>0.909 / 0.899</t>
  </si>
  <si>
    <t>0.914 / 0.905</t>
  </si>
  <si>
    <t>44.70 / 45.96</t>
  </si>
  <si>
    <t>67.51 / 69.40</t>
  </si>
  <si>
    <t>94.26 / 96.89</t>
  </si>
  <si>
    <t>122.92 / 126.36</t>
  </si>
  <si>
    <t>153.04 / 157.33</t>
  </si>
  <si>
    <t>4.09 / 4.20</t>
  </si>
  <si>
    <t>UB: 3.70 / 3.81</t>
  </si>
  <si>
    <t>UER: 1.90 / 1.95</t>
  </si>
  <si>
    <t>1795.4 / 1790.8</t>
  </si>
  <si>
    <t>1790.8 / 1786.2</t>
  </si>
  <si>
    <t>1786.2 / 1781.6</t>
  </si>
  <si>
    <t>1781.4 / 1776.9</t>
  </si>
  <si>
    <t>1776.7 / 1772.1</t>
  </si>
  <si>
    <t>0.0026 / 0.0051</t>
  </si>
  <si>
    <t>0.0051 / 0.0076</t>
  </si>
  <si>
    <t>0.0077 / 0.0102</t>
  </si>
  <si>
    <t>0.0103 / 0.0129</t>
  </si>
  <si>
    <t>0.0130 / 0.0155</t>
  </si>
  <si>
    <t>17.935 / 17.300</t>
  </si>
  <si>
    <t>0.712 / 0.687</t>
  </si>
  <si>
    <t>31.09 / 29.99</t>
  </si>
  <si>
    <t>826.3 / 968.0</t>
  </si>
  <si>
    <t>672.2 / 787.5</t>
  </si>
  <si>
    <t>516.1 / 691.1</t>
  </si>
  <si>
    <t>126.5 / 169.4</t>
  </si>
  <si>
    <t>267.2 / 267.8</t>
  </si>
  <si>
    <t>Correlated to: LAB 7930.dat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</si>
  <si>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</si>
  <si>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</si>
  <si>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</si>
  <si>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</si>
  <si>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</si>
  <si>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</si>
  <si>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</si>
  <si>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</si>
  <si>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</si>
  <si>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</si>
  <si>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</si>
  <si>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</si>
  <si>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</si>
  <si>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</si>
  <si>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</si>
  <si>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</si>
  <si>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</si>
  <si>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</si>
  <si>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</si>
  <si>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</si>
  <si>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</si>
  <si>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</si>
  <si>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</si>
  <si>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</si>
  <si>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</si>
  <si>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</si>
  <si>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</si>
  <si>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</si>
  <si>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</si>
  <si>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</si>
  <si>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</si>
  <si>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</si>
  <si>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</si>
  <si>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</si>
  <si>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</si>
  <si>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</si>
  <si>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</si>
  <si>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</si>
  <si>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</si>
  <si>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</si>
  <si>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</si>
  <si>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</si>
  <si>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</si>
  <si>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</si>
  <si>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</si>
  <si>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</si>
  <si>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</si>
  <si>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</si>
  <si>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</si>
  <si>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</si>
  <si>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</si>
  <si>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</si>
  <si>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</si>
  <si>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</si>
  <si>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</si>
  <si>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</si>
  <si>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</si>
  <si>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</si>
  <si>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</si>
  <si>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</si>
  <si>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</si>
  <si>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</si>
  <si>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</si>
  <si>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</si>
  <si>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</si>
  <si>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</si>
  <si>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</si>
  <si>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</si>
  <si>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</si>
  <si>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</si>
  <si>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</si>
  <si>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</si>
  <si>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</si>
  <si>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</si>
  <si>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</si>
  <si>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</si>
  <si>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</si>
  <si>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</si>
  <si>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</si>
  <si>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</si>
  <si>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</si>
  <si>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</si>
  <si>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</si>
  <si>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</si>
  <si>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</si>
  <si>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</si>
  <si>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</si>
  <si>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</si>
  <si>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</si>
  <si>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</si>
  <si>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</si>
  <si>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</si>
  <si>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</si>
  <si>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</si>
  <si>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</si>
  <si>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</si>
  <si>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</si>
  <si>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</si>
  <si>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</si>
  <si>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</si>
  <si>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</si>
  <si>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</si>
  <si>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</si>
  <si>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</si>
  <si>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</si>
  <si>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</si>
  <si>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</si>
  <si>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</si>
  <si>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</si>
  <si>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</si>
  <si>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</si>
  <si>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</si>
  <si>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1M4M20U</t>
  </si>
  <si>
    <t>Type: TIKK - Form: FCNW4 - 4 Pole - 1000 HP - 4000 V - 60 Hz - 5812US - Class F</t>
  </si>
  <si>
    <t>18 x 2</t>
  </si>
  <si>
    <t>1 x Delta</t>
  </si>
  <si>
    <t xml:space="preserve"> - </t>
  </si>
  <si>
    <t>72 / 95</t>
  </si>
  <si>
    <t>420 / 3227</t>
  </si>
  <si>
    <t>381 / 195</t>
  </si>
  <si>
    <t>Matt.O</t>
  </si>
  <si>
    <t>TOP HAT TEAAC A/F BEARING</t>
  </si>
  <si>
    <t xml:space="preserve">LINK: </t>
  </si>
  <si>
    <t>AM4900G.rat &amp; LAB 7930.dat</t>
  </si>
  <si>
    <t>FAN 140-N221-01</t>
  </si>
  <si>
    <t>135-N201-125LD (82.5 dBA)</t>
  </si>
  <si>
    <t>Rev.1 Complete design change. Jerry.R 12/20/18</t>
  </si>
  <si>
    <t>size for Ins system EDS-08-1061. Z.X 04/25/22</t>
  </si>
  <si>
    <t>Rev.2 Revert back to rev.0 1D conn, but adjust wire</t>
  </si>
  <si>
    <t>M205TCAL11E-A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</si>
  <si>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</si>
  <si>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</si>
  <si>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</si>
  <si>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</si>
  <si>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</si>
  <si>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</si>
  <si>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</si>
  <si>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</si>
  <si>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</si>
  <si>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572.0 kg.m²</t>
  </si>
  <si>
    <t>Acceleration Data (FV / 0.80 V)</t>
  </si>
  <si>
    <t>5.1 (s)</t>
  </si>
  <si>
    <t>407.9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</si>
  <si>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</si>
  <si>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</si>
  <si>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</si>
  <si>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</si>
  <si>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</si>
  <si>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</si>
  <si>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</si>
  <si>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</si>
  <si>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</si>
  <si>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</si>
  <si>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</si>
  <si>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</si>
  <si>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</si>
  <si>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</si>
  <si>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</si>
  <si>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</si>
  <si>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</si>
  <si>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</si>
  <si>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</si>
  <si>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</si>
  <si>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</si>
  <si>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</si>
  <si>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</si>
  <si>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</si>
  <si>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</si>
  <si>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</si>
  <si>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</si>
  <si>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</si>
  <si>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</si>
  <si>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</si>
  <si>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</si>
  <si>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</si>
  <si>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</si>
  <si>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</si>
  <si>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</si>
  <si>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</si>
  <si>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</si>
  <si>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</si>
  <si>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</si>
  <si>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- 1000.0 HP - 1800 RPM - 4000 V - 60 Hz</t>
  </si>
  <si>
    <t>0~188</t>
  </si>
  <si>
    <t>188~376</t>
  </si>
  <si>
    <t>376~564</t>
  </si>
  <si>
    <t>564~752</t>
  </si>
  <si>
    <t>752~940</t>
  </si>
  <si>
    <t>940~1128</t>
  </si>
  <si>
    <t>1128~1316</t>
  </si>
  <si>
    <t>1316~1504</t>
  </si>
  <si>
    <t>1504~1598</t>
  </si>
  <si>
    <t>1598~1692</t>
  </si>
  <si>
    <t>1692~1746</t>
  </si>
  <si>
    <t>1746~1781</t>
  </si>
  <si>
    <t/>
  </si>
  <si>
    <t>Load Type: Fan / Pump - 3393.3 lb-ft²</t>
  </si>
  <si>
    <t>165.0</t>
  </si>
  <si>
    <t>165.1</t>
  </si>
  <si>
    <t>165.3</t>
  </si>
  <si>
    <t>166.2</t>
  </si>
  <si>
    <t>169.9</t>
  </si>
  <si>
    <t>181.2</t>
  </si>
  <si>
    <t>201.7</t>
  </si>
  <si>
    <t>239.3</t>
  </si>
  <si>
    <t>254.9</t>
  </si>
  <si>
    <t>172.4</t>
  </si>
  <si>
    <t>22.3</t>
  </si>
  <si>
    <t>11.3</t>
  </si>
  <si>
    <t>7.0</t>
  </si>
  <si>
    <t>7.7</t>
  </si>
  <si>
    <t>12.4</t>
  </si>
  <si>
    <t>20.4</t>
  </si>
  <si>
    <t>31.6</t>
  </si>
  <si>
    <t>48.1</t>
  </si>
  <si>
    <t>64.3</t>
  </si>
  <si>
    <t>77.6</t>
  </si>
  <si>
    <t>88.5</t>
  </si>
  <si>
    <t>95.7</t>
  </si>
  <si>
    <t>0.543</t>
  </si>
  <si>
    <t>0.504</t>
  </si>
  <si>
    <t>0.490</t>
  </si>
  <si>
    <t>0.492</t>
  </si>
  <si>
    <t>0.507</t>
  </si>
  <si>
    <t>0.531</t>
  </si>
  <si>
    <t>0.560</t>
  </si>
  <si>
    <t>0.582</t>
  </si>
  <si>
    <t>0.282</t>
  </si>
  <si>
    <t>0.240</t>
  </si>
  <si>
    <t>0.134</t>
  </si>
  <si>
    <t>0.190</t>
  </si>
  <si>
    <t>964.2</t>
  </si>
  <si>
    <t>956.1</t>
  </si>
  <si>
    <t>947.1</t>
  </si>
  <si>
    <t>937.1</t>
  </si>
  <si>
    <t>925.3</t>
  </si>
  <si>
    <t>911.1</t>
  </si>
  <si>
    <t>892.2</t>
  </si>
  <si>
    <t>859.8</t>
  </si>
  <si>
    <t>816.2</t>
  </si>
  <si>
    <t>747.7</t>
  </si>
  <si>
    <t>591.6</t>
  </si>
  <si>
    <t>301.5</t>
  </si>
  <si>
    <t>278.3</t>
  </si>
  <si>
    <t>254.1</t>
  </si>
  <si>
    <t>243.0</t>
  </si>
  <si>
    <t>239.1</t>
  </si>
  <si>
    <t>240.8</t>
  </si>
  <si>
    <t>245.3</t>
  </si>
  <si>
    <t>250.0</t>
  </si>
  <si>
    <t>247.0</t>
  </si>
  <si>
    <t>108.5</t>
  </si>
  <si>
    <t>82.6</t>
  </si>
  <si>
    <t>36.0</t>
  </si>
  <si>
    <t>1.7</t>
  </si>
  <si>
    <t>598.6</t>
  </si>
  <si>
    <t>497.5</t>
  </si>
  <si>
    <t>427.8</t>
  </si>
  <si>
    <t>372.9</t>
  </si>
  <si>
    <t>325.7</t>
  </si>
  <si>
    <t>280.4</t>
  </si>
  <si>
    <t>233.5</t>
  </si>
  <si>
    <t>180.5</t>
  </si>
  <si>
    <t>117.7</t>
  </si>
  <si>
    <t>76.7</t>
  </si>
  <si>
    <t>49.5</t>
  </si>
  <si>
    <t>17.0</t>
  </si>
  <si>
    <t>2226 kW / s</t>
  </si>
  <si>
    <t>2764 kW / s</t>
  </si>
  <si>
    <t>414 kW / s</t>
  </si>
  <si>
    <t>31°C</t>
  </si>
  <si>
    <t>106°C</t>
  </si>
  <si>
    <t>26°C</t>
  </si>
  <si>
    <t>61°C</t>
  </si>
  <si>
    <t>211°C</t>
  </si>
  <si>
    <t>52°C</t>
  </si>
  <si>
    <t>Acceleration Time:  5.1 s</t>
  </si>
  <si>
    <t>8.3°C / s</t>
  </si>
  <si>
    <t>40.9°C / s</t>
  </si>
  <si>
    <t>10.0°C / s</t>
  </si>
  <si>
    <t>605.4 kW</t>
  </si>
  <si>
    <t>1070.6 kW</t>
  </si>
  <si>
    <t>160.3 kW</t>
  </si>
  <si>
    <t>19.2 s</t>
  </si>
  <si>
    <t>6.4 s</t>
  </si>
  <si>
    <t>18.0 s</t>
  </si>
  <si>
    <t>72°C    +</t>
  </si>
  <si>
    <t>97°C    +</t>
  </si>
  <si>
    <t>88°C    +</t>
  </si>
  <si>
    <t>163°C   +</t>
  </si>
  <si>
    <t>83°C   +</t>
  </si>
  <si>
    <t>10.6 s</t>
  </si>
  <si>
    <t>4.0 s</t>
  </si>
  <si>
    <t>8.3 s</t>
  </si>
  <si>
    <t>8.6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</si>
  <si>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</si>
  <si>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</si>
  <si>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</si>
  <si>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</si>
  <si>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</si>
  <si>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</si>
  <si>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</si>
  <si>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</si>
  <si>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</si>
  <si>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</si>
  <si>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</si>
  <si>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</si>
  <si>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</si>
  <si>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</si>
  <si>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</si>
  <si>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</si>
  <si>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</si>
  <si>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</si>
  <si>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</si>
  <si>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</si>
  <si>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</si>
  <si>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346.3 lb-ft²</t>
  </si>
  <si>
    <t>3393.3 lb-ft²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</si>
  <si>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</si>
  <si>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</si>
  <si>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</si>
  <si>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</si>
  <si>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</si>
  <si>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</si>
  <si>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Note: this is AL rotor design but ST curve is not typical.</t>
  </si>
  <si>
    <t>Z.X 04/25/22</t>
  </si>
  <si>
    <t>Neither DesPro calculation nor lab 7930 (correlated testing) displays any indication of pull up torque.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</si>
  <si>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</si>
  <si>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</si>
  <si>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</si>
  <si>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</si>
  <si>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</si>
  <si>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</si>
  <si>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</si>
  <si>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</si>
  <si>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</si>
  <si>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</si>
  <si>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</si>
  <si>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</si>
  <si>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</si>
  <si>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</si>
  <si>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</si>
  <si>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</si>
  <si>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</si>
  <si>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</si>
  <si>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</si>
  <si>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</si>
  <si>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</si>
  <si>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</si>
  <si>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</si>
  <si>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</si>
  <si>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</si>
  <si>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</si>
  <si>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</si>
  <si>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</si>
  <si>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</si>
  <si>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</si>
  <si>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</si>
  <si>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</si>
  <si>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</si>
  <si>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</si>
  <si>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</si>
  <si>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</si>
  <si>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</si>
  <si>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</si>
  <si>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</si>
  <si>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</si>
  <si>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</si>
  <si>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</si>
  <si>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</si>
  <si>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</si>
  <si>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</si>
  <si>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</si>
  <si>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</si>
  <si>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</si>
  <si>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</si>
  <si>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</si>
  <si>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</si>
  <si>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</si>
  <si>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</si>
  <si>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</si>
  <si>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</si>
  <si>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</si>
  <si>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</si>
  <si>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</si>
  <si>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</si>
  <si>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</si>
  <si>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</si>
  <si>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</si>
  <si>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</si>
  <si>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</si>
  <si>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</si>
  <si>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</si>
  <si>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</si>
  <si>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</si>
  <si>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</si>
  <si>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</si>
  <si>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</si>
  <si>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</si>
  <si>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</si>
  <si>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</si>
  <si>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</si>
  <si>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</si>
  <si>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</si>
  <si>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</si>
  <si>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</si>
  <si>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</si>
  <si>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</si>
  <si>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</si>
  <si>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</si>
  <si>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</si>
  <si>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</si>
  <si>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</si>
  <si>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</si>
  <si>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</si>
  <si>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</si>
  <si>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</si>
  <si>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</si>
  <si>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</si>
  <si>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</si>
  <si>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</si>
  <si>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</si>
  <si>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</si>
  <si>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</si>
  <si>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</si>
  <si>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</si>
  <si>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</si>
  <si>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</si>
  <si>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</si>
  <si>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</si>
  <si>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</si>
  <si>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</si>
  <si>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</si>
  <si>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</si>
  <si>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</si>
  <si>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</si>
  <si>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TEAAC</t>
  </si>
  <si>
    <t>1.15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</si>
  <si>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</si>
  <si>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</si>
  <si>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</si>
  <si>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</si>
  <si>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</si>
  <si>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</si>
  <si>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</si>
  <si>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FV</t>
  </si>
  <si>
    <t>SERNUM</t>
  </si>
  <si>
    <t>NLVA</t>
  </si>
  <si>
    <t>NLVB</t>
  </si>
  <si>
    <t>NLVC</t>
  </si>
  <si>
    <t>NLAA</t>
  </si>
  <si>
    <t>NLAB</t>
  </si>
  <si>
    <t>NLAC</t>
  </si>
  <si>
    <t>NLWR</t>
  </si>
  <si>
    <t>PFN</t>
  </si>
  <si>
    <t>VARN</t>
  </si>
  <si>
    <t>LRVA</t>
  </si>
  <si>
    <t>LRVB</t>
  </si>
  <si>
    <t>LRVC</t>
  </si>
  <si>
    <t>LRAA1</t>
  </si>
  <si>
    <t>LRAA2</t>
  </si>
  <si>
    <t>LRAA3</t>
  </si>
  <si>
    <t>LRWAVG</t>
  </si>
  <si>
    <t>PFL</t>
  </si>
  <si>
    <t>VARL</t>
  </si>
  <si>
    <t>LRSWINGMIN</t>
  </si>
  <si>
    <t>LRSWINGMAX</t>
  </si>
  <si>
    <t>Normalized QC test data</t>
  </si>
  <si>
    <t>NLV</t>
  </si>
  <si>
    <t>NLA</t>
  </si>
  <si>
    <t>NLW</t>
  </si>
  <si>
    <t>LRV</t>
  </si>
  <si>
    <t>LRA</t>
  </si>
  <si>
    <t>LRW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</si>
</sst>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2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2"/>
      <color rgb="FF333333"/>
      <name val="Times New Roman"/>
      <family val="1"/>
    </font>
    <font>
      <b/>
      <sz val="12"/>
      <color rgb="FF333333"/>
      <name val="Times New Roman"/>
      <family val="1"/>
    </font>
    <font>
      <sz val="12"/>
      <color rgb="FF284775"/>
      <name val="Times New Roman"/>
      <family val="1"/>
    </font>
    <font>
      <b/>
      <sz val="12"/>
      <color rgb="FF284775"/>
      <name val="Times New Roman"/>
      <family val="1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4" fillId="0" borderId="0"/>
    <xf numFmtId="0" fontId="1" fillId="0" borderId="0"/>
    <xf numFmtId="0" fontId="24" fillId="0" borderId="0"/>
    <xf numFmtId="0" fontId="1" fillId="0" borderId="0"/>
    <xf numFmtId="172" fontId="64" fillId="0" borderId="0"/>
    <xf numFmtId="0" fontId="81" fillId="0" borderId="0" applyNumberFormat="0" applyFill="0" applyBorder="0" applyAlignment="0" applyProtection="0"/>
  </cellStyleXfs>
  <cellXfs count="70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2" applyFont="1" applyFill="1"/>
    <xf numFmtId="0" fontId="27" fillId="0" borderId="0" xfId="2" applyFont="1" applyFill="1"/>
    <xf numFmtId="0" fontId="29" fillId="5" borderId="0" xfId="2" applyFont="1" applyFill="1" applyAlignment="1">
      <alignment horizontal="right"/>
    </xf>
    <xf numFmtId="0" fontId="30" fillId="5" borderId="0" xfId="2" applyFont="1" applyFill="1"/>
    <xf numFmtId="0" fontId="31" fillId="5" borderId="0" xfId="2" applyFont="1" applyFill="1"/>
    <xf numFmtId="0" fontId="28" fillId="5" borderId="0" xfId="2" applyFont="1" applyFill="1" applyAlignment="1">
      <alignment horizontal="center"/>
    </xf>
    <xf numFmtId="0" fontId="32" fillId="0" borderId="52" xfId="2" applyFont="1" applyBorder="1" applyAlignment="1">
      <alignment horizontal="left" vertical="center"/>
    </xf>
    <xf numFmtId="0" fontId="32" fillId="0" borderId="53" xfId="2" applyFont="1" applyBorder="1" applyAlignment="1">
      <alignment vertical="center"/>
    </xf>
    <xf numFmtId="0" fontId="24" fillId="0" borderId="53" xfId="2" applyBorder="1"/>
    <xf numFmtId="0" fontId="32" fillId="0" borderId="54" xfId="2" applyFont="1" applyBorder="1" applyAlignment="1">
      <alignment horizontal="right" vertical="center"/>
    </xf>
    <xf numFmtId="0" fontId="19" fillId="0" borderId="0" xfId="2" applyFont="1" applyFill="1"/>
    <xf numFmtId="0" fontId="33" fillId="0" borderId="52" xfId="2" applyFont="1" applyFill="1" applyBorder="1"/>
    <xf numFmtId="0" fontId="19" fillId="0" borderId="54" xfId="2" applyFont="1" applyFill="1" applyBorder="1"/>
    <xf numFmtId="0" fontId="33" fillId="0" borderId="54" xfId="2" applyFont="1" applyFill="1" applyBorder="1"/>
    <xf numFmtId="0" fontId="34" fillId="0" borderId="0" xfId="2" applyFont="1" applyFill="1"/>
    <xf numFmtId="0" fontId="35" fillId="5" borderId="13" xfId="2" applyFont="1" applyFill="1" applyBorder="1" applyAlignment="1">
      <alignment horizontal="center"/>
    </xf>
    <xf numFmtId="0" fontId="35" fillId="5" borderId="55" xfId="2" applyFont="1" applyFill="1" applyBorder="1" applyAlignment="1">
      <alignment horizontal="center"/>
    </xf>
    <xf numFmtId="0" fontId="35" fillId="5" borderId="0" xfId="2" quotePrefix="1" applyFont="1" applyFill="1" applyBorder="1" applyAlignment="1">
      <alignment horizontal="left"/>
    </xf>
    <xf numFmtId="0" fontId="31" fillId="5" borderId="0" xfId="2" applyFont="1" applyFill="1" applyBorder="1"/>
    <xf numFmtId="0" fontId="18" fillId="5" borderId="56" xfId="2" applyFont="1" applyFill="1" applyBorder="1" applyAlignment="1">
      <alignment horizontal="right"/>
    </xf>
    <xf numFmtId="0" fontId="35" fillId="5" borderId="57" xfId="2" applyFont="1" applyFill="1" applyBorder="1" applyAlignment="1">
      <alignment horizontal="center"/>
    </xf>
    <xf numFmtId="0" fontId="35" fillId="5" borderId="21" xfId="2" applyFont="1" applyFill="1" applyBorder="1" applyAlignment="1">
      <alignment horizontal="center"/>
    </xf>
    <xf numFmtId="0" fontId="33" fillId="0" borderId="45" xfId="2" applyFont="1" applyFill="1" applyBorder="1"/>
    <xf numFmtId="0" fontId="19" fillId="0" borderId="21" xfId="2" applyFont="1" applyFill="1" applyBorder="1"/>
    <xf numFmtId="0" fontId="33" fillId="0" borderId="21" xfId="2" applyFont="1" applyFill="1" applyBorder="1"/>
    <xf numFmtId="0" fontId="36" fillId="5" borderId="67" xfId="2" applyFont="1" applyFill="1" applyBorder="1"/>
    <xf numFmtId="0" fontId="36" fillId="5" borderId="68" xfId="2" applyFont="1" applyFill="1" applyBorder="1"/>
    <xf numFmtId="0" fontId="39" fillId="5" borderId="68" xfId="2" applyFont="1" applyFill="1" applyBorder="1"/>
    <xf numFmtId="0" fontId="39" fillId="5" borderId="69" xfId="2" applyFont="1" applyFill="1" applyBorder="1"/>
    <xf numFmtId="167" fontId="38" fillId="5" borderId="64" xfId="2" applyNumberFormat="1" applyFont="1" applyFill="1" applyBorder="1" applyAlignment="1">
      <alignment horizontal="center"/>
    </xf>
    <xf numFmtId="0" fontId="38" fillId="5" borderId="70" xfId="2" applyFont="1" applyFill="1" applyBorder="1" applyAlignment="1">
      <alignment horizontal="center"/>
    </xf>
    <xf numFmtId="0" fontId="36" fillId="5" borderId="71" xfId="2" applyFont="1" applyFill="1" applyBorder="1"/>
    <xf numFmtId="0" fontId="36" fillId="5" borderId="72" xfId="2" applyFont="1" applyFill="1" applyBorder="1"/>
    <xf numFmtId="0" fontId="39" fillId="5" borderId="72" xfId="2" applyFont="1" applyFill="1" applyBorder="1"/>
    <xf numFmtId="0" fontId="39" fillId="5" borderId="73" xfId="2" applyFont="1" applyFill="1" applyBorder="1"/>
    <xf numFmtId="1" fontId="38" fillId="5" borderId="64" xfId="2" applyNumberFormat="1" applyFont="1" applyFill="1" applyBorder="1" applyAlignment="1">
      <alignment horizontal="center"/>
    </xf>
    <xf numFmtId="0" fontId="38" fillId="5" borderId="74" xfId="2" applyFont="1" applyFill="1" applyBorder="1" applyAlignment="1">
      <alignment horizontal="center"/>
    </xf>
    <xf numFmtId="0" fontId="40" fillId="5" borderId="68" xfId="2" applyFont="1" applyFill="1" applyBorder="1"/>
    <xf numFmtId="0" fontId="41" fillId="5" borderId="69" xfId="2" applyFont="1" applyFill="1" applyBorder="1" applyAlignment="1">
      <alignment horizontal="left"/>
    </xf>
    <xf numFmtId="0" fontId="38" fillId="5" borderId="64" xfId="2" applyFont="1" applyFill="1" applyBorder="1" applyAlignment="1">
      <alignment horizontal="center"/>
    </xf>
    <xf numFmtId="0" fontId="33" fillId="0" borderId="46" xfId="2" applyFont="1" applyFill="1" applyBorder="1"/>
    <xf numFmtId="0" fontId="33" fillId="0" borderId="24" xfId="2" applyFont="1" applyFill="1" applyBorder="1"/>
    <xf numFmtId="0" fontId="36" fillId="5" borderId="76" xfId="2" applyFont="1" applyFill="1" applyBorder="1"/>
    <xf numFmtId="0" fontId="36" fillId="5" borderId="77" xfId="2" applyFont="1" applyFill="1" applyBorder="1"/>
    <xf numFmtId="0" fontId="40" fillId="5" borderId="77" xfId="2" applyFont="1" applyFill="1" applyBorder="1"/>
    <xf numFmtId="0" fontId="38" fillId="5" borderId="78" xfId="2" applyFont="1" applyFill="1" applyBorder="1" applyAlignment="1">
      <alignment horizontal="center"/>
    </xf>
    <xf numFmtId="0" fontId="38" fillId="5" borderId="79" xfId="2" applyFont="1" applyFill="1" applyBorder="1" applyAlignment="1">
      <alignment horizontal="center"/>
    </xf>
    <xf numFmtId="0" fontId="36" fillId="5" borderId="63" xfId="2" quotePrefix="1" applyFont="1" applyFill="1" applyBorder="1" applyAlignment="1">
      <alignment horizontal="left"/>
    </xf>
    <xf numFmtId="0" fontId="34" fillId="0" borderId="69" xfId="2" applyFont="1" applyFill="1" applyBorder="1"/>
    <xf numFmtId="0" fontId="19" fillId="0" borderId="24" xfId="2" applyFont="1" applyFill="1" applyBorder="1"/>
    <xf numFmtId="0" fontId="36" fillId="5" borderId="83" xfId="2" quotePrefix="1" applyFont="1" applyFill="1" applyBorder="1" applyAlignment="1">
      <alignment horizontal="left"/>
    </xf>
    <xf numFmtId="0" fontId="36" fillId="5" borderId="59" xfId="2" applyFont="1" applyFill="1" applyBorder="1"/>
    <xf numFmtId="0" fontId="39" fillId="5" borderId="59" xfId="2" applyFont="1" applyFill="1" applyBorder="1"/>
    <xf numFmtId="0" fontId="20" fillId="5" borderId="59" xfId="2" applyFont="1" applyFill="1" applyBorder="1" applyAlignment="1">
      <alignment horizontal="right"/>
    </xf>
    <xf numFmtId="49" fontId="38" fillId="5" borderId="59" xfId="2" applyNumberFormat="1" applyFont="1" applyFill="1" applyBorder="1" applyAlignment="1">
      <alignment horizontal="center"/>
    </xf>
    <xf numFmtId="0" fontId="38" fillId="5" borderId="84" xfId="2" applyFont="1" applyFill="1" applyBorder="1" applyAlignment="1">
      <alignment horizontal="center"/>
    </xf>
    <xf numFmtId="0" fontId="36" fillId="5" borderId="64" xfId="2" applyFont="1" applyFill="1" applyBorder="1"/>
    <xf numFmtId="0" fontId="39" fillId="5" borderId="64" xfId="2" applyFont="1" applyFill="1" applyBorder="1"/>
    <xf numFmtId="0" fontId="36" fillId="5" borderId="85" xfId="2" quotePrefix="1" applyFont="1" applyFill="1" applyBorder="1" applyAlignment="1">
      <alignment horizontal="left"/>
    </xf>
    <xf numFmtId="0" fontId="36" fillId="5" borderId="78" xfId="2" applyFont="1" applyFill="1" applyBorder="1"/>
    <xf numFmtId="0" fontId="39" fillId="5" borderId="78" xfId="2" applyFont="1" applyFill="1" applyBorder="1"/>
    <xf numFmtId="0" fontId="36" fillId="5" borderId="63" xfId="2" applyFont="1" applyFill="1" applyBorder="1" applyAlignment="1">
      <alignment horizontal="left"/>
    </xf>
    <xf numFmtId="0" fontId="19" fillId="5" borderId="86" xfId="2" applyFont="1" applyFill="1" applyBorder="1"/>
    <xf numFmtId="0" fontId="19" fillId="5" borderId="69" xfId="2" applyFont="1" applyFill="1" applyBorder="1"/>
    <xf numFmtId="0" fontId="36" fillId="5" borderId="63" xfId="2" applyFont="1" applyFill="1" applyBorder="1"/>
    <xf numFmtId="0" fontId="19" fillId="5" borderId="68" xfId="2" applyFont="1" applyFill="1" applyBorder="1"/>
    <xf numFmtId="0" fontId="36" fillId="5" borderId="86" xfId="2" applyFont="1" applyFill="1" applyBorder="1"/>
    <xf numFmtId="0" fontId="20" fillId="5" borderId="69" xfId="2" applyFont="1" applyFill="1" applyBorder="1" applyAlignment="1">
      <alignment horizontal="right"/>
    </xf>
    <xf numFmtId="0" fontId="36" fillId="5" borderId="58" xfId="2" quotePrefix="1" applyFont="1" applyFill="1" applyBorder="1" applyAlignment="1">
      <alignment horizontal="left"/>
    </xf>
    <xf numFmtId="0" fontId="34" fillId="0" borderId="93" xfId="2" applyFont="1" applyFill="1" applyBorder="1"/>
    <xf numFmtId="0" fontId="36" fillId="5" borderId="86" xfId="2" quotePrefix="1" applyFont="1" applyFill="1" applyBorder="1" applyAlignment="1">
      <alignment horizontal="left"/>
    </xf>
    <xf numFmtId="0" fontId="19" fillId="5" borderId="64" xfId="2" applyFont="1" applyFill="1" applyBorder="1"/>
    <xf numFmtId="0" fontId="36" fillId="5" borderId="94" xfId="2" applyFont="1" applyFill="1" applyBorder="1" applyAlignment="1">
      <alignment horizontal="left"/>
    </xf>
    <xf numFmtId="0" fontId="36" fillId="5" borderId="68" xfId="2" quotePrefix="1" applyFont="1" applyFill="1" applyBorder="1" applyAlignment="1">
      <alignment horizontal="center"/>
    </xf>
    <xf numFmtId="0" fontId="19" fillId="5" borderId="69" xfId="2" quotePrefix="1" applyFont="1" applyFill="1" applyBorder="1" applyAlignment="1">
      <alignment horizontal="center"/>
    </xf>
    <xf numFmtId="0" fontId="36" fillId="5" borderId="95" xfId="2" applyFont="1" applyFill="1" applyBorder="1"/>
    <xf numFmtId="0" fontId="34" fillId="0" borderId="96" xfId="2" applyFont="1" applyFill="1" applyBorder="1"/>
    <xf numFmtId="0" fontId="38" fillId="0" borderId="96" xfId="2" applyNumberFormat="1" applyFont="1" applyFill="1" applyBorder="1" applyAlignment="1">
      <alignment horizontal="center"/>
    </xf>
    <xf numFmtId="0" fontId="38" fillId="0" borderId="97" xfId="2" applyFont="1" applyFill="1" applyBorder="1" applyAlignment="1">
      <alignment horizontal="center"/>
    </xf>
    <xf numFmtId="0" fontId="36" fillId="5" borderId="98" xfId="2" applyFont="1" applyFill="1" applyBorder="1" applyAlignment="1">
      <alignment horizontal="center"/>
    </xf>
    <xf numFmtId="0" fontId="36" fillId="5" borderId="77" xfId="2" quotePrefix="1" applyFont="1" applyFill="1" applyBorder="1" applyAlignment="1">
      <alignment horizontal="center"/>
    </xf>
    <xf numFmtId="0" fontId="19" fillId="5" borderId="99" xfId="2" quotePrefix="1" applyFont="1" applyFill="1" applyBorder="1" applyAlignment="1">
      <alignment horizontal="center"/>
    </xf>
    <xf numFmtId="0" fontId="38" fillId="0" borderId="69" xfId="2" applyNumberFormat="1" applyFont="1" applyFill="1" applyBorder="1" applyAlignment="1">
      <alignment horizontal="center"/>
    </xf>
    <xf numFmtId="0" fontId="38" fillId="0" borderId="74" xfId="2" applyFont="1" applyFill="1" applyBorder="1" applyAlignment="1">
      <alignment horizontal="center"/>
    </xf>
    <xf numFmtId="0" fontId="38" fillId="0" borderId="46" xfId="2" applyFont="1" applyFill="1" applyBorder="1"/>
    <xf numFmtId="0" fontId="43" fillId="0" borderId="24" xfId="2" applyFont="1" applyFill="1" applyBorder="1"/>
    <xf numFmtId="0" fontId="29" fillId="0" borderId="102" xfId="2" applyFont="1" applyFill="1" applyBorder="1" applyAlignment="1">
      <alignment horizontal="left"/>
    </xf>
    <xf numFmtId="0" fontId="29" fillId="0" borderId="62" xfId="2" applyFont="1" applyFill="1" applyBorder="1" applyAlignment="1">
      <alignment horizontal="left"/>
    </xf>
    <xf numFmtId="0" fontId="21" fillId="5" borderId="103" xfId="2" applyFont="1" applyFill="1" applyBorder="1" applyAlignment="1">
      <alignment horizontal="center"/>
    </xf>
    <xf numFmtId="167" fontId="38" fillId="0" borderId="69" xfId="2" applyNumberFormat="1" applyFont="1" applyFill="1" applyBorder="1" applyAlignment="1">
      <alignment horizontal="center"/>
    </xf>
    <xf numFmtId="0" fontId="36" fillId="5" borderId="104" xfId="2" applyFont="1" applyFill="1" applyBorder="1" applyAlignment="1">
      <alignment horizontal="left"/>
    </xf>
    <xf numFmtId="0" fontId="19" fillId="5" borderId="105" xfId="2" applyFont="1" applyFill="1" applyBorder="1"/>
    <xf numFmtId="0" fontId="19" fillId="5" borderId="106" xfId="2" applyFont="1" applyFill="1" applyBorder="1"/>
    <xf numFmtId="0" fontId="38" fillId="5" borderId="107" xfId="2" applyFont="1" applyFill="1" applyBorder="1" applyAlignment="1">
      <alignment horizontal="center"/>
    </xf>
    <xf numFmtId="0" fontId="34" fillId="0" borderId="78" xfId="2" applyFont="1" applyFill="1" applyBorder="1"/>
    <xf numFmtId="0" fontId="34" fillId="0" borderId="79" xfId="2" applyFont="1" applyFill="1" applyBorder="1"/>
    <xf numFmtId="0" fontId="34" fillId="0" borderId="87" xfId="2" applyFont="1" applyFill="1" applyBorder="1"/>
    <xf numFmtId="0" fontId="36" fillId="5" borderId="96" xfId="2" applyFont="1" applyFill="1" applyBorder="1"/>
    <xf numFmtId="0" fontId="20" fillId="5" borderId="64" xfId="2" applyFont="1" applyFill="1" applyBorder="1" applyAlignment="1">
      <alignment horizontal="right" shrinkToFit="1"/>
    </xf>
    <xf numFmtId="0" fontId="36" fillId="5" borderId="83" xfId="2" applyFont="1" applyFill="1" applyBorder="1"/>
    <xf numFmtId="0" fontId="36" fillId="5" borderId="56" xfId="2" applyFont="1" applyFill="1" applyBorder="1"/>
    <xf numFmtId="0" fontId="20" fillId="5" borderId="64" xfId="2" applyFont="1" applyFill="1" applyBorder="1" applyAlignment="1">
      <alignment horizontal="right"/>
    </xf>
    <xf numFmtId="2" fontId="38" fillId="5" borderId="64" xfId="2" applyNumberFormat="1" applyFont="1" applyFill="1" applyBorder="1" applyAlignment="1">
      <alignment horizontal="center"/>
    </xf>
    <xf numFmtId="0" fontId="20" fillId="5" borderId="56" xfId="2" applyFont="1" applyFill="1" applyBorder="1" applyAlignment="1">
      <alignment horizontal="right"/>
    </xf>
    <xf numFmtId="0" fontId="20" fillId="5" borderId="64" xfId="2" applyFont="1" applyFill="1" applyBorder="1"/>
    <xf numFmtId="0" fontId="36" fillId="5" borderId="110" xfId="2" applyFont="1" applyFill="1" applyBorder="1"/>
    <xf numFmtId="0" fontId="36" fillId="5" borderId="111" xfId="2" applyFont="1" applyFill="1" applyBorder="1"/>
    <xf numFmtId="0" fontId="36" fillId="5" borderId="112" xfId="2" applyFont="1" applyFill="1" applyBorder="1"/>
    <xf numFmtId="0" fontId="20" fillId="5" borderId="112" xfId="2" applyFont="1" applyFill="1" applyBorder="1"/>
    <xf numFmtId="167" fontId="38" fillId="5" borderId="112" xfId="2" applyNumberFormat="1" applyFont="1" applyFill="1" applyBorder="1" applyAlignment="1">
      <alignment horizontal="center"/>
    </xf>
    <xf numFmtId="0" fontId="38" fillId="5" borderId="113" xfId="2" applyFont="1" applyFill="1" applyBorder="1" applyAlignment="1">
      <alignment horizontal="center"/>
    </xf>
    <xf numFmtId="0" fontId="36" fillId="5" borderId="73" xfId="2" applyFont="1" applyFill="1" applyBorder="1"/>
    <xf numFmtId="0" fontId="36" fillId="5" borderId="103" xfId="2" applyFont="1" applyFill="1" applyBorder="1" applyAlignment="1">
      <alignment horizontal="left"/>
    </xf>
    <xf numFmtId="0" fontId="36" fillId="5" borderId="73" xfId="2" applyFont="1" applyFill="1" applyBorder="1" applyAlignment="1">
      <alignment horizontal="left"/>
    </xf>
    <xf numFmtId="1" fontId="38" fillId="5" borderId="59" xfId="2" applyNumberFormat="1" applyFont="1" applyFill="1" applyBorder="1" applyAlignment="1">
      <alignment horizontal="center"/>
    </xf>
    <xf numFmtId="0" fontId="38" fillId="5" borderId="114" xfId="2" applyFont="1" applyFill="1" applyBorder="1" applyAlignment="1">
      <alignment horizontal="center"/>
    </xf>
    <xf numFmtId="0" fontId="45" fillId="0" borderId="0" xfId="2" quotePrefix="1" applyFont="1" applyFill="1" applyAlignment="1">
      <alignment horizontal="left"/>
    </xf>
    <xf numFmtId="0" fontId="36" fillId="5" borderId="0" xfId="2" applyFont="1" applyFill="1" applyBorder="1"/>
    <xf numFmtId="0" fontId="36" fillId="5" borderId="86" xfId="2" applyFont="1" applyFill="1" applyBorder="1" applyAlignment="1">
      <alignment horizontal="left"/>
    </xf>
    <xf numFmtId="0" fontId="36" fillId="5" borderId="69" xfId="2" applyFont="1" applyFill="1" applyBorder="1" applyAlignment="1">
      <alignment horizontal="left"/>
    </xf>
    <xf numFmtId="0" fontId="36" fillId="5" borderId="40" xfId="2" applyFont="1" applyFill="1" applyBorder="1"/>
    <xf numFmtId="0" fontId="36" fillId="5" borderId="107" xfId="2" applyFont="1" applyFill="1" applyBorder="1" applyAlignment="1">
      <alignment horizontal="left"/>
    </xf>
    <xf numFmtId="0" fontId="36" fillId="5" borderId="99" xfId="2" applyFont="1" applyFill="1" applyBorder="1" applyAlignment="1">
      <alignment horizontal="left"/>
    </xf>
    <xf numFmtId="1" fontId="38" fillId="5" borderId="78" xfId="2" applyNumberFormat="1" applyFont="1" applyFill="1" applyBorder="1" applyAlignment="1">
      <alignment horizontal="center"/>
    </xf>
    <xf numFmtId="0" fontId="38" fillId="5" borderId="115" xfId="2" applyFont="1" applyFill="1" applyBorder="1" applyAlignment="1">
      <alignment horizontal="center"/>
    </xf>
    <xf numFmtId="0" fontId="29" fillId="5" borderId="80" xfId="2" applyFont="1" applyFill="1" applyBorder="1" applyAlignment="1">
      <alignment horizontal="left"/>
    </xf>
    <xf numFmtId="0" fontId="29" fillId="5" borderId="81" xfId="2" applyFont="1" applyFill="1" applyBorder="1" applyAlignment="1">
      <alignment horizontal="left"/>
    </xf>
    <xf numFmtId="0" fontId="29" fillId="5" borderId="82" xfId="2" applyFont="1" applyFill="1" applyBorder="1" applyAlignment="1">
      <alignment horizontal="left"/>
    </xf>
    <xf numFmtId="0" fontId="31" fillId="5" borderId="83" xfId="2" applyFont="1" applyFill="1" applyBorder="1"/>
    <xf numFmtId="0" fontId="31" fillId="5" borderId="68" xfId="2" applyFont="1" applyFill="1" applyBorder="1" applyAlignment="1">
      <alignment horizontal="left"/>
    </xf>
    <xf numFmtId="0" fontId="31" fillId="5" borderId="74" xfId="2" applyFont="1" applyFill="1" applyBorder="1" applyAlignment="1">
      <alignment horizontal="left"/>
    </xf>
    <xf numFmtId="0" fontId="46" fillId="0" borderId="0" xfId="2" applyFont="1" applyFill="1"/>
    <xf numFmtId="0" fontId="36" fillId="0" borderId="116" xfId="2" applyFont="1" applyFill="1" applyBorder="1"/>
    <xf numFmtId="0" fontId="36" fillId="5" borderId="119" xfId="2" applyFont="1" applyFill="1" applyBorder="1"/>
    <xf numFmtId="0" fontId="31" fillId="5" borderId="45" xfId="2" applyFont="1" applyFill="1" applyBorder="1"/>
    <xf numFmtId="0" fontId="36" fillId="5" borderId="121" xfId="2" applyFont="1" applyFill="1" applyBorder="1"/>
    <xf numFmtId="0" fontId="36" fillId="5" borderId="23" xfId="2" applyFont="1" applyFill="1" applyBorder="1"/>
    <xf numFmtId="0" fontId="31" fillId="0" borderId="23" xfId="2" applyFont="1" applyFill="1" applyBorder="1"/>
    <xf numFmtId="0" fontId="31" fillId="5" borderId="125" xfId="2" applyFont="1" applyFill="1" applyBorder="1" applyAlignment="1">
      <alignment horizontal="left"/>
    </xf>
    <xf numFmtId="0" fontId="31" fillId="5" borderId="126" xfId="2" applyFont="1" applyFill="1" applyBorder="1" applyAlignment="1">
      <alignment horizontal="left"/>
    </xf>
    <xf numFmtId="0" fontId="31" fillId="0" borderId="0" xfId="2" applyFont="1" applyFill="1"/>
    <xf numFmtId="0" fontId="31" fillId="0" borderId="0" xfId="2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0" fillId="0" borderId="41" xfId="3" applyFont="1" applyBorder="1" applyAlignment="1">
      <alignment horizontal="center"/>
    </xf>
    <xf numFmtId="0" fontId="1" fillId="0" borderId="0" xfId="3"/>
    <xf numFmtId="0" fontId="51" fillId="0" borderId="127" xfId="3" applyFont="1" applyBorder="1" applyAlignment="1">
      <alignment horizontal="center"/>
    </xf>
    <xf numFmtId="0" fontId="1" fillId="0" borderId="127" xfId="3" applyBorder="1" applyAlignment="1">
      <alignment horizontal="center"/>
    </xf>
    <xf numFmtId="0" fontId="50" fillId="0" borderId="127" xfId="3" applyFont="1" applyBorder="1" applyAlignment="1">
      <alignment horizontal="center"/>
    </xf>
    <xf numFmtId="0" fontId="51" fillId="0" borderId="45" xfId="3" applyFont="1" applyBorder="1" applyAlignment="1">
      <alignment horizontal="center"/>
    </xf>
    <xf numFmtId="0" fontId="51" fillId="0" borderId="0" xfId="3" applyFont="1" applyBorder="1" applyAlignment="1">
      <alignment horizontal="center"/>
    </xf>
    <xf numFmtId="0" fontId="1" fillId="0" borderId="45" xfId="3" applyBorder="1"/>
    <xf numFmtId="0" fontId="52" fillId="0" borderId="0" xfId="3" applyFont="1"/>
    <xf numFmtId="0" fontId="1" fillId="0" borderId="127" xfId="3" applyBorder="1"/>
    <xf numFmtId="0" fontId="50" fillId="0" borderId="0" xfId="3" applyFont="1"/>
    <xf numFmtId="0" fontId="50" fillId="0" borderId="127" xfId="3" applyFont="1" applyBorder="1"/>
    <xf numFmtId="17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0" fillId="0" borderId="1" xfId="3" applyNumberFormat="1" applyFont="1" applyBorder="1"/>
    <xf numFmtId="171" fontId="50" fillId="0" borderId="1" xfId="3" applyNumberFormat="1" applyFont="1" applyBorder="1"/>
    <xf numFmtId="0" fontId="1" fillId="0" borderId="1" xfId="3" applyBorder="1"/>
    <xf numFmtId="0" fontId="1" fillId="0" borderId="9" xfId="3" applyBorder="1"/>
    <xf numFmtId="171" fontId="1" fillId="0" borderId="1" xfId="3" applyNumberFormat="1" applyBorder="1"/>
    <xf numFmtId="0" fontId="1" fillId="0" borderId="1" xfId="3" applyBorder="1" applyAlignment="1">
      <alignment horizontal="center"/>
    </xf>
    <xf numFmtId="170" fontId="1" fillId="0" borderId="18" xfId="3" applyNumberFormat="1" applyBorder="1"/>
    <xf numFmtId="49" fontId="1" fillId="0" borderId="26" xfId="3" applyNumberFormat="1" applyBorder="1"/>
    <xf numFmtId="171" fontId="1" fillId="0" borderId="26" xfId="3" applyNumberFormat="1" applyBorder="1"/>
    <xf numFmtId="0" fontId="1" fillId="0" borderId="26" xfId="3" applyBorder="1"/>
    <xf numFmtId="0" fontId="1" fillId="0" borderId="128" xfId="3" applyBorder="1"/>
    <xf numFmtId="0" fontId="50" fillId="0" borderId="129" xfId="3" applyFont="1" applyBorder="1" applyAlignment="1">
      <alignment horizontal="center"/>
    </xf>
    <xf numFmtId="0" fontId="50" fillId="0" borderId="130" xfId="3" applyFont="1" applyBorder="1" applyAlignment="1">
      <alignment horizontal="center"/>
    </xf>
    <xf numFmtId="49" fontId="50" fillId="0" borderId="2" xfId="3" applyNumberFormat="1" applyFont="1" applyBorder="1" applyAlignment="1">
      <alignment horizontal="center"/>
    </xf>
    <xf numFmtId="0" fontId="1" fillId="0" borderId="55" xfId="3" applyBorder="1" applyAlignment="1">
      <alignment horizontal="left"/>
    </xf>
    <xf numFmtId="49" fontId="1" fillId="0" borderId="3" xfId="3" applyNumberFormat="1" applyBorder="1"/>
    <xf numFmtId="0" fontId="1" fillId="0" borderId="132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47" fillId="5" borderId="120" xfId="4" applyFont="1" applyFill="1" applyBorder="1" applyAlignment="1">
      <alignment horizontal="center"/>
    </xf>
    <xf numFmtId="14" fontId="19" fillId="5" borderId="124" xfId="4" applyNumberFormat="1" applyFont="1" applyFill="1" applyBorder="1" applyAlignment="1">
      <alignment horizontal="center"/>
    </xf>
    <xf numFmtId="0" fontId="31" fillId="5" borderId="72" xfId="2" applyFont="1" applyFill="1" applyBorder="1" applyAlignment="1">
      <alignment horizontal="left"/>
    </xf>
    <xf numFmtId="0" fontId="31" fillId="5" borderId="84" xfId="2" applyFont="1" applyFill="1" applyBorder="1" applyAlignment="1">
      <alignment horizontal="left"/>
    </xf>
    <xf numFmtId="167" fontId="2" fillId="0" borderId="0" xfId="0" applyNumberFormat="1" applyFont="1" applyBorder="1" applyAlignment="1">
      <alignment horizontal="center"/>
    </xf>
    <xf numFmtId="9" fontId="34" fillId="0" borderId="0" xfId="1" applyFont="1" applyFill="1"/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7" fontId="2" fillId="0" borderId="36" xfId="0" applyNumberFormat="1" applyFont="1" applyFill="1" applyBorder="1" applyAlignment="1">
      <alignment horizontal="center"/>
    </xf>
    <xf numFmtId="167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7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centerContinuous"/>
    </xf>
    <xf numFmtId="167" fontId="2" fillId="0" borderId="0" xfId="0" applyNumberFormat="1" applyFont="1" applyBorder="1" applyAlignment="1">
      <alignment horizontal="centerContinuous"/>
    </xf>
    <xf numFmtId="167" fontId="2" fillId="0" borderId="23" xfId="0" applyNumberFormat="1" applyFont="1" applyFill="1" applyBorder="1" applyAlignment="1">
      <alignment horizontal="centerContinuous"/>
    </xf>
    <xf numFmtId="0" fontId="6" fillId="0" borderId="0" xfId="5" applyFont="1" applyAlignment="1">
      <alignment horizontal="right"/>
    </xf>
    <xf numFmtId="0" fontId="1" fillId="0" borderId="0" xfId="5"/>
    <xf numFmtId="0" fontId="25" fillId="0" borderId="0" xfId="5" applyFont="1"/>
    <xf numFmtId="0" fontId="53" fillId="0" borderId="0" xfId="5" applyFont="1"/>
    <xf numFmtId="0" fontId="54" fillId="0" borderId="26" xfId="5" applyFont="1" applyBorder="1" applyAlignment="1">
      <alignment horizontal="center"/>
    </xf>
    <xf numFmtId="0" fontId="54" fillId="0" borderId="28" xfId="5" applyFont="1" applyBorder="1" applyAlignment="1">
      <alignment horizontal="center"/>
    </xf>
    <xf numFmtId="0" fontId="53" fillId="0" borderId="1" xfId="5" applyFont="1" applyBorder="1" applyAlignment="1">
      <alignment horizontal="center"/>
    </xf>
    <xf numFmtId="0" fontId="54" fillId="0" borderId="1" xfId="5" applyFont="1" applyBorder="1" applyAlignment="1">
      <alignment horizontal="right"/>
    </xf>
    <xf numFmtId="0" fontId="54" fillId="0" borderId="1" xfId="5" applyFont="1" applyBorder="1" applyAlignment="1">
      <alignment horizontal="center"/>
    </xf>
    <xf numFmtId="0" fontId="53" fillId="0" borderId="131" xfId="5" applyFont="1" applyBorder="1" applyAlignment="1">
      <alignment horizontal="center"/>
    </xf>
    <xf numFmtId="0" fontId="53" fillId="0" borderId="132" xfId="5" quotePrefix="1" applyFont="1" applyBorder="1" applyAlignment="1">
      <alignment horizontal="center"/>
    </xf>
    <xf numFmtId="0" fontId="53" fillId="0" borderId="132" xfId="5" applyFont="1" applyBorder="1" applyAlignment="1">
      <alignment horizontal="center"/>
    </xf>
    <xf numFmtId="0" fontId="54" fillId="0" borderId="0" xfId="5" applyFont="1" applyAlignment="1">
      <alignment horizontal="right"/>
    </xf>
    <xf numFmtId="0" fontId="53" fillId="0" borderId="62" xfId="5" applyFont="1" applyBorder="1" applyAlignment="1">
      <alignment horizontal="center"/>
    </xf>
    <xf numFmtId="0" fontId="56" fillId="0" borderId="61" xfId="5" applyFont="1" applyBorder="1"/>
    <xf numFmtId="0" fontId="56" fillId="0" borderId="62" xfId="5" applyFont="1" applyBorder="1"/>
    <xf numFmtId="0" fontId="56" fillId="0" borderId="38" xfId="5" applyFont="1" applyBorder="1"/>
    <xf numFmtId="0" fontId="57" fillId="0" borderId="83" xfId="5" applyFont="1" applyBorder="1" applyAlignment="1">
      <alignment horizontal="centerContinuous"/>
    </xf>
    <xf numFmtId="0" fontId="56" fillId="0" borderId="0" xfId="5" applyFont="1" applyBorder="1" applyAlignment="1">
      <alignment horizontal="centerContinuous"/>
    </xf>
    <xf numFmtId="0" fontId="56" fillId="0" borderId="108" xfId="5" applyFont="1" applyBorder="1" applyAlignment="1">
      <alignment horizontal="centerContinuous"/>
    </xf>
    <xf numFmtId="0" fontId="58" fillId="0" borderId="83" xfId="5" applyFont="1" applyBorder="1" applyAlignment="1">
      <alignment horizontal="centerContinuous"/>
    </xf>
    <xf numFmtId="0" fontId="56" fillId="0" borderId="83" xfId="5" applyFont="1" applyBorder="1"/>
    <xf numFmtId="0" fontId="56" fillId="0" borderId="0" xfId="5" applyFont="1" applyBorder="1"/>
    <xf numFmtId="0" fontId="56" fillId="0" borderId="108" xfId="5" applyFont="1" applyBorder="1"/>
    <xf numFmtId="0" fontId="59" fillId="0" borderId="1" xfId="5" applyFont="1" applyBorder="1" applyAlignment="1">
      <alignment horizontal="right"/>
    </xf>
    <xf numFmtId="0" fontId="56" fillId="0" borderId="1" xfId="5" applyFont="1" applyBorder="1" applyAlignment="1">
      <alignment horizontal="center"/>
    </xf>
    <xf numFmtId="14" fontId="56" fillId="0" borderId="1" xfId="5" applyNumberFormat="1" applyFont="1" applyBorder="1" applyAlignment="1">
      <alignment horizontal="center"/>
    </xf>
    <xf numFmtId="0" fontId="59" fillId="0" borderId="0" xfId="5" applyFont="1" applyBorder="1" applyAlignment="1">
      <alignment horizontal="right"/>
    </xf>
    <xf numFmtId="0" fontId="56" fillId="0" borderId="0" xfId="5" applyFont="1" applyBorder="1" applyAlignment="1">
      <alignment horizontal="center"/>
    </xf>
    <xf numFmtId="9" fontId="56" fillId="0" borderId="0" xfId="5" applyNumberFormat="1" applyFont="1" applyBorder="1" applyAlignment="1">
      <alignment horizontal="center"/>
    </xf>
    <xf numFmtId="0" fontId="59" fillId="0" borderId="83" xfId="5" applyFont="1" applyBorder="1" applyAlignment="1">
      <alignment horizontal="right"/>
    </xf>
    <xf numFmtId="0" fontId="56" fillId="0" borderId="40" xfId="5" applyFont="1" applyBorder="1"/>
    <xf numFmtId="0" fontId="56" fillId="0" borderId="39" xfId="5" applyFont="1" applyBorder="1" applyAlignment="1">
      <alignment horizontal="center"/>
    </xf>
    <xf numFmtId="0" fontId="56" fillId="0" borderId="85" xfId="5" applyFont="1" applyBorder="1"/>
    <xf numFmtId="0" fontId="59" fillId="0" borderId="17" xfId="5" applyFont="1" applyBorder="1" applyAlignment="1">
      <alignment horizontal="right"/>
    </xf>
    <xf numFmtId="0" fontId="56" fillId="0" borderId="132" xfId="5" applyFont="1" applyBorder="1"/>
    <xf numFmtId="167" fontId="3" fillId="0" borderId="0" xfId="5" quotePrefix="1" applyNumberFormat="1" applyFont="1" applyBorder="1" applyAlignment="1">
      <alignment horizontal="center"/>
    </xf>
    <xf numFmtId="167" fontId="2" fillId="0" borderId="0" xfId="5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0" fontId="61" fillId="0" borderId="0" xfId="5" applyFont="1"/>
    <xf numFmtId="0" fontId="1" fillId="0" borderId="0" xfId="5" applyBorder="1"/>
    <xf numFmtId="0" fontId="62" fillId="0" borderId="0" xfId="5" applyFont="1" applyFill="1" applyBorder="1"/>
    <xf numFmtId="0" fontId="1" fillId="0" borderId="0" xfId="5" applyFont="1" applyFill="1" applyBorder="1"/>
    <xf numFmtId="0" fontId="2" fillId="0" borderId="1" xfId="5" applyFont="1" applyBorder="1" applyAlignment="1">
      <alignment horizontal="center"/>
    </xf>
    <xf numFmtId="1" fontId="2" fillId="5" borderId="1" xfId="5" applyNumberFormat="1" applyFont="1" applyFill="1" applyBorder="1" applyAlignment="1">
      <alignment horizontal="center"/>
    </xf>
    <xf numFmtId="2" fontId="2" fillId="5" borderId="1" xfId="5" applyNumberFormat="1" applyFont="1" applyFill="1" applyBorder="1" applyAlignment="1">
      <alignment horizontal="center"/>
    </xf>
    <xf numFmtId="0" fontId="2" fillId="5" borderId="1" xfId="5" applyFont="1" applyFill="1" applyBorder="1" applyAlignment="1">
      <alignment horizontal="center"/>
    </xf>
    <xf numFmtId="0" fontId="63" fillId="0" borderId="0" xfId="5" applyFont="1"/>
    <xf numFmtId="167" fontId="3" fillId="0" borderId="135" xfId="5" quotePrefix="1" applyNumberFormat="1" applyFont="1" applyBorder="1" applyAlignment="1">
      <alignment horizontal="center"/>
    </xf>
    <xf numFmtId="167" fontId="2" fillId="0" borderId="39" xfId="5" applyNumberFormat="1" applyFont="1" applyBorder="1" applyAlignment="1">
      <alignment horizontal="center"/>
    </xf>
    <xf numFmtId="167" fontId="2" fillId="0" borderId="28" xfId="5" applyNumberFormat="1" applyFont="1" applyBorder="1" applyAlignment="1">
      <alignment horizontal="center"/>
    </xf>
    <xf numFmtId="167" fontId="2" fillId="0" borderId="136" xfId="5" applyNumberFormat="1" applyFont="1" applyBorder="1" applyAlignment="1">
      <alignment horizontal="center"/>
    </xf>
    <xf numFmtId="167" fontId="3" fillId="0" borderId="137" xfId="5" quotePrefix="1" applyNumberFormat="1" applyFont="1" applyBorder="1" applyAlignment="1">
      <alignment horizontal="center"/>
    </xf>
    <xf numFmtId="167" fontId="2" fillId="0" borderId="132" xfId="5" applyNumberFormat="1" applyFont="1" applyBorder="1" applyAlignment="1">
      <alignment horizontal="center"/>
    </xf>
    <xf numFmtId="167" fontId="2" fillId="0" borderId="1" xfId="5" applyNumberFormat="1" applyFont="1" applyBorder="1" applyAlignment="1">
      <alignment horizontal="center"/>
    </xf>
    <xf numFmtId="167" fontId="2" fillId="0" borderId="9" xfId="5" applyNumberFormat="1" applyFont="1" applyBorder="1" applyAlignment="1">
      <alignment horizontal="center"/>
    </xf>
    <xf numFmtId="167" fontId="3" fillId="0" borderId="25" xfId="5" quotePrefix="1" applyNumberFormat="1" applyFont="1" applyBorder="1" applyAlignment="1">
      <alignment horizontal="center"/>
    </xf>
    <xf numFmtId="167" fontId="2" fillId="0" borderId="133" xfId="5" applyNumberFormat="1" applyFont="1" applyBorder="1" applyAlignment="1">
      <alignment horizontal="center"/>
    </xf>
    <xf numFmtId="167" fontId="2" fillId="0" borderId="11" xfId="5" applyNumberFormat="1" applyFont="1" applyBorder="1" applyAlignment="1">
      <alignment horizontal="center"/>
    </xf>
    <xf numFmtId="167" fontId="2" fillId="0" borderId="33" xfId="5" applyNumberFormat="1" applyFont="1" applyBorder="1" applyAlignment="1">
      <alignment horizontal="center"/>
    </xf>
    <xf numFmtId="172" fontId="65" fillId="0" borderId="6" xfId="6" applyFont="1" applyBorder="1" applyAlignment="1" applyProtection="1">
      <alignment horizontal="centerContinuous"/>
    </xf>
    <xf numFmtId="172" fontId="65" fillId="0" borderId="7" xfId="6" applyFont="1" applyBorder="1" applyAlignment="1">
      <alignment horizontal="centerContinuous"/>
    </xf>
    <xf numFmtId="172" fontId="66" fillId="0" borderId="12" xfId="6" applyFont="1" applyBorder="1" applyAlignment="1" applyProtection="1">
      <alignment horizontal="left"/>
    </xf>
    <xf numFmtId="172" fontId="67" fillId="0" borderId="55" xfId="6" applyFont="1" applyBorder="1"/>
    <xf numFmtId="172" fontId="66" fillId="0" borderId="13" xfId="6" applyFont="1" applyBorder="1" applyAlignment="1">
      <alignment horizontal="centerContinuous"/>
    </xf>
    <xf numFmtId="172" fontId="67" fillId="0" borderId="14" xfId="6" applyFont="1" applyBorder="1" applyAlignment="1">
      <alignment horizontal="centerContinuous"/>
    </xf>
    <xf numFmtId="172" fontId="68" fillId="0" borderId="0" xfId="6" applyFont="1"/>
    <xf numFmtId="172" fontId="64" fillId="0" borderId="0" xfId="6"/>
    <xf numFmtId="172" fontId="65" fillId="0" borderId="45" xfId="6" applyFont="1" applyBorder="1" applyAlignment="1" applyProtection="1">
      <alignment horizontal="centerContinuous"/>
    </xf>
    <xf numFmtId="172" fontId="65" fillId="0" borderId="0" xfId="6" applyFont="1" applyBorder="1" applyAlignment="1">
      <alignment horizontal="centerContinuous"/>
    </xf>
    <xf numFmtId="172" fontId="66" fillId="0" borderId="109" xfId="6" applyFont="1" applyBorder="1" applyAlignment="1" applyProtection="1">
      <alignment horizontal="left"/>
    </xf>
    <xf numFmtId="172" fontId="67" fillId="0" borderId="39" xfId="6" applyFont="1" applyBorder="1"/>
    <xf numFmtId="172" fontId="66" fillId="0" borderId="40" xfId="6" applyFont="1" applyBorder="1" applyAlignment="1" applyProtection="1">
      <alignment horizontal="centerContinuous"/>
    </xf>
    <xf numFmtId="172" fontId="67" fillId="0" borderId="29" xfId="6" applyFont="1" applyBorder="1" applyAlignment="1">
      <alignment horizontal="centerContinuous"/>
    </xf>
    <xf numFmtId="172" fontId="67" fillId="0" borderId="45" xfId="6" applyFont="1" applyBorder="1" applyAlignment="1">
      <alignment horizontal="centerContinuous"/>
    </xf>
    <xf numFmtId="172" fontId="67" fillId="0" borderId="0" xfId="6" applyFont="1" applyBorder="1" applyAlignment="1">
      <alignment horizontal="centerContinuous"/>
    </xf>
    <xf numFmtId="172" fontId="66" fillId="0" borderId="40" xfId="6" quotePrefix="1" applyFont="1" applyBorder="1" applyAlignment="1">
      <alignment horizontal="centerContinuous"/>
    </xf>
    <xf numFmtId="172" fontId="69" fillId="0" borderId="45" xfId="6" applyFont="1" applyBorder="1" applyAlignment="1" applyProtection="1">
      <alignment horizontal="centerContinuous"/>
    </xf>
    <xf numFmtId="172" fontId="66" fillId="0" borderId="40" xfId="6" quotePrefix="1" applyFont="1" applyBorder="1" applyAlignment="1" applyProtection="1">
      <alignment horizontal="centerContinuous"/>
    </xf>
    <xf numFmtId="172" fontId="68" fillId="0" borderId="45" xfId="6" applyFont="1" applyBorder="1" applyAlignment="1">
      <alignment horizontal="centerContinuous"/>
    </xf>
    <xf numFmtId="172" fontId="66" fillId="0" borderId="40" xfId="6" applyFont="1" applyBorder="1" applyAlignment="1">
      <alignment horizontal="centerContinuous"/>
    </xf>
    <xf numFmtId="172" fontId="68" fillId="0" borderId="46" xfId="6" applyFont="1" applyBorder="1" applyAlignment="1" applyProtection="1">
      <alignment horizontal="centerContinuous"/>
    </xf>
    <xf numFmtId="172" fontId="67" fillId="0" borderId="23" xfId="6" applyFont="1" applyBorder="1" applyAlignment="1">
      <alignment horizontal="centerContinuous"/>
    </xf>
    <xf numFmtId="172" fontId="66" fillId="0" borderId="46" xfId="6" applyFont="1" applyBorder="1" applyAlignment="1" applyProtection="1">
      <alignment horizontal="left"/>
    </xf>
    <xf numFmtId="172" fontId="67" fillId="0" borderId="48" xfId="6" applyFont="1" applyBorder="1"/>
    <xf numFmtId="172" fontId="70" fillId="0" borderId="23" xfId="6" applyFont="1" applyBorder="1" applyAlignment="1">
      <alignment horizontal="centerContinuous"/>
    </xf>
    <xf numFmtId="172" fontId="67" fillId="0" borderId="24" xfId="6" applyFont="1" applyBorder="1" applyAlignment="1">
      <alignment horizontal="centerContinuous"/>
    </xf>
    <xf numFmtId="172" fontId="68" fillId="0" borderId="0" xfId="6" applyFont="1" applyBorder="1" applyAlignment="1" applyProtection="1">
      <alignment horizontal="centerContinuous"/>
    </xf>
    <xf numFmtId="172" fontId="66" fillId="0" borderId="0" xfId="6" applyFont="1" applyBorder="1" applyAlignment="1" applyProtection="1">
      <alignment horizontal="left"/>
    </xf>
    <xf numFmtId="172" fontId="67" fillId="0" borderId="0" xfId="6" applyFont="1" applyBorder="1"/>
    <xf numFmtId="172" fontId="66" fillId="0" borderId="0" xfId="6" applyFont="1" applyBorder="1" applyAlignment="1">
      <alignment horizontal="centerContinuous"/>
    </xf>
    <xf numFmtId="172" fontId="71" fillId="0" borderId="0" xfId="6" applyFont="1"/>
    <xf numFmtId="172" fontId="71" fillId="0" borderId="0" xfId="6" applyFont="1" applyAlignment="1" applyProtection="1">
      <alignment horizontal="right"/>
    </xf>
    <xf numFmtId="172" fontId="71" fillId="0" borderId="0" xfId="6" applyFont="1" applyAlignment="1" applyProtection="1">
      <alignment horizontal="left"/>
      <protection locked="0"/>
    </xf>
    <xf numFmtId="172" fontId="71" fillId="0" borderId="0" xfId="6" applyFont="1" applyBorder="1" applyAlignment="1">
      <alignment horizontal="centerContinuous"/>
    </xf>
    <xf numFmtId="172" fontId="71" fillId="0" borderId="0" xfId="6" applyFont="1" applyBorder="1" applyAlignment="1" applyProtection="1">
      <alignment horizontal="left"/>
    </xf>
    <xf numFmtId="172" fontId="71" fillId="0" borderId="0" xfId="6" applyFont="1" applyBorder="1"/>
    <xf numFmtId="49" fontId="71" fillId="0" borderId="0" xfId="6" quotePrefix="1" applyNumberFormat="1" applyFont="1" applyAlignment="1" applyProtection="1">
      <alignment horizontal="left"/>
      <protection locked="0"/>
    </xf>
    <xf numFmtId="172" fontId="67" fillId="0" borderId="0" xfId="6" applyFont="1"/>
    <xf numFmtId="172" fontId="72" fillId="0" borderId="138" xfId="6" applyFont="1" applyBorder="1" applyAlignment="1" applyProtection="1">
      <alignment horizontal="centerContinuous"/>
    </xf>
    <xf numFmtId="172" fontId="68" fillId="0" borderId="139" xfId="6" applyFont="1" applyBorder="1" applyAlignment="1">
      <alignment horizontal="centerContinuous"/>
    </xf>
    <xf numFmtId="172" fontId="68" fillId="0" borderId="140" xfId="6" applyFont="1" applyBorder="1" applyAlignment="1">
      <alignment horizontal="centerContinuous"/>
    </xf>
    <xf numFmtId="172" fontId="71" fillId="0" borderId="45" xfId="6" applyFont="1" applyBorder="1"/>
    <xf numFmtId="172" fontId="71" fillId="0" borderId="0" xfId="6" applyFont="1" applyBorder="1" applyAlignment="1" applyProtection="1">
      <alignment horizontal="right"/>
    </xf>
    <xf numFmtId="172" fontId="71" fillId="0" borderId="0" xfId="6" applyFont="1" applyBorder="1" applyAlignment="1" applyProtection="1">
      <alignment horizontal="center"/>
      <protection locked="0"/>
    </xf>
    <xf numFmtId="172" fontId="71" fillId="0" borderId="21" xfId="6" applyFont="1" applyBorder="1" applyAlignment="1" applyProtection="1">
      <alignment horizontal="center"/>
      <protection locked="0"/>
    </xf>
    <xf numFmtId="172" fontId="71" fillId="0" borderId="0" xfId="6" applyFont="1" applyBorder="1" applyAlignment="1">
      <alignment horizontal="center"/>
    </xf>
    <xf numFmtId="49" fontId="71" fillId="0" borderId="0" xfId="6" applyNumberFormat="1" applyFont="1" applyBorder="1" applyAlignment="1">
      <alignment horizontal="center"/>
    </xf>
    <xf numFmtId="172" fontId="71" fillId="0" borderId="0" xfId="6" quotePrefix="1" applyFont="1" applyBorder="1" applyAlignment="1" applyProtection="1">
      <alignment horizontal="right"/>
    </xf>
    <xf numFmtId="172" fontId="71" fillId="0" borderId="0" xfId="6" quotePrefix="1" applyFont="1" applyBorder="1" applyAlignment="1" applyProtection="1">
      <alignment horizontal="center"/>
      <protection locked="0"/>
    </xf>
    <xf numFmtId="172" fontId="71" fillId="0" borderId="0" xfId="6" applyFont="1" applyBorder="1" applyAlignment="1" applyProtection="1">
      <alignment horizontal="left"/>
      <protection locked="0"/>
    </xf>
    <xf numFmtId="172" fontId="71" fillId="0" borderId="21" xfId="6" applyFont="1" applyBorder="1"/>
    <xf numFmtId="172" fontId="71" fillId="0" borderId="46" xfId="6" applyFont="1" applyBorder="1"/>
    <xf numFmtId="172" fontId="71" fillId="0" borderId="23" xfId="6" applyFont="1" applyBorder="1" applyAlignment="1" applyProtection="1">
      <alignment horizontal="right"/>
    </xf>
    <xf numFmtId="167" fontId="71" fillId="0" borderId="23" xfId="6" quotePrefix="1" applyNumberFormat="1" applyFont="1" applyBorder="1" applyAlignment="1" applyProtection="1">
      <alignment horizontal="center"/>
      <protection locked="0"/>
    </xf>
    <xf numFmtId="172" fontId="71" fillId="0" borderId="23" xfId="6" applyFont="1" applyBorder="1"/>
    <xf numFmtId="172" fontId="71" fillId="0" borderId="23" xfId="6" applyFont="1" applyBorder="1" applyAlignment="1">
      <alignment horizontal="right"/>
    </xf>
    <xf numFmtId="167" fontId="71" fillId="0" borderId="23" xfId="6" applyNumberFormat="1" applyFont="1" applyBorder="1" applyProtection="1"/>
    <xf numFmtId="172" fontId="71" fillId="0" borderId="24" xfId="6" applyFont="1" applyBorder="1"/>
    <xf numFmtId="172" fontId="73" fillId="0" borderId="45" xfId="6" quotePrefix="1" applyFont="1" applyBorder="1" applyAlignment="1">
      <alignment horizontal="left"/>
    </xf>
    <xf numFmtId="172" fontId="67" fillId="0" borderId="0" xfId="6" quotePrefix="1" applyFont="1" applyBorder="1" applyAlignment="1" applyProtection="1">
      <alignment horizontal="right"/>
    </xf>
    <xf numFmtId="172" fontId="67" fillId="0" borderId="108" xfId="6" applyFont="1" applyBorder="1"/>
    <xf numFmtId="172" fontId="73" fillId="0" borderId="0" xfId="6" applyFont="1" applyBorder="1" applyAlignment="1" applyProtection="1">
      <alignment horizontal="left"/>
    </xf>
    <xf numFmtId="172" fontId="67" fillId="0" borderId="0" xfId="6" applyFont="1" applyBorder="1" applyAlignment="1" applyProtection="1">
      <alignment horizontal="right"/>
    </xf>
    <xf numFmtId="172" fontId="67" fillId="0" borderId="108" xfId="6" applyFont="1" applyBorder="1" applyAlignment="1" applyProtection="1">
      <alignment horizontal="right"/>
    </xf>
    <xf numFmtId="172" fontId="73" fillId="0" borderId="0" xfId="6" quotePrefix="1" applyFont="1" applyBorder="1" applyAlignment="1" applyProtection="1">
      <alignment horizontal="left"/>
    </xf>
    <xf numFmtId="172" fontId="67" fillId="0" borderId="0" xfId="6" applyFont="1" applyBorder="1" applyAlignment="1">
      <alignment horizontal="right"/>
    </xf>
    <xf numFmtId="172" fontId="67" fillId="0" borderId="21" xfId="6" applyFont="1" applyBorder="1"/>
    <xf numFmtId="172" fontId="64" fillId="0" borderId="45" xfId="6" applyBorder="1"/>
    <xf numFmtId="172" fontId="71" fillId="0" borderId="0" xfId="6" applyFont="1" applyBorder="1" applyAlignment="1">
      <alignment horizontal="right"/>
    </xf>
    <xf numFmtId="172" fontId="71" fillId="0" borderId="108" xfId="6" applyFont="1" applyBorder="1" applyAlignment="1" applyProtection="1">
      <alignment horizontal="center"/>
      <protection locked="0"/>
    </xf>
    <xf numFmtId="0" fontId="71" fillId="0" borderId="108" xfId="6" applyNumberFormat="1" applyFont="1" applyBorder="1" applyAlignment="1">
      <alignment horizontal="center"/>
    </xf>
    <xf numFmtId="172" fontId="71" fillId="0" borderId="0" xfId="6" applyFont="1" applyBorder="1" applyAlignment="1">
      <alignment horizontal="left"/>
    </xf>
    <xf numFmtId="172" fontId="71" fillId="0" borderId="108" xfId="6" applyFont="1" applyBorder="1"/>
    <xf numFmtId="172" fontId="71" fillId="0" borderId="48" xfId="6" applyFont="1" applyBorder="1"/>
    <xf numFmtId="172" fontId="71" fillId="0" borderId="48" xfId="6" applyFont="1" applyBorder="1" applyAlignment="1">
      <alignment horizontal="left"/>
    </xf>
    <xf numFmtId="172" fontId="68" fillId="0" borderId="0" xfId="6" applyFont="1" applyBorder="1" applyAlignment="1">
      <alignment horizontal="centerContinuous"/>
    </xf>
    <xf numFmtId="172" fontId="68" fillId="0" borderId="0" xfId="6" applyFont="1" applyBorder="1"/>
    <xf numFmtId="172" fontId="72" fillId="0" borderId="141" xfId="6" applyFont="1" applyBorder="1" applyAlignment="1" applyProtection="1">
      <alignment horizontal="centerContinuous"/>
    </xf>
    <xf numFmtId="172" fontId="68" fillId="0" borderId="142" xfId="6" applyFont="1" applyBorder="1" applyAlignment="1">
      <alignment horizontal="centerContinuous"/>
    </xf>
    <xf numFmtId="172" fontId="64" fillId="0" borderId="143" xfId="6" applyBorder="1"/>
    <xf numFmtId="172" fontId="68" fillId="0" borderId="144" xfId="6" applyFont="1" applyBorder="1" applyAlignment="1">
      <alignment horizontal="centerContinuous"/>
    </xf>
    <xf numFmtId="172" fontId="73" fillId="0" borderId="45" xfId="6" applyFont="1" applyBorder="1" applyAlignment="1">
      <alignment horizontal="left"/>
    </xf>
    <xf numFmtId="172" fontId="64" fillId="0" borderId="108" xfId="6" applyBorder="1"/>
    <xf numFmtId="167" fontId="71" fillId="0" borderId="0" xfId="6" applyNumberFormat="1" applyFont="1" applyBorder="1" applyAlignment="1" applyProtection="1">
      <alignment horizontal="center"/>
      <protection locked="0"/>
    </xf>
    <xf numFmtId="172" fontId="71" fillId="0" borderId="45" xfId="6" applyFont="1" applyBorder="1" applyAlignment="1">
      <alignment horizontal="left"/>
    </xf>
    <xf numFmtId="172" fontId="64" fillId="0" borderId="48" xfId="6" applyBorder="1"/>
    <xf numFmtId="172" fontId="68" fillId="0" borderId="0" xfId="6" applyFont="1" applyBorder="1" applyAlignment="1">
      <alignment horizontal="left"/>
    </xf>
    <xf numFmtId="172" fontId="68" fillId="0" borderId="0" xfId="6" applyFont="1" applyAlignment="1">
      <alignment horizontal="left"/>
    </xf>
    <xf numFmtId="172" fontId="68" fillId="0" borderId="141" xfId="6" applyFont="1" applyBorder="1"/>
    <xf numFmtId="172" fontId="67" fillId="0" borderId="142" xfId="6" applyFont="1" applyBorder="1" applyAlignment="1">
      <alignment horizontal="left"/>
    </xf>
    <xf numFmtId="172" fontId="67" fillId="0" borderId="144" xfId="6" applyFont="1" applyBorder="1" applyAlignment="1">
      <alignment horizontal="left"/>
    </xf>
    <xf numFmtId="172" fontId="71" fillId="0" borderId="45" xfId="6" quotePrefix="1" applyFont="1" applyBorder="1" applyAlignment="1">
      <alignment horizontal="left"/>
    </xf>
    <xf numFmtId="172" fontId="71" fillId="0" borderId="21" xfId="6" applyFont="1" applyBorder="1" applyAlignment="1">
      <alignment horizontal="left"/>
    </xf>
    <xf numFmtId="172" fontId="74" fillId="0" borderId="145" xfId="6" applyFont="1" applyBorder="1"/>
    <xf numFmtId="172" fontId="71" fillId="0" borderId="0" xfId="6" quotePrefix="1" applyFont="1" applyBorder="1" applyAlignment="1" applyProtection="1">
      <alignment horizontal="left"/>
    </xf>
    <xf numFmtId="172" fontId="71" fillId="0" borderId="146" xfId="6" quotePrefix="1" applyFont="1" applyBorder="1" applyAlignment="1" applyProtection="1">
      <alignment horizontal="left"/>
    </xf>
    <xf numFmtId="172" fontId="71" fillId="0" borderId="147" xfId="6" quotePrefix="1" applyFont="1" applyBorder="1" applyAlignment="1">
      <alignment horizontal="left"/>
    </xf>
    <xf numFmtId="172" fontId="71" fillId="0" borderId="46" xfId="6" applyFont="1" applyBorder="1" applyAlignment="1">
      <alignment horizontal="left"/>
    </xf>
    <xf numFmtId="172" fontId="71" fillId="0" borderId="23" xfId="6" applyFont="1" applyBorder="1" applyAlignment="1">
      <alignment horizontal="left"/>
    </xf>
    <xf numFmtId="172" fontId="71" fillId="0" borderId="24" xfId="6" applyFont="1" applyBorder="1" applyAlignment="1">
      <alignment horizontal="left"/>
    </xf>
    <xf numFmtId="172" fontId="67" fillId="0" borderId="0" xfId="6" applyFont="1" applyAlignment="1">
      <alignment horizontal="left"/>
    </xf>
    <xf numFmtId="172" fontId="75" fillId="0" borderId="0" xfId="6" applyFont="1" applyAlignment="1" applyProtection="1">
      <alignment horizontal="right"/>
    </xf>
    <xf numFmtId="172" fontId="64" fillId="0" borderId="0" xfId="6" applyAlignment="1">
      <alignment horizontal="right"/>
    </xf>
    <xf numFmtId="49" fontId="56" fillId="0" borderId="40" xfId="5" applyNumberFormat="1" applyFont="1" applyBorder="1"/>
    <xf numFmtId="0" fontId="1" fillId="0" borderId="0" xfId="5" applyAlignment="1">
      <alignment horizontal="center"/>
    </xf>
    <xf numFmtId="0" fontId="2" fillId="0" borderId="42" xfId="5" applyFont="1" applyBorder="1" applyAlignment="1">
      <alignment horizontal="center"/>
    </xf>
    <xf numFmtId="0" fontId="2" fillId="0" borderId="24" xfId="5" applyFont="1" applyBorder="1" applyAlignment="1">
      <alignment horizontal="center"/>
    </xf>
    <xf numFmtId="0" fontId="1" fillId="0" borderId="0" xfId="5" applyAlignment="1">
      <alignment horizontal="right"/>
    </xf>
    <xf numFmtId="0" fontId="1" fillId="6" borderId="0" xfId="5" applyFill="1"/>
    <xf numFmtId="0" fontId="1" fillId="7" borderId="0" xfId="5" applyFill="1"/>
    <xf numFmtId="167" fontId="1" fillId="0" borderId="0" xfId="5" applyNumberFormat="1" applyAlignment="1">
      <alignment horizontal="center"/>
    </xf>
    <xf numFmtId="167" fontId="19" fillId="0" borderId="0" xfId="2" applyNumberFormat="1" applyFont="1" applyFill="1"/>
    <xf numFmtId="1" fontId="19" fillId="0" borderId="0" xfId="2" applyNumberFormat="1" applyFont="1" applyFill="1"/>
    <xf numFmtId="0" fontId="34" fillId="0" borderId="107" xfId="2" applyFont="1" applyFill="1" applyBorder="1" applyAlignment="1">
      <alignment horizontal="left"/>
    </xf>
    <xf numFmtId="0" fontId="34" fillId="0" borderId="77" xfId="2" applyFont="1" applyFill="1" applyBorder="1" applyAlignment="1">
      <alignment horizontal="left"/>
    </xf>
    <xf numFmtId="14" fontId="19" fillId="5" borderId="122" xfId="2" applyNumberFormat="1" applyFont="1" applyFill="1" applyBorder="1" applyAlignment="1">
      <alignment horizontal="center"/>
    </xf>
    <xf numFmtId="14" fontId="19" fillId="5" borderId="123" xfId="2" applyNumberFormat="1" applyFont="1" applyFill="1" applyBorder="1" applyAlignment="1">
      <alignment horizontal="center"/>
    </xf>
    <xf numFmtId="0" fontId="34" fillId="0" borderId="45" xfId="2" applyFont="1" applyFill="1" applyBorder="1" applyAlignment="1">
      <alignment horizontal="center"/>
    </xf>
    <xf numFmtId="0" fontId="34" fillId="0" borderId="0" xfId="2" applyFont="1" applyFill="1" applyBorder="1" applyAlignment="1">
      <alignment horizontal="center"/>
    </xf>
    <xf numFmtId="0" fontId="34" fillId="0" borderId="108" xfId="2" applyFont="1" applyFill="1" applyBorder="1" applyAlignment="1">
      <alignment horizontal="center"/>
    </xf>
    <xf numFmtId="0" fontId="34" fillId="0" borderId="109" xfId="2" applyFont="1" applyFill="1" applyBorder="1" applyAlignment="1">
      <alignment horizontal="center"/>
    </xf>
    <xf numFmtId="0" fontId="34" fillId="0" borderId="40" xfId="2" applyFont="1" applyFill="1" applyBorder="1" applyAlignment="1">
      <alignment horizontal="center"/>
    </xf>
    <xf numFmtId="0" fontId="34" fillId="0" borderId="39" xfId="2" applyFont="1" applyFill="1" applyBorder="1" applyAlignment="1">
      <alignment horizontal="center"/>
    </xf>
    <xf numFmtId="0" fontId="29" fillId="0" borderId="102" xfId="2" applyFont="1" applyFill="1" applyBorder="1" applyAlignment="1">
      <alignment horizontal="left"/>
    </xf>
    <xf numFmtId="0" fontId="29" fillId="0" borderId="62" xfId="2" applyFont="1" applyFill="1" applyBorder="1" applyAlignment="1">
      <alignment horizontal="left"/>
    </xf>
    <xf numFmtId="0" fontId="29" fillId="0" borderId="38" xfId="2" applyFont="1" applyFill="1" applyBorder="1" applyAlignment="1">
      <alignment horizontal="left"/>
    </xf>
    <xf numFmtId="0" fontId="34" fillId="0" borderId="46" xfId="2" applyFont="1" applyFill="1" applyBorder="1" applyAlignment="1">
      <alignment horizontal="center"/>
    </xf>
    <xf numFmtId="0" fontId="34" fillId="0" borderId="23" xfId="2" applyFont="1" applyFill="1" applyBorder="1" applyAlignment="1">
      <alignment horizontal="center"/>
    </xf>
    <xf numFmtId="0" fontId="34" fillId="0" borderId="48" xfId="2" applyFont="1" applyFill="1" applyBorder="1" applyAlignment="1">
      <alignment horizontal="center"/>
    </xf>
    <xf numFmtId="0" fontId="47" fillId="5" borderId="117" xfId="2" applyFont="1" applyFill="1" applyBorder="1" applyAlignment="1">
      <alignment horizontal="center"/>
    </xf>
    <xf numFmtId="0" fontId="47" fillId="5" borderId="118" xfId="2" applyFont="1" applyFill="1" applyBorder="1" applyAlignment="1">
      <alignment horizontal="center"/>
    </xf>
    <xf numFmtId="0" fontId="29" fillId="5" borderId="61" xfId="2" applyFont="1" applyFill="1" applyBorder="1" applyAlignment="1">
      <alignment horizontal="left"/>
    </xf>
    <xf numFmtId="0" fontId="29" fillId="5" borderId="62" xfId="2" applyFont="1" applyFill="1" applyBorder="1" applyAlignment="1">
      <alignment horizontal="left"/>
    </xf>
    <xf numFmtId="0" fontId="29" fillId="5" borderId="27" xfId="2" applyFont="1" applyFill="1" applyBorder="1" applyAlignment="1">
      <alignment horizontal="left"/>
    </xf>
    <xf numFmtId="0" fontId="36" fillId="5" borderId="75" xfId="2" quotePrefix="1" applyFont="1" applyFill="1" applyBorder="1" applyAlignment="1">
      <alignment horizontal="left"/>
    </xf>
    <xf numFmtId="0" fontId="36" fillId="5" borderId="68" xfId="2" quotePrefix="1" applyFont="1" applyFill="1" applyBorder="1" applyAlignment="1">
      <alignment horizontal="left"/>
    </xf>
    <xf numFmtId="0" fontId="36" fillId="5" borderId="69" xfId="2" quotePrefix="1" applyFont="1" applyFill="1" applyBorder="1" applyAlignment="1">
      <alignment horizontal="left"/>
    </xf>
    <xf numFmtId="2" fontId="38" fillId="5" borderId="65" xfId="2" applyNumberFormat="1" applyFont="1" applyFill="1" applyBorder="1" applyAlignment="1">
      <alignment horizontal="center"/>
    </xf>
    <xf numFmtId="2" fontId="38" fillId="5" borderId="66" xfId="2" applyNumberFormat="1" applyFont="1" applyFill="1" applyBorder="1" applyAlignment="1">
      <alignment horizontal="center"/>
    </xf>
    <xf numFmtId="0" fontId="38" fillId="5" borderId="65" xfId="2" applyFont="1" applyFill="1" applyBorder="1" applyAlignment="1">
      <alignment horizontal="center"/>
    </xf>
    <xf numFmtId="0" fontId="38" fillId="5" borderId="66" xfId="2" applyFont="1" applyFill="1" applyBorder="1" applyAlignment="1">
      <alignment horizontal="center"/>
    </xf>
    <xf numFmtId="0" fontId="29" fillId="0" borderId="80" xfId="2" applyFont="1" applyFill="1" applyBorder="1" applyAlignment="1">
      <alignment horizontal="left"/>
    </xf>
    <xf numFmtId="0" fontId="29" fillId="0" borderId="81" xfId="2" applyFont="1" applyFill="1" applyBorder="1" applyAlignment="1">
      <alignment horizontal="left"/>
    </xf>
    <xf numFmtId="0" fontId="29" fillId="0" borderId="82" xfId="2" applyFont="1" applyFill="1" applyBorder="1" applyAlignment="1">
      <alignment horizontal="left"/>
    </xf>
    <xf numFmtId="167" fontId="38" fillId="5" borderId="65" xfId="2" applyNumberFormat="1" applyFont="1" applyFill="1" applyBorder="1" applyAlignment="1">
      <alignment horizontal="center"/>
    </xf>
    <xf numFmtId="167" fontId="38" fillId="5" borderId="66" xfId="2" applyNumberFormat="1" applyFont="1" applyFill="1" applyBorder="1" applyAlignment="1">
      <alignment horizontal="center"/>
    </xf>
    <xf numFmtId="0" fontId="36" fillId="5" borderId="87" xfId="2" applyFont="1" applyFill="1" applyBorder="1" applyAlignment="1">
      <alignment horizontal="center"/>
    </xf>
    <xf numFmtId="0" fontId="36" fillId="5" borderId="88" xfId="2" applyFont="1" applyFill="1" applyBorder="1" applyAlignment="1">
      <alignment horizontal="center"/>
    </xf>
    <xf numFmtId="0" fontId="36" fillId="5" borderId="83" xfId="2" applyFont="1" applyFill="1" applyBorder="1" applyAlignment="1">
      <alignment horizontal="center"/>
    </xf>
    <xf numFmtId="0" fontId="36" fillId="5" borderId="0" xfId="2" applyFont="1" applyFill="1" applyBorder="1" applyAlignment="1">
      <alignment horizontal="center"/>
    </xf>
    <xf numFmtId="0" fontId="36" fillId="5" borderId="85" xfId="2" applyFont="1" applyFill="1" applyBorder="1" applyAlignment="1">
      <alignment horizontal="center"/>
    </xf>
    <xf numFmtId="0" fontId="36" fillId="5" borderId="40" xfId="2" applyFont="1" applyFill="1" applyBorder="1" applyAlignment="1">
      <alignment horizontal="center"/>
    </xf>
    <xf numFmtId="0" fontId="36" fillId="5" borderId="89" xfId="2" applyFont="1" applyFill="1" applyBorder="1" applyAlignment="1">
      <alignment horizontal="left"/>
    </xf>
    <xf numFmtId="0" fontId="36" fillId="5" borderId="90" xfId="2" applyFont="1" applyFill="1" applyBorder="1" applyAlignment="1">
      <alignment horizontal="left"/>
    </xf>
    <xf numFmtId="0" fontId="36" fillId="5" borderId="91" xfId="2" applyFont="1" applyFill="1" applyBorder="1" applyAlignment="1">
      <alignment horizontal="left"/>
    </xf>
    <xf numFmtId="0" fontId="38" fillId="5" borderId="92" xfId="2" applyFont="1" applyFill="1" applyBorder="1" applyAlignment="1">
      <alignment horizontal="center"/>
    </xf>
    <xf numFmtId="0" fontId="38" fillId="0" borderId="92" xfId="2" applyFont="1" applyFill="1" applyBorder="1" applyAlignment="1">
      <alignment horizontal="center"/>
    </xf>
    <xf numFmtId="0" fontId="38" fillId="0" borderId="66" xfId="2" applyFont="1" applyFill="1" applyBorder="1" applyAlignment="1">
      <alignment horizontal="center"/>
    </xf>
    <xf numFmtId="0" fontId="36" fillId="5" borderId="75" xfId="2" applyFont="1" applyFill="1" applyBorder="1" applyAlignment="1">
      <alignment horizontal="left"/>
    </xf>
    <xf numFmtId="0" fontId="36" fillId="5" borderId="68" xfId="2" applyFont="1" applyFill="1" applyBorder="1" applyAlignment="1">
      <alignment horizontal="left"/>
    </xf>
    <xf numFmtId="0" fontId="36" fillId="5" borderId="69" xfId="2" applyFont="1" applyFill="1" applyBorder="1" applyAlignment="1">
      <alignment horizontal="left"/>
    </xf>
    <xf numFmtId="0" fontId="38" fillId="0" borderId="65" xfId="2" applyFont="1" applyFill="1" applyBorder="1" applyAlignment="1">
      <alignment horizontal="center"/>
    </xf>
    <xf numFmtId="169" fontId="38" fillId="5" borderId="65" xfId="2" applyNumberFormat="1" applyFont="1" applyFill="1" applyBorder="1" applyAlignment="1">
      <alignment horizontal="center"/>
    </xf>
    <xf numFmtId="169" fontId="38" fillId="5" borderId="66" xfId="2" applyNumberFormat="1" applyFont="1" applyFill="1" applyBorder="1" applyAlignment="1">
      <alignment horizontal="center"/>
    </xf>
    <xf numFmtId="1" fontId="38" fillId="5" borderId="65" xfId="2" applyNumberFormat="1" applyFont="1" applyFill="1" applyBorder="1" applyAlignment="1">
      <alignment horizontal="center"/>
    </xf>
    <xf numFmtId="1" fontId="38" fillId="5" borderId="66" xfId="2" applyNumberFormat="1" applyFont="1" applyFill="1" applyBorder="1" applyAlignment="1">
      <alignment horizontal="center"/>
    </xf>
    <xf numFmtId="1" fontId="38" fillId="5" borderId="100" xfId="2" applyNumberFormat="1" applyFont="1" applyFill="1" applyBorder="1" applyAlignment="1">
      <alignment horizontal="center"/>
    </xf>
    <xf numFmtId="1" fontId="38" fillId="5" borderId="101" xfId="2" applyNumberFormat="1" applyFont="1" applyFill="1" applyBorder="1" applyAlignment="1">
      <alignment horizontal="center"/>
    </xf>
    <xf numFmtId="0" fontId="36" fillId="0" borderId="75" xfId="2" applyFont="1" applyFill="1" applyBorder="1" applyAlignment="1">
      <alignment horizontal="left"/>
    </xf>
    <xf numFmtId="0" fontId="36" fillId="0" borderId="68" xfId="2" applyFont="1" applyFill="1" applyBorder="1" applyAlignment="1">
      <alignment horizontal="left"/>
    </xf>
    <xf numFmtId="0" fontId="36" fillId="0" borderId="69" xfId="2" applyFont="1" applyFill="1" applyBorder="1" applyAlignment="1">
      <alignment horizontal="left"/>
    </xf>
    <xf numFmtId="167" fontId="38" fillId="0" borderId="65" xfId="2" applyNumberFormat="1" applyFont="1" applyFill="1" applyBorder="1" applyAlignment="1">
      <alignment horizontal="center"/>
    </xf>
    <xf numFmtId="167" fontId="38" fillId="0" borderId="66" xfId="2" applyNumberFormat="1" applyFont="1" applyFill="1" applyBorder="1" applyAlignment="1">
      <alignment horizontal="center"/>
    </xf>
    <xf numFmtId="0" fontId="36" fillId="0" borderId="63" xfId="2" applyFont="1" applyFill="1" applyBorder="1" applyAlignment="1">
      <alignment horizontal="left"/>
    </xf>
    <xf numFmtId="0" fontId="36" fillId="0" borderId="64" xfId="2" applyFont="1" applyFill="1" applyBorder="1" applyAlignment="1">
      <alignment horizontal="left"/>
    </xf>
    <xf numFmtId="2" fontId="38" fillId="0" borderId="65" xfId="2" applyNumberFormat="1" applyFont="1" applyFill="1" applyBorder="1" applyAlignment="1">
      <alignment horizontal="center"/>
    </xf>
    <xf numFmtId="2" fontId="38" fillId="0" borderId="66" xfId="2" applyNumberFormat="1" applyFont="1" applyFill="1" applyBorder="1" applyAlignment="1">
      <alignment horizontal="center"/>
    </xf>
    <xf numFmtId="0" fontId="25" fillId="0" borderId="0" xfId="2" applyFont="1" applyAlignment="1">
      <alignment horizontal="center"/>
    </xf>
    <xf numFmtId="0" fontId="28" fillId="5" borderId="0" xfId="2" applyFont="1" applyFill="1" applyAlignment="1">
      <alignment horizontal="center"/>
    </xf>
    <xf numFmtId="0" fontId="30" fillId="5" borderId="23" xfId="2" applyFont="1" applyFill="1" applyBorder="1" applyAlignment="1">
      <alignment horizontal="center"/>
    </xf>
    <xf numFmtId="0" fontId="35" fillId="5" borderId="12" xfId="2" applyFont="1" applyFill="1" applyBorder="1" applyAlignment="1">
      <alignment horizontal="left"/>
    </xf>
    <xf numFmtId="0" fontId="35" fillId="5" borderId="13" xfId="2" applyFont="1" applyFill="1" applyBorder="1" applyAlignment="1">
      <alignment horizontal="left"/>
    </xf>
    <xf numFmtId="0" fontId="36" fillId="0" borderId="58" xfId="2" applyFont="1" applyFill="1" applyBorder="1" applyAlignment="1">
      <alignment horizontal="left"/>
    </xf>
    <xf numFmtId="0" fontId="36" fillId="0" borderId="59" xfId="2" applyFont="1" applyFill="1" applyBorder="1" applyAlignment="1">
      <alignment horizontal="left"/>
    </xf>
    <xf numFmtId="0" fontId="37" fillId="5" borderId="60" xfId="2" applyFont="1" applyFill="1" applyBorder="1" applyAlignment="1">
      <alignment horizontal="center"/>
    </xf>
    <xf numFmtId="0" fontId="37" fillId="5" borderId="56" xfId="2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1" xfId="3" applyBorder="1" applyAlignment="1">
      <alignment horizontal="left"/>
    </xf>
    <xf numFmtId="170" fontId="1" fillId="0" borderId="17" xfId="3" applyNumberFormat="1" applyBorder="1" applyAlignment="1">
      <alignment horizontal="center"/>
    </xf>
    <xf numFmtId="170" fontId="1" fillId="0" borderId="131" xfId="3" applyNumberFormat="1" applyBorder="1" applyAlignment="1">
      <alignment horizontal="center"/>
    </xf>
    <xf numFmtId="170" fontId="1" fillId="0" borderId="132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1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170" fontId="1" fillId="0" borderId="31" xfId="3" applyNumberFormat="1" applyBorder="1" applyAlignment="1">
      <alignment horizontal="center"/>
    </xf>
    <xf numFmtId="170" fontId="1" fillId="0" borderId="51" xfId="3" applyNumberFormat="1" applyBorder="1" applyAlignment="1">
      <alignment horizontal="center"/>
    </xf>
    <xf numFmtId="17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70" fontId="1" fillId="0" borderId="50" xfId="3" applyNumberFormat="1" applyBorder="1" applyAlignment="1">
      <alignment horizontal="center"/>
    </xf>
    <xf numFmtId="170" fontId="1" fillId="0" borderId="13" xfId="3" applyNumberFormat="1" applyBorder="1" applyAlignment="1">
      <alignment horizontal="center"/>
    </xf>
    <xf numFmtId="17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51" fillId="0" borderId="45" xfId="3" applyFont="1" applyBorder="1" applyAlignment="1">
      <alignment horizontal="center"/>
    </xf>
    <xf numFmtId="0" fontId="51" fillId="0" borderId="0" xfId="3" applyFont="1" applyBorder="1" applyAlignment="1">
      <alignment horizontal="center"/>
    </xf>
    <xf numFmtId="0" fontId="51" fillId="0" borderId="53" xfId="3" applyFont="1" applyBorder="1" applyAlignment="1">
      <alignment horizontal="center"/>
    </xf>
    <xf numFmtId="0" fontId="50" fillId="0" borderId="15" xfId="3" applyFont="1" applyBorder="1" applyAlignment="1">
      <alignment horizontal="center"/>
    </xf>
    <xf numFmtId="0" fontId="50" fillId="0" borderId="7" xfId="3" applyFont="1" applyBorder="1" applyAlignment="1">
      <alignment horizontal="center"/>
    </xf>
    <xf numFmtId="0" fontId="50" fillId="0" borderId="130" xfId="3" applyFont="1" applyBorder="1" applyAlignment="1">
      <alignment horizontal="center"/>
    </xf>
    <xf numFmtId="0" fontId="50" fillId="0" borderId="8" xfId="3" applyFont="1" applyBorder="1" applyAlignment="1">
      <alignment horizontal="center"/>
    </xf>
    <xf numFmtId="0" fontId="53" fillId="0" borderId="17" xfId="5" applyFont="1" applyBorder="1" applyAlignment="1">
      <alignment horizontal="right"/>
    </xf>
    <xf numFmtId="0" fontId="53" fillId="0" borderId="131" xfId="5" applyFont="1" applyBorder="1" applyAlignment="1">
      <alignment horizontal="right"/>
    </xf>
    <xf numFmtId="0" fontId="32" fillId="0" borderId="0" xfId="5" applyFont="1" applyAlignment="1">
      <alignment horizontal="center"/>
    </xf>
    <xf numFmtId="0" fontId="54" fillId="0" borderId="0" xfId="5" applyFont="1" applyAlignment="1">
      <alignment horizontal="right"/>
    </xf>
    <xf numFmtId="0" fontId="53" fillId="0" borderId="1" xfId="5" applyFont="1" applyBorder="1" applyAlignment="1">
      <alignment horizontal="center"/>
    </xf>
    <xf numFmtId="0" fontId="32" fillId="0" borderId="17" xfId="5" applyFont="1" applyBorder="1" applyAlignment="1">
      <alignment horizontal="center"/>
    </xf>
    <xf numFmtId="0" fontId="32" fillId="0" borderId="131" xfId="5" applyFont="1" applyBorder="1" applyAlignment="1">
      <alignment horizontal="center"/>
    </xf>
    <xf numFmtId="0" fontId="32" fillId="0" borderId="132" xfId="5" applyFont="1" applyBorder="1" applyAlignment="1">
      <alignment horizontal="center"/>
    </xf>
    <xf numFmtId="0" fontId="54" fillId="0" borderId="1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55" fillId="0" borderId="17" xfId="5" applyFont="1" applyBorder="1" applyAlignment="1">
      <alignment horizontal="center"/>
    </xf>
    <xf numFmtId="172" fontId="76" fillId="0" borderId="148" xfId="6" applyFont="1" applyBorder="1" applyAlignment="1" applyProtection="1">
      <alignment horizontal="center"/>
      <protection locked="0"/>
    </xf>
    <xf numFmtId="14" fontId="24" fillId="0" borderId="148" xfId="6" quotePrefix="1" applyNumberFormat="1" applyFont="1" applyBorder="1" applyAlignment="1" applyProtection="1">
      <alignment horizontal="center"/>
      <protection locked="0"/>
    </xf>
    <xf numFmtId="0" fontId="56" fillId="0" borderId="17" xfId="5" applyFont="1" applyBorder="1" applyAlignment="1">
      <alignment horizontal="center"/>
    </xf>
    <xf numFmtId="0" fontId="56" fillId="0" borderId="131" xfId="5" applyFont="1" applyBorder="1" applyAlignment="1">
      <alignment horizontal="center"/>
    </xf>
    <xf numFmtId="0" fontId="56" fillId="0" borderId="132" xfId="5" applyFont="1" applyBorder="1" applyAlignment="1">
      <alignment horizontal="center"/>
    </xf>
    <xf numFmtId="0" fontId="58" fillId="0" borderId="83" xfId="5" applyFont="1" applyBorder="1" applyAlignment="1">
      <alignment horizontal="center"/>
    </xf>
    <xf numFmtId="0" fontId="58" fillId="0" borderId="0" xfId="5" applyFont="1" applyBorder="1" applyAlignment="1">
      <alignment horizontal="center"/>
    </xf>
    <xf numFmtId="0" fontId="58" fillId="0" borderId="108" xfId="5" applyFont="1" applyBorder="1" applyAlignment="1">
      <alignment horizontal="center"/>
    </xf>
    <xf numFmtId="0" fontId="60" fillId="0" borderId="83" xfId="5" applyFont="1" applyBorder="1" applyAlignment="1">
      <alignment horizontal="center"/>
    </xf>
    <xf numFmtId="0" fontId="60" fillId="0" borderId="0" xfId="5" applyFont="1" applyBorder="1" applyAlignment="1">
      <alignment horizontal="center"/>
    </xf>
    <xf numFmtId="0" fontId="60" fillId="0" borderId="108" xfId="5" applyFont="1" applyBorder="1" applyAlignment="1">
      <alignment horizontal="center"/>
    </xf>
    <xf numFmtId="0" fontId="1" fillId="0" borderId="52" xfId="5" applyBorder="1" applyAlignment="1">
      <alignment horizontal="center"/>
    </xf>
    <xf numFmtId="0" fontId="1" fillId="0" borderId="53" xfId="5" applyBorder="1" applyAlignment="1">
      <alignment horizontal="center"/>
    </xf>
    <xf numFmtId="0" fontId="1" fillId="0" borderId="54" xfId="5" applyBorder="1" applyAlignment="1">
      <alignment horizontal="center"/>
    </xf>
    <xf numFmtId="0" fontId="81" fillId="8" borderId="0" xfId="7" applyFill="1" applyAlignment="1">
      <alignment horizontal="center" vertical="center" wrapText="1"/>
    </xf>
    <xf numFmtId="0" fontId="77" fillId="9" borderId="0" xfId="0" applyFont="1" applyFill="1" applyAlignment="1">
      <alignment vertical="center" wrapText="1"/>
    </xf>
    <xf numFmtId="0" fontId="78" fillId="10" borderId="0" xfId="0" applyFont="1" applyFill="1" applyAlignment="1">
      <alignment vertical="center" wrapText="1"/>
    </xf>
    <xf numFmtId="0" fontId="79" fillId="11" borderId="0" xfId="0" applyFont="1" applyFill="1" applyAlignment="1">
      <alignment vertical="center" wrapText="1"/>
    </xf>
    <xf numFmtId="0" fontId="80" fillId="10" borderId="0" xfId="0" applyFont="1" applyFill="1" applyAlignment="1">
      <alignment vertical="center" wrapText="1"/>
    </xf>
    <xf numFmtId="0" fontId="0" fillId="0" borderId="23" xfId="0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24" xfId="0" applyNumberFormat="1" applyBorder="1" applyAlignment="1">
      <alignment horizontal="center"/>
    </xf>
  </cellXfs>
  <cellStyles count="8">
    <cellStyle name="Hyperlink" xfId="7" builtinId="8"/>
    <cellStyle name="Normal" xfId="0" builtinId="0"/>
    <cellStyle name="Normal 2" xfId="2"/>
    <cellStyle name="Normal 3" xfId="5"/>
    <cellStyle name="Normal 4" xfId="6"/>
    <cellStyle name="Normal_OPTEST" xfId="4"/>
    <cellStyle name="Normal_PROJ_REV_HIST" xfId="3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5.9999995864927769E-3</c:v>
                </c:pt>
                <c:pt idx="2">
                  <c:v>2.9999999329447746E-2</c:v>
                </c:pt>
                <c:pt idx="3" formatCode="0.00">
                  <c:v>5.9999998658895493E-2</c:v>
                </c:pt>
                <c:pt idx="4" formatCode="0.00">
                  <c:v>0.11222222447395325</c:v>
                </c:pt>
                <c:pt idx="5" formatCode="0.00">
                  <c:v>0.1644444465637207</c:v>
                </c:pt>
                <c:pt idx="6" formatCode="0.00">
                  <c:v>0.26888889074325562</c:v>
                </c:pt>
                <c:pt idx="7" formatCode="0.00">
                  <c:v>0.37333333492279053</c:v>
                </c:pt>
                <c:pt idx="8" formatCode="0.00">
                  <c:v>0.47777777910232544</c:v>
                </c:pt>
                <c:pt idx="9" formatCode="0.00">
                  <c:v>0.58222222328186035</c:v>
                </c:pt>
                <c:pt idx="10" formatCode="0.00">
                  <c:v>0.68666666746139526</c:v>
                </c:pt>
                <c:pt idx="11" formatCode="0.00">
                  <c:v>0.79111111164093018</c:v>
                </c:pt>
                <c:pt idx="12" formatCode="0.00">
                  <c:v>0.89555555582046509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70.315588016331432</c:v>
                </c:pt>
                <c:pt idx="2">
                  <c:v>244.73874875355776</c:v>
                </c:pt>
                <c:pt idx="3">
                  <c:v>265</c:v>
                </c:pt>
                <c:pt idx="4">
                  <c:v>213.5489635036983</c:v>
                </c:pt>
                <c:pt idx="5">
                  <c:v>189.77739884056115</c:v>
                </c:pt>
                <c:pt idx="6">
                  <c:v>172.72153517593364</c:v>
                </c:pt>
                <c:pt idx="7">
                  <c:v>167.04756633230937</c:v>
                </c:pt>
                <c:pt idx="8">
                  <c:v>165.41161265789646</c:v>
                </c:pt>
                <c:pt idx="9">
                  <c:v>165.11420461860229</c:v>
                </c:pt>
                <c:pt idx="10">
                  <c:v>165.08510604216937</c:v>
                </c:pt>
                <c:pt idx="11">
                  <c:v>165.04685151466362</c:v>
                </c:pt>
                <c:pt idx="12">
                  <c:v>165.01194965986434</c:v>
                </c:pt>
                <c:pt idx="13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C1-4234-AABD-BF97FCD4BA20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5.9999995864927769E-3</c:v>
                </c:pt>
                <c:pt idx="2">
                  <c:v>2.9999999329447746E-2</c:v>
                </c:pt>
                <c:pt idx="3" formatCode="0.00">
                  <c:v>5.9999998658895493E-2</c:v>
                </c:pt>
                <c:pt idx="4" formatCode="0.00">
                  <c:v>0.11222222447395325</c:v>
                </c:pt>
                <c:pt idx="5" formatCode="0.00">
                  <c:v>0.1644444465637207</c:v>
                </c:pt>
                <c:pt idx="6" formatCode="0.00">
                  <c:v>0.26888889074325562</c:v>
                </c:pt>
                <c:pt idx="7" formatCode="0.00">
                  <c:v>0.37333333492279053</c:v>
                </c:pt>
                <c:pt idx="8" formatCode="0.00">
                  <c:v>0.47777777910232544</c:v>
                </c:pt>
                <c:pt idx="9" formatCode="0.00">
                  <c:v>0.58222222328186035</c:v>
                </c:pt>
                <c:pt idx="10" formatCode="0.00">
                  <c:v>0.68666666746139526</c:v>
                </c:pt>
                <c:pt idx="11" formatCode="0.00">
                  <c:v>0.79111111164093018</c:v>
                </c:pt>
                <c:pt idx="12" formatCode="0.00">
                  <c:v>0.89555555582046509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98.800003051757813</c:v>
                </c:pt>
                <c:pt idx="2">
                  <c:v>92.5</c:v>
                </c:pt>
                <c:pt idx="3">
                  <c:v>84.400001525878906</c:v>
                </c:pt>
                <c:pt idx="4">
                  <c:v>70.822219848632813</c:v>
                </c:pt>
                <c:pt idx="5">
                  <c:v>57.822223663330078</c:v>
                </c:pt>
                <c:pt idx="6">
                  <c:v>38.288887023925781</c:v>
                </c:pt>
                <c:pt idx="7">
                  <c:v>24.933332443237305</c:v>
                </c:pt>
                <c:pt idx="8">
                  <c:v>15.777777671813965</c:v>
                </c:pt>
                <c:pt idx="9">
                  <c:v>9.0666666030883789</c:v>
                </c:pt>
                <c:pt idx="10">
                  <c:v>6.2666664123535156</c:v>
                </c:pt>
                <c:pt idx="11">
                  <c:v>7.8222222328186035</c:v>
                </c:pt>
                <c:pt idx="12">
                  <c:v>14.688888549804688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C1-4234-AABD-BF97FCD4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230824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5.9999995864927769E-3</c:v>
                </c:pt>
                <c:pt idx="2">
                  <c:v>2.9999999329447746E-2</c:v>
                </c:pt>
                <c:pt idx="3" formatCode="0.00">
                  <c:v>5.9999998658895493E-2</c:v>
                </c:pt>
                <c:pt idx="4" formatCode="0.00">
                  <c:v>0.11222222447395325</c:v>
                </c:pt>
                <c:pt idx="5" formatCode="0.00">
                  <c:v>0.1644444465637207</c:v>
                </c:pt>
                <c:pt idx="6" formatCode="0.00">
                  <c:v>0.26888889074325562</c:v>
                </c:pt>
                <c:pt idx="7" formatCode="0.00">
                  <c:v>0.37333333492279053</c:v>
                </c:pt>
                <c:pt idx="8" formatCode="0.00">
                  <c:v>0.47777777910232544</c:v>
                </c:pt>
                <c:pt idx="9" formatCode="0.00">
                  <c:v>0.58222222328186035</c:v>
                </c:pt>
                <c:pt idx="10" formatCode="0.00">
                  <c:v>0.68666666746139526</c:v>
                </c:pt>
                <c:pt idx="11" formatCode="0.00">
                  <c:v>0.79111111164093018</c:v>
                </c:pt>
                <c:pt idx="12" formatCode="0.00">
                  <c:v>0.89555555582046509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0.24673160910606384</c:v>
                </c:pt>
                <c:pt idx="1">
                  <c:v>96.301246643066406</c:v>
                </c:pt>
                <c:pt idx="2">
                  <c:v>382.33291625976563</c:v>
                </c:pt>
                <c:pt idx="3">
                  <c:v>556.77197265625</c:v>
                </c:pt>
                <c:pt idx="4">
                  <c:v>630.030517578125</c:v>
                </c:pt>
                <c:pt idx="5">
                  <c:v>665.5267333984375</c:v>
                </c:pt>
                <c:pt idx="6">
                  <c:v>699.293212890625</c:v>
                </c:pt>
                <c:pt idx="7">
                  <c:v>716.86883544921875</c:v>
                </c:pt>
                <c:pt idx="8">
                  <c:v>729.28704833984375</c:v>
                </c:pt>
                <c:pt idx="9">
                  <c:v>739.49566650390625</c:v>
                </c:pt>
                <c:pt idx="10">
                  <c:v>747.92578125</c:v>
                </c:pt>
                <c:pt idx="11">
                  <c:v>755.43145751953125</c:v>
                </c:pt>
                <c:pt idx="12">
                  <c:v>762.17578125</c:v>
                </c:pt>
                <c:pt idx="13">
                  <c:v>768.25396728515625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C1-4234-AABD-BF97FCD4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7023082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0230824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99.400000041350722</c:v>
                </c:pt>
                <c:pt idx="2">
                  <c:v>97.000000067055225</c:v>
                </c:pt>
                <c:pt idx="3">
                  <c:v>94.000000134110451</c:v>
                </c:pt>
                <c:pt idx="4">
                  <c:v>88.777777552604675</c:v>
                </c:pt>
                <c:pt idx="5">
                  <c:v>83.55555534362793</c:v>
                </c:pt>
                <c:pt idx="6">
                  <c:v>73.111110925674438</c:v>
                </c:pt>
                <c:pt idx="7">
                  <c:v>62.666666507720947</c:v>
                </c:pt>
                <c:pt idx="8">
                  <c:v>52.222222089767456</c:v>
                </c:pt>
                <c:pt idx="9">
                  <c:v>41.777777671813965</c:v>
                </c:pt>
                <c:pt idx="10">
                  <c:v>31.333333253860474</c:v>
                </c:pt>
                <c:pt idx="11">
                  <c:v>20.888888835906982</c:v>
                </c:pt>
                <c:pt idx="12">
                  <c:v>10.444444417953491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70.315588016331432</c:v>
                </c:pt>
                <c:pt idx="2">
                  <c:v>244.73874875355776</c:v>
                </c:pt>
                <c:pt idx="3">
                  <c:v>265</c:v>
                </c:pt>
                <c:pt idx="4">
                  <c:v>213.5489635036983</c:v>
                </c:pt>
                <c:pt idx="5">
                  <c:v>189.77739884056115</c:v>
                </c:pt>
                <c:pt idx="6">
                  <c:v>172.72153517593364</c:v>
                </c:pt>
                <c:pt idx="7">
                  <c:v>167.04756633230937</c:v>
                </c:pt>
                <c:pt idx="8">
                  <c:v>165.41161265789646</c:v>
                </c:pt>
                <c:pt idx="9">
                  <c:v>165.11420461860229</c:v>
                </c:pt>
                <c:pt idx="10">
                  <c:v>165.08510604216937</c:v>
                </c:pt>
                <c:pt idx="11">
                  <c:v>165.04685151466362</c:v>
                </c:pt>
                <c:pt idx="12">
                  <c:v>165.01194965986434</c:v>
                </c:pt>
                <c:pt idx="13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59-4EF4-9CEB-B9246D72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53912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99.400000041350722</c:v>
                </c:pt>
                <c:pt idx="2">
                  <c:v>97.000000067055225</c:v>
                </c:pt>
                <c:pt idx="3">
                  <c:v>94.000000134110451</c:v>
                </c:pt>
                <c:pt idx="4">
                  <c:v>88.777777552604675</c:v>
                </c:pt>
                <c:pt idx="5">
                  <c:v>83.55555534362793</c:v>
                </c:pt>
                <c:pt idx="6">
                  <c:v>73.111110925674438</c:v>
                </c:pt>
                <c:pt idx="7">
                  <c:v>62.666666507720947</c:v>
                </c:pt>
                <c:pt idx="8">
                  <c:v>52.222222089767456</c:v>
                </c:pt>
                <c:pt idx="9">
                  <c:v>41.777777671813965</c:v>
                </c:pt>
                <c:pt idx="10">
                  <c:v>31.333333253860474</c:v>
                </c:pt>
                <c:pt idx="11">
                  <c:v>20.888888835906982</c:v>
                </c:pt>
                <c:pt idx="12">
                  <c:v>10.444444417953491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98.800003051757813</c:v>
                </c:pt>
                <c:pt idx="2">
                  <c:v>92.5</c:v>
                </c:pt>
                <c:pt idx="3">
                  <c:v>84.400001525878906</c:v>
                </c:pt>
                <c:pt idx="4">
                  <c:v>70.822219848632813</c:v>
                </c:pt>
                <c:pt idx="5">
                  <c:v>57.822223663330078</c:v>
                </c:pt>
                <c:pt idx="6">
                  <c:v>38.288887023925781</c:v>
                </c:pt>
                <c:pt idx="7">
                  <c:v>24.933332443237305</c:v>
                </c:pt>
                <c:pt idx="8">
                  <c:v>15.777777671813965</c:v>
                </c:pt>
                <c:pt idx="9">
                  <c:v>9.0666666030883789</c:v>
                </c:pt>
                <c:pt idx="10">
                  <c:v>6.2666664123535156</c:v>
                </c:pt>
                <c:pt idx="11">
                  <c:v>7.8222222328186035</c:v>
                </c:pt>
                <c:pt idx="12">
                  <c:v>14.688888549804688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59-4EF4-9CEB-B9246D72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53912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99.400000041350722</c:v>
                </c:pt>
                <c:pt idx="2">
                  <c:v>97.000000067055225</c:v>
                </c:pt>
                <c:pt idx="3">
                  <c:v>94.000000134110451</c:v>
                </c:pt>
                <c:pt idx="4">
                  <c:v>88.777777552604675</c:v>
                </c:pt>
                <c:pt idx="5">
                  <c:v>83.55555534362793</c:v>
                </c:pt>
                <c:pt idx="6">
                  <c:v>73.111110925674438</c:v>
                </c:pt>
                <c:pt idx="7">
                  <c:v>62.666666507720947</c:v>
                </c:pt>
                <c:pt idx="8">
                  <c:v>52.222222089767456</c:v>
                </c:pt>
                <c:pt idx="9">
                  <c:v>41.777777671813965</c:v>
                </c:pt>
                <c:pt idx="10">
                  <c:v>31.333333253860474</c:v>
                </c:pt>
                <c:pt idx="11">
                  <c:v>20.888888835906982</c:v>
                </c:pt>
                <c:pt idx="12">
                  <c:v>10.444444417953491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0.24673160910606384</c:v>
                </c:pt>
                <c:pt idx="1">
                  <c:v>96.301246643066406</c:v>
                </c:pt>
                <c:pt idx="2">
                  <c:v>382.33291625976563</c:v>
                </c:pt>
                <c:pt idx="3">
                  <c:v>556.77197265625</c:v>
                </c:pt>
                <c:pt idx="4">
                  <c:v>630.030517578125</c:v>
                </c:pt>
                <c:pt idx="5">
                  <c:v>665.5267333984375</c:v>
                </c:pt>
                <c:pt idx="6">
                  <c:v>699.293212890625</c:v>
                </c:pt>
                <c:pt idx="7">
                  <c:v>716.86883544921875</c:v>
                </c:pt>
                <c:pt idx="8">
                  <c:v>729.28704833984375</c:v>
                </c:pt>
                <c:pt idx="9">
                  <c:v>739.49566650390625</c:v>
                </c:pt>
                <c:pt idx="10">
                  <c:v>747.92578125</c:v>
                </c:pt>
                <c:pt idx="11">
                  <c:v>755.43145751953125</c:v>
                </c:pt>
                <c:pt idx="12">
                  <c:v>762.17578125</c:v>
                </c:pt>
                <c:pt idx="13">
                  <c:v>768.25396728515625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59-4EF4-9CEB-B9246D72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1445391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445391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022893526141932"/>
          <c:w val="0.23816493990882717"/>
          <c:h val="0.1197710647385806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768.25396825396831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12.307299205235074</c:v>
                </c:pt>
                <c:pt idx="1">
                  <c:v>14.824371957268564</c:v>
                </c:pt>
                <c:pt idx="2">
                  <c:v>20.177617386282211</c:v>
                </c:pt>
                <c:pt idx="3">
                  <c:v>29.055769036246385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E-4B59-B0A1-33282FF83D7E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768.25396825396831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5.6878382819039484</c:v>
                </c:pt>
                <c:pt idx="1">
                  <c:v>6.8511075352640693</c:v>
                </c:pt>
                <c:pt idx="2">
                  <c:v>9.3251185896649833</c:v>
                </c:pt>
                <c:pt idx="3">
                  <c:v>13.428170769117576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E-4B59-B0A1-33282FF83D7E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400</c:v>
                </c:pt>
                <c:pt idx="1">
                  <c:v>300</c:v>
                </c:pt>
                <c:pt idx="2">
                  <c:v>265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47.804096721671684</c:v>
                </c:pt>
                <c:pt idx="3">
                  <c:v>103.61242877405537</c:v>
                </c:pt>
                <c:pt idx="4">
                  <c:v>159.66909356857997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6E-4B59-B0A1-33282FF83D7E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768.25396825396831</c:v>
                </c:pt>
                <c:pt idx="1">
                  <c:v>765.23809523809518</c:v>
                </c:pt>
                <c:pt idx="2">
                  <c:v>758.80952380952385</c:v>
                </c:pt>
                <c:pt idx="3">
                  <c:v>751.66666666666663</c:v>
                </c:pt>
                <c:pt idx="4">
                  <c:v>743.73015873015868</c:v>
                </c:pt>
                <c:pt idx="5">
                  <c:v>734.3650793650794</c:v>
                </c:pt>
                <c:pt idx="6">
                  <c:v>723.09523809523807</c:v>
                </c:pt>
                <c:pt idx="7">
                  <c:v>708.09523809523807</c:v>
                </c:pt>
                <c:pt idx="8">
                  <c:v>682.38095238095241</c:v>
                </c:pt>
                <c:pt idx="9">
                  <c:v>647.77777777777783</c:v>
                </c:pt>
                <c:pt idx="10">
                  <c:v>593.41269841269843</c:v>
                </c:pt>
                <c:pt idx="11">
                  <c:v>469.52380952380952</c:v>
                </c:pt>
                <c:pt idx="12">
                  <c:v>238.60398860398863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0.5429999828338623</c:v>
                </c:pt>
                <c:pt idx="2">
                  <c:v>1.0469999313354492</c:v>
                </c:pt>
                <c:pt idx="3">
                  <c:v>1.5369999408721924</c:v>
                </c:pt>
                <c:pt idx="4">
                  <c:v>2.0290000438690186</c:v>
                </c:pt>
                <c:pt idx="5">
                  <c:v>2.5360000133514404</c:v>
                </c:pt>
                <c:pt idx="6">
                  <c:v>3.0669999122619629</c:v>
                </c:pt>
                <c:pt idx="7">
                  <c:v>3.6269998550415039</c:v>
                </c:pt>
                <c:pt idx="8">
                  <c:v>4.2089996337890625</c:v>
                </c:pt>
                <c:pt idx="9">
                  <c:v>4.490999698638916</c:v>
                </c:pt>
                <c:pt idx="10">
                  <c:v>4.7309994697570801</c:v>
                </c:pt>
                <c:pt idx="11">
                  <c:v>4.8649992942810059</c:v>
                </c:pt>
                <c:pt idx="12">
                  <c:v>5.0549993515014648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6E-4B59-B0A1-33282FF83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373088"/>
        <c:axId val="1"/>
      </c:scatterChart>
      <c:valAx>
        <c:axId val="82337308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337308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91.399993896484375</c:v>
                </c:pt>
                <c:pt idx="2">
                  <c:v>94.099998474121094</c:v>
                </c:pt>
                <c:pt idx="3">
                  <c:v>94.700004577636719</c:v>
                </c:pt>
                <c:pt idx="4">
                  <c:v>94.700004577636719</c:v>
                </c:pt>
                <c:pt idx="5">
                  <c:v>94.599998474121094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0-419D-B2D7-BC64B98785D0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64.099998474121094</c:v>
                </c:pt>
                <c:pt idx="1">
                  <c:v>82.5</c:v>
                </c:pt>
                <c:pt idx="2">
                  <c:v>88</c:v>
                </c:pt>
                <c:pt idx="3">
                  <c:v>89.900001525878906</c:v>
                </c:pt>
                <c:pt idx="4">
                  <c:v>90.5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50-419D-B2D7-BC64B98785D0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81.039632161474245</c:v>
                </c:pt>
                <c:pt idx="2">
                  <c:v>62.078857421888642</c:v>
                </c:pt>
                <c:pt idx="3">
                  <c:v>43.118082682303793</c:v>
                </c:pt>
                <c:pt idx="4">
                  <c:v>23.333333333333332</c:v>
                </c:pt>
                <c:pt idx="5">
                  <c:v>3.9603678385424246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50-419D-B2D7-BC64B98785D0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0.42845</c:v>
                </c:pt>
                <c:pt idx="1">
                  <c:v>10.205365</c:v>
                </c:pt>
                <c:pt idx="2">
                  <c:v>19.833714999999998</c:v>
                </c:pt>
                <c:pt idx="3">
                  <c:v>29.536040000000003</c:v>
                </c:pt>
                <c:pt idx="4">
                  <c:v>39.351374999999997</c:v>
                </c:pt>
                <c:pt idx="5">
                  <c:v>49.323145000000004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50-419D-B2D7-BC64B9878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3066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30</c:v>
                </c:pt>
                <c:pt idx="1">
                  <c:v>45.959999084472656</c:v>
                </c:pt>
                <c:pt idx="2">
                  <c:v>69.400001525878906</c:v>
                </c:pt>
                <c:pt idx="3">
                  <c:v>96.889999389648438</c:v>
                </c:pt>
                <c:pt idx="4">
                  <c:v>126.36000061035156</c:v>
                </c:pt>
                <c:pt idx="5">
                  <c:v>157.33000183105469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50-419D-B2D7-BC64B9878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1643066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643066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74</xdr:row>
      <xdr:rowOff>0</xdr:rowOff>
    </xdr:from>
    <xdr:to>
      <xdr:col>9</xdr:col>
      <xdr:colOff>420535</xdr:colOff>
      <xdr:row>107</xdr:row>
      <xdr:rowOff>1343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8632" y="14076947"/>
          <a:ext cx="4571429" cy="52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/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/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/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/>
        <xdr:cNvGrpSpPr>
          <a:grpSpLocks/>
        </xdr:cNvGrpSpPr>
      </xdr:nvGrpSpPr>
      <xdr:grpSpPr bwMode="auto">
        <a:xfrm>
          <a:off x="1221105" y="6282690"/>
          <a:ext cx="963930" cy="1076325"/>
          <a:chOff x="126" y="661"/>
          <a:chExt cx="99" cy="113"/>
        </a:xfrm>
      </xdr:grpSpPr>
      <xdr:sp macro="" textlink="">
        <xdr:nvSpPr>
          <xdr:cNvPr id="11" name="Line 298"/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/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/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/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/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/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/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/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/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/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/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/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/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/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/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/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/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/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/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/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/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/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/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/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/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/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2750.0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/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/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/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/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/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/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32.80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/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/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/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12.0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/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14.94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/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25.00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/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11.37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/>
        <xdr:cNvGrpSpPr>
          <a:grpSpLocks/>
        </xdr:cNvGrpSpPr>
      </xdr:nvGrpSpPr>
      <xdr:grpSpPr bwMode="auto">
        <a:xfrm>
          <a:off x="992505" y="9063990"/>
          <a:ext cx="1287780" cy="885825"/>
          <a:chOff x="102" y="929"/>
          <a:chExt cx="133" cy="93"/>
        </a:xfrm>
      </xdr:grpSpPr>
      <xdr:sp macro="" textlink="">
        <xdr:nvSpPr>
          <xdr:cNvPr id="50" name="Line 479"/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/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/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/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/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/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/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/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/>
        <xdr:cNvGrpSpPr>
          <a:grpSpLocks/>
        </xdr:cNvGrpSpPr>
      </xdr:nvGrpSpPr>
      <xdr:grpSpPr bwMode="auto">
        <a:xfrm>
          <a:off x="1211580" y="7549515"/>
          <a:ext cx="849630" cy="1114425"/>
          <a:chOff x="774" y="670"/>
          <a:chExt cx="87" cy="117"/>
        </a:xfrm>
      </xdr:grpSpPr>
      <xdr:grpSp>
        <xdr:nvGrpSpPr>
          <xdr:cNvPr id="89" name="Group 522"/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/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/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/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/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/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/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/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/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/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/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/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/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/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/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/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/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/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/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/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/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/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/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/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/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/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/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/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/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/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/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/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/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685800</xdr:colOff>
      <xdr:row>28</xdr:row>
      <xdr:rowOff>200025</xdr:rowOff>
    </xdr:from>
    <xdr:to>
      <xdr:col>4</xdr:col>
      <xdr:colOff>731623</xdr:colOff>
      <xdr:row>29</xdr:row>
      <xdr:rowOff>133350</xdr:rowOff>
    </xdr:to>
    <xdr:sp macro="" textlink="">
      <xdr:nvSpPr>
        <xdr:cNvPr id="122" name="Text 219"/>
        <xdr:cNvSpPr txBox="1">
          <a:spLocks noChangeArrowheads="1"/>
        </xdr:cNvSpPr>
      </xdr:nvSpPr>
      <xdr:spPr bwMode="auto">
        <a:xfrm>
          <a:off x="2381250" y="66675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685800</xdr:colOff>
      <xdr:row>34</xdr:row>
      <xdr:rowOff>209550</xdr:rowOff>
    </xdr:from>
    <xdr:to>
      <xdr:col>4</xdr:col>
      <xdr:colOff>731623</xdr:colOff>
      <xdr:row>35</xdr:row>
      <xdr:rowOff>142875</xdr:rowOff>
    </xdr:to>
    <xdr:sp macro="" textlink="">
      <xdr:nvSpPr>
        <xdr:cNvPr id="123" name="Text 219"/>
        <xdr:cNvSpPr txBox="1">
          <a:spLocks noChangeArrowheads="1"/>
        </xdr:cNvSpPr>
      </xdr:nvSpPr>
      <xdr:spPr bwMode="auto">
        <a:xfrm>
          <a:off x="2381250" y="80486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685800</xdr:colOff>
      <xdr:row>40</xdr:row>
      <xdr:rowOff>152400</xdr:rowOff>
    </xdr:from>
    <xdr:to>
      <xdr:col>4</xdr:col>
      <xdr:colOff>731623</xdr:colOff>
      <xdr:row>41</xdr:row>
      <xdr:rowOff>85725</xdr:rowOff>
    </xdr:to>
    <xdr:sp macro="" textlink="">
      <xdr:nvSpPr>
        <xdr:cNvPr id="124" name="Text 219"/>
        <xdr:cNvSpPr txBox="1">
          <a:spLocks noChangeArrowheads="1"/>
        </xdr:cNvSpPr>
      </xdr:nvSpPr>
      <xdr:spPr bwMode="auto">
        <a:xfrm>
          <a:off x="2381250" y="93630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0</xdr:rowOff>
    </xdr:from>
    <xdr:to>
      <xdr:col>15</xdr:col>
      <xdr:colOff>304229</xdr:colOff>
      <xdr:row>35</xdr:row>
      <xdr:rowOff>56488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3181350"/>
          <a:ext cx="4571429" cy="52952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0.63717</cdr:x>
      <cdr:y>0.57491</cdr:y>
    </cdr:from>
    <cdr:to>
      <cdr:x>0.91999</cdr:x>
      <cdr:y>0.60004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6409" y="37017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0.37832</cdr:x>
      <cdr:y>0.69994</cdr:y>
    </cdr:from>
    <cdr:to>
      <cdr:x>0.62376</cdr:x>
      <cdr:y>0.72507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2534" y="450683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0A30BC9-A149-4B3F-81FA-0012DE06803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5390507-1666-4C60-A490-789522515F5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1797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7B06C3D-404B-497E-9D6F-32D057E8410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1794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C9631BF-5A15-4A20-854E-485C8F5BDB9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1791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0A662DE-963D-4DE9-B95F-CF4FAD594C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1788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7A0092B-0E27-4BAF-8376-3E13E507864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1785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8EEE484-EA82-465D-8B0A-FE69F19AFEC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1782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99A742E-0EDB-4349-82E3-09E5F87736E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1779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A332A1E-5082-40FA-A103-5F733F7F94A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1776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2EA6628-E6FB-4BF3-B823-B7950414D4F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1773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8585715-BF5B-4B6C-9F68-C72834133A0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6DA54D9-BE41-4C4F-AEFD-6531FF3DCE7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610B3D7-8040-4A01-AA71-4D37D2E2F26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E1DB7A3-B739-496C-9343-C4C677507A4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567C919-4ED6-45F1-A65C-A86F2EF321F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FD9D1AE-CF3B-4673-B147-AB0915A16D6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5190A96-5FE3-426C-8E19-E11141DE81B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8032AC9-43EF-4FC9-A375-49587344877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99573C1-2FDD-4681-B711-7040F7CF8F4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1400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0452398-CE09-477C-A19F-CF21192BBDC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4783EC8-5848-4DBA-8328-9A0A67BCCC1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923925</xdr:colOff>
      <xdr:row>23</xdr:row>
      <xdr:rowOff>228600</xdr:rowOff>
    </xdr:from>
    <xdr:to>
      <xdr:col>3</xdr:col>
      <xdr:colOff>152400</xdr:colOff>
      <xdr:row>24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15277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200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AC758F1-808F-4E58-9ABC-44F60DF5D0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grdViewDetails','Sort$NLWR')" TargetMode="External"/><Relationship Id="rId13" Type="http://schemas.openxmlformats.org/officeDocument/2006/relationships/hyperlink" Target="javascript:__doPostBack('grdViewDetails','Sort$LRVC')" TargetMode="External"/><Relationship Id="rId18" Type="http://schemas.openxmlformats.org/officeDocument/2006/relationships/hyperlink" Target="javascript:__doPostBack('grdViewDetails','Sort$PFL')" TargetMode="External"/><Relationship Id="rId3" Type="http://schemas.openxmlformats.org/officeDocument/2006/relationships/hyperlink" Target="javascript:__doPostBack('grdViewDetails','Sort$NLVB')" TargetMode="External"/><Relationship Id="rId21" Type="http://schemas.openxmlformats.org/officeDocument/2006/relationships/hyperlink" Target="javascript:__doPostBack('grdViewDetails','Sort$LRSWINGMAX')" TargetMode="External"/><Relationship Id="rId7" Type="http://schemas.openxmlformats.org/officeDocument/2006/relationships/hyperlink" Target="javascript:__doPostBack('grdViewDetails','Sort$NLAC')" TargetMode="External"/><Relationship Id="rId12" Type="http://schemas.openxmlformats.org/officeDocument/2006/relationships/hyperlink" Target="javascript:__doPostBack('grdViewDetails','Sort$LRVB')" TargetMode="External"/><Relationship Id="rId17" Type="http://schemas.openxmlformats.org/officeDocument/2006/relationships/hyperlink" Target="javascript:__doPostBack('grdViewDetails','Sort$LRWAVG')" TargetMode="External"/><Relationship Id="rId2" Type="http://schemas.openxmlformats.org/officeDocument/2006/relationships/hyperlink" Target="javascript:__doPostBack('grdViewDetails','Sort$NLVA')" TargetMode="External"/><Relationship Id="rId16" Type="http://schemas.openxmlformats.org/officeDocument/2006/relationships/hyperlink" Target="javascript:__doPostBack('grdViewDetails','Sort$LRAA3')" TargetMode="External"/><Relationship Id="rId20" Type="http://schemas.openxmlformats.org/officeDocument/2006/relationships/hyperlink" Target="javascript:__doPostBack('grdViewDetails','Sort$LRSWINGMIN')" TargetMode="External"/><Relationship Id="rId1" Type="http://schemas.openxmlformats.org/officeDocument/2006/relationships/hyperlink" Target="javascript:__doPostBack('grdViewDetails','Sort$SERNUM')" TargetMode="External"/><Relationship Id="rId6" Type="http://schemas.openxmlformats.org/officeDocument/2006/relationships/hyperlink" Target="javascript:__doPostBack('grdViewDetails','Sort$NLAB')" TargetMode="External"/><Relationship Id="rId11" Type="http://schemas.openxmlformats.org/officeDocument/2006/relationships/hyperlink" Target="javascript:__doPostBack('grdViewDetails','Sort$LRVA')" TargetMode="External"/><Relationship Id="rId5" Type="http://schemas.openxmlformats.org/officeDocument/2006/relationships/hyperlink" Target="javascript:__doPostBack('grdViewDetails','Sort$NLAA')" TargetMode="External"/><Relationship Id="rId15" Type="http://schemas.openxmlformats.org/officeDocument/2006/relationships/hyperlink" Target="javascript:__doPostBack('grdViewDetails','Sort$LRAA2')" TargetMode="External"/><Relationship Id="rId10" Type="http://schemas.openxmlformats.org/officeDocument/2006/relationships/hyperlink" Target="javascript:__doPostBack('grdViewDetails','Sort$VARN')" TargetMode="External"/><Relationship Id="rId19" Type="http://schemas.openxmlformats.org/officeDocument/2006/relationships/hyperlink" Target="javascript:__doPostBack('grdViewDetails','Sort$VARL')" TargetMode="External"/><Relationship Id="rId4" Type="http://schemas.openxmlformats.org/officeDocument/2006/relationships/hyperlink" Target="javascript:__doPostBack('grdViewDetails','Sort$NLVC')" TargetMode="External"/><Relationship Id="rId9" Type="http://schemas.openxmlformats.org/officeDocument/2006/relationships/hyperlink" Target="javascript:__doPostBack('grdViewDetails','Sort$PFN')" TargetMode="External"/><Relationship Id="rId14" Type="http://schemas.openxmlformats.org/officeDocument/2006/relationships/hyperlink" Target="javascript:__doPostBack('grdViewDetails','Sort$LRAA1')" TargetMode="External"/><Relationship Id="rId22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zoomScale="95" zoomScaleNormal="95" workbookViewId="0">
      <selection activeCell="M14" sqref="M14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  <col min="12" max="12" width="13.44140625" bestFit="1" customWidth="1"/>
    <col min="13" max="13" width="9" bestFit="1" customWidth="1"/>
  </cols>
  <sheetData>
    <row r="1" spans="1:10" ht="17.399999999999999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219</v>
      </c>
    </row>
    <row r="2" spans="1:10" ht="17.399999999999999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220</v>
      </c>
    </row>
    <row r="3" spans="1:10" ht="15" customHeight="1" thickBot="1">
      <c r="A3" s="49" t="s">
        <v>1</v>
      </c>
      <c r="B3" s="96" t="s">
        <v>218</v>
      </c>
      <c r="C3" s="1"/>
      <c r="D3" s="49"/>
      <c r="E3" s="1"/>
      <c r="F3" s="1"/>
      <c r="G3" s="49" t="s">
        <v>2</v>
      </c>
      <c r="H3" s="174">
        <v>44676</v>
      </c>
      <c r="I3" s="49" t="s">
        <v>3</v>
      </c>
      <c r="J3" s="175">
        <v>0.53209490740740739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1000</v>
      </c>
      <c r="C5" s="140">
        <v>1800</v>
      </c>
      <c r="D5" s="50" t="s">
        <v>194</v>
      </c>
      <c r="E5" s="158">
        <v>4000</v>
      </c>
      <c r="F5" s="140">
        <v>60</v>
      </c>
      <c r="G5" s="50">
        <v>105</v>
      </c>
      <c r="H5" s="78" t="s">
        <v>253</v>
      </c>
      <c r="I5" s="77" t="s">
        <v>258</v>
      </c>
      <c r="J5" s="50" t="s">
        <v>195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22.252929166666664</v>
      </c>
      <c r="J7" s="106" t="s">
        <v>19</v>
      </c>
    </row>
    <row r="8" spans="1:10" ht="15" customHeight="1">
      <c r="A8" s="10" t="s">
        <v>20</v>
      </c>
      <c r="B8" s="69">
        <v>2.0999999046325684</v>
      </c>
      <c r="C8" s="52"/>
      <c r="D8" s="6"/>
      <c r="E8" s="51"/>
      <c r="F8" s="4"/>
      <c r="G8" s="16"/>
      <c r="H8" s="10" t="s">
        <v>21</v>
      </c>
      <c r="I8" s="68">
        <v>30.045024377254787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202</v>
      </c>
      <c r="F9" s="107" t="s">
        <v>25</v>
      </c>
      <c r="G9" s="30"/>
      <c r="H9" s="10" t="s">
        <v>26</v>
      </c>
      <c r="I9" s="69">
        <v>26.148976771960726</v>
      </c>
      <c r="J9" s="104">
        <v>470.55359102256915</v>
      </c>
    </row>
    <row r="10" spans="1:10" ht="15" customHeight="1">
      <c r="A10" s="10" t="s">
        <v>27</v>
      </c>
      <c r="B10" s="69">
        <v>620</v>
      </c>
      <c r="C10" s="73">
        <v>620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13.46034202175197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420.80000019073486</v>
      </c>
      <c r="D11" s="10" t="s">
        <v>31</v>
      </c>
      <c r="E11" s="68">
        <v>0.86657999999999991</v>
      </c>
      <c r="F11" s="117"/>
      <c r="G11" s="113" t="s">
        <v>215</v>
      </c>
      <c r="H11" s="10" t="s">
        <v>32</v>
      </c>
      <c r="I11" s="68">
        <v>30.045024377254787</v>
      </c>
      <c r="J11" s="104">
        <v>29329.434649426083</v>
      </c>
    </row>
    <row r="12" spans="1:10" ht="15" customHeight="1">
      <c r="A12" s="10" t="s">
        <v>33</v>
      </c>
      <c r="B12" s="69">
        <v>425</v>
      </c>
      <c r="C12" s="73">
        <v>220</v>
      </c>
      <c r="D12" s="10" t="s">
        <v>34</v>
      </c>
      <c r="E12" s="153" t="s">
        <v>175</v>
      </c>
      <c r="F12" s="123"/>
      <c r="G12" s="115" t="s">
        <v>209</v>
      </c>
      <c r="H12" s="10" t="s">
        <v>35</v>
      </c>
      <c r="I12" s="68">
        <v>1.2098288333249432</v>
      </c>
      <c r="J12" s="103" t="s">
        <v>36</v>
      </c>
    </row>
    <row r="13" spans="1:10" ht="15" customHeight="1" thickBot="1">
      <c r="A13" s="10" t="s">
        <v>37</v>
      </c>
      <c r="B13" s="69">
        <v>65.5</v>
      </c>
      <c r="C13" s="73">
        <v>67.600000858306885</v>
      </c>
      <c r="D13" s="10" t="s">
        <v>38</v>
      </c>
      <c r="E13" s="70">
        <v>18</v>
      </c>
      <c r="F13" s="123"/>
      <c r="G13" s="115" t="s">
        <v>210</v>
      </c>
      <c r="H13" s="10" t="s">
        <v>40</v>
      </c>
      <c r="I13" s="68">
        <v>1</v>
      </c>
      <c r="J13" s="104">
        <v>122.91885375976563</v>
      </c>
    </row>
    <row r="14" spans="1:10" ht="15" customHeight="1" thickBot="1">
      <c r="A14" s="160" t="s">
        <v>41</v>
      </c>
      <c r="B14" s="133">
        <v>455.70001220703125</v>
      </c>
      <c r="C14" s="134">
        <v>455.70001220703125</v>
      </c>
      <c r="D14" s="10" t="s">
        <v>42</v>
      </c>
      <c r="E14" s="51" t="s">
        <v>203</v>
      </c>
      <c r="F14" s="51"/>
      <c r="G14" s="115"/>
      <c r="H14" s="49" t="s">
        <v>43</v>
      </c>
      <c r="I14" s="68">
        <v>1.2098288333249432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204</v>
      </c>
      <c r="F15" s="51"/>
      <c r="G15" s="115"/>
      <c r="H15" s="10" t="s">
        <v>47</v>
      </c>
      <c r="I15" s="68">
        <v>0.97811904826498275</v>
      </c>
      <c r="J15" s="104">
        <v>22.222222222222221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7" ht="15" customHeight="1" thickBot="1">
      <c r="A17" s="10" t="s">
        <v>52</v>
      </c>
      <c r="B17" s="51" t="s">
        <v>196</v>
      </c>
      <c r="C17" s="52" t="s">
        <v>197</v>
      </c>
      <c r="D17" s="49" t="s">
        <v>53</v>
      </c>
      <c r="E17" s="51" t="s">
        <v>205</v>
      </c>
      <c r="F17" s="51"/>
      <c r="G17" s="115"/>
      <c r="H17" s="10" t="s">
        <v>54</v>
      </c>
      <c r="I17" s="68">
        <v>0.93557673708121603</v>
      </c>
      <c r="J17" s="104">
        <v>574.05820725257286</v>
      </c>
    </row>
    <row r="18" spans="1:17" ht="15" customHeight="1">
      <c r="A18" s="10" t="s">
        <v>55</v>
      </c>
      <c r="B18" s="51" t="s">
        <v>175</v>
      </c>
      <c r="C18" s="73">
        <v>0</v>
      </c>
      <c r="D18" s="10" t="s">
        <v>56</v>
      </c>
      <c r="E18" s="137">
        <v>1135</v>
      </c>
      <c r="F18" s="70">
        <v>660</v>
      </c>
      <c r="G18" s="74"/>
      <c r="H18" s="13" t="s">
        <v>57</v>
      </c>
      <c r="I18" s="131" t="s">
        <v>216</v>
      </c>
      <c r="J18" s="132"/>
    </row>
    <row r="19" spans="1:17" ht="15" customHeight="1">
      <c r="A19" s="10" t="s">
        <v>58</v>
      </c>
      <c r="B19" s="69">
        <v>57</v>
      </c>
      <c r="C19" s="73">
        <v>32.799999237060547</v>
      </c>
      <c r="D19" s="10" t="s">
        <v>59</v>
      </c>
      <c r="E19" s="70">
        <v>360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198</v>
      </c>
      <c r="C20" s="73"/>
      <c r="D20" s="10" t="s">
        <v>167</v>
      </c>
      <c r="E20" s="165">
        <v>0.41004332567506618</v>
      </c>
      <c r="F20" s="51"/>
      <c r="G20" s="52"/>
      <c r="H20" s="10" t="s">
        <v>63</v>
      </c>
      <c r="I20" s="68">
        <v>19.86248779296875</v>
      </c>
      <c r="J20" s="72">
        <v>19.86248779296875</v>
      </c>
    </row>
    <row r="21" spans="1:17" ht="15" customHeight="1">
      <c r="A21" s="10" t="s">
        <v>64</v>
      </c>
      <c r="B21" s="69">
        <v>12.699999809265137</v>
      </c>
      <c r="C21" s="73">
        <v>0</v>
      </c>
      <c r="D21" s="10" t="s">
        <v>206</v>
      </c>
      <c r="E21" s="67">
        <v>0.54699296293392907</v>
      </c>
      <c r="F21" s="67">
        <v>0.55483096837997437</v>
      </c>
      <c r="G21" s="71">
        <v>8.3090813926004148E-2</v>
      </c>
      <c r="H21" s="10" t="s">
        <v>65</v>
      </c>
      <c r="I21" s="68">
        <v>19.530712127685547</v>
      </c>
      <c r="J21" s="72">
        <v>8.4279756546020508</v>
      </c>
    </row>
    <row r="22" spans="1:17" ht="15" customHeight="1">
      <c r="A22" s="10" t="s">
        <v>66</v>
      </c>
      <c r="B22" s="69">
        <v>2.8299999237060547</v>
      </c>
      <c r="C22" s="73">
        <v>0.80000001192092896</v>
      </c>
      <c r="D22" s="10" t="s">
        <v>67</v>
      </c>
      <c r="E22" s="51" t="s">
        <v>207</v>
      </c>
      <c r="F22" s="51" t="s">
        <v>208</v>
      </c>
      <c r="G22" s="52" t="s">
        <v>208</v>
      </c>
      <c r="H22" s="10" t="s">
        <v>68</v>
      </c>
      <c r="I22" s="68">
        <v>7.2139072418212891</v>
      </c>
      <c r="J22" s="72">
        <v>4.6825833320617676</v>
      </c>
    </row>
    <row r="23" spans="1:17" ht="15" customHeight="1">
      <c r="A23" s="10" t="s">
        <v>69</v>
      </c>
      <c r="B23" s="69">
        <v>9.5529289245605469</v>
      </c>
      <c r="C23" s="73">
        <v>14</v>
      </c>
      <c r="D23" s="10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11.437057617524234</v>
      </c>
      <c r="J23" s="16" t="s">
        <v>217</v>
      </c>
    </row>
    <row r="24" spans="1:17" ht="15" customHeight="1">
      <c r="A24" s="10" t="s">
        <v>72</v>
      </c>
      <c r="B24" s="69">
        <v>0</v>
      </c>
      <c r="C24" s="73">
        <v>2</v>
      </c>
      <c r="D24" s="10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4.8766038924213726</v>
      </c>
      <c r="J24" s="72">
        <v>3.2380431983487967</v>
      </c>
    </row>
    <row r="25" spans="1:17" ht="15" customHeight="1">
      <c r="A25" s="10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1.1849147081375122</v>
      </c>
      <c r="J25" s="72">
        <v>1.9410700798034668</v>
      </c>
    </row>
    <row r="26" spans="1:17" ht="15" customHeight="1">
      <c r="A26" s="10" t="s">
        <v>78</v>
      </c>
      <c r="B26" s="53" t="s">
        <v>199</v>
      </c>
      <c r="C26" s="60" t="s">
        <v>200</v>
      </c>
      <c r="D26" s="10" t="s">
        <v>79</v>
      </c>
      <c r="E26" s="69">
        <v>88.8871894946287</v>
      </c>
      <c r="F26" s="69">
        <v>29.201787888040077</v>
      </c>
      <c r="G26" s="73">
        <v>17.863181824758762</v>
      </c>
      <c r="H26" s="10" t="s">
        <v>80</v>
      </c>
      <c r="I26" s="68">
        <v>10.787666320800781</v>
      </c>
      <c r="J26" s="72">
        <v>8.1567497253417969</v>
      </c>
    </row>
    <row r="27" spans="1:17" ht="15" customHeight="1" thickBot="1">
      <c r="A27" s="10" t="s">
        <v>81</v>
      </c>
      <c r="B27" s="51" t="s">
        <v>201</v>
      </c>
      <c r="C27" s="52" t="s">
        <v>201</v>
      </c>
      <c r="D27" s="11" t="s">
        <v>82</v>
      </c>
      <c r="E27" s="80">
        <v>100.27666570983163</v>
      </c>
      <c r="F27" s="80" t="s">
        <v>175</v>
      </c>
      <c r="G27" s="82" t="s">
        <v>175</v>
      </c>
      <c r="H27" s="11" t="s">
        <v>83</v>
      </c>
      <c r="I27" s="79">
        <v>10.852546691894531</v>
      </c>
      <c r="J27" s="81">
        <v>8.3845281600952148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31.991071522201679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1772.1</v>
      </c>
      <c r="N29" s="171" t="s">
        <v>187</v>
      </c>
      <c r="O29" s="171"/>
      <c r="P29" s="4" t="s">
        <v>193</v>
      </c>
      <c r="Q29" s="171"/>
    </row>
    <row r="30" spans="1:17" ht="15" customHeight="1" thickBot="1">
      <c r="A30" s="8"/>
      <c r="B30" s="63" t="s">
        <v>94</v>
      </c>
      <c r="C30" s="76">
        <v>31.997447759527692</v>
      </c>
      <c r="D30" s="10" t="s">
        <v>95</v>
      </c>
      <c r="E30" s="166">
        <v>26.310816250000002</v>
      </c>
      <c r="F30" s="166">
        <v>596.96701599121093</v>
      </c>
      <c r="G30" s="166">
        <v>14.935628931021725</v>
      </c>
      <c r="H30" s="167">
        <v>296.78813393041321</v>
      </c>
      <c r="I30" s="70">
        <v>56684.738994782616</v>
      </c>
      <c r="J30" s="74">
        <v>3851.8749885132042</v>
      </c>
      <c r="M30" s="172" t="str">
        <f>RIGHT(E$41,SEARCH("/",E$41,1)-1)</f>
        <v xml:space="preserve"> 1776.9</v>
      </c>
      <c r="N30" s="171" t="s">
        <v>188</v>
      </c>
      <c r="O30" s="171"/>
      <c r="P30" s="173">
        <f>G30*6.4516</f>
        <v>96.358703611379767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5.7</v>
      </c>
      <c r="F31" s="166">
        <v>652.99047413027154</v>
      </c>
      <c r="G31" s="166">
        <v>13.654223435310456</v>
      </c>
      <c r="H31" s="167">
        <v>48.403279545614808</v>
      </c>
      <c r="I31" s="70">
        <v>14888.182810170192</v>
      </c>
      <c r="J31" s="74">
        <v>874.85923226271291</v>
      </c>
      <c r="M31" s="172" t="str">
        <f>RIGHT(D$41,SEARCH("/",D$41,1)-1)</f>
        <v xml:space="preserve"> 1781.6</v>
      </c>
      <c r="N31" s="171" t="s">
        <v>189</v>
      </c>
      <c r="O31" s="171"/>
      <c r="P31" s="173">
        <f>G31*6.4516</f>
        <v>88.091587915248937</v>
      </c>
      <c r="Q31" s="171"/>
    </row>
    <row r="32" spans="1:17" ht="15" customHeight="1">
      <c r="A32" s="6" t="s">
        <v>98</v>
      </c>
      <c r="B32" s="68" t="s">
        <v>260</v>
      </c>
      <c r="C32" s="110"/>
      <c r="D32" s="10" t="s">
        <v>99</v>
      </c>
      <c r="E32" s="166">
        <v>13.948659667411206</v>
      </c>
      <c r="F32" s="166">
        <v>616.10642432651537</v>
      </c>
      <c r="G32" s="166">
        <v>14.471652108887639</v>
      </c>
      <c r="H32" s="167">
        <v>137.16670414953418</v>
      </c>
      <c r="I32" s="9" t="s">
        <v>100</v>
      </c>
      <c r="J32" s="74">
        <v>4726.7342207759175</v>
      </c>
      <c r="M32" s="172" t="str">
        <f>RIGHT(C$41,SEARCH("/",C$41,1)-1)</f>
        <v xml:space="preserve"> 1786.2</v>
      </c>
      <c r="N32" s="171" t="s">
        <v>190</v>
      </c>
      <c r="O32" s="171"/>
      <c r="P32" s="173">
        <f>G32*6.4516</f>
        <v>93.365310745699489</v>
      </c>
      <c r="Q32" s="171"/>
    </row>
    <row r="33" spans="1:17" ht="15" customHeight="1">
      <c r="A33" s="6" t="s">
        <v>101</v>
      </c>
      <c r="B33" s="68" t="s">
        <v>261</v>
      </c>
      <c r="C33" s="111" t="s">
        <v>102</v>
      </c>
      <c r="D33" s="10" t="s">
        <v>97</v>
      </c>
      <c r="E33" s="166">
        <v>3.2799999237060549</v>
      </c>
      <c r="F33" s="166">
        <v>701.77801879882816</v>
      </c>
      <c r="G33" s="166">
        <v>12.704983051713285</v>
      </c>
      <c r="H33" s="167">
        <v>22.081040643592484</v>
      </c>
      <c r="I33" s="9" t="s">
        <v>103</v>
      </c>
      <c r="J33" s="73" t="s">
        <v>228</v>
      </c>
      <c r="M33" s="172" t="str">
        <f>RIGHT(B$41,SEARCH("/",B$41,1)-1)</f>
        <v xml:space="preserve"> 1790.8</v>
      </c>
      <c r="N33" s="171" t="s">
        <v>191</v>
      </c>
      <c r="O33" s="171"/>
      <c r="P33" s="173">
        <f>G33*6.4516</f>
        <v>81.967468656433425</v>
      </c>
      <c r="Q33" s="171"/>
    </row>
    <row r="34" spans="1:17" ht="15" customHeight="1" thickBot="1">
      <c r="A34" s="17" t="s">
        <v>104</v>
      </c>
      <c r="B34" s="79" t="s">
        <v>262</v>
      </c>
      <c r="C34" s="164">
        <v>8.9160778349040388</v>
      </c>
      <c r="D34" s="11" t="s">
        <v>20</v>
      </c>
      <c r="E34" s="168">
        <v>0.20999999046325685</v>
      </c>
      <c r="F34" s="169">
        <v>1351.9187580072355</v>
      </c>
      <c r="G34" s="169">
        <v>6.5951284292013064</v>
      </c>
      <c r="H34" s="170">
        <v>1102.1305352036934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42.54913057383515</v>
      </c>
      <c r="Q34" s="171"/>
    </row>
    <row r="35" spans="1:17" ht="15" customHeight="1">
      <c r="A35" s="13" t="s">
        <v>106</v>
      </c>
      <c r="B35" s="14"/>
      <c r="C35" s="14"/>
      <c r="D35" s="135" t="s">
        <v>230</v>
      </c>
      <c r="E35" s="145" t="s">
        <v>229</v>
      </c>
      <c r="F35" s="15"/>
      <c r="G35" s="26" t="s">
        <v>107</v>
      </c>
      <c r="H35" s="85" t="s">
        <v>223</v>
      </c>
      <c r="I35" s="10" t="s">
        <v>108</v>
      </c>
      <c r="J35" s="74" t="s">
        <v>227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221</v>
      </c>
      <c r="I36" s="10" t="s">
        <v>111</v>
      </c>
      <c r="J36" s="74" t="s">
        <v>226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242</v>
      </c>
      <c r="C37" s="176" t="s">
        <v>243</v>
      </c>
      <c r="D37" s="176" t="s">
        <v>244</v>
      </c>
      <c r="E37" s="176" t="s">
        <v>245</v>
      </c>
      <c r="F37" s="177" t="s">
        <v>246</v>
      </c>
      <c r="G37" s="10" t="s">
        <v>113</v>
      </c>
      <c r="H37" s="74" t="s">
        <v>222</v>
      </c>
      <c r="I37" s="11" t="s">
        <v>114</v>
      </c>
      <c r="J37" s="83" t="s">
        <v>225</v>
      </c>
      <c r="O37" s="150"/>
    </row>
    <row r="38" spans="1:17" ht="15" customHeight="1" thickBot="1">
      <c r="A38" s="10" t="s">
        <v>115</v>
      </c>
      <c r="B38" s="178" t="s">
        <v>232</v>
      </c>
      <c r="C38" s="178" t="s">
        <v>233</v>
      </c>
      <c r="D38" s="178" t="s">
        <v>234</v>
      </c>
      <c r="E38" s="178" t="s">
        <v>235</v>
      </c>
      <c r="F38" s="179" t="s">
        <v>236</v>
      </c>
      <c r="G38" s="17" t="s">
        <v>116</v>
      </c>
      <c r="H38" s="83" t="s">
        <v>224</v>
      </c>
      <c r="I38" s="136" t="s">
        <v>231</v>
      </c>
      <c r="J38" s="84">
        <v>14709.6640625</v>
      </c>
      <c r="L38" t="str">
        <f>LEFT(E38,SEARCH("/",E38,1)-1)</f>
        <v xml:space="preserve">0.964 </v>
      </c>
      <c r="M38" t="str">
        <f>RIGHT(E38,SEARCH("/",E38,1)-1)</f>
        <v xml:space="preserve"> 0.947</v>
      </c>
      <c r="N38" s="151">
        <f>M38/L38</f>
        <v>0.98236514522821572</v>
      </c>
      <c r="O38" s="150" t="s">
        <v>178</v>
      </c>
    </row>
    <row r="39" spans="1:17" ht="15" customHeight="1">
      <c r="A39" s="10" t="s">
        <v>117</v>
      </c>
      <c r="B39" s="178" t="s">
        <v>237</v>
      </c>
      <c r="C39" s="178" t="s">
        <v>238</v>
      </c>
      <c r="D39" s="178" t="s">
        <v>239</v>
      </c>
      <c r="E39" s="178" t="s">
        <v>240</v>
      </c>
      <c r="F39" s="179" t="s">
        <v>241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0.909 </v>
      </c>
      <c r="M39" t="str">
        <f>RIGHT(E39,SEARCH("/",E39,1)-1)</f>
        <v xml:space="preserve"> 0.899</v>
      </c>
      <c r="N39" s="151">
        <f>M39/L39</f>
        <v>0.98899889988998901</v>
      </c>
      <c r="O39" s="150" t="s">
        <v>179</v>
      </c>
    </row>
    <row r="40" spans="1:17" ht="15" customHeight="1">
      <c r="A40" s="10" t="s">
        <v>119</v>
      </c>
      <c r="B40" s="180" t="s">
        <v>255</v>
      </c>
      <c r="C40" s="180" t="s">
        <v>256</v>
      </c>
      <c r="D40" s="180" t="s">
        <v>257</v>
      </c>
      <c r="E40" s="180" t="s">
        <v>258</v>
      </c>
      <c r="F40" s="181" t="s">
        <v>259</v>
      </c>
      <c r="G40" s="35" t="s">
        <v>121</v>
      </c>
      <c r="H40" s="91" t="s">
        <v>263</v>
      </c>
      <c r="I40" s="55"/>
      <c r="J40" s="56"/>
      <c r="L40" t="str">
        <f>LEFT(E37,SEARCH("/",E37,1)-1)</f>
        <v xml:space="preserve">122.92 </v>
      </c>
      <c r="M40" t="str">
        <f>RIGHT(E37,SEARCH("/",E37,1)-1)</f>
        <v xml:space="preserve"> 126.36</v>
      </c>
      <c r="N40" s="151">
        <f>M40/L40</f>
        <v>1.0279856817442239</v>
      </c>
      <c r="O40" s="150" t="s">
        <v>177</v>
      </c>
    </row>
    <row r="41" spans="1:17" ht="15" customHeight="1">
      <c r="A41" s="10" t="s">
        <v>5</v>
      </c>
      <c r="B41" s="182" t="s">
        <v>250</v>
      </c>
      <c r="C41" s="182" t="s">
        <v>251</v>
      </c>
      <c r="D41" s="182" t="s">
        <v>252</v>
      </c>
      <c r="E41" s="182" t="s">
        <v>253</v>
      </c>
      <c r="F41" s="183" t="s">
        <v>254</v>
      </c>
      <c r="G41" s="36" t="s">
        <v>122</v>
      </c>
      <c r="H41" s="92" t="s">
        <v>264</v>
      </c>
      <c r="I41" s="57"/>
      <c r="J41" s="58"/>
      <c r="L41" t="str">
        <f>LEFT(E41,SEARCH("/",E41,1)-1)</f>
        <v xml:space="preserve">1781.4 </v>
      </c>
      <c r="M41" t="str">
        <f>RIGHT(E41,SEARCH("/",E41,1)-1)</f>
        <v xml:space="preserve"> 1776.9</v>
      </c>
      <c r="N41" s="151">
        <f>M41/L41</f>
        <v>0.997473896934995</v>
      </c>
      <c r="O41" s="150" t="s">
        <v>5</v>
      </c>
    </row>
    <row r="42" spans="1:17" ht="15" customHeight="1">
      <c r="A42" s="10" t="s">
        <v>123</v>
      </c>
      <c r="B42" s="178">
        <v>24.519363081876968</v>
      </c>
      <c r="C42" s="178">
        <v>22.129353410901306</v>
      </c>
      <c r="D42" s="178">
        <v>20.914305496868156</v>
      </c>
      <c r="E42" s="178">
        <v>20.203971954698641</v>
      </c>
      <c r="F42" s="179">
        <v>19.694920654990494</v>
      </c>
      <c r="G42" s="35" t="s">
        <v>124</v>
      </c>
      <c r="H42" s="91" t="s">
        <v>265</v>
      </c>
      <c r="I42" s="55"/>
      <c r="J42" s="97">
        <v>0.23151307669239696</v>
      </c>
    </row>
    <row r="43" spans="1:17" ht="15" customHeight="1" thickBot="1">
      <c r="A43" s="11" t="s">
        <v>125</v>
      </c>
      <c r="B43" s="184">
        <v>34.65855132014039</v>
      </c>
      <c r="C43" s="185"/>
      <c r="D43" s="186" t="s">
        <v>268</v>
      </c>
      <c r="E43" s="186"/>
      <c r="F43" s="187"/>
      <c r="G43" s="36" t="s">
        <v>122</v>
      </c>
      <c r="H43" s="92" t="s">
        <v>266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2013.7577243817711</v>
      </c>
      <c r="I44" s="90">
        <v>5.9058492967828197E-2</v>
      </c>
      <c r="J44" s="97">
        <v>0.6180956786029197</v>
      </c>
    </row>
    <row r="45" spans="1:17" ht="15" customHeight="1">
      <c r="A45" s="10" t="s">
        <v>129</v>
      </c>
      <c r="B45" s="68">
        <v>0.27732923626899719</v>
      </c>
      <c r="C45" s="161" t="s">
        <v>130</v>
      </c>
      <c r="D45" s="72">
        <v>9.6570560708642006E-3</v>
      </c>
      <c r="E45" s="10" t="s">
        <v>131</v>
      </c>
      <c r="F45" s="74">
        <v>632.36799497716288</v>
      </c>
      <c r="G45" s="37" t="s">
        <v>122</v>
      </c>
      <c r="H45" s="86" t="s">
        <v>267</v>
      </c>
      <c r="I45" s="59"/>
      <c r="J45" s="60"/>
    </row>
    <row r="46" spans="1:17" ht="15" customHeight="1">
      <c r="A46" s="10" t="s">
        <v>132</v>
      </c>
      <c r="B46" s="68">
        <v>0.17441239953041077</v>
      </c>
      <c r="C46" s="161" t="s">
        <v>133</v>
      </c>
      <c r="D46" s="72">
        <v>1.0313766077160835E-2</v>
      </c>
      <c r="E46" s="10" t="s">
        <v>134</v>
      </c>
      <c r="F46" s="74">
        <v>1159.5110507391548</v>
      </c>
      <c r="G46" s="36" t="s">
        <v>135</v>
      </c>
      <c r="H46" s="94">
        <v>442.47966588906809</v>
      </c>
      <c r="I46" s="57"/>
      <c r="J46" s="58"/>
      <c r="L46" s="146" t="s">
        <v>180</v>
      </c>
      <c r="M46" s="148">
        <f>B5^0.95</f>
        <v>707.94578438413748</v>
      </c>
    </row>
    <row r="47" spans="1:17" ht="15" customHeight="1">
      <c r="A47" s="10" t="s">
        <v>136</v>
      </c>
      <c r="B47" s="68">
        <v>0.45174163579940796</v>
      </c>
      <c r="C47" s="161" t="s">
        <v>137</v>
      </c>
      <c r="D47" s="72">
        <v>5.3619304671883583E-3</v>
      </c>
      <c r="E47" s="10" t="s">
        <v>138</v>
      </c>
      <c r="F47" s="74">
        <v>972.0826084850579</v>
      </c>
      <c r="G47" s="64" t="s">
        <v>139</v>
      </c>
      <c r="H47" s="93">
        <v>1898.5037929674049</v>
      </c>
      <c r="I47" s="90">
        <v>5.5517475547456008E-2</v>
      </c>
      <c r="J47" s="95">
        <v>0.63932029785449884</v>
      </c>
      <c r="L47" s="146" t="s">
        <v>181</v>
      </c>
      <c r="M47" s="148">
        <f>B5^1.5</f>
        <v>31622.776601683781</v>
      </c>
    </row>
    <row r="48" spans="1:17" ht="15" customHeight="1">
      <c r="A48" s="10" t="s">
        <v>140</v>
      </c>
      <c r="B48" s="68">
        <v>1.0082289576530457E-2</v>
      </c>
      <c r="C48" s="161" t="s">
        <v>100</v>
      </c>
      <c r="D48" s="72">
        <v>3.5415042191743851E-2</v>
      </c>
      <c r="E48" s="10" t="s">
        <v>141</v>
      </c>
      <c r="F48" s="74">
        <v>196.9005842809475</v>
      </c>
      <c r="G48" s="65" t="s">
        <v>122</v>
      </c>
      <c r="H48" s="86">
        <v>254.49112506265482</v>
      </c>
      <c r="I48" s="59"/>
      <c r="J48" s="60"/>
      <c r="L48" s="146" t="s">
        <v>182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2" t="s">
        <v>142</v>
      </c>
      <c r="D49" s="81">
        <v>0.96458494663238525</v>
      </c>
      <c r="E49" s="11" t="s">
        <v>143</v>
      </c>
      <c r="F49" s="83">
        <v>427.00456148974644</v>
      </c>
      <c r="G49" s="66" t="s">
        <v>135</v>
      </c>
      <c r="H49" s="94">
        <v>428.61972650803824</v>
      </c>
      <c r="I49" s="57"/>
      <c r="J49" s="61"/>
      <c r="L49" s="146" t="s">
        <v>183</v>
      </c>
      <c r="M49" s="147">
        <f>IF(A5="",0,(7200/(1000*A5))^1.8)</f>
        <v>2.8806500970683282</v>
      </c>
    </row>
    <row r="50" spans="1:13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146</v>
      </c>
      <c r="B51" s="51">
        <v>44</v>
      </c>
      <c r="C51" s="9" t="s">
        <v>147</v>
      </c>
      <c r="D51" s="69">
        <v>12</v>
      </c>
      <c r="E51" s="9" t="s">
        <v>148</v>
      </c>
      <c r="F51" s="73">
        <v>14</v>
      </c>
      <c r="G51" s="9" t="s">
        <v>149</v>
      </c>
      <c r="H51" s="67">
        <v>8.5047205815593302E-2</v>
      </c>
      <c r="I51" s="44" t="s">
        <v>150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32.799999237060547</v>
      </c>
      <c r="C52" s="9" t="s">
        <v>151</v>
      </c>
      <c r="D52" s="69">
        <v>2.9999992251396179</v>
      </c>
      <c r="E52" s="9" t="s">
        <v>152</v>
      </c>
      <c r="F52" s="73">
        <v>0</v>
      </c>
      <c r="G52" s="9" t="s">
        <v>169</v>
      </c>
      <c r="H52" s="69">
        <v>86765.593678656005</v>
      </c>
      <c r="I52" s="98" t="s">
        <v>247</v>
      </c>
      <c r="J52" s="62"/>
      <c r="L52" s="146" t="s">
        <v>192</v>
      </c>
      <c r="M52" s="163">
        <f>F5</f>
        <v>60</v>
      </c>
    </row>
    <row r="53" spans="1:13" ht="15" customHeight="1">
      <c r="A53" s="10" t="s">
        <v>64</v>
      </c>
      <c r="B53" s="69">
        <v>0</v>
      </c>
      <c r="C53" s="9" t="s">
        <v>153</v>
      </c>
      <c r="D53" s="69">
        <v>14.944689750671387</v>
      </c>
      <c r="E53" s="9" t="s">
        <v>154</v>
      </c>
      <c r="F53" s="73">
        <v>0</v>
      </c>
      <c r="G53" s="9" t="s">
        <v>170</v>
      </c>
      <c r="H53" s="68">
        <v>58.382487708940396</v>
      </c>
      <c r="I53" s="43" t="s">
        <v>155</v>
      </c>
      <c r="J53" s="38"/>
      <c r="L53" s="146" t="s">
        <v>186</v>
      </c>
      <c r="M53" s="152">
        <f>IF(F5=60,M50*M46/M48-M51*M47/M49,IF(F5&lt;&gt;60,(60/M52)^2*(M50*M46/M48-M51*M47/M49),0))</f>
        <v>3393.3428390814292</v>
      </c>
    </row>
    <row r="54" spans="1:13" ht="15" customHeight="1">
      <c r="A54" s="10" t="s">
        <v>66</v>
      </c>
      <c r="B54" s="69">
        <v>0.80000001192092896</v>
      </c>
      <c r="C54" s="9" t="s">
        <v>156</v>
      </c>
      <c r="D54" s="69">
        <v>11.368622526025799</v>
      </c>
      <c r="E54" s="9" t="s">
        <v>154</v>
      </c>
      <c r="F54" s="73">
        <v>14</v>
      </c>
      <c r="G54" s="9" t="s">
        <v>171</v>
      </c>
      <c r="H54" s="70">
        <v>219961</v>
      </c>
      <c r="I54" s="99" t="s">
        <v>248</v>
      </c>
      <c r="J54" s="100" t="s">
        <v>211</v>
      </c>
    </row>
    <row r="55" spans="1:13" ht="15" customHeight="1">
      <c r="A55" s="10" t="s">
        <v>157</v>
      </c>
      <c r="B55" s="69">
        <v>12</v>
      </c>
      <c r="C55" s="9" t="s">
        <v>158</v>
      </c>
      <c r="D55" s="69">
        <v>25</v>
      </c>
      <c r="E55" s="9" t="s">
        <v>159</v>
      </c>
      <c r="F55" s="73">
        <v>0</v>
      </c>
      <c r="G55" s="9" t="s">
        <v>160</v>
      </c>
      <c r="H55" s="69">
        <v>1</v>
      </c>
      <c r="I55" s="43" t="s">
        <v>161</v>
      </c>
      <c r="J55" s="38"/>
    </row>
    <row r="56" spans="1:13" ht="15" customHeight="1" thickBot="1">
      <c r="A56" s="11" t="s">
        <v>162</v>
      </c>
      <c r="B56" s="80">
        <v>2</v>
      </c>
      <c r="C56" s="21" t="s">
        <v>163</v>
      </c>
      <c r="D56" s="80">
        <v>17.359586557370665</v>
      </c>
      <c r="E56" s="21" t="s">
        <v>164</v>
      </c>
      <c r="F56" s="82">
        <v>0</v>
      </c>
      <c r="G56" s="21" t="s">
        <v>165</v>
      </c>
      <c r="H56" s="79">
        <v>0.89993499999999993</v>
      </c>
      <c r="I56" s="101" t="s">
        <v>249</v>
      </c>
      <c r="J56" s="61" t="s">
        <v>212</v>
      </c>
    </row>
    <row r="57" spans="1:13" ht="15" customHeight="1">
      <c r="A57" s="23" t="s">
        <v>401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399</v>
      </c>
      <c r="D58" s="4" t="s">
        <v>119</v>
      </c>
      <c r="E58" s="4" t="s">
        <v>166</v>
      </c>
      <c r="F58" s="16" t="s">
        <v>400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0.24673160910606384</v>
      </c>
      <c r="D59" s="127">
        <v>0.68666666746139526</v>
      </c>
      <c r="E59" s="86">
        <v>165.08510604216937</v>
      </c>
      <c r="F59" s="87">
        <v>747.92578125</v>
      </c>
      <c r="G59" s="121"/>
      <c r="H59" s="45"/>
      <c r="I59" s="45"/>
      <c r="J59" s="46"/>
    </row>
    <row r="60" spans="1:13" ht="15" customHeight="1">
      <c r="A60" s="129">
        <v>5.9999995864927769E-3</v>
      </c>
      <c r="B60" s="86">
        <v>70.315588016331432</v>
      </c>
      <c r="C60" s="87">
        <v>96.301246643066406</v>
      </c>
      <c r="D60" s="127">
        <v>0.79111111164093018</v>
      </c>
      <c r="E60" s="86">
        <v>165.04685151466362</v>
      </c>
      <c r="F60" s="87">
        <v>755.43145751953125</v>
      </c>
      <c r="G60" s="121"/>
      <c r="H60" s="45"/>
      <c r="I60" s="45"/>
      <c r="J60" s="46"/>
    </row>
    <row r="61" spans="1:13" ht="15" customHeight="1">
      <c r="A61" s="129">
        <v>2.9999999329447746E-2</v>
      </c>
      <c r="B61" s="86">
        <v>244.73874875355776</v>
      </c>
      <c r="C61" s="87">
        <v>382.33291625976563</v>
      </c>
      <c r="D61" s="127">
        <v>0.89555555582046509</v>
      </c>
      <c r="E61" s="86">
        <v>165.01194965986434</v>
      </c>
      <c r="F61" s="87">
        <v>762.17578125</v>
      </c>
      <c r="G61" s="121"/>
      <c r="H61" s="45"/>
      <c r="I61" s="45"/>
      <c r="J61" s="46"/>
    </row>
    <row r="62" spans="1:13" ht="15" customHeight="1">
      <c r="A62" s="125">
        <v>5.9999998658895493E-2</v>
      </c>
      <c r="B62" s="86">
        <v>265</v>
      </c>
      <c r="C62" s="87">
        <v>556.77197265625</v>
      </c>
      <c r="D62" s="128">
        <v>1</v>
      </c>
      <c r="E62" s="86">
        <v>165</v>
      </c>
      <c r="F62" s="87">
        <v>768.25396728515625</v>
      </c>
      <c r="G62" s="121"/>
      <c r="H62" s="45"/>
      <c r="I62" s="45"/>
      <c r="J62" s="46"/>
    </row>
    <row r="63" spans="1:13" ht="15" customHeight="1" thickBot="1">
      <c r="A63" s="125">
        <v>0.11222222447395325</v>
      </c>
      <c r="B63" s="86">
        <v>213.5489635036983</v>
      </c>
      <c r="C63" s="87">
        <v>630.030517578125</v>
      </c>
      <c r="D63" s="375"/>
      <c r="E63" s="376"/>
      <c r="F63" s="377"/>
      <c r="G63" s="121"/>
      <c r="H63" s="45"/>
      <c r="I63" s="45"/>
      <c r="J63" s="46"/>
    </row>
    <row r="64" spans="1:13" ht="15" customHeight="1">
      <c r="A64" s="125">
        <v>0.1644444465637207</v>
      </c>
      <c r="B64" s="86">
        <v>189.77739884056115</v>
      </c>
      <c r="C64" s="87">
        <v>665.5267333984375</v>
      </c>
      <c r="D64" s="378" t="s">
        <v>409</v>
      </c>
      <c r="E64" s="379"/>
      <c r="F64" s="379"/>
      <c r="G64" s="121"/>
      <c r="H64" s="45"/>
      <c r="I64" s="45"/>
      <c r="J64" s="46"/>
    </row>
    <row r="65" spans="1:10" ht="15" customHeight="1">
      <c r="A65" s="125">
        <v>0.26888889074325562</v>
      </c>
      <c r="B65" s="86">
        <v>172.72153517593364</v>
      </c>
      <c r="C65" s="87">
        <v>699.293212890625</v>
      </c>
      <c r="D65" s="380" t="s">
        <v>403</v>
      </c>
      <c r="E65" s="382" t="s">
        <v>407</v>
      </c>
      <c r="F65" s="383"/>
      <c r="G65" s="121"/>
      <c r="H65" s="45"/>
      <c r="I65" s="45"/>
      <c r="J65" s="46"/>
    </row>
    <row r="66" spans="1:10" ht="15" customHeight="1">
      <c r="A66" s="125">
        <v>0.37333333492279053</v>
      </c>
      <c r="B66" s="86">
        <v>167.04756633230937</v>
      </c>
      <c r="C66" s="87">
        <v>716.86883544921875</v>
      </c>
      <c r="D66" s="380" t="s">
        <v>404</v>
      </c>
      <c r="E66" s="382" t="s">
        <v>408</v>
      </c>
      <c r="F66" s="383"/>
      <c r="G66" s="121"/>
      <c r="H66" s="45"/>
      <c r="I66" s="45"/>
      <c r="J66" s="46"/>
    </row>
    <row r="67" spans="1:10" ht="15" customHeight="1">
      <c r="A67" s="125">
        <v>0.47777777910232544</v>
      </c>
      <c r="B67" s="86">
        <v>165.41161265789646</v>
      </c>
      <c r="C67" s="87">
        <v>729.28704833984375</v>
      </c>
      <c r="D67" s="380" t="s">
        <v>405</v>
      </c>
      <c r="E67" s="382" t="s">
        <v>410</v>
      </c>
      <c r="F67" s="383"/>
      <c r="G67" s="121"/>
      <c r="H67" s="45"/>
      <c r="I67" s="45"/>
      <c r="J67" s="46"/>
    </row>
    <row r="68" spans="1:10" ht="15" customHeight="1" thickBot="1">
      <c r="A68" s="126">
        <v>0.58222222328186035</v>
      </c>
      <c r="B68" s="88">
        <v>165.11420461860229</v>
      </c>
      <c r="C68" s="89">
        <v>739.49566650390625</v>
      </c>
      <c r="D68" s="381" t="s">
        <v>406</v>
      </c>
      <c r="E68" s="384" t="s">
        <v>411</v>
      </c>
      <c r="F68" s="384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3" spans="1:10">
      <c r="E73" s="386" t="s">
        <v>593</v>
      </c>
      <c r="F73" s="386"/>
      <c r="G73" s="386"/>
      <c r="H73" s="386"/>
      <c r="I73" s="386"/>
      <c r="J73" s="386" t="s">
        <v>594</v>
      </c>
    </row>
    <row r="74" spans="1:10">
      <c r="E74" s="386" t="s">
        <v>595</v>
      </c>
      <c r="F74" s="386"/>
      <c r="G74" s="386"/>
      <c r="H74" s="386"/>
      <c r="I74" s="386"/>
      <c r="J74" s="386"/>
    </row>
    <row r="99" spans="1:9">
      <c r="A99" s="374" t="s">
        <v>402</v>
      </c>
      <c r="B99" s="374"/>
      <c r="C99" s="374"/>
      <c r="D99" s="374"/>
      <c r="E99" s="374"/>
      <c r="F99" s="374"/>
      <c r="G99" s="374"/>
      <c r="H99" s="374"/>
      <c r="I99" s="374"/>
    </row>
    <row r="100" spans="1:9">
      <c r="A100" s="374">
        <v>100</v>
      </c>
      <c r="B100" s="374"/>
      <c r="C100" s="374"/>
      <c r="D100" s="374"/>
      <c r="E100" s="374"/>
      <c r="F100" s="374"/>
      <c r="G100" s="374"/>
      <c r="H100" s="374"/>
      <c r="I100" s="374"/>
    </row>
    <row r="101" spans="1:9">
      <c r="A101" s="374">
        <v>98.800003051757813</v>
      </c>
      <c r="B101" s="374"/>
      <c r="C101" s="374"/>
      <c r="D101" s="374"/>
      <c r="E101" s="374"/>
      <c r="F101" s="374"/>
      <c r="G101" s="374"/>
      <c r="H101" s="374"/>
      <c r="I101" s="374"/>
    </row>
    <row r="102" spans="1:9">
      <c r="A102" s="374">
        <v>92.5</v>
      </c>
      <c r="B102" s="374"/>
      <c r="C102" s="374"/>
      <c r="D102" s="374"/>
      <c r="E102" s="374"/>
      <c r="F102" s="374"/>
      <c r="G102" s="374"/>
      <c r="H102" s="374"/>
      <c r="I102" s="374"/>
    </row>
    <row r="103" spans="1:9">
      <c r="A103" s="374">
        <v>84.400001525878906</v>
      </c>
      <c r="B103" s="374"/>
      <c r="C103" s="374"/>
      <c r="D103" s="374"/>
      <c r="E103" s="374"/>
      <c r="F103" s="374"/>
      <c r="G103" s="374"/>
      <c r="H103" s="374"/>
      <c r="I103" s="374"/>
    </row>
    <row r="104" spans="1:9">
      <c r="A104" s="374">
        <v>70.822219848632813</v>
      </c>
      <c r="B104" s="374"/>
      <c r="C104" s="374"/>
      <c r="D104" s="374"/>
      <c r="E104" s="374"/>
      <c r="F104" s="374"/>
      <c r="G104" s="374"/>
      <c r="H104" s="374"/>
      <c r="I104" s="374"/>
    </row>
    <row r="105" spans="1:9">
      <c r="A105" s="374">
        <v>57.822223663330078</v>
      </c>
      <c r="B105" s="374"/>
      <c r="C105" s="374"/>
      <c r="D105" s="374"/>
      <c r="E105" s="374"/>
      <c r="F105" s="374"/>
      <c r="G105" s="374"/>
      <c r="H105" s="374"/>
      <c r="I105" s="374"/>
    </row>
    <row r="106" spans="1:9">
      <c r="A106" s="374">
        <v>38.288887023925781</v>
      </c>
      <c r="B106" s="374"/>
      <c r="C106" s="374"/>
      <c r="D106" s="374"/>
      <c r="E106" s="374"/>
      <c r="F106" s="374"/>
      <c r="G106" s="374"/>
      <c r="H106" s="374"/>
      <c r="I106" s="374"/>
    </row>
    <row r="107" spans="1:9">
      <c r="A107" s="374">
        <v>24.933332443237305</v>
      </c>
      <c r="B107" s="374"/>
      <c r="C107" s="374"/>
      <c r="D107" s="374"/>
      <c r="E107" s="374"/>
      <c r="F107" s="374"/>
      <c r="G107" s="374"/>
      <c r="H107" s="374"/>
      <c r="I107" s="374"/>
    </row>
    <row r="108" spans="1:9">
      <c r="A108" s="374">
        <v>15.777777671813965</v>
      </c>
      <c r="B108" s="374"/>
      <c r="C108" s="374"/>
      <c r="D108" s="374"/>
      <c r="E108" s="374"/>
      <c r="F108" s="374"/>
      <c r="G108" s="374"/>
      <c r="H108" s="374"/>
      <c r="I108" s="374"/>
    </row>
    <row r="109" spans="1:9">
      <c r="A109" s="374">
        <v>9.0666666030883789</v>
      </c>
      <c r="B109" s="374"/>
      <c r="C109" s="374"/>
      <c r="D109" s="374"/>
      <c r="E109" s="374"/>
      <c r="F109" s="374"/>
      <c r="G109" s="374"/>
      <c r="H109" s="374"/>
      <c r="I109" s="374"/>
    </row>
    <row r="110" spans="1:9">
      <c r="A110" s="374">
        <v>6.2666664123535156</v>
      </c>
      <c r="B110" s="374"/>
      <c r="C110" s="374"/>
      <c r="D110" s="374"/>
      <c r="E110" s="374"/>
      <c r="F110" s="374"/>
      <c r="G110" s="374"/>
      <c r="H110" s="374"/>
      <c r="I110" s="374"/>
    </row>
    <row r="111" spans="1:9">
      <c r="A111" s="374">
        <v>7.8222222328186035</v>
      </c>
      <c r="B111" s="374"/>
      <c r="C111" s="374"/>
      <c r="D111" s="374"/>
      <c r="E111" s="374"/>
      <c r="F111" s="374"/>
      <c r="G111" s="374"/>
      <c r="H111" s="374"/>
      <c r="I111" s="374"/>
    </row>
    <row r="112" spans="1:9">
      <c r="A112" s="374">
        <v>14.688888549804688</v>
      </c>
      <c r="B112" s="374"/>
      <c r="C112" s="374"/>
      <c r="D112" s="374"/>
      <c r="E112" s="374"/>
      <c r="F112" s="374"/>
      <c r="G112" s="374"/>
      <c r="H112" s="374"/>
      <c r="I112" s="374"/>
    </row>
    <row r="113" spans="1:9">
      <c r="A113" s="374">
        <v>30</v>
      </c>
      <c r="B113" s="374"/>
      <c r="C113" s="374"/>
      <c r="D113" s="374"/>
      <c r="E113" s="374"/>
      <c r="F113" s="374"/>
      <c r="G113" s="374"/>
      <c r="H113" s="374"/>
      <c r="I113" s="374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activeCell="O12" sqref="O12"/>
    </sheetView>
  </sheetViews>
  <sheetFormatPr defaultColWidth="9.109375" defaultRowHeight="15"/>
  <cols>
    <col min="1" max="1" width="12.109375" style="328" customWidth="1"/>
    <col min="2" max="2" width="6.109375" style="328" customWidth="1"/>
    <col min="3" max="3" width="7.109375" style="328" customWidth="1"/>
    <col min="4" max="4" width="12.88671875" style="328" customWidth="1"/>
    <col min="5" max="5" width="12.5546875" style="328" customWidth="1"/>
    <col min="6" max="6" width="9.44140625" style="328" customWidth="1"/>
    <col min="7" max="7" width="5.6640625" style="328" customWidth="1"/>
    <col min="8" max="8" width="7.88671875" style="328" customWidth="1"/>
    <col min="9" max="9" width="6.5546875" style="328" customWidth="1"/>
    <col min="10" max="10" width="12" style="329" customWidth="1"/>
    <col min="11" max="11" width="12" style="328" customWidth="1"/>
    <col min="12" max="26" width="9.109375" style="188"/>
    <col min="27" max="16384" width="9.109375" style="189"/>
  </cols>
  <sheetData>
    <row r="1" spans="1:26" ht="20.25" customHeight="1">
      <c r="A1" s="624" t="s">
        <v>269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</row>
    <row r="2" spans="1:26" ht="20.25" customHeight="1">
      <c r="A2" s="625" t="s">
        <v>270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</row>
    <row r="3" spans="1:26" ht="18.75" customHeight="1" thickBot="1">
      <c r="A3" s="190" t="s">
        <v>1</v>
      </c>
      <c r="B3" s="191" t="s">
        <v>381</v>
      </c>
      <c r="C3" s="192"/>
      <c r="D3" s="192"/>
      <c r="E3" s="192"/>
      <c r="F3" s="193"/>
      <c r="G3" s="192"/>
      <c r="H3" s="192"/>
      <c r="I3" s="190" t="s">
        <v>271</v>
      </c>
      <c r="J3" s="626" t="s">
        <v>398</v>
      </c>
      <c r="K3" s="626"/>
    </row>
    <row r="4" spans="1:26" s="202" customFormat="1" ht="18.45" customHeight="1" thickBot="1">
      <c r="A4" s="194" t="s">
        <v>382</v>
      </c>
      <c r="B4" s="195"/>
      <c r="C4" s="196"/>
      <c r="D4" s="196"/>
      <c r="E4" s="196"/>
      <c r="F4" s="196"/>
      <c r="G4" s="196"/>
      <c r="H4" s="196"/>
      <c r="I4" s="196"/>
      <c r="J4" s="196"/>
      <c r="K4" s="197"/>
      <c r="L4" s="198"/>
      <c r="M4" s="198"/>
      <c r="N4" s="198"/>
      <c r="O4" s="198"/>
      <c r="P4" s="198"/>
      <c r="Q4" s="199" t="s">
        <v>272</v>
      </c>
      <c r="R4" s="200"/>
      <c r="S4" s="198"/>
      <c r="T4" s="199" t="s">
        <v>273</v>
      </c>
      <c r="U4" s="201"/>
      <c r="V4" s="198"/>
      <c r="W4" s="198"/>
      <c r="X4" s="198"/>
      <c r="Y4" s="198"/>
      <c r="Z4" s="198"/>
    </row>
    <row r="5" spans="1:26" s="202" customFormat="1" ht="18.45" customHeight="1">
      <c r="A5" s="627" t="s">
        <v>274</v>
      </c>
      <c r="B5" s="628"/>
      <c r="C5" s="628"/>
      <c r="D5" s="203"/>
      <c r="E5" s="204"/>
      <c r="F5" s="205" t="s">
        <v>275</v>
      </c>
      <c r="G5" s="206"/>
      <c r="H5" s="206"/>
      <c r="I5" s="207"/>
      <c r="J5" s="208" t="s">
        <v>276</v>
      </c>
      <c r="K5" s="209" t="s">
        <v>277</v>
      </c>
      <c r="L5" s="198"/>
      <c r="M5" s="198"/>
      <c r="N5" s="198"/>
      <c r="O5" s="198"/>
      <c r="P5" s="198"/>
      <c r="Q5" s="210" t="s">
        <v>278</v>
      </c>
      <c r="R5" s="211"/>
      <c r="S5" s="198"/>
      <c r="T5" s="210" t="s">
        <v>279</v>
      </c>
      <c r="U5" s="212"/>
      <c r="V5" s="198"/>
      <c r="W5" s="198"/>
      <c r="X5" s="198"/>
      <c r="Y5" s="198"/>
      <c r="Z5" s="198"/>
    </row>
    <row r="6" spans="1:26" s="202" customFormat="1" ht="18.45" customHeight="1">
      <c r="A6" s="629" t="s">
        <v>67</v>
      </c>
      <c r="B6" s="630"/>
      <c r="C6" s="630"/>
      <c r="D6" s="631" t="s">
        <v>279</v>
      </c>
      <c r="E6" s="632"/>
      <c r="F6" s="578" t="s">
        <v>281</v>
      </c>
      <c r="G6" s="579"/>
      <c r="H6" s="579"/>
      <c r="I6" s="579"/>
      <c r="J6" s="579"/>
      <c r="K6" s="580"/>
      <c r="L6" s="198"/>
      <c r="M6" s="198"/>
      <c r="N6" s="198"/>
      <c r="O6" s="198"/>
      <c r="P6" s="198"/>
      <c r="Q6" s="210" t="s">
        <v>282</v>
      </c>
      <c r="R6" s="211"/>
      <c r="S6" s="198"/>
      <c r="T6" s="210" t="s">
        <v>283</v>
      </c>
      <c r="U6" s="212"/>
      <c r="V6" s="198"/>
      <c r="W6" s="198"/>
      <c r="X6" s="198"/>
      <c r="Y6" s="198"/>
      <c r="Z6" s="198"/>
    </row>
    <row r="7" spans="1:26" s="202" customFormat="1" ht="18.45" customHeight="1">
      <c r="A7" s="620" t="s">
        <v>20</v>
      </c>
      <c r="B7" s="621"/>
      <c r="C7" s="621"/>
      <c r="D7" s="622">
        <v>2.0999999046325701</v>
      </c>
      <c r="E7" s="623"/>
      <c r="F7" s="213" t="s">
        <v>284</v>
      </c>
      <c r="G7" s="214"/>
      <c r="H7" s="215"/>
      <c r="I7" s="216"/>
      <c r="J7" s="217">
        <v>30</v>
      </c>
      <c r="K7" s="218" t="s">
        <v>175</v>
      </c>
      <c r="L7" s="198"/>
      <c r="M7" s="558">
        <f>O7/N7*J7</f>
        <v>31.311475409836067</v>
      </c>
      <c r="N7" s="198">
        <v>18.3</v>
      </c>
      <c r="O7" s="198">
        <v>19.100000000000001</v>
      </c>
      <c r="P7" s="198"/>
      <c r="Q7" s="210" t="s">
        <v>285</v>
      </c>
      <c r="R7" s="211"/>
      <c r="S7" s="198"/>
      <c r="T7" s="210" t="s">
        <v>280</v>
      </c>
      <c r="U7" s="212"/>
      <c r="V7" s="198"/>
      <c r="W7" s="198"/>
      <c r="X7" s="198"/>
      <c r="Y7" s="198"/>
      <c r="Z7" s="198"/>
    </row>
    <row r="8" spans="1:26" s="202" customFormat="1" ht="18.45" customHeight="1">
      <c r="A8" s="620" t="s">
        <v>286</v>
      </c>
      <c r="B8" s="621"/>
      <c r="C8" s="621"/>
      <c r="D8" s="608">
        <v>620</v>
      </c>
      <c r="E8" s="604"/>
      <c r="F8" s="219" t="s">
        <v>287</v>
      </c>
      <c r="G8" s="220"/>
      <c r="H8" s="221"/>
      <c r="I8" s="222"/>
      <c r="J8" s="223">
        <v>8569</v>
      </c>
      <c r="K8" s="224" t="s">
        <v>175</v>
      </c>
      <c r="L8" s="198"/>
      <c r="M8" s="559">
        <f t="shared" ref="M8:M11" si="0">O8/N8*J8</f>
        <v>12452.676021876799</v>
      </c>
      <c r="N8" s="198">
        <v>6948</v>
      </c>
      <c r="O8" s="198">
        <v>10097</v>
      </c>
      <c r="P8" s="198"/>
      <c r="Q8" s="210" t="s">
        <v>288</v>
      </c>
      <c r="R8" s="211"/>
      <c r="S8" s="198"/>
      <c r="T8" s="210" t="s">
        <v>289</v>
      </c>
      <c r="U8" s="212"/>
      <c r="V8" s="198"/>
      <c r="W8" s="198"/>
      <c r="X8" s="198"/>
      <c r="Y8" s="198"/>
      <c r="Z8" s="198"/>
    </row>
    <row r="9" spans="1:26" s="202" customFormat="1" ht="18.45" customHeight="1">
      <c r="A9" s="615" t="s">
        <v>290</v>
      </c>
      <c r="B9" s="616"/>
      <c r="C9" s="617"/>
      <c r="D9" s="608">
        <v>9</v>
      </c>
      <c r="E9" s="604"/>
      <c r="F9" s="213" t="s">
        <v>291</v>
      </c>
      <c r="G9" s="214"/>
      <c r="H9" s="225">
        <v>3</v>
      </c>
      <c r="I9" s="226" t="s">
        <v>292</v>
      </c>
      <c r="J9" s="227">
        <v>300</v>
      </c>
      <c r="K9" s="224" t="s">
        <v>175</v>
      </c>
      <c r="L9" s="198"/>
      <c r="M9" s="558">
        <f t="shared" si="0"/>
        <v>277.75510204081633</v>
      </c>
      <c r="N9" s="198">
        <v>147</v>
      </c>
      <c r="O9" s="198">
        <v>136.1</v>
      </c>
      <c r="P9" s="198"/>
      <c r="Q9" s="210" t="s">
        <v>293</v>
      </c>
      <c r="R9" s="211"/>
      <c r="S9" s="198"/>
      <c r="T9" s="210" t="s">
        <v>294</v>
      </c>
      <c r="U9" s="212"/>
      <c r="V9" s="198"/>
      <c r="W9" s="198"/>
      <c r="X9" s="198"/>
      <c r="Y9" s="198"/>
      <c r="Z9" s="198"/>
    </row>
    <row r="10" spans="1:26" s="202" customFormat="1" ht="18.45" customHeight="1" thickBot="1">
      <c r="A10" s="615" t="s">
        <v>295</v>
      </c>
      <c r="B10" s="616"/>
      <c r="C10" s="617"/>
      <c r="D10" s="591" t="s">
        <v>203</v>
      </c>
      <c r="E10" s="592"/>
      <c r="F10" s="213" t="s">
        <v>296</v>
      </c>
      <c r="G10" s="214"/>
      <c r="H10" s="225">
        <v>3</v>
      </c>
      <c r="I10" s="226" t="s">
        <v>292</v>
      </c>
      <c r="J10" s="227">
        <v>1150</v>
      </c>
      <c r="K10" s="224" t="s">
        <v>175</v>
      </c>
      <c r="L10" s="198"/>
      <c r="M10" s="198">
        <f t="shared" si="0"/>
        <v>1150</v>
      </c>
      <c r="N10" s="198">
        <v>1150</v>
      </c>
      <c r="O10" s="198">
        <v>1150</v>
      </c>
      <c r="P10" s="198"/>
      <c r="Q10" s="210" t="s">
        <v>297</v>
      </c>
      <c r="R10" s="211"/>
      <c r="S10" s="198"/>
      <c r="T10" s="228" t="s">
        <v>298</v>
      </c>
      <c r="U10" s="229"/>
      <c r="V10" s="198"/>
      <c r="W10" s="198"/>
      <c r="X10" s="198"/>
      <c r="Y10" s="198"/>
      <c r="Z10" s="198"/>
    </row>
    <row r="11" spans="1:26" s="202" customFormat="1" ht="18.45" customHeight="1" thickBot="1">
      <c r="A11" s="615" t="s">
        <v>299</v>
      </c>
      <c r="B11" s="616"/>
      <c r="C11" s="617"/>
      <c r="D11" s="586" t="s">
        <v>204</v>
      </c>
      <c r="E11" s="587"/>
      <c r="F11" s="230" t="s">
        <v>300</v>
      </c>
      <c r="G11" s="231"/>
      <c r="H11" s="232">
        <v>3</v>
      </c>
      <c r="I11" s="226" t="s">
        <v>292</v>
      </c>
      <c r="J11" s="233">
        <v>29329</v>
      </c>
      <c r="K11" s="234" t="s">
        <v>175</v>
      </c>
      <c r="L11" s="198"/>
      <c r="M11" s="559">
        <f t="shared" si="0"/>
        <v>53634.303280864777</v>
      </c>
      <c r="N11" s="198">
        <v>26365</v>
      </c>
      <c r="O11" s="198">
        <v>48214</v>
      </c>
      <c r="P11" s="198"/>
      <c r="Q11" s="210" t="s">
        <v>301</v>
      </c>
      <c r="R11" s="211"/>
      <c r="S11" s="198"/>
      <c r="T11" s="199" t="s">
        <v>302</v>
      </c>
      <c r="U11" s="201"/>
      <c r="V11" s="198"/>
      <c r="W11" s="198"/>
      <c r="X11" s="198"/>
      <c r="Y11" s="198"/>
      <c r="Z11" s="198"/>
    </row>
    <row r="12" spans="1:26" s="202" customFormat="1" ht="18.45" customHeight="1" thickBot="1">
      <c r="A12" s="235" t="s">
        <v>303</v>
      </c>
      <c r="C12" s="236"/>
      <c r="D12" s="618" t="s">
        <v>175</v>
      </c>
      <c r="E12" s="619"/>
      <c r="F12" s="588" t="s">
        <v>304</v>
      </c>
      <c r="G12" s="589"/>
      <c r="H12" s="589"/>
      <c r="I12" s="589"/>
      <c r="J12" s="589"/>
      <c r="K12" s="590"/>
      <c r="L12" s="198"/>
      <c r="M12" s="198"/>
      <c r="N12" s="198"/>
      <c r="O12" s="198"/>
      <c r="P12" s="198"/>
      <c r="Q12" s="228" t="s">
        <v>305</v>
      </c>
      <c r="R12" s="237"/>
      <c r="S12" s="198"/>
      <c r="T12" s="198"/>
      <c r="U12" s="198"/>
      <c r="V12" s="198"/>
      <c r="W12" s="198"/>
      <c r="X12" s="198"/>
      <c r="Y12" s="198"/>
      <c r="Z12" s="198"/>
    </row>
    <row r="13" spans="1:26" s="202" customFormat="1" ht="18.45" customHeight="1">
      <c r="A13" s="615" t="s">
        <v>53</v>
      </c>
      <c r="B13" s="616"/>
      <c r="C13" s="617"/>
      <c r="D13" s="611" t="s">
        <v>384</v>
      </c>
      <c r="E13" s="612"/>
      <c r="F13" s="238"/>
      <c r="G13" s="239" t="s">
        <v>306</v>
      </c>
      <c r="H13" s="240"/>
      <c r="I13" s="241" t="s">
        <v>307</v>
      </c>
      <c r="J13" s="242" t="s">
        <v>386</v>
      </c>
      <c r="K13" s="243" t="s">
        <v>175</v>
      </c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s="202" customFormat="1" ht="18.45" customHeight="1">
      <c r="A14" s="615" t="s">
        <v>56</v>
      </c>
      <c r="B14" s="616"/>
      <c r="C14" s="617"/>
      <c r="D14" s="618">
        <v>1135</v>
      </c>
      <c r="E14" s="619"/>
      <c r="F14" s="238"/>
      <c r="G14" s="244" t="s">
        <v>10</v>
      </c>
      <c r="H14" s="245"/>
      <c r="I14" s="245"/>
      <c r="J14" s="227" t="s">
        <v>175</v>
      </c>
      <c r="K14" s="224" t="s">
        <v>175</v>
      </c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s="202" customFormat="1" ht="18.45" customHeight="1">
      <c r="A15" s="605" t="s">
        <v>308</v>
      </c>
      <c r="B15" s="606"/>
      <c r="C15" s="607"/>
      <c r="D15" s="584">
        <v>13.536800384521484</v>
      </c>
      <c r="E15" s="585"/>
      <c r="F15" s="238"/>
      <c r="G15" s="244" t="s">
        <v>309</v>
      </c>
      <c r="H15" s="245"/>
      <c r="I15" s="245"/>
      <c r="J15" s="227" t="s">
        <v>175</v>
      </c>
      <c r="K15" s="224" t="s">
        <v>175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s="202" customFormat="1" ht="18.45" customHeight="1">
      <c r="A16" s="581" t="s">
        <v>310</v>
      </c>
      <c r="B16" s="582"/>
      <c r="C16" s="583"/>
      <c r="D16" s="584">
        <v>3.5623998641967773</v>
      </c>
      <c r="E16" s="585"/>
      <c r="F16" s="246"/>
      <c r="G16" s="247" t="s">
        <v>17</v>
      </c>
      <c r="H16" s="248"/>
      <c r="I16" s="248"/>
      <c r="J16" s="233" t="s">
        <v>175</v>
      </c>
      <c r="K16" s="234" t="s">
        <v>175</v>
      </c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s="202" customFormat="1" ht="18.45" customHeight="1">
      <c r="A17" s="249" t="s">
        <v>311</v>
      </c>
      <c r="B17" s="250"/>
      <c r="C17" s="251"/>
      <c r="D17" s="586" t="s">
        <v>383</v>
      </c>
      <c r="E17" s="587"/>
      <c r="F17" s="588" t="s">
        <v>312</v>
      </c>
      <c r="G17" s="589"/>
      <c r="H17" s="589"/>
      <c r="I17" s="589"/>
      <c r="J17" s="589"/>
      <c r="K17" s="590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s="202" customFormat="1" ht="18.45" customHeight="1">
      <c r="A18" s="252" t="s">
        <v>313</v>
      </c>
      <c r="B18" s="253"/>
      <c r="C18" s="251"/>
      <c r="D18" s="591" t="s">
        <v>175</v>
      </c>
      <c r="E18" s="592"/>
      <c r="F18" s="593"/>
      <c r="G18" s="594"/>
      <c r="H18" s="254" t="s">
        <v>314</v>
      </c>
      <c r="I18" s="255"/>
      <c r="J18" s="223">
        <v>126</v>
      </c>
      <c r="K18" s="224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s="202" customFormat="1" ht="18.45" customHeight="1">
      <c r="A19" s="599" t="s">
        <v>315</v>
      </c>
      <c r="B19" s="600"/>
      <c r="C19" s="601"/>
      <c r="D19" s="602" t="s">
        <v>175</v>
      </c>
      <c r="E19" s="587"/>
      <c r="F19" s="595"/>
      <c r="G19" s="596"/>
      <c r="H19" s="254" t="s">
        <v>5</v>
      </c>
      <c r="I19" s="216"/>
      <c r="J19" s="223">
        <v>1777</v>
      </c>
      <c r="K19" s="224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s="202" customFormat="1" ht="18.45" customHeight="1" thickBot="1">
      <c r="A20" s="256" t="s">
        <v>316</v>
      </c>
      <c r="C20" s="257"/>
      <c r="D20" s="603" t="s">
        <v>202</v>
      </c>
      <c r="E20" s="604"/>
      <c r="F20" s="595"/>
      <c r="G20" s="596"/>
      <c r="H20" s="254" t="s">
        <v>317</v>
      </c>
      <c r="I20" s="216"/>
      <c r="J20" s="227" t="s">
        <v>362</v>
      </c>
      <c r="K20" s="224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s="202" customFormat="1" ht="18.45" customHeight="1" thickBot="1">
      <c r="A21" s="605" t="s">
        <v>318</v>
      </c>
      <c r="B21" s="606"/>
      <c r="C21" s="607"/>
      <c r="D21" s="608" t="s">
        <v>175</v>
      </c>
      <c r="E21" s="604"/>
      <c r="F21" s="595"/>
      <c r="G21" s="596"/>
      <c r="H21" s="258" t="s">
        <v>319</v>
      </c>
      <c r="I21" s="216"/>
      <c r="J21" s="227">
        <v>1.1499999999999999</v>
      </c>
      <c r="K21" s="224"/>
      <c r="L21" s="198"/>
      <c r="M21" s="198"/>
      <c r="N21" s="198"/>
      <c r="O21" s="198"/>
      <c r="P21" s="198"/>
      <c r="Q21" s="199" t="s">
        <v>320</v>
      </c>
      <c r="R21" s="201"/>
      <c r="S21" s="198"/>
      <c r="T21" s="198"/>
      <c r="U21" s="198"/>
      <c r="V21" s="198"/>
      <c r="W21" s="198"/>
      <c r="X21" s="198"/>
      <c r="Y21" s="198"/>
      <c r="Z21" s="198"/>
    </row>
    <row r="22" spans="1:26" s="202" customFormat="1" ht="18.45" customHeight="1">
      <c r="A22" s="252" t="s">
        <v>321</v>
      </c>
      <c r="B22" s="259"/>
      <c r="C22" s="259"/>
      <c r="D22" s="609">
        <v>0.40999999642372131</v>
      </c>
      <c r="E22" s="610"/>
      <c r="F22" s="595"/>
      <c r="G22" s="596"/>
      <c r="H22" s="254" t="s">
        <v>276</v>
      </c>
      <c r="I22" s="216"/>
      <c r="J22" s="227" t="s">
        <v>175</v>
      </c>
      <c r="K22" s="224"/>
      <c r="L22" s="198"/>
      <c r="M22" s="198"/>
      <c r="N22" s="198"/>
      <c r="O22" s="198"/>
      <c r="P22" s="198"/>
      <c r="Q22" s="210" t="s">
        <v>323</v>
      </c>
      <c r="R22" s="212"/>
      <c r="S22" s="198"/>
      <c r="T22" s="198"/>
      <c r="U22" s="198"/>
      <c r="V22" s="198"/>
      <c r="W22" s="198"/>
      <c r="X22" s="198"/>
      <c r="Y22" s="198"/>
      <c r="Z22" s="198"/>
    </row>
    <row r="23" spans="1:26" s="202" customFormat="1" ht="18.45" customHeight="1">
      <c r="A23" s="260" t="s">
        <v>324</v>
      </c>
      <c r="B23" s="261" t="s">
        <v>325</v>
      </c>
      <c r="C23" s="262"/>
      <c r="D23" s="611">
        <v>195.6</v>
      </c>
      <c r="E23" s="612"/>
      <c r="F23" s="595"/>
      <c r="G23" s="596"/>
      <c r="H23" s="263" t="s">
        <v>326</v>
      </c>
      <c r="I23" s="264"/>
      <c r="J23" s="265">
        <v>94.5</v>
      </c>
      <c r="K23" s="266"/>
      <c r="L23" s="198"/>
      <c r="Q23" s="210" t="s">
        <v>327</v>
      </c>
      <c r="R23" s="212"/>
      <c r="S23" s="198"/>
      <c r="T23" s="198"/>
      <c r="U23" s="198"/>
      <c r="V23" s="198"/>
      <c r="W23" s="198"/>
      <c r="X23" s="198"/>
      <c r="Y23" s="198"/>
      <c r="Z23" s="198"/>
    </row>
    <row r="24" spans="1:26" s="202" customFormat="1" ht="18.45" customHeight="1" thickBot="1">
      <c r="A24" s="267" t="s">
        <v>328</v>
      </c>
      <c r="B24" s="268" t="s">
        <v>329</v>
      </c>
      <c r="C24" s="269"/>
      <c r="D24" s="613">
        <v>220.6</v>
      </c>
      <c r="E24" s="614"/>
      <c r="F24" s="595"/>
      <c r="G24" s="596"/>
      <c r="H24" s="254" t="s">
        <v>330</v>
      </c>
      <c r="I24" s="236"/>
      <c r="J24" s="270" t="s">
        <v>175</v>
      </c>
      <c r="K24" s="271"/>
      <c r="Q24" s="272" t="s">
        <v>175</v>
      </c>
      <c r="R24" s="273"/>
      <c r="S24" s="198"/>
      <c r="T24" s="198"/>
      <c r="U24" s="198"/>
      <c r="V24" s="198"/>
      <c r="W24" s="198"/>
      <c r="X24" s="198"/>
      <c r="Y24" s="198"/>
      <c r="Z24" s="198"/>
    </row>
    <row r="25" spans="1:26" s="202" customFormat="1" ht="18.45" customHeight="1">
      <c r="A25" s="274" t="s">
        <v>331</v>
      </c>
      <c r="B25" s="275"/>
      <c r="C25" s="275"/>
      <c r="D25" s="276"/>
      <c r="E25" s="276" t="s">
        <v>332</v>
      </c>
      <c r="F25" s="595"/>
      <c r="G25" s="596"/>
      <c r="H25" s="254" t="s">
        <v>333</v>
      </c>
      <c r="I25" s="236"/>
      <c r="J25" s="277">
        <v>89.5</v>
      </c>
      <c r="K25" s="271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s="202" customFormat="1" ht="18.45" customHeight="1">
      <c r="A26" s="278" t="s">
        <v>334</v>
      </c>
      <c r="B26" s="279"/>
      <c r="C26" s="280"/>
      <c r="D26" s="281" t="s">
        <v>387</v>
      </c>
      <c r="E26" s="281" t="s">
        <v>388</v>
      </c>
      <c r="F26" s="597"/>
      <c r="G26" s="598"/>
      <c r="H26" s="560"/>
      <c r="I26" s="561"/>
      <c r="J26" s="282"/>
      <c r="K26" s="283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s="202" customFormat="1" ht="18.45" customHeight="1">
      <c r="A27" s="570" t="s">
        <v>335</v>
      </c>
      <c r="B27" s="571"/>
      <c r="C27" s="571"/>
      <c r="D27" s="571"/>
      <c r="E27" s="571"/>
      <c r="F27" s="578" t="s">
        <v>336</v>
      </c>
      <c r="G27" s="579"/>
      <c r="H27" s="579"/>
      <c r="I27" s="579"/>
      <c r="J27" s="579"/>
      <c r="K27" s="580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s="202" customFormat="1" ht="18.45" customHeight="1">
      <c r="A28" s="564"/>
      <c r="B28" s="565"/>
      <c r="C28" s="565"/>
      <c r="D28" s="565"/>
      <c r="E28" s="566"/>
      <c r="F28" s="284"/>
      <c r="G28" s="285"/>
      <c r="H28" s="244" t="s">
        <v>337</v>
      </c>
      <c r="I28" s="286" t="s">
        <v>385</v>
      </c>
      <c r="J28" s="223">
        <v>968</v>
      </c>
      <c r="K28" s="218" t="s">
        <v>175</v>
      </c>
      <c r="M28" s="373">
        <f>J28/J18</f>
        <v>7.6825396825396828</v>
      </c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s="202" customFormat="1" ht="18.45" customHeight="1">
      <c r="A29" s="564"/>
      <c r="B29" s="565"/>
      <c r="C29" s="565"/>
      <c r="D29" s="565"/>
      <c r="E29" s="566"/>
      <c r="F29" s="287"/>
      <c r="G29" s="288"/>
      <c r="H29" s="244" t="s">
        <v>338</v>
      </c>
      <c r="I29" s="289">
        <v>60</v>
      </c>
      <c r="J29" s="223">
        <v>169</v>
      </c>
      <c r="K29" s="218" t="s">
        <v>175</v>
      </c>
      <c r="M29" s="373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s="202" customFormat="1" ht="18.45" customHeight="1">
      <c r="A30" s="564"/>
      <c r="B30" s="565"/>
      <c r="C30" s="565"/>
      <c r="D30" s="565"/>
      <c r="E30" s="566"/>
      <c r="F30" s="287"/>
      <c r="G30" s="288"/>
      <c r="H30" s="244" t="s">
        <v>339</v>
      </c>
      <c r="I30" s="289">
        <v>175</v>
      </c>
      <c r="J30" s="223">
        <v>267</v>
      </c>
      <c r="K30" s="218" t="s">
        <v>175</v>
      </c>
      <c r="L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s="202" customFormat="1" ht="18.45" customHeight="1">
      <c r="A31" s="564"/>
      <c r="B31" s="565"/>
      <c r="C31" s="565"/>
      <c r="D31" s="565"/>
      <c r="E31" s="566"/>
      <c r="F31" s="287"/>
      <c r="G31" s="288"/>
      <c r="H31" s="244" t="s">
        <v>340</v>
      </c>
      <c r="I31" s="245"/>
      <c r="J31" s="290">
        <v>1.29</v>
      </c>
      <c r="K31" s="218" t="s">
        <v>175</v>
      </c>
      <c r="L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s="202" customFormat="1" ht="18.45" customHeight="1">
      <c r="A32" s="567"/>
      <c r="B32" s="568"/>
      <c r="C32" s="568"/>
      <c r="D32" s="568"/>
      <c r="E32" s="569"/>
      <c r="F32" s="287"/>
      <c r="G32" s="291" t="s">
        <v>341</v>
      </c>
      <c r="H32" s="244" t="s">
        <v>342</v>
      </c>
      <c r="I32" s="292"/>
      <c r="J32" s="217">
        <v>94.7</v>
      </c>
      <c r="K32" s="218" t="s">
        <v>175</v>
      </c>
      <c r="L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s="202" customFormat="1" ht="18.45" customHeight="1">
      <c r="A33" s="570" t="s">
        <v>343</v>
      </c>
      <c r="B33" s="571"/>
      <c r="C33" s="571"/>
      <c r="D33" s="571"/>
      <c r="E33" s="572"/>
      <c r="F33" s="293"/>
      <c r="G33" s="294"/>
      <c r="H33" s="295" t="s">
        <v>344</v>
      </c>
      <c r="I33" s="296"/>
      <c r="J33" s="297">
        <v>89.9</v>
      </c>
      <c r="K33" s="298" t="s">
        <v>175</v>
      </c>
      <c r="L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s="202" customFormat="1" ht="18.45" customHeight="1">
      <c r="A34" s="564"/>
      <c r="B34" s="565"/>
      <c r="C34" s="565"/>
      <c r="D34" s="565"/>
      <c r="E34" s="566"/>
      <c r="F34" s="219" t="s">
        <v>345</v>
      </c>
      <c r="G34" s="299"/>
      <c r="H34" s="300" t="s">
        <v>14</v>
      </c>
      <c r="I34" s="301"/>
      <c r="J34" s="302">
        <v>8692</v>
      </c>
      <c r="K34" s="303" t="s">
        <v>175</v>
      </c>
      <c r="L34" s="304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s="202" customFormat="1" ht="18.45" customHeight="1">
      <c r="A35" s="564"/>
      <c r="B35" s="565"/>
      <c r="C35" s="565"/>
      <c r="D35" s="565"/>
      <c r="E35" s="566"/>
      <c r="F35" s="238"/>
      <c r="G35" s="305"/>
      <c r="H35" s="306" t="s">
        <v>15</v>
      </c>
      <c r="I35" s="307"/>
      <c r="J35" s="223">
        <v>9949</v>
      </c>
      <c r="K35" s="218" t="s">
        <v>175</v>
      </c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s="202" customFormat="1" ht="18.45" customHeight="1">
      <c r="A36" s="564"/>
      <c r="B36" s="565"/>
      <c r="C36" s="565"/>
      <c r="D36" s="565"/>
      <c r="E36" s="566"/>
      <c r="F36" s="238"/>
      <c r="G36" s="305"/>
      <c r="H36" s="306" t="s">
        <v>346</v>
      </c>
      <c r="I36" s="307"/>
      <c r="J36" s="223">
        <v>4192</v>
      </c>
      <c r="K36" s="218" t="s">
        <v>175</v>
      </c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s="202" customFormat="1" ht="18.45" customHeight="1">
      <c r="A37" s="564"/>
      <c r="B37" s="565"/>
      <c r="C37" s="565"/>
      <c r="D37" s="565"/>
      <c r="E37" s="566"/>
      <c r="F37" s="287"/>
      <c r="G37" s="305"/>
      <c r="H37" s="306" t="s">
        <v>347</v>
      </c>
      <c r="I37" s="307"/>
      <c r="J37" s="223">
        <v>3854</v>
      </c>
      <c r="K37" s="218" t="s">
        <v>175</v>
      </c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s="202" customFormat="1" ht="18.45" customHeight="1">
      <c r="A38" s="567"/>
      <c r="B38" s="568"/>
      <c r="C38" s="568"/>
      <c r="D38" s="568"/>
      <c r="E38" s="569"/>
      <c r="F38" s="246"/>
      <c r="G38" s="308"/>
      <c r="H38" s="309" t="s">
        <v>348</v>
      </c>
      <c r="I38" s="310"/>
      <c r="J38" s="311">
        <v>14710</v>
      </c>
      <c r="K38" s="312" t="s">
        <v>175</v>
      </c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s="202" customFormat="1" ht="18.45" customHeight="1">
      <c r="A39" s="570" t="s">
        <v>349</v>
      </c>
      <c r="B39" s="571"/>
      <c r="C39" s="571"/>
      <c r="D39" s="571"/>
      <c r="E39" s="571"/>
      <c r="F39" s="313" t="s">
        <v>350</v>
      </c>
      <c r="G39" s="314" t="s">
        <v>390</v>
      </c>
      <c r="H39" s="314"/>
      <c r="I39" s="314"/>
      <c r="J39" s="314"/>
      <c r="K39" s="315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s="202" customFormat="1" ht="18.45" customHeight="1">
      <c r="A40" s="564"/>
      <c r="B40" s="565"/>
      <c r="C40" s="565"/>
      <c r="D40" s="565"/>
      <c r="E40" s="566"/>
      <c r="F40" s="316" t="s">
        <v>391</v>
      </c>
      <c r="G40" s="370" t="s">
        <v>392</v>
      </c>
      <c r="H40" s="370"/>
      <c r="I40" s="370"/>
      <c r="J40" s="370"/>
      <c r="K40" s="371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s="202" customFormat="1" ht="18.45" customHeight="1">
      <c r="A41" s="564"/>
      <c r="B41" s="565"/>
      <c r="C41" s="565"/>
      <c r="D41" s="565"/>
      <c r="E41" s="566"/>
      <c r="F41" s="316"/>
      <c r="G41" s="317" t="s">
        <v>393</v>
      </c>
      <c r="H41" s="317"/>
      <c r="I41" s="317"/>
      <c r="J41" s="317"/>
      <c r="K41" s="318"/>
      <c r="L41" s="319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s="202" customFormat="1" ht="18.45" customHeight="1">
      <c r="A42" s="564"/>
      <c r="B42" s="565"/>
      <c r="C42" s="565"/>
      <c r="D42" s="565"/>
      <c r="E42" s="566"/>
      <c r="F42" s="316"/>
      <c r="G42" s="317" t="s">
        <v>394</v>
      </c>
      <c r="H42" s="317"/>
      <c r="I42" s="317"/>
      <c r="J42" s="317"/>
      <c r="K42" s="31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s="202" customFormat="1" ht="18.45" customHeight="1">
      <c r="A43" s="564"/>
      <c r="B43" s="565"/>
      <c r="C43" s="565"/>
      <c r="D43" s="565"/>
      <c r="E43" s="566"/>
      <c r="F43" s="316"/>
      <c r="G43" s="328"/>
      <c r="H43" s="317"/>
      <c r="I43" s="317"/>
      <c r="J43" s="317"/>
      <c r="K43" s="31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s="202" customFormat="1" ht="17.100000000000001" customHeight="1" thickBot="1">
      <c r="A44" s="573"/>
      <c r="B44" s="574"/>
      <c r="C44" s="574"/>
      <c r="D44" s="574"/>
      <c r="E44" s="575"/>
      <c r="F44" s="316"/>
      <c r="G44" s="317" t="s">
        <v>397</v>
      </c>
      <c r="H44" s="317"/>
      <c r="I44" s="317"/>
      <c r="J44" s="317"/>
      <c r="K44" s="31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s="202" customFormat="1" ht="17.100000000000001" customHeight="1">
      <c r="A45" s="320" t="s">
        <v>351</v>
      </c>
      <c r="B45" s="576"/>
      <c r="C45" s="577"/>
      <c r="D45" s="321" t="s">
        <v>352</v>
      </c>
      <c r="E45" s="368" t="s">
        <v>389</v>
      </c>
      <c r="F45" s="322"/>
      <c r="G45" s="328" t="s">
        <v>396</v>
      </c>
      <c r="H45" s="317"/>
      <c r="I45" s="317"/>
      <c r="J45" s="317"/>
      <c r="K45" s="31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s="202" customFormat="1" ht="17.100000000000001" customHeight="1" thickBot="1">
      <c r="A46" s="323" t="s">
        <v>353</v>
      </c>
      <c r="B46" s="562"/>
      <c r="C46" s="563"/>
      <c r="D46" s="324" t="s">
        <v>353</v>
      </c>
      <c r="E46" s="369">
        <v>37546</v>
      </c>
      <c r="F46" s="325"/>
      <c r="G46" s="326" t="s">
        <v>395</v>
      </c>
      <c r="H46" s="326"/>
      <c r="I46" s="326"/>
      <c r="J46" s="326"/>
      <c r="K46" s="327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s="202" customFormat="1" ht="17.100000000000001" customHeight="1">
      <c r="F47" s="32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</row>
    <row r="48" spans="1:26" s="202" customFormat="1" ht="17.100000000000001" customHeight="1">
      <c r="F48" s="198"/>
      <c r="G48" s="198"/>
      <c r="H48" s="198"/>
      <c r="I48" s="198"/>
      <c r="J48" s="198"/>
      <c r="K48" s="198"/>
    </row>
    <row r="49" spans="2:26" ht="17.100000000000001" customHeight="1">
      <c r="F49" s="188"/>
      <c r="G49" s="188"/>
      <c r="H49" s="188"/>
      <c r="I49" s="188"/>
      <c r="J49" s="188"/>
      <c r="K49" s="188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spans="2:26">
      <c r="F50" s="188"/>
      <c r="G50" s="188"/>
      <c r="H50" s="188"/>
      <c r="I50" s="188"/>
      <c r="J50" s="188"/>
      <c r="K50" s="188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spans="2:26">
      <c r="F51" s="188"/>
      <c r="G51" s="188"/>
      <c r="H51" s="188"/>
      <c r="I51" s="188"/>
      <c r="J51" s="188"/>
      <c r="K51" s="188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spans="2:26"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spans="2:26">
      <c r="F53" s="188"/>
      <c r="G53" s="188"/>
      <c r="H53" s="188"/>
      <c r="I53" s="188"/>
      <c r="J53" s="188"/>
      <c r="K53" s="188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K4" sqref="K4"/>
    </sheetView>
  </sheetViews>
  <sheetFormatPr defaultColWidth="9.109375" defaultRowHeight="13.2"/>
  <cols>
    <col min="1" max="1" width="9.109375" style="335" customWidth="1"/>
    <col min="2" max="2" width="18.109375" style="335" customWidth="1"/>
    <col min="3" max="3" width="21.5546875" style="335" customWidth="1"/>
    <col min="4" max="4" width="21.33203125" style="335" bestFit="1" customWidth="1"/>
    <col min="5" max="5" width="6.88671875" style="335" bestFit="1" customWidth="1"/>
    <col min="6" max="6" width="29.88671875" style="335" customWidth="1"/>
    <col min="7" max="7" width="43.6640625" style="335" customWidth="1"/>
    <col min="8" max="8" width="17.109375" style="335" customWidth="1"/>
    <col min="9" max="9" width="7.88671875" style="335" customWidth="1"/>
    <col min="10" max="10" width="2.33203125" style="335" bestFit="1" customWidth="1"/>
    <col min="11" max="12" width="2.33203125" style="335" customWidth="1"/>
    <col min="13" max="13" width="2.5546875" style="335" bestFit="1" customWidth="1"/>
    <col min="14" max="14" width="2.33203125" style="335" bestFit="1" customWidth="1"/>
    <col min="15" max="16384" width="9.109375" style="335"/>
  </cols>
  <sheetData>
    <row r="1" spans="2:14" ht="12.75" customHeight="1">
      <c r="B1" s="330"/>
      <c r="C1" s="331"/>
      <c r="D1" s="331"/>
      <c r="E1" s="331"/>
      <c r="F1" s="331"/>
      <c r="G1" s="331"/>
      <c r="H1" s="332"/>
      <c r="I1" s="333"/>
      <c r="J1" s="334" t="s">
        <v>354</v>
      </c>
      <c r="K1" s="334" t="s">
        <v>355</v>
      </c>
      <c r="L1" s="334" t="s">
        <v>356</v>
      </c>
      <c r="M1" s="334" t="s">
        <v>355</v>
      </c>
      <c r="N1" s="334"/>
    </row>
    <row r="2" spans="2:14" ht="12.75" customHeight="1">
      <c r="B2" s="657" t="s">
        <v>357</v>
      </c>
      <c r="C2" s="658"/>
      <c r="D2" s="658"/>
      <c r="E2" s="658"/>
      <c r="F2" s="658"/>
      <c r="G2" s="658"/>
      <c r="H2" s="336"/>
      <c r="I2" s="337"/>
      <c r="J2" s="338" t="s">
        <v>358</v>
      </c>
      <c r="K2" s="338" t="s">
        <v>359</v>
      </c>
      <c r="L2" s="338" t="s">
        <v>360</v>
      </c>
      <c r="M2" s="338" t="s">
        <v>361</v>
      </c>
      <c r="N2" s="338" t="s">
        <v>362</v>
      </c>
    </row>
    <row r="3" spans="2:14" ht="12.75" customHeight="1">
      <c r="B3" s="657"/>
      <c r="C3" s="658"/>
      <c r="D3" s="658"/>
      <c r="E3" s="658"/>
      <c r="F3" s="658"/>
      <c r="G3" s="658"/>
      <c r="H3" s="336"/>
      <c r="I3" s="337"/>
      <c r="J3" s="338" t="s">
        <v>363</v>
      </c>
      <c r="K3" s="338"/>
      <c r="L3" s="338" t="s">
        <v>364</v>
      </c>
      <c r="M3" s="338" t="s">
        <v>354</v>
      </c>
      <c r="N3" s="338"/>
    </row>
    <row r="4" spans="2:14" ht="12.75" customHeight="1">
      <c r="B4" s="657"/>
      <c r="C4" s="658"/>
      <c r="D4" s="658"/>
      <c r="E4" s="658"/>
      <c r="F4" s="658"/>
      <c r="G4" s="658"/>
      <c r="H4" s="336"/>
      <c r="I4" s="337"/>
      <c r="J4" s="338" t="s">
        <v>365</v>
      </c>
      <c r="K4" s="338"/>
      <c r="L4" s="338" t="s">
        <v>360</v>
      </c>
      <c r="M4" s="338" t="s">
        <v>358</v>
      </c>
      <c r="N4" s="338"/>
    </row>
    <row r="5" spans="2:14" ht="12.75" customHeight="1">
      <c r="B5" s="339"/>
      <c r="C5" s="340"/>
      <c r="D5" s="340"/>
      <c r="E5" s="340"/>
      <c r="F5" s="340"/>
      <c r="G5" s="340"/>
      <c r="H5" s="336"/>
      <c r="I5" s="337"/>
      <c r="J5" s="338"/>
      <c r="K5" s="338" t="s">
        <v>366</v>
      </c>
      <c r="L5" s="338" t="s">
        <v>355</v>
      </c>
      <c r="M5" s="338"/>
      <c r="N5" s="338" t="s">
        <v>360</v>
      </c>
    </row>
    <row r="6" spans="2:14" ht="12" customHeight="1">
      <c r="B6" s="341"/>
      <c r="C6" s="342"/>
      <c r="D6" s="342"/>
      <c r="F6" s="342"/>
      <c r="H6" s="343"/>
      <c r="I6" s="337"/>
      <c r="J6" s="338" t="s">
        <v>359</v>
      </c>
      <c r="K6" s="338" t="s">
        <v>367</v>
      </c>
      <c r="L6" s="338"/>
      <c r="M6" s="338" t="s">
        <v>355</v>
      </c>
      <c r="N6" s="338" t="s">
        <v>368</v>
      </c>
    </row>
    <row r="7" spans="2:14" ht="12.75" customHeight="1">
      <c r="B7" s="341"/>
      <c r="D7" s="344"/>
      <c r="H7" s="343"/>
      <c r="I7" s="337"/>
      <c r="J7" s="338" t="s">
        <v>184</v>
      </c>
      <c r="K7" s="338" t="s">
        <v>363</v>
      </c>
      <c r="L7" s="338" t="s">
        <v>363</v>
      </c>
      <c r="M7" s="338" t="s">
        <v>358</v>
      </c>
      <c r="N7" s="338" t="s">
        <v>369</v>
      </c>
    </row>
    <row r="8" spans="2:14" ht="12.75" customHeight="1">
      <c r="B8" s="341"/>
      <c r="G8" s="344"/>
      <c r="H8" s="345"/>
      <c r="I8" s="338" t="s">
        <v>369</v>
      </c>
      <c r="J8" s="338" t="s">
        <v>355</v>
      </c>
      <c r="K8" s="338" t="s">
        <v>370</v>
      </c>
      <c r="L8" s="338" t="s">
        <v>358</v>
      </c>
      <c r="M8" s="338" t="s">
        <v>369</v>
      </c>
      <c r="N8" s="338" t="s">
        <v>367</v>
      </c>
    </row>
    <row r="9" spans="2:14">
      <c r="B9" s="338" t="s">
        <v>371</v>
      </c>
      <c r="C9" s="345" t="s">
        <v>372</v>
      </c>
      <c r="D9" s="345" t="s">
        <v>373</v>
      </c>
      <c r="E9" s="345" t="s">
        <v>374</v>
      </c>
      <c r="F9" s="338" t="s">
        <v>375</v>
      </c>
      <c r="G9" s="338" t="s">
        <v>376</v>
      </c>
      <c r="H9" s="338" t="s">
        <v>377</v>
      </c>
      <c r="I9" s="338" t="s">
        <v>365</v>
      </c>
      <c r="J9" s="338" t="s">
        <v>184</v>
      </c>
      <c r="K9" s="338" t="s">
        <v>358</v>
      </c>
      <c r="L9" s="338" t="s">
        <v>370</v>
      </c>
      <c r="M9" s="338" t="s">
        <v>355</v>
      </c>
      <c r="N9" s="338" t="s">
        <v>356</v>
      </c>
    </row>
    <row r="10" spans="2:14" ht="15" customHeight="1">
      <c r="B10" s="346"/>
      <c r="C10" s="347"/>
      <c r="D10" s="347"/>
      <c r="E10" s="347"/>
      <c r="F10" s="348"/>
      <c r="G10" s="349"/>
      <c r="H10" s="349"/>
      <c r="I10" s="350"/>
      <c r="J10" s="351"/>
      <c r="K10" s="351"/>
      <c r="L10" s="351"/>
      <c r="M10" s="351"/>
      <c r="N10" s="352"/>
    </row>
    <row r="11" spans="2:14" ht="15" customHeight="1">
      <c r="B11" s="346"/>
      <c r="C11" s="348"/>
      <c r="D11" s="348"/>
      <c r="E11" s="348"/>
      <c r="F11" s="348"/>
      <c r="G11" s="348"/>
      <c r="H11" s="348"/>
      <c r="I11" s="353"/>
      <c r="J11" s="351"/>
      <c r="K11" s="351"/>
      <c r="L11" s="351"/>
      <c r="M11" s="351"/>
      <c r="N11" s="352"/>
    </row>
    <row r="12" spans="2:14" ht="15" customHeight="1">
      <c r="B12" s="346"/>
      <c r="C12" s="348"/>
      <c r="D12" s="348"/>
      <c r="E12" s="348"/>
      <c r="F12" s="348"/>
      <c r="G12" s="348"/>
      <c r="H12" s="348"/>
      <c r="I12" s="353"/>
      <c r="J12" s="354"/>
      <c r="K12" s="351"/>
      <c r="L12" s="351"/>
      <c r="M12" s="351"/>
      <c r="N12" s="352"/>
    </row>
    <row r="13" spans="2:14" ht="15" customHeight="1">
      <c r="B13" s="346"/>
      <c r="C13" s="348"/>
      <c r="D13" s="348"/>
      <c r="E13" s="348"/>
      <c r="F13" s="348"/>
      <c r="G13" s="348"/>
      <c r="H13" s="348"/>
      <c r="I13" s="353"/>
      <c r="J13" s="351"/>
      <c r="K13" s="351"/>
      <c r="L13" s="351"/>
      <c r="M13" s="351"/>
      <c r="N13" s="352"/>
    </row>
    <row r="14" spans="2:14" ht="15" customHeight="1">
      <c r="B14" s="346"/>
      <c r="C14" s="348"/>
      <c r="D14" s="348"/>
      <c r="E14" s="348"/>
      <c r="F14" s="348"/>
      <c r="G14" s="348"/>
      <c r="H14" s="348"/>
      <c r="I14" s="353"/>
      <c r="J14" s="351"/>
      <c r="K14" s="351"/>
      <c r="L14" s="351"/>
      <c r="M14" s="351"/>
      <c r="N14" s="352"/>
    </row>
    <row r="15" spans="2:14" ht="15" customHeight="1">
      <c r="B15" s="346"/>
      <c r="C15" s="348"/>
      <c r="D15" s="348"/>
      <c r="E15" s="348"/>
      <c r="F15" s="348"/>
      <c r="G15" s="348"/>
      <c r="H15" s="348"/>
      <c r="I15" s="353"/>
      <c r="J15" s="351"/>
      <c r="K15" s="351"/>
      <c r="L15" s="351"/>
      <c r="M15" s="351"/>
      <c r="N15" s="352"/>
    </row>
    <row r="16" spans="2:14" ht="15" customHeight="1">
      <c r="B16" s="346"/>
      <c r="C16" s="348"/>
      <c r="D16" s="348"/>
      <c r="E16" s="348"/>
      <c r="F16" s="348"/>
      <c r="G16" s="348"/>
      <c r="H16" s="348"/>
      <c r="I16" s="353"/>
      <c r="J16" s="351"/>
      <c r="K16" s="351"/>
      <c r="L16" s="351"/>
      <c r="M16" s="351"/>
      <c r="N16" s="352"/>
    </row>
    <row r="17" spans="2:14" ht="15" customHeight="1">
      <c r="B17" s="346"/>
      <c r="C17" s="348"/>
      <c r="D17" s="348"/>
      <c r="E17" s="348"/>
      <c r="F17" s="348"/>
      <c r="G17" s="348"/>
      <c r="H17" s="348"/>
      <c r="I17" s="353"/>
      <c r="J17" s="351"/>
      <c r="K17" s="351"/>
      <c r="L17" s="351"/>
      <c r="M17" s="351"/>
      <c r="N17" s="352"/>
    </row>
    <row r="18" spans="2:14" ht="15" customHeight="1">
      <c r="B18" s="346"/>
      <c r="C18" s="348"/>
      <c r="D18" s="348"/>
      <c r="E18" s="348"/>
      <c r="F18" s="348"/>
      <c r="G18" s="348"/>
      <c r="H18" s="348"/>
      <c r="I18" s="353"/>
      <c r="J18" s="351"/>
      <c r="K18" s="351"/>
      <c r="L18" s="351"/>
      <c r="M18" s="351"/>
      <c r="N18" s="352"/>
    </row>
    <row r="19" spans="2:14" ht="15" customHeight="1">
      <c r="B19" s="346"/>
      <c r="C19" s="348"/>
      <c r="D19" s="348"/>
      <c r="E19" s="348"/>
      <c r="F19" s="348"/>
      <c r="G19" s="348"/>
      <c r="H19" s="348"/>
      <c r="I19" s="353"/>
      <c r="J19" s="351"/>
      <c r="K19" s="351"/>
      <c r="L19" s="351"/>
      <c r="M19" s="351"/>
      <c r="N19" s="352"/>
    </row>
    <row r="20" spans="2:14" ht="15" customHeight="1">
      <c r="B20" s="346"/>
      <c r="C20" s="348"/>
      <c r="D20" s="348"/>
      <c r="E20" s="348"/>
      <c r="F20" s="348"/>
      <c r="G20" s="348"/>
      <c r="H20" s="348"/>
      <c r="I20" s="353"/>
      <c r="J20" s="351"/>
      <c r="K20" s="351"/>
      <c r="L20" s="351"/>
      <c r="M20" s="351"/>
      <c r="N20" s="352"/>
    </row>
    <row r="21" spans="2:14" ht="15" customHeight="1">
      <c r="B21" s="346"/>
      <c r="C21" s="348"/>
      <c r="D21" s="348"/>
      <c r="E21" s="348"/>
      <c r="F21" s="348"/>
      <c r="G21" s="348"/>
      <c r="H21" s="348"/>
      <c r="I21" s="353"/>
      <c r="J21" s="351"/>
      <c r="K21" s="351"/>
      <c r="L21" s="351"/>
      <c r="M21" s="351"/>
      <c r="N21" s="352"/>
    </row>
    <row r="22" spans="2:14" ht="15" customHeight="1">
      <c r="B22" s="346"/>
      <c r="C22" s="348"/>
      <c r="D22" s="348"/>
      <c r="E22" s="348"/>
      <c r="F22" s="348"/>
      <c r="G22" s="348"/>
      <c r="H22" s="348"/>
      <c r="I22" s="353"/>
      <c r="J22" s="351"/>
      <c r="K22" s="351"/>
      <c r="L22" s="351"/>
      <c r="M22" s="351"/>
      <c r="N22" s="352"/>
    </row>
    <row r="23" spans="2:14" ht="15" customHeight="1">
      <c r="B23" s="346"/>
      <c r="C23" s="348"/>
      <c r="D23" s="348"/>
      <c r="E23" s="348"/>
      <c r="F23" s="348"/>
      <c r="G23" s="348"/>
      <c r="H23" s="348"/>
      <c r="I23" s="353"/>
      <c r="J23" s="351"/>
      <c r="K23" s="351"/>
      <c r="L23" s="351"/>
      <c r="M23" s="351"/>
      <c r="N23" s="352"/>
    </row>
    <row r="24" spans="2:14" ht="15" customHeight="1">
      <c r="B24" s="346"/>
      <c r="C24" s="348"/>
      <c r="D24" s="348"/>
      <c r="E24" s="348"/>
      <c r="F24" s="348"/>
      <c r="G24" s="348"/>
      <c r="H24" s="348"/>
      <c r="I24" s="353"/>
      <c r="J24" s="351"/>
      <c r="K24" s="351"/>
      <c r="L24" s="351"/>
      <c r="M24" s="351"/>
      <c r="N24" s="352"/>
    </row>
    <row r="25" spans="2:14" ht="15" customHeight="1">
      <c r="B25" s="346"/>
      <c r="C25" s="348"/>
      <c r="D25" s="348"/>
      <c r="E25" s="348"/>
      <c r="F25" s="348"/>
      <c r="G25" s="348"/>
      <c r="H25" s="348"/>
      <c r="I25" s="353"/>
      <c r="J25" s="351"/>
      <c r="K25" s="351"/>
      <c r="L25" s="351"/>
      <c r="M25" s="351"/>
      <c r="N25" s="352"/>
    </row>
    <row r="26" spans="2:14" ht="15" customHeight="1">
      <c r="B26" s="346"/>
      <c r="C26" s="348"/>
      <c r="D26" s="348"/>
      <c r="E26" s="348"/>
      <c r="F26" s="348"/>
      <c r="G26" s="348"/>
      <c r="H26" s="348"/>
      <c r="I26" s="353"/>
      <c r="J26" s="351"/>
      <c r="K26" s="351"/>
      <c r="L26" s="351"/>
      <c r="M26" s="351"/>
      <c r="N26" s="352"/>
    </row>
    <row r="27" spans="2:14" ht="15" customHeight="1">
      <c r="B27" s="346"/>
      <c r="C27" s="348"/>
      <c r="D27" s="348"/>
      <c r="E27" s="348"/>
      <c r="F27" s="348"/>
      <c r="G27" s="348"/>
      <c r="H27" s="348"/>
      <c r="I27" s="353"/>
      <c r="J27" s="351"/>
      <c r="K27" s="351"/>
      <c r="L27" s="351"/>
      <c r="M27" s="351"/>
      <c r="N27" s="352"/>
    </row>
    <row r="28" spans="2:14" ht="15" customHeight="1">
      <c r="B28" s="346"/>
      <c r="C28" s="348"/>
      <c r="D28" s="348"/>
      <c r="E28" s="348"/>
      <c r="F28" s="348"/>
      <c r="G28" s="348"/>
      <c r="H28" s="348"/>
      <c r="I28" s="353"/>
      <c r="J28" s="351"/>
      <c r="K28" s="351"/>
      <c r="L28" s="351"/>
      <c r="M28" s="351"/>
      <c r="N28" s="352"/>
    </row>
    <row r="29" spans="2:14" ht="15" customHeight="1">
      <c r="B29" s="346"/>
      <c r="C29" s="348"/>
      <c r="D29" s="348"/>
      <c r="E29" s="348"/>
      <c r="F29" s="348"/>
      <c r="G29" s="348"/>
      <c r="H29" s="348"/>
      <c r="I29" s="353"/>
      <c r="J29" s="351"/>
      <c r="K29" s="351"/>
      <c r="L29" s="351"/>
      <c r="M29" s="351"/>
      <c r="N29" s="352"/>
    </row>
    <row r="30" spans="2:14" ht="15" customHeight="1">
      <c r="B30" s="346"/>
      <c r="C30" s="348"/>
      <c r="D30" s="348"/>
      <c r="E30" s="348"/>
      <c r="F30" s="348"/>
      <c r="G30" s="348"/>
      <c r="H30" s="348"/>
      <c r="I30" s="353"/>
      <c r="J30" s="351"/>
      <c r="K30" s="351"/>
      <c r="L30" s="351"/>
      <c r="M30" s="351"/>
      <c r="N30" s="352"/>
    </row>
    <row r="31" spans="2:14" ht="15" customHeight="1">
      <c r="B31" s="346"/>
      <c r="C31" s="348"/>
      <c r="D31" s="348"/>
      <c r="E31" s="348"/>
      <c r="F31" s="348"/>
      <c r="G31" s="348"/>
      <c r="H31" s="348"/>
      <c r="I31" s="353"/>
      <c r="J31" s="351"/>
      <c r="K31" s="351"/>
      <c r="L31" s="351"/>
      <c r="M31" s="351"/>
      <c r="N31" s="352"/>
    </row>
    <row r="32" spans="2:14" ht="15" customHeight="1">
      <c r="B32" s="346"/>
      <c r="C32" s="348"/>
      <c r="D32" s="348"/>
      <c r="E32" s="348"/>
      <c r="F32" s="348"/>
      <c r="G32" s="348"/>
      <c r="H32" s="348"/>
      <c r="I32" s="353"/>
      <c r="J32" s="351"/>
      <c r="K32" s="351"/>
      <c r="L32" s="351"/>
      <c r="M32" s="351"/>
      <c r="N32" s="352"/>
    </row>
    <row r="33" spans="2:14" ht="15" customHeight="1">
      <c r="B33" s="346"/>
      <c r="C33" s="348"/>
      <c r="D33" s="348"/>
      <c r="E33" s="348"/>
      <c r="F33" s="348"/>
      <c r="G33" s="348"/>
      <c r="H33" s="348"/>
      <c r="I33" s="353"/>
      <c r="J33" s="351"/>
      <c r="K33" s="351"/>
      <c r="L33" s="351"/>
      <c r="M33" s="351"/>
      <c r="N33" s="352"/>
    </row>
    <row r="34" spans="2:14" ht="15" customHeight="1">
      <c r="B34" s="346"/>
      <c r="C34" s="348"/>
      <c r="D34" s="348"/>
      <c r="E34" s="348"/>
      <c r="F34" s="348"/>
      <c r="G34" s="348"/>
      <c r="H34" s="348"/>
      <c r="I34" s="353"/>
      <c r="J34" s="351"/>
      <c r="K34" s="351"/>
      <c r="L34" s="351"/>
      <c r="M34" s="351"/>
      <c r="N34" s="352"/>
    </row>
    <row r="35" spans="2:14" ht="15" customHeight="1">
      <c r="B35" s="346"/>
      <c r="C35" s="348"/>
      <c r="D35" s="348"/>
      <c r="E35" s="348"/>
      <c r="F35" s="348"/>
      <c r="G35" s="348"/>
      <c r="H35" s="348"/>
      <c r="I35" s="353"/>
      <c r="J35" s="351"/>
      <c r="K35" s="351"/>
      <c r="L35" s="351"/>
      <c r="M35" s="351"/>
      <c r="N35" s="352"/>
    </row>
    <row r="36" spans="2:14" ht="15" customHeight="1">
      <c r="B36" s="346"/>
      <c r="C36" s="348"/>
      <c r="D36" s="348"/>
      <c r="E36" s="348"/>
      <c r="F36" s="348"/>
      <c r="G36" s="348"/>
      <c r="H36" s="348"/>
      <c r="I36" s="353"/>
      <c r="J36" s="351"/>
      <c r="K36" s="351"/>
      <c r="L36" s="351"/>
      <c r="M36" s="351"/>
      <c r="N36" s="352"/>
    </row>
    <row r="37" spans="2:14" ht="15" customHeight="1">
      <c r="B37" s="346"/>
      <c r="C37" s="348"/>
      <c r="D37" s="348"/>
      <c r="E37" s="348"/>
      <c r="F37" s="348"/>
      <c r="G37" s="348"/>
      <c r="H37" s="348"/>
      <c r="I37" s="353"/>
      <c r="J37" s="351"/>
      <c r="K37" s="351"/>
      <c r="L37" s="351"/>
      <c r="M37" s="351"/>
      <c r="N37" s="352"/>
    </row>
    <row r="38" spans="2:14" ht="15" customHeight="1">
      <c r="B38" s="346"/>
      <c r="C38" s="348"/>
      <c r="D38" s="348"/>
      <c r="E38" s="348"/>
      <c r="F38" s="348"/>
      <c r="G38" s="348"/>
      <c r="H38" s="348"/>
      <c r="I38" s="353"/>
      <c r="J38" s="351"/>
      <c r="K38" s="351"/>
      <c r="L38" s="351"/>
      <c r="M38" s="351"/>
      <c r="N38" s="352"/>
    </row>
    <row r="39" spans="2:14" ht="15" customHeight="1">
      <c r="B39" s="346"/>
      <c r="C39" s="348"/>
      <c r="D39" s="348"/>
      <c r="E39" s="348"/>
      <c r="F39" s="348"/>
      <c r="G39" s="348"/>
      <c r="H39" s="348"/>
      <c r="I39" s="353"/>
      <c r="J39" s="351"/>
      <c r="K39" s="351"/>
      <c r="L39" s="351"/>
      <c r="M39" s="351"/>
      <c r="N39" s="352"/>
    </row>
    <row r="40" spans="2:14" ht="15" customHeight="1">
      <c r="B40" s="346"/>
      <c r="C40" s="348"/>
      <c r="D40" s="348"/>
      <c r="E40" s="348"/>
      <c r="F40" s="348"/>
      <c r="G40" s="348"/>
      <c r="H40" s="348"/>
      <c r="I40" s="353"/>
      <c r="J40" s="351"/>
      <c r="K40" s="351"/>
      <c r="L40" s="351"/>
      <c r="M40" s="351"/>
      <c r="N40" s="352"/>
    </row>
    <row r="41" spans="2:14" ht="15" customHeight="1">
      <c r="B41" s="346"/>
      <c r="C41" s="348"/>
      <c r="D41" s="348"/>
      <c r="E41" s="348"/>
      <c r="F41" s="348"/>
      <c r="G41" s="348"/>
      <c r="H41" s="348"/>
      <c r="I41" s="353"/>
      <c r="J41" s="351"/>
      <c r="K41" s="351"/>
      <c r="L41" s="351"/>
      <c r="M41" s="351"/>
      <c r="N41" s="352"/>
    </row>
    <row r="42" spans="2:14" ht="15" customHeight="1">
      <c r="B42" s="346"/>
      <c r="C42" s="348"/>
      <c r="D42" s="348"/>
      <c r="E42" s="348"/>
      <c r="F42" s="348"/>
      <c r="G42" s="348"/>
      <c r="H42" s="348"/>
      <c r="I42" s="353"/>
      <c r="J42" s="351"/>
      <c r="K42" s="351"/>
      <c r="L42" s="351"/>
      <c r="M42" s="351"/>
      <c r="N42" s="352"/>
    </row>
    <row r="43" spans="2:14" ht="15" customHeight="1">
      <c r="B43" s="346"/>
      <c r="C43" s="348"/>
      <c r="D43" s="348"/>
      <c r="E43" s="348"/>
      <c r="F43" s="348"/>
      <c r="G43" s="348"/>
      <c r="H43" s="348"/>
      <c r="I43" s="353"/>
      <c r="J43" s="351"/>
      <c r="K43" s="351"/>
      <c r="L43" s="351"/>
      <c r="M43" s="351"/>
      <c r="N43" s="352"/>
    </row>
    <row r="44" spans="2:14" ht="15" customHeight="1">
      <c r="B44" s="346"/>
      <c r="C44" s="348"/>
      <c r="D44" s="348"/>
      <c r="E44" s="348"/>
      <c r="F44" s="348"/>
      <c r="G44" s="348"/>
      <c r="H44" s="348"/>
      <c r="I44" s="353"/>
      <c r="J44" s="351"/>
      <c r="K44" s="351"/>
      <c r="L44" s="351"/>
      <c r="M44" s="351"/>
      <c r="N44" s="352"/>
    </row>
    <row r="45" spans="2:14" ht="15" customHeight="1">
      <c r="B45" s="346"/>
      <c r="C45" s="348"/>
      <c r="D45" s="348"/>
      <c r="E45" s="348"/>
      <c r="F45" s="348"/>
      <c r="G45" s="348"/>
      <c r="H45" s="348"/>
      <c r="I45" s="353"/>
      <c r="J45" s="351"/>
      <c r="K45" s="351"/>
      <c r="L45" s="351"/>
      <c r="M45" s="351"/>
      <c r="N45" s="352"/>
    </row>
    <row r="46" spans="2:14" ht="15" customHeight="1">
      <c r="B46" s="346"/>
      <c r="C46" s="348"/>
      <c r="D46" s="348"/>
      <c r="E46" s="348"/>
      <c r="F46" s="348"/>
      <c r="G46" s="348"/>
      <c r="H46" s="348"/>
      <c r="I46" s="353"/>
      <c r="J46" s="351"/>
      <c r="K46" s="351"/>
      <c r="L46" s="351"/>
      <c r="M46" s="351"/>
      <c r="N46" s="352"/>
    </row>
    <row r="47" spans="2:14" ht="15" customHeight="1">
      <c r="B47" s="346"/>
      <c r="C47" s="348"/>
      <c r="D47" s="348"/>
      <c r="E47" s="348"/>
      <c r="F47" s="348"/>
      <c r="G47" s="348"/>
      <c r="H47" s="348"/>
      <c r="I47" s="353"/>
      <c r="J47" s="351"/>
      <c r="K47" s="351"/>
      <c r="L47" s="351"/>
      <c r="M47" s="351"/>
      <c r="N47" s="352"/>
    </row>
    <row r="48" spans="2:14" ht="15" customHeight="1">
      <c r="B48" s="346"/>
      <c r="C48" s="348"/>
      <c r="D48" s="348"/>
      <c r="E48" s="348"/>
      <c r="F48" s="348"/>
      <c r="G48" s="348"/>
      <c r="H48" s="348"/>
      <c r="I48" s="353"/>
      <c r="J48" s="351"/>
      <c r="K48" s="351"/>
      <c r="L48" s="351"/>
      <c r="M48" s="351"/>
      <c r="N48" s="352"/>
    </row>
    <row r="49" spans="2:14" ht="15" customHeight="1">
      <c r="B49" s="346"/>
      <c r="C49" s="348"/>
      <c r="D49" s="348"/>
      <c r="E49" s="348"/>
      <c r="F49" s="348"/>
      <c r="G49" s="348"/>
      <c r="H49" s="348"/>
      <c r="I49" s="353"/>
      <c r="J49" s="351"/>
      <c r="K49" s="351"/>
      <c r="L49" s="351"/>
      <c r="M49" s="351"/>
      <c r="N49" s="352"/>
    </row>
    <row r="50" spans="2:14" ht="15" customHeight="1">
      <c r="B50" s="346"/>
      <c r="C50" s="348"/>
      <c r="D50" s="348"/>
      <c r="E50" s="348"/>
      <c r="F50" s="348"/>
      <c r="G50" s="348"/>
      <c r="H50" s="348"/>
      <c r="I50" s="353"/>
      <c r="J50" s="351"/>
      <c r="K50" s="351"/>
      <c r="L50" s="351"/>
      <c r="M50" s="351"/>
      <c r="N50" s="352"/>
    </row>
    <row r="51" spans="2:14" ht="15" customHeight="1">
      <c r="B51" s="346"/>
      <c r="C51" s="348"/>
      <c r="D51" s="348"/>
      <c r="E51" s="348"/>
      <c r="F51" s="348"/>
      <c r="G51" s="348"/>
      <c r="H51" s="348"/>
      <c r="I51" s="353"/>
      <c r="J51" s="351"/>
      <c r="K51" s="351"/>
      <c r="L51" s="351"/>
      <c r="M51" s="351"/>
      <c r="N51" s="352"/>
    </row>
    <row r="52" spans="2:14" ht="15" customHeight="1" thickBot="1">
      <c r="B52" s="355"/>
      <c r="C52" s="356"/>
      <c r="D52" s="356"/>
      <c r="E52" s="356"/>
      <c r="F52" s="356"/>
      <c r="G52" s="356"/>
      <c r="H52" s="356"/>
      <c r="I52" s="357"/>
      <c r="J52" s="358"/>
      <c r="K52" s="358"/>
      <c r="L52" s="358"/>
      <c r="M52" s="358"/>
      <c r="N52" s="359"/>
    </row>
    <row r="53" spans="2:14" ht="20.25" customHeight="1" thickBot="1">
      <c r="B53" s="659" t="s">
        <v>378</v>
      </c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</row>
    <row r="54" spans="2:14" ht="15" customHeight="1" thickBot="1">
      <c r="B54" s="360" t="s">
        <v>379</v>
      </c>
      <c r="C54" s="660" t="s">
        <v>376</v>
      </c>
      <c r="D54" s="661"/>
      <c r="E54" s="661"/>
      <c r="F54" s="661"/>
      <c r="G54" s="661"/>
      <c r="H54" s="361"/>
      <c r="I54" s="660" t="s">
        <v>371</v>
      </c>
      <c r="J54" s="661"/>
      <c r="K54" s="662"/>
      <c r="L54" s="660" t="s">
        <v>380</v>
      </c>
      <c r="M54" s="661"/>
      <c r="N54" s="663"/>
    </row>
    <row r="55" spans="2:14" ht="15" customHeight="1">
      <c r="B55" s="362"/>
      <c r="C55" s="649"/>
      <c r="D55" s="650"/>
      <c r="E55" s="650"/>
      <c r="F55" s="650"/>
      <c r="G55" s="650"/>
      <c r="H55" s="363"/>
      <c r="I55" s="651"/>
      <c r="J55" s="652"/>
      <c r="K55" s="653"/>
      <c r="L55" s="654"/>
      <c r="M55" s="655"/>
      <c r="N55" s="656"/>
    </row>
    <row r="56" spans="2:14" ht="15" customHeight="1">
      <c r="B56" s="364"/>
      <c r="C56" s="633"/>
      <c r="D56" s="634"/>
      <c r="E56" s="634"/>
      <c r="F56" s="634"/>
      <c r="G56" s="634"/>
      <c r="H56" s="365"/>
      <c r="I56" s="635"/>
      <c r="J56" s="636"/>
      <c r="K56" s="637"/>
      <c r="L56" s="638"/>
      <c r="M56" s="639"/>
      <c r="N56" s="640"/>
    </row>
    <row r="57" spans="2:14" ht="15" customHeight="1">
      <c r="B57" s="364"/>
      <c r="C57" s="633"/>
      <c r="D57" s="634"/>
      <c r="E57" s="634"/>
      <c r="F57" s="634"/>
      <c r="G57" s="634"/>
      <c r="H57" s="365"/>
      <c r="I57" s="635"/>
      <c r="J57" s="636"/>
      <c r="K57" s="637"/>
      <c r="L57" s="638"/>
      <c r="M57" s="639"/>
      <c r="N57" s="640"/>
    </row>
    <row r="58" spans="2:14" ht="15" customHeight="1">
      <c r="B58" s="364"/>
      <c r="C58" s="633"/>
      <c r="D58" s="634"/>
      <c r="E58" s="634"/>
      <c r="F58" s="634"/>
      <c r="G58" s="634"/>
      <c r="H58" s="365"/>
      <c r="I58" s="635"/>
      <c r="J58" s="636"/>
      <c r="K58" s="637"/>
      <c r="L58" s="638"/>
      <c r="M58" s="639"/>
      <c r="N58" s="640"/>
    </row>
    <row r="59" spans="2:14" ht="15" customHeight="1">
      <c r="B59" s="364"/>
      <c r="C59" s="633"/>
      <c r="D59" s="634"/>
      <c r="E59" s="634"/>
      <c r="F59" s="634"/>
      <c r="G59" s="634"/>
      <c r="H59" s="365"/>
      <c r="I59" s="635"/>
      <c r="J59" s="636"/>
      <c r="K59" s="637"/>
      <c r="L59" s="638"/>
      <c r="M59" s="639"/>
      <c r="N59" s="640"/>
    </row>
    <row r="60" spans="2:14" ht="15" customHeight="1">
      <c r="B60" s="364"/>
      <c r="C60" s="633"/>
      <c r="D60" s="634"/>
      <c r="E60" s="634"/>
      <c r="F60" s="634"/>
      <c r="G60" s="634"/>
      <c r="H60" s="365"/>
      <c r="I60" s="635"/>
      <c r="J60" s="636"/>
      <c r="K60" s="637"/>
      <c r="L60" s="638"/>
      <c r="M60" s="639"/>
      <c r="N60" s="640"/>
    </row>
    <row r="61" spans="2:14" ht="15" customHeight="1">
      <c r="B61" s="364"/>
      <c r="C61" s="633"/>
      <c r="D61" s="634"/>
      <c r="E61" s="634"/>
      <c r="F61" s="634"/>
      <c r="G61" s="634"/>
      <c r="H61" s="365"/>
      <c r="I61" s="635"/>
      <c r="J61" s="636"/>
      <c r="K61" s="637"/>
      <c r="L61" s="638"/>
      <c r="M61" s="639"/>
      <c r="N61" s="640"/>
    </row>
    <row r="62" spans="2:14" ht="15" customHeight="1">
      <c r="B62" s="364"/>
      <c r="C62" s="633"/>
      <c r="D62" s="634"/>
      <c r="E62" s="634"/>
      <c r="F62" s="634"/>
      <c r="G62" s="634"/>
      <c r="H62" s="365"/>
      <c r="I62" s="635"/>
      <c r="J62" s="636"/>
      <c r="K62" s="637"/>
      <c r="L62" s="638"/>
      <c r="M62" s="639"/>
      <c r="N62" s="640"/>
    </row>
    <row r="63" spans="2:14" ht="15" customHeight="1">
      <c r="B63" s="364"/>
      <c r="C63" s="633"/>
      <c r="D63" s="634"/>
      <c r="E63" s="634"/>
      <c r="F63" s="634"/>
      <c r="G63" s="634"/>
      <c r="H63" s="365"/>
      <c r="I63" s="635"/>
      <c r="J63" s="636"/>
      <c r="K63" s="637"/>
      <c r="L63" s="638"/>
      <c r="M63" s="639"/>
      <c r="N63" s="640"/>
    </row>
    <row r="64" spans="2:14" ht="15" customHeight="1">
      <c r="B64" s="364"/>
      <c r="C64" s="633"/>
      <c r="D64" s="634"/>
      <c r="E64" s="634"/>
      <c r="F64" s="634"/>
      <c r="G64" s="634"/>
      <c r="H64" s="365"/>
      <c r="I64" s="635"/>
      <c r="J64" s="636"/>
      <c r="K64" s="637"/>
      <c r="L64" s="638"/>
      <c r="M64" s="639"/>
      <c r="N64" s="640"/>
    </row>
    <row r="65" spans="2:14" ht="15" customHeight="1">
      <c r="B65" s="364"/>
      <c r="C65" s="633"/>
      <c r="D65" s="634"/>
      <c r="E65" s="634"/>
      <c r="F65" s="634"/>
      <c r="G65" s="634"/>
      <c r="H65" s="365"/>
      <c r="I65" s="635"/>
      <c r="J65" s="636"/>
      <c r="K65" s="637"/>
      <c r="L65" s="638"/>
      <c r="M65" s="639"/>
      <c r="N65" s="640"/>
    </row>
    <row r="66" spans="2:14" ht="15" customHeight="1">
      <c r="B66" s="364"/>
      <c r="C66" s="633"/>
      <c r="D66" s="634"/>
      <c r="E66" s="634"/>
      <c r="F66" s="634"/>
      <c r="G66" s="634"/>
      <c r="H66" s="365"/>
      <c r="I66" s="635"/>
      <c r="J66" s="636"/>
      <c r="K66" s="637"/>
      <c r="L66" s="638"/>
      <c r="M66" s="639"/>
      <c r="N66" s="640"/>
    </row>
    <row r="67" spans="2:14" ht="15" customHeight="1">
      <c r="B67" s="364"/>
      <c r="C67" s="633"/>
      <c r="D67" s="634"/>
      <c r="E67" s="634"/>
      <c r="F67" s="634"/>
      <c r="G67" s="634"/>
      <c r="H67" s="365"/>
      <c r="I67" s="635"/>
      <c r="J67" s="636"/>
      <c r="K67" s="637"/>
      <c r="L67" s="638"/>
      <c r="M67" s="639"/>
      <c r="N67" s="640"/>
    </row>
    <row r="68" spans="2:14" ht="15" customHeight="1">
      <c r="B68" s="364"/>
      <c r="C68" s="633"/>
      <c r="D68" s="634"/>
      <c r="E68" s="634"/>
      <c r="F68" s="634"/>
      <c r="G68" s="634"/>
      <c r="H68" s="365"/>
      <c r="I68" s="635"/>
      <c r="J68" s="636"/>
      <c r="K68" s="637"/>
      <c r="L68" s="638"/>
      <c r="M68" s="639"/>
      <c r="N68" s="640"/>
    </row>
    <row r="69" spans="2:14" ht="15" customHeight="1">
      <c r="B69" s="364"/>
      <c r="C69" s="633"/>
      <c r="D69" s="634"/>
      <c r="E69" s="634"/>
      <c r="F69" s="634"/>
      <c r="G69" s="634"/>
      <c r="H69" s="365"/>
      <c r="I69" s="635"/>
      <c r="J69" s="636"/>
      <c r="K69" s="637"/>
      <c r="L69" s="638"/>
      <c r="M69" s="639"/>
      <c r="N69" s="640"/>
    </row>
    <row r="70" spans="2:14" ht="15" customHeight="1">
      <c r="B70" s="364"/>
      <c r="C70" s="633"/>
      <c r="D70" s="634"/>
      <c r="E70" s="634"/>
      <c r="F70" s="634"/>
      <c r="G70" s="634"/>
      <c r="H70" s="365"/>
      <c r="I70" s="635"/>
      <c r="J70" s="636"/>
      <c r="K70" s="637"/>
      <c r="L70" s="638"/>
      <c r="M70" s="639"/>
      <c r="N70" s="640"/>
    </row>
    <row r="71" spans="2:14" ht="15" customHeight="1">
      <c r="B71" s="364"/>
      <c r="C71" s="633"/>
      <c r="D71" s="634"/>
      <c r="E71" s="634"/>
      <c r="F71" s="634"/>
      <c r="G71" s="634"/>
      <c r="H71" s="365"/>
      <c r="I71" s="635"/>
      <c r="J71" s="636"/>
      <c r="K71" s="637"/>
      <c r="L71" s="638"/>
      <c r="M71" s="639"/>
      <c r="N71" s="640"/>
    </row>
    <row r="72" spans="2:14">
      <c r="B72" s="364"/>
      <c r="C72" s="633"/>
      <c r="D72" s="634"/>
      <c r="E72" s="634"/>
      <c r="F72" s="634"/>
      <c r="G72" s="634"/>
      <c r="H72" s="365"/>
      <c r="I72" s="635"/>
      <c r="J72" s="636"/>
      <c r="K72" s="637"/>
      <c r="L72" s="638"/>
      <c r="M72" s="639"/>
      <c r="N72" s="640"/>
    </row>
    <row r="73" spans="2:14">
      <c r="B73" s="364"/>
      <c r="C73" s="633"/>
      <c r="D73" s="634"/>
      <c r="E73" s="634"/>
      <c r="F73" s="634"/>
      <c r="G73" s="634"/>
      <c r="H73" s="365"/>
      <c r="I73" s="635"/>
      <c r="J73" s="636"/>
      <c r="K73" s="637"/>
      <c r="L73" s="638"/>
      <c r="M73" s="639"/>
      <c r="N73" s="640"/>
    </row>
    <row r="74" spans="2:14">
      <c r="B74" s="364"/>
      <c r="C74" s="633"/>
      <c r="D74" s="634"/>
      <c r="E74" s="634"/>
      <c r="F74" s="634"/>
      <c r="G74" s="634"/>
      <c r="H74" s="365"/>
      <c r="I74" s="635"/>
      <c r="J74" s="636"/>
      <c r="K74" s="637"/>
      <c r="L74" s="638"/>
      <c r="M74" s="639"/>
      <c r="N74" s="640"/>
    </row>
    <row r="75" spans="2:14">
      <c r="B75" s="364"/>
      <c r="C75" s="633"/>
      <c r="D75" s="634"/>
      <c r="E75" s="634"/>
      <c r="F75" s="634"/>
      <c r="G75" s="634"/>
      <c r="H75" s="365"/>
      <c r="I75" s="635"/>
      <c r="J75" s="636"/>
      <c r="K75" s="637"/>
      <c r="L75" s="638"/>
      <c r="M75" s="639"/>
      <c r="N75" s="640"/>
    </row>
    <row r="76" spans="2:14">
      <c r="B76" s="364"/>
      <c r="C76" s="633"/>
      <c r="D76" s="634"/>
      <c r="E76" s="634"/>
      <c r="F76" s="634"/>
      <c r="G76" s="634"/>
      <c r="H76" s="365"/>
      <c r="I76" s="635"/>
      <c r="J76" s="636"/>
      <c r="K76" s="637"/>
      <c r="L76" s="638"/>
      <c r="M76" s="639"/>
      <c r="N76" s="640"/>
    </row>
    <row r="77" spans="2:14">
      <c r="B77" s="364"/>
      <c r="C77" s="633"/>
      <c r="D77" s="634"/>
      <c r="E77" s="634"/>
      <c r="F77" s="634"/>
      <c r="G77" s="634"/>
      <c r="H77" s="365"/>
      <c r="I77" s="635"/>
      <c r="J77" s="636"/>
      <c r="K77" s="637"/>
      <c r="L77" s="638"/>
      <c r="M77" s="639"/>
      <c r="N77" s="640"/>
    </row>
    <row r="78" spans="2:14">
      <c r="B78" s="364"/>
      <c r="C78" s="633"/>
      <c r="D78" s="634"/>
      <c r="E78" s="634"/>
      <c r="F78" s="634"/>
      <c r="G78" s="634"/>
      <c r="H78" s="365"/>
      <c r="I78" s="635"/>
      <c r="J78" s="636"/>
      <c r="K78" s="637"/>
      <c r="L78" s="638"/>
      <c r="M78" s="639"/>
      <c r="N78" s="640"/>
    </row>
    <row r="79" spans="2:14" ht="13.8" thickBot="1">
      <c r="B79" s="366"/>
      <c r="C79" s="641"/>
      <c r="D79" s="642"/>
      <c r="E79" s="642"/>
      <c r="F79" s="642"/>
      <c r="G79" s="642"/>
      <c r="H79" s="367"/>
      <c r="I79" s="643"/>
      <c r="J79" s="644"/>
      <c r="K79" s="645"/>
      <c r="L79" s="646"/>
      <c r="M79" s="647"/>
      <c r="N79" s="648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86" customWidth="1"/>
    <col min="2" max="7" width="10.6640625" style="386" customWidth="1"/>
    <col min="8" max="16384" width="9.109375" style="386"/>
  </cols>
  <sheetData>
    <row r="1" spans="1:12" ht="21" customHeight="1">
      <c r="A1" s="385" t="s">
        <v>412</v>
      </c>
      <c r="B1" s="673" t="s">
        <v>451</v>
      </c>
      <c r="C1" s="673"/>
      <c r="D1" s="673"/>
      <c r="E1" s="673"/>
      <c r="F1" s="673"/>
      <c r="G1" s="673"/>
    </row>
    <row r="2" spans="1:12" ht="15" customHeight="1"/>
    <row r="3" spans="1:12" ht="20.399999999999999">
      <c r="A3" s="387" t="s">
        <v>413</v>
      </c>
    </row>
    <row r="4" spans="1:12" ht="12" customHeight="1">
      <c r="A4" s="388"/>
      <c r="B4" s="388"/>
      <c r="C4" s="388"/>
      <c r="D4" s="388" t="s">
        <v>465</v>
      </c>
      <c r="E4" s="388"/>
      <c r="F4" s="388"/>
      <c r="G4" s="388"/>
      <c r="H4" s="388"/>
      <c r="I4" s="388"/>
      <c r="J4" s="388"/>
      <c r="K4" s="388"/>
      <c r="L4" s="388"/>
    </row>
    <row r="5" spans="1:12" ht="15.6" customHeight="1">
      <c r="A5" s="389" t="s">
        <v>5</v>
      </c>
      <c r="B5" s="389" t="s">
        <v>414</v>
      </c>
      <c r="C5" s="389" t="s">
        <v>415</v>
      </c>
      <c r="D5" s="389" t="s">
        <v>416</v>
      </c>
      <c r="E5" s="389" t="s">
        <v>417</v>
      </c>
      <c r="F5" s="389" t="s">
        <v>418</v>
      </c>
      <c r="G5" s="389" t="s">
        <v>419</v>
      </c>
      <c r="H5" s="388"/>
      <c r="I5" s="388"/>
      <c r="J5" s="388"/>
      <c r="K5" s="388"/>
      <c r="L5" s="388"/>
    </row>
    <row r="6" spans="1:12" ht="15.6" customHeight="1">
      <c r="A6" s="390" t="s">
        <v>420</v>
      </c>
      <c r="B6" s="390" t="s">
        <v>166</v>
      </c>
      <c r="C6" s="390" t="s">
        <v>166</v>
      </c>
      <c r="D6" s="390" t="s">
        <v>421</v>
      </c>
      <c r="E6" s="390" t="s">
        <v>135</v>
      </c>
      <c r="F6" s="390" t="s">
        <v>422</v>
      </c>
      <c r="G6" s="390" t="s">
        <v>422</v>
      </c>
      <c r="H6" s="388"/>
      <c r="I6" s="388"/>
      <c r="J6" s="388"/>
      <c r="K6" s="388"/>
      <c r="L6" s="388"/>
    </row>
    <row r="7" spans="1:12" ht="15.9" customHeight="1">
      <c r="A7" s="391" t="s">
        <v>452</v>
      </c>
      <c r="B7" s="391" t="s">
        <v>466</v>
      </c>
      <c r="C7" s="391" t="s">
        <v>476</v>
      </c>
      <c r="D7" s="391" t="s">
        <v>488</v>
      </c>
      <c r="E7" s="391" t="s">
        <v>500</v>
      </c>
      <c r="F7" s="391" t="s">
        <v>512</v>
      </c>
      <c r="G7" s="391" t="s">
        <v>524</v>
      </c>
      <c r="H7" s="388"/>
      <c r="I7" s="388"/>
      <c r="J7" s="388"/>
      <c r="K7" s="388"/>
      <c r="L7" s="388"/>
    </row>
    <row r="8" spans="1:12" ht="15.9" customHeight="1">
      <c r="A8" s="391" t="s">
        <v>453</v>
      </c>
      <c r="B8" s="391" t="s">
        <v>466</v>
      </c>
      <c r="C8" s="391" t="s">
        <v>477</v>
      </c>
      <c r="D8" s="391" t="s">
        <v>489</v>
      </c>
      <c r="E8" s="391" t="s">
        <v>501</v>
      </c>
      <c r="F8" s="391" t="s">
        <v>513</v>
      </c>
      <c r="G8" s="391" t="s">
        <v>525</v>
      </c>
      <c r="H8" s="388"/>
      <c r="I8" s="388"/>
      <c r="J8" s="388"/>
      <c r="K8" s="388"/>
      <c r="L8" s="388"/>
    </row>
    <row r="9" spans="1:12" ht="15.9" customHeight="1">
      <c r="A9" s="391" t="s">
        <v>454</v>
      </c>
      <c r="B9" s="391" t="s">
        <v>467</v>
      </c>
      <c r="C9" s="391" t="s">
        <v>478</v>
      </c>
      <c r="D9" s="391" t="s">
        <v>490</v>
      </c>
      <c r="E9" s="391" t="s">
        <v>502</v>
      </c>
      <c r="F9" s="391" t="s">
        <v>514</v>
      </c>
      <c r="G9" s="391" t="s">
        <v>526</v>
      </c>
      <c r="H9" s="388"/>
      <c r="I9" s="388"/>
      <c r="J9" s="388"/>
      <c r="K9" s="388"/>
      <c r="L9" s="388"/>
    </row>
    <row r="10" spans="1:12" ht="15.9" customHeight="1">
      <c r="A10" s="391" t="s">
        <v>455</v>
      </c>
      <c r="B10" s="391" t="s">
        <v>467</v>
      </c>
      <c r="C10" s="391" t="s">
        <v>479</v>
      </c>
      <c r="D10" s="391" t="s">
        <v>491</v>
      </c>
      <c r="E10" s="391" t="s">
        <v>503</v>
      </c>
      <c r="F10" s="391" t="s">
        <v>515</v>
      </c>
      <c r="G10" s="391" t="s">
        <v>527</v>
      </c>
      <c r="H10" s="388"/>
      <c r="I10" s="388"/>
      <c r="J10" s="388"/>
      <c r="K10" s="388"/>
      <c r="L10" s="388"/>
    </row>
    <row r="11" spans="1:12" ht="15.9" customHeight="1">
      <c r="A11" s="391" t="s">
        <v>456</v>
      </c>
      <c r="B11" s="391" t="s">
        <v>468</v>
      </c>
      <c r="C11" s="391" t="s">
        <v>480</v>
      </c>
      <c r="D11" s="391" t="s">
        <v>492</v>
      </c>
      <c r="E11" s="391" t="s">
        <v>504</v>
      </c>
      <c r="F11" s="391" t="s">
        <v>516</v>
      </c>
      <c r="G11" s="391" t="s">
        <v>528</v>
      </c>
      <c r="H11" s="388"/>
      <c r="I11" s="388"/>
      <c r="J11" s="388"/>
      <c r="K11" s="388"/>
      <c r="L11" s="388"/>
    </row>
    <row r="12" spans="1:12" ht="15.9" customHeight="1">
      <c r="A12" s="391" t="s">
        <v>457</v>
      </c>
      <c r="B12" s="391" t="s">
        <v>469</v>
      </c>
      <c r="C12" s="391" t="s">
        <v>481</v>
      </c>
      <c r="D12" s="391" t="s">
        <v>493</v>
      </c>
      <c r="E12" s="391" t="s">
        <v>505</v>
      </c>
      <c r="F12" s="391" t="s">
        <v>517</v>
      </c>
      <c r="G12" s="391" t="s">
        <v>529</v>
      </c>
      <c r="H12" s="388"/>
      <c r="I12" s="388"/>
      <c r="J12" s="388"/>
      <c r="K12" s="388"/>
      <c r="L12" s="388"/>
    </row>
    <row r="13" spans="1:12" ht="15.9" customHeight="1">
      <c r="A13" s="391" t="s">
        <v>458</v>
      </c>
      <c r="B13" s="391" t="s">
        <v>470</v>
      </c>
      <c r="C13" s="391" t="s">
        <v>482</v>
      </c>
      <c r="D13" s="391" t="s">
        <v>494</v>
      </c>
      <c r="E13" s="391" t="s">
        <v>506</v>
      </c>
      <c r="F13" s="391" t="s">
        <v>518</v>
      </c>
      <c r="G13" s="391" t="s">
        <v>530</v>
      </c>
      <c r="H13" s="388"/>
      <c r="I13" s="388"/>
      <c r="J13" s="388"/>
      <c r="K13" s="388"/>
      <c r="L13" s="388"/>
    </row>
    <row r="14" spans="1:12" ht="15.9" customHeight="1">
      <c r="A14" s="391" t="s">
        <v>459</v>
      </c>
      <c r="B14" s="391" t="s">
        <v>471</v>
      </c>
      <c r="C14" s="391" t="s">
        <v>483</v>
      </c>
      <c r="D14" s="391" t="s">
        <v>495</v>
      </c>
      <c r="E14" s="391" t="s">
        <v>507</v>
      </c>
      <c r="F14" s="391" t="s">
        <v>519</v>
      </c>
      <c r="G14" s="391" t="s">
        <v>531</v>
      </c>
      <c r="H14" s="388"/>
      <c r="I14" s="388"/>
      <c r="J14" s="388"/>
      <c r="K14" s="388"/>
      <c r="L14" s="388"/>
    </row>
    <row r="15" spans="1:12" ht="15.9" customHeight="1">
      <c r="A15" s="391" t="s">
        <v>460</v>
      </c>
      <c r="B15" s="391" t="s">
        <v>472</v>
      </c>
      <c r="C15" s="391" t="s">
        <v>484</v>
      </c>
      <c r="D15" s="391" t="s">
        <v>496</v>
      </c>
      <c r="E15" s="391" t="s">
        <v>508</v>
      </c>
      <c r="F15" s="391" t="s">
        <v>520</v>
      </c>
      <c r="G15" s="391" t="s">
        <v>532</v>
      </c>
      <c r="H15" s="388"/>
      <c r="I15" s="388"/>
      <c r="J15" s="388"/>
      <c r="K15" s="388"/>
      <c r="L15" s="388"/>
    </row>
    <row r="16" spans="1:12" ht="15.9" customHeight="1">
      <c r="A16" s="391" t="s">
        <v>461</v>
      </c>
      <c r="B16" s="391" t="s">
        <v>473</v>
      </c>
      <c r="C16" s="391" t="s">
        <v>485</v>
      </c>
      <c r="D16" s="391" t="s">
        <v>497</v>
      </c>
      <c r="E16" s="391" t="s">
        <v>509</v>
      </c>
      <c r="F16" s="391" t="s">
        <v>521</v>
      </c>
      <c r="G16" s="391" t="s">
        <v>533</v>
      </c>
      <c r="H16" s="388"/>
      <c r="I16" s="388"/>
      <c r="J16" s="388"/>
      <c r="K16" s="388"/>
      <c r="L16" s="388"/>
    </row>
    <row r="17" spans="1:12" ht="15.9" customHeight="1">
      <c r="A17" s="391" t="s">
        <v>462</v>
      </c>
      <c r="B17" s="391" t="s">
        <v>474</v>
      </c>
      <c r="C17" s="391" t="s">
        <v>486</v>
      </c>
      <c r="D17" s="391" t="s">
        <v>498</v>
      </c>
      <c r="E17" s="391" t="s">
        <v>510</v>
      </c>
      <c r="F17" s="391" t="s">
        <v>522</v>
      </c>
      <c r="G17" s="391" t="s">
        <v>534</v>
      </c>
      <c r="H17" s="388"/>
      <c r="I17" s="388"/>
      <c r="J17" s="388"/>
      <c r="K17" s="388"/>
      <c r="L17" s="388"/>
    </row>
    <row r="18" spans="1:12" ht="15.9" customHeight="1">
      <c r="A18" s="391" t="s">
        <v>463</v>
      </c>
      <c r="B18" s="391" t="s">
        <v>475</v>
      </c>
      <c r="C18" s="391" t="s">
        <v>487</v>
      </c>
      <c r="D18" s="391" t="s">
        <v>499</v>
      </c>
      <c r="E18" s="391" t="s">
        <v>511</v>
      </c>
      <c r="F18" s="391" t="s">
        <v>523</v>
      </c>
      <c r="G18" s="391" t="s">
        <v>535</v>
      </c>
      <c r="H18" s="388"/>
      <c r="I18" s="388"/>
      <c r="J18" s="388"/>
      <c r="K18" s="388"/>
      <c r="L18" s="388"/>
    </row>
    <row r="19" spans="1:12" ht="15.9" customHeight="1">
      <c r="A19" s="398" t="s">
        <v>464</v>
      </c>
      <c r="B19" s="398" t="s">
        <v>464</v>
      </c>
      <c r="C19" s="398" t="s">
        <v>464</v>
      </c>
      <c r="D19" s="398" t="s">
        <v>464</v>
      </c>
      <c r="E19" s="398" t="s">
        <v>464</v>
      </c>
      <c r="F19" s="398" t="s">
        <v>464</v>
      </c>
      <c r="G19" s="398" t="s">
        <v>464</v>
      </c>
      <c r="H19" s="388"/>
      <c r="I19" s="388"/>
      <c r="J19" s="388"/>
      <c r="K19" s="388"/>
      <c r="L19" s="388"/>
    </row>
    <row r="20" spans="1:12" ht="15.6">
      <c r="A20" s="388"/>
      <c r="B20" s="388"/>
      <c r="C20" s="388"/>
      <c r="D20" s="388"/>
      <c r="E20" s="388"/>
      <c r="F20" s="388"/>
      <c r="G20" s="388"/>
      <c r="H20" s="388"/>
      <c r="I20" s="388"/>
      <c r="J20" s="388"/>
      <c r="K20" s="388"/>
      <c r="L20" s="388"/>
    </row>
    <row r="21" spans="1:12" ht="16.2">
      <c r="A21" s="388"/>
      <c r="B21" s="388"/>
      <c r="C21" s="388"/>
      <c r="D21" s="674" t="s">
        <v>545</v>
      </c>
      <c r="E21" s="670"/>
      <c r="F21" s="670"/>
      <c r="G21" s="671"/>
      <c r="H21" s="388"/>
      <c r="I21" s="388"/>
      <c r="J21" s="388"/>
      <c r="K21" s="388"/>
      <c r="L21" s="388"/>
    </row>
    <row r="22" spans="1:12" ht="17.25" customHeight="1">
      <c r="A22" s="388"/>
      <c r="B22" s="672" t="s">
        <v>423</v>
      </c>
      <c r="C22" s="672"/>
      <c r="D22" s="672" t="s">
        <v>424</v>
      </c>
      <c r="E22" s="672"/>
      <c r="F22" s="672" t="s">
        <v>425</v>
      </c>
      <c r="G22" s="672"/>
      <c r="H22" s="388"/>
      <c r="I22" s="388"/>
      <c r="J22" s="388"/>
      <c r="K22" s="388"/>
      <c r="L22" s="388"/>
    </row>
    <row r="23" spans="1:12" ht="15.6">
      <c r="A23" s="392" t="s">
        <v>426</v>
      </c>
      <c r="B23" s="668" t="s">
        <v>536</v>
      </c>
      <c r="C23" s="668"/>
      <c r="D23" s="668" t="s">
        <v>539</v>
      </c>
      <c r="E23" s="668"/>
      <c r="F23" s="668" t="s">
        <v>542</v>
      </c>
      <c r="G23" s="668"/>
      <c r="H23" s="388"/>
      <c r="I23" s="388"/>
      <c r="J23" s="388"/>
      <c r="K23" s="388"/>
      <c r="L23" s="388"/>
    </row>
    <row r="24" spans="1:12" ht="18" customHeight="1">
      <c r="A24" s="392" t="s">
        <v>427</v>
      </c>
      <c r="B24" s="668" t="s">
        <v>537</v>
      </c>
      <c r="C24" s="668"/>
      <c r="D24" s="668" t="s">
        <v>540</v>
      </c>
      <c r="E24" s="668"/>
      <c r="F24" s="668" t="s">
        <v>543</v>
      </c>
      <c r="G24" s="668"/>
      <c r="H24" s="388"/>
      <c r="I24" s="388"/>
      <c r="J24" s="388"/>
      <c r="K24" s="388"/>
      <c r="L24" s="388"/>
    </row>
    <row r="25" spans="1:12" ht="15.6">
      <c r="A25" s="392" t="s">
        <v>428</v>
      </c>
      <c r="B25" s="668" t="s">
        <v>538</v>
      </c>
      <c r="C25" s="668"/>
      <c r="D25" s="668" t="s">
        <v>541</v>
      </c>
      <c r="E25" s="668"/>
      <c r="F25" s="668" t="s">
        <v>544</v>
      </c>
      <c r="G25" s="668"/>
      <c r="H25" s="388"/>
      <c r="I25" s="388"/>
      <c r="J25" s="388"/>
      <c r="K25" s="388"/>
      <c r="L25" s="388"/>
    </row>
    <row r="26" spans="1:12" ht="15.6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</row>
    <row r="27" spans="1:12" ht="20.399999999999999">
      <c r="A27" s="387" t="s">
        <v>429</v>
      </c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</row>
    <row r="28" spans="1:12" ht="15.6">
      <c r="A28" s="388"/>
      <c r="B28" s="388"/>
      <c r="C28" s="388"/>
      <c r="D28" s="388"/>
      <c r="E28" s="669" t="s">
        <v>430</v>
      </c>
      <c r="F28" s="670"/>
      <c r="G28" s="671"/>
      <c r="H28" s="388"/>
      <c r="I28" s="388"/>
      <c r="J28" s="388"/>
      <c r="K28" s="388"/>
      <c r="L28" s="388"/>
    </row>
    <row r="29" spans="1:12" ht="15.6">
      <c r="A29" s="388"/>
      <c r="B29" s="672" t="s">
        <v>431</v>
      </c>
      <c r="C29" s="672"/>
      <c r="D29" s="393" t="s">
        <v>432</v>
      </c>
      <c r="E29" s="393" t="s">
        <v>433</v>
      </c>
      <c r="F29" s="672" t="s">
        <v>434</v>
      </c>
      <c r="G29" s="672"/>
      <c r="H29" s="388"/>
      <c r="I29" s="388"/>
      <c r="J29" s="388"/>
      <c r="K29" s="388"/>
      <c r="L29" s="388"/>
    </row>
    <row r="30" spans="1:12" ht="15.6">
      <c r="A30" s="392" t="s">
        <v>435</v>
      </c>
      <c r="B30" s="668" t="s">
        <v>546</v>
      </c>
      <c r="C30" s="668"/>
      <c r="D30" s="391" t="s">
        <v>549</v>
      </c>
      <c r="E30" s="391" t="s">
        <v>436</v>
      </c>
      <c r="F30" s="668" t="s">
        <v>552</v>
      </c>
      <c r="G30" s="668"/>
      <c r="H30" s="388"/>
      <c r="I30" s="388"/>
      <c r="J30" s="388"/>
      <c r="K30" s="388"/>
      <c r="L30" s="388"/>
    </row>
    <row r="31" spans="1:12" ht="15.6">
      <c r="A31" s="392" t="s">
        <v>437</v>
      </c>
      <c r="B31" s="668" t="s">
        <v>547</v>
      </c>
      <c r="C31" s="668"/>
      <c r="D31" s="391" t="s">
        <v>550</v>
      </c>
      <c r="E31" s="391" t="s">
        <v>438</v>
      </c>
      <c r="F31" s="668" t="s">
        <v>553</v>
      </c>
      <c r="G31" s="668"/>
      <c r="H31" s="388"/>
      <c r="I31" s="388"/>
      <c r="J31" s="388"/>
      <c r="K31" s="388"/>
      <c r="L31" s="388"/>
    </row>
    <row r="32" spans="1:12" ht="15.6">
      <c r="A32" s="392" t="s">
        <v>439</v>
      </c>
      <c r="B32" s="668" t="s">
        <v>548</v>
      </c>
      <c r="C32" s="668"/>
      <c r="D32" s="391" t="s">
        <v>551</v>
      </c>
      <c r="E32" s="391" t="s">
        <v>440</v>
      </c>
      <c r="F32" s="668" t="s">
        <v>554</v>
      </c>
      <c r="G32" s="668"/>
      <c r="H32" s="388"/>
      <c r="I32" s="388"/>
      <c r="J32" s="388"/>
      <c r="K32" s="388"/>
      <c r="L32" s="388"/>
    </row>
    <row r="33" spans="1:12" ht="15.6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</row>
    <row r="34" spans="1:12" ht="15.6">
      <c r="A34" s="388"/>
      <c r="B34" s="388"/>
      <c r="C34" s="388"/>
      <c r="D34" s="388"/>
      <c r="E34" s="669" t="s">
        <v>441</v>
      </c>
      <c r="F34" s="670"/>
      <c r="G34" s="671"/>
      <c r="H34" s="388"/>
      <c r="I34" s="388"/>
      <c r="J34" s="388"/>
      <c r="K34" s="388"/>
      <c r="L34" s="388"/>
    </row>
    <row r="35" spans="1:12" ht="15.6">
      <c r="A35" s="388"/>
      <c r="B35" s="672" t="s">
        <v>442</v>
      </c>
      <c r="C35" s="672"/>
      <c r="D35" s="393" t="s">
        <v>433</v>
      </c>
      <c r="E35" s="393" t="s">
        <v>443</v>
      </c>
      <c r="F35" s="393" t="s">
        <v>100</v>
      </c>
      <c r="G35" s="393" t="s">
        <v>444</v>
      </c>
      <c r="H35" s="388"/>
      <c r="I35" s="388"/>
      <c r="J35" s="388"/>
      <c r="K35" s="388"/>
      <c r="L35" s="388"/>
    </row>
    <row r="36" spans="1:12" ht="15.6">
      <c r="A36" s="392" t="s">
        <v>435</v>
      </c>
      <c r="B36" s="664" t="s">
        <v>555</v>
      </c>
      <c r="C36" s="665"/>
      <c r="D36" s="394" t="s">
        <v>557</v>
      </c>
      <c r="E36" s="394" t="s">
        <v>445</v>
      </c>
      <c r="F36" s="395" t="s">
        <v>446</v>
      </c>
      <c r="G36" s="391" t="s">
        <v>560</v>
      </c>
      <c r="H36" s="388"/>
      <c r="I36" s="388"/>
      <c r="J36" s="388"/>
      <c r="K36" s="388"/>
      <c r="L36" s="388"/>
    </row>
    <row r="37" spans="1:12" ht="15.6">
      <c r="A37" s="392" t="s">
        <v>437</v>
      </c>
      <c r="B37" s="664" t="s">
        <v>556</v>
      </c>
      <c r="C37" s="665"/>
      <c r="D37" s="394" t="s">
        <v>558</v>
      </c>
      <c r="E37" s="394" t="s">
        <v>445</v>
      </c>
      <c r="F37" s="395" t="s">
        <v>447</v>
      </c>
      <c r="G37" s="396" t="s">
        <v>561</v>
      </c>
      <c r="H37" s="388"/>
      <c r="I37" s="388"/>
      <c r="J37" s="388"/>
      <c r="K37" s="388"/>
      <c r="L37" s="388"/>
    </row>
    <row r="38" spans="1:12" ht="15.6">
      <c r="A38" s="392" t="s">
        <v>439</v>
      </c>
      <c r="B38" s="664" t="s">
        <v>556</v>
      </c>
      <c r="C38" s="665"/>
      <c r="D38" s="394" t="s">
        <v>559</v>
      </c>
      <c r="E38" s="394" t="s">
        <v>445</v>
      </c>
      <c r="F38" s="395" t="s">
        <v>448</v>
      </c>
      <c r="G38" s="391" t="s">
        <v>562</v>
      </c>
      <c r="H38" s="388"/>
      <c r="I38" s="388"/>
      <c r="J38" s="388"/>
      <c r="K38" s="388"/>
      <c r="L38" s="388"/>
    </row>
    <row r="39" spans="1:12" ht="15.6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</row>
    <row r="40" spans="1:12" ht="15.6">
      <c r="A40" s="397" t="s">
        <v>449</v>
      </c>
      <c r="B40" s="666" t="s">
        <v>563</v>
      </c>
      <c r="C40" s="666"/>
      <c r="D40" s="667" t="s">
        <v>450</v>
      </c>
      <c r="E40" s="667"/>
      <c r="F40" s="666" t="s">
        <v>561</v>
      </c>
      <c r="G40" s="666"/>
      <c r="H40" s="388"/>
      <c r="I40" s="388"/>
      <c r="J40" s="388"/>
      <c r="K40" s="388"/>
      <c r="L40" s="388"/>
    </row>
    <row r="41" spans="1:12" ht="15.6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</row>
    <row r="42" spans="1:12" ht="15.6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</row>
    <row r="43" spans="1:12" ht="15.6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</row>
    <row r="44" spans="1:12" ht="15.6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</row>
    <row r="45" spans="1:12" ht="15.6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</row>
    <row r="46" spans="1:12" ht="15.6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</row>
    <row r="47" spans="1:12" ht="15.6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</row>
    <row r="48" spans="1:12" ht="15.6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</row>
    <row r="49" spans="1:12" ht="15.6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</row>
    <row r="50" spans="1:12" ht="15.6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</row>
    <row r="51" spans="1:12" ht="15.6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</row>
    <row r="52" spans="1:12" ht="15.6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</row>
    <row r="53" spans="1:12" ht="15.6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</row>
    <row r="54" spans="1:12" ht="15.6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</row>
    <row r="55" spans="1:12" ht="15.6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</row>
    <row r="56" spans="1:12" ht="15.6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</row>
    <row r="57" spans="1:12" ht="15.6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</row>
    <row r="58" spans="1:12" ht="15.6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</row>
    <row r="59" spans="1:12" ht="15.6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</row>
    <row r="60" spans="1:12" ht="15.6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</row>
    <row r="61" spans="1:12" ht="15.6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zoomScaleNormal="100" workbookViewId="0">
      <selection activeCell="Q23" sqref="Q23"/>
    </sheetView>
  </sheetViews>
  <sheetFormatPr defaultColWidth="12.5546875" defaultRowHeight="15.6"/>
  <cols>
    <col min="1" max="13" width="7" style="453" customWidth="1"/>
    <col min="14" max="14" width="7.109375" style="453" customWidth="1"/>
    <col min="15" max="16384" width="12.5546875" style="453"/>
  </cols>
  <sheetData>
    <row r="1" spans="1:14" ht="17.100000000000001" customHeight="1">
      <c r="A1" s="446" t="s">
        <v>269</v>
      </c>
      <c r="B1" s="447"/>
      <c r="C1" s="447"/>
      <c r="D1" s="447"/>
      <c r="E1" s="447"/>
      <c r="F1" s="447"/>
      <c r="G1" s="447"/>
      <c r="H1" s="447"/>
      <c r="I1" s="447"/>
      <c r="J1" s="448" t="s">
        <v>598</v>
      </c>
      <c r="K1" s="449"/>
      <c r="L1" s="450" t="s">
        <v>599</v>
      </c>
      <c r="M1" s="451"/>
      <c r="N1" s="452"/>
    </row>
    <row r="2" spans="1:14" ht="17.100000000000001" customHeight="1">
      <c r="A2" s="454" t="s">
        <v>600</v>
      </c>
      <c r="B2" s="455"/>
      <c r="C2" s="455"/>
      <c r="D2" s="455"/>
      <c r="E2" s="455"/>
      <c r="F2" s="455"/>
      <c r="G2" s="455"/>
      <c r="H2" s="455"/>
      <c r="I2" s="455"/>
      <c r="J2" s="456" t="s">
        <v>601</v>
      </c>
      <c r="K2" s="457"/>
      <c r="L2" s="458" t="s">
        <v>602</v>
      </c>
      <c r="M2" s="459"/>
      <c r="N2" s="452"/>
    </row>
    <row r="3" spans="1:14" ht="15.9" customHeight="1">
      <c r="A3" s="460"/>
      <c r="B3" s="461"/>
      <c r="C3" s="461"/>
      <c r="D3" s="461"/>
      <c r="E3" s="461"/>
      <c r="F3" s="461"/>
      <c r="G3" s="461"/>
      <c r="H3" s="461"/>
      <c r="I3" s="461"/>
      <c r="J3" s="456" t="s">
        <v>603</v>
      </c>
      <c r="K3" s="457"/>
      <c r="L3" s="462" t="s">
        <v>604</v>
      </c>
      <c r="M3" s="459"/>
      <c r="N3" s="452"/>
    </row>
    <row r="4" spans="1:14" ht="15.9" customHeight="1">
      <c r="A4" s="463"/>
      <c r="B4" s="461"/>
      <c r="C4" s="461"/>
      <c r="D4" s="461"/>
      <c r="E4" s="461"/>
      <c r="F4" s="461"/>
      <c r="G4" s="461"/>
      <c r="H4" s="461"/>
      <c r="I4" s="461"/>
      <c r="J4" s="456" t="s">
        <v>605</v>
      </c>
      <c r="K4" s="457"/>
      <c r="L4" s="464" t="s">
        <v>606</v>
      </c>
      <c r="M4" s="459"/>
      <c r="N4" s="452"/>
    </row>
    <row r="5" spans="1:14" ht="15.9" customHeight="1">
      <c r="A5" s="460"/>
      <c r="B5" s="461"/>
      <c r="C5" s="461"/>
      <c r="D5" s="461"/>
      <c r="E5" s="461"/>
      <c r="F5" s="461"/>
      <c r="G5" s="461"/>
      <c r="H5" s="461"/>
      <c r="I5" s="461"/>
      <c r="J5" s="456" t="s">
        <v>607</v>
      </c>
      <c r="K5" s="457"/>
      <c r="L5" s="458">
        <v>2</v>
      </c>
      <c r="M5" s="459"/>
      <c r="N5" s="452"/>
    </row>
    <row r="6" spans="1:14" ht="15.9" customHeight="1">
      <c r="A6" s="465" t="s">
        <v>608</v>
      </c>
      <c r="B6" s="461"/>
      <c r="C6" s="461"/>
      <c r="D6" s="461"/>
      <c r="E6" s="461"/>
      <c r="F6" s="461"/>
      <c r="G6" s="461"/>
      <c r="H6" s="461"/>
      <c r="I6" s="461"/>
      <c r="J6" s="456" t="s">
        <v>609</v>
      </c>
      <c r="K6" s="457"/>
      <c r="L6" s="466" t="s">
        <v>610</v>
      </c>
      <c r="M6" s="459"/>
      <c r="N6" s="452"/>
    </row>
    <row r="7" spans="1:14" ht="15.9" customHeight="1" thickBot="1">
      <c r="A7" s="467" t="s">
        <v>611</v>
      </c>
      <c r="B7" s="468"/>
      <c r="C7" s="468"/>
      <c r="D7" s="468"/>
      <c r="E7" s="468"/>
      <c r="F7" s="468"/>
      <c r="G7" s="468"/>
      <c r="H7" s="468"/>
      <c r="I7" s="468"/>
      <c r="J7" s="469" t="s">
        <v>612</v>
      </c>
      <c r="K7" s="470"/>
      <c r="L7" s="471" t="s">
        <v>613</v>
      </c>
      <c r="M7" s="472"/>
      <c r="N7" s="452"/>
    </row>
    <row r="8" spans="1:14" ht="15.9" customHeight="1">
      <c r="A8" s="473"/>
      <c r="B8" s="461"/>
      <c r="C8" s="461"/>
      <c r="D8" s="461"/>
      <c r="E8" s="461"/>
      <c r="F8" s="461"/>
      <c r="G8" s="461"/>
      <c r="H8" s="461"/>
      <c r="I8" s="461"/>
      <c r="J8" s="461"/>
      <c r="K8" s="474"/>
      <c r="L8" s="475"/>
      <c r="M8" s="476"/>
      <c r="N8" s="461"/>
    </row>
    <row r="9" spans="1:14" ht="12" customHeight="1">
      <c r="A9" s="477"/>
      <c r="B9" s="478" t="s">
        <v>614</v>
      </c>
      <c r="C9" s="479" t="s">
        <v>175</v>
      </c>
      <c r="D9" s="480"/>
      <c r="E9" s="480"/>
      <c r="F9" s="480"/>
      <c r="G9" s="480"/>
      <c r="H9" s="480"/>
      <c r="I9" s="480"/>
      <c r="J9" s="480"/>
      <c r="K9" s="481"/>
      <c r="L9" s="482"/>
      <c r="M9" s="480"/>
      <c r="N9" s="461"/>
    </row>
    <row r="10" spans="1:14" ht="12" customHeight="1">
      <c r="A10" s="477"/>
      <c r="B10" s="478" t="s">
        <v>615</v>
      </c>
      <c r="C10" s="483" t="s">
        <v>175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75"/>
    </row>
    <row r="11" spans="1:14" ht="16.2" thickBot="1">
      <c r="A11" s="484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</row>
    <row r="12" spans="1:14" ht="20.100000000000001" customHeight="1" thickBot="1">
      <c r="A12" s="485" t="s">
        <v>616</v>
      </c>
      <c r="B12" s="486"/>
      <c r="C12" s="486"/>
      <c r="D12" s="486"/>
      <c r="E12" s="486"/>
      <c r="F12" s="486"/>
      <c r="G12" s="486"/>
      <c r="H12" s="486"/>
      <c r="I12" s="486"/>
      <c r="J12" s="486"/>
      <c r="K12" s="486"/>
      <c r="L12" s="486"/>
      <c r="M12" s="487"/>
      <c r="N12" s="452"/>
    </row>
    <row r="13" spans="1:14" ht="12.9" customHeight="1" thickTop="1">
      <c r="A13" s="488"/>
      <c r="B13" s="489" t="s">
        <v>617</v>
      </c>
      <c r="C13" s="490">
        <v>1000</v>
      </c>
      <c r="D13" s="482"/>
      <c r="E13" s="489" t="s">
        <v>618</v>
      </c>
      <c r="F13" s="490">
        <v>4000</v>
      </c>
      <c r="G13" s="482"/>
      <c r="H13" s="489" t="s">
        <v>619</v>
      </c>
      <c r="I13" s="490" t="s">
        <v>704</v>
      </c>
      <c r="J13" s="482"/>
      <c r="K13" s="482"/>
      <c r="L13" s="489" t="s">
        <v>620</v>
      </c>
      <c r="M13" s="491">
        <v>1800</v>
      </c>
      <c r="N13" s="452"/>
    </row>
    <row r="14" spans="1:14" ht="12.9" customHeight="1">
      <c r="A14" s="488"/>
      <c r="B14" s="489" t="s">
        <v>621</v>
      </c>
      <c r="C14" s="490" t="s">
        <v>195</v>
      </c>
      <c r="D14" s="482"/>
      <c r="E14" s="489" t="s">
        <v>622</v>
      </c>
      <c r="F14" s="492" t="s">
        <v>705</v>
      </c>
      <c r="G14" s="482"/>
      <c r="H14" s="489" t="s">
        <v>623</v>
      </c>
      <c r="I14" s="490">
        <v>126</v>
      </c>
      <c r="J14" s="482"/>
      <c r="K14" s="482"/>
      <c r="L14" s="489" t="s">
        <v>576</v>
      </c>
      <c r="M14" s="491">
        <v>1777</v>
      </c>
      <c r="N14" s="452"/>
    </row>
    <row r="15" spans="1:14" ht="12.9" customHeight="1">
      <c r="A15" s="488"/>
      <c r="B15" s="489" t="s">
        <v>624</v>
      </c>
      <c r="C15" s="490" t="s">
        <v>194</v>
      </c>
      <c r="D15" s="482"/>
      <c r="E15" s="489" t="s">
        <v>625</v>
      </c>
      <c r="F15" s="493" t="s">
        <v>706</v>
      </c>
      <c r="G15" s="482"/>
      <c r="H15" s="489" t="s">
        <v>626</v>
      </c>
      <c r="I15" s="492" t="s">
        <v>175</v>
      </c>
      <c r="J15" s="482"/>
      <c r="K15" s="482"/>
      <c r="L15" s="489" t="s">
        <v>627</v>
      </c>
      <c r="M15" s="491" t="s">
        <v>365</v>
      </c>
      <c r="N15" s="452"/>
    </row>
    <row r="16" spans="1:14" ht="12.9" customHeight="1">
      <c r="A16" s="488"/>
      <c r="B16" s="489" t="s">
        <v>628</v>
      </c>
      <c r="C16" s="490" t="s">
        <v>703</v>
      </c>
      <c r="D16" s="482"/>
      <c r="E16" s="489" t="s">
        <v>629</v>
      </c>
      <c r="F16" s="490" t="s">
        <v>445</v>
      </c>
      <c r="G16" s="482"/>
      <c r="H16" s="494" t="s">
        <v>630</v>
      </c>
      <c r="I16" s="495" t="s">
        <v>362</v>
      </c>
      <c r="J16" s="482"/>
      <c r="K16" s="482"/>
      <c r="L16" s="489" t="s">
        <v>631</v>
      </c>
      <c r="M16" s="491" t="s">
        <v>632</v>
      </c>
      <c r="N16" s="452"/>
    </row>
    <row r="17" spans="1:14" ht="12.9" customHeight="1">
      <c r="A17" s="488"/>
      <c r="B17" s="489" t="s">
        <v>633</v>
      </c>
      <c r="C17" s="496" t="s">
        <v>398</v>
      </c>
      <c r="D17" s="482"/>
      <c r="E17" s="489"/>
      <c r="F17" s="492"/>
      <c r="G17" s="482"/>
      <c r="H17" s="489" t="s">
        <v>634</v>
      </c>
      <c r="I17" s="495" t="s">
        <v>175</v>
      </c>
      <c r="J17" s="482"/>
      <c r="K17" s="482"/>
      <c r="L17" s="489"/>
      <c r="M17" s="497"/>
      <c r="N17" s="452"/>
    </row>
    <row r="18" spans="1:14" ht="12.9" customHeight="1" thickBot="1">
      <c r="A18" s="498"/>
      <c r="B18" s="499" t="s">
        <v>635</v>
      </c>
      <c r="C18" s="500" t="s">
        <v>175</v>
      </c>
      <c r="D18" s="501"/>
      <c r="E18" s="502" t="s">
        <v>636</v>
      </c>
      <c r="F18" s="500" t="s">
        <v>175</v>
      </c>
      <c r="G18" s="503"/>
      <c r="H18" s="502" t="s">
        <v>637</v>
      </c>
      <c r="I18" s="500" t="s">
        <v>175</v>
      </c>
      <c r="J18" s="501"/>
      <c r="K18" s="501"/>
      <c r="L18" s="501"/>
      <c r="M18" s="504"/>
      <c r="N18" s="452"/>
    </row>
    <row r="19" spans="1:14" ht="16.2" thickBot="1">
      <c r="A19" s="452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</row>
    <row r="20" spans="1:14" ht="20.100000000000001" customHeight="1" thickBot="1">
      <c r="A20" s="485"/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7"/>
    </row>
    <row r="21" spans="1:14" ht="15.9" customHeight="1" thickTop="1">
      <c r="A21" s="505" t="s">
        <v>638</v>
      </c>
      <c r="B21" s="506"/>
      <c r="C21" s="475"/>
      <c r="D21" s="507"/>
      <c r="E21" s="508" t="s">
        <v>639</v>
      </c>
      <c r="F21" s="509"/>
      <c r="G21" s="509"/>
      <c r="H21" s="510"/>
      <c r="I21" s="511" t="s">
        <v>640</v>
      </c>
      <c r="J21" s="512"/>
      <c r="K21" s="512"/>
      <c r="L21" s="475"/>
      <c r="M21" s="513"/>
    </row>
    <row r="22" spans="1:14" ht="15.9" customHeight="1">
      <c r="A22" s="514"/>
      <c r="B22" s="482"/>
      <c r="C22" s="515" t="s">
        <v>641</v>
      </c>
      <c r="D22" s="516">
        <v>968</v>
      </c>
      <c r="E22" s="489"/>
      <c r="G22" s="494" t="s">
        <v>642</v>
      </c>
      <c r="H22" s="517">
        <v>2956</v>
      </c>
      <c r="I22" s="515"/>
      <c r="J22" s="482"/>
      <c r="K22" s="515" t="s">
        <v>643</v>
      </c>
      <c r="L22" s="482" t="s">
        <v>644</v>
      </c>
      <c r="M22" s="497"/>
    </row>
    <row r="23" spans="1:14" ht="15.9" customHeight="1">
      <c r="A23" s="514"/>
      <c r="B23" s="515"/>
      <c r="C23" s="518"/>
      <c r="D23" s="519"/>
      <c r="E23" s="489"/>
      <c r="G23" s="489" t="s">
        <v>645</v>
      </c>
      <c r="H23" s="516">
        <v>165</v>
      </c>
      <c r="I23" s="482"/>
      <c r="J23" s="482"/>
      <c r="K23" s="489" t="s">
        <v>646</v>
      </c>
      <c r="L23" s="482" t="s">
        <v>644</v>
      </c>
      <c r="M23" s="497"/>
    </row>
    <row r="24" spans="1:14" ht="15.9" customHeight="1">
      <c r="A24" s="488"/>
      <c r="B24" s="489"/>
      <c r="C24" s="482"/>
      <c r="D24" s="519"/>
      <c r="E24" s="489"/>
      <c r="G24" s="494" t="s">
        <v>647</v>
      </c>
      <c r="H24" s="516">
        <v>265</v>
      </c>
      <c r="I24" s="482"/>
      <c r="J24" s="489"/>
      <c r="K24" s="482"/>
      <c r="L24" s="482"/>
      <c r="M24" s="497"/>
    </row>
    <row r="25" spans="1:14" ht="15.9" customHeight="1" thickBot="1">
      <c r="A25" s="498"/>
      <c r="B25" s="499"/>
      <c r="C25" s="501"/>
      <c r="D25" s="520"/>
      <c r="E25" s="502"/>
      <c r="F25" s="502"/>
      <c r="G25" s="502"/>
      <c r="H25" s="521"/>
      <c r="I25" s="501"/>
      <c r="J25" s="502"/>
      <c r="K25" s="501"/>
      <c r="L25" s="501"/>
      <c r="M25" s="504"/>
    </row>
    <row r="26" spans="1:14" ht="18.899999999999999" customHeight="1" thickBot="1">
      <c r="A26" s="522"/>
      <c r="B26" s="522"/>
      <c r="C26" s="522"/>
      <c r="D26" s="523"/>
      <c r="E26" s="523"/>
      <c r="F26" s="523"/>
      <c r="G26" s="523"/>
      <c r="H26" s="523"/>
      <c r="I26" s="523"/>
      <c r="J26" s="523"/>
      <c r="K26" s="523"/>
      <c r="L26" s="523"/>
      <c r="M26" s="452"/>
      <c r="N26" s="452"/>
    </row>
    <row r="27" spans="1:14" ht="20.100000000000001" customHeight="1" thickBot="1">
      <c r="A27" s="524"/>
      <c r="B27" s="525"/>
      <c r="C27" s="525"/>
      <c r="D27" s="525"/>
      <c r="E27" s="525"/>
      <c r="F27" s="525"/>
      <c r="G27" s="526"/>
      <c r="H27" s="525"/>
      <c r="I27" s="525"/>
      <c r="J27" s="525"/>
      <c r="K27" s="525"/>
      <c r="L27" s="525"/>
      <c r="M27" s="527"/>
    </row>
    <row r="28" spans="1:14" ht="15.9" customHeight="1" thickTop="1">
      <c r="A28" s="528" t="s">
        <v>648</v>
      </c>
      <c r="B28" s="506"/>
      <c r="C28" s="475"/>
      <c r="D28" s="475"/>
      <c r="E28" s="509"/>
      <c r="F28" s="509"/>
      <c r="G28" s="529"/>
      <c r="H28" s="508" t="s">
        <v>649</v>
      </c>
      <c r="I28" s="509"/>
      <c r="J28" s="512"/>
      <c r="K28" s="508"/>
      <c r="L28" s="512"/>
      <c r="M28" s="513"/>
    </row>
    <row r="29" spans="1:14" ht="15.9" customHeight="1">
      <c r="A29" s="488"/>
      <c r="B29" s="515"/>
      <c r="C29" s="515" t="s">
        <v>650</v>
      </c>
      <c r="D29" s="530">
        <v>94.7</v>
      </c>
      <c r="E29" s="489"/>
      <c r="F29" s="489"/>
      <c r="G29" s="529"/>
      <c r="H29" s="494"/>
      <c r="I29" s="515"/>
      <c r="J29" s="515" t="s">
        <v>650</v>
      </c>
      <c r="K29" s="530">
        <v>89.9</v>
      </c>
      <c r="L29" s="482"/>
      <c r="M29" s="497"/>
    </row>
    <row r="30" spans="1:14" ht="15.9" customHeight="1">
      <c r="A30" s="531"/>
      <c r="B30" s="482"/>
      <c r="C30" s="515" t="s">
        <v>651</v>
      </c>
      <c r="D30" s="530">
        <v>94.6</v>
      </c>
      <c r="E30" s="489"/>
      <c r="F30" s="489"/>
      <c r="G30" s="529"/>
      <c r="H30" s="489"/>
      <c r="I30" s="482"/>
      <c r="J30" s="515" t="s">
        <v>651</v>
      </c>
      <c r="K30" s="530">
        <v>88</v>
      </c>
      <c r="L30" s="482"/>
      <c r="M30" s="497"/>
    </row>
    <row r="31" spans="1:14" ht="15.9" customHeight="1">
      <c r="A31" s="488"/>
      <c r="B31" s="489"/>
      <c r="C31" s="515" t="s">
        <v>652</v>
      </c>
      <c r="D31" s="530">
        <v>94</v>
      </c>
      <c r="E31" s="489"/>
      <c r="F31" s="489"/>
      <c r="G31" s="529"/>
      <c r="H31" s="489"/>
      <c r="I31" s="482"/>
      <c r="J31" s="515" t="s">
        <v>652</v>
      </c>
      <c r="K31" s="530">
        <v>82.4</v>
      </c>
      <c r="L31" s="489"/>
      <c r="M31" s="497"/>
    </row>
    <row r="32" spans="1:14" ht="15.9" customHeight="1" thickBot="1">
      <c r="A32" s="498"/>
      <c r="B32" s="499"/>
      <c r="C32" s="501"/>
      <c r="D32" s="501"/>
      <c r="E32" s="502"/>
      <c r="F32" s="502"/>
      <c r="G32" s="532"/>
      <c r="H32" s="502"/>
      <c r="I32" s="501"/>
      <c r="J32" s="502"/>
      <c r="K32" s="501"/>
      <c r="L32" s="502"/>
      <c r="M32" s="504"/>
    </row>
    <row r="33" spans="1:14" ht="20.100000000000001" customHeight="1" thickBot="1">
      <c r="A33" s="533"/>
      <c r="B33" s="533"/>
      <c r="C33" s="533"/>
      <c r="D33" s="533"/>
      <c r="E33" s="533"/>
      <c r="F33" s="533"/>
      <c r="G33" s="533"/>
      <c r="H33" s="533"/>
      <c r="I33" s="533"/>
      <c r="J33" s="533"/>
      <c r="K33" s="533"/>
      <c r="L33" s="533"/>
      <c r="M33" s="534"/>
      <c r="N33" s="534"/>
    </row>
    <row r="34" spans="1:14" ht="20.100000000000001" customHeight="1" thickBot="1">
      <c r="A34" s="535"/>
      <c r="B34" s="536"/>
      <c r="C34" s="536"/>
      <c r="D34" s="536"/>
      <c r="E34" s="536"/>
      <c r="F34" s="536"/>
      <c r="G34" s="536"/>
      <c r="H34" s="536"/>
      <c r="I34" s="536"/>
      <c r="J34" s="536"/>
      <c r="K34" s="536"/>
      <c r="L34" s="536"/>
      <c r="M34" s="537"/>
    </row>
    <row r="35" spans="1:14" ht="15.9" customHeight="1" thickTop="1">
      <c r="A35" s="538" t="s">
        <v>653</v>
      </c>
      <c r="B35" s="518"/>
      <c r="C35" s="518"/>
      <c r="D35" s="518"/>
      <c r="E35" s="518"/>
      <c r="F35" s="518"/>
      <c r="G35" s="518"/>
      <c r="H35" s="518"/>
      <c r="I35" s="518"/>
      <c r="J35" s="518"/>
      <c r="K35" s="518"/>
      <c r="L35" s="518"/>
      <c r="M35" s="539"/>
    </row>
    <row r="36" spans="1:14" ht="15.9" customHeight="1">
      <c r="A36" s="531" t="s">
        <v>654</v>
      </c>
      <c r="B36" s="518"/>
      <c r="C36" s="518"/>
      <c r="D36" s="518"/>
      <c r="E36" s="518"/>
      <c r="F36" s="518"/>
      <c r="G36" s="518"/>
      <c r="H36" s="518"/>
      <c r="I36" s="518"/>
      <c r="J36" s="518"/>
      <c r="K36" s="518"/>
      <c r="L36" s="518"/>
      <c r="M36" s="539"/>
    </row>
    <row r="37" spans="1:14" ht="15.9" customHeight="1">
      <c r="A37" s="540" t="s">
        <v>655</v>
      </c>
      <c r="B37" s="518"/>
      <c r="C37" s="518"/>
      <c r="D37" s="518"/>
      <c r="E37" s="541"/>
      <c r="F37" s="518"/>
      <c r="G37" s="518"/>
      <c r="H37" s="518"/>
      <c r="I37" s="518"/>
      <c r="J37" s="518"/>
      <c r="K37" s="518"/>
      <c r="L37" s="518"/>
      <c r="M37" s="539"/>
    </row>
    <row r="38" spans="1:14" ht="15.9" customHeight="1">
      <c r="A38" s="542" t="s">
        <v>656</v>
      </c>
      <c r="B38" s="518"/>
      <c r="C38" s="518"/>
      <c r="D38" s="518"/>
      <c r="E38" s="518"/>
      <c r="F38" s="518"/>
      <c r="G38" s="518"/>
      <c r="H38" s="518"/>
      <c r="I38" s="518"/>
      <c r="J38" s="518"/>
      <c r="K38" s="518"/>
      <c r="L38" s="518"/>
      <c r="M38" s="539"/>
    </row>
    <row r="39" spans="1:14" ht="15.9" customHeight="1">
      <c r="A39" s="543" t="s">
        <v>657</v>
      </c>
      <c r="B39" s="518"/>
      <c r="C39" s="518"/>
      <c r="D39" s="518"/>
      <c r="E39" s="518"/>
      <c r="F39" s="518"/>
      <c r="G39" s="518"/>
      <c r="H39" s="518"/>
      <c r="I39" s="518"/>
      <c r="J39" s="518"/>
      <c r="K39" s="518"/>
      <c r="L39" s="518"/>
      <c r="M39" s="539"/>
    </row>
    <row r="40" spans="1:14" ht="15.9" customHeight="1" thickBot="1">
      <c r="A40" s="544" t="s">
        <v>658</v>
      </c>
      <c r="B40" s="545"/>
      <c r="C40" s="545"/>
      <c r="D40" s="545"/>
      <c r="E40" s="545"/>
      <c r="F40" s="545"/>
      <c r="G40" s="545"/>
      <c r="H40" s="545"/>
      <c r="I40" s="545"/>
      <c r="J40" s="545"/>
      <c r="K40" s="545"/>
      <c r="L40" s="545"/>
      <c r="M40" s="546"/>
    </row>
    <row r="41" spans="1:14" ht="15.9" customHeight="1"/>
    <row r="42" spans="1:14" ht="18.600000000000001">
      <c r="A42" s="547"/>
      <c r="B42" s="547"/>
      <c r="C42" s="547"/>
      <c r="D42" s="547"/>
      <c r="E42" s="547"/>
      <c r="F42" s="547"/>
      <c r="G42" s="547"/>
      <c r="H42" s="452"/>
      <c r="I42" s="452"/>
      <c r="J42" s="548" t="s">
        <v>659</v>
      </c>
      <c r="K42" s="675" t="s">
        <v>660</v>
      </c>
      <c r="L42" s="675"/>
      <c r="M42" s="675"/>
      <c r="N42" s="547"/>
    </row>
    <row r="43" spans="1:14" ht="7.5" customHeight="1">
      <c r="H43" s="452"/>
      <c r="I43" s="452"/>
      <c r="J43" s="452"/>
      <c r="K43" s="452"/>
      <c r="L43" s="452"/>
      <c r="M43" s="452"/>
    </row>
    <row r="44" spans="1:14" ht="16.8">
      <c r="H44" s="452"/>
      <c r="I44" s="452"/>
      <c r="J44" s="548" t="s">
        <v>661</v>
      </c>
      <c r="K44" s="676">
        <v>44676</v>
      </c>
      <c r="L44" s="676"/>
      <c r="M44" s="676"/>
    </row>
    <row r="59" spans="1:5">
      <c r="A59" s="453" t="s">
        <v>175</v>
      </c>
      <c r="B59" s="453" t="s">
        <v>662</v>
      </c>
      <c r="D59" s="453">
        <v>1</v>
      </c>
      <c r="E59" s="549" t="s">
        <v>175</v>
      </c>
    </row>
    <row r="60" spans="1:5">
      <c r="A60" s="453" t="s">
        <v>663</v>
      </c>
      <c r="B60" s="453" t="s">
        <v>664</v>
      </c>
      <c r="D60" s="453">
        <v>1.1499999999999999</v>
      </c>
      <c r="E60" s="549" t="s">
        <v>184</v>
      </c>
    </row>
    <row r="61" spans="1:5">
      <c r="A61" s="453" t="s">
        <v>665</v>
      </c>
      <c r="B61" s="453" t="s">
        <v>666</v>
      </c>
      <c r="E61" s="549" t="s">
        <v>322</v>
      </c>
    </row>
    <row r="62" spans="1:5">
      <c r="B62" s="453" t="s">
        <v>667</v>
      </c>
    </row>
    <row r="63" spans="1:5">
      <c r="B63" s="453" t="s">
        <v>668</v>
      </c>
    </row>
    <row r="64" spans="1:5">
      <c r="B64" s="453" t="s">
        <v>669</v>
      </c>
    </row>
    <row r="65" spans="2:2">
      <c r="B65" s="453" t="s">
        <v>670</v>
      </c>
    </row>
    <row r="66" spans="2:2">
      <c r="B66" s="453" t="s">
        <v>671</v>
      </c>
    </row>
    <row r="67" spans="2:2">
      <c r="B67" s="453" t="s">
        <v>672</v>
      </c>
    </row>
    <row r="68" spans="2:2">
      <c r="B68" s="453" t="s">
        <v>673</v>
      </c>
    </row>
    <row r="69" spans="2:2">
      <c r="B69" s="453" t="s">
        <v>674</v>
      </c>
    </row>
    <row r="70" spans="2:2">
      <c r="B70" s="453" t="s">
        <v>675</v>
      </c>
    </row>
    <row r="71" spans="2:2">
      <c r="B71" s="453" t="s">
        <v>676</v>
      </c>
    </row>
    <row r="72" spans="2:2">
      <c r="B72" s="453" t="s">
        <v>677</v>
      </c>
    </row>
    <row r="73" spans="2:2">
      <c r="B73" s="453" t="s">
        <v>678</v>
      </c>
    </row>
    <row r="74" spans="2:2">
      <c r="B74" s="453" t="s">
        <v>679</v>
      </c>
    </row>
    <row r="75" spans="2:2">
      <c r="B75" s="453" t="s">
        <v>680</v>
      </c>
    </row>
    <row r="76" spans="2:2">
      <c r="B76" s="453" t="s">
        <v>681</v>
      </c>
    </row>
    <row r="77" spans="2:2">
      <c r="B77" s="453" t="s">
        <v>682</v>
      </c>
    </row>
    <row r="78" spans="2:2">
      <c r="B78" s="453" t="s">
        <v>683</v>
      </c>
    </row>
    <row r="79" spans="2:2">
      <c r="B79" s="453" t="s">
        <v>684</v>
      </c>
    </row>
    <row r="80" spans="2:2">
      <c r="B80" s="453">
        <v>6312</v>
      </c>
    </row>
    <row r="81" spans="2:2">
      <c r="B81" s="453" t="s">
        <v>685</v>
      </c>
    </row>
    <row r="82" spans="2:2">
      <c r="B82" s="453" t="s">
        <v>686</v>
      </c>
    </row>
    <row r="83" spans="2:2">
      <c r="B83" s="453" t="s">
        <v>687</v>
      </c>
    </row>
    <row r="84" spans="2:2">
      <c r="B84" s="453" t="s">
        <v>688</v>
      </c>
    </row>
    <row r="85" spans="2:2">
      <c r="B85" s="453">
        <v>6313</v>
      </c>
    </row>
    <row r="86" spans="2:2">
      <c r="B86" s="453" t="s">
        <v>689</v>
      </c>
    </row>
    <row r="87" spans="2:2">
      <c r="B87" s="453" t="s">
        <v>690</v>
      </c>
    </row>
    <row r="88" spans="2:2">
      <c r="B88" s="453" t="s">
        <v>691</v>
      </c>
    </row>
    <row r="89" spans="2:2">
      <c r="B89" s="453">
        <v>6314</v>
      </c>
    </row>
    <row r="90" spans="2:2">
      <c r="B90" s="453" t="s">
        <v>692</v>
      </c>
    </row>
    <row r="91" spans="2:2">
      <c r="B91" s="453">
        <v>6317</v>
      </c>
    </row>
    <row r="92" spans="2:2">
      <c r="B92" s="453" t="s">
        <v>693</v>
      </c>
    </row>
    <row r="93" spans="2:2">
      <c r="B93" s="453">
        <v>6318</v>
      </c>
    </row>
    <row r="94" spans="2:2">
      <c r="B94" s="453" t="s">
        <v>694</v>
      </c>
    </row>
    <row r="95" spans="2:2">
      <c r="B95" s="453" t="s">
        <v>695</v>
      </c>
    </row>
    <row r="96" spans="2:2">
      <c r="B96" s="453" t="s">
        <v>696</v>
      </c>
    </row>
    <row r="97" spans="2:2">
      <c r="B97" s="453">
        <v>6320</v>
      </c>
    </row>
    <row r="98" spans="2:2">
      <c r="B98" s="453" t="s">
        <v>697</v>
      </c>
    </row>
    <row r="99" spans="2:2">
      <c r="B99" s="453" t="s">
        <v>698</v>
      </c>
    </row>
    <row r="100" spans="2:2">
      <c r="B100" s="453" t="s">
        <v>699</v>
      </c>
    </row>
    <row r="101" spans="2:2">
      <c r="B101" s="453" t="s">
        <v>700</v>
      </c>
    </row>
    <row r="102" spans="2:2">
      <c r="B102" s="453" t="s">
        <v>700</v>
      </c>
    </row>
    <row r="118" spans="2:2">
      <c r="B118" s="453" t="s">
        <v>701</v>
      </c>
    </row>
    <row r="120" spans="2:2">
      <c r="B120" s="453" t="s">
        <v>702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workbookViewId="0">
      <selection activeCell="I8" sqref="I8"/>
    </sheetView>
  </sheetViews>
  <sheetFormatPr defaultColWidth="9.109375" defaultRowHeight="13.2"/>
  <cols>
    <col min="1" max="6" width="16.6640625" style="386" customWidth="1"/>
    <col min="7" max="16384" width="9.109375" style="386"/>
  </cols>
  <sheetData>
    <row r="1" spans="1:15" ht="18.899999999999999" customHeight="1">
      <c r="A1" s="399"/>
      <c r="B1" s="400"/>
      <c r="C1" s="400"/>
      <c r="D1" s="400"/>
      <c r="E1" s="400"/>
      <c r="F1" s="401"/>
    </row>
    <row r="2" spans="1:15" ht="26.1" customHeight="1">
      <c r="A2" s="402" t="s">
        <v>269</v>
      </c>
      <c r="B2" s="403"/>
      <c r="C2" s="403"/>
      <c r="D2" s="403"/>
      <c r="E2" s="403"/>
      <c r="F2" s="404"/>
    </row>
    <row r="3" spans="1:15" ht="18.899999999999999" customHeight="1">
      <c r="A3" s="405" t="s">
        <v>564</v>
      </c>
      <c r="B3" s="403"/>
      <c r="C3" s="403"/>
      <c r="D3" s="403"/>
      <c r="E3" s="403"/>
      <c r="F3" s="404"/>
    </row>
    <row r="4" spans="1:15" ht="18.899999999999999" customHeight="1">
      <c r="A4" s="406"/>
      <c r="B4" s="407"/>
      <c r="C4" s="407"/>
      <c r="D4" s="407"/>
      <c r="E4" s="407"/>
      <c r="F4" s="408"/>
    </row>
    <row r="5" spans="1:15" ht="18.899999999999999" customHeight="1">
      <c r="A5" s="406"/>
      <c r="B5" s="407"/>
      <c r="C5" s="407"/>
      <c r="D5" s="407"/>
      <c r="E5" s="407"/>
      <c r="F5" s="408"/>
    </row>
    <row r="6" spans="1:15" ht="18.899999999999999" customHeight="1">
      <c r="A6" s="409" t="s">
        <v>565</v>
      </c>
      <c r="B6" s="677" t="str">
        <f>'Performance Data Sheet'!C17</f>
        <v>M205TCAL11E-A</v>
      </c>
      <c r="C6" s="678"/>
      <c r="D6" s="679"/>
      <c r="E6" s="409" t="s">
        <v>566</v>
      </c>
      <c r="F6" s="410">
        <f>'Performance Data Sheet'!I14</f>
        <v>126</v>
      </c>
    </row>
    <row r="7" spans="1:15" ht="18.899999999999999" customHeight="1">
      <c r="A7" s="409" t="s">
        <v>567</v>
      </c>
      <c r="B7" s="410" t="str">
        <f>'Performance Data Sheet'!F14</f>
        <v>TEAAC</v>
      </c>
      <c r="C7" s="409" t="s">
        <v>568</v>
      </c>
      <c r="D7" s="410" t="str">
        <f>'Performance Data Sheet'!F13 &amp; " V"</f>
        <v>4000 V</v>
      </c>
      <c r="E7" s="409" t="s">
        <v>569</v>
      </c>
      <c r="F7" s="410" t="str">
        <f>'Performance Data Sheet'!C14</f>
        <v>5812US</v>
      </c>
    </row>
    <row r="8" spans="1:15" ht="18.899999999999999" customHeight="1">
      <c r="A8" s="409" t="s">
        <v>570</v>
      </c>
      <c r="B8" s="410">
        <v>4</v>
      </c>
      <c r="C8" s="409" t="s">
        <v>571</v>
      </c>
      <c r="D8" s="410" t="s">
        <v>572</v>
      </c>
      <c r="E8" s="409" t="s">
        <v>573</v>
      </c>
      <c r="F8" s="410" t="str">
        <f>'Performance Data Sheet'!M15</f>
        <v>F</v>
      </c>
    </row>
    <row r="9" spans="1:15" ht="18.899999999999999" customHeight="1">
      <c r="A9" s="409" t="s">
        <v>574</v>
      </c>
      <c r="B9" s="410">
        <f>'Performance Data Sheet'!C13</f>
        <v>1000</v>
      </c>
      <c r="C9" s="409" t="s">
        <v>575</v>
      </c>
      <c r="D9" s="410" t="s">
        <v>585</v>
      </c>
      <c r="E9" s="409" t="s">
        <v>2</v>
      </c>
      <c r="F9" s="411">
        <f>'Performance Data Sheet'!K44</f>
        <v>44676</v>
      </c>
    </row>
    <row r="10" spans="1:15" ht="18.899999999999999" customHeight="1">
      <c r="A10" s="409" t="s">
        <v>576</v>
      </c>
      <c r="B10" s="410">
        <f>'Performance Data Sheet'!M14</f>
        <v>1777</v>
      </c>
      <c r="C10" s="409" t="s">
        <v>404</v>
      </c>
      <c r="D10" s="410" t="s">
        <v>586</v>
      </c>
      <c r="E10" s="409" t="s">
        <v>1</v>
      </c>
      <c r="F10" s="410" t="s">
        <v>381</v>
      </c>
    </row>
    <row r="11" spans="1:15" ht="18.899999999999999" customHeight="1">
      <c r="A11" s="406"/>
      <c r="B11" s="407"/>
      <c r="C11" s="407"/>
      <c r="D11" s="407"/>
      <c r="E11" s="407"/>
      <c r="F11" s="408"/>
    </row>
    <row r="12" spans="1:15" ht="18.899999999999999" customHeight="1">
      <c r="A12" s="406"/>
      <c r="B12" s="412" t="s">
        <v>577</v>
      </c>
      <c r="C12" s="413" t="str">
        <f>'Performance Data Sheet'!D22 &amp; " A"</f>
        <v>968 A</v>
      </c>
      <c r="D12" s="412" t="s">
        <v>403</v>
      </c>
      <c r="E12" s="413" t="s">
        <v>407</v>
      </c>
      <c r="F12" s="408"/>
      <c r="I12" s="386" t="s">
        <v>593</v>
      </c>
      <c r="O12" s="386" t="s">
        <v>594</v>
      </c>
    </row>
    <row r="13" spans="1:15" ht="18.899999999999999" customHeight="1">
      <c r="A13" s="406"/>
      <c r="B13" s="412" t="s">
        <v>578</v>
      </c>
      <c r="C13" s="414">
        <f>'Performance Data Sheet'!H23/100</f>
        <v>1.65</v>
      </c>
      <c r="D13" s="412" t="s">
        <v>579</v>
      </c>
      <c r="E13" s="413" t="s">
        <v>714</v>
      </c>
      <c r="F13" s="408"/>
      <c r="I13" s="386" t="s">
        <v>595</v>
      </c>
    </row>
    <row r="14" spans="1:15" ht="18.899999999999999" customHeight="1">
      <c r="A14" s="406"/>
      <c r="B14" s="412" t="s">
        <v>580</v>
      </c>
      <c r="C14" s="414">
        <v>2.65</v>
      </c>
      <c r="D14" s="412" t="s">
        <v>405</v>
      </c>
      <c r="E14" s="413" t="s">
        <v>410</v>
      </c>
      <c r="F14" s="408"/>
    </row>
    <row r="15" spans="1:15" ht="18.899999999999999" customHeight="1">
      <c r="A15" s="406"/>
      <c r="B15" s="412" t="s">
        <v>406</v>
      </c>
      <c r="C15" s="413" t="str">
        <f>'Performance Data Sheet'!H22 &amp; " lb-ft"</f>
        <v>2956 lb-ft</v>
      </c>
      <c r="D15" s="407"/>
      <c r="E15" s="407"/>
      <c r="F15" s="408"/>
    </row>
    <row r="16" spans="1:15" ht="18.899999999999999" customHeight="1">
      <c r="A16" s="406"/>
      <c r="B16" s="407"/>
      <c r="C16" s="407"/>
      <c r="D16" s="407"/>
      <c r="E16" s="407"/>
      <c r="F16" s="408"/>
    </row>
    <row r="17" spans="1:6" ht="18.899999999999999" customHeight="1">
      <c r="A17" s="406"/>
      <c r="B17" s="407"/>
      <c r="C17" s="407"/>
      <c r="D17" s="407"/>
      <c r="E17" s="407"/>
      <c r="F17" s="408"/>
    </row>
    <row r="18" spans="1:6" ht="18.899999999999999" customHeight="1">
      <c r="A18" s="406"/>
      <c r="B18" s="407"/>
      <c r="C18" s="407"/>
      <c r="D18" s="407"/>
      <c r="E18" s="407"/>
      <c r="F18" s="408"/>
    </row>
    <row r="19" spans="1:6" ht="18.899999999999999" customHeight="1">
      <c r="A19" s="406"/>
      <c r="B19" s="407"/>
      <c r="C19" s="407"/>
      <c r="D19" s="407"/>
      <c r="E19" s="407"/>
      <c r="F19" s="408"/>
    </row>
    <row r="20" spans="1:6" ht="18.899999999999999" customHeight="1">
      <c r="A20" s="406"/>
      <c r="B20" s="407"/>
      <c r="C20" s="407"/>
      <c r="D20" s="407"/>
      <c r="E20" s="407"/>
      <c r="F20" s="408"/>
    </row>
    <row r="21" spans="1:6" ht="18.899999999999999" customHeight="1">
      <c r="A21" s="406"/>
      <c r="B21" s="407"/>
      <c r="C21" s="407"/>
      <c r="D21" s="407"/>
      <c r="E21" s="407"/>
      <c r="F21" s="408"/>
    </row>
    <row r="22" spans="1:6" ht="18.899999999999999" customHeight="1">
      <c r="A22" s="406"/>
      <c r="B22" s="407"/>
      <c r="C22" s="407"/>
      <c r="D22" s="407"/>
      <c r="E22" s="407"/>
      <c r="F22" s="408"/>
    </row>
    <row r="23" spans="1:6" ht="18.899999999999999" customHeight="1">
      <c r="A23" s="406"/>
      <c r="B23" s="407"/>
      <c r="C23" s="407"/>
      <c r="D23" s="407"/>
      <c r="E23" s="407"/>
      <c r="F23" s="408"/>
    </row>
    <row r="24" spans="1:6" ht="18.899999999999999" customHeight="1">
      <c r="A24" s="406"/>
      <c r="B24" s="407"/>
      <c r="C24" s="407"/>
      <c r="D24" s="407"/>
      <c r="E24" s="407"/>
      <c r="F24" s="408"/>
    </row>
    <row r="25" spans="1:6" ht="18.899999999999999" customHeight="1">
      <c r="A25" s="406"/>
      <c r="B25" s="407"/>
      <c r="C25" s="407"/>
      <c r="D25" s="407"/>
      <c r="E25" s="407"/>
      <c r="F25" s="408"/>
    </row>
    <row r="26" spans="1:6" ht="18.899999999999999" customHeight="1">
      <c r="A26" s="406"/>
      <c r="B26" s="407"/>
      <c r="C26" s="407"/>
      <c r="D26" s="407"/>
      <c r="E26" s="407"/>
      <c r="F26" s="408"/>
    </row>
    <row r="27" spans="1:6" ht="18.899999999999999" customHeight="1">
      <c r="A27" s="406"/>
      <c r="B27" s="407"/>
      <c r="C27" s="407"/>
      <c r="D27" s="407"/>
      <c r="E27" s="407"/>
      <c r="F27" s="408"/>
    </row>
    <row r="28" spans="1:6" ht="18.899999999999999" customHeight="1">
      <c r="A28" s="406"/>
      <c r="B28" s="407"/>
      <c r="C28" s="407"/>
      <c r="D28" s="407"/>
      <c r="E28" s="407"/>
      <c r="F28" s="408"/>
    </row>
    <row r="29" spans="1:6" ht="18.899999999999999" customHeight="1">
      <c r="A29" s="406"/>
      <c r="B29" s="407"/>
      <c r="C29" s="407"/>
      <c r="D29" s="407"/>
      <c r="E29" s="407"/>
      <c r="F29" s="408"/>
    </row>
    <row r="30" spans="1:6" ht="18.899999999999999" customHeight="1">
      <c r="A30" s="406"/>
      <c r="B30" s="407"/>
      <c r="C30" s="407"/>
      <c r="D30" s="407"/>
      <c r="E30" s="407"/>
      <c r="F30" s="408"/>
    </row>
    <row r="31" spans="1:6" ht="18.899999999999999" customHeight="1">
      <c r="A31" s="406"/>
      <c r="B31" s="407"/>
      <c r="C31" s="407"/>
      <c r="D31" s="407"/>
      <c r="E31" s="407"/>
      <c r="F31" s="408"/>
    </row>
    <row r="32" spans="1:6" ht="18.899999999999999" customHeight="1">
      <c r="A32" s="406"/>
      <c r="B32" s="407"/>
      <c r="C32" s="407"/>
      <c r="D32" s="407"/>
      <c r="E32" s="407"/>
      <c r="F32" s="408"/>
    </row>
    <row r="33" spans="1:6" ht="18.899999999999999" customHeight="1">
      <c r="A33" s="406"/>
      <c r="B33" s="407"/>
      <c r="C33" s="407"/>
      <c r="D33" s="407"/>
      <c r="E33" s="407"/>
      <c r="F33" s="408"/>
    </row>
    <row r="34" spans="1:6" ht="18.899999999999999" customHeight="1">
      <c r="A34" s="406"/>
      <c r="B34" s="407"/>
      <c r="C34" s="407"/>
      <c r="D34" s="407"/>
      <c r="E34" s="407"/>
      <c r="F34" s="408"/>
    </row>
    <row r="35" spans="1:6" ht="18.899999999999999" customHeight="1">
      <c r="A35" s="406"/>
      <c r="B35" s="407"/>
      <c r="C35" s="407"/>
      <c r="D35" s="407"/>
      <c r="E35" s="407"/>
      <c r="F35" s="408"/>
    </row>
    <row r="36" spans="1:6" ht="18.899999999999999" customHeight="1">
      <c r="A36" s="406"/>
      <c r="B36" s="407"/>
      <c r="C36" s="407"/>
      <c r="D36" s="407"/>
      <c r="E36" s="407"/>
      <c r="F36" s="408"/>
    </row>
    <row r="37" spans="1:6" ht="18.899999999999999" customHeight="1">
      <c r="A37" s="406"/>
      <c r="B37" s="407"/>
      <c r="C37" s="407"/>
      <c r="D37" s="407"/>
      <c r="E37" s="407"/>
      <c r="F37" s="408"/>
    </row>
    <row r="38" spans="1:6" ht="18.899999999999999" customHeight="1">
      <c r="A38" s="406"/>
      <c r="B38" s="407"/>
      <c r="C38" s="407"/>
      <c r="D38" s="407"/>
      <c r="E38" s="407"/>
      <c r="F38" s="408"/>
    </row>
    <row r="39" spans="1:6" ht="18.899999999999999" customHeight="1">
      <c r="A39" s="415" t="s">
        <v>581</v>
      </c>
      <c r="B39" s="416" t="s">
        <v>372</v>
      </c>
      <c r="C39" s="550" t="str">
        <f>'Performance Data Sheet'!C10</f>
        <v>-</v>
      </c>
      <c r="D39" s="407"/>
      <c r="E39" s="412" t="s">
        <v>582</v>
      </c>
      <c r="F39" s="417" t="str">
        <f>F10</f>
        <v>1M4M20U</v>
      </c>
    </row>
    <row r="40" spans="1:6" ht="18.899999999999999" customHeight="1">
      <c r="A40" s="406"/>
      <c r="B40" s="416"/>
      <c r="C40" s="416"/>
      <c r="D40" s="407"/>
      <c r="E40" s="407"/>
      <c r="F40" s="408"/>
    </row>
    <row r="41" spans="1:6" ht="18.899999999999999" customHeight="1">
      <c r="A41" s="406"/>
      <c r="B41" s="416"/>
      <c r="C41" s="416"/>
      <c r="D41" s="407"/>
      <c r="E41" s="407"/>
      <c r="F41" s="408"/>
    </row>
    <row r="42" spans="1:6" ht="18.899999999999999" customHeight="1">
      <c r="A42" s="406"/>
      <c r="B42" s="407"/>
      <c r="C42" s="407"/>
      <c r="D42" s="407"/>
      <c r="E42" s="407"/>
      <c r="F42" s="408"/>
    </row>
    <row r="43" spans="1:6" ht="18.899999999999999" customHeight="1">
      <c r="A43" s="418"/>
      <c r="B43" s="416"/>
      <c r="C43" s="419" t="s">
        <v>583</v>
      </c>
      <c r="D43" s="420" t="str">
        <f>'Performance Data Sheet'!K42</f>
        <v>Zichao Xie</v>
      </c>
      <c r="E43" s="419" t="s">
        <v>584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4" t="s">
        <v>402</v>
      </c>
      <c r="E53" s="374"/>
      <c r="F53" s="374"/>
      <c r="G53" s="374"/>
      <c r="H53" s="374"/>
      <c r="I53" s="374"/>
      <c r="J53" s="374"/>
      <c r="K53" s="374"/>
      <c r="L53" s="374"/>
    </row>
    <row r="54" spans="1:12" ht="15" customHeight="1">
      <c r="A54" s="423">
        <v>100</v>
      </c>
      <c r="B54" s="372">
        <v>0</v>
      </c>
      <c r="C54" s="372">
        <v>0.24673160910606384</v>
      </c>
      <c r="D54" s="374">
        <v>100</v>
      </c>
      <c r="E54" s="374"/>
      <c r="F54" s="374"/>
      <c r="G54" s="374"/>
      <c r="H54" s="374"/>
      <c r="I54" s="374"/>
      <c r="J54" s="374"/>
      <c r="K54" s="374"/>
      <c r="L54" s="374"/>
    </row>
    <row r="55" spans="1:12" ht="15" customHeight="1">
      <c r="A55" s="423">
        <v>99.400000041350722</v>
      </c>
      <c r="B55" s="372">
        <v>70.315588016331432</v>
      </c>
      <c r="C55" s="372">
        <v>96.301246643066406</v>
      </c>
      <c r="D55" s="374">
        <v>98.800003051757813</v>
      </c>
      <c r="E55" s="374"/>
      <c r="F55" s="374"/>
      <c r="G55" s="374"/>
      <c r="H55" s="374"/>
      <c r="I55" s="374"/>
      <c r="J55" s="374"/>
      <c r="K55" s="374"/>
      <c r="L55" s="374"/>
    </row>
    <row r="56" spans="1:12" ht="15" customHeight="1">
      <c r="A56" s="423">
        <v>97.000000067055225</v>
      </c>
      <c r="B56" s="372">
        <v>244.73874875355776</v>
      </c>
      <c r="C56" s="372">
        <v>382.33291625976563</v>
      </c>
      <c r="D56" s="374">
        <v>92.5</v>
      </c>
      <c r="E56" s="374"/>
      <c r="F56" s="374"/>
      <c r="G56" s="374"/>
      <c r="H56" s="374"/>
      <c r="I56" s="374"/>
      <c r="J56" s="374"/>
      <c r="K56" s="374"/>
      <c r="L56" s="374"/>
    </row>
    <row r="57" spans="1:12">
      <c r="A57" s="423">
        <v>94.000000134110451</v>
      </c>
      <c r="B57" s="372">
        <v>265</v>
      </c>
      <c r="C57" s="372">
        <v>556.77197265625</v>
      </c>
      <c r="D57" s="374">
        <v>84.400001525878906</v>
      </c>
      <c r="E57" s="374"/>
      <c r="F57" s="374"/>
      <c r="G57" s="374"/>
      <c r="H57" s="374"/>
      <c r="I57" s="374"/>
      <c r="J57" s="374"/>
      <c r="K57" s="374"/>
      <c r="L57" s="374"/>
    </row>
    <row r="58" spans="1:12">
      <c r="A58" s="423">
        <v>88.777777552604675</v>
      </c>
      <c r="B58" s="372">
        <v>213.5489635036983</v>
      </c>
      <c r="C58" s="372">
        <v>630.030517578125</v>
      </c>
      <c r="D58" s="374">
        <v>70.822219848632813</v>
      </c>
      <c r="E58" s="374"/>
      <c r="F58" s="374"/>
      <c r="G58" s="374"/>
      <c r="H58" s="374"/>
      <c r="I58" s="374"/>
      <c r="J58" s="374"/>
      <c r="K58" s="374"/>
      <c r="L58" s="374"/>
    </row>
    <row r="59" spans="1:12">
      <c r="A59" s="423">
        <v>83.55555534362793</v>
      </c>
      <c r="B59" s="372">
        <v>189.77739884056115</v>
      </c>
      <c r="C59" s="372">
        <v>665.5267333984375</v>
      </c>
      <c r="D59" s="374">
        <v>57.822223663330078</v>
      </c>
      <c r="E59" s="374"/>
      <c r="F59" s="374"/>
      <c r="G59" s="374"/>
      <c r="H59" s="374"/>
      <c r="I59" s="374"/>
      <c r="J59" s="374"/>
      <c r="K59" s="374"/>
      <c r="L59" s="374"/>
    </row>
    <row r="60" spans="1:12">
      <c r="A60" s="423">
        <v>73.111110925674438</v>
      </c>
      <c r="B60" s="372">
        <v>172.72153517593364</v>
      </c>
      <c r="C60" s="372">
        <v>699.293212890625</v>
      </c>
      <c r="D60" s="374">
        <v>38.288887023925781</v>
      </c>
      <c r="E60" s="374"/>
      <c r="F60" s="374"/>
      <c r="G60" s="374"/>
      <c r="H60" s="374"/>
      <c r="I60" s="374"/>
      <c r="J60" s="374"/>
      <c r="K60" s="374"/>
      <c r="L60" s="374"/>
    </row>
    <row r="61" spans="1:12">
      <c r="A61" s="423">
        <v>62.666666507720947</v>
      </c>
      <c r="B61" s="372">
        <v>167.04756633230937</v>
      </c>
      <c r="C61" s="372">
        <v>716.86883544921875</v>
      </c>
      <c r="D61" s="374">
        <v>24.933332443237305</v>
      </c>
      <c r="E61" s="374"/>
      <c r="F61" s="374"/>
      <c r="G61" s="374"/>
      <c r="H61" s="374"/>
      <c r="I61" s="374"/>
      <c r="J61" s="374"/>
      <c r="K61" s="374"/>
      <c r="L61" s="374"/>
    </row>
    <row r="62" spans="1:12">
      <c r="A62" s="423">
        <v>52.222222089767456</v>
      </c>
      <c r="B62" s="372">
        <v>165.41161265789646</v>
      </c>
      <c r="C62" s="372">
        <v>729.28704833984375</v>
      </c>
      <c r="D62" s="374">
        <v>15.777777671813965</v>
      </c>
      <c r="E62" s="374"/>
      <c r="F62" s="374"/>
      <c r="G62" s="374"/>
      <c r="H62" s="374"/>
      <c r="I62" s="374"/>
      <c r="J62" s="374"/>
      <c r="K62" s="374"/>
      <c r="L62" s="374"/>
    </row>
    <row r="63" spans="1:12">
      <c r="A63" s="423">
        <v>41.777777671813965</v>
      </c>
      <c r="B63" s="372">
        <v>165.11420461860229</v>
      </c>
      <c r="C63" s="372">
        <v>739.49566650390625</v>
      </c>
      <c r="D63" s="374">
        <v>9.0666666030883789</v>
      </c>
      <c r="E63" s="374"/>
      <c r="F63" s="374"/>
      <c r="G63" s="374"/>
      <c r="H63" s="374"/>
      <c r="I63" s="374"/>
      <c r="J63" s="374"/>
      <c r="K63" s="374"/>
      <c r="L63" s="374"/>
    </row>
    <row r="64" spans="1:12">
      <c r="A64" s="423">
        <v>31.333333253860474</v>
      </c>
      <c r="B64" s="372">
        <v>165.08510604216937</v>
      </c>
      <c r="C64" s="372">
        <v>747.92578125</v>
      </c>
      <c r="D64" s="374">
        <v>6.2666664123535156</v>
      </c>
      <c r="E64" s="374"/>
      <c r="F64" s="374"/>
      <c r="G64" s="374"/>
      <c r="H64" s="374"/>
      <c r="I64" s="374"/>
      <c r="J64" s="374"/>
      <c r="K64" s="374"/>
      <c r="L64" s="374"/>
    </row>
    <row r="65" spans="1:12">
      <c r="A65" s="423">
        <v>20.888888835906982</v>
      </c>
      <c r="B65" s="372">
        <v>165.04685151466362</v>
      </c>
      <c r="C65" s="372">
        <v>755.43145751953125</v>
      </c>
      <c r="D65" s="374">
        <v>7.8222222328186035</v>
      </c>
      <c r="E65" s="374"/>
      <c r="F65" s="374"/>
      <c r="G65" s="374"/>
      <c r="H65" s="374"/>
      <c r="I65" s="374"/>
      <c r="J65" s="374"/>
      <c r="K65" s="374"/>
      <c r="L65" s="374"/>
    </row>
    <row r="66" spans="1:12">
      <c r="A66" s="423">
        <v>10.444444417953491</v>
      </c>
      <c r="B66" s="372">
        <v>165.01194965986434</v>
      </c>
      <c r="C66" s="372">
        <v>762.17578125</v>
      </c>
      <c r="D66" s="374">
        <v>14.688888549804688</v>
      </c>
      <c r="E66" s="374"/>
      <c r="F66" s="374"/>
      <c r="G66" s="374"/>
      <c r="H66" s="374"/>
      <c r="I66" s="374"/>
      <c r="J66" s="374"/>
      <c r="K66" s="374"/>
      <c r="L66" s="374"/>
    </row>
    <row r="67" spans="1:12">
      <c r="A67" s="424">
        <v>0</v>
      </c>
      <c r="B67" s="372">
        <v>165</v>
      </c>
      <c r="C67" s="372">
        <v>768.25396728515625</v>
      </c>
      <c r="D67" s="374">
        <v>30</v>
      </c>
      <c r="E67" s="374"/>
      <c r="F67" s="374"/>
      <c r="G67" s="374"/>
      <c r="H67" s="374"/>
      <c r="I67" s="374"/>
      <c r="J67" s="374"/>
      <c r="K67" s="374"/>
      <c r="L67" s="374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40" workbookViewId="0">
      <selection activeCell="P55" sqref="P55"/>
    </sheetView>
  </sheetViews>
  <sheetFormatPr defaultColWidth="9.109375" defaultRowHeight="13.2"/>
  <cols>
    <col min="1" max="6" width="16.6640625" style="386" customWidth="1"/>
    <col min="7" max="16384" width="9.109375" style="386"/>
  </cols>
  <sheetData>
    <row r="1" spans="1:6" ht="18.899999999999999" customHeight="1">
      <c r="A1" s="399"/>
      <c r="B1" s="400"/>
      <c r="C1" s="400"/>
      <c r="D1" s="400"/>
      <c r="E1" s="400"/>
      <c r="F1" s="401"/>
    </row>
    <row r="2" spans="1:6" ht="26.1" customHeight="1">
      <c r="A2" s="402" t="s">
        <v>269</v>
      </c>
      <c r="B2" s="403"/>
      <c r="C2" s="403"/>
      <c r="D2" s="403"/>
      <c r="E2" s="403"/>
      <c r="F2" s="404"/>
    </row>
    <row r="3" spans="1:6" ht="18.899999999999999" customHeight="1">
      <c r="A3" s="680" t="s">
        <v>587</v>
      </c>
      <c r="B3" s="681"/>
      <c r="C3" s="681"/>
      <c r="D3" s="681"/>
      <c r="E3" s="681"/>
      <c r="F3" s="682"/>
    </row>
    <row r="4" spans="1:6" ht="18.899999999999999" customHeight="1">
      <c r="A4" s="683" t="s">
        <v>588</v>
      </c>
      <c r="B4" s="684"/>
      <c r="C4" s="684"/>
      <c r="D4" s="684"/>
      <c r="E4" s="684"/>
      <c r="F4" s="685"/>
    </row>
    <row r="5" spans="1:6" ht="18.899999999999999" customHeight="1">
      <c r="A5" s="406"/>
      <c r="B5" s="407"/>
      <c r="C5" s="407"/>
      <c r="D5" s="407"/>
      <c r="E5" s="407"/>
      <c r="F5" s="408"/>
    </row>
    <row r="6" spans="1:6" ht="18.899999999999999" customHeight="1">
      <c r="A6" s="409" t="s">
        <v>565</v>
      </c>
      <c r="B6" s="677" t="str">
        <f>'Performance Data Sheet'!C17</f>
        <v>M205TCAL11E-A</v>
      </c>
      <c r="C6" s="678"/>
      <c r="D6" s="679"/>
      <c r="E6" s="409" t="s">
        <v>566</v>
      </c>
      <c r="F6" s="410">
        <f>'Performance Data Sheet'!I14</f>
        <v>126</v>
      </c>
    </row>
    <row r="7" spans="1:6" ht="18.899999999999999" customHeight="1">
      <c r="A7" s="409" t="s">
        <v>567</v>
      </c>
      <c r="B7" s="410" t="str">
        <f>'Performance Data Sheet'!F14</f>
        <v>TEAAC</v>
      </c>
      <c r="C7" s="409" t="s">
        <v>568</v>
      </c>
      <c r="D7" s="410" t="str">
        <f>'Performance Data Sheet'!F13 &amp; " V"</f>
        <v>4000 V</v>
      </c>
      <c r="E7" s="409" t="s">
        <v>569</v>
      </c>
      <c r="F7" s="410" t="str">
        <f>'Performance Data Sheet'!C14</f>
        <v>5812US</v>
      </c>
    </row>
    <row r="8" spans="1:6" ht="18.899999999999999" customHeight="1">
      <c r="A8" s="409" t="s">
        <v>570</v>
      </c>
      <c r="B8" s="410">
        <v>4</v>
      </c>
      <c r="C8" s="409" t="s">
        <v>571</v>
      </c>
      <c r="D8" s="410" t="s">
        <v>572</v>
      </c>
      <c r="E8" s="409" t="s">
        <v>573</v>
      </c>
      <c r="F8" s="410" t="str">
        <f>'Performance Data Sheet'!M15</f>
        <v>F</v>
      </c>
    </row>
    <row r="9" spans="1:6" ht="18.899999999999999" customHeight="1">
      <c r="A9" s="409" t="s">
        <v>574</v>
      </c>
      <c r="B9" s="410">
        <f>'Performance Data Sheet'!C13</f>
        <v>1000</v>
      </c>
      <c r="C9" s="409" t="s">
        <v>575</v>
      </c>
      <c r="D9" s="410" t="s">
        <v>585</v>
      </c>
      <c r="E9" s="409" t="s">
        <v>2</v>
      </c>
      <c r="F9" s="411">
        <f>'Performance Data Sheet'!K44</f>
        <v>44676</v>
      </c>
    </row>
    <row r="10" spans="1:6" ht="18.899999999999999" customHeight="1">
      <c r="A10" s="409" t="s">
        <v>576</v>
      </c>
      <c r="B10" s="410">
        <f>'Performance Data Sheet'!M14</f>
        <v>1777</v>
      </c>
      <c r="C10" s="409" t="s">
        <v>404</v>
      </c>
      <c r="D10" s="410" t="s">
        <v>586</v>
      </c>
      <c r="E10" s="409" t="s">
        <v>1</v>
      </c>
      <c r="F10" s="410" t="s">
        <v>381</v>
      </c>
    </row>
    <row r="11" spans="1:6" ht="18.899999999999999" customHeight="1">
      <c r="A11" s="406"/>
      <c r="B11" s="407"/>
      <c r="C11" s="407"/>
      <c r="D11" s="407"/>
      <c r="E11" s="407"/>
      <c r="F11" s="408"/>
    </row>
    <row r="12" spans="1:6" ht="18.899999999999999" customHeight="1">
      <c r="A12" s="406"/>
      <c r="B12" s="412"/>
      <c r="C12" s="413" t="str">
        <f>'Performance Data Sheet'!D22 &amp; " A"</f>
        <v>968 A</v>
      </c>
      <c r="D12" s="412"/>
      <c r="E12" s="413"/>
      <c r="F12" s="408"/>
    </row>
    <row r="13" spans="1:6" ht="18.899999999999999" customHeight="1">
      <c r="A13" s="406"/>
      <c r="B13" s="412"/>
      <c r="C13" s="414">
        <f>'Performance Data Sheet'!H23/100</f>
        <v>1.65</v>
      </c>
      <c r="D13" s="412"/>
      <c r="E13" s="413"/>
      <c r="F13" s="408"/>
    </row>
    <row r="14" spans="1:6" ht="18.899999999999999" customHeight="1">
      <c r="A14" s="406"/>
      <c r="B14" s="412"/>
      <c r="C14" s="414"/>
      <c r="D14" s="412"/>
      <c r="E14" s="413"/>
      <c r="F14" s="408"/>
    </row>
    <row r="15" spans="1:6" ht="18.899999999999999" customHeight="1">
      <c r="A15" s="406"/>
      <c r="B15" s="412"/>
      <c r="C15" s="413" t="str">
        <f>'Performance Data Sheet'!H22 &amp; " lb-ft"</f>
        <v>2956 lb-ft</v>
      </c>
      <c r="D15" s="407"/>
      <c r="E15" s="407"/>
      <c r="F15" s="408"/>
    </row>
    <row r="16" spans="1:6" ht="18.899999999999999" customHeight="1">
      <c r="A16" s="406"/>
      <c r="B16" s="407"/>
      <c r="C16" s="407"/>
      <c r="D16" s="407"/>
      <c r="E16" s="407"/>
      <c r="F16" s="408"/>
    </row>
    <row r="17" spans="1:6" ht="18.899999999999999" customHeight="1">
      <c r="A17" s="406"/>
      <c r="B17" s="407"/>
      <c r="C17" s="407"/>
      <c r="D17" s="407"/>
      <c r="E17" s="407"/>
      <c r="F17" s="408"/>
    </row>
    <row r="18" spans="1:6" ht="18.899999999999999" customHeight="1">
      <c r="A18" s="406"/>
      <c r="B18" s="407"/>
      <c r="C18" s="407"/>
      <c r="D18" s="407"/>
      <c r="E18" s="407"/>
      <c r="F18" s="408"/>
    </row>
    <row r="19" spans="1:6" ht="18.899999999999999" customHeight="1">
      <c r="A19" s="406"/>
      <c r="B19" s="407"/>
      <c r="C19" s="407"/>
      <c r="D19" s="407"/>
      <c r="E19" s="407"/>
      <c r="F19" s="408"/>
    </row>
    <row r="20" spans="1:6" ht="18.899999999999999" customHeight="1">
      <c r="A20" s="406"/>
      <c r="B20" s="407"/>
      <c r="C20" s="407"/>
      <c r="D20" s="407"/>
      <c r="E20" s="407"/>
      <c r="F20" s="408"/>
    </row>
    <row r="21" spans="1:6" ht="18.899999999999999" customHeight="1">
      <c r="A21" s="406"/>
      <c r="B21" s="407"/>
      <c r="C21" s="407"/>
      <c r="D21" s="407"/>
      <c r="E21" s="407"/>
      <c r="F21" s="408"/>
    </row>
    <row r="22" spans="1:6" ht="18.899999999999999" customHeight="1">
      <c r="A22" s="406"/>
      <c r="B22" s="407"/>
      <c r="C22" s="407"/>
      <c r="D22" s="407"/>
      <c r="E22" s="407"/>
      <c r="F22" s="408"/>
    </row>
    <row r="23" spans="1:6" ht="18.899999999999999" customHeight="1">
      <c r="A23" s="406"/>
      <c r="B23" s="407"/>
      <c r="C23" s="407"/>
      <c r="D23" s="407"/>
      <c r="E23" s="407"/>
      <c r="F23" s="408"/>
    </row>
    <row r="24" spans="1:6" ht="18.899999999999999" customHeight="1">
      <c r="A24" s="406"/>
      <c r="B24" s="407"/>
      <c r="C24" s="407"/>
      <c r="D24" s="407"/>
      <c r="E24" s="407"/>
      <c r="F24" s="408"/>
    </row>
    <row r="25" spans="1:6" ht="18.899999999999999" customHeight="1">
      <c r="A25" s="406"/>
      <c r="B25" s="407"/>
      <c r="C25" s="407"/>
      <c r="D25" s="407"/>
      <c r="E25" s="407"/>
      <c r="F25" s="408"/>
    </row>
    <row r="26" spans="1:6" ht="18.899999999999999" customHeight="1">
      <c r="A26" s="406"/>
      <c r="B26" s="407"/>
      <c r="C26" s="407"/>
      <c r="D26" s="407"/>
      <c r="E26" s="407"/>
      <c r="F26" s="408"/>
    </row>
    <row r="27" spans="1:6" ht="18.899999999999999" customHeight="1">
      <c r="A27" s="406"/>
      <c r="B27" s="407"/>
      <c r="C27" s="407"/>
      <c r="D27" s="407"/>
      <c r="E27" s="407"/>
      <c r="F27" s="408"/>
    </row>
    <row r="28" spans="1:6" ht="18.899999999999999" customHeight="1">
      <c r="A28" s="406"/>
      <c r="B28" s="407"/>
      <c r="C28" s="407"/>
      <c r="D28" s="407"/>
      <c r="E28" s="407"/>
      <c r="F28" s="408"/>
    </row>
    <row r="29" spans="1:6" ht="18.899999999999999" customHeight="1">
      <c r="A29" s="406"/>
      <c r="B29" s="407"/>
      <c r="C29" s="407"/>
      <c r="D29" s="407"/>
      <c r="E29" s="407"/>
      <c r="F29" s="408"/>
    </row>
    <row r="30" spans="1:6" ht="18.899999999999999" customHeight="1">
      <c r="A30" s="406"/>
      <c r="B30" s="407"/>
      <c r="C30" s="407"/>
      <c r="D30" s="407"/>
      <c r="E30" s="407"/>
      <c r="F30" s="408"/>
    </row>
    <row r="31" spans="1:6" ht="18.899999999999999" customHeight="1">
      <c r="A31" s="406"/>
      <c r="B31" s="407"/>
      <c r="C31" s="407"/>
      <c r="D31" s="407"/>
      <c r="E31" s="407"/>
      <c r="F31" s="408"/>
    </row>
    <row r="32" spans="1:6" ht="18.899999999999999" customHeight="1">
      <c r="A32" s="406"/>
      <c r="B32" s="407"/>
      <c r="C32" s="407"/>
      <c r="D32" s="407"/>
      <c r="E32" s="407"/>
      <c r="F32" s="408"/>
    </row>
    <row r="33" spans="1:6" ht="18.899999999999999" customHeight="1">
      <c r="A33" s="406"/>
      <c r="B33" s="407"/>
      <c r="C33" s="407"/>
      <c r="D33" s="407"/>
      <c r="E33" s="407"/>
      <c r="F33" s="408"/>
    </row>
    <row r="34" spans="1:6" ht="18.899999999999999" customHeight="1">
      <c r="A34" s="406"/>
      <c r="B34" s="407"/>
      <c r="C34" s="407"/>
      <c r="D34" s="407"/>
      <c r="E34" s="407"/>
      <c r="F34" s="408"/>
    </row>
    <row r="35" spans="1:6" ht="18.899999999999999" customHeight="1">
      <c r="A35" s="406"/>
      <c r="B35" s="407"/>
      <c r="C35" s="407"/>
      <c r="D35" s="407"/>
      <c r="E35" s="407"/>
      <c r="F35" s="408"/>
    </row>
    <row r="36" spans="1:6" ht="18.899999999999999" customHeight="1">
      <c r="A36" s="406"/>
      <c r="B36" s="407"/>
      <c r="C36" s="407"/>
      <c r="D36" s="407"/>
      <c r="E36" s="407"/>
      <c r="F36" s="408"/>
    </row>
    <row r="37" spans="1:6" ht="18.899999999999999" customHeight="1">
      <c r="A37" s="406"/>
      <c r="B37" s="407"/>
      <c r="C37" s="407"/>
      <c r="D37" s="407"/>
      <c r="E37" s="407"/>
      <c r="F37" s="408"/>
    </row>
    <row r="38" spans="1:6" ht="18.899999999999999" customHeight="1">
      <c r="A38" s="406"/>
      <c r="B38" s="407"/>
      <c r="C38" s="407"/>
      <c r="D38" s="407"/>
      <c r="E38" s="407"/>
      <c r="F38" s="408"/>
    </row>
    <row r="39" spans="1:6" ht="18.899999999999999" customHeight="1">
      <c r="A39" s="415" t="s">
        <v>581</v>
      </c>
      <c r="B39" s="416" t="s">
        <v>372</v>
      </c>
      <c r="C39" s="550" t="str">
        <f>'Performance Data Sheet'!C10</f>
        <v>-</v>
      </c>
      <c r="D39" s="407"/>
      <c r="E39" s="412" t="s">
        <v>582</v>
      </c>
      <c r="F39" s="417" t="str">
        <f>F10</f>
        <v>1M4M20U</v>
      </c>
    </row>
    <row r="40" spans="1:6" ht="18.899999999999999" customHeight="1">
      <c r="A40" s="406"/>
      <c r="B40" s="416"/>
      <c r="C40" s="416"/>
      <c r="D40" s="407"/>
      <c r="E40" s="407"/>
      <c r="F40" s="408"/>
    </row>
    <row r="41" spans="1:6" ht="18.899999999999999" customHeight="1">
      <c r="A41" s="406"/>
      <c r="B41" s="416"/>
      <c r="C41" s="416"/>
      <c r="D41" s="407"/>
      <c r="E41" s="407"/>
      <c r="F41" s="408"/>
    </row>
    <row r="42" spans="1:6" ht="18.899999999999999" customHeight="1">
      <c r="A42" s="406"/>
      <c r="B42" s="407"/>
      <c r="C42" s="407"/>
      <c r="D42" s="407"/>
      <c r="E42" s="407"/>
      <c r="F42" s="408"/>
    </row>
    <row r="43" spans="1:6" ht="18.899999999999999" customHeight="1">
      <c r="A43" s="418"/>
      <c r="B43" s="416"/>
      <c r="C43" s="419" t="s">
        <v>583</v>
      </c>
      <c r="D43" s="420" t="str">
        <f>'Performance Data Sheet'!K42</f>
        <v>Zichao Xie</v>
      </c>
      <c r="E43" s="419" t="s">
        <v>584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5" t="e">
        <f>5252.1*B50/D53</f>
        <v>#DIV/0!</v>
      </c>
      <c r="G50" s="425"/>
    </row>
    <row r="51" spans="6:9" ht="15" customHeight="1">
      <c r="G51" s="426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7"/>
    </row>
    <row r="63" spans="6:9">
      <c r="I63" s="428" t="s">
        <v>39</v>
      </c>
    </row>
    <row r="64" spans="6:9">
      <c r="I64" s="428"/>
    </row>
    <row r="65" spans="1:9">
      <c r="I65" s="428"/>
    </row>
    <row r="66" spans="1:9">
      <c r="D66" s="425" t="e">
        <f>D65/D64</f>
        <v>#DIV/0!</v>
      </c>
    </row>
    <row r="67" spans="1:9">
      <c r="A67" s="429" t="s">
        <v>399</v>
      </c>
      <c r="B67" s="429" t="s">
        <v>589</v>
      </c>
      <c r="C67" s="429" t="s">
        <v>590</v>
      </c>
      <c r="E67" s="429" t="s">
        <v>591</v>
      </c>
      <c r="F67" s="429" t="s">
        <v>592</v>
      </c>
    </row>
    <row r="68" spans="1:9">
      <c r="A68" s="430">
        <v>768.25396825396831</v>
      </c>
      <c r="B68" s="431">
        <v>12.307299205235074</v>
      </c>
      <c r="C68" s="431">
        <v>5.6878382819039484</v>
      </c>
      <c r="E68" s="430">
        <f>A68</f>
        <v>768.25396825396831</v>
      </c>
      <c r="F68" s="431">
        <v>1E-4</v>
      </c>
    </row>
    <row r="69" spans="1:9">
      <c r="A69" s="430">
        <f>FLOOR(A68,100)</f>
        <v>700</v>
      </c>
      <c r="B69" s="431">
        <f>((A68/A69)^2)*B68</f>
        <v>14.824371957268564</v>
      </c>
      <c r="C69" s="431">
        <f>((A68/A69)^2)*C68</f>
        <v>6.8511075352640693</v>
      </c>
      <c r="E69" s="430">
        <v>765.23809523809518</v>
      </c>
      <c r="F69" s="431">
        <v>0.5429999828338623</v>
      </c>
    </row>
    <row r="70" spans="1:9">
      <c r="A70" s="430">
        <f>A69-100</f>
        <v>600</v>
      </c>
      <c r="B70" s="431">
        <f>((A68/A70)^2)*B68</f>
        <v>20.177617386282211</v>
      </c>
      <c r="C70" s="431">
        <f>((A68/A70)^2)*C68</f>
        <v>9.3251185896649833</v>
      </c>
      <c r="E70" s="430">
        <v>758.80952380952385</v>
      </c>
      <c r="F70" s="431">
        <v>1.0469999313354492</v>
      </c>
    </row>
    <row r="71" spans="1:9">
      <c r="A71" s="430">
        <f>A70-100</f>
        <v>500</v>
      </c>
      <c r="B71" s="431">
        <f>((A68/A71)^2)*B68</f>
        <v>29.055769036246385</v>
      </c>
      <c r="C71" s="431">
        <f>((A68/A71)^2)*C68</f>
        <v>13.428170769117576</v>
      </c>
      <c r="E71" s="430">
        <v>751.66666666666663</v>
      </c>
      <c r="F71" s="431">
        <v>1.5369999408721924</v>
      </c>
    </row>
    <row r="72" spans="1:9">
      <c r="A72" s="430">
        <f>A71-100</f>
        <v>400</v>
      </c>
      <c r="B72" s="431">
        <f>((A68/A72)^2)*B68</f>
        <v>45.399639119134974</v>
      </c>
      <c r="C72" s="431"/>
      <c r="E72" s="430">
        <v>743.73015873015868</v>
      </c>
      <c r="F72" s="431">
        <v>2.0290000438690186</v>
      </c>
    </row>
    <row r="73" spans="1:9">
      <c r="A73" s="430">
        <f>A72-100</f>
        <v>300</v>
      </c>
      <c r="B73" s="431">
        <f>((A68/A73)^2)*B68</f>
        <v>80.710469545128845</v>
      </c>
      <c r="C73" s="431"/>
      <c r="E73" s="430">
        <v>734.3650793650794</v>
      </c>
      <c r="F73" s="431">
        <v>2.5360000133514404</v>
      </c>
    </row>
    <row r="74" spans="1:9">
      <c r="A74" s="430">
        <v>265</v>
      </c>
      <c r="B74" s="431">
        <f>((A68/A74)^2)*B68</f>
        <v>103.43812401654108</v>
      </c>
      <c r="C74" s="431">
        <f>((A68/A74)^2)*C68</f>
        <v>47.804096721671684</v>
      </c>
      <c r="E74" s="430">
        <v>723.09523809523807</v>
      </c>
      <c r="F74" s="431">
        <v>3.0669999122619629</v>
      </c>
    </row>
    <row r="75" spans="1:9">
      <c r="A75" s="432">
        <v>180</v>
      </c>
      <c r="B75" s="431">
        <f>((A68/A75)^2)*B69</f>
        <v>270.04797032106114</v>
      </c>
      <c r="C75" s="431">
        <f>((A68/A75)^2)*C68</f>
        <v>103.61242877405537</v>
      </c>
      <c r="E75" s="430">
        <v>708.09523809523807</v>
      </c>
      <c r="F75" s="431">
        <v>3.6269998550415039</v>
      </c>
    </row>
    <row r="76" spans="1:9">
      <c r="A76" s="432">
        <v>145</v>
      </c>
      <c r="B76" s="431">
        <f>((A68/A76)^2)*B68</f>
        <v>345.49071386737671</v>
      </c>
      <c r="C76" s="431">
        <f>((A68/A76)^2)*C68</f>
        <v>159.66909356857997</v>
      </c>
      <c r="E76" s="430">
        <v>682.38095238095241</v>
      </c>
      <c r="F76" s="431">
        <v>4.2089996337890625</v>
      </c>
    </row>
    <row r="77" spans="1:9">
      <c r="A77" s="432">
        <v>125</v>
      </c>
      <c r="B77" s="431"/>
      <c r="C77" s="430">
        <f>CEILING(C76*2,100)</f>
        <v>400</v>
      </c>
      <c r="E77" s="430">
        <v>647.77777777777783</v>
      </c>
      <c r="F77" s="431">
        <v>4.490999698638916</v>
      </c>
    </row>
    <row r="78" spans="1:9">
      <c r="A78" s="432">
        <v>125</v>
      </c>
      <c r="B78" s="431"/>
      <c r="C78" s="430">
        <f>2*C77</f>
        <v>800</v>
      </c>
      <c r="E78" s="430">
        <v>593.41269841269843</v>
      </c>
      <c r="F78" s="431">
        <v>4.7309994697570801</v>
      </c>
    </row>
    <row r="79" spans="1:9">
      <c r="A79" s="432">
        <v>125</v>
      </c>
      <c r="B79" s="432"/>
      <c r="C79" s="432">
        <v>10000</v>
      </c>
      <c r="E79" s="430">
        <v>469.52380952380952</v>
      </c>
      <c r="F79" s="431">
        <v>4.8649992942810059</v>
      </c>
    </row>
    <row r="80" spans="1:9">
      <c r="E80" s="430">
        <v>238.60398860398863</v>
      </c>
      <c r="F80" s="431">
        <v>5.0549993515014648</v>
      </c>
    </row>
    <row r="81" spans="5:6">
      <c r="E81" s="430"/>
      <c r="F81" s="431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workbookViewId="0">
      <selection activeCell="M13" sqref="M13"/>
    </sheetView>
  </sheetViews>
  <sheetFormatPr defaultColWidth="9.109375" defaultRowHeight="13.2"/>
  <cols>
    <col min="1" max="6" width="16.6640625" style="386" customWidth="1"/>
    <col min="7" max="16384" width="9.109375" style="386"/>
  </cols>
  <sheetData>
    <row r="1" spans="1:6" ht="18.899999999999999" customHeight="1">
      <c r="A1" s="399"/>
      <c r="B1" s="400"/>
      <c r="C1" s="400"/>
      <c r="D1" s="400"/>
      <c r="E1" s="400"/>
      <c r="F1" s="401"/>
    </row>
    <row r="2" spans="1:6" ht="26.1" customHeight="1">
      <c r="A2" s="402" t="s">
        <v>269</v>
      </c>
      <c r="B2" s="403"/>
      <c r="C2" s="403"/>
      <c r="D2" s="403"/>
      <c r="E2" s="403"/>
      <c r="F2" s="404"/>
    </row>
    <row r="3" spans="1:6" ht="18.899999999999999" customHeight="1">
      <c r="A3" s="405" t="s">
        <v>596</v>
      </c>
      <c r="B3" s="403"/>
      <c r="C3" s="403"/>
      <c r="D3" s="403"/>
      <c r="E3" s="403"/>
      <c r="F3" s="404"/>
    </row>
    <row r="4" spans="1:6" ht="18.899999999999999" customHeight="1">
      <c r="A4" s="683" t="s">
        <v>588</v>
      </c>
      <c r="B4" s="684"/>
      <c r="C4" s="684"/>
      <c r="D4" s="684"/>
      <c r="E4" s="684"/>
      <c r="F4" s="685"/>
    </row>
    <row r="5" spans="1:6" ht="18.899999999999999" customHeight="1">
      <c r="A5" s="406"/>
      <c r="B5" s="407"/>
      <c r="C5" s="407"/>
      <c r="D5" s="407"/>
      <c r="E5" s="407"/>
      <c r="F5" s="408"/>
    </row>
    <row r="6" spans="1:6" ht="18.899999999999999" customHeight="1">
      <c r="A6" s="409" t="s">
        <v>565</v>
      </c>
      <c r="B6" s="677" t="str">
        <f>'Performance Data Sheet'!C17</f>
        <v>M205TCAL11E-A</v>
      </c>
      <c r="C6" s="678"/>
      <c r="D6" s="679"/>
      <c r="E6" s="409" t="s">
        <v>566</v>
      </c>
      <c r="F6" s="410">
        <f>'Performance Data Sheet'!I14</f>
        <v>126</v>
      </c>
    </row>
    <row r="7" spans="1:6" ht="18.899999999999999" customHeight="1">
      <c r="A7" s="409" t="s">
        <v>567</v>
      </c>
      <c r="B7" s="410" t="str">
        <f>'Performance Data Sheet'!F14</f>
        <v>TEAAC</v>
      </c>
      <c r="C7" s="409" t="s">
        <v>568</v>
      </c>
      <c r="D7" s="410" t="str">
        <f>'Performance Data Sheet'!F13 &amp; " V"</f>
        <v>4000 V</v>
      </c>
      <c r="E7" s="409" t="s">
        <v>569</v>
      </c>
      <c r="F7" s="410" t="str">
        <f>'Performance Data Sheet'!C14</f>
        <v>5812US</v>
      </c>
    </row>
    <row r="8" spans="1:6" ht="18.899999999999999" customHeight="1">
      <c r="A8" s="409" t="s">
        <v>570</v>
      </c>
      <c r="B8" s="410">
        <v>4</v>
      </c>
      <c r="C8" s="409" t="s">
        <v>571</v>
      </c>
      <c r="D8" s="410" t="s">
        <v>572</v>
      </c>
      <c r="E8" s="409" t="s">
        <v>573</v>
      </c>
      <c r="F8" s="410" t="str">
        <f>'Performance Data Sheet'!M15</f>
        <v>F</v>
      </c>
    </row>
    <row r="9" spans="1:6" ht="18.899999999999999" customHeight="1">
      <c r="A9" s="409" t="s">
        <v>574</v>
      </c>
      <c r="B9" s="410">
        <f>'Performance Data Sheet'!C13</f>
        <v>1000</v>
      </c>
      <c r="C9" s="409" t="s">
        <v>575</v>
      </c>
      <c r="D9" s="410" t="s">
        <v>585</v>
      </c>
      <c r="E9" s="409" t="s">
        <v>2</v>
      </c>
      <c r="F9" s="411">
        <f>'Performance Data Sheet'!K44</f>
        <v>44676</v>
      </c>
    </row>
    <row r="10" spans="1:6" ht="18.899999999999999" customHeight="1">
      <c r="A10" s="409" t="s">
        <v>576</v>
      </c>
      <c r="B10" s="410">
        <f>'Performance Data Sheet'!M14</f>
        <v>1777</v>
      </c>
      <c r="C10" s="409" t="s">
        <v>404</v>
      </c>
      <c r="D10" s="410" t="s">
        <v>586</v>
      </c>
      <c r="E10" s="409" t="s">
        <v>1</v>
      </c>
      <c r="F10" s="410" t="s">
        <v>381</v>
      </c>
    </row>
    <row r="11" spans="1:6" ht="18.899999999999999" customHeight="1">
      <c r="A11" s="406"/>
      <c r="B11" s="407"/>
      <c r="C11" s="407"/>
      <c r="D11" s="407"/>
      <c r="E11" s="407"/>
      <c r="F11" s="408"/>
    </row>
    <row r="12" spans="1:6" ht="18.899999999999999" customHeight="1">
      <c r="A12" s="406"/>
      <c r="B12" s="412" t="s">
        <v>577</v>
      </c>
      <c r="C12" s="413" t="str">
        <f>'Performance Data Sheet'!D22 &amp; " A"</f>
        <v>968 A</v>
      </c>
      <c r="D12" s="412" t="s">
        <v>403</v>
      </c>
      <c r="E12" s="413" t="s">
        <v>407</v>
      </c>
      <c r="F12" s="408"/>
    </row>
    <row r="13" spans="1:6" ht="18.899999999999999" customHeight="1">
      <c r="A13" s="406"/>
      <c r="B13" s="412" t="s">
        <v>578</v>
      </c>
      <c r="C13" s="414">
        <f>'Performance Data Sheet'!H23/100</f>
        <v>1.65</v>
      </c>
      <c r="D13" s="412" t="s">
        <v>579</v>
      </c>
      <c r="E13" s="413" t="s">
        <v>714</v>
      </c>
      <c r="F13" s="408"/>
    </row>
    <row r="14" spans="1:6" ht="18.899999999999999" customHeight="1">
      <c r="A14" s="406"/>
      <c r="B14" s="412" t="s">
        <v>580</v>
      </c>
      <c r="C14" s="414">
        <v>2.65</v>
      </c>
      <c r="D14" s="412" t="s">
        <v>405</v>
      </c>
      <c r="E14" s="413" t="s">
        <v>410</v>
      </c>
      <c r="F14" s="408"/>
    </row>
    <row r="15" spans="1:6" ht="18.899999999999999" customHeight="1">
      <c r="A15" s="406"/>
      <c r="B15" s="412" t="s">
        <v>406</v>
      </c>
      <c r="C15" s="413" t="str">
        <f>'Performance Data Sheet'!H22 &amp; " lb-ft"</f>
        <v>2956 lb-ft</v>
      </c>
      <c r="D15" s="407"/>
      <c r="E15" s="407"/>
      <c r="F15" s="408"/>
    </row>
    <row r="16" spans="1:6" ht="18.899999999999999" customHeight="1">
      <c r="A16" s="406"/>
      <c r="B16" s="407"/>
      <c r="C16" s="407"/>
      <c r="D16" s="407"/>
      <c r="E16" s="407"/>
      <c r="F16" s="408"/>
    </row>
    <row r="17" spans="1:8" ht="18.899999999999999" customHeight="1">
      <c r="A17" s="406"/>
      <c r="B17" s="407"/>
      <c r="C17" s="407"/>
      <c r="D17" s="407"/>
      <c r="E17" s="407"/>
      <c r="F17" s="408"/>
    </row>
    <row r="18" spans="1:8" ht="18.899999999999999" customHeight="1">
      <c r="A18" s="406"/>
      <c r="B18" s="407"/>
      <c r="C18" s="407"/>
      <c r="D18" s="407"/>
      <c r="E18" s="407"/>
      <c r="F18" s="408"/>
    </row>
    <row r="19" spans="1:8" ht="18.899999999999999" customHeight="1">
      <c r="A19" s="406"/>
      <c r="B19" s="407"/>
      <c r="C19" s="407"/>
      <c r="D19" s="407"/>
      <c r="E19" s="407"/>
      <c r="F19" s="408"/>
    </row>
    <row r="20" spans="1:8" ht="18.899999999999999" customHeight="1">
      <c r="A20" s="406"/>
      <c r="B20" s="407"/>
      <c r="C20" s="407"/>
      <c r="D20" s="407"/>
      <c r="E20" s="407"/>
      <c r="F20" s="408"/>
    </row>
    <row r="21" spans="1:8" ht="18.899999999999999" customHeight="1">
      <c r="A21" s="406"/>
      <c r="B21" s="407"/>
      <c r="C21" s="407"/>
      <c r="D21" s="407"/>
      <c r="E21" s="407"/>
      <c r="F21" s="408"/>
    </row>
    <row r="22" spans="1:8" ht="18.899999999999999" customHeight="1">
      <c r="A22" s="406"/>
      <c r="B22" s="407"/>
      <c r="C22" s="407"/>
      <c r="D22" s="407"/>
      <c r="E22" s="407"/>
      <c r="F22" s="408"/>
    </row>
    <row r="23" spans="1:8" ht="18.899999999999999" customHeight="1">
      <c r="A23" s="406"/>
      <c r="B23" s="407"/>
      <c r="C23" s="407"/>
      <c r="D23" s="407"/>
      <c r="E23" s="407"/>
      <c r="F23" s="408"/>
    </row>
    <row r="24" spans="1:8" ht="18.899999999999999" customHeight="1">
      <c r="A24" s="406"/>
      <c r="B24" s="407"/>
      <c r="C24" s="407"/>
      <c r="D24" s="407"/>
      <c r="E24" s="407"/>
      <c r="F24" s="408"/>
      <c r="H24" s="433"/>
    </row>
    <row r="25" spans="1:8" ht="18.899999999999999" customHeight="1">
      <c r="A25" s="406"/>
      <c r="B25" s="407"/>
      <c r="C25" s="407"/>
      <c r="D25" s="407"/>
      <c r="E25" s="407"/>
      <c r="F25" s="408"/>
    </row>
    <row r="26" spans="1:8" ht="18.899999999999999" customHeight="1">
      <c r="A26" s="406"/>
      <c r="B26" s="407"/>
      <c r="C26" s="407"/>
      <c r="D26" s="407"/>
      <c r="E26" s="407"/>
      <c r="F26" s="408"/>
    </row>
    <row r="27" spans="1:8" ht="18.899999999999999" customHeight="1">
      <c r="A27" s="406"/>
      <c r="B27" s="407"/>
      <c r="C27" s="407"/>
      <c r="D27" s="407"/>
      <c r="E27" s="407"/>
      <c r="F27" s="408"/>
    </row>
    <row r="28" spans="1:8" ht="18.899999999999999" customHeight="1">
      <c r="A28" s="406"/>
      <c r="B28" s="407"/>
      <c r="C28" s="407"/>
      <c r="D28" s="407"/>
      <c r="E28" s="407"/>
      <c r="F28" s="408"/>
    </row>
    <row r="29" spans="1:8" ht="18.899999999999999" customHeight="1">
      <c r="A29" s="406"/>
      <c r="B29" s="407"/>
      <c r="C29" s="407"/>
      <c r="D29" s="407"/>
      <c r="E29" s="407"/>
      <c r="F29" s="408"/>
    </row>
    <row r="30" spans="1:8" ht="18.899999999999999" customHeight="1">
      <c r="A30" s="406"/>
      <c r="B30" s="407"/>
      <c r="C30" s="407"/>
      <c r="D30" s="407"/>
      <c r="E30" s="407"/>
      <c r="F30" s="408"/>
    </row>
    <row r="31" spans="1:8" ht="18.899999999999999" customHeight="1">
      <c r="A31" s="406"/>
      <c r="B31" s="407"/>
      <c r="C31" s="407"/>
      <c r="D31" s="407"/>
      <c r="E31" s="407"/>
      <c r="F31" s="408"/>
    </row>
    <row r="32" spans="1:8" ht="18.899999999999999" customHeight="1">
      <c r="A32" s="406"/>
      <c r="B32" s="407"/>
      <c r="C32" s="407"/>
      <c r="D32" s="407"/>
      <c r="E32" s="407"/>
      <c r="F32" s="408"/>
    </row>
    <row r="33" spans="1:15" ht="18.899999999999999" customHeight="1">
      <c r="A33" s="406"/>
      <c r="B33" s="407"/>
      <c r="C33" s="407"/>
      <c r="D33" s="407"/>
      <c r="E33" s="407"/>
      <c r="F33" s="408"/>
    </row>
    <row r="34" spans="1:15" ht="18.899999999999999" customHeight="1">
      <c r="A34" s="406"/>
      <c r="B34" s="407"/>
      <c r="C34" s="407"/>
      <c r="D34" s="407"/>
      <c r="E34" s="407"/>
      <c r="F34" s="408"/>
    </row>
    <row r="35" spans="1:15" ht="18.899999999999999" customHeight="1">
      <c r="A35" s="406"/>
      <c r="B35" s="407"/>
      <c r="C35" s="407"/>
      <c r="D35" s="407"/>
      <c r="E35" s="407"/>
      <c r="F35" s="408"/>
    </row>
    <row r="36" spans="1:15" ht="18.899999999999999" customHeight="1">
      <c r="A36" s="406"/>
      <c r="B36" s="407"/>
      <c r="C36" s="407"/>
      <c r="D36" s="407"/>
      <c r="E36" s="407"/>
      <c r="F36" s="408"/>
      <c r="N36" s="551" t="s">
        <v>712</v>
      </c>
      <c r="O36" s="551" t="s">
        <v>713</v>
      </c>
    </row>
    <row r="37" spans="1:15" ht="18.899999999999999" customHeight="1">
      <c r="A37" s="406"/>
      <c r="B37" s="407"/>
      <c r="C37" s="407"/>
      <c r="D37" s="407"/>
      <c r="E37" s="407"/>
      <c r="F37" s="408"/>
      <c r="N37" s="551">
        <f xml:space="preserve"> L43 - (L43-L44) / 10 * 0</f>
        <v>1800</v>
      </c>
      <c r="O37" s="551">
        <f xml:space="preserve"> L45 / 10 * 10</f>
        <v>2000</v>
      </c>
    </row>
    <row r="38" spans="1:15" ht="18.899999999999999" customHeight="1">
      <c r="A38" s="406"/>
      <c r="B38" s="407"/>
      <c r="C38" s="407"/>
      <c r="D38" s="407"/>
      <c r="E38" s="407"/>
      <c r="F38" s="408"/>
      <c r="N38" s="551">
        <f xml:space="preserve"> L43 - (L43-L44) / 10 * 1</f>
        <v>1797</v>
      </c>
      <c r="O38" s="551">
        <f xml:space="preserve"> L45 / 10 * 9</f>
        <v>1800</v>
      </c>
    </row>
    <row r="39" spans="1:15" ht="18.899999999999999" customHeight="1">
      <c r="A39" s="415" t="s">
        <v>581</v>
      </c>
      <c r="B39" s="416" t="s">
        <v>372</v>
      </c>
      <c r="C39" s="550" t="str">
        <f>'Performance Data Sheet'!C10</f>
        <v>-</v>
      </c>
      <c r="D39" s="407"/>
      <c r="E39" s="412" t="s">
        <v>582</v>
      </c>
      <c r="F39" s="417" t="str">
        <f>F10</f>
        <v>1M4M20U</v>
      </c>
      <c r="N39" s="551">
        <f xml:space="preserve"> L43 - (L43-L44) / 10 * 2</f>
        <v>1794</v>
      </c>
      <c r="O39" s="551">
        <f xml:space="preserve"> L45 / 10 * 8</f>
        <v>1600</v>
      </c>
    </row>
    <row r="40" spans="1:15" ht="18.899999999999999" customHeight="1">
      <c r="A40" s="406"/>
      <c r="B40" s="416"/>
      <c r="C40" s="416"/>
      <c r="D40" s="407"/>
      <c r="E40" s="407"/>
      <c r="F40" s="408"/>
      <c r="N40" s="551">
        <f xml:space="preserve"> L43 - (L43-L44) / 10 * 3</f>
        <v>1791</v>
      </c>
      <c r="O40" s="551">
        <f xml:space="preserve"> L45 / 10 * 7</f>
        <v>1400</v>
      </c>
    </row>
    <row r="41" spans="1:15" ht="18.899999999999999" customHeight="1">
      <c r="A41" s="406"/>
      <c r="B41" s="416"/>
      <c r="C41" s="416"/>
      <c r="D41" s="407"/>
      <c r="E41" s="407"/>
      <c r="F41" s="408"/>
      <c r="N41" s="551">
        <f xml:space="preserve"> L43 - (L43-L44) / 10 * 4</f>
        <v>1788</v>
      </c>
      <c r="O41" s="551">
        <f xml:space="preserve"> L45 / 10 * 6</f>
        <v>1200</v>
      </c>
    </row>
    <row r="42" spans="1:15" ht="18.899999999999999" customHeight="1">
      <c r="A42" s="406"/>
      <c r="B42" s="407"/>
      <c r="C42" s="407"/>
      <c r="D42" s="407"/>
      <c r="E42" s="407"/>
      <c r="F42" s="408"/>
      <c r="N42" s="551">
        <f xml:space="preserve"> L43 - (L43-L44) / 10 * 5</f>
        <v>1785</v>
      </c>
      <c r="O42" s="551">
        <f xml:space="preserve"> L45 / 10 * 5</f>
        <v>1000</v>
      </c>
    </row>
    <row r="43" spans="1:15" ht="18.899999999999999" customHeight="1">
      <c r="A43" s="418"/>
      <c r="B43" s="416"/>
      <c r="C43" s="419" t="s">
        <v>583</v>
      </c>
      <c r="D43" s="420" t="str">
        <f>'Performance Data Sheet'!K42</f>
        <v>Zichao Xie</v>
      </c>
      <c r="E43" s="419" t="s">
        <v>584</v>
      </c>
      <c r="F43" s="420"/>
      <c r="K43" s="554" t="s">
        <v>709</v>
      </c>
      <c r="L43" s="555">
        <v>1800</v>
      </c>
      <c r="N43" s="551">
        <f xml:space="preserve"> L43 - (L43-L44) / 10 * 6</f>
        <v>1782</v>
      </c>
      <c r="O43" s="551">
        <f xml:space="preserve"> L45 / 10 * 4</f>
        <v>800</v>
      </c>
    </row>
    <row r="44" spans="1:15" ht="15" customHeight="1">
      <c r="K44" s="554" t="s">
        <v>710</v>
      </c>
      <c r="L44" s="556">
        <v>1770</v>
      </c>
      <c r="N44" s="551">
        <f xml:space="preserve"> L43 - (L43-L44) / 10 * 7</f>
        <v>1779</v>
      </c>
      <c r="O44" s="551">
        <f xml:space="preserve"> L45 / 10 * 3</f>
        <v>600</v>
      </c>
    </row>
    <row r="45" spans="1:15" ht="15" customHeight="1">
      <c r="K45" s="554" t="s">
        <v>711</v>
      </c>
      <c r="L45" s="556">
        <v>2000</v>
      </c>
      <c r="N45" s="551">
        <f xml:space="preserve"> L43 - (L43-L44) / 10 * 8</f>
        <v>1776</v>
      </c>
      <c r="O45" s="551">
        <f xml:space="preserve"> L45 / 10 * 2</f>
        <v>400</v>
      </c>
    </row>
    <row r="46" spans="1:15" ht="15" customHeight="1">
      <c r="N46" s="551">
        <f xml:space="preserve"> L43 - (L43-L44) / 10 * 9</f>
        <v>1773</v>
      </c>
      <c r="O46" s="551">
        <f xml:space="preserve"> L45 / 10 * 1</f>
        <v>200</v>
      </c>
    </row>
    <row r="47" spans="1:15" ht="15" customHeight="1">
      <c r="N47" s="551">
        <f xml:space="preserve"> L43 - (L43-L44) / 10 * 10</f>
        <v>1770</v>
      </c>
      <c r="O47" s="557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86" t="s">
        <v>707</v>
      </c>
      <c r="B52" s="687"/>
      <c r="C52" s="687"/>
      <c r="D52" s="687"/>
      <c r="E52" s="687"/>
      <c r="F52" s="688"/>
    </row>
    <row r="53" spans="1:6" ht="15" customHeight="1" thickBot="1">
      <c r="A53" s="552" t="s">
        <v>402</v>
      </c>
      <c r="B53" s="552" t="s">
        <v>142</v>
      </c>
      <c r="C53" s="552" t="s">
        <v>120</v>
      </c>
      <c r="D53" s="552" t="s">
        <v>135</v>
      </c>
      <c r="E53" s="552" t="s">
        <v>5</v>
      </c>
      <c r="F53" s="553" t="s">
        <v>597</v>
      </c>
    </row>
    <row r="54" spans="1:6" ht="15" customHeight="1">
      <c r="A54" s="434">
        <v>0</v>
      </c>
      <c r="B54" s="435"/>
      <c r="C54" s="436"/>
      <c r="D54" s="436">
        <v>30</v>
      </c>
      <c r="E54" s="436">
        <v>100</v>
      </c>
      <c r="F54" s="437">
        <f>8569/(L45*1000) * 100</f>
        <v>0.42845</v>
      </c>
    </row>
    <row r="55" spans="1:6" ht="15" customHeight="1">
      <c r="A55" s="438">
        <v>25</v>
      </c>
      <c r="B55" s="439">
        <v>91.399993896484375</v>
      </c>
      <c r="C55" s="440">
        <v>64.099998474121094</v>
      </c>
      <c r="D55" s="440">
        <v>45.959999084472656</v>
      </c>
      <c r="E55" s="440">
        <f xml:space="preserve"> (1.00974220013981*B10-L44)/(L43-L44)*100</f>
        <v>81.039632161474245</v>
      </c>
      <c r="F55" s="441">
        <f xml:space="preserve"> 204107.3/(L45*1000)*100</f>
        <v>10.205365</v>
      </c>
    </row>
    <row r="56" spans="1:6" ht="15" customHeight="1">
      <c r="A56" s="438">
        <v>50</v>
      </c>
      <c r="B56" s="439">
        <v>94.099998474121094</v>
      </c>
      <c r="C56" s="440">
        <v>82.5</v>
      </c>
      <c r="D56" s="440">
        <v>69.400001525878906</v>
      </c>
      <c r="E56" s="440">
        <f xml:space="preserve"> (1.00654116895136*B10-L44)/(L43-L44)*100</f>
        <v>62.078857421888642</v>
      </c>
      <c r="F56" s="441">
        <f xml:space="preserve"> 396674.3/(L45*1000)*100</f>
        <v>19.833714999999998</v>
      </c>
    </row>
    <row r="57" spans="1:6">
      <c r="A57" s="438">
        <v>75</v>
      </c>
      <c r="B57" s="439">
        <v>94.700004577636719</v>
      </c>
      <c r="C57" s="440">
        <v>88</v>
      </c>
      <c r="D57" s="440">
        <v>96.889999389648438</v>
      </c>
      <c r="E57" s="440">
        <f xml:space="preserve"> (1.00334013776291*B10-L44)/(L43-L44)*100</f>
        <v>43.118082682303793</v>
      </c>
      <c r="F57" s="441">
        <f xml:space="preserve"> 590720.8/(L45*1000)*100</f>
        <v>29.536040000000003</v>
      </c>
    </row>
    <row r="58" spans="1:6">
      <c r="A58" s="438">
        <v>100</v>
      </c>
      <c r="B58" s="439">
        <v>94.700004577636719</v>
      </c>
      <c r="C58" s="440">
        <v>89.900001525878906</v>
      </c>
      <c r="D58" s="440">
        <v>126.36000061035156</v>
      </c>
      <c r="E58" s="440">
        <f xml:space="preserve"> (1*B10-L44)/(L43-L44)*100</f>
        <v>23.333333333333332</v>
      </c>
      <c r="F58" s="441">
        <f xml:space="preserve"> 787027.5/(L45*1000)*100</f>
        <v>39.351374999999997</v>
      </c>
    </row>
    <row r="59" spans="1:6" ht="13.8" thickBot="1">
      <c r="A59" s="442">
        <v>125</v>
      </c>
      <c r="B59" s="443">
        <v>94.599998474121094</v>
      </c>
      <c r="C59" s="444">
        <v>90.5</v>
      </c>
      <c r="D59" s="444">
        <v>157.33000183105469</v>
      </c>
      <c r="E59" s="444">
        <f xml:space="preserve"> (0.996729381177019*B10-L44)/(L43-L44)*100</f>
        <v>3.9603678385424246</v>
      </c>
      <c r="F59" s="445">
        <f xml:space="preserve"> 986462.9/(L45*1000)*100</f>
        <v>49.323145000000004</v>
      </c>
    </row>
    <row r="60" spans="1:6">
      <c r="A60" s="421"/>
      <c r="B60" s="422"/>
      <c r="C60" s="422"/>
    </row>
    <row r="61" spans="1:6" ht="13.8" thickBot="1">
      <c r="A61" s="421"/>
      <c r="B61" s="422"/>
      <c r="C61" s="422"/>
    </row>
    <row r="62" spans="1:6" ht="13.8" thickBot="1">
      <c r="A62" s="686" t="s">
        <v>708</v>
      </c>
      <c r="B62" s="687"/>
      <c r="C62" s="687"/>
      <c r="D62" s="687"/>
      <c r="E62" s="687"/>
      <c r="F62" s="688"/>
    </row>
    <row r="63" spans="1:6" ht="13.8" thickBot="1">
      <c r="A63" s="552" t="s">
        <v>402</v>
      </c>
      <c r="B63" s="552" t="s">
        <v>142</v>
      </c>
      <c r="C63" s="552" t="s">
        <v>120</v>
      </c>
      <c r="D63" s="552" t="s">
        <v>135</v>
      </c>
      <c r="E63" s="552" t="s">
        <v>5</v>
      </c>
      <c r="F63" s="553" t="s">
        <v>597</v>
      </c>
    </row>
    <row r="64" spans="1:6">
      <c r="A64" s="434">
        <v>0</v>
      </c>
      <c r="B64" s="435"/>
      <c r="C64" s="436"/>
      <c r="D64" s="436">
        <v>31.95865203677624</v>
      </c>
      <c r="E64" s="436">
        <v>100</v>
      </c>
      <c r="F64" s="437">
        <v>13.164425109587683</v>
      </c>
    </row>
    <row r="65" spans="1:6">
      <c r="A65" s="438">
        <v>25</v>
      </c>
      <c r="B65" s="439">
        <v>91.363090515136719</v>
      </c>
      <c r="C65" s="440">
        <v>64.032676696777344</v>
      </c>
      <c r="D65" s="440">
        <v>45.956451416015625</v>
      </c>
      <c r="E65" s="440">
        <v>69.62674399423021</v>
      </c>
      <c r="F65" s="441">
        <v>10.193562934009952</v>
      </c>
    </row>
    <row r="66" spans="1:6">
      <c r="A66" s="438">
        <v>50</v>
      </c>
      <c r="B66" s="439">
        <v>94.020919799804688</v>
      </c>
      <c r="C66" s="440">
        <v>82.409797668457031</v>
      </c>
      <c r="D66" s="440">
        <v>69.397781372070313</v>
      </c>
      <c r="E66" s="440">
        <v>54.530995857719169</v>
      </c>
      <c r="F66" s="441">
        <v>19.81081382299217</v>
      </c>
    </row>
    <row r="67" spans="1:6">
      <c r="A67" s="438">
        <v>75</v>
      </c>
      <c r="B67" s="439">
        <v>94.622642517089844</v>
      </c>
      <c r="C67" s="440">
        <v>87.972618103027344</v>
      </c>
      <c r="D67" s="440">
        <v>96.894149780273438</v>
      </c>
      <c r="E67" s="440">
        <v>39.074642802250004</v>
      </c>
      <c r="F67" s="441">
        <v>29.527246867111391</v>
      </c>
    </row>
    <row r="68" spans="1:6">
      <c r="A68" s="438">
        <v>100</v>
      </c>
      <c r="B68" s="439">
        <v>94.677879333496094</v>
      </c>
      <c r="C68" s="440">
        <v>89.891525268554688</v>
      </c>
      <c r="D68" s="440">
        <v>126.36058044433594</v>
      </c>
      <c r="E68" s="440">
        <v>23.272124185767538</v>
      </c>
      <c r="F68" s="441">
        <v>39.346693000941805</v>
      </c>
    </row>
    <row r="69" spans="1:6" ht="13.8" thickBot="1">
      <c r="A69" s="442">
        <v>125</v>
      </c>
      <c r="B69" s="443">
        <v>94.509925842285156</v>
      </c>
      <c r="C69" s="444">
        <v>90.408096313476563</v>
      </c>
      <c r="D69" s="444">
        <v>157.32734680175781</v>
      </c>
      <c r="E69" s="444">
        <v>7.4602050762629046</v>
      </c>
      <c r="F69" s="445">
        <v>49.270774829255821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7"/>
  <sheetViews>
    <sheetView tabSelected="1" workbookViewId="0">
      <selection activeCell="J29" sqref="J29"/>
    </sheetView>
  </sheetViews>
  <sheetFormatPr defaultRowHeight="13.2"/>
  <sheetData>
    <row r="2" spans="2:22" ht="26.4">
      <c r="B2" s="689" t="s">
        <v>715</v>
      </c>
      <c r="C2" s="689" t="s">
        <v>716</v>
      </c>
      <c r="D2" s="689" t="s">
        <v>717</v>
      </c>
      <c r="E2" s="689" t="s">
        <v>718</v>
      </c>
      <c r="F2" s="689" t="s">
        <v>719</v>
      </c>
      <c r="G2" s="689" t="s">
        <v>720</v>
      </c>
      <c r="H2" s="689" t="s">
        <v>721</v>
      </c>
      <c r="I2" s="689" t="s">
        <v>722</v>
      </c>
      <c r="J2" s="689" t="s">
        <v>723</v>
      </c>
      <c r="K2" s="689" t="s">
        <v>724</v>
      </c>
      <c r="L2" s="689" t="s">
        <v>725</v>
      </c>
      <c r="M2" s="689" t="s">
        <v>726</v>
      </c>
      <c r="N2" s="689" t="s">
        <v>727</v>
      </c>
      <c r="O2" s="689" t="s">
        <v>728</v>
      </c>
      <c r="P2" s="689" t="s">
        <v>729</v>
      </c>
      <c r="Q2" s="689" t="s">
        <v>730</v>
      </c>
      <c r="R2" s="689" t="s">
        <v>731</v>
      </c>
      <c r="S2" s="689" t="s">
        <v>732</v>
      </c>
      <c r="T2" s="689" t="s">
        <v>733</v>
      </c>
      <c r="U2" s="689" t="s">
        <v>734</v>
      </c>
      <c r="V2" s="689" t="s">
        <v>735</v>
      </c>
    </row>
    <row r="3" spans="2:22" ht="15.6">
      <c r="B3" s="690">
        <v>90103485</v>
      </c>
      <c r="C3" s="690">
        <v>4009</v>
      </c>
      <c r="D3" s="690">
        <v>4008</v>
      </c>
      <c r="E3" s="690">
        <v>4028</v>
      </c>
      <c r="F3" s="690">
        <v>28.58</v>
      </c>
      <c r="G3" s="690">
        <v>30.84</v>
      </c>
      <c r="H3" s="690">
        <v>30.29</v>
      </c>
      <c r="I3" s="691">
        <v>15812.91</v>
      </c>
      <c r="J3" s="690">
        <v>7.5999999999999998E-2</v>
      </c>
      <c r="K3" s="690">
        <v>207500</v>
      </c>
      <c r="L3" s="690">
        <v>1120</v>
      </c>
      <c r="M3" s="690">
        <v>1126</v>
      </c>
      <c r="N3" s="690">
        <v>1127</v>
      </c>
      <c r="O3" s="690">
        <v>194.4</v>
      </c>
      <c r="P3" s="690">
        <v>195.4</v>
      </c>
      <c r="Q3" s="690">
        <v>195.1</v>
      </c>
      <c r="R3" s="691">
        <v>71000</v>
      </c>
      <c r="S3" s="690">
        <v>0.19</v>
      </c>
      <c r="T3" s="690">
        <v>371000</v>
      </c>
      <c r="U3" s="690">
        <v>196.1</v>
      </c>
      <c r="V3" s="690">
        <v>194.8</v>
      </c>
    </row>
    <row r="4" spans="2:22" ht="15.6">
      <c r="B4" s="692">
        <v>90103484</v>
      </c>
      <c r="C4" s="692">
        <v>4065</v>
      </c>
      <c r="D4" s="692">
        <v>4064</v>
      </c>
      <c r="E4" s="692">
        <v>4084</v>
      </c>
      <c r="F4" s="692">
        <v>29.19</v>
      </c>
      <c r="G4" s="692">
        <v>31.26</v>
      </c>
      <c r="H4" s="692">
        <v>30.96</v>
      </c>
      <c r="I4" s="693">
        <v>13991.76</v>
      </c>
      <c r="J4" s="692">
        <v>6.8000000000000005E-2</v>
      </c>
      <c r="K4" s="692">
        <v>214000</v>
      </c>
      <c r="L4" s="692">
        <v>1110</v>
      </c>
      <c r="M4" s="692">
        <v>1116</v>
      </c>
      <c r="N4" s="692">
        <v>1117</v>
      </c>
      <c r="O4" s="692">
        <v>192.1</v>
      </c>
      <c r="P4" s="692">
        <v>193</v>
      </c>
      <c r="Q4" s="692">
        <v>192.9</v>
      </c>
      <c r="R4" s="693">
        <v>69000</v>
      </c>
      <c r="S4" s="692">
        <v>0.189</v>
      </c>
      <c r="T4" s="692">
        <v>366000</v>
      </c>
      <c r="U4" s="692">
        <v>193.4</v>
      </c>
      <c r="V4" s="692">
        <v>193</v>
      </c>
    </row>
    <row r="5" spans="2:22" ht="15.6">
      <c r="B5" s="690">
        <v>90103483</v>
      </c>
      <c r="C5" s="690">
        <v>4005</v>
      </c>
      <c r="D5" s="690">
        <v>3999</v>
      </c>
      <c r="E5" s="690">
        <v>4024</v>
      </c>
      <c r="F5" s="690">
        <v>28.57</v>
      </c>
      <c r="G5" s="690">
        <v>30.9</v>
      </c>
      <c r="H5" s="690">
        <v>30.14</v>
      </c>
      <c r="I5" s="691">
        <v>15928.24</v>
      </c>
      <c r="J5" s="690">
        <v>7.6999999999999999E-2</v>
      </c>
      <c r="K5" s="690">
        <v>206600</v>
      </c>
      <c r="L5" s="690">
        <v>1130</v>
      </c>
      <c r="M5" s="690">
        <v>1132</v>
      </c>
      <c r="N5" s="690">
        <v>1137</v>
      </c>
      <c r="O5" s="691">
        <v>198.1</v>
      </c>
      <c r="P5" s="691">
        <v>199.5</v>
      </c>
      <c r="Q5" s="691">
        <v>198.9</v>
      </c>
      <c r="R5" s="691">
        <v>73000</v>
      </c>
      <c r="S5" s="690">
        <v>0.19</v>
      </c>
      <c r="T5" s="690">
        <v>384000</v>
      </c>
      <c r="U5" s="690">
        <v>198.2</v>
      </c>
      <c r="V5" s="690">
        <v>198.2</v>
      </c>
    </row>
    <row r="6" spans="2:22" ht="15.6">
      <c r="B6" s="692">
        <v>71000920</v>
      </c>
      <c r="C6" s="692">
        <v>4015</v>
      </c>
      <c r="D6" s="692">
        <v>4012</v>
      </c>
      <c r="E6" s="692">
        <v>4032</v>
      </c>
      <c r="F6" s="692">
        <v>29.57</v>
      </c>
      <c r="G6" s="692">
        <v>30.55</v>
      </c>
      <c r="H6" s="692">
        <v>30.77</v>
      </c>
      <c r="I6" s="693">
        <v>14987.38</v>
      </c>
      <c r="J6" s="692">
        <v>7.1999999999999995E-2</v>
      </c>
      <c r="K6" s="692">
        <v>208500</v>
      </c>
      <c r="L6" s="692">
        <v>1127.2</v>
      </c>
      <c r="M6" s="692">
        <v>1131.2</v>
      </c>
      <c r="N6" s="692">
        <v>1133.7</v>
      </c>
      <c r="O6" s="692">
        <v>194</v>
      </c>
      <c r="P6" s="692">
        <v>193.6</v>
      </c>
      <c r="Q6" s="692">
        <v>193.8</v>
      </c>
      <c r="R6" s="693">
        <v>67700</v>
      </c>
      <c r="S6" s="692">
        <v>0.18</v>
      </c>
      <c r="T6" s="692">
        <v>372900</v>
      </c>
      <c r="U6" s="692">
        <v>193.5</v>
      </c>
      <c r="V6" s="692">
        <v>193.8</v>
      </c>
    </row>
    <row r="7" spans="2:22" ht="15.6">
      <c r="B7" s="690">
        <v>71000919</v>
      </c>
      <c r="C7" s="690">
        <v>4036</v>
      </c>
      <c r="D7" s="690">
        <v>4035</v>
      </c>
      <c r="E7" s="690">
        <v>4055</v>
      </c>
      <c r="F7" s="690">
        <v>29.23</v>
      </c>
      <c r="G7" s="690">
        <v>30.15</v>
      </c>
      <c r="H7" s="690">
        <v>30.63</v>
      </c>
      <c r="I7" s="691">
        <v>15149.56</v>
      </c>
      <c r="J7" s="690">
        <v>7.4999999999999997E-2</v>
      </c>
      <c r="K7" s="690">
        <v>208700</v>
      </c>
      <c r="L7" s="690">
        <v>1132.4000000000001</v>
      </c>
      <c r="M7" s="690">
        <v>1138.9000000000001</v>
      </c>
      <c r="N7" s="690">
        <v>1138.8</v>
      </c>
      <c r="O7" s="690">
        <v>194.4</v>
      </c>
      <c r="P7" s="690">
        <v>194.1</v>
      </c>
      <c r="Q7" s="690">
        <v>194.4</v>
      </c>
      <c r="R7" s="691">
        <v>68800</v>
      </c>
      <c r="S7" s="690">
        <v>0.182</v>
      </c>
      <c r="T7" s="690">
        <v>376000</v>
      </c>
      <c r="U7" s="690">
        <v>194.2</v>
      </c>
      <c r="V7" s="690">
        <v>194.6</v>
      </c>
    </row>
    <row r="8" spans="2:22" ht="15.6">
      <c r="B8" s="692">
        <v>70503158</v>
      </c>
      <c r="C8" s="692">
        <v>3982</v>
      </c>
      <c r="D8" s="692">
        <v>3992</v>
      </c>
      <c r="E8" s="692">
        <v>4010</v>
      </c>
      <c r="F8" s="692">
        <v>29.14</v>
      </c>
      <c r="G8" s="692">
        <v>30.92</v>
      </c>
      <c r="H8" s="692">
        <v>31.73</v>
      </c>
      <c r="I8" s="693">
        <v>14744.2</v>
      </c>
      <c r="J8" s="692">
        <v>7.0000000000000007E-2</v>
      </c>
      <c r="K8" s="692">
        <v>211400</v>
      </c>
      <c r="L8" s="692">
        <v>1099.7</v>
      </c>
      <c r="M8" s="692">
        <v>1109.9000000000001</v>
      </c>
      <c r="N8" s="692">
        <v>1110.4000000000001</v>
      </c>
      <c r="O8" s="692">
        <v>191.8</v>
      </c>
      <c r="P8" s="692">
        <v>191.4</v>
      </c>
      <c r="Q8" s="692">
        <v>193</v>
      </c>
      <c r="R8" s="693">
        <v>68900</v>
      </c>
      <c r="S8" s="692">
        <v>0.189</v>
      </c>
      <c r="T8" s="692">
        <v>362300</v>
      </c>
      <c r="U8" s="692">
        <v>191.4</v>
      </c>
      <c r="V8" s="692">
        <v>192.2</v>
      </c>
    </row>
    <row r="9" spans="2:22" ht="15.6">
      <c r="B9" s="690">
        <v>61202320</v>
      </c>
      <c r="C9" s="690">
        <v>4014</v>
      </c>
      <c r="D9" s="690">
        <v>4038</v>
      </c>
      <c r="E9" s="690">
        <v>4036</v>
      </c>
      <c r="F9" s="690">
        <v>29.23</v>
      </c>
      <c r="G9" s="690">
        <v>30.07</v>
      </c>
      <c r="H9" s="690">
        <v>30.93</v>
      </c>
      <c r="I9" s="691">
        <v>14179.37</v>
      </c>
      <c r="J9" s="690">
        <v>6.9000000000000006E-2</v>
      </c>
      <c r="K9" s="690">
        <v>208900</v>
      </c>
      <c r="L9" s="690">
        <v>1139.2</v>
      </c>
      <c r="M9" s="690">
        <v>1151.4000000000001</v>
      </c>
      <c r="N9" s="690">
        <v>1145</v>
      </c>
      <c r="O9" s="690">
        <v>196</v>
      </c>
      <c r="P9" s="690">
        <v>196</v>
      </c>
      <c r="Q9" s="690">
        <v>196.3</v>
      </c>
      <c r="R9" s="691">
        <v>72300</v>
      </c>
      <c r="S9" s="690">
        <v>0.188</v>
      </c>
      <c r="T9" s="690">
        <v>381900</v>
      </c>
      <c r="U9" s="690">
        <v>195.7</v>
      </c>
      <c r="V9" s="690">
        <v>196</v>
      </c>
    </row>
    <row r="10" spans="2:22" ht="15.6">
      <c r="B10" s="692">
        <v>61202319</v>
      </c>
      <c r="C10" s="692">
        <v>4050</v>
      </c>
      <c r="D10" s="692">
        <v>4070</v>
      </c>
      <c r="E10" s="692">
        <v>4069</v>
      </c>
      <c r="F10" s="692">
        <v>29.65</v>
      </c>
      <c r="G10" s="692">
        <v>30.73</v>
      </c>
      <c r="H10" s="692">
        <v>31.24</v>
      </c>
      <c r="I10" s="693">
        <v>14240.65</v>
      </c>
      <c r="J10" s="692">
        <v>6.9000000000000006E-2</v>
      </c>
      <c r="K10" s="692">
        <v>211600</v>
      </c>
      <c r="L10" s="692">
        <v>1116.8</v>
      </c>
      <c r="M10" s="692">
        <v>1126.0999999999999</v>
      </c>
      <c r="N10" s="692">
        <v>1120.5999999999999</v>
      </c>
      <c r="O10" s="692">
        <v>191.4</v>
      </c>
      <c r="P10" s="692">
        <v>190.8</v>
      </c>
      <c r="Q10" s="692">
        <v>191.8</v>
      </c>
      <c r="R10" s="693">
        <v>68100</v>
      </c>
      <c r="S10" s="692">
        <v>0.185</v>
      </c>
      <c r="T10" s="692">
        <v>364400</v>
      </c>
      <c r="U10" s="692">
        <v>190.5</v>
      </c>
      <c r="V10" s="692">
        <v>191.2</v>
      </c>
    </row>
    <row r="11" spans="2:22" ht="15.6">
      <c r="B11" s="690">
        <v>61202318</v>
      </c>
      <c r="C11" s="690">
        <v>4053</v>
      </c>
      <c r="D11" s="690">
        <v>4067</v>
      </c>
      <c r="E11" s="690">
        <v>4071</v>
      </c>
      <c r="F11" s="690">
        <v>29.92</v>
      </c>
      <c r="G11" s="690">
        <v>31.56</v>
      </c>
      <c r="H11" s="690">
        <v>31.56</v>
      </c>
      <c r="I11" s="691">
        <v>12865.4</v>
      </c>
      <c r="J11" s="690">
        <v>6.3E-2</v>
      </c>
      <c r="K11" s="690">
        <v>218100</v>
      </c>
      <c r="L11" s="690">
        <v>1138.5999999999999</v>
      </c>
      <c r="M11" s="690">
        <v>1148.9000000000001</v>
      </c>
      <c r="N11" s="690">
        <v>1144.5999999999999</v>
      </c>
      <c r="O11" s="690">
        <v>197.9</v>
      </c>
      <c r="P11" s="690">
        <v>197.5</v>
      </c>
      <c r="Q11" s="690">
        <v>197.3</v>
      </c>
      <c r="R11" s="691">
        <v>72300</v>
      </c>
      <c r="S11" s="690">
        <v>0.185</v>
      </c>
      <c r="T11" s="690">
        <v>384300</v>
      </c>
      <c r="U11" s="690">
        <v>197.5</v>
      </c>
      <c r="V11" s="690">
        <v>197.9</v>
      </c>
    </row>
    <row r="12" spans="2:22" ht="15.6">
      <c r="B12" s="692">
        <v>61202318</v>
      </c>
      <c r="C12" s="692">
        <v>4041</v>
      </c>
      <c r="D12" s="692">
        <v>4061</v>
      </c>
      <c r="E12" s="692">
        <v>4059</v>
      </c>
      <c r="F12" s="692">
        <v>29.43</v>
      </c>
      <c r="G12" s="692">
        <v>30.5</v>
      </c>
      <c r="H12" s="692">
        <v>31.18</v>
      </c>
      <c r="I12" s="693">
        <v>14570.32</v>
      </c>
      <c r="J12" s="692">
        <v>7.0000000000000007E-2</v>
      </c>
      <c r="K12" s="692">
        <v>211500</v>
      </c>
      <c r="L12" s="692">
        <v>1136.8</v>
      </c>
      <c r="M12" s="692">
        <v>1149.2</v>
      </c>
      <c r="N12" s="692">
        <v>1143.7</v>
      </c>
      <c r="O12" s="692">
        <v>197.7</v>
      </c>
      <c r="P12" s="692">
        <v>196.7</v>
      </c>
      <c r="Q12" s="692">
        <v>197.3</v>
      </c>
      <c r="R12" s="693">
        <v>72000</v>
      </c>
      <c r="S12" s="692">
        <v>0.186</v>
      </c>
      <c r="T12" s="692">
        <v>382200</v>
      </c>
      <c r="U12" s="692">
        <v>195.3</v>
      </c>
      <c r="V12" s="692">
        <v>197</v>
      </c>
    </row>
    <row r="14" spans="2:22">
      <c r="C14" t="s">
        <v>736</v>
      </c>
    </row>
    <row r="15" spans="2:22">
      <c r="C15">
        <v>4000</v>
      </c>
      <c r="D15">
        <v>4000</v>
      </c>
      <c r="E15">
        <v>4000</v>
      </c>
      <c r="F15">
        <v>28.515839361436768</v>
      </c>
      <c r="G15">
        <v>30.778443113772457</v>
      </c>
      <c r="H15">
        <v>30.079443892750742</v>
      </c>
      <c r="I15">
        <v>15694.976962170194</v>
      </c>
      <c r="L15">
        <v>1150</v>
      </c>
      <c r="M15">
        <v>1150</v>
      </c>
      <c r="N15">
        <v>1150</v>
      </c>
      <c r="O15">
        <v>199.60714285714286</v>
      </c>
      <c r="P15">
        <v>199.56483126110123</v>
      </c>
      <c r="Q15">
        <v>199.08163265306121</v>
      </c>
      <c r="R15">
        <v>74278.619749549383</v>
      </c>
    </row>
    <row r="16" spans="2:22">
      <c r="C16">
        <v>4000</v>
      </c>
      <c r="D16">
        <v>4000</v>
      </c>
      <c r="E16">
        <v>4000</v>
      </c>
      <c r="F16">
        <v>28.723247232472325</v>
      </c>
      <c r="G16">
        <v>30.767716535433074</v>
      </c>
      <c r="H16">
        <v>30.323212536728697</v>
      </c>
      <c r="I16">
        <v>13507.971168357093</v>
      </c>
      <c r="L16">
        <v>1150</v>
      </c>
      <c r="M16">
        <v>1150</v>
      </c>
      <c r="N16">
        <v>1150</v>
      </c>
      <c r="O16">
        <v>199.02252252252254</v>
      </c>
      <c r="P16">
        <v>198.87992831541217</v>
      </c>
      <c r="Q16">
        <v>198.59892569382274</v>
      </c>
      <c r="R16">
        <v>73487.67306687466</v>
      </c>
    </row>
    <row r="17" spans="3:18">
      <c r="C17">
        <v>4000</v>
      </c>
      <c r="D17">
        <v>4000</v>
      </c>
      <c r="E17">
        <v>4000</v>
      </c>
      <c r="F17">
        <v>28.534332084893883</v>
      </c>
      <c r="G17">
        <v>30.907726931732931</v>
      </c>
      <c r="H17">
        <v>29.960238568588469</v>
      </c>
      <c r="I17">
        <v>15854.168211156233</v>
      </c>
      <c r="L17">
        <v>1150</v>
      </c>
      <c r="M17">
        <v>1150</v>
      </c>
      <c r="N17">
        <v>1150</v>
      </c>
      <c r="O17">
        <v>201.60619469026548</v>
      </c>
      <c r="P17">
        <v>202.67226148409895</v>
      </c>
      <c r="Q17">
        <v>201.17414248021112</v>
      </c>
      <c r="R17">
        <v>75207.078973178082</v>
      </c>
    </row>
    <row r="18" spans="3:18">
      <c r="C18">
        <v>4000</v>
      </c>
      <c r="D18">
        <v>4000</v>
      </c>
      <c r="E18">
        <v>4000</v>
      </c>
      <c r="F18">
        <v>29.459526774595268</v>
      </c>
      <c r="G18">
        <v>30.458624127617149</v>
      </c>
      <c r="H18">
        <v>30.525793650793652</v>
      </c>
      <c r="I18">
        <v>14841.083311341041</v>
      </c>
      <c r="L18">
        <v>1150</v>
      </c>
      <c r="M18">
        <v>1150</v>
      </c>
      <c r="N18">
        <v>1150</v>
      </c>
      <c r="O18">
        <v>197.92405961674947</v>
      </c>
      <c r="P18">
        <v>196.81753889674681</v>
      </c>
      <c r="Q18">
        <v>196.58639851812649</v>
      </c>
      <c r="R18">
        <v>70030.883045417751</v>
      </c>
    </row>
    <row r="19" spans="3:18">
      <c r="C19">
        <v>4000</v>
      </c>
      <c r="D19">
        <v>4000</v>
      </c>
      <c r="E19">
        <v>4000</v>
      </c>
      <c r="F19">
        <v>28.969276511397425</v>
      </c>
      <c r="G19">
        <v>29.888475836431223</v>
      </c>
      <c r="H19">
        <v>30.214549938347719</v>
      </c>
      <c r="I19">
        <v>14836.360716191028</v>
      </c>
      <c r="L19">
        <v>1150</v>
      </c>
      <c r="M19">
        <v>1150</v>
      </c>
      <c r="N19">
        <v>1150</v>
      </c>
      <c r="O19">
        <v>197.42140586365241</v>
      </c>
      <c r="P19">
        <v>195.99174642198611</v>
      </c>
      <c r="Q19">
        <v>196.31190727081142</v>
      </c>
      <c r="R19">
        <v>70419.418787669871</v>
      </c>
    </row>
    <row r="20" spans="3:18">
      <c r="C20">
        <v>4000</v>
      </c>
      <c r="D20">
        <v>4000</v>
      </c>
      <c r="E20">
        <v>4000</v>
      </c>
      <c r="F20">
        <v>29.271722752385738</v>
      </c>
      <c r="G20">
        <v>30.981963927855713</v>
      </c>
      <c r="H20">
        <v>31.650872817955111</v>
      </c>
      <c r="I20">
        <v>14783.596040081027</v>
      </c>
      <c r="L20">
        <v>1150</v>
      </c>
      <c r="M20">
        <v>1150</v>
      </c>
      <c r="N20">
        <v>1150</v>
      </c>
      <c r="O20">
        <v>200.57288351368555</v>
      </c>
      <c r="P20">
        <v>198.31516352824576</v>
      </c>
      <c r="Q20">
        <v>199.88292507204608</v>
      </c>
      <c r="R20">
        <v>74401.428936152253</v>
      </c>
    </row>
    <row r="21" spans="3:18">
      <c r="C21">
        <v>4000</v>
      </c>
      <c r="D21">
        <v>4000</v>
      </c>
      <c r="E21">
        <v>4000</v>
      </c>
      <c r="F21">
        <v>29.128051818634781</v>
      </c>
      <c r="G21">
        <v>29.787023278850917</v>
      </c>
      <c r="H21">
        <v>30.654112983151634</v>
      </c>
      <c r="I21">
        <v>13973.671911698766</v>
      </c>
      <c r="L21">
        <v>1150</v>
      </c>
      <c r="M21">
        <v>1150</v>
      </c>
      <c r="N21">
        <v>1150</v>
      </c>
      <c r="O21">
        <v>197.85814606741573</v>
      </c>
      <c r="P21">
        <v>195.76168143130101</v>
      </c>
      <c r="Q21">
        <v>197.15720524017468</v>
      </c>
      <c r="R21">
        <v>72907.353917182263</v>
      </c>
    </row>
    <row r="22" spans="3:18">
      <c r="C22">
        <v>4000</v>
      </c>
      <c r="D22">
        <v>4000</v>
      </c>
      <c r="E22">
        <v>4000</v>
      </c>
      <c r="F22">
        <v>29.283950617283949</v>
      </c>
      <c r="G22">
        <v>30.201474201474202</v>
      </c>
      <c r="H22">
        <v>30.710248218235435</v>
      </c>
      <c r="I22">
        <v>13802.448986910504</v>
      </c>
      <c r="L22">
        <v>1150</v>
      </c>
      <c r="M22">
        <v>1150</v>
      </c>
      <c r="N22">
        <v>1150</v>
      </c>
      <c r="O22">
        <v>197.08989971346705</v>
      </c>
      <c r="P22">
        <v>194.84948050794782</v>
      </c>
      <c r="Q22">
        <v>196.83205425664826</v>
      </c>
      <c r="R22">
        <v>71647.735651172508</v>
      </c>
    </row>
    <row r="23" spans="3:18">
      <c r="C23">
        <v>4000</v>
      </c>
      <c r="D23">
        <v>4000</v>
      </c>
      <c r="E23">
        <v>4000</v>
      </c>
      <c r="F23">
        <v>29.528744140143104</v>
      </c>
      <c r="G23">
        <v>31.04007868207524</v>
      </c>
      <c r="H23">
        <v>31.009579955784819</v>
      </c>
      <c r="I23">
        <v>12465.425446966829</v>
      </c>
      <c r="L23">
        <v>1150</v>
      </c>
      <c r="M23">
        <v>1150</v>
      </c>
      <c r="N23">
        <v>1150</v>
      </c>
      <c r="O23">
        <v>199.8814333391885</v>
      </c>
      <c r="P23">
        <v>197.68909391591956</v>
      </c>
      <c r="Q23">
        <v>198.23082299493274</v>
      </c>
      <c r="R23">
        <v>73056.124025087556</v>
      </c>
    </row>
    <row r="24" spans="3:18">
      <c r="C24">
        <v>4000</v>
      </c>
      <c r="D24">
        <v>4000</v>
      </c>
      <c r="E24">
        <v>4000</v>
      </c>
      <c r="F24">
        <v>29.131403118040087</v>
      </c>
      <c r="G24">
        <v>30.041861610440776</v>
      </c>
      <c r="H24">
        <v>30.726779995072675</v>
      </c>
      <c r="I24">
        <v>14187.079021817113</v>
      </c>
      <c r="L24">
        <v>1150</v>
      </c>
      <c r="M24">
        <v>1150</v>
      </c>
      <c r="N24">
        <v>1150</v>
      </c>
      <c r="O24">
        <v>199.99560168895144</v>
      </c>
      <c r="P24">
        <v>196.83693003828748</v>
      </c>
      <c r="Q24">
        <v>198.38681472414095</v>
      </c>
      <c r="R24">
        <v>72854.849095817233</v>
      </c>
    </row>
    <row r="25" spans="3:18" ht="13.8" thickBot="1"/>
    <row r="26" spans="3:18">
      <c r="E26" s="698" t="s">
        <v>737</v>
      </c>
      <c r="F26" s="697"/>
      <c r="G26" s="697"/>
      <c r="H26" s="697" t="s">
        <v>738</v>
      </c>
      <c r="I26" s="697" t="s">
        <v>739</v>
      </c>
      <c r="J26" s="697"/>
      <c r="K26" s="697"/>
      <c r="L26" s="697"/>
      <c r="M26" s="697"/>
      <c r="N26" s="697" t="s">
        <v>740</v>
      </c>
      <c r="O26" s="697"/>
      <c r="P26" s="697"/>
      <c r="Q26" s="697" t="s">
        <v>741</v>
      </c>
      <c r="R26" s="700" t="s">
        <v>742</v>
      </c>
    </row>
    <row r="27" spans="3:18" ht="13.8" thickBot="1">
      <c r="E27" s="699">
        <v>4000</v>
      </c>
      <c r="F27" s="694"/>
      <c r="G27" s="694"/>
      <c r="H27" s="695">
        <v>30.041810507145861</v>
      </c>
      <c r="I27" s="696">
        <v>14394.67817766898</v>
      </c>
      <c r="J27" s="694"/>
      <c r="K27" s="694"/>
      <c r="L27" s="694"/>
      <c r="M27" s="694"/>
      <c r="N27" s="694">
        <v>1150</v>
      </c>
      <c r="O27" s="694"/>
      <c r="P27" s="694"/>
      <c r="Q27" s="695">
        <v>198.22428289039757</v>
      </c>
      <c r="R27" s="701">
        <v>72829.116524810146</v>
      </c>
    </row>
  </sheetData>
  <hyperlinks>
    <hyperlink ref="B2" r:id="rId1" display="javascript:__doPostBack('grdViewDetails','Sort$SERNUM')"/>
    <hyperlink ref="C2" r:id="rId2" display="javascript:__doPostBack('grdViewDetails','Sort$NLVA')"/>
    <hyperlink ref="D2" r:id="rId3" display="javascript:__doPostBack('grdViewDetails','Sort$NLVB')"/>
    <hyperlink ref="E2" r:id="rId4" display="javascript:__doPostBack('grdViewDetails','Sort$NLVC')"/>
    <hyperlink ref="F2" r:id="rId5" display="javascript:__doPostBack('grdViewDetails','Sort$NLAA')"/>
    <hyperlink ref="G2" r:id="rId6" display="javascript:__doPostBack('grdViewDetails','Sort$NLAB')"/>
    <hyperlink ref="H2" r:id="rId7" display="javascript:__doPostBack('grdViewDetails','Sort$NLAC')"/>
    <hyperlink ref="I2" r:id="rId8" display="javascript:__doPostBack('grdViewDetails','Sort$NLWR')"/>
    <hyperlink ref="J2" r:id="rId9" display="javascript:__doPostBack('grdViewDetails','Sort$PFN')"/>
    <hyperlink ref="K2" r:id="rId10" display="javascript:__doPostBack('grdViewDetails','Sort$VARN')"/>
    <hyperlink ref="L2" r:id="rId11" display="javascript:__doPostBack('grdViewDetails','Sort$LRVA')"/>
    <hyperlink ref="M2" r:id="rId12" display="javascript:__doPostBack('grdViewDetails','Sort$LRVB')"/>
    <hyperlink ref="N2" r:id="rId13" display="javascript:__doPostBack('grdViewDetails','Sort$LRVC')"/>
    <hyperlink ref="O2" r:id="rId14" display="javascript:__doPostBack('grdViewDetails','Sort$LRAA1')"/>
    <hyperlink ref="P2" r:id="rId15" display="javascript:__doPostBack('grdViewDetails','Sort$LRAA2')"/>
    <hyperlink ref="Q2" r:id="rId16" display="javascript:__doPostBack('grdViewDetails','Sort$LRAA3')"/>
    <hyperlink ref="R2" r:id="rId17" display="javascript:__doPostBack('grdViewDetails','Sort$LRWAVG')"/>
    <hyperlink ref="S2" r:id="rId18" display="javascript:__doPostBack('grdViewDetails','Sort$PFL')"/>
    <hyperlink ref="T2" r:id="rId19" display="javascript:__doPostBack('grdViewDetails','Sort$VARL')"/>
    <hyperlink ref="U2" r:id="rId20" display="javascript:__doPostBack('grdViewDetails','Sort$LRSWINGMIN')"/>
    <hyperlink ref="V2" r:id="rId21" display="javascript:__doPostBack('grdViewDetails','Sort$LRSWINGMAX')"/>
  </hyperlinks>
  <pageMargins left="0.7" right="0.7" top="0.75" bottom="0.75" header="0.3" footer="0.3"/>
  <pageSetup orientation="portrait" horizontalDpi="1200" verticalDpi="12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Sheet1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2022-09-28T15:24:27Z</dcterms:modified>
</cp:coreProperties>
</file>